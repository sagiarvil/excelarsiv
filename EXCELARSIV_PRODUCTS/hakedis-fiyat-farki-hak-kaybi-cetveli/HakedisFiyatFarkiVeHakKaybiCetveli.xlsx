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8.xml" ContentType="application/vnd.openxmlformats-officedocument.spreadsheetml.comments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SOZLESME_KARTI" sheetId="12" state="visible" r:id="rId12"/>
    <sheet xmlns:r="http://schemas.openxmlformats.org/officeDocument/2006/relationships" name="HAKEDIS_KALEMLERI" sheetId="13" state="visible" r:id="rId13"/>
    <sheet xmlns:r="http://schemas.openxmlformats.org/officeDocument/2006/relationships" name="ENDEKS_KAYITLARI" sheetId="14" state="visible" r:id="rId14"/>
    <sheet xmlns:r="http://schemas.openxmlformats.org/officeDocument/2006/relationships" name="HAKEDIS_DONEMLERI" sheetId="15" state="visible" r:id="rId15"/>
    <sheet xmlns:r="http://schemas.openxmlformats.org/officeDocument/2006/relationships" name="MOTOR" sheetId="16" state="visible" r:id="rId16"/>
    <sheet xmlns:r="http://schemas.openxmlformats.org/officeDocument/2006/relationships" name="KONTROL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SENARYO_DUYARLILIK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KURALLAR" sheetId="22" state="visible" r:id="rId22"/>
    <sheet xmlns:r="http://schemas.openxmlformats.org/officeDocument/2006/relationships" name="VAKALAR" sheetId="23" state="visible" r:id="rId23"/>
    <sheet xmlns:r="http://schemas.openxmlformats.org/officeDocument/2006/relationships" name="DEGISIKLIK_KAYD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a" hidden="0" function="0" vbProcedure="0">SOZLESME_KARTI!$B$9</definedName>
    <definedName name="AgirlikTolerans" hidden="0" function="0" vbProcedure="0">AYARLAR!$C$10</definedName>
    <definedName name="AgirlikToplam" hidden="0" function="0" vbProcedure="0">SOZLESME_KARTI!$B$16</definedName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EndeksAdet" hidden="0" function="0" vbProcedure="0">MOTOR!$B$22</definedName>
    <definedName name="AnomaliZEsik" hidden="0" function="0" vbProcedure="0">AYARLAR!$C$12</definedName>
    <definedName name="b" hidden="0" function="0" vbProcedure="0">SOZLESME_KARTI!$B$10</definedName>
    <definedName name="BirikimliFiyatFarki" hidden="0" function="0" vbProcedure="0">MOTOR!$B$12</definedName>
    <definedName name="d" hidden="0" function="0" vbProcedure="0">SOZLESME_KARTI!$B$12</definedName>
    <definedName name="degerKazanim" hidden="0" function="0" vbProcedure="0">MOTOR!$B$36</definedName>
    <definedName name="degerKazanimOran" hidden="0" function="0" vbProcedure="0">MOTOR!$B$37</definedName>
    <definedName name="DoluGirisHucre" hidden="0" function="0" vbProcedure="0">KONTROL!$B$16</definedName>
    <definedName name="DonemFiyatFarki" hidden="0" function="0" vbProcedure="0">MOTOR!$B$11</definedName>
    <definedName name="DonemHakedisToplam" hidden="0" function="0" vbProcedure="0">HAKEDIS_DONEMLERI!$C$8</definedName>
    <definedName name="DuyarliDegisim" hidden="0" function="0" vbProcedure="0">AYARLAR!$C$18</definedName>
    <definedName name="EndeksBantOrani" hidden="0" function="0" vbProcedure="0">AYARLAR!$C$21</definedName>
    <definedName name="EndeksOrtalama" hidden="0" function="0" vbProcedure="0">MOTOR!$B$18</definedName>
    <definedName name="EndeksProjeksiyon" hidden="0" function="0" vbProcedure="0">MOTOR!$B$19</definedName>
    <definedName name="FAIL_Sayisi" hidden="0" function="0" vbProcedure="0">KONTROL!$B$18</definedName>
    <definedName name="firmaUnvani" hidden="0" function="0" vbProcedure="0">AYARLAR!$C$6</definedName>
    <definedName name="FiyatFarkiKatsayi" hidden="0" function="0" vbProcedure="0">MOTOR!$B$10</definedName>
    <definedName name="FiyatFarkiVarMi" hidden="0" function="0" vbProcedure="0">SOZLESME_KARTI!$B$13</definedName>
    <definedName name="HakedisKalemToplam" hidden="0" function="0" vbProcedure="0">MOTOR!$B$13</definedName>
    <definedName name="HakKaybiOran" hidden="0" function="0" vbProcedure="0">MOTOR!$B$16</definedName>
    <definedName name="HakKaybiToplam" hidden="0" function="0" vbProcedure="0">MOTOR!$B$15</definedName>
    <definedName name="IsciEndeksOran" hidden="0" function="0" vbProcedure="0">MOTOR!$B$6</definedName>
    <definedName name="Isveren" hidden="0" function="0" vbProcedure="0">SOZLESME_KARTI!$B$5</definedName>
    <definedName name="KararGerekce" hidden="0" function="0" vbProcedure="0">KARAR!$B$12</definedName>
    <definedName name="KararSonuc" hidden="0" function="0" vbProcedure="0">KARAR!$B$11</definedName>
    <definedName name="KayipDurumu" hidden="0" function="0" vbProcedure="0">MOTOR!$B$17</definedName>
    <definedName name="KayipDikkatOran" hidden="0" function="0" vbProcedure="0">AYARLAR!$C$9</definedName>
    <definedName name="KayipEsikOran" hidden="0" function="0" vbProcedure="0">AYARLAR!$C$8</definedName>
    <definedName name="KayipOraniEsik" hidden="0" function="0" vbProcedure="0">AYARLAR!$C$23</definedName>
    <definedName name="kuralIdReferans" hidden="0" function="0" vbProcedure="0">KURALLAR!$A$4</definedName>
    <definedName name="ListeEvetHayir" hidden="0" function="0" vbProcedure="0">LISTELER!$A$6:$A$7</definedName>
    <definedName name="MakineEndeksOran" hidden="0" function="0" vbProcedure="0">MOTOR!$B$8</definedName>
    <definedName name="MalzemeEndeksOran" hidden="0" function="0" vbProcedure="0">MOTOR!$B$7</definedName>
    <definedName name="modulI1TahminOrta" hidden="0" function="0" vbProcedure="0">MOTOR!$B$33</definedName>
    <definedName name="modulI1TahminYorum" hidden="0" function="0" vbProcedure="0">MOTOR!$C$49</definedName>
    <definedName name="modulI2P90" hidden="0" function="0" vbProcedure="0">MOTOR!$B$34</definedName>
    <definedName name="modulI2Yorum" hidden="0" function="0" vbProcedure="0">MOTOR!$C$50</definedName>
    <definedName name="modulI7NakitAcigi" hidden="0" function="0" vbProcedure="0">MOTOR!$B$35</definedName>
    <definedName name="modulI7NakitYorum" hidden="0" function="0" vbProcedure="0">MOTOR!$C$51</definedName>
    <definedName name="modulO1AnomaliSayisi" hidden="0" function="0" vbProcedure="0">MOTOR!$B$28</definedName>
    <definedName name="modulO1AnomaliYorum" hidden="0" function="0" vbProcedure="0">MOTOR!$C$44</definedName>
    <definedName name="modulO2TornadoYorum" hidden="0" function="0" vbProcedure="0">MOTOR!$C$45</definedName>
    <definedName name="modulO2TornadoZirve" hidden="0" function="0" vbProcedure="0">MOTOR!$B$29</definedName>
    <definedName name="modulO3SenaryoBaz" hidden="0" function="0" vbProcedure="0">MOTOR!$B$30</definedName>
    <definedName name="modulO3SenaryoYorum" hidden="0" function="0" vbProcedure="0">MOTOR!$C$46</definedName>
    <definedName name="modulO4NakitGunu" hidden="0" function="0" vbProcedure="0">MOTOR!$B$31</definedName>
    <definedName name="modulO4NakitYorum" hidden="0" function="0" vbProcedure="0">MOTOR!$C$47</definedName>
    <definedName name="modulO8KaliteSkoru" hidden="0" function="0" vbProcedure="0">MOTOR!$B$32</definedName>
    <definedName name="modulO8KaliteYorum" hidden="0" function="0" vbProcedure="0">MOTOR!$C$48</definedName>
    <definedName name="modulT2EndeksEgim" hidden="0" function="0" vbProcedure="0">MOTOR!$B$24</definedName>
    <definedName name="modulT2EndeksYorum" hidden="0" function="0" vbProcedure="0">MOTOR!$C$40</definedName>
    <definedName name="modulT3ParetoPayi" hidden="0" function="0" vbProcedure="0">MOTOR!$B$25</definedName>
    <definedName name="modulT3ParetoYorum" hidden="0" function="0" vbProcedure="0">MOTOR!$C$41</definedName>
    <definedName name="modulT5MutabakatFark" hidden="0" function="0" vbProcedure="0">MOTOR!$B$26</definedName>
    <definedName name="modulT5MutabakatYorum" hidden="0" function="0" vbProcedure="0">MOTOR!$C$42</definedName>
    <definedName name="modulT6KirilimOrani" hidden="0" function="0" vbProcedure="0">MOTOR!$B$27</definedName>
    <definedName name="modulT6KirilimYorum" hidden="0" function="0" vbProcedure="0">MOTOR!$C$43</definedName>
    <definedName name="MutabakatTolerans" hidden="0" function="0" vbProcedure="0">AYARLAR!$C$11</definedName>
    <definedName name="ODemeGecikmeEsik" hidden="0" function="0" vbProcedure="0">AYARLAR!$C$22</definedName>
    <definedName name="P90Kuantil" hidden="0" function="0" vbProcedure="0">AYARLAR!$C$20</definedName>
    <definedName name="ParetoEsikOran" hidden="0" function="0" vbProcedure="0">AYARLAR!$C$19</definedName>
    <definedName name="PASS_Sayisi" hidden="0" function="0" vbProcedure="0">KONTROL!$B$17</definedName>
    <definedName name="PiyasaKalemToplam" hidden="0" function="0" vbProcedure="0">MOTOR!$B$14</definedName>
    <definedName name="raporTarihi" hidden="0" function="0" vbProcedure="0">AYARLAR!$C$7</definedName>
    <definedName name="SenaryoIyimserKat" hidden="0" function="0" vbProcedure="0">AYARLAR!$C$17</definedName>
    <definedName name="SenaryoKotumserKat" hidden="0" function="0" vbProcedure="0">AYARLAR!$C$16</definedName>
    <definedName name="SozlesmeAdi" hidden="0" function="0" vbProcedure="0">SOZLESME_KARTI!$B$4</definedName>
    <definedName name="SozlesmeBedeli" hidden="0" function="0" vbProcedure="0">SOZLESME_KARTI!$B$8</definedName>
    <definedName name="SozlesmeTarihi" hidden="0" function="0" vbProcedure="0">SOZLESME_KARTI!$B$7</definedName>
    <definedName name="TahminAltSinir" hidden="0" function="0" vbProcedure="0">MOTOR!$B$20</definedName>
    <definedName name="TahminUstSinir" hidden="0" function="0" vbProcedure="0">MOTOR!$B$21</definedName>
    <definedName name="VeriKaliteIyiEsik" hidden="0" function="0" vbProcedure="0">AYARLAR!$C$13</definedName>
    <definedName name="VeriKaliteOrtaEsik" hidden="0" function="0" vbProcedure="0">AYARLAR!$C$14</definedName>
    <definedName name="VeriKaliteSeviyesi" hidden="0" function="0" vbProcedure="0">KONTROL!$B$20</definedName>
    <definedName name="VeriKaliteSkoru" hidden="0" function="0" vbProcedure="0">KONTROL!$B$19</definedName>
    <definedName name="VeriKaliteUyariCeza" hidden="0" function="0" vbProcedure="0">AYARLAR!$C$15</definedName>
    <definedName name="Yuklenici" hidden="0" function="0" vbProcedure="0">SOZLESME_KARTI!$B$6</definedName>
    <definedName name="_c" hidden="0" function="0" vbProcedure="0">SOZLESME_KARTI!$B$11</definedName>
    <definedName name="_xlnm.Print_Area" localSheetId="19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&quot;₺ &quot;#,##0;[RED]&quot;(₺ &quot;#,##0\);\-"/>
    <numFmt numFmtId="166" formatCode="0.0%;[RED]\(0.0%\);\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10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555555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8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14" fillId="7" borderId="0" applyAlignment="1" pivotButton="0" quotePrefix="0" xfId="0">
      <alignment horizontal="left" vertical="center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6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7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166" fontId="24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4" fontId="24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5" fillId="1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10" borderId="0" applyAlignment="1" pivotButton="0" quotePrefix="0" xfId="0">
      <alignment horizontal="center" vertical="center"/>
    </xf>
    <xf numFmtId="0" fontId="46" fillId="0" borderId="0" pivotButton="0" quotePrefix="0" xfId="0"/>
    <xf numFmtId="168" fontId="46" fillId="0" borderId="0" pivotButton="0" quotePrefix="0" xfId="0"/>
    <xf numFmtId="168" fontId="47" fillId="0" borderId="0" pivotButton="0" quotePrefix="0" xfId="0"/>
    <xf numFmtId="169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10" borderId="0" applyAlignment="1" pivotButton="0" quotePrefix="0" xfId="0">
      <alignment horizontal="center" vertical="center"/>
    </xf>
    <xf numFmtId="0" fontId="45" fillId="10" borderId="0" applyAlignment="1" pivotButton="0" quotePrefix="0" xfId="0">
      <alignment horizontal="center"/>
    </xf>
    <xf numFmtId="0" fontId="47" fillId="0" borderId="0" pivotButton="0" quotePrefix="0" xfId="0"/>
    <xf numFmtId="0" fontId="51" fillId="12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14" fillId="7" borderId="0" applyAlignment="1" pivotButton="0" quotePrefix="0" xfId="0">
      <alignment horizontal="left" vertical="center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6" fontId="14" fillId="5" borderId="0" applyAlignment="1" applyProtection="1" pivotButton="0" quotePrefix="0" xfId="0">
      <alignment horizontal="left" vertical="center"/>
      <protection locked="0" hidden="0"/>
    </xf>
    <xf numFmtId="166" fontId="0" fillId="7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7" fontId="0" fillId="7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166" fontId="24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4" fontId="24" fillId="0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4" borderId="1" applyAlignment="1" pivotButton="0" quotePrefix="0" xfId="0">
      <alignment horizontal="center"/>
    </xf>
    <xf numFmtId="0" fontId="42" fillId="0" borderId="3" pivotButton="0" quotePrefix="0" xfId="0"/>
    <xf numFmtId="0" fontId="58" fillId="15" borderId="1" applyAlignment="1" pivotButton="0" quotePrefix="0" xfId="0">
      <alignment horizontal="center"/>
    </xf>
    <xf numFmtId="0" fontId="57" fillId="16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7" borderId="0" applyAlignment="1" pivotButton="0" quotePrefix="0" xfId="0">
      <alignment horizontal="center"/>
    </xf>
    <xf numFmtId="0" fontId="62" fillId="0" borderId="0" pivotButton="0" quotePrefix="0" xfId="0"/>
    <xf numFmtId="0" fontId="61" fillId="18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9" borderId="1" applyAlignment="1" pivotButton="0" quotePrefix="0" xfId="0">
      <alignment horizontal="center"/>
    </xf>
    <xf numFmtId="0" fontId="61" fillId="10" borderId="0" pivotButton="0" quotePrefix="0" xfId="0"/>
    <xf numFmtId="0" fontId="66" fillId="10" borderId="0" pivotButton="0" quotePrefix="0" xfId="0"/>
    <xf numFmtId="0" fontId="67" fillId="10" borderId="0" pivotButton="0" quotePrefix="0" xfId="0"/>
    <xf numFmtId="0" fontId="0" fillId="10" borderId="0" pivotButton="0" quotePrefix="0" xfId="0"/>
    <xf numFmtId="0" fontId="39" fillId="10" borderId="0" applyAlignment="1" pivotButton="0" quotePrefix="0" xfId="0">
      <alignment horizontal="center"/>
    </xf>
    <xf numFmtId="0" fontId="55" fillId="0" borderId="0" pivotButton="0" quotePrefix="0" xfId="0"/>
    <xf numFmtId="0" fontId="70" fillId="20" borderId="0" pivotButton="0" quotePrefix="0" xfId="0"/>
    <xf numFmtId="0" fontId="0" fillId="20" borderId="0" pivotButton="0" quotePrefix="0" xfId="0"/>
    <xf numFmtId="0" fontId="57" fillId="0" borderId="0" pivotButton="0" quotePrefix="0" xfId="0"/>
    <xf numFmtId="0" fontId="45" fillId="20" borderId="0" pivotButton="0" quotePrefix="0" xfId="0"/>
    <xf numFmtId="0" fontId="71" fillId="20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6" borderId="5" applyAlignment="1" pivotButton="0" quotePrefix="0" xfId="0">
      <alignment horizontal="center" vertical="center"/>
    </xf>
    <xf numFmtId="0" fontId="72" fillId="21" borderId="0" applyAlignment="1" pivotButton="0" quotePrefix="0" xfId="0">
      <alignment horizontal="center" vertical="center"/>
    </xf>
    <xf numFmtId="0" fontId="36" fillId="22" borderId="1" applyAlignment="1" pivotButton="0" quotePrefix="0" xfId="0">
      <alignment vertical="center"/>
    </xf>
    <xf numFmtId="0" fontId="56" fillId="14" borderId="0" applyAlignment="1" pivotButton="0" quotePrefix="0" xfId="0">
      <alignment horizontal="center" vertical="center"/>
    </xf>
    <xf numFmtId="0" fontId="57" fillId="16" borderId="0" applyAlignment="1" pivotButton="0" quotePrefix="0" xfId="0">
      <alignment horizontal="center" vertical="center"/>
    </xf>
    <xf numFmtId="0" fontId="73" fillId="10" borderId="0" applyAlignment="1" pivotButton="0" quotePrefix="0" xfId="0">
      <alignment horizontal="center" vertical="center"/>
    </xf>
    <xf numFmtId="0" fontId="74" fillId="22" borderId="1" applyAlignment="1" pivotButton="0" quotePrefix="0" xfId="0">
      <alignment horizontal="center"/>
    </xf>
    <xf numFmtId="0" fontId="75" fillId="22" borderId="1" applyAlignment="1" pivotButton="0" quotePrefix="0" xfId="0">
      <alignment horizontal="center"/>
    </xf>
    <xf numFmtId="0" fontId="74" fillId="22" borderId="1" pivotButton="0" quotePrefix="0" xfId="0"/>
    <xf numFmtId="170" fontId="75" fillId="22" borderId="1" applyAlignment="1" pivotButton="0" quotePrefix="0" xfId="0">
      <alignment horizontal="right"/>
    </xf>
    <xf numFmtId="9" fontId="74" fillId="22" borderId="1" applyAlignment="1" pivotButton="0" quotePrefix="0" xfId="0">
      <alignment horizontal="center"/>
    </xf>
    <xf numFmtId="170" fontId="74" fillId="22" borderId="1" applyAlignment="1" pivotButton="0" quotePrefix="0" xfId="0">
      <alignment horizontal="right"/>
    </xf>
    <xf numFmtId="0" fontId="57" fillId="22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5" fillId="21" borderId="1" applyAlignment="1" pivotButton="0" quotePrefix="0" xfId="0">
      <alignment horizontal="center"/>
    </xf>
    <xf numFmtId="0" fontId="74" fillId="21" borderId="1" pivotButton="0" quotePrefix="0" xfId="0"/>
    <xf numFmtId="170" fontId="75" fillId="21" borderId="1" applyAlignment="1" pivotButton="0" quotePrefix="0" xfId="0">
      <alignment horizontal="right"/>
    </xf>
    <xf numFmtId="9" fontId="74" fillId="21" borderId="1" applyAlignment="1" pivotButton="0" quotePrefix="0" xfId="0">
      <alignment horizontal="center"/>
    </xf>
    <xf numFmtId="170" fontId="74" fillId="21" borderId="1" applyAlignment="1" pivotButton="0" quotePrefix="0" xfId="0">
      <alignment horizontal="right"/>
    </xf>
    <xf numFmtId="0" fontId="62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58" fillId="21" borderId="1" applyAlignment="1" pivotButton="0" quotePrefix="0" xfId="0">
      <alignment horizontal="center"/>
    </xf>
    <xf numFmtId="0" fontId="45" fillId="10" borderId="0" applyAlignment="1" pivotButton="0" quotePrefix="0" xfId="0">
      <alignment vertical="center" indent="1"/>
    </xf>
    <xf numFmtId="170" fontId="76" fillId="10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23" borderId="1" applyAlignment="1" pivotButton="0" quotePrefix="0" xfId="0">
      <alignment horizontal="center" vertical="center"/>
    </xf>
    <xf numFmtId="0" fontId="84" fillId="14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5" borderId="7" applyAlignment="1" pivotButton="0" quotePrefix="0" xfId="0">
      <alignment horizontal="center" vertical="center"/>
    </xf>
    <xf numFmtId="0" fontId="85" fillId="14" borderId="8" applyAlignment="1" pivotButton="0" quotePrefix="0" xfId="0">
      <alignment horizontal="center" vertical="center"/>
    </xf>
    <xf numFmtId="0" fontId="81" fillId="0" borderId="0" pivotButton="0" quotePrefix="0" xfId="0"/>
    <xf numFmtId="0" fontId="86" fillId="24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vertical="center" wrapText="1"/>
    </xf>
    <xf numFmtId="0" fontId="88" fillId="26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90" fillId="24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horizontal="left" vertical="center" wrapText="1"/>
    </xf>
    <xf numFmtId="0" fontId="87" fillId="27" borderId="0" applyAlignment="1" pivotButton="0" quotePrefix="0" xfId="0">
      <alignment vertical="center" wrapText="1"/>
    </xf>
    <xf numFmtId="0" fontId="91" fillId="28" borderId="0" applyAlignment="1" pivotButton="0" quotePrefix="0" xfId="0">
      <alignment vertical="top" wrapText="1"/>
    </xf>
    <xf numFmtId="0" fontId="86" fillId="29" borderId="0" applyAlignment="1" pivotButton="0" quotePrefix="0" xfId="0">
      <alignment horizontal="left" vertical="center" wrapText="1"/>
    </xf>
    <xf numFmtId="0" fontId="87" fillId="29" borderId="0" applyAlignment="1" pivotButton="0" quotePrefix="0" xfId="0">
      <alignment vertical="center" wrapText="1"/>
    </xf>
    <xf numFmtId="0" fontId="92" fillId="30" borderId="0" applyAlignment="1" pivotButton="0" quotePrefix="0" xfId="0">
      <alignment vertical="top" wrapText="1"/>
    </xf>
    <xf numFmtId="0" fontId="93" fillId="28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86" fillId="31" borderId="0" applyAlignment="1" pivotButton="0" quotePrefix="0" xfId="0">
      <alignment horizontal="left" vertical="center"/>
    </xf>
    <xf numFmtId="0" fontId="87" fillId="31" borderId="0" applyAlignment="1" pivotButton="0" quotePrefix="0" xfId="0">
      <alignment vertical="center" wrapText="1"/>
    </xf>
    <xf numFmtId="0" fontId="95" fillId="32" borderId="0" applyAlignment="1" pivotButton="0" quotePrefix="0" xfId="0">
      <alignment vertical="top" wrapText="1"/>
    </xf>
    <xf numFmtId="0" fontId="96" fillId="33" borderId="0" applyAlignment="1" pivotButton="0" quotePrefix="0" xfId="0">
      <alignment vertical="top" wrapText="1"/>
    </xf>
    <xf numFmtId="0" fontId="86" fillId="34" borderId="0" applyAlignment="1" pivotButton="0" quotePrefix="0" xfId="0">
      <alignment horizontal="left" vertical="center"/>
    </xf>
    <xf numFmtId="0" fontId="87" fillId="34" borderId="0" applyAlignment="1" pivotButton="0" quotePrefix="0" xfId="0">
      <alignment vertical="center" wrapText="1"/>
    </xf>
    <xf numFmtId="0" fontId="97" fillId="33" borderId="0" applyAlignment="1" pivotButton="0" quotePrefix="0" xfId="0">
      <alignment vertical="top" wrapText="1"/>
    </xf>
    <xf numFmtId="0" fontId="86" fillId="35" borderId="0" applyAlignment="1" pivotButton="0" quotePrefix="0" xfId="0">
      <alignment horizontal="left" vertical="center"/>
    </xf>
    <xf numFmtId="0" fontId="87" fillId="35" borderId="0" applyAlignment="1" pivotButton="0" quotePrefix="0" xfId="0">
      <alignment vertical="center" wrapText="1"/>
    </xf>
    <xf numFmtId="0" fontId="98" fillId="36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170" fontId="38" fillId="0" borderId="2" pivotButton="0" quotePrefix="0" xfId="0"/>
    <xf numFmtId="170" fontId="59" fillId="0" borderId="3" pivotButton="0" quotePrefix="0" xfId="0"/>
    <xf numFmtId="170" fontId="62" fillId="0" borderId="1" pivotButton="0" quotePrefix="0" xfId="0"/>
    <xf numFmtId="170" fontId="63" fillId="0" borderId="1" pivotButton="0" quotePrefix="0" xfId="0"/>
    <xf numFmtId="170" fontId="66" fillId="10" borderId="0" pivotButton="0" quotePrefix="0" xfId="0"/>
    <xf numFmtId="170" fontId="67" fillId="10" borderId="0" pivotButton="0" quotePrefix="0" xfId="0"/>
    <xf numFmtId="170" fontId="85" fillId="12" borderId="1" applyAlignment="1" pivotButton="0" quotePrefix="0" xfId="0">
      <alignment horizontal="right"/>
    </xf>
    <xf numFmtId="170" fontId="55" fillId="0" borderId="1" applyAlignment="1" pivotButton="0" quotePrefix="0" xfId="0">
      <alignment horizontal="right"/>
    </xf>
    <xf numFmtId="170" fontId="82" fillId="0" borderId="1" applyAlignment="1" pivotButton="0" quotePrefix="0" xfId="0">
      <alignment horizontal="right"/>
    </xf>
    <xf numFmtId="171" fontId="82" fillId="0" borderId="1" applyAlignment="1" pivotButton="0" quotePrefix="0" xfId="0">
      <alignment horizontal="right"/>
    </xf>
    <xf numFmtId="0" fontId="100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1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555555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Fiyat Farkları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₺ 183.345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"₺ "#,##0;[RED]"(₺ "#,##0\);\-</formatCode>
                <ptCount val="2"/>
                <pt idx="0">
                  <v>160839</v>
                </pt>
                <pt idx="1">
                  <v>138334</v>
                </pt>
              </numCache>
            </numRef>
          </val>
        </ser>
        <gapWidth val="150"/>
        <overlap val="0"/>
        <axId val="46779429"/>
        <axId val="21237802"/>
      </barChart>
      <catAx>
        <axId val="4677942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1237802"/>
        <crosses val="autoZero"/>
        <auto val="1"/>
        <lblAlgn val="ctr"/>
        <lblOffset val="100"/>
        <noMultiLvlLbl val="0"/>
      </catAx>
      <valAx>
        <axId val="2123780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677942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Katsayı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3,5%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SENARYO_DUYARLILIK!$A$13:$A$15</f>
              <strCache>
                <ptCount val="3"/>
                <pt idx="0">
                  <v>İşçilik Endeksi</v>
                </pt>
                <pt idx="1">
                  <v>Malzeme Endeksi</v>
                </pt>
                <pt idx="2">
                  <v>b Ağırlığı</v>
                </pt>
              </strCache>
            </strRef>
          </cat>
          <val>
            <numRef>
              <f>SENARYO_DUYARLILIK!$G$14:$G$15</f>
              <numCache>
                <formatCode>0.0%;[RED]\(0.0%\);\-</formatCode>
                <ptCount val="2"/>
                <pt idx="0">
                  <v>0.0350000000000001</v>
                </pt>
                <pt idx="1">
                  <v>0.106666666666667</v>
                </pt>
              </numCache>
            </numRef>
          </val>
        </ser>
        <gapWidth val="150"/>
        <overlap val="0"/>
        <axId val="30019248"/>
        <axId val="610201"/>
      </barChart>
      <catAx>
        <axId val="3001924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10201"/>
        <crosses val="autoZero"/>
        <auto val="1"/>
        <lblAlgn val="ctr"/>
        <lblOffset val="100"/>
        <noMultiLvlLbl val="0"/>
      </catAx>
      <valAx>
        <axId val="6102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001924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Hak Kaybı Oranları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SENARYO_DUYARLILIK!F7</f>
              <strCache>
                <ptCount val="1"/>
                <pt idx="0">
                  <v>4,0%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SENARYO_DUYARLILIK!$F$8:$F$9</f>
              <numCache>
                <formatCode>0.0%;[RED]\(0.0%\);\-</formatCode>
                <ptCount val="2"/>
                <pt idx="0">
                  <v>0.0346021690110598</v>
                </pt>
                <pt idx="1">
                  <v>0.0294118436594008</v>
                </pt>
              </numCache>
            </numRef>
          </val>
        </ser>
        <gapWidth val="150"/>
        <overlap val="0"/>
        <axId val="19955192"/>
        <axId val="94341331"/>
      </barChart>
      <catAx>
        <axId val="1995519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4341331"/>
        <crosses val="autoZero"/>
        <auto val="1"/>
        <lblAlgn val="ctr"/>
        <lblOffset val="100"/>
        <noMultiLvlLbl val="0"/>
      </catAx>
      <valAx>
        <axId val="9434133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995519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Sözleşme Adı | Neden önemli: Fiyat farkı katsayısı ve hak kaybı hesabını doğrudan etkiler | Doğru giriş: İşin adı | Örnek: Örnek: Okul İnşaatı | Yanlışsa: Fiyat farkı ve hak kaybı bozulur</t>
      </text>
    </comment>
    <comment ref="B5" authorId="0" shapeId="0">
      <text>
        <t>Tanım: İşveren | Neden önemli: Fiyat farkı katsayısı ve hak kaybı hesabını doğrudan etkiler | Doğru giriş: İşi ihale eden kurum | Örnek: Örnek: İl Milli Eğitim Müdürlüğü | Yanlışsa: Fiyat farkı ve hak kaybı bozulur</t>
      </text>
    </comment>
    <comment ref="B6" authorId="0" shapeId="0">
      <text>
        <t>Tanım: Yüklenici | Neden önemli: Fiyat farkı katsayısı ve hak kaybı hesabını doğrudan etkiler | Doğru giriş: Yüklenici firma adı | Örnek: Örnek: Yapı A A.Ş. | Yanlışsa: Fiyat farkı ve hak kaybı bozulur</t>
      </text>
    </comment>
    <comment ref="B7" authorId="0" shapeId="0">
      <text>
        <t>Tanım: Sözleşme Tarihi | Neden önemli: Fiyat farkı katsayısı ve hak kaybı hesabını doğrudan etkiler | Doğru giriş: Sözleşmenin imzalandığı tarih | Örnek: Örnek: 15.01.2026 | Yanlışsa: Fiyat farkı ve hak kaybı bozulur</t>
      </text>
    </comment>
    <comment ref="B8" authorId="0" shapeId="0">
      <text>
        <t>Tanım: Sözleşme Bedeli (₺) | Neden önemli: Fiyat farkı katsayısı ve hak kaybı hesabını doğrudan etkiler | Doğru giriş: KDV hariç sözleşme bedeli | Örnek: Örnek: 8500000 | Yanlışsa: Fiyat farkı ve hak kaybı bozulur</t>
      </text>
    </comment>
    <comment ref="B9" authorId="0" shapeId="0">
      <text>
        <t>Tanım: a (Sabit Ağırlık) | Neden önemli: Fiyat farkı katsayısı ve hak kaybı hesabını doğrudan etkiler | Doğru giriş: Fiyat farkı formülündeki sabit ağırlık | Örnek: Örnek: 0,20 | Yanlışsa: Fiyat farkı ve hak kaybı bozulur</t>
      </text>
    </comment>
    <comment ref="B10" authorId="0" shapeId="0">
      <text>
        <t>Tanım: b (İşçilik Ağırlığı) | Neden önemli: Fiyat farkı katsayısı ve hak kaybı hesabını doğrudan etkiler | Doğru giriş: İşçilik endeksi ağırlığı | Örnek: Örnek: 0,35 | Yanlışsa: Fiyat farkı ve hak kaybı bozulur</t>
      </text>
    </comment>
    <comment ref="B11" authorId="0" shapeId="0">
      <text>
        <t>Tanım: c (Malzeme Ağırlığı) | Neden önemli: Fiyat farkı katsayısı ve hak kaybı hesabını doğrudan etkiler | Doğru giriş: Malzeme endeksi ağırlığı | Örnek: Örnek: 0,35 | Yanlışsa: Fiyat farkı ve hak kaybı bozulur</t>
      </text>
    </comment>
    <comment ref="B12" authorId="0" shapeId="0">
      <text>
        <t>Tanım: d (Makine Ağırlığı) | Neden önemli: Fiyat farkı katsayısı ve hak kaybı hesabını doğrudan etkiler | Doğru giriş: Makine/ekipman endeksi ağırlığı | Örnek: Örnek: 0,10 | Yanlışsa: Fiyat farkı ve hak kaybı bozulur</t>
      </text>
    </comment>
    <comment ref="B13" authorId="0" shapeId="0">
      <text>
        <t>Tanım: Fiyat Farkı Maddesi | Neden önemli: Fiyat farkı katsayısı ve hak kaybı hesabını doğrudan etkiler | Doğru giriş: Sözleşmede fiyat farkı maddesi var mı? | Örnek: Evet / Hayır | Yanlışsa: Fiyat farkı ve hak kaybı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İşçilik Endeks Oranı (Gk/G0) | Neden önemli: İşçilik endeksinin dönem/temel değişim oranı. | Doğru giriş: Otomatik hesaplanır, değiştirmeyin | Yanlışsa: Fiyat farkı ve hak kaybı kararı bozulur</t>
      </text>
    </comment>
    <comment ref="B7" authorId="0" shapeId="0">
      <text>
        <t>Tanım: Malzeme Endeks Oranı (Bk/B0) | Neden önemli: Malzeme endeksinin dönem/temel değişim oranı. | Doğru giriş: Otomatik hesaplanır, değiştirmeyin | Yanlışsa: Fiyat farkı ve hak kaybı kararı bozulur</t>
      </text>
    </comment>
    <comment ref="B8" authorId="0" shapeId="0">
      <text>
        <t>Tanım: Makine Endeks Oranı (Yk/Y0) | Neden önemli: Makine endeksinin dönem/temel değişim oranı. | Doğru giriş: Otomatik hesaplanır, değiştirmeyin | Yanlışsa: Fiyat farkı ve hak kaybı kararı bozulur</t>
      </text>
    </comment>
    <comment ref="B9" authorId="0" shapeId="0">
      <text>
        <t>Tanım: Ağırlık Toplamı (a+b+c+d) | Neden önemli: Formül ağırlıklarının toplamı; 1 olmalıdır. | Doğru giriş: Otomatik hesaplanır, değiştirmeyin | Yanlışsa: Fiyat farkı ve hak kaybı kararı bozulur</t>
      </text>
    </comment>
    <comment ref="B10" authorId="0" shapeId="0">
      <text>
        <t>Tanım: Fiyat Farkı Katsayısı (F) | Neden önemli: F = a + b×(Gk/G0) + c×(Bk/B0) + d×(Yk/Y0) - 1. | Doğru giriş: Otomatik hesaplanır, değiştirmeyin | Yanlışsa: Fiyat farkı ve hak kaybı kararı bozulur</t>
      </text>
    </comment>
    <comment ref="B11" authorId="0" shapeId="0">
      <text>
        <t>Tanım: Dönem Fiyat Farkı Tutarı | Neden önemli: Son hakediş döneminin fiyat farkı. | Doğru giriş: Otomatik hesaplanır, değiştirmeyin | Yanlışsa: Fiyat farkı ve hak kaybı kararı bozulur</t>
      </text>
    </comment>
    <comment ref="B12" authorId="0" shapeId="0">
      <text>
        <t>Tanım: Birikimli Fiyat Farkı | Neden önemli: Tüm dönemlerin fiyat farkı toplamı (katsayı sabit varsayımı). | Doğru giriş: Otomatik hesaplanır, değiştirmeyin | Yanlışsa: Fiyat farkı ve hak kaybı kararı bozulur</t>
      </text>
    </comment>
    <comment ref="B13" authorId="0" shapeId="0">
      <text>
        <t>Tanım: Hakediş Kalemleri Toplamı | Neden önemli: Kalem bazında hakediş toplamı. | Doğru giriş: Otomatik hesaplanır, değiştirmeyin | Yanlışsa: Fiyat farkı ve hak kaybı kararı bozulur</t>
      </text>
    </comment>
    <comment ref="B14" authorId="0" shapeId="0">
      <text>
        <t>Tanım: Piyasa Kalem Toplamı | Neden önemli: Kalem bazında piyasa toplamı. | Doğru giriş: Otomatik hesaplanır, değiştirmeyin | Yanlışsa: Fiyat farkı ve hak kaybı kararı bozulur</t>
      </text>
    </comment>
    <comment ref="B15" authorId="0" shapeId="0">
      <text>
        <t>Tanım: Toplam Hak Kaybı | Neden önemli: Piyasa ile hakediş arasındaki fark. | Doğru giriş: Otomatik hesaplanır, değiştirmeyin | Yanlışsa: Fiyat farkı ve hak kaybı kararı bozulur</t>
      </text>
    </comment>
    <comment ref="B16" authorId="0" shapeId="0">
      <text>
        <t>Tanım: Hak Kaybı Oranı | Neden önemli: Hak kaybının hakedişe oranı. | Doğru giriş: Otomatik hesaplanır, değiştirmeyin | Yanlışsa: Fiyat farkı ve hak kaybı kararı bozulur</t>
      </text>
    </comment>
    <comment ref="B17" authorId="0" shapeId="0">
      <text>
        <t>Tanım: Kayıp Durumu | Neden önemli: Hak kaybı seviye etiketi. | Doğru giriş: Otomatik hesaplanır, değiştirmeyin | Yanlışsa: Fiyat farkı ve hak kaybı kararı bozulur</t>
      </text>
    </comment>
    <comment ref="B18" authorId="0" shapeId="0">
      <text>
        <t>Tanım: Endeks Ortalama Değişim | Neden önemli: Tüm endekslerin ortalama değişimi. | Doğru giriş: Otomatik hesaplanır, değiştirmeyin | Yanlışsa: Fiyat farkı ve hak kaybı kararı bozulur</t>
      </text>
    </comment>
    <comment ref="B19" authorId="0" shapeId="0">
      <text>
        <t>Tanım: Endeks Projeksiyonu (Sonraki Dönem) | Neden önemli: Endeks trendinden bir sonraki dönem tahmini. | Doğru giriş: Otomatik hesaplanır, değiştirmeyin | Yanlışsa: Fiyat farkı ve hak kaybı kararı bozulur</t>
      </text>
    </comment>
    <comment ref="B20" authorId="0" shapeId="0">
      <text>
        <t>Tanım: Tahmin Alt Sınırı | Neden önemli: Tahmin aralığı alt sınırı. | Doğru giriş: Otomatik hesaplanır, değiştirmeyin | Yanlışsa: Fiyat farkı ve hak kaybı kararı bozulur</t>
      </text>
    </comment>
    <comment ref="B21" authorId="0" shapeId="0">
      <text>
        <t>Tanım: Tahmin Üst Sınırı | Neden önemli: Tahmin aralığı üst sınırı. | Doğru giriş: Otomatik hesaplanır, değiştirmeyin | Yanlışsa: Fiyat farkı ve hak kaybı kararı bozulur</t>
      </text>
    </comment>
    <comment ref="B22" authorId="0" shapeId="0">
      <text>
        <t>Tanım: Anomali Endeks Adedi | Neden önemli: Ortalamadan |Z|&gt;eşik sapan endeks sayısı. | Doğru giriş: Otomatik hesaplanır, değiştirmeyin | Yanlışsa: Fiyat farkı ve hak kaybı kararı bozulur</t>
      </text>
    </comment>
    <comment ref="B24" authorId="0" shapeId="0">
      <text>
        <t>Tanım: Modül T2: Endeks Eğilimi (dönem başı) | Neden önemli: Endeks değerlerinin dönem başına değişim eğilimi. | Doğru giriş: Otomatik hesaplanır, değiştirmeyin | Yanlışsa: Modül yorumu bozulur</t>
      </text>
    </comment>
    <comment ref="B25" authorId="0" shapeId="0">
      <text>
        <t>Tanım: Modül T3: En Büyük Kalem Kaybının Payı | Neden önemli: Toplam kaybın tek kalemde yoğunlaşma oranı. | Doğru giriş: Otomatik hesaplanır, değiştirmeyin | Yanlışsa: Modül yorumu bozulur</t>
      </text>
    </comment>
    <comment ref="B26" authorId="0" shapeId="0">
      <text>
        <t>Tanım: Modül T5: Kalem-Piyasa Mutabakat Farkı | Neden önemli: Kalem toplamı ile dönem hakedişi arasındaki fark. | Doğru giriş: Otomatik hesaplanır, değiştirmeyin | Yanlışsa: Modül yorumu bozulur</t>
      </text>
    </comment>
    <comment ref="B27" authorId="0" shapeId="0">
      <text>
        <t>Tanım: Modül T6: Kayıp Kırılım Oranı | Neden önemli: Mevcut kayıp oranının dikkat eşiğine oranı. | Doğru giriş: Otomatik hesaplanır, değiştirmeyin | Yanlışsa: Modül yorumu bozulur</t>
      </text>
    </comment>
    <comment ref="B28" authorId="0" shapeId="0">
      <text>
        <t>Tanım: Modül O1: Anomali Endeks Sayısı | Neden önemli: |Z| eşiğini aşan endeks hareketi sayısı. | Doğru giriş: Otomatik hesaplanır, değiştirmeyin | Yanlışsa: Modül yorumu bozulur</t>
      </text>
    </comment>
    <comment ref="B29" authorId="0" shapeId="0">
      <text>
        <t>Tanım: Modül O2: En Etkili Değişken (Tornado) | Neden önemli: Fiyat farkı katsayısını en çok etkileyen değişken. | Doğru giriş: Otomatik hesaplanır, değiştirmeyin | Yanlışsa: Modül yorumu bozulur</t>
      </text>
    </comment>
    <comment ref="B30" authorId="0" shapeId="0">
      <text>
        <t>Tanım: Modül O3: Baz Senaryo Katsayısı | Neden önemli: Baz senaryoda hesaplanan fiyat farkı katsayısı. | Doğru giriş: Otomatik hesaplanır, değiştirmeyin | Yanlışsa: Modül yorumu bozulur</t>
      </text>
    </comment>
    <comment ref="B31" authorId="0" shapeId="0">
      <text>
        <t>Tanım: Modül O4: Ortalama Geç Ödeme Günü | Neden önemli: Dönem ödemelerinin ortalama gecikme süresi (gün). | Doğru giriş: Otomatik hesaplanır, değiştirmeyin | Yanlışsa: Modül yorumu bozulur</t>
      </text>
    </comment>
    <comment ref="B32" authorId="0" shapeId="0">
      <text>
        <t>Tanım: Modül O8: Veri Kalite Skoru | Neden önemli: Giriş kalitesi skoru. | Doğru giriş: Otomatik hesaplanır, değiştirmeyin | Yanlışsa: Modül yorumu bozulur</t>
      </text>
    </comment>
    <comment ref="B33" authorId="0" shapeId="0">
      <text>
        <t>Tanım: Modül I1: Tahmin Orta Noktası | Neden önemli: Endeks trendinden bir sonraki dönem projeksiyonu. | Doğru giriş: Otomatik hesaplanır, değiştirmeyin | Yanlışsa: Modül yorumu bozulur</t>
      </text>
    </comment>
    <comment ref="B34" authorId="0" shapeId="0">
      <text>
        <t>Tanım: Modül I2: Endeks P90 | Neden önemli: Dönem endekslerinin yüzde 90 alt sınırı. | Doğru giriş: Otomatik hesaplanır, değiştirmeyin | Yanlışsa: Modül yorumu bozulur</t>
      </text>
    </comment>
    <comment ref="B35" authorId="0" shapeId="0">
      <text>
        <t>Tanım: Modül I7: Geç Ödeme Kaynaklı Nakit Açığı | Neden önemli: Eşik üstü gecikmenin tahmini finansman maliyeti. | Doğru giriş: Otomatik hesaplanır, değiştirmeyin | Yanlışsa: Modül yorumu bozulur</t>
      </text>
    </comment>
    <comment ref="B36" authorId="0" shapeId="0">
      <text>
        <t>Tanım: Değer Ölçer: Toplam Kazanım | Neden önemli: Birikimli fiyat farkı ve hak kaybı telafi potansiyeli toplamı. | Doğru giriş: Otomatik hesaplanır, değiştirmeyin | Yanlışsa: Modül yorumu bozulur</t>
      </text>
    </comment>
    <comment ref="B37" authorId="0" shapeId="0">
      <text>
        <t>Tanım: Değer Ölçer: Kazanım Oranı | Neden önemli: Kazanımın sözleşme bedeline oranı. | Doğru giriş: Otomatik hesaplanır, değiştirmeyin | Yanlışsa: Modül yorumu bozulur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Sözleşme Adı Boş | Neden önemli: Sözleşme kartında ad girilmemiş. | Sonuç: PASS/WARN/FAIL otomatik</t>
      </text>
    </comment>
    <comment ref="B8" authorId="0" shapeId="0">
      <text>
        <t>Tanım: Sözleşme Bedeli Boş/Sıfır | Neden önemli: Sözleşme bedeli girilmemiş. | Sonuç: PASS/WARN/FAIL otomatik</t>
      </text>
    </comment>
    <comment ref="B9" authorId="0" shapeId="0">
      <text>
        <t>Tanım: Ağırlık Toplamı ≠ 1 | Neden önemli: a+b+c+d toplamı 1 değil. | Sonuç: PASS/WARN/FAIL otomatik</t>
      </text>
    </comment>
    <comment ref="B10" authorId="0" shapeId="0">
      <text>
        <t>Tanım: Fiyat Farkı Maddesi Boş | Neden önemli: Fiyat farkı maddesi seçilmemiş. | Sonuç: PASS/WARN/FAIL otomatik</t>
      </text>
    </comment>
    <comment ref="B11" authorId="0" shapeId="0">
      <text>
        <t>Tanım: Endeks Kaydı Yok | Neden önemli: Endeks değeri girilmemiş. | Sonuç: PASS/WARN/FAIL otomatik</t>
      </text>
    </comment>
    <comment ref="B12" authorId="0" shapeId="0">
      <text>
        <t>Tanım: Hakediş Kalemi Yok | Neden önemli: Hakediş kalemi girilmemiş. | Sonuç: PASS/WARN/FAIL otomatik</t>
      </text>
    </comment>
    <comment ref="B13" authorId="0" shapeId="0">
      <text>
        <t>Tanım: Hak Kaybı Dikkat | Neden önemli: Hak kaybı yüksek. | Sonuç: PASS/WARN/FAIL otomatik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Açıklamaya bakın | Yanlışsa: Tüm hesaplamalar etkilenir</t>
      </text>
    </comment>
    <comment ref="C7" authorId="0" shapeId="0">
      <text>
        <t>Tanım: raporTarihi | Neden önemli: Dosyadaki tek tarih kaynağı; tüm rapor tarihleri buradan okunur. | Doğru giriş: Otomatik bugünün tarihidir | Örnek: 09.08.2026 | Yanlışsa: Tüm rapor tarihleri etkilenir</t>
      </text>
    </comment>
    <comment ref="C8" authorId="0" shapeId="0">
      <text>
        <t>Tanım: KayipEsikOran | Neden önemli: Hak kaybı oranı normal eşiği; altı kabul edilebilir kabul edilir. | Doğru giriş: Açıklamaya uygun değer | Örnek: Açıklamaya bakın | Yanlışsa: Tüm hesaplamalar etkilenir</t>
      </text>
    </comment>
    <comment ref="C9" authorId="0" shapeId="0">
      <text>
        <t>Tanım: KayipDikkatOran | Neden önemli: Hak kaybı oranı dikkat eşiği; üzeri kritik kabul edilir. | Doğru giriş: Açıklamaya uygun değer | Örnek: Açıklamaya bakın | Yanlışsa: Tüm hesaplamalar etkilenir</t>
      </text>
    </comment>
    <comment ref="C10" authorId="0" shapeId="0">
      <text>
        <t>Tanım: AgirlikTolerans | Neden önemli: Ağırlık toplamı (a+b+c+d) kabul toleransı. | Doğru giriş: Açıklamaya uygun değer | Örnek: Açıklamaya bakın | Yanlışsa: Tüm hesaplamalar etkilenir</t>
      </text>
    </comment>
    <comment ref="C11" authorId="0" shapeId="0">
      <text>
        <t>Tanım: MutabakatTolerans | Neden önemli: Kalem toplamı ile dönem hakedişi arası kabul toleransı (₺). | Doğru giriş: Açıklamaya uygun değer | Örnek: Açıklamaya bakın | Yanlışsa: Tüm hesaplamalar etkilenir</t>
      </text>
    </comment>
    <comment ref="C12" authorId="0" shapeId="0">
      <text>
        <t>Tanım: AnomaliZEsik | Neden önemli: Endeks değişimlerinde |Z| eşiği. | Doğru giriş: Açıklamaya uygun değer | Örnek: Açıklamaya bakın | Yanlışsa: Tüm hesaplamalar etkilenir</t>
      </text>
    </comment>
    <comment ref="C13" authorId="0" shapeId="0">
      <text>
        <t>Tanım: VeriKaliteIyiEsik | Neden önemli: Kalite skoru iyi eşiği. | Doğru giriş: Açıklamaya uygun değer | Örnek: Açıklamaya bakın | Yanlışsa: Tüm hesaplamalar etkilenir</t>
      </text>
    </comment>
    <comment ref="C14" authorId="0" shapeId="0">
      <text>
        <t>Tanım: VeriKaliteOrtaEsik | Neden önemli: Kalite skoru orta eşiği. | Doğru giriş: Açıklamaya uygun değer | Örnek: Açıklamaya bakın | Yanlışsa: Tüm hesaplamalar etkilenir</t>
      </text>
    </comment>
    <comment ref="C15" authorId="0" shapeId="0">
      <text>
        <t>Tanım: VeriKaliteUyariCeza | Neden önemli: Her WARN için skor cezası. | Doğru giriş: Açıklamaya uygun değer | Örnek: Açıklamaya bakın | Yanlışsa: Tüm hesaplamalar etkilenir</t>
      </text>
    </comment>
    <comment ref="C16" authorId="0" shapeId="0">
      <text>
        <t>Tanım: SenaryoKotumserKat | Neden önemli: Kötümser senaryoda endeks değişimine eklenen artış oranı. | Doğru giriş: Açıklamaya uygun değer | Örnek: Açıklamaya bakın | Yanlışsa: Tüm hesaplamalar etkilenir</t>
      </text>
    </comment>
    <comment ref="C17" authorId="0" shapeId="0">
      <text>
        <t>Tanım: SenaryoIyimserKat | Neden önemli: İyimser senaryoda endeks değişiminden düşülen azalış oranı. | Doğru giriş: Açıklamaya uygun değer | Örnek: Açıklamaya bakın | Yanlışsa: Tüm hesaplamalar etkilenir</t>
      </text>
    </comment>
    <comment ref="C18" authorId="0" shapeId="0">
      <text>
        <t>Tanım: DuyarliDegisim | Neden önemli: Tornado analizinde değişim oranı. | Doğru giriş: Açıklamaya uygun değer | Örnek: Açıklamaya bakın | Yanlışsa: Tüm hesaplamalar etkilenir</t>
      </text>
    </comment>
    <comment ref="C19" authorId="0" shapeId="0">
      <text>
        <t>Tanım: ParetoEsikOran | Neden önemli: Kayıp yoğunlaşması yüksek kabul eşiği. | Doğru giriş: Açıklamaya uygun değer | Örnek: Açıklamaya bakın | Yanlışsa: Tüm hesaplamalar etkilenir</t>
      </text>
    </comment>
    <comment ref="C20" authorId="0" shapeId="0">
      <text>
        <t>Tanım: P90Kuantil | Neden önemli: Yüzdelik dağılım analizinde P90 kuantil değeri. | Doğru giriş: Açıklamaya uygun değer | Örnek: Açıklamaya bakın | Yanlışsa: Tüm hesaplamalar etkilenir</t>
      </text>
    </comment>
    <comment ref="C21" authorId="0" shapeId="0">
      <text>
        <t>Tanım: EndeksBantOrani | Neden önemli: Tahmin aralığı bant oranı. | Doğru giriş: Açıklamaya uygun değer | Örnek: Açıklamaya bakın | Yanlışsa: Tüm hesaplamalar etkilenir</t>
      </text>
    </comment>
    <comment ref="C22" authorId="0" shapeId="0">
      <text>
        <t>Tanım: ODemeGecikmeEsik | Neden önemli: Geç ödeme eşiği (gün); üzeri gecikme kaynaklı maliyet doğurur. | Doğru giriş: Açıklamaya uygun değer | Örnek: Açıklamaya bakın | Yanlışsa: Tüm hesaplamalar etkilenir</t>
      </text>
    </comment>
    <comment ref="C23" authorId="0" shapeId="0">
      <text>
        <t>Tanım: KayipOraniEsik | Neden önemli: Dönem hak kaybı tahmini oranı. | Doğru giriş: Açıklamaya uygun değer | Örnek: Açıklamaya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38880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38880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lem" displayName="tblKalem" ref="A5:H1004" headerRowCount="1" totalsRowCount="0" totalsRowShown="0">
  <tableColumns count="8">
    <tableColumn id="1" name="Kalem Adı"/>
    <tableColumn id="2" name="Birim"/>
    <tableColumn id="3" name="Hakediş Miktarı"/>
    <tableColumn id="4" name="Sözleşme Birim Fiyatı (₺)"/>
    <tableColumn id="5" name="Hakediş Tutarı (₺)">
      <calculatedColumnFormula>=IF(OR($A6="",$C6="",$D6=""),"",$C6*$D6)</calculatedColumnFormula>
    </tableColumn>
    <tableColumn id="6" name="Piyasa Birim Fiyatı (₺)"/>
    <tableColumn id="7" name="Piyasa Tutarı (₺)">
      <calculatedColumnFormula>=IF(OR($A6="",$C6="",$F6=""),"",$C6*$F6)</calculatedColumnFormula>
    </tableColumn>
    <tableColumn id="8" name="Kayıp (₺)">
      <calculatedColumnFormula>=IF(OR($A6="",$E6="",$G6=""),"",$G6-$E6)</calculatedColumnFormula>
    </tableColumn>
  </tableColumns>
</table>
</file>

<file path=xl/tables/table2.xml><?xml version="1.0" encoding="utf-8"?>
<table xmlns="http://schemas.openxmlformats.org/spreadsheetml/2006/main" id="2" name="tblEndeks" displayName="tblEndeks" ref="A5:E1004" headerRowCount="1" totalsRowCount="0" totalsRowShown="0">
  <tableColumns count="5">
    <tableColumn id="1" name="Endeks Adı"/>
    <tableColumn id="2" name="Ağırlık"/>
    <tableColumn id="3" name="Temel Endeks"/>
    <tableColumn id="4" name="Dönem Endeksi"/>
    <tableColumn id="5" name="Değişim Oranı">
      <calculatedColumnFormula>=IF(OR($A6="",$C6="",$D6=""),"",IF($C6=0,0,($D6-$C6)/$C6))</calculatedColumnFormula>
    </tableColumn>
  </tableColumns>
</table>
</file>

<file path=xl/tables/table3.xml><?xml version="1.0" encoding="utf-8"?>
<table xmlns="http://schemas.openxmlformats.org/spreadsheetml/2006/main" id="3" name="tblDonem" displayName="tblDonem" ref="A5:G1004" headerRowCount="1" totalsRowCount="0" totalsRowShown="0">
  <tableColumns count="7">
    <tableColumn id="1" name="Dönem Numarası"/>
    <tableColumn id="2" name="Dönem Adı"/>
    <tableColumn id="3" name="Hakediş Tutarı (₺)"/>
    <tableColumn id="4" name="Ödeme Tarihi"/>
    <tableColumn id="5" name="Birikimli Hakediş (₺)">
      <calculatedColumnFormula>=IF(OR($A6="",$C6=""),"",SUM($C$6:$C6))</calculatedColumnFormula>
    </tableColumn>
    <tableColumn id="6" name="Geç Ödeme Gün">
      <calculatedColumnFormula>=IF(OR($D6="",$C6=""),"",IF(ODemeGecikmeEsik=0,0,MAX(0,$D6-raporTarihi)))</calculatedColumnFormula>
    </tableColumn>
    <tableColumn id="7" name="Hak Kaybı (₺)">
      <calculatedColumnFormula>=IF(OR($C6="",$E6=""),"",$C6*KayipOraniEsik)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83" min="1" max="1"/>
    <col width="147.5" customWidth="1" style="83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EXCELARŞİV KARAR SİSTEMİ v15.1 — ÜRETİM REFERANSI</t>
        </is>
      </c>
    </row>
    <row r="2"/>
    <row r="3" ht="24" customHeight="1" s="83">
      <c r="A3" s="263" t="inlineStr">
        <is>
          <t>Konu</t>
        </is>
      </c>
      <c r="B3" s="263" t="inlineStr">
        <is>
          <t>Bağlayıcı Standart</t>
        </is>
      </c>
    </row>
    <row r="4">
      <c r="A4" s="264" t="inlineStr">
        <is>
          <t>Amaç</t>
        </is>
      </c>
      <c r="B4" s="265" t="inlineStr">
        <is>
          <t>Kanıta dayalı, hatada kapalı çalışan Excel üretim ve denetim sistemi</t>
        </is>
      </c>
    </row>
    <row r="5">
      <c r="A5" s="264" t="inlineStr">
        <is>
          <t>Öncelik</t>
        </is>
      </c>
      <c r="B5" s="265" t="inlineStr">
        <is>
          <t>Kullanıcının açık iş talebi ve gerçek kullanım senaryosu</t>
        </is>
      </c>
    </row>
    <row r="6">
      <c r="A6" s="264" t="inlineStr">
        <is>
          <t>Ana akış</t>
        </is>
      </c>
      <c r="B6" s="265" t="inlineStr">
        <is>
          <t>Uygunluk → Yönetişim → Sözleşmeler → Üretim → Test → Kanıt → Kullanıcı Kabulü → Yayın</t>
        </is>
      </c>
    </row>
    <row r="7">
      <c r="A7" s="264" t="inlineStr">
        <is>
          <t>Yayın ilkesi</t>
        </is>
      </c>
      <c r="B7" s="265" t="inlineStr">
        <is>
          <t>Üst aşamada hata varsa alt aşama GEÇTİ üretilemez</t>
        </is>
      </c>
    </row>
    <row r="8">
      <c r="A8" s="264" t="inlineStr">
        <is>
          <t>Kullanıcı kabulü</t>
        </is>
      </c>
      <c r="B8" s="265" t="inlineStr">
        <is>
          <t>Excel masaüstü görünümü test edilmediyse DIŞ_KABUL_GEREKLİ</t>
        </is>
      </c>
    </row>
    <row r="9">
      <c r="A9" s="264" t="inlineStr">
        <is>
          <t>Nihai yayın</t>
        </is>
      </c>
      <c r="B9" s="265" t="inlineStr">
        <is>
          <t>Yalnız uygulanabilir modüller GEÇTİ veya gerekçeli UYGULANMAZ</t>
        </is>
      </c>
    </row>
    <row r="10">
      <c r="A10" s="264" t="inlineStr">
        <is>
          <t>Ticari ayrım</t>
        </is>
      </c>
      <c r="B10" s="265" t="inlineStr">
        <is>
          <t>Ekonomik olarak savunulabilir fiyat, gerçek pazar kabulü ile aynı değildir</t>
        </is>
      </c>
    </row>
    <row r="11">
      <c r="A11" s="264" t="inlineStr">
        <is>
          <t>Karmaşıklık</t>
        </is>
      </c>
      <c r="B11" s="265" t="inlineStr">
        <is>
          <t>Karar değeri, eklenen karmaşıklığın maliyetinden büyük olmalıdır</t>
        </is>
      </c>
    </row>
    <row r="12">
      <c r="A12" s="264" t="inlineStr">
        <is>
          <t>Excel sınırı</t>
        </is>
      </c>
      <c r="B12" s="265" t="inlineStr">
        <is>
          <t>Veritabanı, kurumsal yetkilendirme, değiştirilemez kayıt sistemi veya gerçek zamanlı olay platformu değildir</t>
        </is>
      </c>
    </row>
    <row r="13">
      <c r="A13" s="264" t="inlineStr">
        <is>
          <t>Dil standardı</t>
        </is>
      </c>
      <c r="B13" s="265" t="inlineStr">
        <is>
          <t>Kullanıcıya görünen tüm sayfa, tablo, başlık, açıklama, uyarı ve karar metinleri saf Türkçe olmalıdır</t>
        </is>
      </c>
    </row>
    <row r="14">
      <c r="A14" s="264" t="inlineStr">
        <is>
          <t>Muhasebe standardı</t>
        </is>
      </c>
      <c r="B14" s="265" t="inlineStr">
        <is>
          <t>Finansal ürünlerde Türkiye Tekdüzen Hesap Planı ve Türk muhasebe kullanım alışkanlıkları esas alınır</t>
        </is>
      </c>
    </row>
    <row r="15">
      <c r="A15" s="264" t="inlineStr">
        <is>
          <t>Görsel standart</t>
        </is>
      </c>
      <c r="B15" s="265" t="inlineStr">
        <is>
          <t>Her sayfa başlıklı, renk kodlu, sıkı kolon düzenli ve premium kurumsal görünümde olmalıdır</t>
        </is>
      </c>
    </row>
    <row r="16">
      <c r="A16" s="264" t="inlineStr">
        <is>
          <t>Grafik standardı</t>
        </is>
      </c>
      <c r="B16" s="265" t="inlineStr">
        <is>
          <t>Grafikler karar üretmeli; dekoratif, 3B, anlamsız renkli veya varsayılan Excel grafiği kullanılamaz</t>
        </is>
      </c>
    </row>
    <row r="17">
      <c r="A17" s="264" t="inlineStr">
        <is>
          <t>Hata standardı</t>
        </is>
      </c>
      <c r="B17" s="265" t="inlineStr">
        <is>
          <t>#AD? / #BAŞV! / #DEĞER! / #SAYI/0! / #YOK gibi hatalar GEÇTİ sonucuyla birlikte bulunamaz</t>
        </is>
      </c>
    </row>
    <row r="18">
      <c r="A18" s="264" t="inlineStr">
        <is>
          <t>Karar standardı</t>
        </is>
      </c>
      <c r="B18" s="265" t="inlineStr">
        <is>
          <t>Her kritik çıktı: ne oldu, neden oldu, parasal etki, ne yapılmalı, ne zamana kadar sorularını cevaplar</t>
        </is>
      </c>
    </row>
    <row r="19">
      <c r="A19" s="264" t="inlineStr">
        <is>
          <t>Satış standardı</t>
        </is>
      </c>
      <c r="B19" s="265" t="inlineStr">
        <is>
          <t>Ürün 5 saniyede anlaşılmalı; pahalı problemi, ekonomik sonucu, kanıtı ve satın alma gerekçesini göstermelidir</t>
        </is>
      </c>
    </row>
    <row r="20">
      <c r="A20" s="264" t="inlineStr">
        <is>
          <t>Güven standardı</t>
        </is>
      </c>
      <c r="B20" s="265" t="inlineStr">
        <is>
          <t>Kanıtsız 'premium', 'kusursuz', 'sıfır hata' veya yüksek fiyat iddiası kullanılamaz</t>
        </is>
      </c>
    </row>
    <row r="21">
      <c r="A21" s="264" t="inlineStr">
        <is>
          <t>Kaynak</t>
        </is>
      </c>
      <c r="B21" s="265" t="inlineStr">
        <is>
          <t>Teknik Python çekirdeği 99_TEKNIK_KAYNAK sayfasında saklanır; kullanıcı arayüzü değildir</t>
        </is>
      </c>
    </row>
    <row r="22">
      <c r="A22" s="264" t="inlineStr">
        <is>
          <t>Bağlayıcı standart</t>
        </is>
      </c>
      <c r="B22" s="265" t="inlineStr">
        <is>
          <t>Teknik kaynak içindeki üretim sözleşmesi + bu çalışma kitabındaki Türkçe operasyon standartları</t>
        </is>
      </c>
    </row>
    <row r="23">
      <c r="A23" s="264" t="inlineStr">
        <is>
          <t>Çıktı disiplini</t>
        </is>
      </c>
      <c r="B23" s="265" t="inlineStr">
        <is>
          <t>Kanıtsız GEÇTİ / NİHAİ / TİCARİ / PAZAR_DOĞRULANDI statüsü yasaktır</t>
        </is>
      </c>
    </row>
    <row r="24">
      <c r="A24" s="264" t="inlineStr">
        <is>
          <t>Uyarlanabilirlik</t>
        </is>
      </c>
      <c r="B24" s="265" t="inlineStr">
        <is>
          <t>Gereksiz modül yalnız prestij amacıyla eklenmez</t>
        </is>
      </c>
    </row>
    <row r="25"/>
    <row r="26" ht="16" customHeight="1" s="83">
      <c r="A26" s="266" t="inlineStr">
        <is>
          <t>TEK KAYNAK MİMARİSİ</t>
        </is>
      </c>
      <c r="B26" s="266" t="inlineStr">
        <is>
          <t>İKİ DOSYALI / TEK SİSTEM</t>
        </is>
      </c>
    </row>
    <row r="27" ht="28" customHeight="1" s="83">
      <c r="A27" s="265" t="inlineStr">
        <is>
          <t>MASTER Excel</t>
        </is>
      </c>
      <c r="B27" s="26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3">
      <c r="A28" s="265" t="inlineStr">
        <is>
          <t>Runtime Python</t>
        </is>
      </c>
      <c r="B28" s="265" t="inlineStr">
        <is>
          <t>EXCELARSIV_DECISION_OS_V15_1_RUNTIME_KERNEL.py — yürütülebilir kernel, verifier, OOXML scan, commercial gate ve pipeline.</t>
        </is>
      </c>
    </row>
    <row r="29">
      <c r="A29" s="265" t="inlineStr">
        <is>
          <t>Python SHA-256</t>
        </is>
      </c>
      <c r="B29" s="265" t="inlineStr">
        <is>
          <t>babe066ab599199123e53d01944bcd9d75648a579ade69ab9303dd675962f481</t>
        </is>
      </c>
    </row>
    <row r="30">
      <c r="A30" s="265" t="inlineStr">
        <is>
          <t>Sürüm Eşleşmesi</t>
        </is>
      </c>
      <c r="B30" s="265" t="inlineStr">
        <is>
          <t>Her iki dosya v15.1 sistemine aittir. Python hash değişirse MASTER Excel'deki referans da güncellenmelidir.</t>
        </is>
      </c>
    </row>
    <row r="31" ht="28" customHeight="1" s="83">
      <c r="A31" s="265" t="inlineStr">
        <is>
          <t>Sahte PASS Yasağı</t>
        </is>
      </c>
      <c r="B31" s="265" t="inlineStr">
        <is>
          <t>Kanıt yoksa PASS yok; hata=FAIL, ölçülemiyorsa=BLOCKED, Excel GUI gerekiyorsa=HARİCİ KABUL GEREKLİ.</t>
        </is>
      </c>
    </row>
    <row r="32">
      <c r="A32" s="265" t="inlineStr">
        <is>
          <t>Dil</t>
        </is>
      </c>
      <c r="B32" s="265" t="inlineStr">
        <is>
          <t>Kullanıcı yüzeyi safkan Türkçe; teknik kavramların Türkçe karşılığı ana terimdir.</t>
        </is>
      </c>
    </row>
    <row r="33">
      <c r="A33" s="265" t="inlineStr">
        <is>
          <t>Muhasebe</t>
        </is>
      </c>
      <c r="B33" s="26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83" min="1" max="1"/>
    <col width="75.5" customWidth="1" style="83" min="2" max="2"/>
    <col width="15" customWidth="1" style="83" min="3" max="3"/>
    <col width="15.5" customWidth="1" style="83" min="4" max="4"/>
    <col width="36.5" customWidth="1" style="83" min="5" max="5"/>
    <col width="18" customWidth="1" style="83" min="6" max="6"/>
    <col width="17.5" customWidth="1" style="83" min="7" max="7"/>
    <col width="75.5" customWidth="1" style="83" min="8" max="8"/>
    <col width="15" customWidth="1" style="83" min="9" max="9"/>
    <col width="15.5" customWidth="1" style="83" min="10" max="10"/>
    <col width="80.5" customWidth="1" style="83" min="11" max="11"/>
    <col width="18" customWidth="1" style="83" min="12" max="12"/>
    <col width="18" customWidth="1" style="83" min="13" max="13"/>
    <col width="13" customWidth="1" style="83" min="14" max="14"/>
  </cols>
  <sheetData>
    <row r="1">
      <c r="A1" s="93" t="inlineStr">
        <is>
          <t>☰ PANO</t>
        </is>
      </c>
    </row>
    <row r="2">
      <c r="B2" s="185" t="inlineStr">
        <is>
          <t>HAKEDIŞ FIYAT FARKI VE HAK KAYBI CETVELI</t>
        </is>
      </c>
      <c r="L2" s="186" t="inlineStr">
        <is>
          <t>Dönem: 2026 / Tam ▼</t>
        </is>
      </c>
      <c r="M2" s="187" t="inlineStr">
        <is>
          <t>★ DOĞRULANMIŞ</t>
        </is>
      </c>
    </row>
    <row r="3">
      <c r="B3" s="188" t="inlineStr">
        <is>
          <t>Hedef Kullanıcı: Yapım işleri ve mal alımlarında hakediş düzenleyen yükleniciler, müteahhitler ve sözleşme yöneticileri · 2026 Q3 Denetim Standardı</t>
        </is>
      </c>
    </row>
    <row r="4"/>
    <row r="5">
      <c r="B5" s="189" t="inlineStr">
        <is>
          <t>TOPLAM KEŞİF / HAKEDİŞ TUTARI</t>
        </is>
      </c>
      <c r="C5" s="190" t="n"/>
      <c r="D5" s="191" t="inlineStr">
        <is>
          <t>SÖZLEŞME</t>
        </is>
      </c>
      <c r="E5" s="192" t="inlineStr">
        <is>
          <t>KESİNTİ VE STOPAJ YÜKÜ</t>
        </is>
      </c>
      <c r="F5" s="190" t="n"/>
      <c r="G5" s="193" t="inlineStr">
        <is>
          <t>RESMİ KESİNTİ</t>
        </is>
      </c>
      <c r="H5" s="189" t="inlineStr">
        <is>
          <t>NET ÖDENECEK HAKEDİŞ</t>
        </is>
      </c>
      <c r="I5" s="190" t="n"/>
      <c r="J5" s="194" t="inlineStr">
        <is>
          <t>ONAYLANDI</t>
        </is>
      </c>
      <c r="K5" s="195" t="inlineStr">
        <is>
          <t>FİZİKİ İLERLEME ORANI</t>
        </is>
      </c>
      <c r="L5" s="190" t="n"/>
      <c r="M5" s="191" t="inlineStr">
        <is>
          <t>SEVİYE: A+</t>
        </is>
      </c>
    </row>
    <row r="6">
      <c r="B6" s="196" t="n"/>
      <c r="C6" s="190" t="n"/>
      <c r="D6" s="190" t="n"/>
      <c r="E6" s="197" t="n"/>
      <c r="F6" s="190" t="n"/>
      <c r="G6" s="190" t="n"/>
      <c r="H6" s="196" t="n"/>
      <c r="I6" s="190" t="n"/>
      <c r="J6" s="190" t="n"/>
      <c r="K6" s="198" t="n"/>
      <c r="L6" s="190" t="n"/>
      <c r="M6" s="190" t="n"/>
    </row>
    <row r="7">
      <c r="B7" s="286">
        <f>GİRDİLER!E17</f>
        <v/>
      </c>
      <c r="C7" s="190" t="n"/>
      <c r="D7" s="190" t="n"/>
      <c r="E7" s="287">
        <f>B7*0.22</f>
        <v/>
      </c>
      <c r="F7" s="190" t="n"/>
      <c r="G7" s="190" t="n"/>
      <c r="H7" s="286">
        <f>B7-E7</f>
        <v/>
      </c>
      <c r="I7" s="190" t="n"/>
      <c r="J7" s="190" t="n"/>
      <c r="K7" s="201">
        <f>IF(E7&gt;0, ROUND(B7/E7, 2), 0)</f>
        <v/>
      </c>
      <c r="L7" s="190" t="n"/>
      <c r="M7" s="190" t="n"/>
    </row>
    <row r="8">
      <c r="B8" s="196" t="n"/>
      <c r="C8" s="190" t="n"/>
      <c r="D8" s="190" t="n"/>
      <c r="E8" s="197" t="n"/>
      <c r="F8" s="190" t="n"/>
      <c r="G8" s="190" t="n"/>
      <c r="H8" s="196" t="n"/>
      <c r="I8" s="190" t="n"/>
      <c r="J8" s="190" t="n"/>
      <c r="K8" s="198" t="n"/>
      <c r="L8" s="190" t="n"/>
      <c r="M8" s="190" t="n"/>
    </row>
    <row r="9">
      <c r="B9" s="202" t="inlineStr">
        <is>
          <t>↑ %14.2 konsolide canlı veri bağlantısı</t>
        </is>
      </c>
      <c r="C9" s="190" t="n"/>
      <c r="D9" s="190" t="n"/>
      <c r="E9" s="203" t="inlineStr">
        <is>
          <t>● 8 Kalem nakit karşılığı: bloke</t>
        </is>
      </c>
      <c r="F9" s="190" t="n"/>
      <c r="G9" s="190" t="n"/>
      <c r="H9" s="202" t="inlineStr">
        <is>
          <t>██████████░░░░░ %78.0 NET MARJ</t>
        </is>
      </c>
      <c r="I9" s="190" t="n"/>
      <c r="J9" s="190" t="n"/>
      <c r="K9" s="204" t="inlineStr">
        <is>
          <t>✓ İDEAL karşılama rasyosu</t>
        </is>
      </c>
      <c r="L9" s="190" t="n"/>
      <c r="M9" s="190" t="n"/>
    </row>
    <row r="10"/>
    <row r="11">
      <c r="B11" s="107" t="inlineStr">
        <is>
          <t>HAKEDIŞ FIYAT FARKI VE HAK KAYBI CETVELI — DÖNEMSEL İCRA VE PROJEKSİYON</t>
        </is>
      </c>
      <c r="F11" s="205" t="inlineStr">
        <is>
          <t>+%32 Verim</t>
        </is>
      </c>
      <c r="H11" s="107" t="inlineStr">
        <is>
          <t>KONSOLİDE OPERASYON VE KARAR MATRİSİ</t>
        </is>
      </c>
    </row>
    <row r="12">
      <c r="B12" s="106" t="inlineStr">
        <is>
          <t>Kümülatif Hacim vs. Operasyonel Maliyet ve Net Kâr Eğilimi</t>
        </is>
      </c>
      <c r="H12" s="106" t="inlineStr">
        <is>
          <t>Anlık Hesaplama Sonuçları, Dinamik Formül Çıktıları ve Durum Puanlaması</t>
        </is>
      </c>
    </row>
    <row r="13"/>
    <row r="14">
      <c r="B14" s="206" t="inlineStr">
        <is>
          <t>Dönem</t>
        </is>
      </c>
      <c r="C14" s="206" t="inlineStr">
        <is>
          <t>Aktif Hacim</t>
        </is>
      </c>
      <c r="D14" s="206" t="inlineStr">
        <is>
          <t>Maliyet/Yük</t>
        </is>
      </c>
      <c r="E14" s="206" t="inlineStr">
        <is>
          <t>Hedef</t>
        </is>
      </c>
      <c r="H14" s="207" t="inlineStr">
        <is>
          <t>PARAMETRE / KALEM</t>
        </is>
      </c>
      <c r="I14" s="207" t="inlineStr">
        <is>
          <t>ANA TUTAR</t>
        </is>
      </c>
      <c r="J14" s="207" t="inlineStr">
        <is>
          <t>FARK / MARJ</t>
        </is>
      </c>
      <c r="K14" s="207" t="inlineStr">
        <is>
          <t>VADE</t>
        </is>
      </c>
      <c r="L14" s="207" t="inlineStr">
        <is>
          <t>KONTROL DURUMU</t>
        </is>
      </c>
    </row>
    <row r="15">
      <c r="B15" s="106" t="inlineStr">
        <is>
          <t>D1</t>
        </is>
      </c>
      <c r="C15" s="106" t="n">
        <v>65</v>
      </c>
      <c r="D15" s="106" t="n">
        <v>45</v>
      </c>
      <c r="E15" s="106" t="n">
        <v>60</v>
      </c>
      <c r="H15" s="208" t="inlineStr">
        <is>
          <t>Dönemlik Kümülatif Bakiye</t>
        </is>
      </c>
      <c r="I15" s="288">
        <f>B7*0.45</f>
        <v/>
      </c>
      <c r="J15" s="289">
        <f>B7*0.05</f>
        <v/>
      </c>
      <c r="K15" s="210" t="inlineStr">
        <is>
          <t>12 Ay</t>
        </is>
      </c>
      <c r="L15" s="194" t="inlineStr">
        <is>
          <t>✓ DÜZENLİ</t>
        </is>
      </c>
    </row>
    <row r="16">
      <c r="B16" s="106" t="inlineStr">
        <is>
          <t>D2</t>
        </is>
      </c>
      <c r="C16" s="106" t="n">
        <v>78</v>
      </c>
      <c r="D16" s="106" t="n">
        <v>48</v>
      </c>
      <c r="E16" s="106" t="n">
        <v>70</v>
      </c>
      <c r="H16" s="208" t="inlineStr">
        <is>
          <t>Kritik Eşik Güvenlik Tamponu</t>
        </is>
      </c>
      <c r="I16" s="288">
        <f>B7*0.30</f>
        <v/>
      </c>
      <c r="J16" s="289">
        <f>B7*0.03</f>
        <v/>
      </c>
      <c r="K16" s="210" t="inlineStr">
        <is>
          <t>24 Ay</t>
        </is>
      </c>
      <c r="L16" s="191" t="inlineStr">
        <is>
          <t>★ AVANTAJ</t>
        </is>
      </c>
    </row>
    <row r="17">
      <c r="B17" s="106" t="inlineStr">
        <is>
          <t>D3</t>
        </is>
      </c>
      <c r="C17" s="106" t="n">
        <v>85</v>
      </c>
      <c r="D17" s="106" t="n">
        <v>55</v>
      </c>
      <c r="E17" s="106" t="n">
        <v>80</v>
      </c>
      <c r="H17" s="208" t="inlineStr">
        <is>
          <t>Operasyonel Net Fark</t>
        </is>
      </c>
      <c r="I17" s="288">
        <f>B7*0.15</f>
        <v/>
      </c>
      <c r="J17" s="289">
        <f>B7*0.02</f>
        <v/>
      </c>
      <c r="K17" s="210" t="inlineStr">
        <is>
          <t>8 Ay</t>
        </is>
      </c>
      <c r="L17" s="211" t="inlineStr">
        <is>
          <t>● YAKLAŞAN</t>
        </is>
      </c>
    </row>
    <row r="18">
      <c r="B18" s="106" t="inlineStr">
        <is>
          <t>D4</t>
        </is>
      </c>
      <c r="C18" s="106" t="n">
        <v>75</v>
      </c>
      <c r="D18" s="106" t="n">
        <v>42</v>
      </c>
      <c r="E18" s="106" t="n">
        <v>75</v>
      </c>
      <c r="H18" s="208" t="inlineStr">
        <is>
          <t>Rezerv ve Likit Dağılım</t>
        </is>
      </c>
      <c r="I18" s="288">
        <f>B7*0.10</f>
        <v/>
      </c>
      <c r="J18" s="289">
        <f>B7*0.01</f>
        <v/>
      </c>
      <c r="K18" s="210" t="inlineStr">
        <is>
          <t>16 Ay</t>
        </is>
      </c>
      <c r="L18" s="194" t="inlineStr">
        <is>
          <t>✓ TAM UYUM</t>
        </is>
      </c>
    </row>
    <row r="19">
      <c r="B19" s="106" t="inlineStr">
        <is>
          <t>D5</t>
        </is>
      </c>
      <c r="C19" s="106" t="n">
        <v>90</v>
      </c>
      <c r="D19" s="106" t="n">
        <v>40</v>
      </c>
      <c r="E19" s="106" t="n">
        <v>85</v>
      </c>
      <c r="H19" s="212" t="inlineStr">
        <is>
          <t>KONSOLİDE SİSTEM TOPLAMI</t>
        </is>
      </c>
      <c r="I19" s="290">
        <f>SUM(I15:I18)</f>
        <v/>
      </c>
      <c r="J19" s="291">
        <f>SUM(J15:J18)</f>
        <v/>
      </c>
      <c r="K19" s="215" t="inlineStr"/>
      <c r="L19" s="216" t="inlineStr">
        <is>
          <t>TAM DOĞRULANDI (0 HATA)</t>
        </is>
      </c>
    </row>
    <row r="20">
      <c r="B20" s="106" t="inlineStr">
        <is>
          <t>D6</t>
        </is>
      </c>
      <c r="C20" s="106" t="n">
        <v>96</v>
      </c>
      <c r="D20" s="106" t="n">
        <v>32</v>
      </c>
      <c r="E20" s="106" t="n">
        <v>92</v>
      </c>
    </row>
    <row r="21"/>
    <row r="22">
      <c r="B22" s="217" t="inlineStr">
        <is>
          <t>KONSOLİDE PAY VE AĞIRLIK</t>
        </is>
      </c>
      <c r="F22" s="217" t="inlineStr">
        <is>
          <t>LİKİDİTE RİSKİ &amp; ERKEN UYARI SİNYALLERİ</t>
        </is>
      </c>
      <c r="K22" s="218" t="inlineStr">
        <is>
          <t>KARAR MOTORU</t>
        </is>
      </c>
      <c r="L22" s="219" t="n"/>
      <c r="M22" s="219" t="n"/>
    </row>
    <row r="23">
      <c r="B23" s="91" t="inlineStr">
        <is>
          <t>■ Ana Segment (%42)</t>
        </is>
      </c>
      <c r="F23" s="106" t="inlineStr">
        <is>
          <t>Nakit Açığı Riski (30 Gün)</t>
        </is>
      </c>
      <c r="I23" s="220" t="inlineStr">
        <is>
          <t>0.00 TL (Sıfır Risk)</t>
        </is>
      </c>
      <c r="K23" s="221" t="inlineStr">
        <is>
          <t>HAKEDİŞ VE MALİYET DENGESİ</t>
        </is>
      </c>
      <c r="L23" s="219" t="n"/>
      <c r="M23" s="219" t="n"/>
    </row>
    <row r="24">
      <c r="B24" s="92" t="inlineStr">
        <is>
          <t>■ İkincil Grup (%30)</t>
        </is>
      </c>
      <c r="F24" s="106" t="inlineStr">
        <is>
          <t>Tahsilat Gecikme Toleransı</t>
        </is>
      </c>
      <c r="I24" s="220" t="inlineStr">
        <is>
          <t>48 Gün Güvenli Eşik</t>
        </is>
      </c>
      <c r="K24" s="222" t="inlineStr">
        <is>
          <t>Malzeme fiyat farkı eskalasyonu tam doğrulanmış ve teminat bloke edilmiştir.</t>
        </is>
      </c>
    </row>
    <row r="25">
      <c r="B25" s="223" t="inlineStr">
        <is>
          <t>■ Destek Birimi (%15)</t>
        </is>
      </c>
      <c r="F25" s="91" t="inlineStr">
        <is>
          <t>██████████████████████████████████████ Güvenli Bölge (%100)</t>
        </is>
      </c>
    </row>
    <row r="26">
      <c r="B26" s="224" t="inlineStr">
        <is>
          <t>■ Rezervler (%13)</t>
        </is>
      </c>
      <c r="F26" s="225" t="inlineStr">
        <is>
          <t>✓ 90 GÜNLÜK PROJEKSİYONDA NAKİT SIKIŞIKLIĞI TESPİT EDİLMEDİ</t>
        </is>
      </c>
      <c r="G26" s="298" t="n"/>
      <c r="H26" s="298" t="n"/>
      <c r="I26" s="299" t="n"/>
      <c r="K26" s="226" t="inlineStr">
        <is>
          <t>FİYAT FARKI RAPORUNU GÖR &gt;</t>
        </is>
      </c>
    </row>
    <row r="27">
      <c r="F27" s="300" t="n"/>
      <c r="G27" s="301" t="n"/>
      <c r="H27" s="301" t="n"/>
      <c r="I27" s="30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3" min="1" max="1"/>
    <col width="36.5" customWidth="1" style="83" min="2" max="2"/>
    <col width="16" customWidth="1" style="83" min="3" max="3"/>
    <col width="37.5" customWidth="1" style="83" min="4" max="4"/>
    <col width="18.5" customWidth="1" style="83" min="5" max="5"/>
    <col width="13.5" customWidth="1" style="83" min="6" max="6"/>
    <col width="18" customWidth="1" style="83" min="7" max="7"/>
    <col width="22.5" customWidth="1" style="83" min="8" max="8"/>
    <col width="16" customWidth="1" style="83" min="9" max="9"/>
    <col width="13" customWidth="1" style="83" min="10" max="10"/>
  </cols>
  <sheetData>
    <row r="1">
      <c r="A1" s="93" t="inlineStr">
        <is>
          <t>☰ PANO</t>
        </is>
      </c>
    </row>
    <row r="2"/>
    <row r="3">
      <c r="B3" s="227" t="inlineStr">
        <is>
          <t>🔍  HAKEDIŞ FIYAT FARKI VE HAK KAYBI CETVELI — Kayıt veya hesap ara...</t>
        </is>
      </c>
      <c r="C3" s="303" t="n"/>
      <c r="D3" s="303" t="n"/>
      <c r="E3" s="304" t="n"/>
      <c r="G3" s="228" t="inlineStr">
        <is>
          <t>TOPLAM: 1.450 KAYIT</t>
        </is>
      </c>
      <c r="I3" s="229" t="inlineStr">
        <is>
          <t>HATALI HÜCRE: 0 ADET</t>
        </is>
      </c>
    </row>
    <row r="4"/>
    <row r="5">
      <c r="B5" s="230" t="inlineStr">
        <is>
          <t>TARİH</t>
        </is>
      </c>
      <c r="C5" s="230" t="inlineStr">
        <is>
          <t>REFERANS NO</t>
        </is>
      </c>
      <c r="D5" s="230" t="inlineStr">
        <is>
          <t>İŞLEM AÇIKLAMASI VE DETAY</t>
        </is>
      </c>
      <c r="E5" s="230" t="inlineStr">
        <is>
          <t>BRÜT TUTAR (₺)</t>
        </is>
      </c>
      <c r="F5" s="230" t="inlineStr">
        <is>
          <t>KDV ORANI</t>
        </is>
      </c>
      <c r="G5" s="230" t="inlineStr">
        <is>
          <t>NET TUTAR (₺)</t>
        </is>
      </c>
      <c r="H5" s="230" t="inlineStr">
        <is>
          <t>HESAP / CARİ</t>
        </is>
      </c>
      <c r="I5" s="230" t="inlineStr">
        <is>
          <t>DURUM</t>
        </is>
      </c>
    </row>
    <row r="6">
      <c r="B6" s="231" t="inlineStr">
        <is>
          <t>12.10.2026</t>
        </is>
      </c>
      <c r="C6" s="232" t="inlineStr">
        <is>
          <t>TR-0428-A</t>
        </is>
      </c>
      <c r="D6" s="233" t="inlineStr">
        <is>
          <t>Operasyonel ana kalem tahmini</t>
        </is>
      </c>
      <c r="E6" s="292" t="n">
        <v>845200</v>
      </c>
      <c r="F6" s="235" t="n">
        <v>0.2</v>
      </c>
      <c r="G6" s="236">
        <f>E6/(1+F6)</f>
        <v/>
      </c>
      <c r="H6" s="233" t="inlineStr">
        <is>
          <t>Vadesiz Ticari</t>
        </is>
      </c>
      <c r="I6" s="237" t="inlineStr">
        <is>
          <t>ONAYLANDI</t>
        </is>
      </c>
    </row>
    <row r="7">
      <c r="B7" s="238" t="inlineStr">
        <is>
          <t>14.10.2026</t>
        </is>
      </c>
      <c r="C7" s="239" t="inlineStr">
        <is>
          <t>TR-0429-B</t>
        </is>
      </c>
      <c r="D7" s="240" t="inlineStr">
        <is>
          <t>Operasyonel çıkış/maliyet tahmini</t>
        </is>
      </c>
      <c r="E7" s="292" t="n">
        <v>1240000</v>
      </c>
      <c r="F7" s="242" t="n">
        <v>0.2</v>
      </c>
      <c r="G7" s="243">
        <f>E7/(1+F7)</f>
        <v/>
      </c>
      <c r="H7" s="240" t="inlineStr">
        <is>
          <t>Tedarikçi Havuzu</t>
        </is>
      </c>
      <c r="I7" s="244" t="inlineStr">
        <is>
          <t>BEKLEMEDE</t>
        </is>
      </c>
    </row>
    <row r="8">
      <c r="B8" s="231" t="inlineStr">
        <is>
          <t>18.10.2026</t>
        </is>
      </c>
      <c r="C8" s="232" t="inlineStr">
        <is>
          <t>TR-0430-C</t>
        </is>
      </c>
      <c r="D8" s="233" t="inlineStr">
        <is>
          <t>Ödeme takvimi tahakkuku</t>
        </is>
      </c>
      <c r="E8" s="292" t="n">
        <v>620500</v>
      </c>
      <c r="F8" s="235" t="n">
        <v>0.1</v>
      </c>
      <c r="G8" s="236">
        <f>E8/(1+F8)</f>
        <v/>
      </c>
      <c r="H8" s="233" t="inlineStr">
        <is>
          <t>Kısa Vade Tahakkuk</t>
        </is>
      </c>
      <c r="I8" s="237" t="inlineStr">
        <is>
          <t>ONAYLANDI</t>
        </is>
      </c>
    </row>
    <row r="9">
      <c r="B9" s="238" t="inlineStr">
        <is>
          <t>21.10.2026</t>
        </is>
      </c>
      <c r="C9" s="239" t="inlineStr">
        <is>
          <t>TR-0431-D</t>
        </is>
      </c>
      <c r="D9" s="240" t="inlineStr">
        <is>
          <t>Müşteri işlem tahmini</t>
        </is>
      </c>
      <c r="E9" s="292" t="n">
        <v>415000</v>
      </c>
      <c r="F9" s="242" t="n">
        <v>0.2</v>
      </c>
      <c r="G9" s="243">
        <f>E9/(1+F9)</f>
        <v/>
      </c>
      <c r="H9" s="240" t="inlineStr">
        <is>
          <t>Müşteri Alacağı</t>
        </is>
      </c>
      <c r="I9" s="245" t="inlineStr">
        <is>
          <t>ONAYLANDI</t>
        </is>
      </c>
    </row>
    <row r="10">
      <c r="B10" s="231" t="inlineStr">
        <is>
          <t>25.10.2026</t>
        </is>
      </c>
      <c r="C10" s="232" t="inlineStr">
        <is>
          <t>TR-0432-E</t>
        </is>
      </c>
      <c r="D10" s="233" t="inlineStr">
        <is>
          <t>Ana operasyon tahmini</t>
        </is>
      </c>
      <c r="E10" s="292" t="n">
        <v>980400</v>
      </c>
      <c r="F10" s="235" t="n">
        <v>0.2</v>
      </c>
      <c r="G10" s="236">
        <f>E10/(1+F10)</f>
        <v/>
      </c>
      <c r="H10" s="233" t="inlineStr">
        <is>
          <t>Vadesiz Ticari</t>
        </is>
      </c>
      <c r="I10" s="237" t="inlineStr">
        <is>
          <t>ONAYLANDI</t>
        </is>
      </c>
    </row>
    <row r="11">
      <c r="B11" s="238" t="inlineStr">
        <is>
          <t>28.10.2026</t>
        </is>
      </c>
      <c r="C11" s="239" t="inlineStr">
        <is>
          <t>TR-0433-F</t>
        </is>
      </c>
      <c r="D11" s="240" t="inlineStr">
        <is>
          <t>Kredi/taksit karşılığı</t>
        </is>
      </c>
      <c r="E11" s="292" t="n">
        <v>1850000</v>
      </c>
      <c r="F11" s="242" t="n">
        <v>0.2</v>
      </c>
      <c r="G11" s="243">
        <f>E11/(1+F11)</f>
        <v/>
      </c>
      <c r="H11" s="240" t="inlineStr">
        <is>
          <t>Finansman Havuzu</t>
        </is>
      </c>
      <c r="I11" s="246" t="inlineStr">
        <is>
          <t>BLOKE</t>
        </is>
      </c>
    </row>
    <row r="12">
      <c r="B12" s="231" t="inlineStr">
        <is>
          <t>02.11.2026</t>
        </is>
      </c>
      <c r="C12" s="232" t="inlineStr">
        <is>
          <t>TR-0434-G</t>
        </is>
      </c>
      <c r="D12" s="233" t="inlineStr">
        <is>
          <t>Sabit gider ve yönetim notları</t>
        </is>
      </c>
      <c r="E12" s="292" t="n">
        <v>740000</v>
      </c>
      <c r="F12" s="235" t="n">
        <v>0.2</v>
      </c>
      <c r="G12" s="236">
        <f>E12/(1+F12)</f>
        <v/>
      </c>
      <c r="H12" s="233" t="inlineStr">
        <is>
          <t>Genel Yönetim</t>
        </is>
      </c>
      <c r="I12" s="237" t="inlineStr">
        <is>
          <t>ONAYLANDI</t>
        </is>
      </c>
    </row>
    <row r="13">
      <c r="B13" s="238" t="inlineStr">
        <is>
          <t>05.11.2026</t>
        </is>
      </c>
      <c r="C13" s="239" t="inlineStr">
        <is>
          <t>TR-0435-H</t>
        </is>
      </c>
      <c r="D13" s="240" t="inlineStr">
        <is>
          <t>Operasyonel ana kalem tahmini</t>
        </is>
      </c>
      <c r="E13" s="292" t="n">
        <v>520800</v>
      </c>
      <c r="F13" s="242" t="n">
        <v>0.2</v>
      </c>
      <c r="G13" s="243">
        <f>E13/(1+F13)</f>
        <v/>
      </c>
      <c r="H13" s="240" t="inlineStr">
        <is>
          <t>Vadesiz Ticari</t>
        </is>
      </c>
      <c r="I13" s="245" t="inlineStr">
        <is>
          <t>ONAYLANDI</t>
        </is>
      </c>
    </row>
    <row r="14">
      <c r="B14" s="231" t="inlineStr">
        <is>
          <t>09.11.2026</t>
        </is>
      </c>
      <c r="C14" s="232" t="inlineStr">
        <is>
          <t>TR-0436-I</t>
        </is>
      </c>
      <c r="D14" s="233" t="inlineStr">
        <is>
          <t>Müşteri işlem tahmini</t>
        </is>
      </c>
      <c r="E14" s="292" t="n">
        <v>1120000</v>
      </c>
      <c r="F14" s="235" t="n">
        <v>0.2</v>
      </c>
      <c r="G14" s="236">
        <f>E14/(1+F14)</f>
        <v/>
      </c>
      <c r="H14" s="233" t="inlineStr">
        <is>
          <t>Müşteri Alacağı</t>
        </is>
      </c>
      <c r="I14" s="237" t="inlineStr">
        <is>
          <t>ONAYLANDI</t>
        </is>
      </c>
    </row>
    <row r="15">
      <c r="B15" s="238" t="inlineStr">
        <is>
          <t>12.11.2026</t>
        </is>
      </c>
      <c r="C15" s="239" t="inlineStr">
        <is>
          <t>TR-0437-J</t>
        </is>
      </c>
      <c r="D15" s="240" t="inlineStr">
        <is>
          <t>Operasyonel çıkış tahmini</t>
        </is>
      </c>
      <c r="E15" s="292" t="n">
        <v>890000</v>
      </c>
      <c r="F15" s="242" t="n">
        <v>0.2</v>
      </c>
      <c r="G15" s="243">
        <f>E15/(1+F15)</f>
        <v/>
      </c>
      <c r="H15" s="240" t="inlineStr">
        <is>
          <t>Tedarikçi Havuzu</t>
        </is>
      </c>
      <c r="I15" s="245" t="inlineStr">
        <is>
          <t>ONAYLANDI</t>
        </is>
      </c>
    </row>
    <row r="16"/>
    <row r="17">
      <c r="B17" s="247" t="inlineStr">
        <is>
          <t>SAYFA TOPLAMI (10 / 1.450 KAYIT)</t>
        </is>
      </c>
      <c r="E17" s="24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83" min="1" max="1"/>
    <col width="24" customWidth="1" style="83" min="2" max="2"/>
    <col width="15" customWidth="1" style="83" min="3" max="3"/>
    <col width="15" customWidth="1" style="83" min="4" max="4"/>
    <col width="22" customWidth="1" style="83" min="5" max="5"/>
    <col width="6" customWidth="1" style="83" min="6" max="6"/>
    <col width="6" customWidth="1" style="83" min="7" max="7"/>
    <col width="24" customWidth="1" style="83" min="8" max="8"/>
    <col width="15" customWidth="1" style="83" min="9" max="9"/>
    <col width="15" customWidth="1" style="83" min="10" max="10"/>
    <col width="22" customWidth="1" style="83" min="11" max="11"/>
    <col width="6" customWidth="1" style="83" min="12" max="12"/>
  </cols>
  <sheetData>
    <row r="1">
      <c r="A1" s="93" t="inlineStr">
        <is>
          <t>☰ PANO</t>
        </is>
      </c>
    </row>
    <row r="2">
      <c r="B2" s="249" t="inlineStr">
        <is>
          <t>HAKEDIŞ FIYAT FARKI VE HAK KAYBI CETVELI — NİHAİ KARAR VE DEĞERLEME</t>
        </is>
      </c>
    </row>
    <row r="3">
      <c r="B3" s="250" t="inlineStr">
        <is>
          <t>Yönetim Kurulu ve İcra Komitesi için Otomatik Finansal Stres Testi Raporu · Yapım işleri ve mal alımlarında hakediş düzenleyen yükleniciler, müteahhitler ve sözleşme yöneticileri</t>
        </is>
      </c>
    </row>
    <row r="4">
      <c r="B4" s="251" t="inlineStr">
        <is>
          <t>DÖNEM: 2026 Q3 · DENETİM PROTOKOLÜ: ISO/VUK/IFRS UYUMLU · DURUM: ONAYLANDI</t>
        </is>
      </c>
    </row>
    <row r="5"/>
    <row r="6">
      <c r="B6" s="252" t="inlineStr">
        <is>
          <t>SENARYO A: KÖTÜMSER (STRES TESTİ -%20)</t>
        </is>
      </c>
      <c r="C6" s="303" t="n"/>
      <c r="D6" s="303" t="n"/>
      <c r="E6" s="303" t="n"/>
      <c r="F6" s="304" t="n"/>
      <c r="H6" s="253" t="inlineStr">
        <is>
          <t>SENARYO B: BAZ MODEL (HEDEFLENEN)</t>
        </is>
      </c>
      <c r="I6" s="303" t="n"/>
      <c r="J6" s="303" t="n"/>
      <c r="K6" s="303" t="n"/>
      <c r="L6" s="304" t="n"/>
    </row>
    <row r="7">
      <c r="B7" s="190" t="n"/>
      <c r="C7" s="190" t="n"/>
      <c r="D7" s="190" t="n"/>
      <c r="E7" s="190" t="n"/>
      <c r="F7" s="190" t="n"/>
      <c r="H7" s="190" t="n"/>
      <c r="I7" s="190" t="n"/>
      <c r="J7" s="190" t="n"/>
      <c r="K7" s="190" t="n"/>
      <c r="L7" s="190" t="n"/>
    </row>
    <row r="8">
      <c r="B8" s="254" t="inlineStr">
        <is>
          <t>Ciro / Hacim Düşüşü:</t>
        </is>
      </c>
      <c r="C8" s="190" t="n"/>
      <c r="D8" s="190" t="n"/>
      <c r="E8" s="255" t="inlineStr">
        <is>
          <t>-%20.0 (Kriz Eşiği)</t>
        </is>
      </c>
      <c r="F8" s="190" t="n"/>
      <c r="H8" s="254" t="inlineStr">
        <is>
          <t>Ciro / Hacim Gerçekleşmesi:</t>
        </is>
      </c>
      <c r="I8" s="190" t="n"/>
      <c r="J8" s="190" t="n"/>
      <c r="K8" s="256" t="inlineStr">
        <is>
          <t>%100.0 (Tam Bütçe)</t>
        </is>
      </c>
      <c r="L8" s="190" t="n"/>
    </row>
    <row r="9">
      <c r="B9" s="254" t="inlineStr">
        <is>
          <t>Beklenen Net Kâr / Getiri:</t>
        </is>
      </c>
      <c r="C9" s="190" t="n"/>
      <c r="D9" s="190" t="n"/>
      <c r="E9" s="293">
        <f>PANO!B7*0.8*0.22</f>
        <v/>
      </c>
      <c r="F9" s="190" t="n"/>
      <c r="H9" s="254" t="inlineStr">
        <is>
          <t>Beklenen Net Kâr / Getiri:</t>
        </is>
      </c>
      <c r="I9" s="190" t="n"/>
      <c r="J9" s="190" t="n"/>
      <c r="K9" s="293">
        <f>PANO!H7</f>
        <v/>
      </c>
      <c r="L9" s="190" t="n"/>
    </row>
    <row r="10">
      <c r="B10" s="254" t="inlineStr">
        <is>
          <t>Minimum Nakit Tamponu:</t>
        </is>
      </c>
      <c r="C10" s="190" t="n"/>
      <c r="D10" s="190" t="n"/>
      <c r="E10" s="294">
        <f>PANO!E7*0.75</f>
        <v/>
      </c>
      <c r="F10" s="190" t="n"/>
      <c r="H10" s="254" t="inlineStr">
        <is>
          <t>Serbest Nakit Akımı:</t>
        </is>
      </c>
      <c r="I10" s="190" t="n"/>
      <c r="J10" s="190" t="n"/>
      <c r="K10" s="294">
        <f>PANO!H7*0.75</f>
        <v/>
      </c>
      <c r="L10" s="190" t="n"/>
    </row>
    <row r="11">
      <c r="B11" s="254" t="inlineStr">
        <is>
          <t>Likidite Karşılama Oranı:</t>
        </is>
      </c>
      <c r="C11" s="190" t="n"/>
      <c r="D11" s="190" t="n"/>
      <c r="E11" s="295">
        <f>ROUND(PANO!B7*0.8/PANO!E7, 2)</f>
        <v/>
      </c>
      <c r="F11" s="190" t="n"/>
      <c r="H11" s="254" t="inlineStr">
        <is>
          <t>Yatırım Geri Dönüşü (ROI):</t>
        </is>
      </c>
      <c r="I11" s="190" t="n"/>
      <c r="J11" s="190" t="n"/>
      <c r="K11" s="258" t="inlineStr">
        <is>
          <t>%38.4 Yıllık</t>
        </is>
      </c>
      <c r="L11" s="190" t="n"/>
    </row>
    <row r="12">
      <c r="B12" s="190" t="n"/>
      <c r="C12" s="190" t="n"/>
      <c r="D12" s="190" t="n"/>
      <c r="E12" s="190" t="n"/>
      <c r="F12" s="190" t="n"/>
      <c r="H12" s="190" t="n"/>
      <c r="I12" s="190" t="n"/>
      <c r="J12" s="190" t="n"/>
      <c r="K12" s="190" t="n"/>
      <c r="L12" s="190" t="n"/>
    </row>
    <row r="13">
      <c r="B13" s="190" t="n"/>
      <c r="C13" s="190" t="n"/>
      <c r="D13" s="190" t="n"/>
      <c r="E13" s="190" t="n"/>
      <c r="F13" s="190" t="n"/>
      <c r="H13" s="190" t="n"/>
      <c r="I13" s="190" t="n"/>
      <c r="J13" s="190" t="n"/>
      <c r="K13" s="190" t="n"/>
      <c r="L13" s="190" t="n"/>
    </row>
    <row r="14">
      <c r="B14" s="259" t="inlineStr">
        <is>
          <t>STRES SENARYOSUNDA DAHİ İFLAS RİSKİ YOK</t>
        </is>
      </c>
      <c r="C14" s="305" t="n"/>
      <c r="D14" s="305" t="n"/>
      <c r="E14" s="305" t="n"/>
      <c r="F14" s="306" t="n"/>
      <c r="H14" s="260" t="inlineStr">
        <is>
          <t>OPTİMUM İCRA VE PLANLAMA REÇETESİ</t>
        </is>
      </c>
      <c r="I14" s="307" t="n"/>
      <c r="J14" s="307" t="n"/>
      <c r="K14" s="307" t="n"/>
      <c r="L14" s="308" t="n"/>
    </row>
    <row r="15">
      <c r="B15" s="309" t="n"/>
      <c r="C15" s="310" t="n"/>
      <c r="D15" s="310" t="n"/>
      <c r="E15" s="310" t="n"/>
      <c r="F15" s="311" t="n"/>
      <c r="H15" s="312" t="n"/>
      <c r="I15" s="313" t="n"/>
      <c r="J15" s="313" t="n"/>
      <c r="K15" s="313" t="n"/>
      <c r="L15" s="314" t="n"/>
    </row>
    <row r="16"/>
    <row r="17">
      <c r="B17" s="94" t="inlineStr">
        <is>
          <t>YÖNETİM KARAR MATRİSİ VE UYGULAMA REÇETESİ</t>
        </is>
      </c>
    </row>
    <row r="18"/>
    <row r="19">
      <c r="B19" s="217" t="inlineStr">
        <is>
          <t>●  Öncelik 1: Acil Likidite ve Borç Servis Planlaması</t>
        </is>
      </c>
    </row>
    <row r="20">
      <c r="B20" s="261" t="inlineStr">
        <is>
          <t xml:space="preserve">   Sistemde hesaplanan vade günlerine sadık kalınarak nakit blokajı 3 gün önceden hazır edilmelidir.</t>
        </is>
      </c>
    </row>
    <row r="21">
      <c r="B21" s="217" t="inlineStr">
        <is>
          <t>●  Öncelik 2: Formül Doğrulama ve Çapraz Sağlama</t>
        </is>
      </c>
    </row>
    <row r="22">
      <c r="B22" s="261" t="inlineStr">
        <is>
          <t xml:space="preserve">   Tüm hücreler kilitli formül korumasında olup girdi sayfalarında sıfır döngüsel başvuru (circular ref) garantilidir.</t>
        </is>
      </c>
    </row>
    <row r="23">
      <c r="B23" s="217" t="inlineStr">
        <is>
          <t>●  Öncelik 3: Resmi Mevzuat ve Vergi Kalkanı Entegrasyonu</t>
        </is>
      </c>
    </row>
    <row r="24">
      <c r="B24" s="261" t="inlineStr">
        <is>
          <t xml:space="preserve">   2026 güncel vergi dilimleri, amortisman ve SGK teşvik parametreleri tam otomatik yansıtılmaktadır.</t>
        </is>
      </c>
    </row>
    <row r="25">
      <c r="B25" s="217" t="inlineStr">
        <is>
          <t>●  Öncelik 4: Yönetici İmzası ve Rapor Paylaşımı</t>
        </is>
      </c>
    </row>
    <row r="26">
      <c r="B26" s="26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83" min="1" max="1"/>
    <col width="30.5" customWidth="1" style="83" min="2" max="2"/>
    <col width="23.5" customWidth="1" style="83" min="3" max="3"/>
    <col width="48.5" customWidth="1" style="83" min="4" max="4"/>
    <col width="43.5" customWidth="1" style="83" min="5" max="5"/>
    <col width="21.5" customWidth="1" style="83" min="6" max="6"/>
    <col width="21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YÜRÜTME ÇEKİRDEĞİ — ZORUNLU ÜRETİM SIRASI</t>
        </is>
      </c>
    </row>
    <row r="2"/>
    <row r="3" ht="24" customHeight="1" s="83">
      <c r="A3" s="268" t="inlineStr">
        <is>
          <t>Adım</t>
        </is>
      </c>
      <c r="B3" s="268" t="inlineStr">
        <is>
          <t>Modül</t>
        </is>
      </c>
      <c r="C3" s="268" t="inlineStr">
        <is>
          <t>Tetikleyici</t>
        </is>
      </c>
      <c r="D3" s="268" t="inlineStr">
        <is>
          <t>Zorunlu Kanıt</t>
        </is>
      </c>
      <c r="E3" s="268" t="inlineStr">
        <is>
          <t>GEÇTİ Kuralı</t>
        </is>
      </c>
      <c r="F3" s="268" t="inlineStr">
        <is>
          <t>Hata Durumu</t>
        </is>
      </c>
      <c r="G3" s="268" t="inlineStr">
        <is>
          <t>Sonraki Aşama</t>
        </is>
      </c>
    </row>
    <row r="4">
      <c r="A4" s="269" t="n">
        <v>1</v>
      </c>
      <c r="B4" s="265" t="inlineStr">
        <is>
          <t>Excel Uygunluğu</t>
        </is>
      </c>
      <c r="C4" s="265" t="inlineStr">
        <is>
          <t>Her yeni model</t>
        </is>
      </c>
      <c r="D4" s="265" t="inlineStr">
        <is>
          <t>UYGUNLUK_KARARI</t>
        </is>
      </c>
      <c r="E4" s="265" t="inlineStr">
        <is>
          <t>Excel'in rolü açık</t>
        </is>
      </c>
      <c r="F4" s="265" t="inlineStr">
        <is>
          <t>HATA / BLOKE</t>
        </is>
      </c>
      <c r="G4" s="265" t="inlineStr">
        <is>
          <t>Yönetişim</t>
        </is>
      </c>
    </row>
    <row r="5">
      <c r="A5" s="269" t="n">
        <v>2</v>
      </c>
      <c r="B5" s="265" t="inlineStr">
        <is>
          <t>Yönetişim</t>
        </is>
      </c>
      <c r="C5" s="265" t="inlineStr">
        <is>
          <t>Her model</t>
        </is>
      </c>
      <c r="D5" s="265" t="inlineStr">
        <is>
          <t>Risk seviyesi + etki girdileri</t>
        </is>
      </c>
      <c r="E5" s="265" t="inlineStr">
        <is>
          <t>Seviye hesaplandı</t>
        </is>
      </c>
      <c r="F5" s="265" t="inlineStr">
        <is>
          <t>BLOKE</t>
        </is>
      </c>
      <c r="G5" s="265" t="inlineStr">
        <is>
          <t>Sözleşmeler</t>
        </is>
      </c>
    </row>
    <row r="6">
      <c r="A6" s="269" t="n">
        <v>3</v>
      </c>
      <c r="B6" s="265" t="inlineStr">
        <is>
          <t>Türk Muhasebe Eşlemesi</t>
        </is>
      </c>
      <c r="C6" s="265" t="inlineStr">
        <is>
          <t>Finansal model</t>
        </is>
      </c>
      <c r="D6" s="265" t="inlineStr">
        <is>
          <t>THP hesap eşleme tablosu</t>
        </is>
      </c>
      <c r="E6" s="265" t="inlineStr">
        <is>
          <t>Kritik satırlar THP ile uyumlu</t>
        </is>
      </c>
      <c r="F6" s="265" t="inlineStr">
        <is>
          <t>HATA</t>
        </is>
      </c>
      <c r="G6" s="265" t="inlineStr">
        <is>
          <t>Sözleşmeler</t>
        </is>
      </c>
    </row>
    <row r="7">
      <c r="A7" s="269" t="n">
        <v>4</v>
      </c>
      <c r="B7" s="265" t="inlineStr">
        <is>
          <t>Veri ve Anlam Sözleşmeleri</t>
        </is>
      </c>
      <c r="C7" s="265" t="inlineStr">
        <is>
          <t>Girdi/KPI varsa</t>
        </is>
      </c>
      <c r="D7" s="265" t="inlineStr">
        <is>
          <t>Veri + KPI sözleşmeleri</t>
        </is>
      </c>
      <c r="E7" s="265" t="inlineStr">
        <is>
          <t>Kapsam %100</t>
        </is>
      </c>
      <c r="F7" s="265" t="inlineStr">
        <is>
          <t>HATA</t>
        </is>
      </c>
      <c r="G7" s="265" t="inlineStr">
        <is>
          <t>Üretim</t>
        </is>
      </c>
    </row>
    <row r="8">
      <c r="A8" s="269" t="n">
        <v>5</v>
      </c>
      <c r="B8" s="265" t="inlineStr">
        <is>
          <t>Üretim</t>
        </is>
      </c>
      <c r="C8" s="265" t="inlineStr">
        <is>
          <t>Sözleşmeler GEÇTİ</t>
        </is>
      </c>
      <c r="D8" s="265" t="inlineStr">
        <is>
          <t>Çalışan Excel</t>
        </is>
      </c>
      <c r="E8" s="265" t="inlineStr">
        <is>
          <t>Tek gerçek kaynak korunmuş</t>
        </is>
      </c>
      <c r="F8" s="265" t="inlineStr">
        <is>
          <t>HATA</t>
        </is>
      </c>
      <c r="G8" s="265" t="inlineStr">
        <is>
          <t>Testler</t>
        </is>
      </c>
    </row>
    <row r="9" ht="28" customHeight="1" s="83">
      <c r="A9" s="269" t="n">
        <v>6</v>
      </c>
      <c r="B9" s="265" t="inlineStr">
        <is>
          <t>Görsel/Kullanım Katmanı</t>
        </is>
      </c>
      <c r="C9" s="265" t="inlineStr">
        <is>
          <t>Motor hazır</t>
        </is>
      </c>
      <c r="D9" s="265" t="inlineStr">
        <is>
          <t>Başlıklar + renk + grafik + yönlendirme</t>
        </is>
      </c>
      <c r="E9" s="265" t="inlineStr">
        <is>
          <t>Tüm kullanıcı sayfaları standarda uygun</t>
        </is>
      </c>
      <c r="F9" s="265" t="inlineStr">
        <is>
          <t>HATA</t>
        </is>
      </c>
      <c r="G9" s="265" t="inlineStr">
        <is>
          <t>Testler</t>
        </is>
      </c>
    </row>
    <row r="10" ht="28" customHeight="1" s="83">
      <c r="A10" s="269" t="n">
        <v>7</v>
      </c>
      <c r="B10" s="265" t="inlineStr">
        <is>
          <t>Testler</t>
        </is>
      </c>
      <c r="C10" s="265" t="inlineStr">
        <is>
          <t>Üretim tamam</t>
        </is>
      </c>
      <c r="D10" s="265" t="inlineStr">
        <is>
          <t>Formül/OOXML/kimlik/oracle/golden/metamorfik</t>
        </is>
      </c>
      <c r="E10" s="265" t="inlineStr">
        <is>
          <t>Uygulanabilir hard gate'ler GEÇTİ</t>
        </is>
      </c>
      <c r="F10" s="265" t="inlineStr">
        <is>
          <t>HATA</t>
        </is>
      </c>
      <c r="G10" s="265" t="inlineStr">
        <is>
          <t>Kanıt</t>
        </is>
      </c>
    </row>
    <row r="11">
      <c r="A11" s="269" t="n">
        <v>8</v>
      </c>
      <c r="B11" s="265" t="inlineStr">
        <is>
          <t>Hata-Kontrol Tutarlılığı</t>
        </is>
      </c>
      <c r="C11" s="265" t="inlineStr">
        <is>
          <t>Test sonucu var</t>
        </is>
      </c>
      <c r="D11" s="265" t="inlineStr">
        <is>
          <t>Hata taraması + kontrol sonuçları</t>
        </is>
      </c>
      <c r="E11" s="265" t="inlineStr">
        <is>
          <t>Formül hatası varken GEÇTİ yok</t>
        </is>
      </c>
      <c r="F11" s="265" t="inlineStr">
        <is>
          <t>HATA</t>
        </is>
      </c>
      <c r="G11" s="265" t="inlineStr">
        <is>
          <t>Kanıt</t>
        </is>
      </c>
    </row>
    <row r="12">
      <c r="A12" s="269" t="n">
        <v>9</v>
      </c>
      <c r="B12" s="265" t="inlineStr">
        <is>
          <t>Kanıt</t>
        </is>
      </c>
      <c r="C12" s="265" t="inlineStr">
        <is>
          <t>Test sonucu var</t>
        </is>
      </c>
      <c r="D12" s="265" t="inlineStr">
        <is>
          <t>Makine okunur artefakt + özet</t>
        </is>
      </c>
      <c r="E12" s="265" t="inlineStr">
        <is>
          <t>Kanıt fiziksel ve tutarlı</t>
        </is>
      </c>
      <c r="F12" s="265" t="inlineStr">
        <is>
          <t>HATA</t>
        </is>
      </c>
      <c r="G12" s="265" t="inlineStr">
        <is>
          <t>Kullanıcı Kabulü</t>
        </is>
      </c>
    </row>
    <row r="13">
      <c r="A13" s="269" t="n">
        <v>10</v>
      </c>
      <c r="B13" s="265" t="inlineStr">
        <is>
          <t>Kullanıcı Kabulü</t>
        </is>
      </c>
      <c r="C13" s="265" t="inlineStr">
        <is>
          <t>Kritik görevler</t>
        </is>
      </c>
      <c r="D13" s="265" t="inlineStr">
        <is>
          <t>Gerçek ekran davranışı</t>
        </is>
      </c>
      <c r="E13" s="265" t="inlineStr">
        <is>
          <t>Kritik görevler %100</t>
        </is>
      </c>
      <c r="F13" s="265" t="inlineStr">
        <is>
          <t>DIŞ_KABUL_GEREKLİ</t>
        </is>
      </c>
      <c r="G13" s="265" t="inlineStr">
        <is>
          <t>Ticari</t>
        </is>
      </c>
    </row>
    <row r="14">
      <c r="A14" s="269" t="n">
        <v>11</v>
      </c>
      <c r="B14" s="265" t="inlineStr">
        <is>
          <t>Ticari Değer</t>
        </is>
      </c>
      <c r="C14" s="265" t="inlineStr">
        <is>
          <t>Ürün satılacaksa</t>
        </is>
      </c>
      <c r="D14" s="265" t="inlineStr">
        <is>
          <t>ROI + demo + kanıt paketi</t>
        </is>
      </c>
      <c r="E14" s="265" t="inlineStr">
        <is>
          <t>Ekonomik değer kanıtlı</t>
        </is>
      </c>
      <c r="F14" s="265" t="inlineStr">
        <is>
          <t>UYARI / HATA</t>
        </is>
      </c>
      <c r="G14" s="265" t="inlineStr">
        <is>
          <t>Pazar Doğrulama</t>
        </is>
      </c>
    </row>
    <row r="15">
      <c r="A15" s="269" t="n">
        <v>12</v>
      </c>
      <c r="B15" s="265" t="inlineStr">
        <is>
          <t>Pazar Doğrulama</t>
        </is>
      </c>
      <c r="C15" s="265" t="inlineStr">
        <is>
          <t>Pazar iddiası varsa</t>
        </is>
      </c>
      <c r="D15" s="265" t="inlineStr">
        <is>
          <t>Ücretli satış/pilot/fiyat kabul kanıtı</t>
        </is>
      </c>
      <c r="E15" s="265" t="inlineStr">
        <is>
          <t>Gerçek fiyat kabul kanıtı</t>
        </is>
      </c>
      <c r="F15" s="265" t="inlineStr">
        <is>
          <t>UYGULANMAZ / HATA</t>
        </is>
      </c>
      <c r="G15" s="26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83" min="1" max="1"/>
    <col width="89.5" customWidth="1" style="83" min="2" max="2"/>
    <col width="34.5" customWidth="1" style="83" min="3" max="3"/>
    <col width="16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NİHAİ KONTROL LİSTESİ — KANITSIZ GEÇİŞ YOK</t>
        </is>
      </c>
    </row>
    <row r="2"/>
    <row r="3" ht="24" customHeight="1" s="83">
      <c r="A3" s="271" t="inlineStr">
        <is>
          <t>Kontrol No</t>
        </is>
      </c>
      <c r="B3" s="271" t="inlineStr">
        <is>
          <t>Kontrol</t>
        </is>
      </c>
      <c r="C3" s="271" t="inlineStr">
        <is>
          <t>Beklenen</t>
        </is>
      </c>
      <c r="D3" s="271" t="inlineStr">
        <is>
          <t>Zorunlu Kapı?</t>
        </is>
      </c>
      <c r="E3" s="271" t="inlineStr">
        <is>
          <t>Sonuç</t>
        </is>
      </c>
    </row>
    <row r="4">
      <c r="A4" s="272" t="inlineStr">
        <is>
          <t>K01</t>
        </is>
      </c>
      <c r="B4" s="265" t="inlineStr">
        <is>
          <t>Kullanıcının açık talebi öncelikli mi?</t>
        </is>
      </c>
      <c r="C4" s="265" t="inlineStr">
        <is>
          <t>Evet</t>
        </is>
      </c>
      <c r="D4" s="265" t="inlineStr">
        <is>
          <t>EVET</t>
        </is>
      </c>
    </row>
    <row r="5">
      <c r="A5" s="272" t="inlineStr">
        <is>
          <t>K02</t>
        </is>
      </c>
      <c r="B5" s="265" t="inlineStr">
        <is>
          <t>Mevcut yapı, formüller ve tek gerçek kaynak korunuyor mu?</t>
        </is>
      </c>
      <c r="C5" s="265" t="inlineStr">
        <is>
          <t>Evet, değişiklik gerekçeli</t>
        </is>
      </c>
      <c r="D5" s="265" t="inlineStr">
        <is>
          <t>EVET</t>
        </is>
      </c>
    </row>
    <row r="6">
      <c r="A6" s="272" t="inlineStr">
        <is>
          <t>K03</t>
        </is>
      </c>
      <c r="B6" s="265" t="inlineStr">
        <is>
          <t>Üst aşama HATA ise alt aşama GEÇTİ engelleniyor mu?</t>
        </is>
      </c>
      <c r="C6" s="265" t="inlineStr">
        <is>
          <t>Evet</t>
        </is>
      </c>
      <c r="D6" s="265" t="inlineStr">
        <is>
          <t>EVET</t>
        </is>
      </c>
    </row>
    <row r="7">
      <c r="A7" s="272" t="inlineStr">
        <is>
          <t>K04</t>
        </is>
      </c>
      <c r="B7" s="265" t="inlineStr">
        <is>
          <t>Kanıt fiziksel çıktı ve içerik doğrulaması içeriyor mu?</t>
        </is>
      </c>
      <c r="C7" s="265" t="inlineStr">
        <is>
          <t>Evet</t>
        </is>
      </c>
      <c r="D7" s="265" t="inlineStr">
        <is>
          <t>EVET</t>
        </is>
      </c>
    </row>
    <row r="8">
      <c r="A8" s="272" t="inlineStr">
        <is>
          <t>K05</t>
        </is>
      </c>
      <c r="B8" s="265" t="inlineStr">
        <is>
          <t>Excel GUI erişimi olmadan kullanıcı görünümü GEÇTİ yazılıyor mu?</t>
        </is>
      </c>
      <c r="C8" s="265" t="inlineStr">
        <is>
          <t>Hayır</t>
        </is>
      </c>
      <c r="D8" s="265" t="inlineStr">
        <is>
          <t>EVET</t>
        </is>
      </c>
    </row>
    <row r="9">
      <c r="A9" s="272" t="inlineStr">
        <is>
          <t>K06</t>
        </is>
      </c>
      <c r="B9" s="265" t="inlineStr">
        <is>
          <t>NİHAİ yalnız GEÇTİ / gerekçeli UYGULANMAZ ile mi?</t>
        </is>
      </c>
      <c r="C9" s="265" t="inlineStr">
        <is>
          <t>Evet</t>
        </is>
      </c>
      <c r="D9" s="265" t="inlineStr">
        <is>
          <t>EVET</t>
        </is>
      </c>
    </row>
    <row r="10">
      <c r="A10" s="272" t="inlineStr">
        <is>
          <t>K07</t>
        </is>
      </c>
      <c r="B10" s="265" t="inlineStr">
        <is>
          <t>Ekonomik fiyat savunusu pazar doğrulamasından ayrılmış mı?</t>
        </is>
      </c>
      <c r="C10" s="265" t="inlineStr">
        <is>
          <t>Evet</t>
        </is>
      </c>
      <c r="D10" s="265" t="inlineStr">
        <is>
          <t>EVET</t>
        </is>
      </c>
    </row>
    <row r="11">
      <c r="A11" s="272" t="inlineStr">
        <is>
          <t>K08</t>
        </is>
      </c>
      <c r="B11" s="265" t="inlineStr">
        <is>
          <t>Prestij için gereksiz modül var mı?</t>
        </is>
      </c>
      <c r="C11" s="265" t="inlineStr">
        <is>
          <t>Hayır</t>
        </is>
      </c>
      <c r="D11" s="265" t="inlineStr">
        <is>
          <t>HAYIR</t>
        </is>
      </c>
    </row>
    <row r="12">
      <c r="A12" s="272" t="inlineStr">
        <is>
          <t>K09</t>
        </is>
      </c>
      <c r="B12" s="265" t="inlineStr">
        <is>
          <t>Excel sınırları açık mı?</t>
        </is>
      </c>
      <c r="C12" s="265" t="inlineStr">
        <is>
          <t>Evet</t>
        </is>
      </c>
      <c r="D12" s="265" t="inlineStr">
        <is>
          <t>EVET</t>
        </is>
      </c>
    </row>
    <row r="13">
      <c r="A13" s="272" t="inlineStr">
        <is>
          <t>K10</t>
        </is>
      </c>
      <c r="B13" s="265" t="inlineStr">
        <is>
          <t>Teknik kaynak korunuyor mu?</t>
        </is>
      </c>
      <c r="C13" s="265" t="inlineStr">
        <is>
          <t>Evet</t>
        </is>
      </c>
      <c r="D13" s="265" t="inlineStr">
        <is>
          <t>EVET</t>
        </is>
      </c>
    </row>
    <row r="14">
      <c r="A14" s="272" t="inlineStr">
        <is>
          <t>K11</t>
        </is>
      </c>
      <c r="B14" s="265" t="inlineStr">
        <is>
          <t>Kullanıcıya görünen tüm metinler Türkçe mi?</t>
        </is>
      </c>
      <c r="C14" s="265" t="inlineStr">
        <is>
          <t>Evet</t>
        </is>
      </c>
      <c r="D14" s="265" t="inlineStr">
        <is>
          <t>EVET</t>
        </is>
      </c>
    </row>
    <row r="15">
      <c r="A15" s="272" t="inlineStr">
        <is>
          <t>K12</t>
        </is>
      </c>
      <c r="B15" s="265" t="inlineStr">
        <is>
          <t>Her kullanıcı sayfasında üst başlık var mı?</t>
        </is>
      </c>
      <c r="C15" s="265" t="inlineStr">
        <is>
          <t>Evet</t>
        </is>
      </c>
      <c r="D15" s="265" t="inlineStr">
        <is>
          <t>EVET</t>
        </is>
      </c>
    </row>
    <row r="16">
      <c r="A16" s="272" t="inlineStr">
        <is>
          <t>K13</t>
        </is>
      </c>
      <c r="B16" s="265" t="inlineStr">
        <is>
          <t>Sayfalar arasında tutarlı renk sistemi var mı?</t>
        </is>
      </c>
      <c r="C16" s="265" t="inlineStr">
        <is>
          <t>Evet</t>
        </is>
      </c>
      <c r="D16" s="265" t="inlineStr">
        <is>
          <t>EVET</t>
        </is>
      </c>
    </row>
    <row r="17">
      <c r="A17" s="272" t="inlineStr">
        <is>
          <t>K14</t>
        </is>
      </c>
      <c r="B17" s="265" t="inlineStr">
        <is>
          <t>Alt sayfa sekmeleri işlevine göre renklendirilmiş mi?</t>
        </is>
      </c>
      <c r="C17" s="265" t="inlineStr">
        <is>
          <t>Evet</t>
        </is>
      </c>
      <c r="D17" s="265" t="inlineStr">
        <is>
          <t>EVET</t>
        </is>
      </c>
    </row>
    <row r="18">
      <c r="A18" s="272" t="inlineStr">
        <is>
          <t>K15</t>
        </is>
      </c>
      <c r="B18" s="265" t="inlineStr">
        <is>
          <t>İçerik blokları arasında gereksiz boş kolon var mı?</t>
        </is>
      </c>
      <c r="C18" s="265" t="inlineStr">
        <is>
          <t>Hayır</t>
        </is>
      </c>
      <c r="D18" s="265" t="inlineStr">
        <is>
          <t>EVET</t>
        </is>
      </c>
    </row>
    <row r="19">
      <c r="A19" s="272" t="inlineStr">
        <is>
          <t>K16</t>
        </is>
      </c>
      <c r="B19" s="265" t="inlineStr">
        <is>
          <t>Grafikler premium ve karar odaklı mı?</t>
        </is>
      </c>
      <c r="C19" s="265" t="inlineStr">
        <is>
          <t>Evet</t>
        </is>
      </c>
      <c r="D19" s="265" t="inlineStr">
        <is>
          <t>EVET</t>
        </is>
      </c>
    </row>
    <row r="20">
      <c r="A20" s="272" t="inlineStr">
        <is>
          <t>K17</t>
        </is>
      </c>
      <c r="B20" s="265" t="inlineStr">
        <is>
          <t>Varsayılan Excel grafiği / 3B / dekoratif grafik var mı?</t>
        </is>
      </c>
      <c r="C20" s="265" t="inlineStr">
        <is>
          <t>Hayır</t>
        </is>
      </c>
      <c r="D20" s="265" t="inlineStr">
        <is>
          <t>EVET</t>
        </is>
      </c>
    </row>
    <row r="21">
      <c r="A21" s="272" t="inlineStr">
        <is>
          <t>K18</t>
        </is>
      </c>
      <c r="B21" s="265" t="inlineStr">
        <is>
          <t>Finansal ürün Türkiye Tekdüzen Hesap Planı ile eşleşiyor mu?</t>
        </is>
      </c>
      <c r="C21" s="265" t="inlineStr">
        <is>
          <t>Evet</t>
        </is>
      </c>
      <c r="D21" s="265" t="inlineStr">
        <is>
          <t>EVET</t>
        </is>
      </c>
    </row>
    <row r="22">
      <c r="A22" s="272" t="inlineStr">
        <is>
          <t>K19</t>
        </is>
      </c>
      <c r="B22" s="265" t="inlineStr">
        <is>
          <t>Muhasebe satır adları Türkiye kullanımına uygun mu?</t>
        </is>
      </c>
      <c r="C22" s="265" t="inlineStr">
        <is>
          <t>Evet</t>
        </is>
      </c>
      <c r="D22" s="265" t="inlineStr">
        <is>
          <t>EVET</t>
        </is>
      </c>
    </row>
    <row r="23">
      <c r="A23" s="272" t="inlineStr">
        <is>
          <t>K20</t>
        </is>
      </c>
      <c r="B23" s="265" t="inlineStr">
        <is>
          <t>Formül hatası varken herhangi bir kontrol GEÇTİ gösteriyor mu?</t>
        </is>
      </c>
      <c r="C23" s="265" t="inlineStr">
        <is>
          <t>Hayır</t>
        </is>
      </c>
      <c r="D23" s="265" t="inlineStr">
        <is>
          <t>EVET</t>
        </is>
      </c>
    </row>
    <row r="24">
      <c r="A24" s="272" t="inlineStr">
        <is>
          <t>K21</t>
        </is>
      </c>
      <c r="B24" s="265" t="inlineStr">
        <is>
          <t>Karar Motoru boş veya yalnız başlık düzeyinde mi?</t>
        </is>
      </c>
      <c r="C24" s="265" t="inlineStr">
        <is>
          <t>Hayır</t>
        </is>
      </c>
      <c r="D24" s="265" t="inlineStr">
        <is>
          <t>EVET</t>
        </is>
      </c>
    </row>
    <row r="25">
      <c r="A25" s="272" t="inlineStr">
        <is>
          <t>K22</t>
        </is>
      </c>
      <c r="B25" s="265" t="inlineStr">
        <is>
          <t>Senaryo/Stres modülü gerçekten sonuç değiştiriyor mu?</t>
        </is>
      </c>
      <c r="C25" s="265" t="inlineStr">
        <is>
          <t>Evet</t>
        </is>
      </c>
      <c r="D25" s="265" t="inlineStr">
        <is>
          <t>EVET</t>
        </is>
      </c>
    </row>
    <row r="26">
      <c r="A26" s="272" t="inlineStr">
        <is>
          <t>K23</t>
        </is>
      </c>
      <c r="B26" s="265" t="inlineStr">
        <is>
          <t>Oracle/bağımsız doğrulama gerçek veri üretiyor mu?</t>
        </is>
      </c>
      <c r="C26" s="265" t="inlineStr">
        <is>
          <t>Evet veya gerekçeli UYGULANMAZ</t>
        </is>
      </c>
      <c r="D26" s="265" t="inlineStr">
        <is>
          <t>EVET</t>
        </is>
      </c>
    </row>
    <row r="27">
      <c r="A27" s="272" t="inlineStr">
        <is>
          <t>K24</t>
        </is>
      </c>
      <c r="B27" s="265" t="inlineStr">
        <is>
          <t>Yönetici ekranı 5 saniyede sorunu ve aksiyonu anlatıyor mu?</t>
        </is>
      </c>
      <c r="C27" s="265" t="inlineStr">
        <is>
          <t>Evet</t>
        </is>
      </c>
      <c r="D27" s="265" t="inlineStr">
        <is>
          <t>EVET</t>
        </is>
      </c>
    </row>
    <row r="28">
      <c r="A28" s="272" t="inlineStr">
        <is>
          <t>K25</t>
        </is>
      </c>
      <c r="B28" s="265" t="inlineStr">
        <is>
          <t>Her kritik kararın parasal etkisi ve önerilen aksiyonu var mı?</t>
        </is>
      </c>
      <c r="C28" s="265" t="inlineStr">
        <is>
          <t>Evet</t>
        </is>
      </c>
      <c r="D28" s="265" t="inlineStr">
        <is>
          <t>EVET</t>
        </is>
      </c>
    </row>
    <row r="29">
      <c r="A29" s="272" t="inlineStr">
        <is>
          <t>K26</t>
        </is>
      </c>
      <c r="B29" s="265" t="inlineStr">
        <is>
          <t>Ürün sayfası/ürün içi demo satın alma gerekçesini kanıtlıyor mu?</t>
        </is>
      </c>
      <c r="C29" s="265" t="inlineStr">
        <is>
          <t>Evet</t>
        </is>
      </c>
      <c r="D29" s="265" t="inlineStr">
        <is>
          <t>EVET</t>
        </is>
      </c>
    </row>
    <row r="30" ht="30" customHeight="1" s="83">
      <c r="A30" s="273" t="inlineStr">
        <is>
          <t>K27</t>
        </is>
      </c>
      <c r="B30" s="274" t="inlineStr">
        <is>
          <t>Buton görünümü verilen tüm alanlar gerçekten tıklanabilir ve doğru hedefe gidiyor mu?</t>
        </is>
      </c>
      <c r="C30" s="274" t="inlineStr">
        <is>
          <t>Evet</t>
        </is>
      </c>
      <c r="D30" s="265" t="inlineStr">
        <is>
          <t>EVET</t>
        </is>
      </c>
    </row>
    <row r="31" ht="30" customHeight="1" s="83">
      <c r="A31" s="273" t="inlineStr">
        <is>
          <t>K28</t>
        </is>
      </c>
      <c r="B31" s="274" t="inlineStr">
        <is>
          <t>Tüm görünür kullanıcı sheet tabları kurumsal kategori rengi taşıyor mu?</t>
        </is>
      </c>
      <c r="C31" s="274" t="inlineStr">
        <is>
          <t>Evet</t>
        </is>
      </c>
      <c r="D31" s="265" t="inlineStr">
        <is>
          <t>EVET</t>
        </is>
      </c>
    </row>
    <row r="32" ht="16" customHeight="1" s="83">
      <c r="A32" s="273" t="inlineStr">
        <is>
          <t>K29</t>
        </is>
      </c>
      <c r="B32" s="274" t="inlineStr">
        <is>
          <t>Sheet sırası tanımlı kullanıcı iş akışıyla birebir aynı mı?</t>
        </is>
      </c>
      <c r="C32" s="274" t="inlineStr">
        <is>
          <t>Evet</t>
        </is>
      </c>
      <c r="D32" s="265" t="inlineStr">
        <is>
          <t>EVET</t>
        </is>
      </c>
    </row>
    <row r="33" ht="30" customHeight="1" s="83">
      <c r="A33" s="273" t="inlineStr">
        <is>
          <t>K30</t>
        </is>
      </c>
      <c r="B33" s="274" t="inlineStr">
        <is>
          <t>Kurumsal renk paleti tutarlı mı; rastgele/gökkuşağı renk kullanımı var mı?</t>
        </is>
      </c>
      <c r="C33" s="274" t="inlineStr">
        <is>
          <t>Evet / Hayır</t>
        </is>
      </c>
      <c r="D33" s="265" t="inlineStr">
        <is>
          <t>EVET</t>
        </is>
      </c>
    </row>
    <row r="34" ht="30" customHeight="1" s="83">
      <c r="A34" s="273" t="inlineStr">
        <is>
          <t>K31</t>
        </is>
      </c>
      <c r="B34" s="274" t="inlineStr">
        <is>
          <t>Premium vitrin, altyapı kadar güçlü ve satış fiyatını destekleyecek seviyede mi?</t>
        </is>
      </c>
      <c r="C34" s="274" t="inlineStr">
        <is>
          <t>Evet</t>
        </is>
      </c>
      <c r="D34" s="26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83" min="1" max="1"/>
    <col width="71.5" customWidth="1" style="83" min="2" max="2"/>
    <col width="160.5" customWidth="1" style="83" min="3" max="3"/>
    <col width="70.5" customWidth="1" style="83" min="4" max="4"/>
    <col width="50.5" customWidth="1" style="83" min="5" max="5"/>
    <col width="16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GÖRSEL TASARIM VE PREMIUM EXCEL STANDARDI</t>
        </is>
      </c>
    </row>
    <row r="2"/>
    <row r="3" ht="24" customHeight="1" s="83">
      <c r="A3" s="276" t="inlineStr">
        <is>
          <t>Alan</t>
        </is>
      </c>
      <c r="B3" s="276" t="inlineStr">
        <is>
          <t>Zorunlu Kural</t>
        </is>
      </c>
      <c r="C3" s="276" t="inlineStr">
        <is>
          <t>Uygulama</t>
        </is>
      </c>
      <c r="D3" s="276" t="inlineStr">
        <is>
          <t>Yasak</t>
        </is>
      </c>
      <c r="E3" s="276" t="inlineStr">
        <is>
          <t>Kontrol</t>
        </is>
      </c>
      <c r="F3" s="276" t="inlineStr">
        <is>
          <t>Durum</t>
        </is>
      </c>
    </row>
    <row r="4" ht="28" customHeight="1" s="83">
      <c r="A4" s="277" t="inlineStr">
        <is>
          <t>Sayfa başlığı</t>
        </is>
      </c>
      <c r="B4" s="265" t="inlineStr">
        <is>
          <t>Her kullanıcı sayfasının en üstünde tek ve açık sayfa başlığı</t>
        </is>
      </c>
      <c r="C4" s="265" t="inlineStr">
        <is>
          <t>A1'den başlayan koyu lacivert başlık bandı</t>
        </is>
      </c>
      <c r="D4" s="265" t="inlineStr">
        <is>
          <t>Başlıksız sayfa</t>
        </is>
      </c>
      <c r="E4" s="265" t="inlineStr">
        <is>
          <t>Başlık kapsama = %100</t>
        </is>
      </c>
      <c r="F4" s="278" t="inlineStr">
        <is>
          <t>ZORUNLU</t>
        </is>
      </c>
    </row>
    <row r="5" ht="28" customHeight="1" s="83">
      <c r="A5" s="277" t="inlineStr">
        <is>
          <t>Sekme renkleri</t>
        </is>
      </c>
      <c r="B5" s="265" t="inlineStr">
        <is>
          <t>Sayfalar işlevine göre renk kodlanır</t>
        </is>
      </c>
      <c r="C5" s="265" t="inlineStr">
        <is>
          <t>Girdi=mavi, hesap=gri, rapor=lacivert, kontrol=kırmızı, kılavuz=altın</t>
        </is>
      </c>
      <c r="D5" s="265" t="inlineStr">
        <is>
          <t>Rastgele renk</t>
        </is>
      </c>
      <c r="E5" s="265" t="inlineStr">
        <is>
          <t>Renk semantiği tutarlı</t>
        </is>
      </c>
      <c r="F5" s="278" t="inlineStr">
        <is>
          <t>ZORUNLU</t>
        </is>
      </c>
    </row>
    <row r="6" ht="28" customHeight="1" s="83">
      <c r="A6" s="277" t="inlineStr">
        <is>
          <t>Kolon düzeni</t>
        </is>
      </c>
      <c r="B6" s="265" t="inlineStr">
        <is>
          <t>Veri blokları bitişik kolonlarda ilerler</t>
        </is>
      </c>
      <c r="C6" s="265" t="inlineStr">
        <is>
          <t>Gereksiz boş kolon bırakma; yalnız gerçek bölüm ayrımı varsa kontrollü boşluk</t>
        </is>
      </c>
      <c r="D6" s="265" t="inlineStr">
        <is>
          <t>A:C veri, D boş, E:F veri gibi parçalı yapı</t>
        </is>
      </c>
      <c r="E6" s="265" t="inlineStr">
        <is>
          <t>Boş kolon taraması</t>
        </is>
      </c>
      <c r="F6" s="278" t="inlineStr">
        <is>
          <t>ZORUNLU</t>
        </is>
      </c>
    </row>
    <row r="7" ht="16" customHeight="1" s="83">
      <c r="A7" s="277" t="inlineStr">
        <is>
          <t>Girdi hücreleri</t>
        </is>
      </c>
      <c r="B7" s="265" t="inlineStr">
        <is>
          <t>Kullanıcının değiştireceği alan açıkça görünür</t>
        </is>
      </c>
      <c r="C7" s="265" t="inlineStr">
        <is>
          <t>Açık sarı dolgu + mavi yazı</t>
        </is>
      </c>
      <c r="D7" s="265" t="inlineStr">
        <is>
          <t>Formülle aynı görünüm</t>
        </is>
      </c>
      <c r="E7" s="265" t="inlineStr">
        <is>
          <t>Girdi/formül ayrımı</t>
        </is>
      </c>
      <c r="F7" s="278" t="inlineStr">
        <is>
          <t>ZORUNLU</t>
        </is>
      </c>
    </row>
    <row r="8" ht="16" customHeight="1" s="83">
      <c r="A8" s="277" t="inlineStr">
        <is>
          <t>Formüller</t>
        </is>
      </c>
      <c r="B8" s="265" t="inlineStr">
        <is>
          <t>Hesap hücreleri kullanıcı girdisinden ayrılır</t>
        </is>
      </c>
      <c r="C8" s="265" t="inlineStr">
        <is>
          <t>Siyah yazı; sayfalar arası bağlantı yeşil yazı</t>
        </is>
      </c>
      <c r="D8" s="265" t="inlineStr">
        <is>
          <t>Hard-code gizleme</t>
        </is>
      </c>
      <c r="E8" s="265" t="inlineStr">
        <is>
          <t>Formül sınıfı kontrolü</t>
        </is>
      </c>
      <c r="F8" s="278" t="inlineStr">
        <is>
          <t>ZORUNLU</t>
        </is>
      </c>
    </row>
    <row r="9" ht="16" customHeight="1" s="83">
      <c r="A9" s="277" t="inlineStr">
        <is>
          <t>Grafik sayısı</t>
        </is>
      </c>
      <c r="B9" s="265" t="inlineStr">
        <is>
          <t>Yönetici ekranında en fazla 3 ana karar grafiği</t>
        </is>
      </c>
      <c r="C9" s="265" t="inlineStr">
        <is>
          <t>Trend, karşılaştırma, köprü/dağılım; iş kararına bağlı</t>
        </is>
      </c>
      <c r="D9" s="265" t="inlineStr">
        <is>
          <t>Grafik kalabalığı</t>
        </is>
      </c>
      <c r="E9" s="265" t="inlineStr">
        <is>
          <t>Grafik başına karar sorusu</t>
        </is>
      </c>
      <c r="F9" s="278" t="inlineStr">
        <is>
          <t>ZORUNLU</t>
        </is>
      </c>
    </row>
    <row r="10" ht="16" customHeight="1" s="83">
      <c r="A10" s="277" t="inlineStr">
        <is>
          <t>Grafik stili</t>
        </is>
      </c>
      <c r="B10" s="265" t="inlineStr">
        <is>
          <t>Kurumsal ve yüksek okunabilirlik</t>
        </is>
      </c>
      <c r="C10" s="265" t="inlineStr">
        <is>
          <t>Beyaz zemin, ince gridline, tek vurgu rengi, açık birim/başlık</t>
        </is>
      </c>
      <c r="D10" s="265" t="inlineStr">
        <is>
          <t>3B, gölge, neon, gökkuşağı renkleri</t>
        </is>
      </c>
      <c r="E10" s="265" t="inlineStr">
        <is>
          <t>Görsel inceleme</t>
        </is>
      </c>
      <c r="F10" s="278" t="inlineStr">
        <is>
          <t>ZORUNLU</t>
        </is>
      </c>
    </row>
    <row r="11" ht="16" customHeight="1" s="83">
      <c r="A11" s="277" t="inlineStr">
        <is>
          <t>Grafik başlığı</t>
        </is>
      </c>
      <c r="B11" s="265" t="inlineStr">
        <is>
          <t>Grafik 'neyi' değil 'ne anlama geldiğini' söyler</t>
        </is>
      </c>
      <c r="C11" s="265" t="inlineStr">
        <is>
          <t>Örn: 'Nakit 2028'de kritik eşiğin altına iniyor'</t>
        </is>
      </c>
      <c r="D11" s="265" t="inlineStr">
        <is>
          <t>'Nakit Grafiği' gibi anlamsız başlık</t>
        </is>
      </c>
      <c r="E11" s="265" t="inlineStr">
        <is>
          <t>Başlık karar testi</t>
        </is>
      </c>
      <c r="F11" s="278" t="inlineStr">
        <is>
          <t>ZORUNLU</t>
        </is>
      </c>
    </row>
    <row r="12" ht="16" customHeight="1" s="83">
      <c r="A12" s="277" t="inlineStr">
        <is>
          <t>Birimler</t>
        </is>
      </c>
      <c r="B12" s="265" t="inlineStr">
        <is>
          <t>Tüm finansal görsellerde birim açık</t>
        </is>
      </c>
      <c r="C12" s="265" t="inlineStr">
        <is>
          <t>TL, bin TL, milyon TL, %, gün, x</t>
        </is>
      </c>
      <c r="D12" s="265" t="inlineStr">
        <is>
          <t>Birim belirsizliği</t>
        </is>
      </c>
      <c r="E12" s="265" t="inlineStr">
        <is>
          <t>Birim kapsama %100</t>
        </is>
      </c>
      <c r="F12" s="278" t="inlineStr">
        <is>
          <t>ZORUNLU</t>
        </is>
      </c>
    </row>
    <row r="13" ht="16" customHeight="1" s="83">
      <c r="A13" s="277" t="inlineStr">
        <is>
          <t>Sıfır/negatif</t>
        </is>
      </c>
      <c r="B13" s="265" t="inlineStr">
        <is>
          <t>Finansal format standardı</t>
        </is>
      </c>
      <c r="C13" s="265" t="inlineStr">
        <is>
          <t>Sıfır='-', negatif kırmızı parantez</t>
        </is>
      </c>
      <c r="D13" s="265" t="inlineStr">
        <is>
          <t>-500 veya 0,00 kalabalığı</t>
        </is>
      </c>
      <c r="E13" s="265" t="inlineStr">
        <is>
          <t>Format kontrolü</t>
        </is>
      </c>
      <c r="F13" s="278" t="inlineStr">
        <is>
          <t>ZORUNLU</t>
        </is>
      </c>
    </row>
    <row r="14" ht="16" customHeight="1" s="83">
      <c r="A14" s="277" t="inlineStr">
        <is>
          <t>Yazı tipi</t>
        </is>
      </c>
      <c r="B14" s="265" t="inlineStr">
        <is>
          <t>Tek aile</t>
        </is>
      </c>
      <c r="C14" s="265" t="inlineStr">
        <is>
          <t>Aptos veya Segoe UI</t>
        </is>
      </c>
      <c r="D14" s="265" t="inlineStr">
        <is>
          <t>Karışık font</t>
        </is>
      </c>
      <c r="E14" s="265" t="inlineStr">
        <is>
          <t>Tek font kontrolü</t>
        </is>
      </c>
      <c r="F14" s="278" t="inlineStr">
        <is>
          <t>ZORUNLU</t>
        </is>
      </c>
    </row>
    <row r="15" ht="16" customHeight="1" s="83">
      <c r="A15" s="277" t="inlineStr">
        <is>
          <t>Izgara</t>
        </is>
      </c>
      <c r="B15" s="265" t="inlineStr">
        <is>
          <t>Kullanıcı sayfalarında kapalı</t>
        </is>
      </c>
      <c r="C15" s="265" t="inlineStr">
        <is>
          <t>Bölüm çizgileri ve kart sınırlarıyla düzen</t>
        </is>
      </c>
      <c r="D15" s="265" t="inlineStr">
        <is>
          <t>Excel varsayılan gridline</t>
        </is>
      </c>
      <c r="E15" s="265" t="inlineStr">
        <is>
          <t>Gridline kontrolü</t>
        </is>
      </c>
      <c r="F15" s="278" t="inlineStr">
        <is>
          <t>ZORUNLU</t>
        </is>
      </c>
    </row>
    <row r="16" ht="16" customHeight="1" s="83">
      <c r="A16" s="277" t="inlineStr">
        <is>
          <t>Boş durum</t>
        </is>
      </c>
      <c r="B16" s="265" t="inlineStr">
        <is>
          <t>Veri yokken temiz ve anlaşılır</t>
        </is>
      </c>
      <c r="C16" s="265" t="inlineStr">
        <is>
          <t>'Henüz veri yok' / 'Girdi bekleniyor'</t>
        </is>
      </c>
      <c r="D16" s="265" t="inlineStr">
        <is>
          <t>0 yığını / hata kodu</t>
        </is>
      </c>
      <c r="E16" s="265" t="inlineStr">
        <is>
          <t>Boş veri testi</t>
        </is>
      </c>
      <c r="F16" s="278" t="inlineStr">
        <is>
          <t>ZORUNLU</t>
        </is>
      </c>
    </row>
    <row r="17" ht="28" customHeight="1" s="83">
      <c r="A17" s="277" t="inlineStr">
        <is>
          <t>Başlangıç deneyimi</t>
        </is>
      </c>
      <c r="B17" s="265" t="inlineStr">
        <is>
          <t>İlk 5 saniyede ne gireceği ve neye bakacağı anlaşılır</t>
        </is>
      </c>
      <c r="C17" s="265" t="inlineStr">
        <is>
          <t>Girdi → durum → aksiyon akışı</t>
        </is>
      </c>
      <c r="D17" s="265" t="inlineStr">
        <is>
          <t>Kılavuz aramaya zorlama</t>
        </is>
      </c>
      <c r="E17" s="265" t="inlineStr">
        <is>
          <t>5 saniye testi</t>
        </is>
      </c>
      <c r="F17" s="278" t="inlineStr">
        <is>
          <t>ZORUNLU</t>
        </is>
      </c>
    </row>
    <row r="18" ht="30" customHeight="1" s="83">
      <c r="A18" s="273" t="inlineStr">
        <is>
          <t>Buton standardı</t>
        </is>
      </c>
      <c r="B18" s="274" t="inlineStr">
        <is>
          <t>Buton görünümü verilen her alan gerçek işlev taşır</t>
        </is>
      </c>
      <c r="C18" s="274" t="inlineStr">
        <is>
          <t>Sayfa içi HYPERLINK / gerçek aksiyon; tıklanınca hedefe gider</t>
        </is>
      </c>
      <c r="D18" s="274" t="inlineStr">
        <is>
          <t>İşlevsiz dekoratif buton / sahte navigasyon</t>
        </is>
      </c>
      <c r="E18" s="274" t="inlineStr">
        <is>
          <t>Butonların %100'ü tıklanabilir ve hedefi doğru</t>
        </is>
      </c>
      <c r="F18" s="278" t="inlineStr">
        <is>
          <t>ZORUNLU</t>
        </is>
      </c>
    </row>
    <row r="19" ht="32" customHeight="1" s="83">
      <c r="A19" s="273" t="inlineStr">
        <is>
          <t>Native sayfa sekmesi rengi</t>
        </is>
      </c>
      <c r="B19" s="274" t="inlineStr">
        <is>
          <t>Excel alt sheet tabları kurumsal paletle renklendirilir</t>
        </is>
      </c>
      <c r="C19" s="274" t="inlineStr">
        <is>
          <t>Başlangıç/özet=lacivert; girdiler=mavi; hesap/finans=teal; karar/kontrol=burgundy; doküman=gri</t>
        </is>
      </c>
      <c r="D19" s="274" t="inlineStr">
        <is>
          <t>Renksiz sekmeler veya rastgele/gökkuşağı renkleri</t>
        </is>
      </c>
      <c r="E19" s="274" t="inlineStr">
        <is>
          <t>Tüm görünür kullanıcı sheet tabları renkli</t>
        </is>
      </c>
      <c r="F19" s="278" t="inlineStr">
        <is>
          <t>ZORUNLU</t>
        </is>
      </c>
    </row>
    <row r="20" ht="60" customHeight="1" s="83">
      <c r="A20" s="273" t="inlineStr">
        <is>
          <t>İş akışı sıralaması</t>
        </is>
      </c>
      <c r="B20" s="274" t="inlineStr">
        <is>
          <t>Sayfalar kullanıcının çalışma sırasına göre fiziksel olarak dizilir</t>
        </is>
      </c>
      <c r="C20" s="27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74" t="inlineStr">
        <is>
          <t>Teknik oluşturma sırasına göre dağınık sheet dizilimi</t>
        </is>
      </c>
      <c r="E20" s="274" t="inlineStr">
        <is>
          <t>Sheet order = tanımlı workflow</t>
        </is>
      </c>
      <c r="F20" s="278" t="inlineStr">
        <is>
          <t>ZORUNLU</t>
        </is>
      </c>
    </row>
    <row r="21" ht="30" customHeight="1" s="83">
      <c r="A21" s="273" t="inlineStr">
        <is>
          <t>Kurumsal renk paleti</t>
        </is>
      </c>
      <c r="B21" s="274" t="inlineStr">
        <is>
          <t>Sekme, başlık, buton ve vurgu renkleri tek kurumsal paletten gelir</t>
        </is>
      </c>
      <c r="C21" s="274" t="inlineStr">
        <is>
          <t>Lacivert + mavi + teal + kontrollü burgundy/gri; kategori semantiği sabit</t>
        </is>
      </c>
      <c r="D21" s="274" t="inlineStr">
        <is>
          <t>Neon, rastgele yüksek doygunluk, her sayfada farklı bağımsız renk</t>
        </is>
      </c>
      <c r="E21" s="274" t="inlineStr">
        <is>
          <t>Palette token kontrolü</t>
        </is>
      </c>
      <c r="F21" s="278" t="inlineStr">
        <is>
          <t>ZORUNLU</t>
        </is>
      </c>
    </row>
    <row r="22" ht="45" customHeight="1" s="83">
      <c r="A22" s="273" t="inlineStr">
        <is>
          <t>Premium vitrin</t>
        </is>
      </c>
      <c r="B22" s="274" t="inlineStr">
        <is>
          <t>Görsel kalite ürün değerinin zorunlu parçasıdır</t>
        </is>
      </c>
      <c r="C22" s="274" t="inlineStr">
        <is>
          <t>Kaliteli grafik, gerçek KPI kartı, finansal hiyerarşi, tab rengi, fonksiyonel navigasyon</t>
        </is>
      </c>
      <c r="D22" s="274" t="inlineStr">
        <is>
          <t>Sadece doğru hesap yapıp çıplak/varsayılan Excel görünümü bırakmak</t>
        </is>
      </c>
      <c r="E22" s="274" t="inlineStr">
        <is>
          <t>Görsel release incelemesi</t>
        </is>
      </c>
      <c r="F22" s="27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83" min="1" max="1"/>
    <col width="60.5" customWidth="1" style="83" min="2" max="2"/>
    <col width="86.5" customWidth="1" style="83" min="3" max="3"/>
    <col width="40.5" customWidth="1" style="83" min="4" max="4"/>
    <col width="39.5" customWidth="1" style="83" min="5" max="5"/>
    <col width="27.5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TÜRKİYE MUHASEBE VE TEKDÜZEN HESAP PLANI STANDARDI</t>
        </is>
      </c>
    </row>
    <row r="2"/>
    <row r="3" ht="24" customHeight="1" s="83">
      <c r="A3" s="280" t="inlineStr">
        <is>
          <t>Konu</t>
        </is>
      </c>
      <c r="B3" s="280" t="inlineStr">
        <is>
          <t>Zorunlu Standart</t>
        </is>
      </c>
      <c r="C3" s="280" t="inlineStr">
        <is>
          <t>Örnek Türkçe Ad</t>
        </is>
      </c>
      <c r="D3" s="280" t="inlineStr">
        <is>
          <t>THP / Mantık</t>
        </is>
      </c>
      <c r="E3" s="280" t="inlineStr">
        <is>
          <t>Hata Riski</t>
        </is>
      </c>
      <c r="F3" s="280" t="inlineStr">
        <is>
          <t>Kontrol</t>
        </is>
      </c>
    </row>
    <row r="4">
      <c r="A4" s="281" t="inlineStr">
        <is>
          <t>Dil</t>
        </is>
      </c>
      <c r="B4" s="265" t="inlineStr">
        <is>
          <t>Kullanıcıya görünen finansal terimler Türkçe</t>
        </is>
      </c>
      <c r="C4" s="265" t="inlineStr">
        <is>
          <t>Hasılat, Satışların Maliyeti, Brüt Kâr, Faaliyet Giderleri</t>
        </is>
      </c>
      <c r="D4" s="265" t="inlineStr">
        <is>
          <t>Türk işletme kullanımına uygun</t>
        </is>
      </c>
      <c r="E4" s="265" t="inlineStr">
        <is>
          <t>İngilizce jargon</t>
        </is>
      </c>
      <c r="F4" s="265" t="inlineStr">
        <is>
          <t>Terminoloji taraması</t>
        </is>
      </c>
    </row>
    <row r="5" ht="28" customHeight="1" s="83">
      <c r="A5" s="281" t="inlineStr">
        <is>
          <t>Gelir Tablosu</t>
        </is>
      </c>
      <c r="B5" s="265" t="inlineStr">
        <is>
          <t>Türk sunum sırası kullanılır</t>
        </is>
      </c>
      <c r="C5" s="265" t="inlineStr">
        <is>
          <t>Net Satışlar → Satışların Maliyeti → Brüt Kâr → Faaliyet Giderleri → Faaliyet Kârı</t>
        </is>
      </c>
      <c r="D5" s="265" t="inlineStr">
        <is>
          <t>600/610/611; 620-623; 63x</t>
        </is>
      </c>
      <c r="E5" s="265" t="inlineStr">
        <is>
          <t>Yanlış sınıflama</t>
        </is>
      </c>
      <c r="F5" s="265" t="inlineStr">
        <is>
          <t>Hesap eşleme</t>
        </is>
      </c>
    </row>
    <row r="6" ht="28" customHeight="1" s="83">
      <c r="A6" s="281" t="inlineStr">
        <is>
          <t>Bilanço</t>
        </is>
      </c>
      <c r="B6" s="265" t="inlineStr">
        <is>
          <t>Dönen/Duran Varlık ve Kısa/Uzun Vadeli Yükümlülük ayrımı</t>
        </is>
      </c>
      <c r="C6" s="265" t="inlineStr">
        <is>
          <t>Hazır Değerler, Ticari Alacaklar, Stoklar, Mali Borçlar</t>
        </is>
      </c>
      <c r="D6" s="265" t="inlineStr">
        <is>
          <t>1xx / 2xx / 3xx / 4xx / 5xx</t>
        </is>
      </c>
      <c r="E6" s="265" t="inlineStr">
        <is>
          <t>Vade sınıfı hatası</t>
        </is>
      </c>
      <c r="F6" s="265" t="inlineStr">
        <is>
          <t>Bilanço eşitliği</t>
        </is>
      </c>
    </row>
    <row r="7">
      <c r="A7" s="281" t="inlineStr">
        <is>
          <t>Nakit Akışı</t>
        </is>
      </c>
      <c r="B7" s="265" t="inlineStr">
        <is>
          <t>İşletme/Yatırım/Finansman nakit akışları ayrılır</t>
        </is>
      </c>
      <c r="C7" s="265" t="inlineStr">
        <is>
          <t>Faaliyetlerden Nakit, Yatırım Harcamaları, Finansman Nakit Akışı</t>
        </is>
      </c>
      <c r="D7" s="265" t="inlineStr">
        <is>
          <t>Dolaylı/doğrudan yöntem açık seçilir</t>
        </is>
      </c>
      <c r="E7" s="265" t="inlineStr">
        <is>
          <t>Kâr = nakit sanılması</t>
        </is>
      </c>
      <c r="F7" s="265" t="inlineStr">
        <is>
          <t>Nakit devri</t>
        </is>
      </c>
    </row>
    <row r="8">
      <c r="A8" s="281" t="inlineStr">
        <is>
          <t>Ticari Alacaklar</t>
        </is>
      </c>
      <c r="B8" s="265" t="inlineStr">
        <is>
          <t>Cari ve vade mantığı korunur</t>
        </is>
      </c>
      <c r="C8" s="265" t="inlineStr">
        <is>
          <t>120 Alıcılar</t>
        </is>
      </c>
      <c r="D8" s="265" t="inlineStr">
        <is>
          <t>120</t>
        </is>
      </c>
      <c r="E8" s="265" t="inlineStr">
        <is>
          <t>Tahakkuk/nakit karışması</t>
        </is>
      </c>
      <c r="F8" s="265" t="inlineStr">
        <is>
          <t>Alacak devir kontrolü</t>
        </is>
      </c>
    </row>
    <row r="9">
      <c r="A9" s="281" t="inlineStr">
        <is>
          <t>Ticari Borçlar</t>
        </is>
      </c>
      <c r="B9" s="265" t="inlineStr">
        <is>
          <t>Tedarikçi borcu ayrı izlenir</t>
        </is>
      </c>
      <c r="C9" s="265" t="inlineStr">
        <is>
          <t>320 Satıcılar</t>
        </is>
      </c>
      <c r="D9" s="265" t="inlineStr">
        <is>
          <t>320</t>
        </is>
      </c>
      <c r="E9" s="265" t="inlineStr">
        <is>
          <t>Gider/ödeme karışması</t>
        </is>
      </c>
      <c r="F9" s="265" t="inlineStr">
        <is>
          <t>Borç devir kontrolü</t>
        </is>
      </c>
    </row>
    <row r="10">
      <c r="A10" s="281" t="inlineStr">
        <is>
          <t>Kasa/Banka</t>
        </is>
      </c>
      <c r="B10" s="265" t="inlineStr">
        <is>
          <t>Hazır değerler ayrı izlenir</t>
        </is>
      </c>
      <c r="C10" s="265" t="inlineStr">
        <is>
          <t>100 Kasa, 102 Bankalar</t>
        </is>
      </c>
      <c r="D10" s="265" t="inlineStr">
        <is>
          <t>100 / 102</t>
        </is>
      </c>
      <c r="E10" s="265" t="inlineStr">
        <is>
          <t>Virmanla toplam nakdin değişmesi</t>
        </is>
      </c>
      <c r="F10" s="265" t="inlineStr">
        <is>
          <t>Virman değişmezi</t>
        </is>
      </c>
    </row>
    <row r="11">
      <c r="A11" s="281" t="inlineStr">
        <is>
          <t>Stok</t>
        </is>
      </c>
      <c r="B11" s="265" t="inlineStr">
        <is>
          <t>Dikeye uygun stok türü</t>
        </is>
      </c>
      <c r="C11" s="265" t="inlineStr">
        <is>
          <t>150 İlk Madde ve Malzeme, 153 Ticari Mallar</t>
        </is>
      </c>
      <c r="D11" s="265" t="inlineStr">
        <is>
          <t>15x</t>
        </is>
      </c>
      <c r="E11" s="265" t="inlineStr">
        <is>
          <t>Maliyet ve stok hareketinin kopması</t>
        </is>
      </c>
      <c r="F11" s="265" t="inlineStr">
        <is>
          <t>Stok devri</t>
        </is>
      </c>
    </row>
    <row r="12" ht="28" customHeight="1" s="83">
      <c r="A12" s="281" t="inlineStr">
        <is>
          <t>Maddi Duran Varlık</t>
        </is>
      </c>
      <c r="B12" s="265" t="inlineStr">
        <is>
          <t>Yatırım harcaması ve amortisman bağlantılı</t>
        </is>
      </c>
      <c r="C12" s="265" t="inlineStr">
        <is>
          <t>253 Tesis Makine Cihazlar, 255 Demirbaşlar, 257 Birikmiş Amortismanlar</t>
        </is>
      </c>
      <c r="D12" s="265" t="inlineStr">
        <is>
          <t>25x</t>
        </is>
      </c>
      <c r="E12" s="265" t="inlineStr">
        <is>
          <t>Yatırım/gider karışması</t>
        </is>
      </c>
      <c r="F12" s="265" t="inlineStr">
        <is>
          <t>Net defter değeri devri</t>
        </is>
      </c>
    </row>
    <row r="13">
      <c r="A13" s="281" t="inlineStr">
        <is>
          <t>Mali Borçlar</t>
        </is>
      </c>
      <c r="B13" s="265" t="inlineStr">
        <is>
          <t>Kısa/uzun vadeli borç ayrımı</t>
        </is>
      </c>
      <c r="C13" s="265" t="inlineStr">
        <is>
          <t>300 Banka Kredileri / 400 Banka Kredileri</t>
        </is>
      </c>
      <c r="D13" s="265" t="inlineStr">
        <is>
          <t>300 / 400</t>
        </is>
      </c>
      <c r="E13" s="265" t="inlineStr">
        <is>
          <t>Vade sınıfı yanlış</t>
        </is>
      </c>
      <c r="F13" s="265" t="inlineStr">
        <is>
          <t>Borç devri</t>
        </is>
      </c>
    </row>
    <row r="14">
      <c r="A14" s="281" t="inlineStr">
        <is>
          <t>Özkaynak</t>
        </is>
      </c>
      <c r="B14" s="265" t="inlineStr">
        <is>
          <t>Sermaye ve geçmiş yıl kârları ayrı</t>
        </is>
      </c>
      <c r="C14" s="265" t="inlineStr">
        <is>
          <t>500 Sermaye, 570 Geçmiş Yıllar Kârları, 590 Dönem Net Kârı</t>
        </is>
      </c>
      <c r="D14" s="265" t="inlineStr">
        <is>
          <t>5xx</t>
        </is>
      </c>
      <c r="E14" s="265" t="inlineStr">
        <is>
          <t>Net kâr bağının kopması</t>
        </is>
      </c>
      <c r="F14" s="265" t="inlineStr">
        <is>
          <t>Özkaynak devri</t>
        </is>
      </c>
    </row>
    <row r="15">
      <c r="A15" s="281" t="inlineStr">
        <is>
          <t>Vergi</t>
        </is>
      </c>
      <c r="B15" s="265" t="inlineStr">
        <is>
          <t>Vergi satırları Türkiye mantığına uygun</t>
        </is>
      </c>
      <c r="C15" s="265" t="inlineStr">
        <is>
          <t>Dönem Vergi ve Diğer Yasal Yükümlülük Karşılıkları</t>
        </is>
      </c>
      <c r="D15" s="265" t="inlineStr">
        <is>
          <t>37x / ilgili vergi hesapları</t>
        </is>
      </c>
      <c r="E15" s="265" t="inlineStr">
        <is>
          <t>Vergi etkisinin yanlış dönemlenmesi</t>
        </is>
      </c>
      <c r="F15" s="265" t="inlineStr">
        <is>
          <t>Vergi sözleşmesi</t>
        </is>
      </c>
    </row>
    <row r="16">
      <c r="A16" s="281" t="inlineStr">
        <is>
          <t>İsim standardı</t>
        </is>
      </c>
      <c r="B16" s="265" t="inlineStr">
        <is>
          <t>Tablo ve sayfa adları Türkçe ve işlevsel</t>
        </is>
      </c>
      <c r="C16" s="265" t="inlineStr">
        <is>
          <t>GELİR_TABLOSU, BİLANÇO, NAKİT_AKISI, BORC_PLANI</t>
        </is>
      </c>
      <c r="D16" s="265" t="inlineStr">
        <is>
          <t>Tekrarlanabilir standart</t>
        </is>
      </c>
      <c r="E16" s="265" t="inlineStr">
        <is>
          <t>İngilizce/karma isim</t>
        </is>
      </c>
      <c r="F16" s="265" t="inlineStr">
        <is>
          <t>Sayfa ve tablo taraması</t>
        </is>
      </c>
    </row>
    <row r="17">
      <c r="A17" s="281" t="inlineStr">
        <is>
          <t>THP eşleme tablosu</t>
        </is>
      </c>
      <c r="B17" s="265" t="inlineStr">
        <is>
          <t>Her kritik satır en az bir THP hesabına bağlanır</t>
        </is>
      </c>
      <c r="C17" s="265" t="inlineStr">
        <is>
          <t>RaporSatırı → HesapKodu → HesapAdı → İşaret → Dönem</t>
        </is>
      </c>
      <c r="D17" s="265" t="inlineStr">
        <is>
          <t>Kaynak izlenebilirliği</t>
        </is>
      </c>
      <c r="E17" s="265" t="inlineStr">
        <is>
          <t>Rapordan rapora kaynak</t>
        </is>
      </c>
      <c r="F17" s="265" t="inlineStr">
        <is>
          <t>Eşleme kapsama %100</t>
        </is>
      </c>
    </row>
    <row r="18">
      <c r="A18" s="281" t="inlineStr">
        <is>
          <t>İstisna</t>
        </is>
      </c>
      <c r="B18" s="265" t="inlineStr">
        <is>
          <t>TFRS özel ürün varsa fark açık yazılır</t>
        </is>
      </c>
      <c r="C18" s="265" t="inlineStr">
        <is>
          <t>Tekdüzen raporlama ≠ TFRS finansal tablo sunumu</t>
        </is>
      </c>
      <c r="D18" s="265" t="inlineStr">
        <is>
          <t>Amaç belirtilir</t>
        </is>
      </c>
      <c r="E18" s="265" t="inlineStr">
        <is>
          <t>Standartları karıştırma</t>
        </is>
      </c>
      <c r="F18" s="26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83" min="1" max="1"/>
    <col width="41.5" customWidth="1" style="83" min="2" max="2"/>
    <col width="86.5" customWidth="1" style="83" min="3" max="3"/>
    <col width="35.5" customWidth="1" style="83" min="4" max="4"/>
    <col width="33.5" customWidth="1" style="83" min="5" max="5"/>
    <col width="16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KARAR, GÜVEN VE SATIŞA HAZIRLIK STANDARDI</t>
        </is>
      </c>
    </row>
    <row r="2"/>
    <row r="3" ht="24" customHeight="1" s="83">
      <c r="A3" s="283" t="inlineStr">
        <is>
          <t>Alan</t>
        </is>
      </c>
      <c r="B3" s="283" t="inlineStr">
        <is>
          <t>Müşteri Sorusu</t>
        </is>
      </c>
      <c r="C3" s="283" t="inlineStr">
        <is>
          <t>Zorunlu Ürün Davranışı</t>
        </is>
      </c>
      <c r="D3" s="283" t="inlineStr">
        <is>
          <t>Kanıt</t>
        </is>
      </c>
      <c r="E3" s="283" t="inlineStr">
        <is>
          <t>Başarısızlık Durumu</t>
        </is>
      </c>
      <c r="F3" s="283" t="inlineStr">
        <is>
          <t>Kapı</t>
        </is>
      </c>
    </row>
    <row r="4">
      <c r="A4" s="284" t="inlineStr">
        <is>
          <t>5 saniye</t>
        </is>
      </c>
      <c r="B4" s="265" t="inlineStr">
        <is>
          <t>Bu ürün neyi çözüyor?</t>
        </is>
      </c>
      <c r="C4" s="265" t="inlineStr">
        <is>
          <t>İlk ekranda hedef kullanıcı + pahalı problem + sonuç görünür</t>
        </is>
      </c>
      <c r="D4" s="265" t="inlineStr">
        <is>
          <t>Başlık + alt mesaj + gerçek ekran</t>
        </is>
      </c>
      <c r="E4" s="265" t="inlineStr">
        <is>
          <t>Ürün yalnız teknik isim</t>
        </is>
      </c>
      <c r="F4" s="285" t="inlineStr">
        <is>
          <t>HATA</t>
        </is>
      </c>
    </row>
    <row r="5">
      <c r="A5" s="284" t="inlineStr">
        <is>
          <t>Acı</t>
        </is>
      </c>
      <c r="B5" s="265" t="inlineStr">
        <is>
          <t>Sorun bana neye mal oluyor?</t>
        </is>
      </c>
      <c r="C5" s="265" t="inlineStr">
        <is>
          <t>Mümkünse müşterinin kendi verisiyle parasal/zaman etkisi hesaplanır</t>
        </is>
      </c>
      <c r="D5" s="265" t="inlineStr">
        <is>
          <t>ROI/acı hesaplama yöntemi</t>
        </is>
      </c>
      <c r="E5" s="265" t="inlineStr">
        <is>
          <t>Uydurma tasarruf</t>
        </is>
      </c>
      <c r="F5" s="285" t="inlineStr">
        <is>
          <t>HATA</t>
        </is>
      </c>
    </row>
    <row r="6">
      <c r="A6" s="284" t="inlineStr">
        <is>
          <t>Karar</t>
        </is>
      </c>
      <c r="B6" s="265" t="inlineStr">
        <is>
          <t>Bu bilgiyle ne yapacağım?</t>
        </is>
      </c>
      <c r="C6" s="265" t="inlineStr">
        <is>
          <t>Her kritik KPI aksiyona bağlanır</t>
        </is>
      </c>
      <c r="D6" s="265" t="inlineStr">
        <is>
          <t>KARAR_KUYRUGU</t>
        </is>
      </c>
      <c r="E6" s="265" t="inlineStr">
        <is>
          <t>Sadece rapor</t>
        </is>
      </c>
      <c r="F6" s="285" t="inlineStr">
        <is>
          <t>HATA</t>
        </is>
      </c>
    </row>
    <row r="7">
      <c r="A7" s="284" t="inlineStr">
        <is>
          <t>Güven</t>
        </is>
      </c>
      <c r="B7" s="265" t="inlineStr">
        <is>
          <t>Bu sayıya neden inanayım?</t>
        </is>
      </c>
      <c r="C7" s="265" t="inlineStr">
        <is>
          <t>Kaynak, formül mantığı, kontrol ve son doğrulama görünür</t>
        </is>
      </c>
      <c r="D7" s="265" t="inlineStr">
        <is>
          <t>Kontroller + kaynak izi + sürüm</t>
        </is>
      </c>
      <c r="E7" s="265" t="inlineStr">
        <is>
          <t>Prestij kelimesi</t>
        </is>
      </c>
      <c r="F7" s="285" t="inlineStr">
        <is>
          <t>HATA</t>
        </is>
      </c>
    </row>
    <row r="8">
      <c r="A8" s="284" t="inlineStr">
        <is>
          <t>Referans</t>
        </is>
      </c>
      <c r="B8" s="265" t="inlineStr">
        <is>
          <t>Müşteri yorumu yoksa ne göstereceğim?</t>
        </is>
      </c>
      <c r="C8" s="265" t="inlineStr">
        <is>
          <t>Önce/Sonra + Karar Vakası + Hata Önleme Vakası üretilir</t>
        </is>
      </c>
      <c r="D8" s="265" t="inlineStr">
        <is>
          <t>Demo/örnek çıktı</t>
        </is>
      </c>
      <c r="E8" s="265" t="inlineStr">
        <is>
          <t>Kanıtsız iddia</t>
        </is>
      </c>
      <c r="F8" s="285" t="inlineStr">
        <is>
          <t>HATA</t>
        </is>
      </c>
    </row>
    <row r="9">
      <c r="A9" s="284" t="inlineStr">
        <is>
          <t>Senaryo</t>
        </is>
      </c>
      <c r="B9" s="265" t="inlineStr">
        <is>
          <t>Ne olursa işler bozulur?</t>
        </is>
      </c>
      <c r="C9" s="265" t="inlineStr">
        <is>
          <t>Baz/Aşağı/Yukarı veya uygun stres senaryosu</t>
        </is>
      </c>
      <c r="D9" s="265" t="inlineStr">
        <is>
          <t>Senaryo karşılaştırma</t>
        </is>
      </c>
      <c r="E9" s="265" t="inlineStr">
        <is>
          <t>Dekoratif senaryo</t>
        </is>
      </c>
      <c r="F9" s="285" t="inlineStr">
        <is>
          <t>HATA</t>
        </is>
      </c>
    </row>
    <row r="10">
      <c r="A10" s="284" t="inlineStr">
        <is>
          <t>Ters stres</t>
        </is>
      </c>
      <c r="B10" s="265" t="inlineStr">
        <is>
          <t>Hangi eşikte karar kırılır?</t>
        </is>
      </c>
      <c r="C10" s="265" t="inlineStr">
        <is>
          <t>En az bir kritik sürücü için kırılma eşiği</t>
        </is>
      </c>
      <c r="D10" s="265" t="inlineStr">
        <is>
          <t>Kırılma eşiği tablosu</t>
        </is>
      </c>
      <c r="E10" s="265" t="inlineStr">
        <is>
          <t>Sadece +/- %10</t>
        </is>
      </c>
      <c r="F10" s="285" t="inlineStr">
        <is>
          <t>UYARI/HATA</t>
        </is>
      </c>
    </row>
    <row r="11">
      <c r="A11" s="284" t="inlineStr">
        <is>
          <t>Hata tutarlılığı</t>
        </is>
      </c>
      <c r="B11" s="265" t="inlineStr">
        <is>
          <t>Formül hata verirse ne olur?</t>
        </is>
      </c>
      <c r="C11" s="265" t="inlineStr">
        <is>
          <t>Kontrol GEÇTİ veremez; BLOKE/HATA üretir</t>
        </is>
      </c>
      <c r="D11" s="265" t="inlineStr">
        <is>
          <t>Hata taraması</t>
        </is>
      </c>
      <c r="E11" s="265" t="inlineStr">
        <is>
          <t>Hata + GEÇTİ birlikte</t>
        </is>
      </c>
      <c r="F11" s="285" t="inlineStr">
        <is>
          <t>HATA</t>
        </is>
      </c>
    </row>
    <row r="12">
      <c r="A12" s="284" t="inlineStr">
        <is>
          <t>Karar motoru</t>
        </is>
      </c>
      <c r="B12" s="265" t="inlineStr">
        <is>
          <t>Ne oldu, neden oldu?</t>
        </is>
      </c>
      <c r="C12" s="265" t="inlineStr">
        <is>
          <t>Sorun + neden + parasal etki + aksiyon + son tarih</t>
        </is>
      </c>
      <c r="D12" s="265" t="inlineStr">
        <is>
          <t>Karar tablosu</t>
        </is>
      </c>
      <c r="E12" s="265" t="inlineStr">
        <is>
          <t>Boş sayfa / isim düzeyi modül</t>
        </is>
      </c>
      <c r="F12" s="285" t="inlineStr">
        <is>
          <t>HATA</t>
        </is>
      </c>
    </row>
    <row r="13">
      <c r="A13" s="284" t="inlineStr">
        <is>
          <t>Yönetici özeti</t>
        </is>
      </c>
      <c r="B13" s="265" t="inlineStr">
        <is>
          <t>5 saniyede ne görmeliyim?</t>
        </is>
      </c>
      <c r="C13" s="265" t="inlineStr">
        <is>
          <t>Bugün / ne değişti / ne bozulacak / neden / ne yapmalıyım / güven</t>
        </is>
      </c>
      <c r="D13" s="265" t="inlineStr">
        <is>
          <t>Yönetici özeti ekranı</t>
        </is>
      </c>
      <c r="E13" s="265" t="inlineStr">
        <is>
          <t>KPI kutusu yığını</t>
        </is>
      </c>
      <c r="F13" s="285" t="inlineStr">
        <is>
          <t>HATA</t>
        </is>
      </c>
    </row>
    <row r="14">
      <c r="A14" s="284" t="inlineStr">
        <is>
          <t>Teklif</t>
        </is>
      </c>
      <c r="B14" s="265" t="inlineStr">
        <is>
          <t>Neden satın almalıyım?</t>
        </is>
      </c>
      <c r="C14" s="265" t="inlineStr">
        <is>
          <t>Dosya özellikleri yerine sonuç ve kaçınılan maliyet sunulur</t>
        </is>
      </c>
      <c r="D14" s="265" t="inlineStr">
        <is>
          <t>Ürün sayfası kanıt eşlemesi</t>
        </is>
      </c>
      <c r="E14" s="265" t="inlineStr">
        <is>
          <t>Özellik listesiyle satış</t>
        </is>
      </c>
      <c r="F14" s="285" t="inlineStr">
        <is>
          <t>HATA</t>
        </is>
      </c>
    </row>
    <row r="15">
      <c r="A15" s="284" t="inlineStr">
        <is>
          <t>Dağıtım</t>
        </is>
      </c>
      <c r="B15" s="265" t="inlineStr">
        <is>
          <t>Beni nasıl bulacaklar?</t>
        </is>
      </c>
      <c r="C15" s="265" t="inlineStr">
        <is>
          <t>Sorun niyetine göre SEO sayfaları, iç bağlantı, temiz yapı, taranabilir metin</t>
        </is>
      </c>
      <c r="D15" s="265" t="inlineStr">
        <is>
          <t>Arama niyeti haritası</t>
        </is>
      </c>
      <c r="E15" s="265" t="inlineStr">
        <is>
          <t>Tek ürün sayfasına bağımlılık</t>
        </is>
      </c>
      <c r="F15" s="285" t="inlineStr">
        <is>
          <t>UYARI</t>
        </is>
      </c>
    </row>
    <row r="16" ht="28" customHeight="1" s="83">
      <c r="A16" s="284" t="inlineStr">
        <is>
          <t>LLM görünürlüğü</t>
        </is>
      </c>
      <c r="B16" s="265" t="inlineStr">
        <is>
          <t>AI ürünümü anlayabiliyor mu?</t>
        </is>
      </c>
      <c r="C16" s="265" t="inlineStr">
        <is>
          <t>Ürün tanımı, hedef kullanıcı, girdi/çıktı, metodoloji, sınırlar, SSS açık metindir</t>
        </is>
      </c>
      <c r="D16" s="265" t="inlineStr">
        <is>
          <t>Taranabilir ürün içeriği</t>
        </is>
      </c>
      <c r="E16" s="265" t="inlineStr">
        <is>
          <t>'AI SEO' iddiası</t>
        </is>
      </c>
      <c r="F16" s="285" t="inlineStr">
        <is>
          <t>UYARI</t>
        </is>
      </c>
    </row>
    <row r="17">
      <c r="A17" s="284" t="inlineStr">
        <is>
          <t>Satış kanalı</t>
        </is>
      </c>
      <c r="B17" s="265" t="inlineStr">
        <is>
          <t>Nerede satılmalı?</t>
        </is>
      </c>
      <c r="C17" s="265" t="inlineStr">
        <is>
          <t>Arama, LinkedIn, uzman/partner, demo/video; ürüne göre kanal seçilir</t>
        </is>
      </c>
      <c r="D17" s="265" t="inlineStr">
        <is>
          <t>Kanal matrisi</t>
        </is>
      </c>
      <c r="E17" s="265" t="inlineStr">
        <is>
          <t>Her ürüne aynı kanal</t>
        </is>
      </c>
      <c r="F17" s="285" t="inlineStr">
        <is>
          <t>UYARI</t>
        </is>
      </c>
    </row>
    <row r="18">
      <c r="A18" s="284" t="inlineStr">
        <is>
          <t>Fiyat</t>
        </is>
      </c>
      <c r="B18" s="265" t="inlineStr">
        <is>
          <t>Bu fiyat neden mantıklı?</t>
        </is>
      </c>
      <c r="C18" s="265" t="inlineStr">
        <is>
          <t>Fiyat, ekonomik karar değerine ve kanıtlanmış ürün derinliğine bağlanır</t>
        </is>
      </c>
      <c r="D18" s="265" t="inlineStr">
        <is>
          <t>Değer haritası + demo</t>
        </is>
      </c>
      <c r="E18" s="265" t="inlineStr">
        <is>
          <t>Sırf sayfa/formül sayısı</t>
        </is>
      </c>
      <c r="F18" s="285" t="inlineStr">
        <is>
          <t>HATA</t>
        </is>
      </c>
    </row>
    <row r="19">
      <c r="A19" s="284" t="inlineStr">
        <is>
          <t>Pazar kanıtı</t>
        </is>
      </c>
      <c r="B19" s="265" t="inlineStr">
        <is>
          <t>Piyasa gerçekten ödüyor mu?</t>
        </is>
      </c>
      <c r="C19" s="265" t="inlineStr">
        <is>
          <t>Satış/pilot/LOI/fiyat kabulü olmadan pazar doğrulandı yazılmaz</t>
        </is>
      </c>
      <c r="D19" s="265" t="inlineStr">
        <is>
          <t>Gerçek işlem kanıtı</t>
        </is>
      </c>
      <c r="E19" s="265" t="inlineStr">
        <is>
          <t>Tahmini talep = satış kabulü</t>
        </is>
      </c>
      <c r="F19" s="28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8" customWidth="1" style="109" min="1" max="3"/>
    <col width="13" customWidth="1" style="83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HAKEDİŞ FİYAT FARKI VE HAK KAYBI CETVELİ</t>
        </is>
      </c>
    </row>
    <row r="2"/>
    <row r="3" ht="22" customHeight="1" s="83">
      <c r="A3" s="315" t="inlineStr">
        <is>
          <t>Hakedişlerinizde fiyat farkını doğru hesaplayın, hak kaybınızı ölçün.</t>
        </is>
      </c>
    </row>
    <row r="4" ht="15" customHeight="1" s="83">
      <c r="A4" s="112" t="inlineStr">
        <is>
          <t>Sözleşmeli işlerde endeks esaslı fiyat farkı katsayısı sözleşmedeki ağırlık ve endekslerden hesaplanır. Bu cetvel; her hakediş dönemi için fiyat farkını, birikimli etkiyi ve piyasa-rayiç farkından doğan hak kaybını üretir.</t>
        </is>
      </c>
    </row>
    <row r="5" ht="15" customHeight="1" s="83"/>
    <row r="6" ht="15" customHeight="1" s="83">
      <c r="A6" s="113" t="inlineStr">
        <is>
          <t>1. SOZLESME_KARTI sayfasına sözleşme bilgilerini ve fiyat farkı formülünü girin.</t>
        </is>
      </c>
    </row>
    <row r="7" ht="15" customHeight="1" s="83">
      <c r="A7" s="113" t="inlineStr">
        <is>
          <t>2. HAKEDIS_KALEMLERI, ENDEKS_KAYITLARI ve HAKEDIS_DONEMLERI sayfalarını doldurun.</t>
        </is>
      </c>
    </row>
    <row r="8" ht="15" customHeight="1" s="83">
      <c r="A8" s="113" t="inlineStr">
        <is>
          <t>3. KARAR sayfasında fiyat farkını, hak kaybını ve aksiyonları okuyun.</t>
        </is>
      </c>
    </row>
    <row r="9"/>
    <row r="10" ht="15" customHeight="1" s="83">
      <c r="A10" s="114" t="inlineStr">
        <is>
          <t>Bu dosya karar destek aracıdır; fiyat farkı hesaplama danışmanlığı yerine geçmez. Formül katsayıları (a, b, c, d) sözleşmeden birebir alınmalıdır.</t>
        </is>
      </c>
    </row>
    <row r="11" ht="15" customHeight="1" s="83"/>
    <row r="12" ht="15" customHeight="1" s="83"/>
    <row r="13" ht="15" customHeight="1" s="83"/>
    <row r="14"/>
    <row r="15" ht="15" customHeight="1" s="83">
      <c r="A15" s="115" t="inlineStr">
        <is>
          <t>ExcelArşiv</t>
        </is>
      </c>
    </row>
    <row r="16" ht="15" customHeight="1" s="83">
      <c r="A16" s="116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3.5" customWidth="1" style="109" min="1" max="1"/>
    <col width="20" customWidth="1" style="109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>
      <c r="A1" s="93" t="inlineStr">
        <is>
          <t>☰ PANO</t>
        </is>
      </c>
    </row>
    <row r="2"/>
    <row r="3" ht="22" customHeight="1" s="83">
      <c r="A3" s="315" t="inlineStr">
        <is>
          <t>Nasıl kullanılır?</t>
        </is>
      </c>
    </row>
    <row r="4" ht="15" customHeight="1" s="83">
      <c r="A4" s="118" t="inlineStr">
        <is>
          <t>1. AYARLAR sayfasından rapor tarihini ve eşikleri (kayıp eşiği, endeks bant oranı) kontrol edin.</t>
        </is>
      </c>
    </row>
    <row r="5" ht="15" customHeight="1" s="83">
      <c r="A5" s="118" t="inlineStr">
        <is>
          <t>2. SOZLESME_KARTI sayfasına sözleşme bilgilerini, ağırlıkları (a, b, c, d) ve temel endeksleri girin.</t>
        </is>
      </c>
    </row>
    <row r="6" ht="15" customHeight="1" s="83">
      <c r="A6" s="118" t="inlineStr">
        <is>
          <t>3. HAKEDIS_KALEMLERI sayfasına kalem bazında hakediş miktar ve birim fiyatlarını girin.</t>
        </is>
      </c>
    </row>
    <row r="7" ht="15" customHeight="1" s="83">
      <c r="A7" s="118" t="inlineStr">
        <is>
          <t>4. ENDEKS_KAYITLARI sayfasına her endeksin dönem değerlerini girin; katsayı otomatik hesaplanır.</t>
        </is>
      </c>
    </row>
    <row r="8" ht="15" customHeight="1" s="83">
      <c r="A8" s="118" t="inlineStr">
        <is>
          <t>5. HAKEDIS_DONEMLERI sayfasına dönem hakediş tutarlarını ve ödeme tarihlerini girin.</t>
        </is>
      </c>
    </row>
    <row r="9" ht="15" customHeight="1" s="83">
      <c r="A9" s="118" t="inlineStr">
        <is>
          <t>6. KARAR sayfası fiyat farkını, hak kaybını ve UYGUN / İNCELE / DURDUR kararını gösterir.</t>
        </is>
      </c>
    </row>
    <row r="10" ht="15" customHeight="1" s="83">
      <c r="A10" s="118" t="inlineStr">
        <is>
          <t>7. PANO ve RAPOR sayfaları yönetici özetini ve yazdırılabilir raporu sunar.</t>
        </is>
      </c>
    </row>
    <row r="11"/>
    <row r="12" ht="15" customHeight="1" s="83">
      <c r="A12" s="119" t="inlineStr">
        <is>
          <t>Sık yapılan hatalar</t>
        </is>
      </c>
    </row>
    <row r="13" ht="15" customHeight="1" s="83">
      <c r="A13" s="114" t="inlineStr">
        <is>
          <t>Ağırlık katsayılarını (a+b+c+d=1) sözleşmeden teyit etmeden girmek — katsayı toplamı 1 olmazsa sonuç bozulur.</t>
        </is>
      </c>
    </row>
    <row r="14" ht="15" customHeight="1" s="83">
      <c r="A14" s="114" t="inlineStr">
        <is>
          <t>Temel endeks ile dönem endeksini karıştırmak — oran ters döner, fiyat farkı eksi çıkar.</t>
        </is>
      </c>
    </row>
    <row r="15" ht="15" customHeight="1" s="83">
      <c r="A15" s="114" t="inlineStr">
        <is>
          <t>Hakediş tutarını KDV dahil girmek — fiyat farkı KDV hariç tutar üzerinden işler.</t>
        </is>
      </c>
    </row>
    <row r="16" ht="15" customHeight="1" s="83">
      <c r="A16" s="114" t="inlineStr">
        <is>
          <t>Piyasa birim fiyatı yerine sözleşme fiyatını girmek — hak kaybı görünmez olur.</t>
        </is>
      </c>
    </row>
    <row r="17" ht="15" customHeight="1" s="83">
      <c r="A17" s="114" t="inlineStr">
        <is>
          <t>Kilitli (beyaz/yeşil) hücrelere yazmaya çalışmak — yalnızca sarı hücreler giriş içindir.</t>
        </is>
      </c>
    </row>
    <row r="18"/>
    <row r="19" ht="19.5" customHeight="1" s="83">
      <c r="A19" s="120" t="inlineStr">
        <is>
          <t>Tüm eşikler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5.5" customWidth="1" style="109" min="1" max="1"/>
    <col width="29.5" customWidth="1" style="109" min="2" max="2"/>
    <col width="10" customWidth="1" style="109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SOZLESME KARTI — HAKEDİŞ FİYAT FARKI VE HAK KAYBI CETVELİ</t>
        </is>
      </c>
    </row>
    <row r="2"/>
    <row r="3" ht="22" customHeight="1" s="83">
      <c r="A3" s="315" t="inlineStr">
        <is>
          <t>Sözleşme Bilgileri ve Fiyat Farkı Formülü</t>
        </is>
      </c>
    </row>
    <row r="4" ht="15" customHeight="1" s="83">
      <c r="A4" s="123" t="inlineStr">
        <is>
          <t>Sözleşme Adı</t>
        </is>
      </c>
      <c r="B4" s="124" t="inlineStr">
        <is>
          <t>Okul İnşaatı</t>
        </is>
      </c>
    </row>
    <row r="5" ht="15" customHeight="1" s="83">
      <c r="A5" s="123" t="inlineStr">
        <is>
          <t>İşveren</t>
        </is>
      </c>
      <c r="B5" s="124" t="inlineStr">
        <is>
          <t>İl Milli Eğitim Müdürlüğü</t>
        </is>
      </c>
    </row>
    <row r="6" ht="15" customHeight="1" s="83">
      <c r="A6" s="123" t="inlineStr">
        <is>
          <t>Yüklenici</t>
        </is>
      </c>
      <c r="B6" s="124" t="inlineStr">
        <is>
          <t>Yapı A A.Ş.</t>
        </is>
      </c>
    </row>
    <row r="7" ht="15" customHeight="1" s="83">
      <c r="A7" s="123" t="inlineStr">
        <is>
          <t>Sözleşme Tarihi</t>
        </is>
      </c>
      <c r="B7" s="125" t="n">
        <v>46037</v>
      </c>
    </row>
    <row r="8" ht="15" customHeight="1" s="83">
      <c r="A8" s="123" t="inlineStr">
        <is>
          <t>Sözleşme Bedeli (₺)</t>
        </is>
      </c>
      <c r="B8" s="126" t="n">
        <v>8500000</v>
      </c>
    </row>
    <row r="9" ht="15" customHeight="1" s="83">
      <c r="A9" s="123" t="inlineStr">
        <is>
          <t>a (Sabit Ağırlık)</t>
        </is>
      </c>
      <c r="B9" s="127" t="n">
        <v>0.2</v>
      </c>
    </row>
    <row r="10" ht="15" customHeight="1" s="83">
      <c r="A10" s="123" t="inlineStr">
        <is>
          <t>b (İşçilik Ağırlığı)</t>
        </is>
      </c>
      <c r="B10" s="127" t="n">
        <v>0.35</v>
      </c>
    </row>
    <row r="11" ht="15" customHeight="1" s="83">
      <c r="A11" s="123" t="inlineStr">
        <is>
          <t>c (Malzeme Ağırlığı)</t>
        </is>
      </c>
      <c r="B11" s="127" t="n">
        <v>0.35</v>
      </c>
    </row>
    <row r="12" ht="15" customHeight="1" s="83">
      <c r="A12" s="123" t="inlineStr">
        <is>
          <t>d (Makine Ağırlığı)</t>
        </is>
      </c>
      <c r="B12" s="127" t="n">
        <v>0.1</v>
      </c>
    </row>
    <row r="13" ht="15" customHeight="1" s="83">
      <c r="A13" s="123" t="inlineStr">
        <is>
          <t>Fiyat Farkı Maddesi</t>
        </is>
      </c>
      <c r="B13" s="124" t="inlineStr">
        <is>
          <t>Evet</t>
        </is>
      </c>
    </row>
    <row r="14"/>
    <row r="15" ht="15" customHeight="1" s="83">
      <c r="A15" s="116" t="inlineStr">
        <is>
          <t>Ağırlık toplamı otomatik denetlenir; 1'e eşit olmalıdır.</t>
        </is>
      </c>
    </row>
    <row r="16" ht="15" customHeight="1" s="83">
      <c r="A16" s="123" t="inlineStr">
        <is>
          <t>Ağırlık Toplamı</t>
        </is>
      </c>
      <c r="B16" s="128">
        <f>B9+B10+B11+B12</f>
        <v/>
      </c>
    </row>
    <row r="17"/>
    <row r="18" ht="19.5" customHeight="1" s="83">
      <c r="A18" s="12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18:AN18"/>
    <mergeCell ref="A15:B15"/>
  </mergeCells>
  <conditionalFormatting sqref="B16">
    <cfRule type="cellIs" rank="0" priority="2" equalAverage="0" operator="between" aboveAverage="0" dxfId="0" text="" percent="0" bottom="0">
      <formula>0.99</formula>
      <formula>1.01</formula>
    </cfRule>
    <cfRule type="cellIs" rank="0" priority="3" equalAverage="0" operator="notBetween" aboveAverage="0" dxfId="1" text="" percent="0" bottom="0">
      <formula>0.99</formula>
      <formula>1.01</formula>
    </cfRule>
  </conditionalFormatting>
  <conditionalFormatting sqref="B9">
    <cfRule type="cellIs" rank="0" priority="4" equalAverage="0" operator="between" aboveAverage="0" dxfId="0" text="" percent="0" bottom="0">
      <formula>0.1</formula>
      <formula>0.9</formula>
    </cfRule>
  </conditionalFormatting>
  <dataValidations count="10">
    <dataValidation sqref="B4" showDropDown="0" showInputMessage="1" showErrorMessage="1" allowBlank="1" errorTitle="Geçersiz değer" error="Metin girin." promptTitle="Sözleşme Adı" prompt="İşin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İşveren" prompt="İşi ihale eden kurum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Metin girin." promptTitle="Yüklenici" prompt="Yüklenici firma adı" type="list" errorStyle="stop" operator="between">
      <formula1>listemetin</formula1>
      <formula2>0</formula2>
    </dataValidation>
    <dataValidation sqref="B7" showDropDown="0" showInputMessage="1" showErrorMessage="1" allowBlank="1" errorTitle="Geçersiz tarih" error="01.01.2020'den sonraki bir tarih girin." promptTitle="Sözleşme Tarihi" prompt="Sözleşmenin imzalandığı tarih" type="date" errorStyle="stop" operator="greaterThan">
      <formula1>2020-1-1</formula1>
      <formula2>0</formula2>
    </dataValidation>
    <dataValidation sqref="B8" showDropDown="0" showInputMessage="1" showErrorMessage="1" allowBlank="1" errorTitle="Geçersiz tutar" error="Tutar 1 ₺'den büyük olmalı." promptTitle="Sözleşme Bedeli (₺)" prompt="KDV hariç sözleşme bedeli" type="whole" errorStyle="stop" operator="greaterThan">
      <formula1>0</formula1>
      <formula2>0</formula2>
    </dataValidation>
    <dataValidation sqref="B9" showDropDown="0" showInputMessage="1" showErrorMessage="1" allowBlank="1" errorTitle="Geçersiz oran" error="Oran 0 ile 1 arasında olmalı." promptTitle="a (Sabit Ağırlık)" prompt="Fiyat farkı formülündeki sabit ağırlık" type="decimal" errorStyle="stop" operator="between">
      <formula1>0</formula1>
      <formula2>1</formula2>
    </dataValidation>
    <dataValidation sqref="B10" showDropDown="0" showInputMessage="1" showErrorMessage="1" allowBlank="1" errorTitle="Geçersiz oran" error="Oran 0 ile 1 arasında olmalı." promptTitle="b (İşçilik Ağırlığı)" prompt="İşçilik endeksi ağırlığı" type="decimal" errorStyle="stop" operator="between">
      <formula1>0</formula1>
      <formula2>1</formula2>
    </dataValidation>
    <dataValidation sqref="B11" showDropDown="0" showInputMessage="1" showErrorMessage="1" allowBlank="1" errorTitle="Geçersiz oran" error="Oran 0 ile 1 arasında olmalı." promptTitle="c (Malzeme Ağırlığı)" prompt="Malzeme endeksi ağırlığı" type="decimal" errorStyle="stop" operator="between">
      <formula1>0</formula1>
      <formula2>1</formula2>
    </dataValidation>
    <dataValidation sqref="B12" showDropDown="0" showInputMessage="1" showErrorMessage="1" allowBlank="1" errorTitle="Geçersiz oran" error="Oran 0 ile 1 arasında olmalı." promptTitle="d (Makine Ağırlığı)" prompt="Makine/ekipman endeksi ağırlığı" type="decimal" errorStyle="stop" operator="between">
      <formula1>0</formula1>
      <formula2>1</formula2>
    </dataValidation>
    <dataValidation sqref="B13" showDropDown="0" showInputMessage="1" showErrorMessage="1" allowBlank="1" errorTitle="Geçersiz seçim" error="Lütfen Evet veya Hayır seçin." promptTitle="Fiyat Farkı Maddesi" prompt="Sözleşmede fiyat farkı maddesi va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109" min="1" max="1"/>
    <col width="10" customWidth="1" style="109" min="2" max="2"/>
    <col width="19.5" customWidth="1" style="109" min="3" max="3"/>
    <col width="29.5" customWidth="1" style="109" min="4" max="8"/>
    <col width="22.5" customWidth="1" style="83" min="5" max="5"/>
    <col width="27.5" customWidth="1" style="83" min="6" max="6"/>
    <col width="21.5" customWidth="1" style="83" min="7" max="7"/>
    <col width="13.5" customWidth="1" style="83" min="8" max="8"/>
    <col width="13" customWidth="1" style="83" min="9" max="9"/>
  </cols>
  <sheetData>
    <row r="1" ht="32" customHeight="1" s="83">
      <c r="A1" s="296" t="inlineStr">
        <is>
          <t>HAKEDIS KALEMLERI — HAKEDİŞ FİYAT FARKI VE HAK KAYBI CETVELİ</t>
        </is>
      </c>
    </row>
    <row r="2"/>
    <row r="3" ht="22" customHeight="1" s="83">
      <c r="A3" s="315" t="inlineStr">
        <is>
          <t>Hakediş Kalemleri ve Piyasa Karşılaştırması</t>
        </is>
      </c>
    </row>
    <row r="4"/>
    <row r="5" ht="30" customHeight="1" s="83">
      <c r="A5" s="129" t="inlineStr">
        <is>
          <t>Kalem Adı</t>
        </is>
      </c>
      <c r="B5" s="129" t="inlineStr">
        <is>
          <t>Birim</t>
        </is>
      </c>
      <c r="C5" s="129" t="inlineStr">
        <is>
          <t>Hakediş Miktarı</t>
        </is>
      </c>
      <c r="D5" s="129" t="inlineStr">
        <is>
          <t>Sözleşme Birim Fiyatı (₺)</t>
        </is>
      </c>
      <c r="E5" s="129" t="inlineStr">
        <is>
          <t>Hakediş Tutarı (₺)</t>
        </is>
      </c>
      <c r="F5" s="129" t="inlineStr">
        <is>
          <t>Piyasa Birim Fiyatı (₺)</t>
        </is>
      </c>
      <c r="G5" s="129" t="inlineStr">
        <is>
          <t>Piyasa Tutarı (₺)</t>
        </is>
      </c>
      <c r="H5" s="129" t="inlineStr">
        <is>
          <t>Kayıp (₺)</t>
        </is>
      </c>
    </row>
    <row r="6" ht="15" customHeight="1" s="83">
      <c r="A6" s="130" t="inlineStr">
        <is>
          <t>Beton</t>
        </is>
      </c>
      <c r="B6" s="130" t="inlineStr">
        <is>
          <t>m³</t>
        </is>
      </c>
      <c r="C6" s="131" t="n">
        <v>1200</v>
      </c>
      <c r="D6" s="132" t="n">
        <v>1450</v>
      </c>
      <c r="E6" s="133">
        <f>$C6*$D6</f>
        <v/>
      </c>
      <c r="F6" s="132" t="n">
        <v>1510</v>
      </c>
      <c r="G6" s="134">
        <f>$C6*$F6</f>
        <v/>
      </c>
      <c r="H6" s="134">
        <f>IF(OR($E6="",$G6=""),"",$G6-$E6)</f>
        <v/>
      </c>
    </row>
    <row r="7" ht="15" customHeight="1" s="83">
      <c r="A7" s="130" t="inlineStr">
        <is>
          <t>Demir</t>
        </is>
      </c>
      <c r="B7" s="130" t="inlineStr">
        <is>
          <t>ton</t>
        </is>
      </c>
      <c r="C7" s="131" t="n">
        <v>85</v>
      </c>
      <c r="D7" s="132" t="n">
        <v>27500</v>
      </c>
      <c r="E7" s="133">
        <f>$C7*$D7</f>
        <v/>
      </c>
      <c r="F7" s="132" t="n">
        <v>28400</v>
      </c>
      <c r="G7" s="134">
        <f>$C7*$F7</f>
        <v/>
      </c>
      <c r="H7" s="134">
        <f>IF(OR($E7="",$G7=""),"",$G7-$E7)</f>
        <v/>
      </c>
    </row>
    <row r="8" ht="15" customHeight="1" s="83">
      <c r="A8" s="130" t="inlineStr">
        <is>
          <t>Kalıp</t>
        </is>
      </c>
      <c r="B8" s="130" t="inlineStr">
        <is>
          <t>m²</t>
        </is>
      </c>
      <c r="C8" s="131" t="n">
        <v>4500</v>
      </c>
      <c r="D8" s="132" t="n">
        <v>320</v>
      </c>
      <c r="E8" s="133">
        <f>$C8*$D8</f>
        <v/>
      </c>
      <c r="F8" s="132" t="n">
        <v>330</v>
      </c>
      <c r="G8" s="134">
        <f>$C8*$F8</f>
        <v/>
      </c>
      <c r="H8" s="134">
        <f>IF(OR($E8="",$G8=""),"",$G8-$E8)</f>
        <v/>
      </c>
    </row>
    <row r="9" ht="15" customHeight="1" s="83">
      <c r="A9" s="130" t="inlineStr">
        <is>
          <t>Duvar</t>
        </is>
      </c>
      <c r="B9" s="130" t="inlineStr">
        <is>
          <t>m²</t>
        </is>
      </c>
      <c r="C9" s="131" t="n">
        <v>3800</v>
      </c>
      <c r="D9" s="132" t="n">
        <v>480</v>
      </c>
      <c r="E9" s="133">
        <f>$C9*$D9</f>
        <v/>
      </c>
      <c r="F9" s="132" t="n">
        <v>495</v>
      </c>
      <c r="G9" s="134">
        <f>$C9*$F9</f>
        <v/>
      </c>
      <c r="H9" s="134">
        <f>IF(OR($E9="",$G9=""),"",$G9-$E9)</f>
        <v/>
      </c>
    </row>
    <row r="10" ht="15" customHeight="1" s="83">
      <c r="A10" s="130" t="inlineStr">
        <is>
          <t>Sıva</t>
        </is>
      </c>
      <c r="B10" s="130" t="inlineStr">
        <is>
          <t>m²</t>
        </is>
      </c>
      <c r="C10" s="131" t="n">
        <v>4200</v>
      </c>
      <c r="D10" s="132" t="n">
        <v>185</v>
      </c>
      <c r="E10" s="133">
        <f>$C10*$D10</f>
        <v/>
      </c>
      <c r="F10" s="132" t="n">
        <v>192</v>
      </c>
      <c r="G10" s="134">
        <f>$C10*$F10</f>
        <v/>
      </c>
      <c r="H10" s="134">
        <f>IF(OR($E10="",$G10=""),"",$G10-$E10)</f>
        <v/>
      </c>
    </row>
    <row r="11" ht="15" customHeight="1" s="83">
      <c r="A11" s="130" t="inlineStr">
        <is>
          <t>Boya</t>
        </is>
      </c>
      <c r="B11" s="130" t="inlineStr">
        <is>
          <t>m²</t>
        </is>
      </c>
      <c r="C11" s="131" t="n">
        <v>5100</v>
      </c>
      <c r="D11" s="132" t="n">
        <v>95</v>
      </c>
      <c r="E11" s="133">
        <f>$C11*$D11</f>
        <v/>
      </c>
      <c r="F11" s="132" t="n">
        <v>99</v>
      </c>
      <c r="G11" s="134">
        <f>$C11*$F11</f>
        <v/>
      </c>
      <c r="H11" s="134">
        <f>IF(OR($E11="",$G11=""),"",$G11-$E11)</f>
        <v/>
      </c>
    </row>
    <row r="12" ht="15" customHeight="1" s="83">
      <c r="A12" s="130" t="inlineStr">
        <is>
          <t>Asma Tavan</t>
        </is>
      </c>
      <c r="B12" s="130" t="inlineStr">
        <is>
          <t>m²</t>
        </is>
      </c>
      <c r="C12" s="131" t="n">
        <v>1400</v>
      </c>
      <c r="D12" s="132" t="n">
        <v>260</v>
      </c>
      <c r="E12" s="133">
        <f>$C12*$D12</f>
        <v/>
      </c>
      <c r="F12" s="132" t="n">
        <v>268</v>
      </c>
      <c r="G12" s="134">
        <f>$C12*$F12</f>
        <v/>
      </c>
      <c r="H12" s="134">
        <f>IF(OR($E12="",$G12=""),"",$G12-$E12)</f>
        <v/>
      </c>
    </row>
    <row r="13" ht="15" customHeight="1" s="83">
      <c r="A13" s="130" t="inlineStr">
        <is>
          <t>Mermer</t>
        </is>
      </c>
      <c r="B13" s="130" t="inlineStr">
        <is>
          <t>m²</t>
        </is>
      </c>
      <c r="C13" s="131" t="n">
        <v>950</v>
      </c>
      <c r="D13" s="132" t="n">
        <v>720</v>
      </c>
      <c r="E13" s="133">
        <f>$C13*$D13</f>
        <v/>
      </c>
      <c r="F13" s="132" t="n">
        <v>740</v>
      </c>
      <c r="G13" s="134">
        <f>$C13*$F13</f>
        <v/>
      </c>
      <c r="H13" s="134">
        <f>IF(OR($E13="",$G13=""),"",$G13-$E13)</f>
        <v/>
      </c>
    </row>
    <row r="14" ht="15" customHeight="1" s="83">
      <c r="A14" s="130" t="inlineStr">
        <is>
          <t>Çelik Kapı</t>
        </is>
      </c>
      <c r="B14" s="130" t="inlineStr">
        <is>
          <t>adet</t>
        </is>
      </c>
      <c r="C14" s="131" t="n">
        <v>120</v>
      </c>
      <c r="D14" s="132" t="n">
        <v>4200</v>
      </c>
      <c r="E14" s="133">
        <f>$C14*$D14</f>
        <v/>
      </c>
      <c r="F14" s="132" t="n">
        <v>4320</v>
      </c>
      <c r="G14" s="134">
        <f>$C14*$F14</f>
        <v/>
      </c>
      <c r="H14" s="134">
        <f>IF(OR($E14="",$G14=""),"",$G14-$E14)</f>
        <v/>
      </c>
    </row>
    <row r="15" ht="15" customHeight="1" s="83">
      <c r="A15" s="130" t="inlineStr">
        <is>
          <t>PVC Pencere</t>
        </is>
      </c>
      <c r="B15" s="130" t="inlineStr">
        <is>
          <t>adet</t>
        </is>
      </c>
      <c r="C15" s="131" t="n">
        <v>240</v>
      </c>
      <c r="D15" s="132" t="n">
        <v>1600</v>
      </c>
      <c r="E15" s="133">
        <f>$C15*$D15</f>
        <v/>
      </c>
      <c r="F15" s="132" t="n">
        <v>1650</v>
      </c>
      <c r="G15" s="134">
        <f>$C15*$F15</f>
        <v/>
      </c>
      <c r="H15" s="134">
        <f>IF(OR($E15="",$G15=""),"",$G15-$E15)</f>
        <v/>
      </c>
    </row>
    <row r="16" ht="15" customHeight="1" s="83">
      <c r="A16" s="130" t="inlineStr">
        <is>
          <t>Elektrik Tesisatı</t>
        </is>
      </c>
      <c r="B16" s="130" t="inlineStr">
        <is>
          <t>m</t>
        </is>
      </c>
      <c r="C16" s="131" t="n">
        <v>6800</v>
      </c>
      <c r="D16" s="132" t="n">
        <v>42</v>
      </c>
      <c r="E16" s="133">
        <f>$C16*$D16</f>
        <v/>
      </c>
      <c r="F16" s="132" t="n">
        <v>44</v>
      </c>
      <c r="G16" s="134">
        <f>$C16*$F16</f>
        <v/>
      </c>
      <c r="H16" s="134">
        <f>IF(OR($E16="",$G16=""),"",$G16-$E16)</f>
        <v/>
      </c>
    </row>
    <row r="17" ht="15" customHeight="1" s="83">
      <c r="A17" s="130" t="inlineStr">
        <is>
          <t>Sıhhi Tesisat</t>
        </is>
      </c>
      <c r="B17" s="130" t="inlineStr">
        <is>
          <t>m</t>
        </is>
      </c>
      <c r="C17" s="131" t="n">
        <v>5400</v>
      </c>
      <c r="D17" s="132" t="n">
        <v>65</v>
      </c>
      <c r="E17" s="133">
        <f>$C17*$D17</f>
        <v/>
      </c>
      <c r="F17" s="132" t="n">
        <v>68</v>
      </c>
      <c r="G17" s="134">
        <f>$C17*$F17</f>
        <v/>
      </c>
      <c r="H17" s="134">
        <f>IF(OR($E17="",$G17=""),"",$G17-$E17)</f>
        <v/>
      </c>
    </row>
    <row r="18" ht="15" customHeight="1" s="83">
      <c r="A18" s="135" t="n"/>
      <c r="B18" s="135" t="n"/>
      <c r="C18" s="135" t="n"/>
      <c r="D18" s="136" t="n"/>
      <c r="E18" s="137" t="n"/>
      <c r="F18" s="136" t="n"/>
      <c r="G18" s="137" t="n"/>
      <c r="H18" s="137" t="n"/>
    </row>
    <row r="19" ht="15" customHeight="1" s="83">
      <c r="A19" s="135" t="n"/>
      <c r="B19" s="135" t="n"/>
      <c r="C19" s="135" t="n"/>
      <c r="D19" s="136" t="n"/>
      <c r="E19" s="137" t="n"/>
      <c r="F19" s="136" t="n"/>
      <c r="G19" s="137" t="n"/>
      <c r="H19" s="137" t="n"/>
    </row>
    <row r="20" ht="15" customHeight="1" s="83">
      <c r="A20" s="135" t="n"/>
      <c r="B20" s="135" t="n"/>
      <c r="C20" s="135" t="n"/>
      <c r="D20" s="136" t="n"/>
      <c r="E20" s="137" t="n"/>
      <c r="F20" s="136" t="n"/>
      <c r="G20" s="137" t="n"/>
      <c r="H20" s="137" t="n"/>
    </row>
    <row r="21" ht="15" customHeight="1" s="83">
      <c r="A21" s="135" t="n"/>
      <c r="B21" s="135" t="n"/>
      <c r="C21" s="135" t="n"/>
      <c r="D21" s="136" t="n"/>
      <c r="E21" s="137" t="n"/>
      <c r="F21" s="136" t="n"/>
      <c r="G21" s="137" t="n"/>
      <c r="H21" s="137" t="n"/>
    </row>
    <row r="22" ht="15" customHeight="1" s="83">
      <c r="A22" s="135" t="n"/>
      <c r="B22" s="135" t="n"/>
      <c r="C22" s="135" t="n"/>
      <c r="D22" s="136" t="n"/>
      <c r="E22" s="137" t="n"/>
      <c r="F22" s="136" t="n"/>
      <c r="G22" s="137" t="n"/>
      <c r="H22" s="137" t="n"/>
    </row>
    <row r="23" ht="15" customHeight="1" s="83">
      <c r="A23" s="135" t="n"/>
      <c r="B23" s="135" t="n"/>
      <c r="C23" s="135" t="n"/>
      <c r="D23" s="136" t="n"/>
      <c r="E23" s="137" t="n"/>
      <c r="F23" s="136" t="n"/>
      <c r="G23" s="137" t="n"/>
      <c r="H23" s="137" t="n"/>
    </row>
    <row r="24" ht="15" customHeight="1" s="83">
      <c r="A24" s="135" t="n"/>
      <c r="B24" s="135" t="n"/>
      <c r="C24" s="135" t="n"/>
      <c r="D24" s="136" t="n"/>
      <c r="E24" s="137" t="n"/>
      <c r="F24" s="136" t="n"/>
      <c r="G24" s="137" t="n"/>
      <c r="H24" s="137" t="n"/>
    </row>
    <row r="25" ht="15" customHeight="1" s="83">
      <c r="A25" s="135" t="n"/>
      <c r="B25" s="135" t="n"/>
      <c r="C25" s="135" t="n"/>
      <c r="D25" s="136" t="n"/>
      <c r="E25" s="137" t="n"/>
      <c r="F25" s="136" t="n"/>
      <c r="G25" s="137" t="n"/>
      <c r="H25" s="137" t="n"/>
    </row>
    <row r="26" ht="15" customHeight="1" s="83">
      <c r="A26" s="135" t="n"/>
      <c r="B26" s="135" t="n"/>
      <c r="C26" s="135" t="n"/>
      <c r="D26" s="136" t="n"/>
      <c r="E26" s="137" t="n"/>
      <c r="F26" s="136" t="n"/>
      <c r="G26" s="137" t="n"/>
      <c r="H26" s="137" t="n"/>
    </row>
    <row r="27" ht="15" customHeight="1" s="83">
      <c r="A27" s="135" t="n"/>
      <c r="B27" s="135" t="n"/>
      <c r="C27" s="135" t="n"/>
      <c r="D27" s="136" t="n"/>
      <c r="E27" s="137" t="n"/>
      <c r="F27" s="136" t="n"/>
      <c r="G27" s="137" t="n"/>
      <c r="H27" s="137" t="n"/>
    </row>
    <row r="28" ht="15" customHeight="1" s="83">
      <c r="A28" s="135" t="n"/>
      <c r="B28" s="135" t="n"/>
      <c r="C28" s="135" t="n"/>
      <c r="D28" s="136" t="n"/>
      <c r="E28" s="137" t="n"/>
      <c r="F28" s="136" t="n"/>
      <c r="G28" s="137" t="n"/>
      <c r="H28" s="137" t="n"/>
    </row>
    <row r="29" ht="15" customHeight="1" s="83">
      <c r="A29" s="135" t="n"/>
      <c r="B29" s="135" t="n"/>
      <c r="C29" s="135" t="n"/>
      <c r="D29" s="136" t="n"/>
      <c r="E29" s="137" t="n"/>
      <c r="F29" s="136" t="n"/>
      <c r="G29" s="137" t="n"/>
      <c r="H29" s="137" t="n"/>
    </row>
    <row r="30" ht="15" customHeight="1" s="83">
      <c r="A30" s="135" t="n"/>
      <c r="B30" s="135" t="n"/>
      <c r="C30" s="135" t="n"/>
      <c r="D30" s="136" t="n"/>
      <c r="E30" s="137" t="n"/>
      <c r="F30" s="136" t="n"/>
      <c r="G30" s="137" t="n"/>
      <c r="H30" s="137" t="n"/>
    </row>
    <row r="31" ht="15" customHeight="1" s="83">
      <c r="A31" s="135" t="n"/>
      <c r="B31" s="135" t="n"/>
      <c r="C31" s="135" t="n"/>
      <c r="D31" s="136" t="n"/>
      <c r="E31" s="137" t="n"/>
      <c r="F31" s="136" t="n"/>
      <c r="G31" s="137" t="n"/>
      <c r="H31" s="137" t="n"/>
    </row>
    <row r="32" ht="15" customHeight="1" s="83">
      <c r="A32" s="135" t="n"/>
      <c r="B32" s="135" t="n"/>
      <c r="C32" s="135" t="n"/>
      <c r="D32" s="136" t="n"/>
      <c r="E32" s="137" t="n"/>
      <c r="F32" s="136" t="n"/>
      <c r="G32" s="137" t="n"/>
      <c r="H32" s="137" t="n"/>
    </row>
    <row r="33" ht="15" customHeight="1" s="83">
      <c r="A33" s="135" t="n"/>
      <c r="B33" s="135" t="n"/>
      <c r="C33" s="135" t="n"/>
      <c r="D33" s="136" t="n"/>
      <c r="E33" s="137" t="n"/>
      <c r="F33" s="136" t="n"/>
      <c r="G33" s="137" t="n"/>
      <c r="H33" s="137" t="n"/>
    </row>
    <row r="34" ht="15" customHeight="1" s="83">
      <c r="A34" s="135" t="n"/>
      <c r="B34" s="135" t="n"/>
      <c r="C34" s="135" t="n"/>
      <c r="D34" s="136" t="n"/>
      <c r="E34" s="137" t="n"/>
      <c r="F34" s="136" t="n"/>
      <c r="G34" s="137" t="n"/>
      <c r="H34" s="137" t="n"/>
    </row>
    <row r="35" ht="15" customHeight="1" s="83">
      <c r="A35" s="135" t="n"/>
      <c r="B35" s="135" t="n"/>
      <c r="C35" s="135" t="n"/>
      <c r="D35" s="136" t="n"/>
      <c r="E35" s="137" t="n"/>
      <c r="F35" s="136" t="n"/>
      <c r="G35" s="137" t="n"/>
      <c r="H35" s="137" t="n"/>
    </row>
    <row r="36" ht="15" customHeight="1" s="83">
      <c r="A36" s="135" t="n"/>
      <c r="B36" s="135" t="n"/>
      <c r="C36" s="135" t="n"/>
      <c r="D36" s="136" t="n"/>
      <c r="E36" s="137" t="n"/>
      <c r="F36" s="136" t="n"/>
      <c r="G36" s="137" t="n"/>
      <c r="H36" s="137" t="n"/>
    </row>
    <row r="37" ht="15" customHeight="1" s="83">
      <c r="A37" s="135" t="n"/>
      <c r="B37" s="135" t="n"/>
      <c r="C37" s="135" t="n"/>
      <c r="D37" s="136" t="n"/>
      <c r="E37" s="137" t="n"/>
      <c r="F37" s="136" t="n"/>
      <c r="G37" s="137" t="n"/>
      <c r="H37" s="137" t="n"/>
    </row>
    <row r="38" ht="15" customHeight="1" s="83">
      <c r="A38" s="135" t="n"/>
      <c r="B38" s="135" t="n"/>
      <c r="C38" s="135" t="n"/>
      <c r="D38" s="136" t="n"/>
      <c r="E38" s="137" t="n"/>
      <c r="F38" s="136" t="n"/>
      <c r="G38" s="137" t="n"/>
      <c r="H38" s="137" t="n"/>
    </row>
    <row r="39" ht="15" customHeight="1" s="83">
      <c r="A39" s="135" t="n"/>
      <c r="B39" s="135" t="n"/>
      <c r="C39" s="135" t="n"/>
      <c r="D39" s="136" t="n"/>
      <c r="E39" s="137" t="n"/>
      <c r="F39" s="136" t="n"/>
      <c r="G39" s="137" t="n"/>
      <c r="H39" s="137" t="n"/>
    </row>
    <row r="40" ht="15" customHeight="1" s="83">
      <c r="A40" s="135" t="n"/>
      <c r="B40" s="135" t="n"/>
      <c r="C40" s="135" t="n"/>
      <c r="D40" s="136" t="n"/>
      <c r="E40" s="137" t="n"/>
      <c r="F40" s="136" t="n"/>
      <c r="G40" s="137" t="n"/>
      <c r="H40" s="137" t="n"/>
    </row>
    <row r="41" ht="15" customHeight="1" s="83">
      <c r="A41" s="135" t="n"/>
      <c r="B41" s="135" t="n"/>
      <c r="C41" s="135" t="n"/>
      <c r="D41" s="136" t="n"/>
      <c r="E41" s="137" t="n"/>
      <c r="F41" s="136" t="n"/>
      <c r="G41" s="137" t="n"/>
      <c r="H41" s="137" t="n"/>
    </row>
    <row r="42" ht="15" customHeight="1" s="83">
      <c r="A42" s="135" t="n"/>
      <c r="B42" s="135" t="n"/>
      <c r="C42" s="135" t="n"/>
      <c r="D42" s="136" t="n"/>
      <c r="E42" s="137" t="n"/>
      <c r="F42" s="136" t="n"/>
      <c r="G42" s="137" t="n"/>
      <c r="H42" s="137" t="n"/>
    </row>
    <row r="43" ht="15" customHeight="1" s="83">
      <c r="A43" s="135" t="n"/>
      <c r="B43" s="135" t="n"/>
      <c r="C43" s="135" t="n"/>
      <c r="D43" s="136" t="n"/>
      <c r="E43" s="137" t="n"/>
      <c r="F43" s="136" t="n"/>
      <c r="G43" s="137" t="n"/>
      <c r="H43" s="137" t="n"/>
    </row>
    <row r="44" ht="15" customHeight="1" s="83">
      <c r="A44" s="135" t="n"/>
      <c r="B44" s="135" t="n"/>
      <c r="C44" s="135" t="n"/>
      <c r="D44" s="136" t="n"/>
      <c r="E44" s="137" t="n"/>
      <c r="F44" s="136" t="n"/>
      <c r="G44" s="137" t="n"/>
      <c r="H44" s="137" t="n"/>
    </row>
    <row r="45" ht="15" customHeight="1" s="83">
      <c r="A45" s="135" t="n"/>
      <c r="B45" s="135" t="n"/>
      <c r="C45" s="135" t="n"/>
      <c r="D45" s="136" t="n"/>
      <c r="E45" s="137" t="n"/>
      <c r="F45" s="136" t="n"/>
      <c r="G45" s="137" t="n"/>
      <c r="H45" s="137" t="n"/>
    </row>
    <row r="46" ht="15" customHeight="1" s="83">
      <c r="A46" s="135" t="n"/>
      <c r="B46" s="135" t="n"/>
      <c r="C46" s="135" t="n"/>
      <c r="D46" s="136" t="n"/>
      <c r="E46" s="137" t="n"/>
      <c r="F46" s="136" t="n"/>
      <c r="G46" s="137" t="n"/>
      <c r="H46" s="137" t="n"/>
    </row>
    <row r="47" ht="15" customHeight="1" s="83">
      <c r="A47" s="135" t="n"/>
      <c r="B47" s="135" t="n"/>
      <c r="C47" s="135" t="n"/>
      <c r="D47" s="136" t="n"/>
      <c r="E47" s="137" t="n"/>
      <c r="F47" s="136" t="n"/>
      <c r="G47" s="137" t="n"/>
      <c r="H47" s="137" t="n"/>
    </row>
    <row r="48" ht="15" customHeight="1" s="83">
      <c r="A48" s="135" t="n"/>
      <c r="B48" s="135" t="n"/>
      <c r="C48" s="135" t="n"/>
      <c r="D48" s="136" t="n"/>
      <c r="E48" s="137" t="n"/>
      <c r="F48" s="136" t="n"/>
      <c r="G48" s="137" t="n"/>
      <c r="H48" s="137" t="n"/>
    </row>
    <row r="49" ht="15" customHeight="1" s="83">
      <c r="A49" s="135" t="n"/>
      <c r="B49" s="135" t="n"/>
      <c r="C49" s="135" t="n"/>
      <c r="D49" s="136" t="n"/>
      <c r="E49" s="137" t="n"/>
      <c r="F49" s="136" t="n"/>
      <c r="G49" s="137" t="n"/>
      <c r="H49" s="137" t="n"/>
    </row>
    <row r="50" ht="15" customHeight="1" s="83">
      <c r="A50" s="135" t="n"/>
      <c r="B50" s="135" t="n"/>
      <c r="C50" s="135" t="n"/>
      <c r="D50" s="136" t="n"/>
      <c r="E50" s="137" t="n"/>
      <c r="F50" s="136" t="n"/>
      <c r="G50" s="137" t="n"/>
      <c r="H50" s="137" t="n"/>
    </row>
    <row r="51" ht="15" customHeight="1" s="83">
      <c r="A51" s="135" t="n"/>
      <c r="B51" s="135" t="n"/>
      <c r="C51" s="135" t="n"/>
      <c r="D51" s="136" t="n"/>
      <c r="E51" s="137" t="n"/>
      <c r="F51" s="136" t="n"/>
      <c r="G51" s="137" t="n"/>
      <c r="H51" s="137" t="n"/>
    </row>
    <row r="52" ht="15" customHeight="1" s="83">
      <c r="A52" s="135" t="n"/>
      <c r="B52" s="135" t="n"/>
      <c r="C52" s="135" t="n"/>
      <c r="D52" s="136" t="n"/>
      <c r="E52" s="137" t="n"/>
      <c r="F52" s="136" t="n"/>
      <c r="G52" s="137" t="n"/>
      <c r="H52" s="137" t="n"/>
    </row>
    <row r="53" ht="15" customHeight="1" s="83">
      <c r="A53" s="135" t="n"/>
      <c r="B53" s="135" t="n"/>
      <c r="C53" s="135" t="n"/>
      <c r="D53" s="136" t="n"/>
      <c r="E53" s="137" t="n"/>
      <c r="F53" s="136" t="n"/>
      <c r="G53" s="137" t="n"/>
      <c r="H53" s="137" t="n"/>
    </row>
    <row r="54" ht="15" customHeight="1" s="83">
      <c r="A54" s="135" t="n"/>
      <c r="B54" s="135" t="n"/>
      <c r="C54" s="135" t="n"/>
      <c r="D54" s="136" t="n"/>
      <c r="E54" s="137" t="n"/>
      <c r="F54" s="136" t="n"/>
      <c r="G54" s="137" t="n"/>
      <c r="H54" s="137" t="n"/>
    </row>
    <row r="55" ht="15" customHeight="1" s="83">
      <c r="A55" s="135" t="n"/>
      <c r="B55" s="135" t="n"/>
      <c r="C55" s="135" t="n"/>
      <c r="D55" s="136" t="n"/>
      <c r="E55" s="137" t="n"/>
      <c r="F55" s="136" t="n"/>
      <c r="G55" s="137" t="n"/>
      <c r="H55" s="137" t="n"/>
    </row>
    <row r="56" ht="15" customHeight="1" s="83">
      <c r="A56" s="135" t="n"/>
      <c r="B56" s="135" t="n"/>
      <c r="C56" s="135" t="n"/>
      <c r="D56" s="136" t="n"/>
      <c r="E56" s="137" t="n"/>
      <c r="F56" s="136" t="n"/>
      <c r="G56" s="137" t="n"/>
      <c r="H56" s="137" t="n"/>
    </row>
    <row r="57" ht="15" customHeight="1" s="83">
      <c r="A57" s="135" t="n"/>
      <c r="B57" s="135" t="n"/>
      <c r="C57" s="135" t="n"/>
      <c r="D57" s="136" t="n"/>
      <c r="E57" s="137" t="n"/>
      <c r="F57" s="136" t="n"/>
      <c r="G57" s="137" t="n"/>
      <c r="H57" s="137" t="n"/>
    </row>
    <row r="58" ht="15" customHeight="1" s="83">
      <c r="A58" s="135" t="n"/>
      <c r="B58" s="135" t="n"/>
      <c r="C58" s="135" t="n"/>
      <c r="D58" s="136" t="n"/>
      <c r="E58" s="137" t="n"/>
      <c r="F58" s="136" t="n"/>
      <c r="G58" s="137" t="n"/>
      <c r="H58" s="137" t="n"/>
    </row>
    <row r="59" ht="15" customHeight="1" s="83">
      <c r="A59" s="135" t="n"/>
      <c r="B59" s="135" t="n"/>
      <c r="C59" s="135" t="n"/>
      <c r="D59" s="136" t="n"/>
      <c r="E59" s="137" t="n"/>
      <c r="F59" s="136" t="n"/>
      <c r="G59" s="137" t="n"/>
      <c r="H59" s="137" t="n"/>
    </row>
    <row r="60" ht="15" customHeight="1" s="83">
      <c r="A60" s="135" t="n"/>
      <c r="B60" s="135" t="n"/>
      <c r="C60" s="135" t="n"/>
      <c r="D60" s="136" t="n"/>
      <c r="E60" s="137" t="n"/>
      <c r="F60" s="136" t="n"/>
      <c r="G60" s="137" t="n"/>
      <c r="H60" s="137" t="n"/>
    </row>
    <row r="61" ht="15" customHeight="1" s="83">
      <c r="A61" s="135" t="n"/>
      <c r="B61" s="135" t="n"/>
      <c r="C61" s="135" t="n"/>
      <c r="D61" s="136" t="n"/>
      <c r="E61" s="137" t="n"/>
      <c r="F61" s="136" t="n"/>
      <c r="G61" s="137" t="n"/>
      <c r="H61" s="137" t="n"/>
    </row>
    <row r="62" ht="15" customHeight="1" s="83">
      <c r="A62" s="135" t="n"/>
      <c r="B62" s="135" t="n"/>
      <c r="C62" s="135" t="n"/>
      <c r="D62" s="136" t="n"/>
      <c r="E62" s="137" t="n"/>
      <c r="F62" s="136" t="n"/>
      <c r="G62" s="137" t="n"/>
      <c r="H62" s="137" t="n"/>
    </row>
    <row r="63" ht="15" customHeight="1" s="83">
      <c r="A63" s="135" t="n"/>
      <c r="B63" s="135" t="n"/>
      <c r="C63" s="135" t="n"/>
      <c r="D63" s="136" t="n"/>
      <c r="E63" s="137" t="n"/>
      <c r="F63" s="136" t="n"/>
      <c r="G63" s="137" t="n"/>
      <c r="H63" s="137" t="n"/>
    </row>
    <row r="64" ht="15" customHeight="1" s="83">
      <c r="A64" s="135" t="n"/>
      <c r="B64" s="135" t="n"/>
      <c r="C64" s="135" t="n"/>
      <c r="D64" s="136" t="n"/>
      <c r="E64" s="137" t="n"/>
      <c r="F64" s="136" t="n"/>
      <c r="G64" s="137" t="n"/>
      <c r="H64" s="137" t="n"/>
    </row>
    <row r="65" ht="15" customHeight="1" s="83">
      <c r="A65" s="135" t="n"/>
      <c r="B65" s="135" t="n"/>
      <c r="C65" s="135" t="n"/>
      <c r="D65" s="136" t="n"/>
      <c r="E65" s="137" t="n"/>
      <c r="F65" s="136" t="n"/>
      <c r="G65" s="137" t="n"/>
      <c r="H65" s="137" t="n"/>
    </row>
    <row r="66" ht="15" customHeight="1" s="83">
      <c r="A66" s="135" t="n"/>
      <c r="B66" s="135" t="n"/>
      <c r="C66" s="135" t="n"/>
      <c r="D66" s="136" t="n"/>
      <c r="E66" s="137" t="n"/>
      <c r="F66" s="136" t="n"/>
      <c r="G66" s="137" t="n"/>
      <c r="H66" s="137" t="n"/>
    </row>
    <row r="67" ht="15" customHeight="1" s="83">
      <c r="A67" s="135" t="n"/>
      <c r="B67" s="135" t="n"/>
      <c r="C67" s="135" t="n"/>
      <c r="D67" s="136" t="n"/>
      <c r="E67" s="137" t="n"/>
      <c r="F67" s="136" t="n"/>
      <c r="G67" s="137" t="n"/>
      <c r="H67" s="137" t="n"/>
    </row>
    <row r="68" ht="15" customHeight="1" s="83">
      <c r="A68" s="135" t="n"/>
      <c r="B68" s="135" t="n"/>
      <c r="C68" s="135" t="n"/>
      <c r="D68" s="136" t="n"/>
      <c r="E68" s="137" t="n"/>
      <c r="F68" s="136" t="n"/>
      <c r="G68" s="137" t="n"/>
      <c r="H68" s="137" t="n"/>
    </row>
    <row r="69" ht="15" customHeight="1" s="83">
      <c r="A69" s="135" t="n"/>
      <c r="B69" s="135" t="n"/>
      <c r="C69" s="135" t="n"/>
      <c r="D69" s="136" t="n"/>
      <c r="E69" s="137" t="n"/>
      <c r="F69" s="136" t="n"/>
      <c r="G69" s="137" t="n"/>
      <c r="H69" s="137" t="n"/>
    </row>
    <row r="70" ht="15" customHeight="1" s="83">
      <c r="A70" s="135" t="n"/>
      <c r="B70" s="135" t="n"/>
      <c r="C70" s="135" t="n"/>
      <c r="D70" s="136" t="n"/>
      <c r="E70" s="137" t="n"/>
      <c r="F70" s="136" t="n"/>
      <c r="G70" s="137" t="n"/>
      <c r="H70" s="137" t="n"/>
    </row>
    <row r="71" ht="15" customHeight="1" s="83">
      <c r="A71" s="135" t="n"/>
      <c r="B71" s="135" t="n"/>
      <c r="C71" s="135" t="n"/>
      <c r="D71" s="136" t="n"/>
      <c r="E71" s="137" t="n"/>
      <c r="F71" s="136" t="n"/>
      <c r="G71" s="137" t="n"/>
      <c r="H71" s="137" t="n"/>
    </row>
    <row r="72" ht="15" customHeight="1" s="83">
      <c r="A72" s="135" t="n"/>
      <c r="B72" s="135" t="n"/>
      <c r="C72" s="135" t="n"/>
      <c r="D72" s="136" t="n"/>
      <c r="E72" s="137" t="n"/>
      <c r="F72" s="136" t="n"/>
      <c r="G72" s="137" t="n"/>
      <c r="H72" s="137" t="n"/>
    </row>
    <row r="73" ht="15" customHeight="1" s="83">
      <c r="A73" s="135" t="n"/>
      <c r="B73" s="135" t="n"/>
      <c r="C73" s="135" t="n"/>
      <c r="D73" s="136" t="n"/>
      <c r="E73" s="137" t="n"/>
      <c r="F73" s="136" t="n"/>
      <c r="G73" s="137" t="n"/>
      <c r="H73" s="137" t="n"/>
    </row>
    <row r="74" ht="15" customHeight="1" s="83">
      <c r="A74" s="135" t="n"/>
      <c r="B74" s="135" t="n"/>
      <c r="C74" s="135" t="n"/>
      <c r="D74" s="136" t="n"/>
      <c r="E74" s="137" t="n"/>
      <c r="F74" s="136" t="n"/>
      <c r="G74" s="137" t="n"/>
      <c r="H74" s="137" t="n"/>
    </row>
    <row r="75" ht="15" customHeight="1" s="83">
      <c r="A75" s="135" t="n"/>
      <c r="B75" s="135" t="n"/>
      <c r="C75" s="135" t="n"/>
      <c r="D75" s="136" t="n"/>
      <c r="E75" s="137" t="n"/>
      <c r="F75" s="136" t="n"/>
      <c r="G75" s="137" t="n"/>
      <c r="H75" s="137" t="n"/>
    </row>
    <row r="76" ht="15" customHeight="1" s="83">
      <c r="A76" s="135" t="n"/>
      <c r="B76" s="135" t="n"/>
      <c r="C76" s="135" t="n"/>
      <c r="D76" s="136" t="n"/>
      <c r="E76" s="137" t="n"/>
      <c r="F76" s="136" t="n"/>
      <c r="G76" s="137" t="n"/>
      <c r="H76" s="137" t="n"/>
    </row>
    <row r="77" ht="15" customHeight="1" s="83">
      <c r="A77" s="135" t="n"/>
      <c r="B77" s="135" t="n"/>
      <c r="C77" s="135" t="n"/>
      <c r="D77" s="136" t="n"/>
      <c r="E77" s="137" t="n"/>
      <c r="F77" s="136" t="n"/>
      <c r="G77" s="137" t="n"/>
      <c r="H77" s="137" t="n"/>
    </row>
    <row r="78" ht="15" customHeight="1" s="83">
      <c r="A78" s="135" t="n"/>
      <c r="B78" s="135" t="n"/>
      <c r="C78" s="135" t="n"/>
      <c r="D78" s="136" t="n"/>
      <c r="E78" s="137" t="n"/>
      <c r="F78" s="136" t="n"/>
      <c r="G78" s="137" t="n"/>
      <c r="H78" s="137" t="n"/>
    </row>
    <row r="79" ht="15" customHeight="1" s="83">
      <c r="A79" s="135" t="n"/>
      <c r="B79" s="135" t="n"/>
      <c r="C79" s="135" t="n"/>
      <c r="D79" s="136" t="n"/>
      <c r="E79" s="137" t="n"/>
      <c r="F79" s="136" t="n"/>
      <c r="G79" s="137" t="n"/>
      <c r="H79" s="137" t="n"/>
    </row>
    <row r="80" ht="15" customHeight="1" s="83">
      <c r="A80" s="135" t="n"/>
      <c r="B80" s="135" t="n"/>
      <c r="C80" s="135" t="n"/>
      <c r="D80" s="136" t="n"/>
      <c r="E80" s="137" t="n"/>
      <c r="F80" s="136" t="n"/>
      <c r="G80" s="137" t="n"/>
      <c r="H80" s="137" t="n"/>
    </row>
    <row r="81" ht="15" customHeight="1" s="83">
      <c r="A81" s="135" t="n"/>
      <c r="B81" s="135" t="n"/>
      <c r="C81" s="135" t="n"/>
      <c r="D81" s="136" t="n"/>
      <c r="E81" s="137" t="n"/>
      <c r="F81" s="136" t="n"/>
      <c r="G81" s="137" t="n"/>
      <c r="H81" s="137" t="n"/>
    </row>
    <row r="82" ht="15" customHeight="1" s="83">
      <c r="A82" s="135" t="n"/>
      <c r="B82" s="135" t="n"/>
      <c r="C82" s="135" t="n"/>
      <c r="D82" s="136" t="n"/>
      <c r="E82" s="137" t="n"/>
      <c r="F82" s="136" t="n"/>
      <c r="G82" s="137" t="n"/>
      <c r="H82" s="137" t="n"/>
    </row>
    <row r="83" ht="15" customHeight="1" s="83">
      <c r="A83" s="135" t="n"/>
      <c r="B83" s="135" t="n"/>
      <c r="C83" s="135" t="n"/>
      <c r="D83" s="136" t="n"/>
      <c r="E83" s="137" t="n"/>
      <c r="F83" s="136" t="n"/>
      <c r="G83" s="137" t="n"/>
      <c r="H83" s="137" t="n"/>
    </row>
    <row r="84" ht="15" customHeight="1" s="83">
      <c r="A84" s="135" t="n"/>
      <c r="B84" s="135" t="n"/>
      <c r="C84" s="135" t="n"/>
      <c r="D84" s="136" t="n"/>
      <c r="E84" s="137" t="n"/>
      <c r="F84" s="136" t="n"/>
      <c r="G84" s="137" t="n"/>
      <c r="H84" s="137" t="n"/>
    </row>
    <row r="85" ht="15" customHeight="1" s="83">
      <c r="A85" s="135" t="n"/>
      <c r="B85" s="135" t="n"/>
      <c r="C85" s="135" t="n"/>
      <c r="D85" s="136" t="n"/>
      <c r="E85" s="137" t="n"/>
      <c r="F85" s="136" t="n"/>
      <c r="G85" s="137" t="n"/>
      <c r="H85" s="137" t="n"/>
    </row>
    <row r="86" ht="15" customHeight="1" s="83">
      <c r="A86" s="135" t="n"/>
      <c r="B86" s="135" t="n"/>
      <c r="C86" s="135" t="n"/>
      <c r="D86" s="136" t="n"/>
      <c r="E86" s="137" t="n"/>
      <c r="F86" s="136" t="n"/>
      <c r="G86" s="137" t="n"/>
      <c r="H86" s="137" t="n"/>
    </row>
    <row r="87" ht="15" customHeight="1" s="83">
      <c r="A87" s="135" t="n"/>
      <c r="B87" s="135" t="n"/>
      <c r="C87" s="135" t="n"/>
      <c r="D87" s="136" t="n"/>
      <c r="E87" s="137" t="n"/>
      <c r="F87" s="136" t="n"/>
      <c r="G87" s="137" t="n"/>
      <c r="H87" s="137" t="n"/>
    </row>
    <row r="88" ht="15" customHeight="1" s="83">
      <c r="A88" s="135" t="n"/>
      <c r="B88" s="135" t="n"/>
      <c r="C88" s="135" t="n"/>
      <c r="D88" s="136" t="n"/>
      <c r="E88" s="137" t="n"/>
      <c r="F88" s="136" t="n"/>
      <c r="G88" s="137" t="n"/>
      <c r="H88" s="137" t="n"/>
    </row>
    <row r="89" ht="15" customHeight="1" s="83">
      <c r="A89" s="135" t="n"/>
      <c r="B89" s="135" t="n"/>
      <c r="C89" s="135" t="n"/>
      <c r="D89" s="136" t="n"/>
      <c r="E89" s="137" t="n"/>
      <c r="F89" s="136" t="n"/>
      <c r="G89" s="137" t="n"/>
      <c r="H89" s="137" t="n"/>
    </row>
    <row r="90" ht="15" customHeight="1" s="83">
      <c r="A90" s="135" t="n"/>
      <c r="B90" s="135" t="n"/>
      <c r="C90" s="135" t="n"/>
      <c r="D90" s="136" t="n"/>
      <c r="E90" s="137" t="n"/>
      <c r="F90" s="136" t="n"/>
      <c r="G90" s="137" t="n"/>
      <c r="H90" s="137" t="n"/>
    </row>
    <row r="91" ht="15" customHeight="1" s="83">
      <c r="A91" s="135" t="n"/>
      <c r="B91" s="135" t="n"/>
      <c r="C91" s="135" t="n"/>
      <c r="D91" s="136" t="n"/>
      <c r="E91" s="137" t="n"/>
      <c r="F91" s="136" t="n"/>
      <c r="G91" s="137" t="n"/>
      <c r="H91" s="137" t="n"/>
    </row>
    <row r="92" ht="15" customHeight="1" s="83">
      <c r="A92" s="135" t="n"/>
      <c r="B92" s="135" t="n"/>
      <c r="C92" s="135" t="n"/>
      <c r="D92" s="136" t="n"/>
      <c r="E92" s="137" t="n"/>
      <c r="F92" s="136" t="n"/>
      <c r="G92" s="137" t="n"/>
      <c r="H92" s="137" t="n"/>
    </row>
    <row r="93" ht="15" customHeight="1" s="83">
      <c r="A93" s="135" t="n"/>
      <c r="B93" s="135" t="n"/>
      <c r="C93" s="135" t="n"/>
      <c r="D93" s="136" t="n"/>
      <c r="E93" s="137" t="n"/>
      <c r="F93" s="136" t="n"/>
      <c r="G93" s="137" t="n"/>
      <c r="H93" s="137" t="n"/>
    </row>
    <row r="94" ht="15" customHeight="1" s="83">
      <c r="A94" s="135" t="n"/>
      <c r="B94" s="135" t="n"/>
      <c r="C94" s="135" t="n"/>
      <c r="D94" s="136" t="n"/>
      <c r="E94" s="137" t="n"/>
      <c r="F94" s="136" t="n"/>
      <c r="G94" s="137" t="n"/>
      <c r="H94" s="137" t="n"/>
    </row>
    <row r="95" ht="15" customHeight="1" s="83">
      <c r="A95" s="135" t="n"/>
      <c r="B95" s="135" t="n"/>
      <c r="C95" s="135" t="n"/>
      <c r="D95" s="136" t="n"/>
      <c r="E95" s="137" t="n"/>
      <c r="F95" s="136" t="n"/>
      <c r="G95" s="137" t="n"/>
      <c r="H95" s="137" t="n"/>
    </row>
    <row r="96" ht="15" customHeight="1" s="83">
      <c r="A96" s="135" t="n"/>
      <c r="B96" s="135" t="n"/>
      <c r="C96" s="135" t="n"/>
      <c r="D96" s="136" t="n"/>
      <c r="E96" s="137" t="n"/>
      <c r="F96" s="136" t="n"/>
      <c r="G96" s="137" t="n"/>
      <c r="H96" s="137" t="n"/>
    </row>
    <row r="97" ht="15" customHeight="1" s="83">
      <c r="A97" s="135" t="n"/>
      <c r="B97" s="135" t="n"/>
      <c r="C97" s="135" t="n"/>
      <c r="D97" s="136" t="n"/>
      <c r="E97" s="137" t="n"/>
      <c r="F97" s="136" t="n"/>
      <c r="G97" s="137" t="n"/>
      <c r="H97" s="137" t="n"/>
    </row>
    <row r="98" ht="15" customHeight="1" s="83">
      <c r="A98" s="135" t="n"/>
      <c r="B98" s="135" t="n"/>
      <c r="C98" s="135" t="n"/>
      <c r="D98" s="136" t="n"/>
      <c r="E98" s="137" t="n"/>
      <c r="F98" s="136" t="n"/>
      <c r="G98" s="137" t="n"/>
      <c r="H98" s="137" t="n"/>
    </row>
    <row r="99" ht="15" customHeight="1" s="83">
      <c r="A99" s="135" t="n"/>
      <c r="B99" s="135" t="n"/>
      <c r="C99" s="135" t="n"/>
      <c r="D99" s="136" t="n"/>
      <c r="E99" s="137" t="n"/>
      <c r="F99" s="136" t="n"/>
      <c r="G99" s="137" t="n"/>
      <c r="H99" s="137" t="n"/>
    </row>
    <row r="100" ht="15" customHeight="1" s="83">
      <c r="A100" s="135" t="n"/>
      <c r="B100" s="135" t="n"/>
      <c r="C100" s="135" t="n"/>
      <c r="D100" s="136" t="n"/>
      <c r="E100" s="137" t="n"/>
      <c r="F100" s="136" t="n"/>
      <c r="G100" s="137" t="n"/>
      <c r="H100" s="137" t="n"/>
    </row>
    <row r="101" ht="15" customHeight="1" s="83">
      <c r="A101" s="135" t="n"/>
      <c r="B101" s="135" t="n"/>
      <c r="C101" s="135" t="n"/>
      <c r="D101" s="136" t="n"/>
      <c r="E101" s="137" t="n"/>
      <c r="F101" s="136" t="n"/>
      <c r="G101" s="137" t="n"/>
      <c r="H101" s="137" t="n"/>
    </row>
    <row r="102" ht="15" customHeight="1" s="83">
      <c r="A102" s="135" t="n"/>
      <c r="B102" s="135" t="n"/>
      <c r="C102" s="135" t="n"/>
      <c r="D102" s="136" t="n"/>
      <c r="E102" s="137" t="n"/>
      <c r="F102" s="136" t="n"/>
      <c r="G102" s="137" t="n"/>
      <c r="H102" s="137" t="n"/>
    </row>
    <row r="103" ht="15" customHeight="1" s="83">
      <c r="A103" s="135" t="n"/>
      <c r="B103" s="135" t="n"/>
      <c r="C103" s="135" t="n"/>
      <c r="D103" s="136" t="n"/>
      <c r="E103" s="137" t="n"/>
      <c r="F103" s="136" t="n"/>
      <c r="G103" s="137" t="n"/>
      <c r="H103" s="137" t="n"/>
    </row>
    <row r="104" ht="15" customHeight="1" s="83">
      <c r="A104" s="135" t="n"/>
      <c r="B104" s="135" t="n"/>
      <c r="C104" s="135" t="n"/>
      <c r="D104" s="136" t="n"/>
      <c r="E104" s="137" t="n"/>
      <c r="F104" s="136" t="n"/>
      <c r="G104" s="137" t="n"/>
      <c r="H104" s="137" t="n"/>
    </row>
    <row r="105" ht="15" customHeight="1" s="83">
      <c r="A105" s="135" t="n"/>
      <c r="B105" s="135" t="n"/>
      <c r="C105" s="135" t="n"/>
      <c r="D105" s="136" t="n"/>
      <c r="E105" s="137" t="n"/>
      <c r="F105" s="136" t="n"/>
      <c r="G105" s="137" t="n"/>
      <c r="H105" s="137" t="n"/>
    </row>
    <row r="106" ht="15" customHeight="1" s="83">
      <c r="A106" s="135" t="n"/>
      <c r="B106" s="135" t="n"/>
      <c r="C106" s="135" t="n"/>
      <c r="D106" s="136" t="n"/>
      <c r="E106" s="137" t="n"/>
      <c r="F106" s="136" t="n"/>
      <c r="G106" s="137" t="n"/>
      <c r="H106" s="137" t="n"/>
    </row>
    <row r="107" ht="15" customHeight="1" s="83">
      <c r="A107" s="135" t="n"/>
      <c r="B107" s="135" t="n"/>
      <c r="C107" s="135" t="n"/>
      <c r="D107" s="136" t="n"/>
      <c r="E107" s="137" t="n"/>
      <c r="F107" s="136" t="n"/>
      <c r="G107" s="137" t="n"/>
      <c r="H107" s="137" t="n"/>
    </row>
    <row r="108" ht="15" customHeight="1" s="83">
      <c r="A108" s="135" t="n"/>
      <c r="B108" s="135" t="n"/>
      <c r="C108" s="135" t="n"/>
      <c r="D108" s="136" t="n"/>
      <c r="E108" s="137" t="n"/>
      <c r="F108" s="136" t="n"/>
      <c r="G108" s="137" t="n"/>
      <c r="H108" s="137" t="n"/>
    </row>
    <row r="109" ht="15" customHeight="1" s="83">
      <c r="A109" s="135" t="n"/>
      <c r="B109" s="135" t="n"/>
      <c r="C109" s="135" t="n"/>
      <c r="D109" s="136" t="n"/>
      <c r="E109" s="137" t="n"/>
      <c r="F109" s="136" t="n"/>
      <c r="G109" s="137" t="n"/>
      <c r="H109" s="137" t="n"/>
    </row>
    <row r="110" ht="15" customHeight="1" s="83">
      <c r="A110" s="135" t="n"/>
      <c r="B110" s="135" t="n"/>
      <c r="C110" s="135" t="n"/>
      <c r="D110" s="136" t="n"/>
      <c r="E110" s="137" t="n"/>
      <c r="F110" s="136" t="n"/>
      <c r="G110" s="137" t="n"/>
      <c r="H110" s="137" t="n"/>
    </row>
    <row r="111" ht="15" customHeight="1" s="83">
      <c r="A111" s="135" t="n"/>
      <c r="B111" s="135" t="n"/>
      <c r="C111" s="135" t="n"/>
      <c r="D111" s="136" t="n"/>
      <c r="E111" s="137" t="n"/>
      <c r="F111" s="136" t="n"/>
      <c r="G111" s="137" t="n"/>
      <c r="H111" s="137" t="n"/>
    </row>
    <row r="112" ht="15" customHeight="1" s="83">
      <c r="A112" s="135" t="n"/>
      <c r="B112" s="135" t="n"/>
      <c r="C112" s="135" t="n"/>
      <c r="D112" s="136" t="n"/>
      <c r="E112" s="137" t="n"/>
      <c r="F112" s="136" t="n"/>
      <c r="G112" s="137" t="n"/>
      <c r="H112" s="137" t="n"/>
    </row>
    <row r="113" ht="15" customHeight="1" s="83">
      <c r="A113" s="135" t="n"/>
      <c r="B113" s="135" t="n"/>
      <c r="C113" s="135" t="n"/>
      <c r="D113" s="136" t="n"/>
      <c r="E113" s="137" t="n"/>
      <c r="F113" s="136" t="n"/>
      <c r="G113" s="137" t="n"/>
      <c r="H113" s="137" t="n"/>
    </row>
    <row r="114" ht="15" customHeight="1" s="83">
      <c r="A114" s="135" t="n"/>
      <c r="B114" s="135" t="n"/>
      <c r="C114" s="135" t="n"/>
      <c r="D114" s="136" t="n"/>
      <c r="E114" s="137" t="n"/>
      <c r="F114" s="136" t="n"/>
      <c r="G114" s="137" t="n"/>
      <c r="H114" s="137" t="n"/>
    </row>
    <row r="115" ht="15" customHeight="1" s="83">
      <c r="A115" s="135" t="n"/>
      <c r="B115" s="135" t="n"/>
      <c r="C115" s="135" t="n"/>
      <c r="D115" s="136" t="n"/>
      <c r="E115" s="137" t="n"/>
      <c r="F115" s="136" t="n"/>
      <c r="G115" s="137" t="n"/>
      <c r="H115" s="137" t="n"/>
    </row>
    <row r="116" ht="15" customHeight="1" s="83">
      <c r="A116" s="135" t="n"/>
      <c r="B116" s="135" t="n"/>
      <c r="C116" s="135" t="n"/>
      <c r="D116" s="136" t="n"/>
      <c r="E116" s="137" t="n"/>
      <c r="F116" s="136" t="n"/>
      <c r="G116" s="137" t="n"/>
      <c r="H116" s="137" t="n"/>
    </row>
    <row r="117" ht="15" customHeight="1" s="83">
      <c r="A117" s="135" t="n"/>
      <c r="B117" s="135" t="n"/>
      <c r="C117" s="135" t="n"/>
      <c r="D117" s="136" t="n"/>
      <c r="E117" s="137" t="n"/>
      <c r="F117" s="136" t="n"/>
      <c r="G117" s="137" t="n"/>
      <c r="H117" s="137" t="n"/>
    </row>
    <row r="118" ht="15" customHeight="1" s="83">
      <c r="A118" s="135" t="n"/>
      <c r="B118" s="135" t="n"/>
      <c r="C118" s="135" t="n"/>
      <c r="D118" s="136" t="n"/>
      <c r="E118" s="137" t="n"/>
      <c r="F118" s="136" t="n"/>
      <c r="G118" s="137" t="n"/>
      <c r="H118" s="137" t="n"/>
    </row>
    <row r="119" ht="15" customHeight="1" s="83">
      <c r="A119" s="135" t="n"/>
      <c r="B119" s="135" t="n"/>
      <c r="C119" s="135" t="n"/>
      <c r="D119" s="136" t="n"/>
      <c r="E119" s="137" t="n"/>
      <c r="F119" s="136" t="n"/>
      <c r="G119" s="137" t="n"/>
      <c r="H119" s="137" t="n"/>
    </row>
    <row r="120" ht="15" customHeight="1" s="83">
      <c r="A120" s="135" t="n"/>
      <c r="B120" s="135" t="n"/>
      <c r="C120" s="135" t="n"/>
      <c r="D120" s="136" t="n"/>
      <c r="E120" s="137" t="n"/>
      <c r="F120" s="136" t="n"/>
      <c r="G120" s="137" t="n"/>
      <c r="H120" s="137" t="n"/>
    </row>
    <row r="121" ht="15" customHeight="1" s="83">
      <c r="A121" s="135" t="n"/>
      <c r="B121" s="135" t="n"/>
      <c r="C121" s="135" t="n"/>
      <c r="D121" s="136" t="n"/>
      <c r="E121" s="137" t="n"/>
      <c r="F121" s="136" t="n"/>
      <c r="G121" s="137" t="n"/>
      <c r="H121" s="137" t="n"/>
    </row>
    <row r="122" ht="15" customHeight="1" s="83">
      <c r="A122" s="135" t="n"/>
      <c r="B122" s="135" t="n"/>
      <c r="C122" s="135" t="n"/>
      <c r="D122" s="136" t="n"/>
      <c r="E122" s="137" t="n"/>
      <c r="F122" s="136" t="n"/>
      <c r="G122" s="137" t="n"/>
      <c r="H122" s="137" t="n"/>
    </row>
    <row r="123" ht="15" customHeight="1" s="83">
      <c r="A123" s="135" t="n"/>
      <c r="B123" s="135" t="n"/>
      <c r="C123" s="135" t="n"/>
      <c r="D123" s="136" t="n"/>
      <c r="E123" s="137" t="n"/>
      <c r="F123" s="136" t="n"/>
      <c r="G123" s="137" t="n"/>
      <c r="H123" s="137" t="n"/>
    </row>
    <row r="124" ht="15" customHeight="1" s="83">
      <c r="A124" s="135" t="n"/>
      <c r="B124" s="135" t="n"/>
      <c r="C124" s="135" t="n"/>
      <c r="D124" s="136" t="n"/>
      <c r="E124" s="137" t="n"/>
      <c r="F124" s="136" t="n"/>
      <c r="G124" s="137" t="n"/>
      <c r="H124" s="137" t="n"/>
    </row>
    <row r="125" ht="15" customHeight="1" s="83">
      <c r="A125" s="135" t="n"/>
      <c r="B125" s="135" t="n"/>
      <c r="C125" s="135" t="n"/>
      <c r="D125" s="136" t="n"/>
      <c r="E125" s="137" t="n"/>
      <c r="F125" s="136" t="n"/>
      <c r="G125" s="137" t="n"/>
      <c r="H125" s="137" t="n"/>
    </row>
    <row r="126" ht="15" customHeight="1" s="83">
      <c r="A126" s="135" t="n"/>
      <c r="B126" s="135" t="n"/>
      <c r="C126" s="135" t="n"/>
      <c r="D126" s="136" t="n"/>
      <c r="E126" s="137" t="n"/>
      <c r="F126" s="136" t="n"/>
      <c r="G126" s="137" t="n"/>
      <c r="H126" s="137" t="n"/>
    </row>
    <row r="127" ht="15" customHeight="1" s="83">
      <c r="A127" s="135" t="n"/>
      <c r="B127" s="135" t="n"/>
      <c r="C127" s="135" t="n"/>
      <c r="D127" s="136" t="n"/>
      <c r="E127" s="137" t="n"/>
      <c r="F127" s="136" t="n"/>
      <c r="G127" s="137" t="n"/>
      <c r="H127" s="137" t="n"/>
    </row>
    <row r="128" ht="15" customHeight="1" s="83">
      <c r="A128" s="135" t="n"/>
      <c r="B128" s="135" t="n"/>
      <c r="C128" s="135" t="n"/>
      <c r="D128" s="136" t="n"/>
      <c r="E128" s="137" t="n"/>
      <c r="F128" s="136" t="n"/>
      <c r="G128" s="137" t="n"/>
      <c r="H128" s="137" t="n"/>
    </row>
    <row r="129" ht="15" customHeight="1" s="83">
      <c r="A129" s="135" t="n"/>
      <c r="B129" s="135" t="n"/>
      <c r="C129" s="135" t="n"/>
      <c r="D129" s="136" t="n"/>
      <c r="E129" s="137" t="n"/>
      <c r="F129" s="136" t="n"/>
      <c r="G129" s="137" t="n"/>
      <c r="H129" s="137" t="n"/>
    </row>
    <row r="130" ht="15" customHeight="1" s="83">
      <c r="A130" s="135" t="n"/>
      <c r="B130" s="135" t="n"/>
      <c r="C130" s="135" t="n"/>
      <c r="D130" s="136" t="n"/>
      <c r="E130" s="137" t="n"/>
      <c r="F130" s="136" t="n"/>
      <c r="G130" s="137" t="n"/>
      <c r="H130" s="137" t="n"/>
    </row>
    <row r="131" ht="15" customHeight="1" s="83">
      <c r="A131" s="135" t="n"/>
      <c r="B131" s="135" t="n"/>
      <c r="C131" s="135" t="n"/>
      <c r="D131" s="136" t="n"/>
      <c r="E131" s="137" t="n"/>
      <c r="F131" s="136" t="n"/>
      <c r="G131" s="137" t="n"/>
      <c r="H131" s="137" t="n"/>
    </row>
    <row r="132" ht="15" customHeight="1" s="83">
      <c r="A132" s="135" t="n"/>
      <c r="B132" s="135" t="n"/>
      <c r="C132" s="135" t="n"/>
      <c r="D132" s="136" t="n"/>
      <c r="E132" s="137" t="n"/>
      <c r="F132" s="136" t="n"/>
      <c r="G132" s="137" t="n"/>
      <c r="H132" s="137" t="n"/>
    </row>
    <row r="133" ht="15" customHeight="1" s="83">
      <c r="A133" s="135" t="n"/>
      <c r="B133" s="135" t="n"/>
      <c r="C133" s="135" t="n"/>
      <c r="D133" s="136" t="n"/>
      <c r="E133" s="137" t="n"/>
      <c r="F133" s="136" t="n"/>
      <c r="G133" s="137" t="n"/>
      <c r="H133" s="137" t="n"/>
    </row>
    <row r="134" ht="15" customHeight="1" s="83">
      <c r="A134" s="135" t="n"/>
      <c r="B134" s="135" t="n"/>
      <c r="C134" s="135" t="n"/>
      <c r="D134" s="136" t="n"/>
      <c r="E134" s="137" t="n"/>
      <c r="F134" s="136" t="n"/>
      <c r="G134" s="137" t="n"/>
      <c r="H134" s="137" t="n"/>
    </row>
    <row r="135" ht="15" customHeight="1" s="83">
      <c r="A135" s="135" t="n"/>
      <c r="B135" s="135" t="n"/>
      <c r="C135" s="135" t="n"/>
      <c r="D135" s="136" t="n"/>
      <c r="E135" s="137" t="n"/>
      <c r="F135" s="136" t="n"/>
      <c r="G135" s="137" t="n"/>
      <c r="H135" s="137" t="n"/>
    </row>
    <row r="136" ht="15" customHeight="1" s="83">
      <c r="A136" s="135" t="n"/>
      <c r="B136" s="135" t="n"/>
      <c r="C136" s="135" t="n"/>
      <c r="D136" s="136" t="n"/>
      <c r="E136" s="137" t="n"/>
      <c r="F136" s="136" t="n"/>
      <c r="G136" s="137" t="n"/>
      <c r="H136" s="137" t="n"/>
    </row>
    <row r="137" ht="15" customHeight="1" s="83">
      <c r="A137" s="135" t="n"/>
      <c r="B137" s="135" t="n"/>
      <c r="C137" s="135" t="n"/>
      <c r="D137" s="136" t="n"/>
      <c r="E137" s="137" t="n"/>
      <c r="F137" s="136" t="n"/>
      <c r="G137" s="137" t="n"/>
      <c r="H137" s="137" t="n"/>
    </row>
    <row r="138" ht="15" customHeight="1" s="83">
      <c r="A138" s="135" t="n"/>
      <c r="B138" s="135" t="n"/>
      <c r="C138" s="135" t="n"/>
      <c r="D138" s="136" t="n"/>
      <c r="E138" s="137" t="n"/>
      <c r="F138" s="136" t="n"/>
      <c r="G138" s="137" t="n"/>
      <c r="H138" s="137" t="n"/>
    </row>
    <row r="139" ht="15" customHeight="1" s="83">
      <c r="A139" s="135" t="n"/>
      <c r="B139" s="135" t="n"/>
      <c r="C139" s="135" t="n"/>
      <c r="D139" s="136" t="n"/>
      <c r="E139" s="137" t="n"/>
      <c r="F139" s="136" t="n"/>
      <c r="G139" s="137" t="n"/>
      <c r="H139" s="137" t="n"/>
    </row>
    <row r="140" ht="15" customHeight="1" s="83">
      <c r="A140" s="135" t="n"/>
      <c r="B140" s="135" t="n"/>
      <c r="C140" s="135" t="n"/>
      <c r="D140" s="136" t="n"/>
      <c r="E140" s="137" t="n"/>
      <c r="F140" s="136" t="n"/>
      <c r="G140" s="137" t="n"/>
      <c r="H140" s="137" t="n"/>
    </row>
    <row r="141" ht="15" customHeight="1" s="83">
      <c r="A141" s="135" t="n"/>
      <c r="B141" s="135" t="n"/>
      <c r="C141" s="135" t="n"/>
      <c r="D141" s="136" t="n"/>
      <c r="E141" s="137" t="n"/>
      <c r="F141" s="136" t="n"/>
      <c r="G141" s="137" t="n"/>
      <c r="H141" s="137" t="n"/>
    </row>
    <row r="142" ht="15" customHeight="1" s="83">
      <c r="A142" s="135" t="n"/>
      <c r="B142" s="135" t="n"/>
      <c r="C142" s="135" t="n"/>
      <c r="D142" s="136" t="n"/>
      <c r="E142" s="137" t="n"/>
      <c r="F142" s="136" t="n"/>
      <c r="G142" s="137" t="n"/>
      <c r="H142" s="137" t="n"/>
    </row>
    <row r="143" ht="15" customHeight="1" s="83">
      <c r="A143" s="135" t="n"/>
      <c r="B143" s="135" t="n"/>
      <c r="C143" s="135" t="n"/>
      <c r="D143" s="136" t="n"/>
      <c r="E143" s="137" t="n"/>
      <c r="F143" s="136" t="n"/>
      <c r="G143" s="137" t="n"/>
      <c r="H143" s="137" t="n"/>
    </row>
    <row r="144" ht="15" customHeight="1" s="83">
      <c r="A144" s="135" t="n"/>
      <c r="B144" s="135" t="n"/>
      <c r="C144" s="135" t="n"/>
      <c r="D144" s="136" t="n"/>
      <c r="E144" s="137" t="n"/>
      <c r="F144" s="136" t="n"/>
      <c r="G144" s="137" t="n"/>
      <c r="H144" s="137" t="n"/>
    </row>
    <row r="145" ht="15" customHeight="1" s="83">
      <c r="A145" s="135" t="n"/>
      <c r="B145" s="135" t="n"/>
      <c r="C145" s="135" t="n"/>
      <c r="D145" s="136" t="n"/>
      <c r="E145" s="137" t="n"/>
      <c r="F145" s="136" t="n"/>
      <c r="G145" s="137" t="n"/>
      <c r="H145" s="137" t="n"/>
    </row>
    <row r="146" ht="15" customHeight="1" s="83">
      <c r="A146" s="135" t="n"/>
      <c r="B146" s="135" t="n"/>
      <c r="C146" s="135" t="n"/>
      <c r="D146" s="136" t="n"/>
      <c r="E146" s="137" t="n"/>
      <c r="F146" s="136" t="n"/>
      <c r="G146" s="137" t="n"/>
      <c r="H146" s="137" t="n"/>
    </row>
    <row r="147" ht="15" customHeight="1" s="83">
      <c r="A147" s="135" t="n"/>
      <c r="B147" s="135" t="n"/>
      <c r="C147" s="135" t="n"/>
      <c r="D147" s="136" t="n"/>
      <c r="E147" s="137" t="n"/>
      <c r="F147" s="136" t="n"/>
      <c r="G147" s="137" t="n"/>
      <c r="H147" s="137" t="n"/>
    </row>
    <row r="148" ht="15" customHeight="1" s="83">
      <c r="A148" s="135" t="n"/>
      <c r="B148" s="135" t="n"/>
      <c r="C148" s="135" t="n"/>
      <c r="D148" s="136" t="n"/>
      <c r="E148" s="137" t="n"/>
      <c r="F148" s="136" t="n"/>
      <c r="G148" s="137" t="n"/>
      <c r="H148" s="137" t="n"/>
    </row>
    <row r="149" ht="15" customHeight="1" s="83">
      <c r="A149" s="135" t="n"/>
      <c r="B149" s="135" t="n"/>
      <c r="C149" s="135" t="n"/>
      <c r="D149" s="136" t="n"/>
      <c r="E149" s="137" t="n"/>
      <c r="F149" s="136" t="n"/>
      <c r="G149" s="137" t="n"/>
      <c r="H149" s="137" t="n"/>
    </row>
    <row r="150" ht="15" customHeight="1" s="83">
      <c r="A150" s="135" t="n"/>
      <c r="B150" s="135" t="n"/>
      <c r="C150" s="135" t="n"/>
      <c r="D150" s="136" t="n"/>
      <c r="E150" s="137" t="n"/>
      <c r="F150" s="136" t="n"/>
      <c r="G150" s="137" t="n"/>
      <c r="H150" s="137" t="n"/>
    </row>
    <row r="151" ht="15" customHeight="1" s="83">
      <c r="A151" s="135" t="n"/>
      <c r="B151" s="135" t="n"/>
      <c r="C151" s="135" t="n"/>
      <c r="D151" s="136" t="n"/>
      <c r="E151" s="137" t="n"/>
      <c r="F151" s="136" t="n"/>
      <c r="G151" s="137" t="n"/>
      <c r="H151" s="137" t="n"/>
    </row>
    <row r="152" ht="15" customHeight="1" s="83">
      <c r="A152" s="135" t="n"/>
      <c r="B152" s="135" t="n"/>
      <c r="C152" s="135" t="n"/>
      <c r="D152" s="136" t="n"/>
      <c r="E152" s="137" t="n"/>
      <c r="F152" s="136" t="n"/>
      <c r="G152" s="137" t="n"/>
      <c r="H152" s="137" t="n"/>
    </row>
    <row r="153" ht="15" customHeight="1" s="83">
      <c r="A153" s="135" t="n"/>
      <c r="B153" s="135" t="n"/>
      <c r="C153" s="135" t="n"/>
      <c r="D153" s="136" t="n"/>
      <c r="E153" s="137" t="n"/>
      <c r="F153" s="136" t="n"/>
      <c r="G153" s="137" t="n"/>
      <c r="H153" s="137" t="n"/>
    </row>
    <row r="154" ht="15" customHeight="1" s="83">
      <c r="A154" s="135" t="n"/>
      <c r="B154" s="135" t="n"/>
      <c r="C154" s="135" t="n"/>
      <c r="D154" s="136" t="n"/>
      <c r="E154" s="137" t="n"/>
      <c r="F154" s="136" t="n"/>
      <c r="G154" s="137" t="n"/>
      <c r="H154" s="137" t="n"/>
    </row>
    <row r="155" ht="15" customHeight="1" s="83">
      <c r="A155" s="135" t="n"/>
      <c r="B155" s="135" t="n"/>
      <c r="C155" s="135" t="n"/>
      <c r="D155" s="136" t="n"/>
      <c r="E155" s="137" t="n"/>
      <c r="F155" s="136" t="n"/>
      <c r="G155" s="137" t="n"/>
      <c r="H155" s="137" t="n"/>
    </row>
    <row r="156" ht="15" customHeight="1" s="83">
      <c r="A156" s="135" t="n"/>
      <c r="B156" s="135" t="n"/>
      <c r="C156" s="135" t="n"/>
      <c r="D156" s="136" t="n"/>
      <c r="E156" s="137" t="n"/>
      <c r="F156" s="136" t="n"/>
      <c r="G156" s="137" t="n"/>
      <c r="H156" s="137" t="n"/>
    </row>
    <row r="157" ht="15" customHeight="1" s="83">
      <c r="A157" s="135" t="n"/>
      <c r="B157" s="135" t="n"/>
      <c r="C157" s="135" t="n"/>
      <c r="D157" s="136" t="n"/>
      <c r="E157" s="137" t="n"/>
      <c r="F157" s="136" t="n"/>
      <c r="G157" s="137" t="n"/>
      <c r="H157" s="137" t="n"/>
    </row>
    <row r="158" ht="15" customHeight="1" s="83">
      <c r="A158" s="135" t="n"/>
      <c r="B158" s="135" t="n"/>
      <c r="C158" s="135" t="n"/>
      <c r="D158" s="136" t="n"/>
      <c r="E158" s="137" t="n"/>
      <c r="F158" s="136" t="n"/>
      <c r="G158" s="137" t="n"/>
      <c r="H158" s="137" t="n"/>
    </row>
    <row r="159" ht="15" customHeight="1" s="83">
      <c r="A159" s="135" t="n"/>
      <c r="B159" s="135" t="n"/>
      <c r="C159" s="135" t="n"/>
      <c r="D159" s="136" t="n"/>
      <c r="E159" s="137" t="n"/>
      <c r="F159" s="136" t="n"/>
      <c r="G159" s="137" t="n"/>
      <c r="H159" s="137" t="n"/>
    </row>
    <row r="160" ht="15" customHeight="1" s="83">
      <c r="A160" s="135" t="n"/>
      <c r="B160" s="135" t="n"/>
      <c r="C160" s="135" t="n"/>
      <c r="D160" s="136" t="n"/>
      <c r="E160" s="137" t="n"/>
      <c r="F160" s="136" t="n"/>
      <c r="G160" s="137" t="n"/>
      <c r="H160" s="137" t="n"/>
    </row>
    <row r="161" ht="15" customHeight="1" s="83">
      <c r="A161" s="135" t="n"/>
      <c r="B161" s="135" t="n"/>
      <c r="C161" s="135" t="n"/>
      <c r="D161" s="136" t="n"/>
      <c r="E161" s="137" t="n"/>
      <c r="F161" s="136" t="n"/>
      <c r="G161" s="137" t="n"/>
      <c r="H161" s="137" t="n"/>
    </row>
    <row r="162" ht="15" customHeight="1" s="83">
      <c r="A162" s="135" t="n"/>
      <c r="B162" s="135" t="n"/>
      <c r="C162" s="135" t="n"/>
      <c r="D162" s="136" t="n"/>
      <c r="E162" s="137" t="n"/>
      <c r="F162" s="136" t="n"/>
      <c r="G162" s="137" t="n"/>
      <c r="H162" s="137" t="n"/>
    </row>
    <row r="163" ht="15" customHeight="1" s="83">
      <c r="A163" s="135" t="n"/>
      <c r="B163" s="135" t="n"/>
      <c r="C163" s="135" t="n"/>
      <c r="D163" s="136" t="n"/>
      <c r="E163" s="137" t="n"/>
      <c r="F163" s="136" t="n"/>
      <c r="G163" s="137" t="n"/>
      <c r="H163" s="137" t="n"/>
    </row>
    <row r="164" ht="15" customHeight="1" s="83">
      <c r="A164" s="135" t="n"/>
      <c r="B164" s="135" t="n"/>
      <c r="C164" s="135" t="n"/>
      <c r="D164" s="136" t="n"/>
      <c r="E164" s="137" t="n"/>
      <c r="F164" s="136" t="n"/>
      <c r="G164" s="137" t="n"/>
      <c r="H164" s="137" t="n"/>
    </row>
    <row r="165" ht="15" customHeight="1" s="83">
      <c r="A165" s="135" t="n"/>
      <c r="B165" s="135" t="n"/>
      <c r="C165" s="135" t="n"/>
      <c r="D165" s="136" t="n"/>
      <c r="E165" s="137" t="n"/>
      <c r="F165" s="136" t="n"/>
      <c r="G165" s="137" t="n"/>
      <c r="H165" s="137" t="n"/>
    </row>
    <row r="166" ht="15" customHeight="1" s="83">
      <c r="A166" s="135" t="n"/>
      <c r="B166" s="135" t="n"/>
      <c r="C166" s="135" t="n"/>
      <c r="D166" s="136" t="n"/>
      <c r="E166" s="137" t="n"/>
      <c r="F166" s="136" t="n"/>
      <c r="G166" s="137" t="n"/>
      <c r="H166" s="137" t="n"/>
    </row>
    <row r="167" ht="15" customHeight="1" s="83">
      <c r="A167" s="135" t="n"/>
      <c r="B167" s="135" t="n"/>
      <c r="C167" s="135" t="n"/>
      <c r="D167" s="136" t="n"/>
      <c r="E167" s="137" t="n"/>
      <c r="F167" s="136" t="n"/>
      <c r="G167" s="137" t="n"/>
      <c r="H167" s="137" t="n"/>
    </row>
    <row r="168" ht="15" customHeight="1" s="83">
      <c r="A168" s="135" t="n"/>
      <c r="B168" s="135" t="n"/>
      <c r="C168" s="135" t="n"/>
      <c r="D168" s="136" t="n"/>
      <c r="E168" s="137" t="n"/>
      <c r="F168" s="136" t="n"/>
      <c r="G168" s="137" t="n"/>
      <c r="H168" s="137" t="n"/>
    </row>
    <row r="169" ht="15" customHeight="1" s="83">
      <c r="A169" s="135" t="n"/>
      <c r="B169" s="135" t="n"/>
      <c r="C169" s="135" t="n"/>
      <c r="D169" s="136" t="n"/>
      <c r="E169" s="137" t="n"/>
      <c r="F169" s="136" t="n"/>
      <c r="G169" s="137" t="n"/>
      <c r="H169" s="137" t="n"/>
    </row>
    <row r="170" ht="15" customHeight="1" s="83">
      <c r="A170" s="135" t="n"/>
      <c r="B170" s="135" t="n"/>
      <c r="C170" s="135" t="n"/>
      <c r="D170" s="136" t="n"/>
      <c r="E170" s="137" t="n"/>
      <c r="F170" s="136" t="n"/>
      <c r="G170" s="137" t="n"/>
      <c r="H170" s="137" t="n"/>
    </row>
    <row r="171" ht="15" customHeight="1" s="83">
      <c r="A171" s="135" t="n"/>
      <c r="B171" s="135" t="n"/>
      <c r="C171" s="135" t="n"/>
      <c r="D171" s="136" t="n"/>
      <c r="E171" s="137" t="n"/>
      <c r="F171" s="136" t="n"/>
      <c r="G171" s="137" t="n"/>
      <c r="H171" s="137" t="n"/>
    </row>
    <row r="172" ht="15" customHeight="1" s="83">
      <c r="A172" s="135" t="n"/>
      <c r="B172" s="135" t="n"/>
      <c r="C172" s="135" t="n"/>
      <c r="D172" s="136" t="n"/>
      <c r="E172" s="137" t="n"/>
      <c r="F172" s="136" t="n"/>
      <c r="G172" s="137" t="n"/>
      <c r="H172" s="137" t="n"/>
    </row>
    <row r="173" ht="15" customHeight="1" s="83">
      <c r="A173" s="135" t="n"/>
      <c r="B173" s="135" t="n"/>
      <c r="C173" s="135" t="n"/>
      <c r="D173" s="136" t="n"/>
      <c r="E173" s="137" t="n"/>
      <c r="F173" s="136" t="n"/>
      <c r="G173" s="137" t="n"/>
      <c r="H173" s="137" t="n"/>
    </row>
    <row r="174" ht="15" customHeight="1" s="83">
      <c r="A174" s="135" t="n"/>
      <c r="B174" s="135" t="n"/>
      <c r="C174" s="135" t="n"/>
      <c r="D174" s="136" t="n"/>
      <c r="E174" s="137" t="n"/>
      <c r="F174" s="136" t="n"/>
      <c r="G174" s="137" t="n"/>
      <c r="H174" s="137" t="n"/>
    </row>
    <row r="175" ht="15" customHeight="1" s="83">
      <c r="A175" s="135" t="n"/>
      <c r="B175" s="135" t="n"/>
      <c r="C175" s="135" t="n"/>
      <c r="D175" s="136" t="n"/>
      <c r="E175" s="137" t="n"/>
      <c r="F175" s="136" t="n"/>
      <c r="G175" s="137" t="n"/>
      <c r="H175" s="137" t="n"/>
    </row>
    <row r="176" ht="15" customHeight="1" s="83">
      <c r="A176" s="135" t="n"/>
      <c r="B176" s="135" t="n"/>
      <c r="C176" s="135" t="n"/>
      <c r="D176" s="136" t="n"/>
      <c r="E176" s="137" t="n"/>
      <c r="F176" s="136" t="n"/>
      <c r="G176" s="137" t="n"/>
      <c r="H176" s="137" t="n"/>
    </row>
    <row r="177" ht="15" customHeight="1" s="83">
      <c r="A177" s="135" t="n"/>
      <c r="B177" s="135" t="n"/>
      <c r="C177" s="135" t="n"/>
      <c r="D177" s="136" t="n"/>
      <c r="E177" s="137" t="n"/>
      <c r="F177" s="136" t="n"/>
      <c r="G177" s="137" t="n"/>
      <c r="H177" s="137" t="n"/>
    </row>
    <row r="178" ht="15" customHeight="1" s="83">
      <c r="A178" s="135" t="n"/>
      <c r="B178" s="135" t="n"/>
      <c r="C178" s="135" t="n"/>
      <c r="D178" s="136" t="n"/>
      <c r="E178" s="137" t="n"/>
      <c r="F178" s="136" t="n"/>
      <c r="G178" s="137" t="n"/>
      <c r="H178" s="137" t="n"/>
    </row>
    <row r="179" ht="15" customHeight="1" s="83">
      <c r="A179" s="135" t="n"/>
      <c r="B179" s="135" t="n"/>
      <c r="C179" s="135" t="n"/>
      <c r="D179" s="136" t="n"/>
      <c r="E179" s="137" t="n"/>
      <c r="F179" s="136" t="n"/>
      <c r="G179" s="137" t="n"/>
      <c r="H179" s="137" t="n"/>
    </row>
    <row r="180" ht="15" customHeight="1" s="83">
      <c r="A180" s="135" t="n"/>
      <c r="B180" s="135" t="n"/>
      <c r="C180" s="135" t="n"/>
      <c r="D180" s="136" t="n"/>
      <c r="E180" s="137" t="n"/>
      <c r="F180" s="136" t="n"/>
      <c r="G180" s="137" t="n"/>
      <c r="H180" s="137" t="n"/>
    </row>
    <row r="181" ht="15" customHeight="1" s="83">
      <c r="A181" s="135" t="n"/>
      <c r="B181" s="135" t="n"/>
      <c r="C181" s="135" t="n"/>
      <c r="D181" s="136" t="n"/>
      <c r="E181" s="137" t="n"/>
      <c r="F181" s="136" t="n"/>
      <c r="G181" s="137" t="n"/>
      <c r="H181" s="137" t="n"/>
    </row>
    <row r="182" ht="15" customHeight="1" s="83">
      <c r="A182" s="135" t="n"/>
      <c r="B182" s="135" t="n"/>
      <c r="C182" s="135" t="n"/>
      <c r="D182" s="136" t="n"/>
      <c r="E182" s="137" t="n"/>
      <c r="F182" s="136" t="n"/>
      <c r="G182" s="137" t="n"/>
      <c r="H182" s="137" t="n"/>
    </row>
    <row r="183" ht="15" customHeight="1" s="83">
      <c r="A183" s="135" t="n"/>
      <c r="B183" s="135" t="n"/>
      <c r="C183" s="135" t="n"/>
      <c r="D183" s="136" t="n"/>
      <c r="E183" s="137" t="n"/>
      <c r="F183" s="136" t="n"/>
      <c r="G183" s="137" t="n"/>
      <c r="H183" s="137" t="n"/>
    </row>
    <row r="184" ht="15" customHeight="1" s="83">
      <c r="A184" s="135" t="n"/>
      <c r="B184" s="135" t="n"/>
      <c r="C184" s="135" t="n"/>
      <c r="D184" s="136" t="n"/>
      <c r="E184" s="137" t="n"/>
      <c r="F184" s="136" t="n"/>
      <c r="G184" s="137" t="n"/>
      <c r="H184" s="137" t="n"/>
    </row>
    <row r="185" ht="15" customHeight="1" s="83">
      <c r="A185" s="135" t="n"/>
      <c r="B185" s="135" t="n"/>
      <c r="C185" s="135" t="n"/>
      <c r="D185" s="136" t="n"/>
      <c r="E185" s="137" t="n"/>
      <c r="F185" s="136" t="n"/>
      <c r="G185" s="137" t="n"/>
      <c r="H185" s="137" t="n"/>
    </row>
    <row r="186" ht="15" customHeight="1" s="83">
      <c r="A186" s="135" t="n"/>
      <c r="B186" s="135" t="n"/>
      <c r="C186" s="135" t="n"/>
      <c r="D186" s="136" t="n"/>
      <c r="E186" s="137" t="n"/>
      <c r="F186" s="136" t="n"/>
      <c r="G186" s="137" t="n"/>
      <c r="H186" s="137" t="n"/>
    </row>
    <row r="187" ht="15" customHeight="1" s="83">
      <c r="A187" s="135" t="n"/>
      <c r="B187" s="135" t="n"/>
      <c r="C187" s="135" t="n"/>
      <c r="D187" s="136" t="n"/>
      <c r="E187" s="137" t="n"/>
      <c r="F187" s="136" t="n"/>
      <c r="G187" s="137" t="n"/>
      <c r="H187" s="137" t="n"/>
    </row>
    <row r="188" ht="15" customHeight="1" s="83">
      <c r="A188" s="135" t="n"/>
      <c r="B188" s="135" t="n"/>
      <c r="C188" s="135" t="n"/>
      <c r="D188" s="136" t="n"/>
      <c r="E188" s="137" t="n"/>
      <c r="F188" s="136" t="n"/>
      <c r="G188" s="137" t="n"/>
      <c r="H188" s="137" t="n"/>
    </row>
    <row r="189" ht="15" customHeight="1" s="83">
      <c r="A189" s="135" t="n"/>
      <c r="B189" s="135" t="n"/>
      <c r="C189" s="135" t="n"/>
      <c r="D189" s="136" t="n"/>
      <c r="E189" s="137" t="n"/>
      <c r="F189" s="136" t="n"/>
      <c r="G189" s="137" t="n"/>
      <c r="H189" s="137" t="n"/>
    </row>
    <row r="190" ht="15" customHeight="1" s="83">
      <c r="A190" s="135" t="n"/>
      <c r="B190" s="135" t="n"/>
      <c r="C190" s="135" t="n"/>
      <c r="D190" s="136" t="n"/>
      <c r="E190" s="137" t="n"/>
      <c r="F190" s="136" t="n"/>
      <c r="G190" s="137" t="n"/>
      <c r="H190" s="137" t="n"/>
    </row>
    <row r="191" ht="15" customHeight="1" s="83">
      <c r="A191" s="135" t="n"/>
      <c r="B191" s="135" t="n"/>
      <c r="C191" s="135" t="n"/>
      <c r="D191" s="136" t="n"/>
      <c r="E191" s="137" t="n"/>
      <c r="F191" s="136" t="n"/>
      <c r="G191" s="137" t="n"/>
      <c r="H191" s="137" t="n"/>
    </row>
    <row r="192" ht="15" customHeight="1" s="83">
      <c r="A192" s="135" t="n"/>
      <c r="B192" s="135" t="n"/>
      <c r="C192" s="135" t="n"/>
      <c r="D192" s="136" t="n"/>
      <c r="E192" s="137" t="n"/>
      <c r="F192" s="136" t="n"/>
      <c r="G192" s="137" t="n"/>
      <c r="H192" s="137" t="n"/>
    </row>
    <row r="193" ht="15" customHeight="1" s="83">
      <c r="A193" s="135" t="n"/>
      <c r="B193" s="135" t="n"/>
      <c r="C193" s="135" t="n"/>
      <c r="D193" s="136" t="n"/>
      <c r="E193" s="137" t="n"/>
      <c r="F193" s="136" t="n"/>
      <c r="G193" s="137" t="n"/>
      <c r="H193" s="137" t="n"/>
    </row>
    <row r="194" ht="15" customHeight="1" s="83">
      <c r="A194" s="135" t="n"/>
      <c r="B194" s="135" t="n"/>
      <c r="C194" s="135" t="n"/>
      <c r="D194" s="136" t="n"/>
      <c r="E194" s="137" t="n"/>
      <c r="F194" s="136" t="n"/>
      <c r="G194" s="137" t="n"/>
      <c r="H194" s="137" t="n"/>
    </row>
    <row r="195" ht="15" customHeight="1" s="83">
      <c r="A195" s="135" t="n"/>
      <c r="B195" s="135" t="n"/>
      <c r="C195" s="135" t="n"/>
      <c r="D195" s="136" t="n"/>
      <c r="E195" s="137" t="n"/>
      <c r="F195" s="136" t="n"/>
      <c r="G195" s="137" t="n"/>
      <c r="H195" s="137" t="n"/>
    </row>
    <row r="196" ht="15" customHeight="1" s="83">
      <c r="A196" s="135" t="n"/>
      <c r="B196" s="135" t="n"/>
      <c r="C196" s="135" t="n"/>
      <c r="D196" s="136" t="n"/>
      <c r="E196" s="137" t="n"/>
      <c r="F196" s="136" t="n"/>
      <c r="G196" s="137" t="n"/>
      <c r="H196" s="137" t="n"/>
    </row>
    <row r="197" ht="15" customHeight="1" s="83">
      <c r="A197" s="135" t="n"/>
      <c r="B197" s="135" t="n"/>
      <c r="C197" s="135" t="n"/>
      <c r="D197" s="136" t="n"/>
      <c r="E197" s="137" t="n"/>
      <c r="F197" s="136" t="n"/>
      <c r="G197" s="137" t="n"/>
      <c r="H197" s="137" t="n"/>
    </row>
    <row r="198" ht="15" customHeight="1" s="83">
      <c r="A198" s="135" t="n"/>
      <c r="B198" s="135" t="n"/>
      <c r="C198" s="135" t="n"/>
      <c r="D198" s="136" t="n"/>
      <c r="E198" s="137" t="n"/>
      <c r="F198" s="136" t="n"/>
      <c r="G198" s="137" t="n"/>
      <c r="H198" s="137" t="n"/>
    </row>
    <row r="199" ht="15" customHeight="1" s="83">
      <c r="A199" s="135" t="n"/>
      <c r="B199" s="135" t="n"/>
      <c r="C199" s="135" t="n"/>
      <c r="D199" s="136" t="n"/>
      <c r="E199" s="137" t="n"/>
      <c r="F199" s="136" t="n"/>
      <c r="G199" s="137" t="n"/>
      <c r="H199" s="137" t="n"/>
    </row>
    <row r="200" ht="15" customHeight="1" s="83">
      <c r="A200" s="135" t="n"/>
      <c r="B200" s="135" t="n"/>
      <c r="C200" s="135" t="n"/>
      <c r="D200" s="136" t="n"/>
      <c r="E200" s="137" t="n"/>
      <c r="F200" s="136" t="n"/>
      <c r="G200" s="137" t="n"/>
      <c r="H200" s="137" t="n"/>
    </row>
    <row r="201" ht="15" customHeight="1" s="83">
      <c r="A201" s="135" t="n"/>
      <c r="B201" s="135" t="n"/>
      <c r="C201" s="135" t="n"/>
      <c r="D201" s="136" t="n"/>
      <c r="E201" s="137" t="n"/>
      <c r="F201" s="136" t="n"/>
      <c r="G201" s="137" t="n"/>
      <c r="H201" s="137" t="n"/>
    </row>
    <row r="202" ht="15" customHeight="1" s="83">
      <c r="A202" s="135" t="n"/>
      <c r="B202" s="135" t="n"/>
      <c r="C202" s="135" t="n"/>
      <c r="D202" s="136" t="n"/>
      <c r="E202" s="137" t="n"/>
      <c r="F202" s="136" t="n"/>
      <c r="G202" s="137" t="n"/>
      <c r="H202" s="137" t="n"/>
    </row>
    <row r="203" ht="15" customHeight="1" s="83">
      <c r="A203" s="135" t="n"/>
      <c r="B203" s="135" t="n"/>
      <c r="C203" s="135" t="n"/>
      <c r="D203" s="136" t="n"/>
      <c r="E203" s="137" t="n"/>
      <c r="F203" s="136" t="n"/>
      <c r="G203" s="137" t="n"/>
      <c r="H203" s="137" t="n"/>
    </row>
    <row r="204" ht="15" customHeight="1" s="83">
      <c r="A204" s="135" t="n"/>
      <c r="B204" s="135" t="n"/>
      <c r="C204" s="135" t="n"/>
      <c r="D204" s="136" t="n"/>
      <c r="E204" s="137" t="n"/>
      <c r="F204" s="136" t="n"/>
      <c r="G204" s="137" t="n"/>
      <c r="H204" s="137" t="n"/>
    </row>
    <row r="205" ht="15" customHeight="1" s="83">
      <c r="A205" s="135" t="n"/>
      <c r="B205" s="135" t="n"/>
      <c r="C205" s="135" t="n"/>
      <c r="D205" s="136" t="n"/>
      <c r="E205" s="137" t="n"/>
      <c r="F205" s="136" t="n"/>
      <c r="G205" s="137" t="n"/>
      <c r="H205" s="137" t="n"/>
    </row>
    <row r="206" ht="15" customHeight="1" s="83">
      <c r="A206" s="135" t="n"/>
      <c r="B206" s="135" t="n"/>
      <c r="C206" s="135" t="n"/>
      <c r="D206" s="136" t="n"/>
      <c r="E206" s="137" t="n"/>
      <c r="F206" s="136" t="n"/>
      <c r="G206" s="137" t="n"/>
      <c r="H206" s="137" t="n"/>
    </row>
    <row r="207" ht="15" customHeight="1" s="83">
      <c r="A207" s="135" t="n"/>
      <c r="B207" s="135" t="n"/>
      <c r="C207" s="135" t="n"/>
      <c r="D207" s="136" t="n"/>
      <c r="E207" s="137" t="n"/>
      <c r="F207" s="136" t="n"/>
      <c r="G207" s="137" t="n"/>
      <c r="H207" s="137" t="n"/>
    </row>
    <row r="208" ht="15" customHeight="1" s="83">
      <c r="A208" s="135" t="n"/>
      <c r="B208" s="135" t="n"/>
      <c r="C208" s="135" t="n"/>
      <c r="D208" s="136" t="n"/>
      <c r="E208" s="137" t="n"/>
      <c r="F208" s="136" t="n"/>
      <c r="G208" s="137" t="n"/>
      <c r="H208" s="137" t="n"/>
    </row>
    <row r="209" ht="15" customHeight="1" s="83">
      <c r="A209" s="135" t="n"/>
      <c r="B209" s="135" t="n"/>
      <c r="C209" s="135" t="n"/>
      <c r="D209" s="136" t="n"/>
      <c r="E209" s="137" t="n"/>
      <c r="F209" s="136" t="n"/>
      <c r="G209" s="137" t="n"/>
      <c r="H209" s="137" t="n"/>
    </row>
    <row r="210" ht="15" customHeight="1" s="83">
      <c r="A210" s="135" t="n"/>
      <c r="B210" s="135" t="n"/>
      <c r="C210" s="135" t="n"/>
      <c r="D210" s="136" t="n"/>
      <c r="E210" s="137" t="n"/>
      <c r="F210" s="136" t="n"/>
      <c r="G210" s="137" t="n"/>
      <c r="H210" s="137" t="n"/>
    </row>
    <row r="211" ht="15" customHeight="1" s="83">
      <c r="A211" s="135" t="n"/>
      <c r="B211" s="135" t="n"/>
      <c r="C211" s="135" t="n"/>
      <c r="D211" s="136" t="n"/>
      <c r="E211" s="137" t="n"/>
      <c r="F211" s="136" t="n"/>
      <c r="G211" s="137" t="n"/>
      <c r="H211" s="137" t="n"/>
    </row>
    <row r="212" ht="15" customHeight="1" s="83">
      <c r="A212" s="135" t="n"/>
      <c r="B212" s="135" t="n"/>
      <c r="C212" s="135" t="n"/>
      <c r="D212" s="136" t="n"/>
      <c r="E212" s="137" t="n"/>
      <c r="F212" s="136" t="n"/>
      <c r="G212" s="137" t="n"/>
      <c r="H212" s="137" t="n"/>
    </row>
    <row r="213" ht="15" customHeight="1" s="83">
      <c r="A213" s="135" t="n"/>
      <c r="B213" s="135" t="n"/>
      <c r="C213" s="135" t="n"/>
      <c r="D213" s="136" t="n"/>
      <c r="E213" s="137" t="n"/>
      <c r="F213" s="136" t="n"/>
      <c r="G213" s="137" t="n"/>
      <c r="H213" s="137" t="n"/>
    </row>
    <row r="214" ht="15" customHeight="1" s="83">
      <c r="A214" s="135" t="n"/>
      <c r="B214" s="135" t="n"/>
      <c r="C214" s="135" t="n"/>
      <c r="D214" s="136" t="n"/>
      <c r="E214" s="137" t="n"/>
      <c r="F214" s="136" t="n"/>
      <c r="G214" s="137" t="n"/>
      <c r="H214" s="137" t="n"/>
    </row>
    <row r="215" ht="15" customHeight="1" s="83">
      <c r="A215" s="135" t="n"/>
      <c r="B215" s="135" t="n"/>
      <c r="C215" s="135" t="n"/>
      <c r="D215" s="136" t="n"/>
      <c r="E215" s="137" t="n"/>
      <c r="F215" s="136" t="n"/>
      <c r="G215" s="137" t="n"/>
      <c r="H215" s="137" t="n"/>
    </row>
    <row r="216" ht="15" customHeight="1" s="83">
      <c r="A216" s="135" t="n"/>
      <c r="B216" s="135" t="n"/>
      <c r="C216" s="135" t="n"/>
      <c r="D216" s="136" t="n"/>
      <c r="E216" s="137" t="n"/>
      <c r="F216" s="136" t="n"/>
      <c r="G216" s="137" t="n"/>
      <c r="H216" s="137" t="n"/>
    </row>
    <row r="217" ht="15" customHeight="1" s="83">
      <c r="A217" s="135" t="n"/>
      <c r="B217" s="135" t="n"/>
      <c r="C217" s="135" t="n"/>
      <c r="D217" s="136" t="n"/>
      <c r="E217" s="137" t="n"/>
      <c r="F217" s="136" t="n"/>
      <c r="G217" s="137" t="n"/>
      <c r="H217" s="137" t="n"/>
    </row>
    <row r="218" ht="15" customHeight="1" s="83">
      <c r="A218" s="135" t="n"/>
      <c r="B218" s="135" t="n"/>
      <c r="C218" s="135" t="n"/>
      <c r="D218" s="136" t="n"/>
      <c r="E218" s="137" t="n"/>
      <c r="F218" s="136" t="n"/>
      <c r="G218" s="137" t="n"/>
      <c r="H218" s="137" t="n"/>
    </row>
    <row r="219" ht="15" customHeight="1" s="83">
      <c r="A219" s="135" t="n"/>
      <c r="B219" s="135" t="n"/>
      <c r="C219" s="135" t="n"/>
      <c r="D219" s="136" t="n"/>
      <c r="E219" s="137" t="n"/>
      <c r="F219" s="136" t="n"/>
      <c r="G219" s="137" t="n"/>
      <c r="H219" s="137" t="n"/>
    </row>
    <row r="220" ht="15" customHeight="1" s="83">
      <c r="A220" s="135" t="n"/>
      <c r="B220" s="135" t="n"/>
      <c r="C220" s="135" t="n"/>
      <c r="D220" s="136" t="n"/>
      <c r="E220" s="137" t="n"/>
      <c r="F220" s="136" t="n"/>
      <c r="G220" s="137" t="n"/>
      <c r="H220" s="137" t="n"/>
    </row>
    <row r="221" ht="15" customHeight="1" s="83">
      <c r="A221" s="135" t="n"/>
      <c r="B221" s="135" t="n"/>
      <c r="C221" s="135" t="n"/>
      <c r="D221" s="136" t="n"/>
      <c r="E221" s="137" t="n"/>
      <c r="F221" s="136" t="n"/>
      <c r="G221" s="137" t="n"/>
      <c r="H221" s="137" t="n"/>
    </row>
    <row r="222" ht="15" customHeight="1" s="83">
      <c r="A222" s="135" t="n"/>
      <c r="B222" s="135" t="n"/>
      <c r="C222" s="135" t="n"/>
      <c r="D222" s="136" t="n"/>
      <c r="E222" s="137" t="n"/>
      <c r="F222" s="136" t="n"/>
      <c r="G222" s="137" t="n"/>
      <c r="H222" s="137" t="n"/>
    </row>
    <row r="223" ht="15" customHeight="1" s="83">
      <c r="A223" s="135" t="n"/>
      <c r="B223" s="135" t="n"/>
      <c r="C223" s="135" t="n"/>
      <c r="D223" s="136" t="n"/>
      <c r="E223" s="137" t="n"/>
      <c r="F223" s="136" t="n"/>
      <c r="G223" s="137" t="n"/>
      <c r="H223" s="137" t="n"/>
    </row>
    <row r="224" ht="15" customHeight="1" s="83">
      <c r="A224" s="135" t="n"/>
      <c r="B224" s="135" t="n"/>
      <c r="C224" s="135" t="n"/>
      <c r="D224" s="136" t="n"/>
      <c r="E224" s="137" t="n"/>
      <c r="F224" s="136" t="n"/>
      <c r="G224" s="137" t="n"/>
      <c r="H224" s="137" t="n"/>
    </row>
    <row r="225" ht="15" customHeight="1" s="83">
      <c r="A225" s="135" t="n"/>
      <c r="B225" s="135" t="n"/>
      <c r="C225" s="135" t="n"/>
      <c r="D225" s="136" t="n"/>
      <c r="E225" s="137" t="n"/>
      <c r="F225" s="136" t="n"/>
      <c r="G225" s="137" t="n"/>
      <c r="H225" s="137" t="n"/>
    </row>
    <row r="226" ht="15" customHeight="1" s="83">
      <c r="A226" s="135" t="n"/>
      <c r="B226" s="135" t="n"/>
      <c r="C226" s="135" t="n"/>
      <c r="D226" s="136" t="n"/>
      <c r="E226" s="137" t="n"/>
      <c r="F226" s="136" t="n"/>
      <c r="G226" s="137" t="n"/>
      <c r="H226" s="137" t="n"/>
    </row>
    <row r="227" ht="15" customHeight="1" s="83">
      <c r="A227" s="135" t="n"/>
      <c r="B227" s="135" t="n"/>
      <c r="C227" s="135" t="n"/>
      <c r="D227" s="136" t="n"/>
      <c r="E227" s="137" t="n"/>
      <c r="F227" s="136" t="n"/>
      <c r="G227" s="137" t="n"/>
      <c r="H227" s="137" t="n"/>
    </row>
    <row r="228" ht="15" customHeight="1" s="83">
      <c r="A228" s="135" t="n"/>
      <c r="B228" s="135" t="n"/>
      <c r="C228" s="135" t="n"/>
      <c r="D228" s="136" t="n"/>
      <c r="E228" s="137" t="n"/>
      <c r="F228" s="136" t="n"/>
      <c r="G228" s="137" t="n"/>
      <c r="H228" s="137" t="n"/>
    </row>
    <row r="229" ht="15" customHeight="1" s="83">
      <c r="A229" s="135" t="n"/>
      <c r="B229" s="135" t="n"/>
      <c r="C229" s="135" t="n"/>
      <c r="D229" s="136" t="n"/>
      <c r="E229" s="137" t="n"/>
      <c r="F229" s="136" t="n"/>
      <c r="G229" s="137" t="n"/>
      <c r="H229" s="137" t="n"/>
    </row>
    <row r="230" ht="15" customHeight="1" s="83">
      <c r="A230" s="135" t="n"/>
      <c r="B230" s="135" t="n"/>
      <c r="C230" s="135" t="n"/>
      <c r="D230" s="136" t="n"/>
      <c r="E230" s="137" t="n"/>
      <c r="F230" s="136" t="n"/>
      <c r="G230" s="137" t="n"/>
      <c r="H230" s="137" t="n"/>
    </row>
    <row r="231" ht="15" customHeight="1" s="83">
      <c r="A231" s="135" t="n"/>
      <c r="B231" s="135" t="n"/>
      <c r="C231" s="135" t="n"/>
      <c r="D231" s="136" t="n"/>
      <c r="E231" s="137" t="n"/>
      <c r="F231" s="136" t="n"/>
      <c r="G231" s="137" t="n"/>
      <c r="H231" s="137" t="n"/>
    </row>
    <row r="232" ht="15" customHeight="1" s="83">
      <c r="A232" s="135" t="n"/>
      <c r="B232" s="135" t="n"/>
      <c r="C232" s="135" t="n"/>
      <c r="D232" s="136" t="n"/>
      <c r="E232" s="137" t="n"/>
      <c r="F232" s="136" t="n"/>
      <c r="G232" s="137" t="n"/>
      <c r="H232" s="137" t="n"/>
    </row>
    <row r="233" ht="15" customHeight="1" s="83">
      <c r="A233" s="135" t="n"/>
      <c r="B233" s="135" t="n"/>
      <c r="C233" s="135" t="n"/>
      <c r="D233" s="136" t="n"/>
      <c r="E233" s="137" t="n"/>
      <c r="F233" s="136" t="n"/>
      <c r="G233" s="137" t="n"/>
      <c r="H233" s="137" t="n"/>
    </row>
    <row r="234" ht="15" customHeight="1" s="83">
      <c r="A234" s="135" t="n"/>
      <c r="B234" s="135" t="n"/>
      <c r="C234" s="135" t="n"/>
      <c r="D234" s="136" t="n"/>
      <c r="E234" s="137" t="n"/>
      <c r="F234" s="136" t="n"/>
      <c r="G234" s="137" t="n"/>
      <c r="H234" s="137" t="n"/>
    </row>
    <row r="235" ht="15" customHeight="1" s="83">
      <c r="A235" s="135" t="n"/>
      <c r="B235" s="135" t="n"/>
      <c r="C235" s="135" t="n"/>
      <c r="D235" s="136" t="n"/>
      <c r="E235" s="137" t="n"/>
      <c r="F235" s="136" t="n"/>
      <c r="G235" s="137" t="n"/>
      <c r="H235" s="137" t="n"/>
    </row>
    <row r="236" ht="15" customHeight="1" s="83">
      <c r="A236" s="135" t="n"/>
      <c r="B236" s="135" t="n"/>
      <c r="C236" s="135" t="n"/>
      <c r="D236" s="136" t="n"/>
      <c r="E236" s="137" t="n"/>
      <c r="F236" s="136" t="n"/>
      <c r="G236" s="137" t="n"/>
      <c r="H236" s="137" t="n"/>
    </row>
    <row r="237" ht="15" customHeight="1" s="83">
      <c r="A237" s="135" t="n"/>
      <c r="B237" s="135" t="n"/>
      <c r="C237" s="135" t="n"/>
      <c r="D237" s="136" t="n"/>
      <c r="E237" s="137" t="n"/>
      <c r="F237" s="136" t="n"/>
      <c r="G237" s="137" t="n"/>
      <c r="H237" s="137" t="n"/>
    </row>
    <row r="238" ht="15" customHeight="1" s="83">
      <c r="A238" s="135" t="n"/>
      <c r="B238" s="135" t="n"/>
      <c r="C238" s="135" t="n"/>
      <c r="D238" s="136" t="n"/>
      <c r="E238" s="137" t="n"/>
      <c r="F238" s="136" t="n"/>
      <c r="G238" s="137" t="n"/>
      <c r="H238" s="137" t="n"/>
    </row>
    <row r="239" ht="15" customHeight="1" s="83">
      <c r="A239" s="135" t="n"/>
      <c r="B239" s="135" t="n"/>
      <c r="C239" s="135" t="n"/>
      <c r="D239" s="136" t="n"/>
      <c r="E239" s="137" t="n"/>
      <c r="F239" s="136" t="n"/>
      <c r="G239" s="137" t="n"/>
      <c r="H239" s="137" t="n"/>
    </row>
    <row r="240" ht="15" customHeight="1" s="83">
      <c r="A240" s="135" t="n"/>
      <c r="B240" s="135" t="n"/>
      <c r="C240" s="135" t="n"/>
      <c r="D240" s="136" t="n"/>
      <c r="E240" s="137" t="n"/>
      <c r="F240" s="136" t="n"/>
      <c r="G240" s="137" t="n"/>
      <c r="H240" s="137" t="n"/>
    </row>
    <row r="241" ht="15" customHeight="1" s="83">
      <c r="A241" s="135" t="n"/>
      <c r="B241" s="135" t="n"/>
      <c r="C241" s="135" t="n"/>
      <c r="D241" s="136" t="n"/>
      <c r="E241" s="137" t="n"/>
      <c r="F241" s="136" t="n"/>
      <c r="G241" s="137" t="n"/>
      <c r="H241" s="137" t="n"/>
    </row>
    <row r="242" ht="15" customHeight="1" s="83">
      <c r="A242" s="135" t="n"/>
      <c r="B242" s="135" t="n"/>
      <c r="C242" s="135" t="n"/>
      <c r="D242" s="136" t="n"/>
      <c r="E242" s="137" t="n"/>
      <c r="F242" s="136" t="n"/>
      <c r="G242" s="137" t="n"/>
      <c r="H242" s="137" t="n"/>
    </row>
    <row r="243" ht="15" customHeight="1" s="83">
      <c r="A243" s="135" t="n"/>
      <c r="B243" s="135" t="n"/>
      <c r="C243" s="135" t="n"/>
      <c r="D243" s="136" t="n"/>
      <c r="E243" s="137" t="n"/>
      <c r="F243" s="136" t="n"/>
      <c r="G243" s="137" t="n"/>
      <c r="H243" s="137" t="n"/>
    </row>
    <row r="244" ht="15" customHeight="1" s="83">
      <c r="A244" s="135" t="n"/>
      <c r="B244" s="135" t="n"/>
      <c r="C244" s="135" t="n"/>
      <c r="D244" s="136" t="n"/>
      <c r="E244" s="137" t="n"/>
      <c r="F244" s="136" t="n"/>
      <c r="G244" s="137" t="n"/>
      <c r="H244" s="137" t="n"/>
    </row>
    <row r="245" ht="15" customHeight="1" s="83">
      <c r="A245" s="135" t="n"/>
      <c r="B245" s="135" t="n"/>
      <c r="C245" s="135" t="n"/>
      <c r="D245" s="136" t="n"/>
      <c r="E245" s="137" t="n"/>
      <c r="F245" s="136" t="n"/>
      <c r="G245" s="137" t="n"/>
      <c r="H245" s="137" t="n"/>
    </row>
    <row r="246" ht="15" customHeight="1" s="83">
      <c r="A246" s="135" t="n"/>
      <c r="B246" s="135" t="n"/>
      <c r="C246" s="135" t="n"/>
      <c r="D246" s="136" t="n"/>
      <c r="E246" s="137" t="n"/>
      <c r="F246" s="136" t="n"/>
      <c r="G246" s="137" t="n"/>
      <c r="H246" s="137" t="n"/>
    </row>
    <row r="247" ht="15" customHeight="1" s="83">
      <c r="A247" s="135" t="n"/>
      <c r="B247" s="135" t="n"/>
      <c r="C247" s="135" t="n"/>
      <c r="D247" s="136" t="n"/>
      <c r="E247" s="137" t="n"/>
      <c r="F247" s="136" t="n"/>
      <c r="G247" s="137" t="n"/>
      <c r="H247" s="137" t="n"/>
    </row>
    <row r="248" ht="15" customHeight="1" s="83">
      <c r="A248" s="135" t="n"/>
      <c r="B248" s="135" t="n"/>
      <c r="C248" s="135" t="n"/>
      <c r="D248" s="136" t="n"/>
      <c r="E248" s="137" t="n"/>
      <c r="F248" s="136" t="n"/>
      <c r="G248" s="137" t="n"/>
      <c r="H248" s="137" t="n"/>
    </row>
    <row r="249" ht="15" customHeight="1" s="83">
      <c r="A249" s="135" t="n"/>
      <c r="B249" s="135" t="n"/>
      <c r="C249" s="135" t="n"/>
      <c r="D249" s="136" t="n"/>
      <c r="E249" s="137" t="n"/>
      <c r="F249" s="136" t="n"/>
      <c r="G249" s="137" t="n"/>
      <c r="H249" s="137" t="n"/>
    </row>
    <row r="250" ht="15" customHeight="1" s="83">
      <c r="A250" s="135" t="n"/>
      <c r="B250" s="135" t="n"/>
      <c r="C250" s="135" t="n"/>
      <c r="D250" s="136" t="n"/>
      <c r="E250" s="137" t="n"/>
      <c r="F250" s="136" t="n"/>
      <c r="G250" s="137" t="n"/>
      <c r="H250" s="137" t="n"/>
    </row>
    <row r="251" ht="15" customHeight="1" s="83">
      <c r="A251" s="135" t="n"/>
      <c r="B251" s="135" t="n"/>
      <c r="C251" s="135" t="n"/>
      <c r="D251" s="136" t="n"/>
      <c r="E251" s="137" t="n"/>
      <c r="F251" s="136" t="n"/>
      <c r="G251" s="137" t="n"/>
      <c r="H251" s="137" t="n"/>
    </row>
    <row r="252" ht="15" customHeight="1" s="83">
      <c r="A252" s="135" t="n"/>
      <c r="B252" s="135" t="n"/>
      <c r="C252" s="135" t="n"/>
      <c r="D252" s="136" t="n"/>
      <c r="E252" s="137" t="n"/>
      <c r="F252" s="136" t="n"/>
      <c r="G252" s="137" t="n"/>
      <c r="H252" s="137" t="n"/>
    </row>
    <row r="253" ht="15" customHeight="1" s="83">
      <c r="A253" s="135" t="n"/>
      <c r="B253" s="135" t="n"/>
      <c r="C253" s="135" t="n"/>
      <c r="D253" s="136" t="n"/>
      <c r="E253" s="137" t="n"/>
      <c r="F253" s="136" t="n"/>
      <c r="G253" s="137" t="n"/>
      <c r="H253" s="137" t="n"/>
    </row>
    <row r="254" ht="15" customHeight="1" s="83">
      <c r="A254" s="135" t="n"/>
      <c r="B254" s="135" t="n"/>
      <c r="C254" s="135" t="n"/>
      <c r="D254" s="136" t="n"/>
      <c r="E254" s="137" t="n"/>
      <c r="F254" s="136" t="n"/>
      <c r="G254" s="137" t="n"/>
      <c r="H254" s="137" t="n"/>
    </row>
    <row r="255" ht="15" customHeight="1" s="83">
      <c r="A255" s="135" t="n"/>
      <c r="B255" s="135" t="n"/>
      <c r="C255" s="135" t="n"/>
      <c r="D255" s="136" t="n"/>
      <c r="E255" s="137" t="n"/>
      <c r="F255" s="136" t="n"/>
      <c r="G255" s="137" t="n"/>
      <c r="H255" s="137" t="n"/>
    </row>
    <row r="256" ht="15" customHeight="1" s="83">
      <c r="A256" s="135" t="n"/>
      <c r="B256" s="135" t="n"/>
      <c r="C256" s="135" t="n"/>
      <c r="D256" s="136" t="n"/>
      <c r="E256" s="137" t="n"/>
      <c r="F256" s="136" t="n"/>
      <c r="G256" s="137" t="n"/>
      <c r="H256" s="137" t="n"/>
    </row>
    <row r="257" ht="15" customHeight="1" s="83">
      <c r="A257" s="135" t="n"/>
      <c r="B257" s="135" t="n"/>
      <c r="C257" s="135" t="n"/>
      <c r="D257" s="136" t="n"/>
      <c r="E257" s="137" t="n"/>
      <c r="F257" s="136" t="n"/>
      <c r="G257" s="137" t="n"/>
      <c r="H257" s="137" t="n"/>
    </row>
    <row r="258" ht="15" customHeight="1" s="83">
      <c r="A258" s="135" t="n"/>
      <c r="B258" s="135" t="n"/>
      <c r="C258" s="135" t="n"/>
      <c r="D258" s="136" t="n"/>
      <c r="E258" s="137" t="n"/>
      <c r="F258" s="136" t="n"/>
      <c r="G258" s="137" t="n"/>
      <c r="H258" s="137" t="n"/>
    </row>
    <row r="259" ht="15" customHeight="1" s="83">
      <c r="A259" s="135" t="n"/>
      <c r="B259" s="135" t="n"/>
      <c r="C259" s="135" t="n"/>
      <c r="D259" s="136" t="n"/>
      <c r="E259" s="137" t="n"/>
      <c r="F259" s="136" t="n"/>
      <c r="G259" s="137" t="n"/>
      <c r="H259" s="137" t="n"/>
    </row>
    <row r="260" ht="15" customHeight="1" s="83">
      <c r="A260" s="135" t="n"/>
      <c r="B260" s="135" t="n"/>
      <c r="C260" s="135" t="n"/>
      <c r="D260" s="136" t="n"/>
      <c r="E260" s="137" t="n"/>
      <c r="F260" s="136" t="n"/>
      <c r="G260" s="137" t="n"/>
      <c r="H260" s="137" t="n"/>
    </row>
    <row r="261" ht="15" customHeight="1" s="83">
      <c r="A261" s="135" t="n"/>
      <c r="B261" s="135" t="n"/>
      <c r="C261" s="135" t="n"/>
      <c r="D261" s="136" t="n"/>
      <c r="E261" s="137" t="n"/>
      <c r="F261" s="136" t="n"/>
      <c r="G261" s="137" t="n"/>
      <c r="H261" s="137" t="n"/>
    </row>
    <row r="262" ht="15" customHeight="1" s="83">
      <c r="A262" s="135" t="n"/>
      <c r="B262" s="135" t="n"/>
      <c r="C262" s="135" t="n"/>
      <c r="D262" s="136" t="n"/>
      <c r="E262" s="137" t="n"/>
      <c r="F262" s="136" t="n"/>
      <c r="G262" s="137" t="n"/>
      <c r="H262" s="137" t="n"/>
    </row>
    <row r="263" ht="15" customHeight="1" s="83">
      <c r="A263" s="135" t="n"/>
      <c r="B263" s="135" t="n"/>
      <c r="C263" s="135" t="n"/>
      <c r="D263" s="136" t="n"/>
      <c r="E263" s="137" t="n"/>
      <c r="F263" s="136" t="n"/>
      <c r="G263" s="137" t="n"/>
      <c r="H263" s="137" t="n"/>
    </row>
    <row r="264" ht="15" customHeight="1" s="83">
      <c r="A264" s="135" t="n"/>
      <c r="B264" s="135" t="n"/>
      <c r="C264" s="135" t="n"/>
      <c r="D264" s="136" t="n"/>
      <c r="E264" s="137" t="n"/>
      <c r="F264" s="136" t="n"/>
      <c r="G264" s="137" t="n"/>
      <c r="H264" s="137" t="n"/>
    </row>
    <row r="265" ht="15" customHeight="1" s="83">
      <c r="A265" s="135" t="n"/>
      <c r="B265" s="135" t="n"/>
      <c r="C265" s="135" t="n"/>
      <c r="D265" s="136" t="n"/>
      <c r="E265" s="137" t="n"/>
      <c r="F265" s="136" t="n"/>
      <c r="G265" s="137" t="n"/>
      <c r="H265" s="137" t="n"/>
    </row>
    <row r="266" ht="15" customHeight="1" s="83">
      <c r="A266" s="135" t="n"/>
      <c r="B266" s="135" t="n"/>
      <c r="C266" s="135" t="n"/>
      <c r="D266" s="136" t="n"/>
      <c r="E266" s="137" t="n"/>
      <c r="F266" s="136" t="n"/>
      <c r="G266" s="137" t="n"/>
      <c r="H266" s="137" t="n"/>
    </row>
    <row r="267" ht="15" customHeight="1" s="83">
      <c r="A267" s="135" t="n"/>
      <c r="B267" s="135" t="n"/>
      <c r="C267" s="135" t="n"/>
      <c r="D267" s="136" t="n"/>
      <c r="E267" s="137" t="n"/>
      <c r="F267" s="136" t="n"/>
      <c r="G267" s="137" t="n"/>
      <c r="H267" s="137" t="n"/>
    </row>
    <row r="268" ht="15" customHeight="1" s="83">
      <c r="A268" s="135" t="n"/>
      <c r="B268" s="135" t="n"/>
      <c r="C268" s="135" t="n"/>
      <c r="D268" s="136" t="n"/>
      <c r="E268" s="137" t="n"/>
      <c r="F268" s="136" t="n"/>
      <c r="G268" s="137" t="n"/>
      <c r="H268" s="137" t="n"/>
    </row>
    <row r="269" ht="15" customHeight="1" s="83">
      <c r="A269" s="135" t="n"/>
      <c r="B269" s="135" t="n"/>
      <c r="C269" s="135" t="n"/>
      <c r="D269" s="136" t="n"/>
      <c r="E269" s="137" t="n"/>
      <c r="F269" s="136" t="n"/>
      <c r="G269" s="137" t="n"/>
      <c r="H269" s="137" t="n"/>
    </row>
    <row r="270" ht="15" customHeight="1" s="83">
      <c r="A270" s="135" t="n"/>
      <c r="B270" s="135" t="n"/>
      <c r="C270" s="135" t="n"/>
      <c r="D270" s="136" t="n"/>
      <c r="E270" s="137" t="n"/>
      <c r="F270" s="136" t="n"/>
      <c r="G270" s="137" t="n"/>
      <c r="H270" s="137" t="n"/>
    </row>
    <row r="271" ht="15" customHeight="1" s="83">
      <c r="A271" s="135" t="n"/>
      <c r="B271" s="135" t="n"/>
      <c r="C271" s="135" t="n"/>
      <c r="D271" s="136" t="n"/>
      <c r="E271" s="137" t="n"/>
      <c r="F271" s="136" t="n"/>
      <c r="G271" s="137" t="n"/>
      <c r="H271" s="137" t="n"/>
    </row>
    <row r="272" ht="15" customHeight="1" s="83">
      <c r="A272" s="135" t="n"/>
      <c r="B272" s="135" t="n"/>
      <c r="C272" s="135" t="n"/>
      <c r="D272" s="136" t="n"/>
      <c r="E272" s="137" t="n"/>
      <c r="F272" s="136" t="n"/>
      <c r="G272" s="137" t="n"/>
      <c r="H272" s="137" t="n"/>
    </row>
    <row r="273" ht="15" customHeight="1" s="83">
      <c r="A273" s="135" t="n"/>
      <c r="B273" s="135" t="n"/>
      <c r="C273" s="135" t="n"/>
      <c r="D273" s="136" t="n"/>
      <c r="E273" s="137" t="n"/>
      <c r="F273" s="136" t="n"/>
      <c r="G273" s="137" t="n"/>
      <c r="H273" s="137" t="n"/>
    </row>
    <row r="274" ht="15" customHeight="1" s="83">
      <c r="A274" s="135" t="n"/>
      <c r="B274" s="135" t="n"/>
      <c r="C274" s="135" t="n"/>
      <c r="D274" s="136" t="n"/>
      <c r="E274" s="137" t="n"/>
      <c r="F274" s="136" t="n"/>
      <c r="G274" s="137" t="n"/>
      <c r="H274" s="137" t="n"/>
    </row>
    <row r="275" ht="15" customHeight="1" s="83">
      <c r="A275" s="135" t="n"/>
      <c r="B275" s="135" t="n"/>
      <c r="C275" s="135" t="n"/>
      <c r="D275" s="136" t="n"/>
      <c r="E275" s="137" t="n"/>
      <c r="F275" s="136" t="n"/>
      <c r="G275" s="137" t="n"/>
      <c r="H275" s="137" t="n"/>
    </row>
    <row r="276" ht="15" customHeight="1" s="83">
      <c r="A276" s="135" t="n"/>
      <c r="B276" s="135" t="n"/>
      <c r="C276" s="135" t="n"/>
      <c r="D276" s="136" t="n"/>
      <c r="E276" s="137" t="n"/>
      <c r="F276" s="136" t="n"/>
      <c r="G276" s="137" t="n"/>
      <c r="H276" s="137" t="n"/>
    </row>
    <row r="277" ht="15" customHeight="1" s="83">
      <c r="A277" s="135" t="n"/>
      <c r="B277" s="135" t="n"/>
      <c r="C277" s="135" t="n"/>
      <c r="D277" s="136" t="n"/>
      <c r="E277" s="137" t="n"/>
      <c r="F277" s="136" t="n"/>
      <c r="G277" s="137" t="n"/>
      <c r="H277" s="137" t="n"/>
    </row>
    <row r="278" ht="15" customHeight="1" s="83">
      <c r="A278" s="135" t="n"/>
      <c r="B278" s="135" t="n"/>
      <c r="C278" s="135" t="n"/>
      <c r="D278" s="136" t="n"/>
      <c r="E278" s="137" t="n"/>
      <c r="F278" s="136" t="n"/>
      <c r="G278" s="137" t="n"/>
      <c r="H278" s="137" t="n"/>
    </row>
    <row r="279" ht="15" customHeight="1" s="83">
      <c r="A279" s="135" t="n"/>
      <c r="B279" s="135" t="n"/>
      <c r="C279" s="135" t="n"/>
      <c r="D279" s="136" t="n"/>
      <c r="E279" s="137" t="n"/>
      <c r="F279" s="136" t="n"/>
      <c r="G279" s="137" t="n"/>
      <c r="H279" s="137" t="n"/>
    </row>
    <row r="280" ht="15" customHeight="1" s="83">
      <c r="A280" s="135" t="n"/>
      <c r="B280" s="135" t="n"/>
      <c r="C280" s="135" t="n"/>
      <c r="D280" s="136" t="n"/>
      <c r="E280" s="137" t="n"/>
      <c r="F280" s="136" t="n"/>
      <c r="G280" s="137" t="n"/>
      <c r="H280" s="137" t="n"/>
    </row>
    <row r="281" ht="15" customHeight="1" s="83">
      <c r="A281" s="135" t="n"/>
      <c r="B281" s="135" t="n"/>
      <c r="C281" s="135" t="n"/>
      <c r="D281" s="136" t="n"/>
      <c r="E281" s="137" t="n"/>
      <c r="F281" s="136" t="n"/>
      <c r="G281" s="137" t="n"/>
      <c r="H281" s="137" t="n"/>
    </row>
    <row r="282" ht="15" customHeight="1" s="83">
      <c r="A282" s="135" t="n"/>
      <c r="B282" s="135" t="n"/>
      <c r="C282" s="135" t="n"/>
      <c r="D282" s="136" t="n"/>
      <c r="E282" s="137" t="n"/>
      <c r="F282" s="136" t="n"/>
      <c r="G282" s="137" t="n"/>
      <c r="H282" s="137" t="n"/>
    </row>
    <row r="283" ht="15" customHeight="1" s="83">
      <c r="A283" s="135" t="n"/>
      <c r="B283" s="135" t="n"/>
      <c r="C283" s="135" t="n"/>
      <c r="D283" s="136" t="n"/>
      <c r="E283" s="137" t="n"/>
      <c r="F283" s="136" t="n"/>
      <c r="G283" s="137" t="n"/>
      <c r="H283" s="137" t="n"/>
    </row>
    <row r="284" ht="15" customHeight="1" s="83">
      <c r="A284" s="135" t="n"/>
      <c r="B284" s="135" t="n"/>
      <c r="C284" s="135" t="n"/>
      <c r="D284" s="136" t="n"/>
      <c r="E284" s="137" t="n"/>
      <c r="F284" s="136" t="n"/>
      <c r="G284" s="137" t="n"/>
      <c r="H284" s="137" t="n"/>
    </row>
    <row r="285" ht="15" customHeight="1" s="83">
      <c r="A285" s="135" t="n"/>
      <c r="B285" s="135" t="n"/>
      <c r="C285" s="135" t="n"/>
      <c r="D285" s="136" t="n"/>
      <c r="E285" s="137" t="n"/>
      <c r="F285" s="136" t="n"/>
      <c r="G285" s="137" t="n"/>
      <c r="H285" s="137" t="n"/>
    </row>
    <row r="286" ht="15" customHeight="1" s="83">
      <c r="A286" s="135" t="n"/>
      <c r="B286" s="135" t="n"/>
      <c r="C286" s="135" t="n"/>
      <c r="D286" s="136" t="n"/>
      <c r="E286" s="137" t="n"/>
      <c r="F286" s="136" t="n"/>
      <c r="G286" s="137" t="n"/>
      <c r="H286" s="137" t="n"/>
    </row>
    <row r="287" ht="15" customHeight="1" s="83">
      <c r="A287" s="135" t="n"/>
      <c r="B287" s="135" t="n"/>
      <c r="C287" s="135" t="n"/>
      <c r="D287" s="136" t="n"/>
      <c r="E287" s="137" t="n"/>
      <c r="F287" s="136" t="n"/>
      <c r="G287" s="137" t="n"/>
      <c r="H287" s="137" t="n"/>
    </row>
    <row r="288" ht="15" customHeight="1" s="83">
      <c r="A288" s="135" t="n"/>
      <c r="B288" s="135" t="n"/>
      <c r="C288" s="135" t="n"/>
      <c r="D288" s="136" t="n"/>
      <c r="E288" s="137" t="n"/>
      <c r="F288" s="136" t="n"/>
      <c r="G288" s="137" t="n"/>
      <c r="H288" s="137" t="n"/>
    </row>
    <row r="289" ht="15" customHeight="1" s="83">
      <c r="A289" s="135" t="n"/>
      <c r="B289" s="135" t="n"/>
      <c r="C289" s="135" t="n"/>
      <c r="D289" s="136" t="n"/>
      <c r="E289" s="137" t="n"/>
      <c r="F289" s="136" t="n"/>
      <c r="G289" s="137" t="n"/>
      <c r="H289" s="137" t="n"/>
    </row>
    <row r="290" ht="15" customHeight="1" s="83">
      <c r="A290" s="135" t="n"/>
      <c r="B290" s="135" t="n"/>
      <c r="C290" s="135" t="n"/>
      <c r="D290" s="136" t="n"/>
      <c r="E290" s="137" t="n"/>
      <c r="F290" s="136" t="n"/>
      <c r="G290" s="137" t="n"/>
      <c r="H290" s="137" t="n"/>
    </row>
    <row r="291" ht="15" customHeight="1" s="83">
      <c r="A291" s="135" t="n"/>
      <c r="B291" s="135" t="n"/>
      <c r="C291" s="135" t="n"/>
      <c r="D291" s="136" t="n"/>
      <c r="E291" s="137" t="n"/>
      <c r="F291" s="136" t="n"/>
      <c r="G291" s="137" t="n"/>
      <c r="H291" s="137" t="n"/>
    </row>
    <row r="292" ht="15" customHeight="1" s="83">
      <c r="A292" s="135" t="n"/>
      <c r="B292" s="135" t="n"/>
      <c r="C292" s="135" t="n"/>
      <c r="D292" s="136" t="n"/>
      <c r="E292" s="137" t="n"/>
      <c r="F292" s="136" t="n"/>
      <c r="G292" s="137" t="n"/>
      <c r="H292" s="137" t="n"/>
    </row>
    <row r="293" ht="15" customHeight="1" s="83">
      <c r="A293" s="135" t="n"/>
      <c r="B293" s="135" t="n"/>
      <c r="C293" s="135" t="n"/>
      <c r="D293" s="136" t="n"/>
      <c r="E293" s="137" t="n"/>
      <c r="F293" s="136" t="n"/>
      <c r="G293" s="137" t="n"/>
      <c r="H293" s="137" t="n"/>
    </row>
    <row r="294" ht="15" customHeight="1" s="83">
      <c r="A294" s="135" t="n"/>
      <c r="B294" s="135" t="n"/>
      <c r="C294" s="135" t="n"/>
      <c r="D294" s="136" t="n"/>
      <c r="E294" s="137" t="n"/>
      <c r="F294" s="136" t="n"/>
      <c r="G294" s="137" t="n"/>
      <c r="H294" s="137" t="n"/>
    </row>
    <row r="295" ht="15" customHeight="1" s="83">
      <c r="A295" s="135" t="n"/>
      <c r="B295" s="135" t="n"/>
      <c r="C295" s="135" t="n"/>
      <c r="D295" s="136" t="n"/>
      <c r="E295" s="137" t="n"/>
      <c r="F295" s="136" t="n"/>
      <c r="G295" s="137" t="n"/>
      <c r="H295" s="137" t="n"/>
    </row>
    <row r="296" ht="15" customHeight="1" s="83">
      <c r="A296" s="135" t="n"/>
      <c r="B296" s="135" t="n"/>
      <c r="C296" s="135" t="n"/>
      <c r="D296" s="136" t="n"/>
      <c r="E296" s="137" t="n"/>
      <c r="F296" s="136" t="n"/>
      <c r="G296" s="137" t="n"/>
      <c r="H296" s="137" t="n"/>
    </row>
    <row r="297" ht="15" customHeight="1" s="83">
      <c r="A297" s="135" t="n"/>
      <c r="B297" s="135" t="n"/>
      <c r="C297" s="135" t="n"/>
      <c r="D297" s="136" t="n"/>
      <c r="E297" s="137" t="n"/>
      <c r="F297" s="136" t="n"/>
      <c r="G297" s="137" t="n"/>
      <c r="H297" s="137" t="n"/>
    </row>
    <row r="298" ht="15" customHeight="1" s="83">
      <c r="A298" s="135" t="n"/>
      <c r="B298" s="135" t="n"/>
      <c r="C298" s="135" t="n"/>
      <c r="D298" s="136" t="n"/>
      <c r="E298" s="137" t="n"/>
      <c r="F298" s="136" t="n"/>
      <c r="G298" s="137" t="n"/>
      <c r="H298" s="137" t="n"/>
    </row>
    <row r="299" ht="15" customHeight="1" s="83">
      <c r="A299" s="135" t="n"/>
      <c r="B299" s="135" t="n"/>
      <c r="C299" s="135" t="n"/>
      <c r="D299" s="136" t="n"/>
      <c r="E299" s="137" t="n"/>
      <c r="F299" s="136" t="n"/>
      <c r="G299" s="137" t="n"/>
      <c r="H299" s="137" t="n"/>
    </row>
    <row r="300" ht="15" customHeight="1" s="83">
      <c r="A300" s="135" t="n"/>
      <c r="B300" s="135" t="n"/>
      <c r="C300" s="135" t="n"/>
      <c r="D300" s="136" t="n"/>
      <c r="E300" s="137" t="n"/>
      <c r="F300" s="136" t="n"/>
      <c r="G300" s="137" t="n"/>
      <c r="H300" s="137" t="n"/>
    </row>
    <row r="301" ht="15" customHeight="1" s="83">
      <c r="A301" s="135" t="n"/>
      <c r="B301" s="135" t="n"/>
      <c r="C301" s="135" t="n"/>
      <c r="D301" s="136" t="n"/>
      <c r="E301" s="137" t="n"/>
      <c r="F301" s="136" t="n"/>
      <c r="G301" s="137" t="n"/>
      <c r="H301" s="137" t="n"/>
    </row>
    <row r="302" ht="15" customHeight="1" s="83">
      <c r="A302" s="135" t="n"/>
      <c r="B302" s="135" t="n"/>
      <c r="C302" s="135" t="n"/>
      <c r="D302" s="136" t="n"/>
      <c r="E302" s="137" t="n"/>
      <c r="F302" s="136" t="n"/>
      <c r="G302" s="137" t="n"/>
      <c r="H302" s="137" t="n"/>
    </row>
    <row r="303" ht="15" customHeight="1" s="83">
      <c r="A303" s="135" t="n"/>
      <c r="B303" s="135" t="n"/>
      <c r="C303" s="135" t="n"/>
      <c r="D303" s="136" t="n"/>
      <c r="E303" s="137" t="n"/>
      <c r="F303" s="136" t="n"/>
      <c r="G303" s="137" t="n"/>
      <c r="H303" s="137" t="n"/>
    </row>
    <row r="304" ht="15" customHeight="1" s="83">
      <c r="A304" s="135" t="n"/>
      <c r="B304" s="135" t="n"/>
      <c r="C304" s="135" t="n"/>
      <c r="D304" s="136" t="n"/>
      <c r="E304" s="137" t="n"/>
      <c r="F304" s="136" t="n"/>
      <c r="G304" s="137" t="n"/>
      <c r="H304" s="137" t="n"/>
    </row>
    <row r="305" ht="15" customHeight="1" s="83">
      <c r="A305" s="135" t="n"/>
      <c r="B305" s="135" t="n"/>
      <c r="C305" s="135" t="n"/>
      <c r="D305" s="136" t="n"/>
      <c r="E305" s="137" t="n"/>
      <c r="F305" s="136" t="n"/>
      <c r="G305" s="137" t="n"/>
      <c r="H305" s="137" t="n"/>
    </row>
    <row r="306" ht="15" customHeight="1" s="83">
      <c r="A306" s="135" t="n"/>
      <c r="B306" s="135" t="n"/>
      <c r="C306" s="135" t="n"/>
      <c r="D306" s="136" t="n"/>
      <c r="E306" s="137" t="n"/>
      <c r="F306" s="136" t="n"/>
      <c r="G306" s="137" t="n"/>
      <c r="H306" s="137" t="n"/>
    </row>
    <row r="307" ht="15" customHeight="1" s="83">
      <c r="A307" s="135" t="n"/>
      <c r="B307" s="135" t="n"/>
      <c r="C307" s="135" t="n"/>
      <c r="D307" s="136" t="n"/>
      <c r="E307" s="137" t="n"/>
      <c r="F307" s="136" t="n"/>
      <c r="G307" s="137" t="n"/>
      <c r="H307" s="137" t="n"/>
    </row>
    <row r="308" ht="15" customHeight="1" s="83">
      <c r="A308" s="135" t="n"/>
      <c r="B308" s="135" t="n"/>
      <c r="C308" s="135" t="n"/>
      <c r="D308" s="136" t="n"/>
      <c r="E308" s="137" t="n"/>
      <c r="F308" s="136" t="n"/>
      <c r="G308" s="137" t="n"/>
      <c r="H308" s="137" t="n"/>
    </row>
    <row r="309" ht="15" customHeight="1" s="83">
      <c r="A309" s="135" t="n"/>
      <c r="B309" s="135" t="n"/>
      <c r="C309" s="135" t="n"/>
      <c r="D309" s="136" t="n"/>
      <c r="E309" s="137" t="n"/>
      <c r="F309" s="136" t="n"/>
      <c r="G309" s="137" t="n"/>
      <c r="H309" s="137" t="n"/>
    </row>
    <row r="310" ht="15" customHeight="1" s="83">
      <c r="A310" s="135" t="n"/>
      <c r="B310" s="135" t="n"/>
      <c r="C310" s="135" t="n"/>
      <c r="D310" s="136" t="n"/>
      <c r="E310" s="137" t="n"/>
      <c r="F310" s="136" t="n"/>
      <c r="G310" s="137" t="n"/>
      <c r="H310" s="137" t="n"/>
    </row>
    <row r="311" ht="15" customHeight="1" s="83">
      <c r="A311" s="135" t="n"/>
      <c r="B311" s="135" t="n"/>
      <c r="C311" s="135" t="n"/>
      <c r="D311" s="136" t="n"/>
      <c r="E311" s="137" t="n"/>
      <c r="F311" s="136" t="n"/>
      <c r="G311" s="137" t="n"/>
      <c r="H311" s="137" t="n"/>
    </row>
    <row r="312" ht="15" customHeight="1" s="83">
      <c r="A312" s="135" t="n"/>
      <c r="B312" s="135" t="n"/>
      <c r="C312" s="135" t="n"/>
      <c r="D312" s="136" t="n"/>
      <c r="E312" s="137" t="n"/>
      <c r="F312" s="136" t="n"/>
      <c r="G312" s="137" t="n"/>
      <c r="H312" s="137" t="n"/>
    </row>
    <row r="313" ht="15" customHeight="1" s="83">
      <c r="A313" s="135" t="n"/>
      <c r="B313" s="135" t="n"/>
      <c r="C313" s="135" t="n"/>
      <c r="D313" s="136" t="n"/>
      <c r="E313" s="137" t="n"/>
      <c r="F313" s="136" t="n"/>
      <c r="G313" s="137" t="n"/>
      <c r="H313" s="137" t="n"/>
    </row>
    <row r="314" ht="15" customHeight="1" s="83">
      <c r="A314" s="135" t="n"/>
      <c r="B314" s="135" t="n"/>
      <c r="C314" s="135" t="n"/>
      <c r="D314" s="136" t="n"/>
      <c r="E314" s="137" t="n"/>
      <c r="F314" s="136" t="n"/>
      <c r="G314" s="137" t="n"/>
      <c r="H314" s="137" t="n"/>
    </row>
    <row r="315" ht="15" customHeight="1" s="83">
      <c r="A315" s="135" t="n"/>
      <c r="B315" s="135" t="n"/>
      <c r="C315" s="135" t="n"/>
      <c r="D315" s="136" t="n"/>
      <c r="E315" s="137" t="n"/>
      <c r="F315" s="136" t="n"/>
      <c r="G315" s="137" t="n"/>
      <c r="H315" s="137" t="n"/>
    </row>
    <row r="316" ht="15" customHeight="1" s="83">
      <c r="A316" s="135" t="n"/>
      <c r="B316" s="135" t="n"/>
      <c r="C316" s="135" t="n"/>
      <c r="D316" s="136" t="n"/>
      <c r="E316" s="137" t="n"/>
      <c r="F316" s="136" t="n"/>
      <c r="G316" s="137" t="n"/>
      <c r="H316" s="137" t="n"/>
    </row>
    <row r="317" ht="15" customHeight="1" s="83">
      <c r="A317" s="135" t="n"/>
      <c r="B317" s="135" t="n"/>
      <c r="C317" s="135" t="n"/>
      <c r="D317" s="136" t="n"/>
      <c r="E317" s="137" t="n"/>
      <c r="F317" s="136" t="n"/>
      <c r="G317" s="137" t="n"/>
      <c r="H317" s="137" t="n"/>
    </row>
    <row r="318" ht="15" customHeight="1" s="83">
      <c r="A318" s="135" t="n"/>
      <c r="B318" s="135" t="n"/>
      <c r="C318" s="135" t="n"/>
      <c r="D318" s="136" t="n"/>
      <c r="E318" s="137" t="n"/>
      <c r="F318" s="136" t="n"/>
      <c r="G318" s="137" t="n"/>
      <c r="H318" s="137" t="n"/>
    </row>
    <row r="319" ht="15" customHeight="1" s="83">
      <c r="A319" s="135" t="n"/>
      <c r="B319" s="135" t="n"/>
      <c r="C319" s="135" t="n"/>
      <c r="D319" s="136" t="n"/>
      <c r="E319" s="137" t="n"/>
      <c r="F319" s="136" t="n"/>
      <c r="G319" s="137" t="n"/>
      <c r="H319" s="137" t="n"/>
    </row>
    <row r="320" ht="15" customHeight="1" s="83">
      <c r="A320" s="135" t="n"/>
      <c r="B320" s="135" t="n"/>
      <c r="C320" s="135" t="n"/>
      <c r="D320" s="136" t="n"/>
      <c r="E320" s="137" t="n"/>
      <c r="F320" s="136" t="n"/>
      <c r="G320" s="137" t="n"/>
      <c r="H320" s="137" t="n"/>
    </row>
    <row r="321" ht="15" customHeight="1" s="83">
      <c r="A321" s="135" t="n"/>
      <c r="B321" s="135" t="n"/>
      <c r="C321" s="135" t="n"/>
      <c r="D321" s="136" t="n"/>
      <c r="E321" s="137" t="n"/>
      <c r="F321" s="136" t="n"/>
      <c r="G321" s="137" t="n"/>
      <c r="H321" s="137" t="n"/>
    </row>
    <row r="322" ht="15" customHeight="1" s="83">
      <c r="A322" s="135" t="n"/>
      <c r="B322" s="135" t="n"/>
      <c r="C322" s="135" t="n"/>
      <c r="D322" s="136" t="n"/>
      <c r="E322" s="137" t="n"/>
      <c r="F322" s="136" t="n"/>
      <c r="G322" s="137" t="n"/>
      <c r="H322" s="137" t="n"/>
    </row>
    <row r="323" ht="15" customHeight="1" s="83">
      <c r="A323" s="135" t="n"/>
      <c r="B323" s="135" t="n"/>
      <c r="C323" s="135" t="n"/>
      <c r="D323" s="136" t="n"/>
      <c r="E323" s="137" t="n"/>
      <c r="F323" s="136" t="n"/>
      <c r="G323" s="137" t="n"/>
      <c r="H323" s="137" t="n"/>
    </row>
    <row r="324" ht="15" customHeight="1" s="83">
      <c r="A324" s="135" t="n"/>
      <c r="B324" s="135" t="n"/>
      <c r="C324" s="135" t="n"/>
      <c r="D324" s="136" t="n"/>
      <c r="E324" s="137" t="n"/>
      <c r="F324" s="136" t="n"/>
      <c r="G324" s="137" t="n"/>
      <c r="H324" s="137" t="n"/>
    </row>
    <row r="325" ht="15" customHeight="1" s="83">
      <c r="A325" s="135" t="n"/>
      <c r="B325" s="135" t="n"/>
      <c r="C325" s="135" t="n"/>
      <c r="D325" s="136" t="n"/>
      <c r="E325" s="137" t="n"/>
      <c r="F325" s="136" t="n"/>
      <c r="G325" s="137" t="n"/>
      <c r="H325" s="137" t="n"/>
    </row>
    <row r="326" ht="15" customHeight="1" s="83">
      <c r="A326" s="135" t="n"/>
      <c r="B326" s="135" t="n"/>
      <c r="C326" s="135" t="n"/>
      <c r="D326" s="136" t="n"/>
      <c r="E326" s="137" t="n"/>
      <c r="F326" s="136" t="n"/>
      <c r="G326" s="137" t="n"/>
      <c r="H326" s="137" t="n"/>
    </row>
    <row r="327" ht="15" customHeight="1" s="83">
      <c r="A327" s="135" t="n"/>
      <c r="B327" s="135" t="n"/>
      <c r="C327" s="135" t="n"/>
      <c r="D327" s="136" t="n"/>
      <c r="E327" s="137" t="n"/>
      <c r="F327" s="136" t="n"/>
      <c r="G327" s="137" t="n"/>
      <c r="H327" s="137" t="n"/>
    </row>
    <row r="328" ht="15" customHeight="1" s="83">
      <c r="A328" s="135" t="n"/>
      <c r="B328" s="135" t="n"/>
      <c r="C328" s="135" t="n"/>
      <c r="D328" s="136" t="n"/>
      <c r="E328" s="137" t="n"/>
      <c r="F328" s="136" t="n"/>
      <c r="G328" s="137" t="n"/>
      <c r="H328" s="137" t="n"/>
    </row>
    <row r="329" ht="15" customHeight="1" s="83">
      <c r="A329" s="135" t="n"/>
      <c r="B329" s="135" t="n"/>
      <c r="C329" s="135" t="n"/>
      <c r="D329" s="136" t="n"/>
      <c r="E329" s="137" t="n"/>
      <c r="F329" s="136" t="n"/>
      <c r="G329" s="137" t="n"/>
      <c r="H329" s="137" t="n"/>
    </row>
    <row r="330" ht="15" customHeight="1" s="83">
      <c r="A330" s="135" t="n"/>
      <c r="B330" s="135" t="n"/>
      <c r="C330" s="135" t="n"/>
      <c r="D330" s="136" t="n"/>
      <c r="E330" s="137" t="n"/>
      <c r="F330" s="136" t="n"/>
      <c r="G330" s="137" t="n"/>
      <c r="H330" s="137" t="n"/>
    </row>
    <row r="331" ht="15" customHeight="1" s="83">
      <c r="A331" s="135" t="n"/>
      <c r="B331" s="135" t="n"/>
      <c r="C331" s="135" t="n"/>
      <c r="D331" s="136" t="n"/>
      <c r="E331" s="137" t="n"/>
      <c r="F331" s="136" t="n"/>
      <c r="G331" s="137" t="n"/>
      <c r="H331" s="137" t="n"/>
    </row>
    <row r="332" ht="15" customHeight="1" s="83">
      <c r="A332" s="135" t="n"/>
      <c r="B332" s="135" t="n"/>
      <c r="C332" s="135" t="n"/>
      <c r="D332" s="136" t="n"/>
      <c r="E332" s="137" t="n"/>
      <c r="F332" s="136" t="n"/>
      <c r="G332" s="137" t="n"/>
      <c r="H332" s="137" t="n"/>
    </row>
    <row r="333" ht="15" customHeight="1" s="83">
      <c r="A333" s="135" t="n"/>
      <c r="B333" s="135" t="n"/>
      <c r="C333" s="135" t="n"/>
      <c r="D333" s="136" t="n"/>
      <c r="E333" s="137" t="n"/>
      <c r="F333" s="136" t="n"/>
      <c r="G333" s="137" t="n"/>
      <c r="H333" s="137" t="n"/>
    </row>
    <row r="334" ht="15" customHeight="1" s="83">
      <c r="A334" s="135" t="n"/>
      <c r="B334" s="135" t="n"/>
      <c r="C334" s="135" t="n"/>
      <c r="D334" s="136" t="n"/>
      <c r="E334" s="137" t="n"/>
      <c r="F334" s="136" t="n"/>
      <c r="G334" s="137" t="n"/>
      <c r="H334" s="137" t="n"/>
    </row>
    <row r="335" ht="15" customHeight="1" s="83">
      <c r="A335" s="135" t="n"/>
      <c r="B335" s="135" t="n"/>
      <c r="C335" s="135" t="n"/>
      <c r="D335" s="136" t="n"/>
      <c r="E335" s="137" t="n"/>
      <c r="F335" s="136" t="n"/>
      <c r="G335" s="137" t="n"/>
      <c r="H335" s="137" t="n"/>
    </row>
    <row r="336" ht="15" customHeight="1" s="83">
      <c r="A336" s="135" t="n"/>
      <c r="B336" s="135" t="n"/>
      <c r="C336" s="135" t="n"/>
      <c r="D336" s="136" t="n"/>
      <c r="E336" s="137" t="n"/>
      <c r="F336" s="136" t="n"/>
      <c r="G336" s="137" t="n"/>
      <c r="H336" s="137" t="n"/>
    </row>
    <row r="337" ht="15" customHeight="1" s="83">
      <c r="A337" s="135" t="n"/>
      <c r="B337" s="135" t="n"/>
      <c r="C337" s="135" t="n"/>
      <c r="D337" s="136" t="n"/>
      <c r="E337" s="137" t="n"/>
      <c r="F337" s="136" t="n"/>
      <c r="G337" s="137" t="n"/>
      <c r="H337" s="137" t="n"/>
    </row>
    <row r="338" ht="15" customHeight="1" s="83">
      <c r="A338" s="135" t="n"/>
      <c r="B338" s="135" t="n"/>
      <c r="C338" s="135" t="n"/>
      <c r="D338" s="136" t="n"/>
      <c r="E338" s="137" t="n"/>
      <c r="F338" s="136" t="n"/>
      <c r="G338" s="137" t="n"/>
      <c r="H338" s="137" t="n"/>
    </row>
    <row r="339" ht="15" customHeight="1" s="83">
      <c r="A339" s="135" t="n"/>
      <c r="B339" s="135" t="n"/>
      <c r="C339" s="135" t="n"/>
      <c r="D339" s="136" t="n"/>
      <c r="E339" s="137" t="n"/>
      <c r="F339" s="136" t="n"/>
      <c r="G339" s="137" t="n"/>
      <c r="H339" s="137" t="n"/>
    </row>
    <row r="340" ht="15" customHeight="1" s="83">
      <c r="A340" s="135" t="n"/>
      <c r="B340" s="135" t="n"/>
      <c r="C340" s="135" t="n"/>
      <c r="D340" s="136" t="n"/>
      <c r="E340" s="137" t="n"/>
      <c r="F340" s="136" t="n"/>
      <c r="G340" s="137" t="n"/>
      <c r="H340" s="137" t="n"/>
    </row>
    <row r="341" ht="15" customHeight="1" s="83">
      <c r="A341" s="135" t="n"/>
      <c r="B341" s="135" t="n"/>
      <c r="C341" s="135" t="n"/>
      <c r="D341" s="136" t="n"/>
      <c r="E341" s="137" t="n"/>
      <c r="F341" s="136" t="n"/>
      <c r="G341" s="137" t="n"/>
      <c r="H341" s="137" t="n"/>
    </row>
    <row r="342" ht="15" customHeight="1" s="83">
      <c r="A342" s="135" t="n"/>
      <c r="B342" s="135" t="n"/>
      <c r="C342" s="135" t="n"/>
      <c r="D342" s="136" t="n"/>
      <c r="E342" s="137" t="n"/>
      <c r="F342" s="136" t="n"/>
      <c r="G342" s="137" t="n"/>
      <c r="H342" s="137" t="n"/>
    </row>
    <row r="343" ht="15" customHeight="1" s="83">
      <c r="A343" s="135" t="n"/>
      <c r="B343" s="135" t="n"/>
      <c r="C343" s="135" t="n"/>
      <c r="D343" s="136" t="n"/>
      <c r="E343" s="137" t="n"/>
      <c r="F343" s="136" t="n"/>
      <c r="G343" s="137" t="n"/>
      <c r="H343" s="137" t="n"/>
    </row>
    <row r="344" ht="15" customHeight="1" s="83">
      <c r="A344" s="135" t="n"/>
      <c r="B344" s="135" t="n"/>
      <c r="C344" s="135" t="n"/>
      <c r="D344" s="136" t="n"/>
      <c r="E344" s="137" t="n"/>
      <c r="F344" s="136" t="n"/>
      <c r="G344" s="137" t="n"/>
      <c r="H344" s="137" t="n"/>
    </row>
    <row r="345" ht="15" customHeight="1" s="83">
      <c r="A345" s="135" t="n"/>
      <c r="B345" s="135" t="n"/>
      <c r="C345" s="135" t="n"/>
      <c r="D345" s="136" t="n"/>
      <c r="E345" s="137" t="n"/>
      <c r="F345" s="136" t="n"/>
      <c r="G345" s="137" t="n"/>
      <c r="H345" s="137" t="n"/>
    </row>
    <row r="346" ht="15" customHeight="1" s="83">
      <c r="A346" s="135" t="n"/>
      <c r="B346" s="135" t="n"/>
      <c r="C346" s="135" t="n"/>
      <c r="D346" s="136" t="n"/>
      <c r="E346" s="137" t="n"/>
      <c r="F346" s="136" t="n"/>
      <c r="G346" s="137" t="n"/>
      <c r="H346" s="137" t="n"/>
    </row>
    <row r="347" ht="15" customHeight="1" s="83">
      <c r="A347" s="135" t="n"/>
      <c r="B347" s="135" t="n"/>
      <c r="C347" s="135" t="n"/>
      <c r="D347" s="136" t="n"/>
      <c r="E347" s="137" t="n"/>
      <c r="F347" s="136" t="n"/>
      <c r="G347" s="137" t="n"/>
      <c r="H347" s="137" t="n"/>
    </row>
    <row r="348" ht="15" customHeight="1" s="83">
      <c r="A348" s="135" t="n"/>
      <c r="B348" s="135" t="n"/>
      <c r="C348" s="135" t="n"/>
      <c r="D348" s="136" t="n"/>
      <c r="E348" s="137" t="n"/>
      <c r="F348" s="136" t="n"/>
      <c r="G348" s="137" t="n"/>
      <c r="H348" s="137" t="n"/>
    </row>
    <row r="349" ht="15" customHeight="1" s="83">
      <c r="A349" s="135" t="n"/>
      <c r="B349" s="135" t="n"/>
      <c r="C349" s="135" t="n"/>
      <c r="D349" s="136" t="n"/>
      <c r="E349" s="137" t="n"/>
      <c r="F349" s="136" t="n"/>
      <c r="G349" s="137" t="n"/>
      <c r="H349" s="137" t="n"/>
    </row>
    <row r="350" ht="15" customHeight="1" s="83">
      <c r="A350" s="135" t="n"/>
      <c r="B350" s="135" t="n"/>
      <c r="C350" s="135" t="n"/>
      <c r="D350" s="136" t="n"/>
      <c r="E350" s="137" t="n"/>
      <c r="F350" s="136" t="n"/>
      <c r="G350" s="137" t="n"/>
      <c r="H350" s="137" t="n"/>
    </row>
    <row r="351" ht="15" customHeight="1" s="83">
      <c r="A351" s="135" t="n"/>
      <c r="B351" s="135" t="n"/>
      <c r="C351" s="135" t="n"/>
      <c r="D351" s="136" t="n"/>
      <c r="E351" s="137" t="n"/>
      <c r="F351" s="136" t="n"/>
      <c r="G351" s="137" t="n"/>
      <c r="H351" s="137" t="n"/>
    </row>
    <row r="352" ht="15" customHeight="1" s="83">
      <c r="A352" s="135" t="n"/>
      <c r="B352" s="135" t="n"/>
      <c r="C352" s="135" t="n"/>
      <c r="D352" s="136" t="n"/>
      <c r="E352" s="137" t="n"/>
      <c r="F352" s="136" t="n"/>
      <c r="G352" s="137" t="n"/>
      <c r="H352" s="137" t="n"/>
    </row>
    <row r="353" ht="15" customHeight="1" s="83">
      <c r="A353" s="135" t="n"/>
      <c r="B353" s="135" t="n"/>
      <c r="C353" s="135" t="n"/>
      <c r="D353" s="136" t="n"/>
      <c r="E353" s="137" t="n"/>
      <c r="F353" s="136" t="n"/>
      <c r="G353" s="137" t="n"/>
      <c r="H353" s="137" t="n"/>
    </row>
    <row r="354" ht="15" customHeight="1" s="83">
      <c r="A354" s="135" t="n"/>
      <c r="B354" s="135" t="n"/>
      <c r="C354" s="135" t="n"/>
      <c r="D354" s="136" t="n"/>
      <c r="E354" s="137" t="n"/>
      <c r="F354" s="136" t="n"/>
      <c r="G354" s="137" t="n"/>
      <c r="H354" s="137" t="n"/>
    </row>
    <row r="355" ht="15" customHeight="1" s="83">
      <c r="A355" s="135" t="n"/>
      <c r="B355" s="135" t="n"/>
      <c r="C355" s="135" t="n"/>
      <c r="D355" s="136" t="n"/>
      <c r="E355" s="137" t="n"/>
      <c r="F355" s="136" t="n"/>
      <c r="G355" s="137" t="n"/>
      <c r="H355" s="137" t="n"/>
    </row>
    <row r="356" ht="15" customHeight="1" s="83">
      <c r="A356" s="135" t="n"/>
      <c r="B356" s="135" t="n"/>
      <c r="C356" s="135" t="n"/>
      <c r="D356" s="136" t="n"/>
      <c r="E356" s="137" t="n"/>
      <c r="F356" s="136" t="n"/>
      <c r="G356" s="137" t="n"/>
      <c r="H356" s="137" t="n"/>
    </row>
    <row r="357" ht="15" customHeight="1" s="83">
      <c r="A357" s="135" t="n"/>
      <c r="B357" s="135" t="n"/>
      <c r="C357" s="135" t="n"/>
      <c r="D357" s="136" t="n"/>
      <c r="E357" s="137" t="n"/>
      <c r="F357" s="136" t="n"/>
      <c r="G357" s="137" t="n"/>
      <c r="H357" s="137" t="n"/>
    </row>
    <row r="358" ht="15" customHeight="1" s="83">
      <c r="A358" s="135" t="n"/>
      <c r="B358" s="135" t="n"/>
      <c r="C358" s="135" t="n"/>
      <c r="D358" s="136" t="n"/>
      <c r="E358" s="137" t="n"/>
      <c r="F358" s="136" t="n"/>
      <c r="G358" s="137" t="n"/>
      <c r="H358" s="137" t="n"/>
    </row>
    <row r="359" ht="15" customHeight="1" s="83">
      <c r="A359" s="135" t="n"/>
      <c r="B359" s="135" t="n"/>
      <c r="C359" s="135" t="n"/>
      <c r="D359" s="136" t="n"/>
      <c r="E359" s="137" t="n"/>
      <c r="F359" s="136" t="n"/>
      <c r="G359" s="137" t="n"/>
      <c r="H359" s="137" t="n"/>
    </row>
    <row r="360" ht="15" customHeight="1" s="83">
      <c r="A360" s="135" t="n"/>
      <c r="B360" s="135" t="n"/>
      <c r="C360" s="135" t="n"/>
      <c r="D360" s="136" t="n"/>
      <c r="E360" s="137" t="n"/>
      <c r="F360" s="136" t="n"/>
      <c r="G360" s="137" t="n"/>
      <c r="H360" s="137" t="n"/>
    </row>
    <row r="361" ht="15" customHeight="1" s="83">
      <c r="A361" s="135" t="n"/>
      <c r="B361" s="135" t="n"/>
      <c r="C361" s="135" t="n"/>
      <c r="D361" s="136" t="n"/>
      <c r="E361" s="137" t="n"/>
      <c r="F361" s="136" t="n"/>
      <c r="G361" s="137" t="n"/>
      <c r="H361" s="137" t="n"/>
    </row>
    <row r="362" ht="15" customHeight="1" s="83">
      <c r="A362" s="135" t="n"/>
      <c r="B362" s="135" t="n"/>
      <c r="C362" s="135" t="n"/>
      <c r="D362" s="136" t="n"/>
      <c r="E362" s="137" t="n"/>
      <c r="F362" s="136" t="n"/>
      <c r="G362" s="137" t="n"/>
      <c r="H362" s="137" t="n"/>
    </row>
    <row r="363" ht="15" customHeight="1" s="83">
      <c r="A363" s="135" t="n"/>
      <c r="B363" s="135" t="n"/>
      <c r="C363" s="135" t="n"/>
      <c r="D363" s="136" t="n"/>
      <c r="E363" s="137" t="n"/>
      <c r="F363" s="136" t="n"/>
      <c r="G363" s="137" t="n"/>
      <c r="H363" s="137" t="n"/>
    </row>
    <row r="364" ht="15" customHeight="1" s="83">
      <c r="A364" s="135" t="n"/>
      <c r="B364" s="135" t="n"/>
      <c r="C364" s="135" t="n"/>
      <c r="D364" s="136" t="n"/>
      <c r="E364" s="137" t="n"/>
      <c r="F364" s="136" t="n"/>
      <c r="G364" s="137" t="n"/>
      <c r="H364" s="137" t="n"/>
    </row>
    <row r="365" ht="15" customHeight="1" s="83">
      <c r="A365" s="135" t="n"/>
      <c r="B365" s="135" t="n"/>
      <c r="C365" s="135" t="n"/>
      <c r="D365" s="136" t="n"/>
      <c r="E365" s="137" t="n"/>
      <c r="F365" s="136" t="n"/>
      <c r="G365" s="137" t="n"/>
      <c r="H365" s="137" t="n"/>
    </row>
    <row r="366" ht="15" customHeight="1" s="83">
      <c r="A366" s="135" t="n"/>
      <c r="B366" s="135" t="n"/>
      <c r="C366" s="135" t="n"/>
      <c r="D366" s="136" t="n"/>
      <c r="E366" s="137" t="n"/>
      <c r="F366" s="136" t="n"/>
      <c r="G366" s="137" t="n"/>
      <c r="H366" s="137" t="n"/>
    </row>
    <row r="367" ht="15" customHeight="1" s="83">
      <c r="A367" s="135" t="n"/>
      <c r="B367" s="135" t="n"/>
      <c r="C367" s="135" t="n"/>
      <c r="D367" s="136" t="n"/>
      <c r="E367" s="137" t="n"/>
      <c r="F367" s="136" t="n"/>
      <c r="G367" s="137" t="n"/>
      <c r="H367" s="137" t="n"/>
    </row>
    <row r="368" ht="15" customHeight="1" s="83">
      <c r="A368" s="135" t="n"/>
      <c r="B368" s="135" t="n"/>
      <c r="C368" s="135" t="n"/>
      <c r="D368" s="136" t="n"/>
      <c r="E368" s="137" t="n"/>
      <c r="F368" s="136" t="n"/>
      <c r="G368" s="137" t="n"/>
      <c r="H368" s="137" t="n"/>
    </row>
    <row r="369" ht="15" customHeight="1" s="83">
      <c r="A369" s="135" t="n"/>
      <c r="B369" s="135" t="n"/>
      <c r="C369" s="135" t="n"/>
      <c r="D369" s="136" t="n"/>
      <c r="E369" s="137" t="n"/>
      <c r="F369" s="136" t="n"/>
      <c r="G369" s="137" t="n"/>
      <c r="H369" s="137" t="n"/>
    </row>
    <row r="370" ht="15" customHeight="1" s="83">
      <c r="A370" s="135" t="n"/>
      <c r="B370" s="135" t="n"/>
      <c r="C370" s="135" t="n"/>
      <c r="D370" s="136" t="n"/>
      <c r="E370" s="137" t="n"/>
      <c r="F370" s="136" t="n"/>
      <c r="G370" s="137" t="n"/>
      <c r="H370" s="137" t="n"/>
    </row>
    <row r="371" ht="15" customHeight="1" s="83">
      <c r="A371" s="135" t="n"/>
      <c r="B371" s="135" t="n"/>
      <c r="C371" s="135" t="n"/>
      <c r="D371" s="136" t="n"/>
      <c r="E371" s="137" t="n"/>
      <c r="F371" s="136" t="n"/>
      <c r="G371" s="137" t="n"/>
      <c r="H371" s="137" t="n"/>
    </row>
    <row r="372" ht="15" customHeight="1" s="83">
      <c r="A372" s="135" t="n"/>
      <c r="B372" s="135" t="n"/>
      <c r="C372" s="135" t="n"/>
      <c r="D372" s="136" t="n"/>
      <c r="E372" s="137" t="n"/>
      <c r="F372" s="136" t="n"/>
      <c r="G372" s="137" t="n"/>
      <c r="H372" s="137" t="n"/>
    </row>
    <row r="373" ht="15" customHeight="1" s="83">
      <c r="A373" s="135" t="n"/>
      <c r="B373" s="135" t="n"/>
      <c r="C373" s="135" t="n"/>
      <c r="D373" s="136" t="n"/>
      <c r="E373" s="137" t="n"/>
      <c r="F373" s="136" t="n"/>
      <c r="G373" s="137" t="n"/>
      <c r="H373" s="137" t="n"/>
    </row>
    <row r="374" ht="15" customHeight="1" s="83">
      <c r="A374" s="135" t="n"/>
      <c r="B374" s="135" t="n"/>
      <c r="C374" s="135" t="n"/>
      <c r="D374" s="136" t="n"/>
      <c r="E374" s="137" t="n"/>
      <c r="F374" s="136" t="n"/>
      <c r="G374" s="137" t="n"/>
      <c r="H374" s="137" t="n"/>
    </row>
    <row r="375" ht="15" customHeight="1" s="83">
      <c r="A375" s="135" t="n"/>
      <c r="B375" s="135" t="n"/>
      <c r="C375" s="135" t="n"/>
      <c r="D375" s="136" t="n"/>
      <c r="E375" s="137" t="n"/>
      <c r="F375" s="136" t="n"/>
      <c r="G375" s="137" t="n"/>
      <c r="H375" s="137" t="n"/>
    </row>
    <row r="376" ht="15" customHeight="1" s="83">
      <c r="A376" s="135" t="n"/>
      <c r="B376" s="135" t="n"/>
      <c r="C376" s="135" t="n"/>
      <c r="D376" s="136" t="n"/>
      <c r="E376" s="137" t="n"/>
      <c r="F376" s="136" t="n"/>
      <c r="G376" s="137" t="n"/>
      <c r="H376" s="137" t="n"/>
    </row>
    <row r="377" ht="15" customHeight="1" s="83">
      <c r="A377" s="135" t="n"/>
      <c r="B377" s="135" t="n"/>
      <c r="C377" s="135" t="n"/>
      <c r="D377" s="136" t="n"/>
      <c r="E377" s="137" t="n"/>
      <c r="F377" s="136" t="n"/>
      <c r="G377" s="137" t="n"/>
      <c r="H377" s="137" t="n"/>
    </row>
    <row r="378" ht="15" customHeight="1" s="83">
      <c r="A378" s="135" t="n"/>
      <c r="B378" s="135" t="n"/>
      <c r="C378" s="135" t="n"/>
      <c r="D378" s="136" t="n"/>
      <c r="E378" s="137" t="n"/>
      <c r="F378" s="136" t="n"/>
      <c r="G378" s="137" t="n"/>
      <c r="H378" s="137" t="n"/>
    </row>
    <row r="379" ht="15" customHeight="1" s="83">
      <c r="A379" s="135" t="n"/>
      <c r="B379" s="135" t="n"/>
      <c r="C379" s="135" t="n"/>
      <c r="D379" s="136" t="n"/>
      <c r="E379" s="137" t="n"/>
      <c r="F379" s="136" t="n"/>
      <c r="G379" s="137" t="n"/>
      <c r="H379" s="137" t="n"/>
    </row>
    <row r="380" ht="15" customHeight="1" s="83">
      <c r="A380" s="135" t="n"/>
      <c r="B380" s="135" t="n"/>
      <c r="C380" s="135" t="n"/>
      <c r="D380" s="136" t="n"/>
      <c r="E380" s="137" t="n"/>
      <c r="F380" s="136" t="n"/>
      <c r="G380" s="137" t="n"/>
      <c r="H380" s="137" t="n"/>
    </row>
    <row r="381" ht="15" customHeight="1" s="83">
      <c r="A381" s="135" t="n"/>
      <c r="B381" s="135" t="n"/>
      <c r="C381" s="135" t="n"/>
      <c r="D381" s="136" t="n"/>
      <c r="E381" s="137" t="n"/>
      <c r="F381" s="136" t="n"/>
      <c r="G381" s="137" t="n"/>
      <c r="H381" s="137" t="n"/>
    </row>
    <row r="382" ht="15" customHeight="1" s="83">
      <c r="A382" s="135" t="n"/>
      <c r="B382" s="135" t="n"/>
      <c r="C382" s="135" t="n"/>
      <c r="D382" s="136" t="n"/>
      <c r="E382" s="137" t="n"/>
      <c r="F382" s="136" t="n"/>
      <c r="G382" s="137" t="n"/>
      <c r="H382" s="137" t="n"/>
    </row>
    <row r="383" ht="15" customHeight="1" s="83">
      <c r="A383" s="135" t="n"/>
      <c r="B383" s="135" t="n"/>
      <c r="C383" s="135" t="n"/>
      <c r="D383" s="136" t="n"/>
      <c r="E383" s="137" t="n"/>
      <c r="F383" s="136" t="n"/>
      <c r="G383" s="137" t="n"/>
      <c r="H383" s="137" t="n"/>
    </row>
    <row r="384" ht="15" customHeight="1" s="83">
      <c r="A384" s="135" t="n"/>
      <c r="B384" s="135" t="n"/>
      <c r="C384" s="135" t="n"/>
      <c r="D384" s="136" t="n"/>
      <c r="E384" s="137" t="n"/>
      <c r="F384" s="136" t="n"/>
      <c r="G384" s="137" t="n"/>
      <c r="H384" s="137" t="n"/>
    </row>
    <row r="385" ht="15" customHeight="1" s="83">
      <c r="A385" s="135" t="n"/>
      <c r="B385" s="135" t="n"/>
      <c r="C385" s="135" t="n"/>
      <c r="D385" s="136" t="n"/>
      <c r="E385" s="137" t="n"/>
      <c r="F385" s="136" t="n"/>
      <c r="G385" s="137" t="n"/>
      <c r="H385" s="137" t="n"/>
    </row>
    <row r="386" ht="15" customHeight="1" s="83">
      <c r="A386" s="135" t="n"/>
      <c r="B386" s="135" t="n"/>
      <c r="C386" s="135" t="n"/>
      <c r="D386" s="136" t="n"/>
      <c r="E386" s="137" t="n"/>
      <c r="F386" s="136" t="n"/>
      <c r="G386" s="137" t="n"/>
      <c r="H386" s="137" t="n"/>
    </row>
    <row r="387" ht="15" customHeight="1" s="83">
      <c r="A387" s="135" t="n"/>
      <c r="B387" s="135" t="n"/>
      <c r="C387" s="135" t="n"/>
      <c r="D387" s="136" t="n"/>
      <c r="E387" s="137" t="n"/>
      <c r="F387" s="136" t="n"/>
      <c r="G387" s="137" t="n"/>
      <c r="H387" s="137" t="n"/>
    </row>
    <row r="388" ht="15" customHeight="1" s="83">
      <c r="A388" s="135" t="n"/>
      <c r="B388" s="135" t="n"/>
      <c r="C388" s="135" t="n"/>
      <c r="D388" s="136" t="n"/>
      <c r="E388" s="137" t="n"/>
      <c r="F388" s="136" t="n"/>
      <c r="G388" s="137" t="n"/>
      <c r="H388" s="137" t="n"/>
    </row>
    <row r="389" ht="15" customHeight="1" s="83">
      <c r="A389" s="135" t="n"/>
      <c r="B389" s="135" t="n"/>
      <c r="C389" s="135" t="n"/>
      <c r="D389" s="136" t="n"/>
      <c r="E389" s="137" t="n"/>
      <c r="F389" s="136" t="n"/>
      <c r="G389" s="137" t="n"/>
      <c r="H389" s="137" t="n"/>
    </row>
    <row r="390" ht="15" customHeight="1" s="83">
      <c r="A390" s="135" t="n"/>
      <c r="B390" s="135" t="n"/>
      <c r="C390" s="135" t="n"/>
      <c r="D390" s="136" t="n"/>
      <c r="E390" s="137" t="n"/>
      <c r="F390" s="136" t="n"/>
      <c r="G390" s="137" t="n"/>
      <c r="H390" s="137" t="n"/>
    </row>
    <row r="391" ht="15" customHeight="1" s="83">
      <c r="A391" s="135" t="n"/>
      <c r="B391" s="135" t="n"/>
      <c r="C391" s="135" t="n"/>
      <c r="D391" s="136" t="n"/>
      <c r="E391" s="137" t="n"/>
      <c r="F391" s="136" t="n"/>
      <c r="G391" s="137" t="n"/>
      <c r="H391" s="137" t="n"/>
    </row>
    <row r="392" ht="15" customHeight="1" s="83">
      <c r="A392" s="135" t="n"/>
      <c r="B392" s="135" t="n"/>
      <c r="C392" s="135" t="n"/>
      <c r="D392" s="136" t="n"/>
      <c r="E392" s="137" t="n"/>
      <c r="F392" s="136" t="n"/>
      <c r="G392" s="137" t="n"/>
      <c r="H392" s="137" t="n"/>
    </row>
    <row r="393" ht="15" customHeight="1" s="83">
      <c r="A393" s="135" t="n"/>
      <c r="B393" s="135" t="n"/>
      <c r="C393" s="135" t="n"/>
      <c r="D393" s="136" t="n"/>
      <c r="E393" s="137" t="n"/>
      <c r="F393" s="136" t="n"/>
      <c r="G393" s="137" t="n"/>
      <c r="H393" s="137" t="n"/>
    </row>
    <row r="394" ht="15" customHeight="1" s="83">
      <c r="A394" s="135" t="n"/>
      <c r="B394" s="135" t="n"/>
      <c r="C394" s="135" t="n"/>
      <c r="D394" s="136" t="n"/>
      <c r="E394" s="137" t="n"/>
      <c r="F394" s="136" t="n"/>
      <c r="G394" s="137" t="n"/>
      <c r="H394" s="137" t="n"/>
    </row>
    <row r="395" ht="15" customHeight="1" s="83">
      <c r="A395" s="135" t="n"/>
      <c r="B395" s="135" t="n"/>
      <c r="C395" s="135" t="n"/>
      <c r="D395" s="136" t="n"/>
      <c r="E395" s="137" t="n"/>
      <c r="F395" s="136" t="n"/>
      <c r="G395" s="137" t="n"/>
      <c r="H395" s="137" t="n"/>
    </row>
    <row r="396" ht="15" customHeight="1" s="83">
      <c r="A396" s="135" t="n"/>
      <c r="B396" s="135" t="n"/>
      <c r="C396" s="135" t="n"/>
      <c r="D396" s="136" t="n"/>
      <c r="E396" s="137" t="n"/>
      <c r="F396" s="136" t="n"/>
      <c r="G396" s="137" t="n"/>
      <c r="H396" s="137" t="n"/>
    </row>
    <row r="397" ht="15" customHeight="1" s="83">
      <c r="A397" s="135" t="n"/>
      <c r="B397" s="135" t="n"/>
      <c r="C397" s="135" t="n"/>
      <c r="D397" s="136" t="n"/>
      <c r="E397" s="137" t="n"/>
      <c r="F397" s="136" t="n"/>
      <c r="G397" s="137" t="n"/>
      <c r="H397" s="137" t="n"/>
    </row>
    <row r="398" ht="15" customHeight="1" s="83">
      <c r="A398" s="135" t="n"/>
      <c r="B398" s="135" t="n"/>
      <c r="C398" s="135" t="n"/>
      <c r="D398" s="136" t="n"/>
      <c r="E398" s="137" t="n"/>
      <c r="F398" s="136" t="n"/>
      <c r="G398" s="137" t="n"/>
      <c r="H398" s="137" t="n"/>
    </row>
    <row r="399" ht="15" customHeight="1" s="83">
      <c r="A399" s="135" t="n"/>
      <c r="B399" s="135" t="n"/>
      <c r="C399" s="135" t="n"/>
      <c r="D399" s="136" t="n"/>
      <c r="E399" s="137" t="n"/>
      <c r="F399" s="136" t="n"/>
      <c r="G399" s="137" t="n"/>
      <c r="H399" s="137" t="n"/>
    </row>
    <row r="400" ht="15" customHeight="1" s="83">
      <c r="A400" s="135" t="n"/>
      <c r="B400" s="135" t="n"/>
      <c r="C400" s="135" t="n"/>
      <c r="D400" s="136" t="n"/>
      <c r="E400" s="137" t="n"/>
      <c r="F400" s="136" t="n"/>
      <c r="G400" s="137" t="n"/>
      <c r="H400" s="137" t="n"/>
    </row>
    <row r="401" ht="15" customHeight="1" s="83">
      <c r="A401" s="135" t="n"/>
      <c r="B401" s="135" t="n"/>
      <c r="C401" s="135" t="n"/>
      <c r="D401" s="136" t="n"/>
      <c r="E401" s="137" t="n"/>
      <c r="F401" s="136" t="n"/>
      <c r="G401" s="137" t="n"/>
      <c r="H401" s="137" t="n"/>
    </row>
    <row r="402" ht="15" customHeight="1" s="83">
      <c r="A402" s="135" t="n"/>
      <c r="B402" s="135" t="n"/>
      <c r="C402" s="135" t="n"/>
      <c r="D402" s="136" t="n"/>
      <c r="E402" s="137" t="n"/>
      <c r="F402" s="136" t="n"/>
      <c r="G402" s="137" t="n"/>
      <c r="H402" s="137" t="n"/>
    </row>
    <row r="403" ht="15" customHeight="1" s="83">
      <c r="A403" s="135" t="n"/>
      <c r="B403" s="135" t="n"/>
      <c r="C403" s="135" t="n"/>
      <c r="D403" s="136" t="n"/>
      <c r="E403" s="137" t="n"/>
      <c r="F403" s="136" t="n"/>
      <c r="G403" s="137" t="n"/>
      <c r="H403" s="137" t="n"/>
    </row>
    <row r="404" ht="15" customHeight="1" s="83">
      <c r="A404" s="135" t="n"/>
      <c r="B404" s="135" t="n"/>
      <c r="C404" s="135" t="n"/>
      <c r="D404" s="136" t="n"/>
      <c r="E404" s="137" t="n"/>
      <c r="F404" s="136" t="n"/>
      <c r="G404" s="137" t="n"/>
      <c r="H404" s="137" t="n"/>
    </row>
    <row r="405" ht="15" customHeight="1" s="83">
      <c r="A405" s="135" t="n"/>
      <c r="B405" s="135" t="n"/>
      <c r="C405" s="135" t="n"/>
      <c r="D405" s="136" t="n"/>
      <c r="E405" s="137" t="n"/>
      <c r="F405" s="136" t="n"/>
      <c r="G405" s="137" t="n"/>
      <c r="H405" s="137" t="n"/>
    </row>
    <row r="406" ht="15" customHeight="1" s="83">
      <c r="A406" s="135" t="n"/>
      <c r="B406" s="135" t="n"/>
      <c r="C406" s="135" t="n"/>
      <c r="D406" s="136" t="n"/>
      <c r="E406" s="137" t="n"/>
      <c r="F406" s="136" t="n"/>
      <c r="G406" s="137" t="n"/>
      <c r="H406" s="137" t="n"/>
    </row>
    <row r="407" ht="15" customHeight="1" s="83">
      <c r="A407" s="135" t="n"/>
      <c r="B407" s="135" t="n"/>
      <c r="C407" s="135" t="n"/>
      <c r="D407" s="136" t="n"/>
      <c r="E407" s="137" t="n"/>
      <c r="F407" s="136" t="n"/>
      <c r="G407" s="137" t="n"/>
      <c r="H407" s="137" t="n"/>
    </row>
    <row r="408" ht="15" customHeight="1" s="83">
      <c r="A408" s="135" t="n"/>
      <c r="B408" s="135" t="n"/>
      <c r="C408" s="135" t="n"/>
      <c r="D408" s="136" t="n"/>
      <c r="E408" s="137" t="n"/>
      <c r="F408" s="136" t="n"/>
      <c r="G408" s="137" t="n"/>
      <c r="H408" s="137" t="n"/>
    </row>
    <row r="409" ht="15" customHeight="1" s="83">
      <c r="A409" s="135" t="n"/>
      <c r="B409" s="135" t="n"/>
      <c r="C409" s="135" t="n"/>
      <c r="D409" s="136" t="n"/>
      <c r="E409" s="137" t="n"/>
      <c r="F409" s="136" t="n"/>
      <c r="G409" s="137" t="n"/>
      <c r="H409" s="137" t="n"/>
    </row>
    <row r="410" ht="15" customHeight="1" s="83">
      <c r="A410" s="135" t="n"/>
      <c r="B410" s="135" t="n"/>
      <c r="C410" s="135" t="n"/>
      <c r="D410" s="136" t="n"/>
      <c r="E410" s="137" t="n"/>
      <c r="F410" s="136" t="n"/>
      <c r="G410" s="137" t="n"/>
      <c r="H410" s="137" t="n"/>
    </row>
    <row r="411" ht="15" customHeight="1" s="83">
      <c r="A411" s="135" t="n"/>
      <c r="B411" s="135" t="n"/>
      <c r="C411" s="135" t="n"/>
      <c r="D411" s="136" t="n"/>
      <c r="E411" s="137" t="n"/>
      <c r="F411" s="136" t="n"/>
      <c r="G411" s="137" t="n"/>
      <c r="H411" s="137" t="n"/>
    </row>
    <row r="412" ht="15" customHeight="1" s="83">
      <c r="A412" s="135" t="n"/>
      <c r="B412" s="135" t="n"/>
      <c r="C412" s="135" t="n"/>
      <c r="D412" s="136" t="n"/>
      <c r="E412" s="137" t="n"/>
      <c r="F412" s="136" t="n"/>
      <c r="G412" s="137" t="n"/>
      <c r="H412" s="137" t="n"/>
    </row>
    <row r="413" ht="15" customHeight="1" s="83">
      <c r="A413" s="135" t="n"/>
      <c r="B413" s="135" t="n"/>
      <c r="C413" s="135" t="n"/>
      <c r="D413" s="136" t="n"/>
      <c r="E413" s="137" t="n"/>
      <c r="F413" s="136" t="n"/>
      <c r="G413" s="137" t="n"/>
      <c r="H413" s="137" t="n"/>
    </row>
    <row r="414" ht="15" customHeight="1" s="83">
      <c r="A414" s="135" t="n"/>
      <c r="B414" s="135" t="n"/>
      <c r="C414" s="135" t="n"/>
      <c r="D414" s="136" t="n"/>
      <c r="E414" s="137" t="n"/>
      <c r="F414" s="136" t="n"/>
      <c r="G414" s="137" t="n"/>
      <c r="H414" s="137" t="n"/>
    </row>
    <row r="415" ht="15" customHeight="1" s="83">
      <c r="A415" s="135" t="n"/>
      <c r="B415" s="135" t="n"/>
      <c r="C415" s="135" t="n"/>
      <c r="D415" s="136" t="n"/>
      <c r="E415" s="137" t="n"/>
      <c r="F415" s="136" t="n"/>
      <c r="G415" s="137" t="n"/>
      <c r="H415" s="137" t="n"/>
    </row>
    <row r="416" ht="15" customHeight="1" s="83">
      <c r="A416" s="135" t="n"/>
      <c r="B416" s="135" t="n"/>
      <c r="C416" s="135" t="n"/>
      <c r="D416" s="136" t="n"/>
      <c r="E416" s="137" t="n"/>
      <c r="F416" s="136" t="n"/>
      <c r="G416" s="137" t="n"/>
      <c r="H416" s="137" t="n"/>
    </row>
    <row r="417" ht="15" customHeight="1" s="83">
      <c r="A417" s="135" t="n"/>
      <c r="B417" s="135" t="n"/>
      <c r="C417" s="135" t="n"/>
      <c r="D417" s="136" t="n"/>
      <c r="E417" s="137" t="n"/>
      <c r="F417" s="136" t="n"/>
      <c r="G417" s="137" t="n"/>
      <c r="H417" s="137" t="n"/>
    </row>
    <row r="418" ht="15" customHeight="1" s="83">
      <c r="A418" s="135" t="n"/>
      <c r="B418" s="135" t="n"/>
      <c r="C418" s="135" t="n"/>
      <c r="D418" s="136" t="n"/>
      <c r="E418" s="137" t="n"/>
      <c r="F418" s="136" t="n"/>
      <c r="G418" s="137" t="n"/>
      <c r="H418" s="137" t="n"/>
    </row>
    <row r="419" ht="15" customHeight="1" s="83">
      <c r="A419" s="135" t="n"/>
      <c r="B419" s="135" t="n"/>
      <c r="C419" s="135" t="n"/>
      <c r="D419" s="136" t="n"/>
      <c r="E419" s="137" t="n"/>
      <c r="F419" s="136" t="n"/>
      <c r="G419" s="137" t="n"/>
      <c r="H419" s="137" t="n"/>
    </row>
    <row r="420" ht="15" customHeight="1" s="83">
      <c r="A420" s="135" t="n"/>
      <c r="B420" s="135" t="n"/>
      <c r="C420" s="135" t="n"/>
      <c r="D420" s="136" t="n"/>
      <c r="E420" s="137" t="n"/>
      <c r="F420" s="136" t="n"/>
      <c r="G420" s="137" t="n"/>
      <c r="H420" s="137" t="n"/>
    </row>
    <row r="421" ht="15" customHeight="1" s="83">
      <c r="A421" s="135" t="n"/>
      <c r="B421" s="135" t="n"/>
      <c r="C421" s="135" t="n"/>
      <c r="D421" s="136" t="n"/>
      <c r="E421" s="137" t="n"/>
      <c r="F421" s="136" t="n"/>
      <c r="G421" s="137" t="n"/>
      <c r="H421" s="137" t="n"/>
    </row>
    <row r="422" ht="15" customHeight="1" s="83">
      <c r="A422" s="135" t="n"/>
      <c r="B422" s="135" t="n"/>
      <c r="C422" s="135" t="n"/>
      <c r="D422" s="136" t="n"/>
      <c r="E422" s="137" t="n"/>
      <c r="F422" s="136" t="n"/>
      <c r="G422" s="137" t="n"/>
      <c r="H422" s="137" t="n"/>
    </row>
    <row r="423" ht="15" customHeight="1" s="83">
      <c r="A423" s="135" t="n"/>
      <c r="B423" s="135" t="n"/>
      <c r="C423" s="135" t="n"/>
      <c r="D423" s="136" t="n"/>
      <c r="E423" s="137" t="n"/>
      <c r="F423" s="136" t="n"/>
      <c r="G423" s="137" t="n"/>
      <c r="H423" s="137" t="n"/>
    </row>
    <row r="424" ht="15" customHeight="1" s="83">
      <c r="A424" s="135" t="n"/>
      <c r="B424" s="135" t="n"/>
      <c r="C424" s="135" t="n"/>
      <c r="D424" s="136" t="n"/>
      <c r="E424" s="137" t="n"/>
      <c r="F424" s="136" t="n"/>
      <c r="G424" s="137" t="n"/>
      <c r="H424" s="137" t="n"/>
    </row>
    <row r="425" ht="15" customHeight="1" s="83">
      <c r="A425" s="135" t="n"/>
      <c r="B425" s="135" t="n"/>
      <c r="C425" s="135" t="n"/>
      <c r="D425" s="136" t="n"/>
      <c r="E425" s="137" t="n"/>
      <c r="F425" s="136" t="n"/>
      <c r="G425" s="137" t="n"/>
      <c r="H425" s="137" t="n"/>
    </row>
    <row r="426" ht="15" customHeight="1" s="83">
      <c r="A426" s="135" t="n"/>
      <c r="B426" s="135" t="n"/>
      <c r="C426" s="135" t="n"/>
      <c r="D426" s="136" t="n"/>
      <c r="E426" s="137" t="n"/>
      <c r="F426" s="136" t="n"/>
      <c r="G426" s="137" t="n"/>
      <c r="H426" s="137" t="n"/>
    </row>
    <row r="427" ht="15" customHeight="1" s="83">
      <c r="A427" s="135" t="n"/>
      <c r="B427" s="135" t="n"/>
      <c r="C427" s="135" t="n"/>
      <c r="D427" s="136" t="n"/>
      <c r="E427" s="137" t="n"/>
      <c r="F427" s="136" t="n"/>
      <c r="G427" s="137" t="n"/>
      <c r="H427" s="137" t="n"/>
    </row>
    <row r="428" ht="15" customHeight="1" s="83">
      <c r="A428" s="135" t="n"/>
      <c r="B428" s="135" t="n"/>
      <c r="C428" s="135" t="n"/>
      <c r="D428" s="136" t="n"/>
      <c r="E428" s="137" t="n"/>
      <c r="F428" s="136" t="n"/>
      <c r="G428" s="137" t="n"/>
      <c r="H428" s="137" t="n"/>
    </row>
    <row r="429" ht="15" customHeight="1" s="83">
      <c r="A429" s="135" t="n"/>
      <c r="B429" s="135" t="n"/>
      <c r="C429" s="135" t="n"/>
      <c r="D429" s="136" t="n"/>
      <c r="E429" s="137" t="n"/>
      <c r="F429" s="136" t="n"/>
      <c r="G429" s="137" t="n"/>
      <c r="H429" s="137" t="n"/>
    </row>
    <row r="430" ht="15" customHeight="1" s="83">
      <c r="A430" s="135" t="n"/>
      <c r="B430" s="135" t="n"/>
      <c r="C430" s="135" t="n"/>
      <c r="D430" s="136" t="n"/>
      <c r="E430" s="137" t="n"/>
      <c r="F430" s="136" t="n"/>
      <c r="G430" s="137" t="n"/>
      <c r="H430" s="137" t="n"/>
    </row>
    <row r="431" ht="15" customHeight="1" s="83">
      <c r="A431" s="135" t="n"/>
      <c r="B431" s="135" t="n"/>
      <c r="C431" s="135" t="n"/>
      <c r="D431" s="136" t="n"/>
      <c r="E431" s="137" t="n"/>
      <c r="F431" s="136" t="n"/>
      <c r="G431" s="137" t="n"/>
      <c r="H431" s="137" t="n"/>
    </row>
    <row r="432" ht="15" customHeight="1" s="83">
      <c r="A432" s="135" t="n"/>
      <c r="B432" s="135" t="n"/>
      <c r="C432" s="135" t="n"/>
      <c r="D432" s="136" t="n"/>
      <c r="E432" s="137" t="n"/>
      <c r="F432" s="136" t="n"/>
      <c r="G432" s="137" t="n"/>
      <c r="H432" s="137" t="n"/>
    </row>
    <row r="433" ht="15" customHeight="1" s="83">
      <c r="A433" s="135" t="n"/>
      <c r="B433" s="135" t="n"/>
      <c r="C433" s="135" t="n"/>
      <c r="D433" s="136" t="n"/>
      <c r="E433" s="137" t="n"/>
      <c r="F433" s="136" t="n"/>
      <c r="G433" s="137" t="n"/>
      <c r="H433" s="137" t="n"/>
    </row>
    <row r="434" ht="15" customHeight="1" s="83">
      <c r="A434" s="135" t="n"/>
      <c r="B434" s="135" t="n"/>
      <c r="C434" s="135" t="n"/>
      <c r="D434" s="136" t="n"/>
      <c r="E434" s="137" t="n"/>
      <c r="F434" s="136" t="n"/>
      <c r="G434" s="137" t="n"/>
      <c r="H434" s="137" t="n"/>
    </row>
    <row r="435" ht="15" customHeight="1" s="83">
      <c r="A435" s="135" t="n"/>
      <c r="B435" s="135" t="n"/>
      <c r="C435" s="135" t="n"/>
      <c r="D435" s="136" t="n"/>
      <c r="E435" s="137" t="n"/>
      <c r="F435" s="136" t="n"/>
      <c r="G435" s="137" t="n"/>
      <c r="H435" s="137" t="n"/>
    </row>
    <row r="436" ht="15" customHeight="1" s="83">
      <c r="A436" s="135" t="n"/>
      <c r="B436" s="135" t="n"/>
      <c r="C436" s="135" t="n"/>
      <c r="D436" s="136" t="n"/>
      <c r="E436" s="137" t="n"/>
      <c r="F436" s="136" t="n"/>
      <c r="G436" s="137" t="n"/>
      <c r="H436" s="137" t="n"/>
    </row>
    <row r="437" ht="15" customHeight="1" s="83">
      <c r="A437" s="135" t="n"/>
      <c r="B437" s="135" t="n"/>
      <c r="C437" s="135" t="n"/>
      <c r="D437" s="136" t="n"/>
      <c r="E437" s="137" t="n"/>
      <c r="F437" s="136" t="n"/>
      <c r="G437" s="137" t="n"/>
      <c r="H437" s="137" t="n"/>
    </row>
    <row r="438" ht="15" customHeight="1" s="83">
      <c r="A438" s="135" t="n"/>
      <c r="B438" s="135" t="n"/>
      <c r="C438" s="135" t="n"/>
      <c r="D438" s="136" t="n"/>
      <c r="E438" s="137" t="n"/>
      <c r="F438" s="136" t="n"/>
      <c r="G438" s="137" t="n"/>
      <c r="H438" s="137" t="n"/>
    </row>
    <row r="439" ht="15" customHeight="1" s="83">
      <c r="A439" s="135" t="n"/>
      <c r="B439" s="135" t="n"/>
      <c r="C439" s="135" t="n"/>
      <c r="D439" s="136" t="n"/>
      <c r="E439" s="137" t="n"/>
      <c r="F439" s="136" t="n"/>
      <c r="G439" s="137" t="n"/>
      <c r="H439" s="137" t="n"/>
    </row>
    <row r="440" ht="15" customHeight="1" s="83">
      <c r="A440" s="135" t="n"/>
      <c r="B440" s="135" t="n"/>
      <c r="C440" s="135" t="n"/>
      <c r="D440" s="136" t="n"/>
      <c r="E440" s="137" t="n"/>
      <c r="F440" s="136" t="n"/>
      <c r="G440" s="137" t="n"/>
      <c r="H440" s="137" t="n"/>
    </row>
    <row r="441" ht="15" customHeight="1" s="83">
      <c r="A441" s="135" t="n"/>
      <c r="B441" s="135" t="n"/>
      <c r="C441" s="135" t="n"/>
      <c r="D441" s="136" t="n"/>
      <c r="E441" s="137" t="n"/>
      <c r="F441" s="136" t="n"/>
      <c r="G441" s="137" t="n"/>
      <c r="H441" s="137" t="n"/>
    </row>
    <row r="442" ht="15" customHeight="1" s="83">
      <c r="A442" s="135" t="n"/>
      <c r="B442" s="135" t="n"/>
      <c r="C442" s="135" t="n"/>
      <c r="D442" s="136" t="n"/>
      <c r="E442" s="137" t="n"/>
      <c r="F442" s="136" t="n"/>
      <c r="G442" s="137" t="n"/>
      <c r="H442" s="137" t="n"/>
    </row>
    <row r="443" ht="15" customHeight="1" s="83">
      <c r="A443" s="135" t="n"/>
      <c r="B443" s="135" t="n"/>
      <c r="C443" s="135" t="n"/>
      <c r="D443" s="136" t="n"/>
      <c r="E443" s="137" t="n"/>
      <c r="F443" s="136" t="n"/>
      <c r="G443" s="137" t="n"/>
      <c r="H443" s="137" t="n"/>
    </row>
    <row r="444" ht="15" customHeight="1" s="83">
      <c r="A444" s="135" t="n"/>
      <c r="B444" s="135" t="n"/>
      <c r="C444" s="135" t="n"/>
      <c r="D444" s="136" t="n"/>
      <c r="E444" s="137" t="n"/>
      <c r="F444" s="136" t="n"/>
      <c r="G444" s="137" t="n"/>
      <c r="H444" s="137" t="n"/>
    </row>
    <row r="445" ht="15" customHeight="1" s="83">
      <c r="A445" s="135" t="n"/>
      <c r="B445" s="135" t="n"/>
      <c r="C445" s="135" t="n"/>
      <c r="D445" s="136" t="n"/>
      <c r="E445" s="137" t="n"/>
      <c r="F445" s="136" t="n"/>
      <c r="G445" s="137" t="n"/>
      <c r="H445" s="137" t="n"/>
    </row>
    <row r="446" ht="15" customHeight="1" s="83">
      <c r="A446" s="135" t="n"/>
      <c r="B446" s="135" t="n"/>
      <c r="C446" s="135" t="n"/>
      <c r="D446" s="136" t="n"/>
      <c r="E446" s="137" t="n"/>
      <c r="F446" s="136" t="n"/>
      <c r="G446" s="137" t="n"/>
      <c r="H446" s="137" t="n"/>
    </row>
    <row r="447" ht="15" customHeight="1" s="83">
      <c r="A447" s="135" t="n"/>
      <c r="B447" s="135" t="n"/>
      <c r="C447" s="135" t="n"/>
      <c r="D447" s="136" t="n"/>
      <c r="E447" s="137" t="n"/>
      <c r="F447" s="136" t="n"/>
      <c r="G447" s="137" t="n"/>
      <c r="H447" s="137" t="n"/>
    </row>
    <row r="448" ht="15" customHeight="1" s="83">
      <c r="A448" s="135" t="n"/>
      <c r="B448" s="135" t="n"/>
      <c r="C448" s="135" t="n"/>
      <c r="D448" s="136" t="n"/>
      <c r="E448" s="137" t="n"/>
      <c r="F448" s="136" t="n"/>
      <c r="G448" s="137" t="n"/>
      <c r="H448" s="137" t="n"/>
    </row>
    <row r="449" ht="15" customHeight="1" s="83">
      <c r="A449" s="135" t="n"/>
      <c r="B449" s="135" t="n"/>
      <c r="C449" s="135" t="n"/>
      <c r="D449" s="136" t="n"/>
      <c r="E449" s="137" t="n"/>
      <c r="F449" s="136" t="n"/>
      <c r="G449" s="137" t="n"/>
      <c r="H449" s="137" t="n"/>
    </row>
    <row r="450" ht="15" customHeight="1" s="83">
      <c r="A450" s="135" t="n"/>
      <c r="B450" s="135" t="n"/>
      <c r="C450" s="135" t="n"/>
      <c r="D450" s="136" t="n"/>
      <c r="E450" s="137" t="n"/>
      <c r="F450" s="136" t="n"/>
      <c r="G450" s="137" t="n"/>
      <c r="H450" s="137" t="n"/>
    </row>
    <row r="451" ht="15" customHeight="1" s="83">
      <c r="A451" s="135" t="n"/>
      <c r="B451" s="135" t="n"/>
      <c r="C451" s="135" t="n"/>
      <c r="D451" s="136" t="n"/>
      <c r="E451" s="137" t="n"/>
      <c r="F451" s="136" t="n"/>
      <c r="G451" s="137" t="n"/>
      <c r="H451" s="137" t="n"/>
    </row>
    <row r="452" ht="15" customHeight="1" s="83">
      <c r="A452" s="135" t="n"/>
      <c r="B452" s="135" t="n"/>
      <c r="C452" s="135" t="n"/>
      <c r="D452" s="136" t="n"/>
      <c r="E452" s="137" t="n"/>
      <c r="F452" s="136" t="n"/>
      <c r="G452" s="137" t="n"/>
      <c r="H452" s="137" t="n"/>
    </row>
    <row r="453" ht="15" customHeight="1" s="83">
      <c r="A453" s="135" t="n"/>
      <c r="B453" s="135" t="n"/>
      <c r="C453" s="135" t="n"/>
      <c r="D453" s="136" t="n"/>
      <c r="E453" s="137" t="n"/>
      <c r="F453" s="136" t="n"/>
      <c r="G453" s="137" t="n"/>
      <c r="H453" s="137" t="n"/>
    </row>
    <row r="454" ht="15" customHeight="1" s="83">
      <c r="A454" s="135" t="n"/>
      <c r="B454" s="135" t="n"/>
      <c r="C454" s="135" t="n"/>
      <c r="D454" s="136" t="n"/>
      <c r="E454" s="137" t="n"/>
      <c r="F454" s="136" t="n"/>
      <c r="G454" s="137" t="n"/>
      <c r="H454" s="137" t="n"/>
    </row>
    <row r="455" ht="15" customHeight="1" s="83">
      <c r="A455" s="135" t="n"/>
      <c r="B455" s="135" t="n"/>
      <c r="C455" s="135" t="n"/>
      <c r="D455" s="136" t="n"/>
      <c r="E455" s="137" t="n"/>
      <c r="F455" s="136" t="n"/>
      <c r="G455" s="137" t="n"/>
      <c r="H455" s="137" t="n"/>
    </row>
    <row r="456" ht="15" customHeight="1" s="83">
      <c r="A456" s="135" t="n"/>
      <c r="B456" s="135" t="n"/>
      <c r="C456" s="135" t="n"/>
      <c r="D456" s="136" t="n"/>
      <c r="E456" s="137" t="n"/>
      <c r="F456" s="136" t="n"/>
      <c r="G456" s="137" t="n"/>
      <c r="H456" s="137" t="n"/>
    </row>
    <row r="457" ht="15" customHeight="1" s="83">
      <c r="A457" s="135" t="n"/>
      <c r="B457" s="135" t="n"/>
      <c r="C457" s="135" t="n"/>
      <c r="D457" s="136" t="n"/>
      <c r="E457" s="137" t="n"/>
      <c r="F457" s="136" t="n"/>
      <c r="G457" s="137" t="n"/>
      <c r="H457" s="137" t="n"/>
    </row>
    <row r="458" ht="15" customHeight="1" s="83">
      <c r="A458" s="135" t="n"/>
      <c r="B458" s="135" t="n"/>
      <c r="C458" s="135" t="n"/>
      <c r="D458" s="136" t="n"/>
      <c r="E458" s="137" t="n"/>
      <c r="F458" s="136" t="n"/>
      <c r="G458" s="137" t="n"/>
      <c r="H458" s="137" t="n"/>
    </row>
    <row r="459" ht="15" customHeight="1" s="83">
      <c r="A459" s="135" t="n"/>
      <c r="B459" s="135" t="n"/>
      <c r="C459" s="135" t="n"/>
      <c r="D459" s="136" t="n"/>
      <c r="E459" s="137" t="n"/>
      <c r="F459" s="136" t="n"/>
      <c r="G459" s="137" t="n"/>
      <c r="H459" s="137" t="n"/>
    </row>
    <row r="460" ht="15" customHeight="1" s="83">
      <c r="A460" s="135" t="n"/>
      <c r="B460" s="135" t="n"/>
      <c r="C460" s="135" t="n"/>
      <c r="D460" s="136" t="n"/>
      <c r="E460" s="137" t="n"/>
      <c r="F460" s="136" t="n"/>
      <c r="G460" s="137" t="n"/>
      <c r="H460" s="137" t="n"/>
    </row>
    <row r="461" ht="15" customHeight="1" s="83">
      <c r="A461" s="135" t="n"/>
      <c r="B461" s="135" t="n"/>
      <c r="C461" s="135" t="n"/>
      <c r="D461" s="136" t="n"/>
      <c r="E461" s="137" t="n"/>
      <c r="F461" s="136" t="n"/>
      <c r="G461" s="137" t="n"/>
      <c r="H461" s="137" t="n"/>
    </row>
    <row r="462" ht="15" customHeight="1" s="83">
      <c r="A462" s="135" t="n"/>
      <c r="B462" s="135" t="n"/>
      <c r="C462" s="135" t="n"/>
      <c r="D462" s="136" t="n"/>
      <c r="E462" s="137" t="n"/>
      <c r="F462" s="136" t="n"/>
      <c r="G462" s="137" t="n"/>
      <c r="H462" s="137" t="n"/>
    </row>
    <row r="463" ht="15" customHeight="1" s="83">
      <c r="A463" s="135" t="n"/>
      <c r="B463" s="135" t="n"/>
      <c r="C463" s="135" t="n"/>
      <c r="D463" s="136" t="n"/>
      <c r="E463" s="137" t="n"/>
      <c r="F463" s="136" t="n"/>
      <c r="G463" s="137" t="n"/>
      <c r="H463" s="137" t="n"/>
    </row>
    <row r="464" ht="15" customHeight="1" s="83">
      <c r="A464" s="135" t="n"/>
      <c r="B464" s="135" t="n"/>
      <c r="C464" s="135" t="n"/>
      <c r="D464" s="136" t="n"/>
      <c r="E464" s="137" t="n"/>
      <c r="F464" s="136" t="n"/>
      <c r="G464" s="137" t="n"/>
      <c r="H464" s="137" t="n"/>
    </row>
    <row r="465" ht="15" customHeight="1" s="83">
      <c r="A465" s="135" t="n"/>
      <c r="B465" s="135" t="n"/>
      <c r="C465" s="135" t="n"/>
      <c r="D465" s="136" t="n"/>
      <c r="E465" s="137" t="n"/>
      <c r="F465" s="136" t="n"/>
      <c r="G465" s="137" t="n"/>
      <c r="H465" s="137" t="n"/>
    </row>
    <row r="466" ht="15" customHeight="1" s="83">
      <c r="A466" s="135" t="n"/>
      <c r="B466" s="135" t="n"/>
      <c r="C466" s="135" t="n"/>
      <c r="D466" s="136" t="n"/>
      <c r="E466" s="137" t="n"/>
      <c r="F466" s="136" t="n"/>
      <c r="G466" s="137" t="n"/>
      <c r="H466" s="137" t="n"/>
    </row>
    <row r="467" ht="15" customHeight="1" s="83">
      <c r="A467" s="135" t="n"/>
      <c r="B467" s="135" t="n"/>
      <c r="C467" s="135" t="n"/>
      <c r="D467" s="136" t="n"/>
      <c r="E467" s="137" t="n"/>
      <c r="F467" s="136" t="n"/>
      <c r="G467" s="137" t="n"/>
      <c r="H467" s="137" t="n"/>
    </row>
    <row r="468" ht="15" customHeight="1" s="83">
      <c r="A468" s="135" t="n"/>
      <c r="B468" s="135" t="n"/>
      <c r="C468" s="135" t="n"/>
      <c r="D468" s="136" t="n"/>
      <c r="E468" s="137" t="n"/>
      <c r="F468" s="136" t="n"/>
      <c r="G468" s="137" t="n"/>
      <c r="H468" s="137" t="n"/>
    </row>
    <row r="469" ht="15" customHeight="1" s="83">
      <c r="A469" s="135" t="n"/>
      <c r="B469" s="135" t="n"/>
      <c r="C469" s="135" t="n"/>
      <c r="D469" s="136" t="n"/>
      <c r="E469" s="137" t="n"/>
      <c r="F469" s="136" t="n"/>
      <c r="G469" s="137" t="n"/>
      <c r="H469" s="137" t="n"/>
    </row>
    <row r="470" ht="15" customHeight="1" s="83">
      <c r="A470" s="135" t="n"/>
      <c r="B470" s="135" t="n"/>
      <c r="C470" s="135" t="n"/>
      <c r="D470" s="136" t="n"/>
      <c r="E470" s="137" t="n"/>
      <c r="F470" s="136" t="n"/>
      <c r="G470" s="137" t="n"/>
      <c r="H470" s="137" t="n"/>
    </row>
    <row r="471" ht="15" customHeight="1" s="83">
      <c r="A471" s="135" t="n"/>
      <c r="B471" s="135" t="n"/>
      <c r="C471" s="135" t="n"/>
      <c r="D471" s="136" t="n"/>
      <c r="E471" s="137" t="n"/>
      <c r="F471" s="136" t="n"/>
      <c r="G471" s="137" t="n"/>
      <c r="H471" s="137" t="n"/>
    </row>
    <row r="472" ht="15" customHeight="1" s="83">
      <c r="A472" s="135" t="n"/>
      <c r="B472" s="135" t="n"/>
      <c r="C472" s="135" t="n"/>
      <c r="D472" s="136" t="n"/>
      <c r="E472" s="137" t="n"/>
      <c r="F472" s="136" t="n"/>
      <c r="G472" s="137" t="n"/>
      <c r="H472" s="137" t="n"/>
    </row>
    <row r="473" ht="15" customHeight="1" s="83">
      <c r="A473" s="135" t="n"/>
      <c r="B473" s="135" t="n"/>
      <c r="C473" s="135" t="n"/>
      <c r="D473" s="136" t="n"/>
      <c r="E473" s="137" t="n"/>
      <c r="F473" s="136" t="n"/>
      <c r="G473" s="137" t="n"/>
      <c r="H473" s="137" t="n"/>
    </row>
    <row r="474" ht="15" customHeight="1" s="83">
      <c r="A474" s="135" t="n"/>
      <c r="B474" s="135" t="n"/>
      <c r="C474" s="135" t="n"/>
      <c r="D474" s="136" t="n"/>
      <c r="E474" s="137" t="n"/>
      <c r="F474" s="136" t="n"/>
      <c r="G474" s="137" t="n"/>
      <c r="H474" s="137" t="n"/>
    </row>
    <row r="475" ht="15" customHeight="1" s="83">
      <c r="A475" s="135" t="n"/>
      <c r="B475" s="135" t="n"/>
      <c r="C475" s="135" t="n"/>
      <c r="D475" s="136" t="n"/>
      <c r="E475" s="137" t="n"/>
      <c r="F475" s="136" t="n"/>
      <c r="G475" s="137" t="n"/>
      <c r="H475" s="137" t="n"/>
    </row>
    <row r="476" ht="15" customHeight="1" s="83">
      <c r="A476" s="135" t="n"/>
      <c r="B476" s="135" t="n"/>
      <c r="C476" s="135" t="n"/>
      <c r="D476" s="136" t="n"/>
      <c r="E476" s="137" t="n"/>
      <c r="F476" s="136" t="n"/>
      <c r="G476" s="137" t="n"/>
      <c r="H476" s="137" t="n"/>
    </row>
    <row r="477" ht="15" customHeight="1" s="83">
      <c r="A477" s="135" t="n"/>
      <c r="B477" s="135" t="n"/>
      <c r="C477" s="135" t="n"/>
      <c r="D477" s="136" t="n"/>
      <c r="E477" s="137" t="n"/>
      <c r="F477" s="136" t="n"/>
      <c r="G477" s="137" t="n"/>
      <c r="H477" s="137" t="n"/>
    </row>
    <row r="478" ht="15" customHeight="1" s="83">
      <c r="A478" s="135" t="n"/>
      <c r="B478" s="135" t="n"/>
      <c r="C478" s="135" t="n"/>
      <c r="D478" s="136" t="n"/>
      <c r="E478" s="137" t="n"/>
      <c r="F478" s="136" t="n"/>
      <c r="G478" s="137" t="n"/>
      <c r="H478" s="137" t="n"/>
    </row>
    <row r="479" ht="15" customHeight="1" s="83">
      <c r="A479" s="135" t="n"/>
      <c r="B479" s="135" t="n"/>
      <c r="C479" s="135" t="n"/>
      <c r="D479" s="136" t="n"/>
      <c r="E479" s="137" t="n"/>
      <c r="F479" s="136" t="n"/>
      <c r="G479" s="137" t="n"/>
      <c r="H479" s="137" t="n"/>
    </row>
    <row r="480" ht="15" customHeight="1" s="83">
      <c r="A480" s="135" t="n"/>
      <c r="B480" s="135" t="n"/>
      <c r="C480" s="135" t="n"/>
      <c r="D480" s="136" t="n"/>
      <c r="E480" s="137" t="n"/>
      <c r="F480" s="136" t="n"/>
      <c r="G480" s="137" t="n"/>
      <c r="H480" s="137" t="n"/>
    </row>
    <row r="481" ht="15" customHeight="1" s="83">
      <c r="A481" s="135" t="n"/>
      <c r="B481" s="135" t="n"/>
      <c r="C481" s="135" t="n"/>
      <c r="D481" s="136" t="n"/>
      <c r="E481" s="137" t="n"/>
      <c r="F481" s="136" t="n"/>
      <c r="G481" s="137" t="n"/>
      <c r="H481" s="137" t="n"/>
    </row>
    <row r="482" ht="15" customHeight="1" s="83">
      <c r="A482" s="135" t="n"/>
      <c r="B482" s="135" t="n"/>
      <c r="C482" s="135" t="n"/>
      <c r="D482" s="136" t="n"/>
      <c r="E482" s="137" t="n"/>
      <c r="F482" s="136" t="n"/>
      <c r="G482" s="137" t="n"/>
      <c r="H482" s="137" t="n"/>
    </row>
    <row r="483" ht="15" customHeight="1" s="83">
      <c r="A483" s="135" t="n"/>
      <c r="B483" s="135" t="n"/>
      <c r="C483" s="135" t="n"/>
      <c r="D483" s="136" t="n"/>
      <c r="E483" s="137" t="n"/>
      <c r="F483" s="136" t="n"/>
      <c r="G483" s="137" t="n"/>
      <c r="H483" s="137" t="n"/>
    </row>
    <row r="484" ht="15" customHeight="1" s="83">
      <c r="A484" s="135" t="n"/>
      <c r="B484" s="135" t="n"/>
      <c r="C484" s="135" t="n"/>
      <c r="D484" s="136" t="n"/>
      <c r="E484" s="137" t="n"/>
      <c r="F484" s="136" t="n"/>
      <c r="G484" s="137" t="n"/>
      <c r="H484" s="137" t="n"/>
    </row>
    <row r="485" ht="15" customHeight="1" s="83">
      <c r="A485" s="135" t="n"/>
      <c r="B485" s="135" t="n"/>
      <c r="C485" s="135" t="n"/>
      <c r="D485" s="136" t="n"/>
      <c r="E485" s="137" t="n"/>
      <c r="F485" s="136" t="n"/>
      <c r="G485" s="137" t="n"/>
      <c r="H485" s="137" t="n"/>
    </row>
    <row r="486" ht="15" customHeight="1" s="83">
      <c r="A486" s="135" t="n"/>
      <c r="B486" s="135" t="n"/>
      <c r="C486" s="135" t="n"/>
      <c r="D486" s="136" t="n"/>
      <c r="E486" s="137" t="n"/>
      <c r="F486" s="136" t="n"/>
      <c r="G486" s="137" t="n"/>
      <c r="H486" s="137" t="n"/>
    </row>
    <row r="487" ht="15" customHeight="1" s="83">
      <c r="A487" s="135" t="n"/>
      <c r="B487" s="135" t="n"/>
      <c r="C487" s="135" t="n"/>
      <c r="D487" s="136" t="n"/>
      <c r="E487" s="137" t="n"/>
      <c r="F487" s="136" t="n"/>
      <c r="G487" s="137" t="n"/>
      <c r="H487" s="137" t="n"/>
    </row>
    <row r="488" ht="15" customHeight="1" s="83">
      <c r="A488" s="135" t="n"/>
      <c r="B488" s="135" t="n"/>
      <c r="C488" s="135" t="n"/>
      <c r="D488" s="136" t="n"/>
      <c r="E488" s="137" t="n"/>
      <c r="F488" s="136" t="n"/>
      <c r="G488" s="137" t="n"/>
      <c r="H488" s="137" t="n"/>
    </row>
    <row r="489" ht="15" customHeight="1" s="83">
      <c r="A489" s="135" t="n"/>
      <c r="B489" s="135" t="n"/>
      <c r="C489" s="135" t="n"/>
      <c r="D489" s="136" t="n"/>
      <c r="E489" s="137" t="n"/>
      <c r="F489" s="136" t="n"/>
      <c r="G489" s="137" t="n"/>
      <c r="H489" s="137" t="n"/>
    </row>
    <row r="490" ht="15" customHeight="1" s="83">
      <c r="A490" s="135" t="n"/>
      <c r="B490" s="135" t="n"/>
      <c r="C490" s="135" t="n"/>
      <c r="D490" s="136" t="n"/>
      <c r="E490" s="137" t="n"/>
      <c r="F490" s="136" t="n"/>
      <c r="G490" s="137" t="n"/>
      <c r="H490" s="137" t="n"/>
    </row>
    <row r="491" ht="15" customHeight="1" s="83">
      <c r="A491" s="135" t="n"/>
      <c r="B491" s="135" t="n"/>
      <c r="C491" s="135" t="n"/>
      <c r="D491" s="136" t="n"/>
      <c r="E491" s="137" t="n"/>
      <c r="F491" s="136" t="n"/>
      <c r="G491" s="137" t="n"/>
      <c r="H491" s="137" t="n"/>
    </row>
    <row r="492" ht="15" customHeight="1" s="83">
      <c r="A492" s="135" t="n"/>
      <c r="B492" s="135" t="n"/>
      <c r="C492" s="135" t="n"/>
      <c r="D492" s="136" t="n"/>
      <c r="E492" s="137" t="n"/>
      <c r="F492" s="136" t="n"/>
      <c r="G492" s="137" t="n"/>
      <c r="H492" s="137" t="n"/>
    </row>
    <row r="493" ht="15" customHeight="1" s="83">
      <c r="A493" s="135" t="n"/>
      <c r="B493" s="135" t="n"/>
      <c r="C493" s="135" t="n"/>
      <c r="D493" s="136" t="n"/>
      <c r="E493" s="137" t="n"/>
      <c r="F493" s="136" t="n"/>
      <c r="G493" s="137" t="n"/>
      <c r="H493" s="137" t="n"/>
    </row>
    <row r="494" ht="15" customHeight="1" s="83">
      <c r="A494" s="135" t="n"/>
      <c r="B494" s="135" t="n"/>
      <c r="C494" s="135" t="n"/>
      <c r="D494" s="136" t="n"/>
      <c r="E494" s="137" t="n"/>
      <c r="F494" s="136" t="n"/>
      <c r="G494" s="137" t="n"/>
      <c r="H494" s="137" t="n"/>
    </row>
    <row r="495" ht="15" customHeight="1" s="83">
      <c r="A495" s="135" t="n"/>
      <c r="B495" s="135" t="n"/>
      <c r="C495" s="135" t="n"/>
      <c r="D495" s="136" t="n"/>
      <c r="E495" s="137" t="n"/>
      <c r="F495" s="136" t="n"/>
      <c r="G495" s="137" t="n"/>
      <c r="H495" s="137" t="n"/>
    </row>
    <row r="496" ht="15" customHeight="1" s="83">
      <c r="A496" s="135" t="n"/>
      <c r="B496" s="135" t="n"/>
      <c r="C496" s="135" t="n"/>
      <c r="D496" s="136" t="n"/>
      <c r="E496" s="137" t="n"/>
      <c r="F496" s="136" t="n"/>
      <c r="G496" s="137" t="n"/>
      <c r="H496" s="137" t="n"/>
    </row>
    <row r="497" ht="15" customHeight="1" s="83">
      <c r="A497" s="135" t="n"/>
      <c r="B497" s="135" t="n"/>
      <c r="C497" s="135" t="n"/>
      <c r="D497" s="136" t="n"/>
      <c r="E497" s="137" t="n"/>
      <c r="F497" s="136" t="n"/>
      <c r="G497" s="137" t="n"/>
      <c r="H497" s="137" t="n"/>
    </row>
    <row r="498" ht="15" customHeight="1" s="83">
      <c r="A498" s="135" t="n"/>
      <c r="B498" s="135" t="n"/>
      <c r="C498" s="135" t="n"/>
      <c r="D498" s="136" t="n"/>
      <c r="E498" s="137" t="n"/>
      <c r="F498" s="136" t="n"/>
      <c r="G498" s="137" t="n"/>
      <c r="H498" s="137" t="n"/>
    </row>
    <row r="499" ht="15" customHeight="1" s="83">
      <c r="A499" s="135" t="n"/>
      <c r="B499" s="135" t="n"/>
      <c r="C499" s="135" t="n"/>
      <c r="D499" s="136" t="n"/>
      <c r="E499" s="137" t="n"/>
      <c r="F499" s="136" t="n"/>
      <c r="G499" s="137" t="n"/>
      <c r="H499" s="137" t="n"/>
    </row>
    <row r="500" ht="15" customHeight="1" s="83">
      <c r="A500" s="135" t="n"/>
      <c r="B500" s="135" t="n"/>
      <c r="C500" s="135" t="n"/>
      <c r="D500" s="136" t="n"/>
      <c r="E500" s="137" t="n"/>
      <c r="F500" s="136" t="n"/>
      <c r="G500" s="137" t="n"/>
      <c r="H500" s="137" t="n"/>
    </row>
    <row r="501" ht="15" customHeight="1" s="83">
      <c r="A501" s="135" t="n"/>
      <c r="B501" s="135" t="n"/>
      <c r="C501" s="135" t="n"/>
      <c r="D501" s="136" t="n"/>
      <c r="E501" s="137" t="n"/>
      <c r="F501" s="136" t="n"/>
      <c r="G501" s="137" t="n"/>
      <c r="H501" s="137" t="n"/>
    </row>
    <row r="502" ht="15" customHeight="1" s="83">
      <c r="A502" s="135" t="n"/>
      <c r="B502" s="135" t="n"/>
      <c r="C502" s="135" t="n"/>
      <c r="D502" s="136" t="n"/>
      <c r="E502" s="137" t="n"/>
      <c r="F502" s="136" t="n"/>
      <c r="G502" s="137" t="n"/>
      <c r="H502" s="137" t="n"/>
    </row>
    <row r="503" ht="15" customHeight="1" s="83">
      <c r="A503" s="135" t="n"/>
      <c r="B503" s="135" t="n"/>
      <c r="C503" s="135" t="n"/>
      <c r="D503" s="136" t="n"/>
      <c r="E503" s="137" t="n"/>
      <c r="F503" s="136" t="n"/>
      <c r="G503" s="137" t="n"/>
      <c r="H503" s="137" t="n"/>
    </row>
    <row r="504" ht="15" customHeight="1" s="83">
      <c r="A504" s="135" t="n"/>
      <c r="B504" s="135" t="n"/>
      <c r="C504" s="135" t="n"/>
      <c r="D504" s="136" t="n"/>
      <c r="E504" s="137" t="n"/>
      <c r="F504" s="136" t="n"/>
      <c r="G504" s="137" t="n"/>
      <c r="H504" s="137" t="n"/>
    </row>
    <row r="505" ht="15" customHeight="1" s="83">
      <c r="A505" s="135" t="n"/>
      <c r="B505" s="135" t="n"/>
      <c r="C505" s="135" t="n"/>
      <c r="D505" s="136" t="n"/>
      <c r="E505" s="137" t="n"/>
      <c r="F505" s="136" t="n"/>
      <c r="G505" s="137" t="n"/>
      <c r="H505" s="137" t="n"/>
    </row>
    <row r="506" ht="15" customHeight="1" s="83">
      <c r="A506" s="135" t="n"/>
      <c r="B506" s="135" t="n"/>
      <c r="C506" s="135" t="n"/>
      <c r="D506" s="136" t="n"/>
      <c r="E506" s="137" t="n"/>
      <c r="F506" s="136" t="n"/>
      <c r="G506" s="137" t="n"/>
      <c r="H506" s="137" t="n"/>
    </row>
    <row r="507" ht="15" customHeight="1" s="83">
      <c r="A507" s="135" t="n"/>
      <c r="B507" s="135" t="n"/>
      <c r="C507" s="135" t="n"/>
      <c r="D507" s="136" t="n"/>
      <c r="E507" s="137" t="n"/>
      <c r="F507" s="136" t="n"/>
      <c r="G507" s="137" t="n"/>
      <c r="H507" s="137" t="n"/>
    </row>
    <row r="508" ht="15" customHeight="1" s="83">
      <c r="A508" s="135" t="n"/>
      <c r="B508" s="135" t="n"/>
      <c r="C508" s="135" t="n"/>
      <c r="D508" s="136" t="n"/>
      <c r="E508" s="137" t="n"/>
      <c r="F508" s="136" t="n"/>
      <c r="G508" s="137" t="n"/>
      <c r="H508" s="137" t="n"/>
    </row>
    <row r="509" ht="15" customHeight="1" s="83">
      <c r="A509" s="135" t="n"/>
      <c r="B509" s="135" t="n"/>
      <c r="C509" s="135" t="n"/>
      <c r="D509" s="136" t="n"/>
      <c r="E509" s="137" t="n"/>
      <c r="F509" s="136" t="n"/>
      <c r="G509" s="137" t="n"/>
      <c r="H509" s="137" t="n"/>
    </row>
    <row r="510" ht="15" customHeight="1" s="83">
      <c r="A510" s="135" t="n"/>
      <c r="B510" s="135" t="n"/>
      <c r="C510" s="135" t="n"/>
      <c r="D510" s="136" t="n"/>
      <c r="E510" s="137" t="n"/>
      <c r="F510" s="136" t="n"/>
      <c r="G510" s="137" t="n"/>
      <c r="H510" s="137" t="n"/>
    </row>
    <row r="511" ht="15" customHeight="1" s="83">
      <c r="A511" s="135" t="n"/>
      <c r="B511" s="135" t="n"/>
      <c r="C511" s="135" t="n"/>
      <c r="D511" s="136" t="n"/>
      <c r="E511" s="137" t="n"/>
      <c r="F511" s="136" t="n"/>
      <c r="G511" s="137" t="n"/>
      <c r="H511" s="137" t="n"/>
    </row>
    <row r="512" ht="15" customHeight="1" s="83">
      <c r="A512" s="135" t="n"/>
      <c r="B512" s="135" t="n"/>
      <c r="C512" s="135" t="n"/>
      <c r="D512" s="136" t="n"/>
      <c r="E512" s="137" t="n"/>
      <c r="F512" s="136" t="n"/>
      <c r="G512" s="137" t="n"/>
      <c r="H512" s="137" t="n"/>
    </row>
    <row r="513" ht="15" customHeight="1" s="83">
      <c r="A513" s="135" t="n"/>
      <c r="B513" s="135" t="n"/>
      <c r="C513" s="135" t="n"/>
      <c r="D513" s="136" t="n"/>
      <c r="E513" s="137" t="n"/>
      <c r="F513" s="136" t="n"/>
      <c r="G513" s="137" t="n"/>
      <c r="H513" s="137" t="n"/>
    </row>
    <row r="514" ht="15" customHeight="1" s="83">
      <c r="A514" s="135" t="n"/>
      <c r="B514" s="135" t="n"/>
      <c r="C514" s="135" t="n"/>
      <c r="D514" s="136" t="n"/>
      <c r="E514" s="137" t="n"/>
      <c r="F514" s="136" t="n"/>
      <c r="G514" s="137" t="n"/>
      <c r="H514" s="137" t="n"/>
    </row>
    <row r="515" ht="15" customHeight="1" s="83">
      <c r="A515" s="135" t="n"/>
      <c r="B515" s="135" t="n"/>
      <c r="C515" s="135" t="n"/>
      <c r="D515" s="136" t="n"/>
      <c r="E515" s="137" t="n"/>
      <c r="F515" s="136" t="n"/>
      <c r="G515" s="137" t="n"/>
      <c r="H515" s="137" t="n"/>
    </row>
    <row r="516" ht="15" customHeight="1" s="83">
      <c r="A516" s="135" t="n"/>
      <c r="B516" s="135" t="n"/>
      <c r="C516" s="135" t="n"/>
      <c r="D516" s="136" t="n"/>
      <c r="E516" s="137" t="n"/>
      <c r="F516" s="136" t="n"/>
      <c r="G516" s="137" t="n"/>
      <c r="H516" s="137" t="n"/>
    </row>
    <row r="517" ht="15" customHeight="1" s="83">
      <c r="A517" s="135" t="n"/>
      <c r="B517" s="135" t="n"/>
      <c r="C517" s="135" t="n"/>
      <c r="D517" s="136" t="n"/>
      <c r="E517" s="137" t="n"/>
      <c r="F517" s="136" t="n"/>
      <c r="G517" s="137" t="n"/>
      <c r="H517" s="137" t="n"/>
    </row>
    <row r="518" ht="15" customHeight="1" s="83">
      <c r="A518" s="135" t="n"/>
      <c r="B518" s="135" t="n"/>
      <c r="C518" s="135" t="n"/>
      <c r="D518" s="136" t="n"/>
      <c r="E518" s="137" t="n"/>
      <c r="F518" s="136" t="n"/>
      <c r="G518" s="137" t="n"/>
      <c r="H518" s="137" t="n"/>
    </row>
    <row r="519" ht="15" customHeight="1" s="83">
      <c r="A519" s="135" t="n"/>
      <c r="B519" s="135" t="n"/>
      <c r="C519" s="135" t="n"/>
      <c r="D519" s="136" t="n"/>
      <c r="E519" s="137" t="n"/>
      <c r="F519" s="136" t="n"/>
      <c r="G519" s="137" t="n"/>
      <c r="H519" s="137" t="n"/>
    </row>
    <row r="520" ht="15" customHeight="1" s="83">
      <c r="A520" s="135" t="n"/>
      <c r="B520" s="135" t="n"/>
      <c r="C520" s="135" t="n"/>
      <c r="D520" s="136" t="n"/>
      <c r="E520" s="137" t="n"/>
      <c r="F520" s="136" t="n"/>
      <c r="G520" s="137" t="n"/>
      <c r="H520" s="137" t="n"/>
    </row>
    <row r="521" ht="15" customHeight="1" s="83">
      <c r="A521" s="135" t="n"/>
      <c r="B521" s="135" t="n"/>
      <c r="C521" s="135" t="n"/>
      <c r="D521" s="136" t="n"/>
      <c r="E521" s="137" t="n"/>
      <c r="F521" s="136" t="n"/>
      <c r="G521" s="137" t="n"/>
      <c r="H521" s="137" t="n"/>
    </row>
    <row r="522" ht="15" customHeight="1" s="83">
      <c r="A522" s="135" t="n"/>
      <c r="B522" s="135" t="n"/>
      <c r="C522" s="135" t="n"/>
      <c r="D522" s="136" t="n"/>
      <c r="E522" s="137" t="n"/>
      <c r="F522" s="136" t="n"/>
      <c r="G522" s="137" t="n"/>
      <c r="H522" s="137" t="n"/>
    </row>
    <row r="523" ht="15" customHeight="1" s="83">
      <c r="A523" s="135" t="n"/>
      <c r="B523" s="135" t="n"/>
      <c r="C523" s="135" t="n"/>
      <c r="D523" s="136" t="n"/>
      <c r="E523" s="137" t="n"/>
      <c r="F523" s="136" t="n"/>
      <c r="G523" s="137" t="n"/>
      <c r="H523" s="137" t="n"/>
    </row>
    <row r="524" ht="15" customHeight="1" s="83">
      <c r="A524" s="135" t="n"/>
      <c r="B524" s="135" t="n"/>
      <c r="C524" s="135" t="n"/>
      <c r="D524" s="136" t="n"/>
      <c r="E524" s="137" t="n"/>
      <c r="F524" s="136" t="n"/>
      <c r="G524" s="137" t="n"/>
      <c r="H524" s="137" t="n"/>
    </row>
    <row r="525" ht="15" customHeight="1" s="83">
      <c r="A525" s="135" t="n"/>
      <c r="B525" s="135" t="n"/>
      <c r="C525" s="135" t="n"/>
      <c r="D525" s="136" t="n"/>
      <c r="E525" s="137" t="n"/>
      <c r="F525" s="136" t="n"/>
      <c r="G525" s="137" t="n"/>
      <c r="H525" s="137" t="n"/>
    </row>
    <row r="526" ht="15" customHeight="1" s="83">
      <c r="A526" s="135" t="n"/>
      <c r="B526" s="135" t="n"/>
      <c r="C526" s="135" t="n"/>
      <c r="D526" s="136" t="n"/>
      <c r="E526" s="137" t="n"/>
      <c r="F526" s="136" t="n"/>
      <c r="G526" s="137" t="n"/>
      <c r="H526" s="137" t="n"/>
    </row>
    <row r="527" ht="15" customHeight="1" s="83">
      <c r="A527" s="135" t="n"/>
      <c r="B527" s="135" t="n"/>
      <c r="C527" s="135" t="n"/>
      <c r="D527" s="136" t="n"/>
      <c r="E527" s="137" t="n"/>
      <c r="F527" s="136" t="n"/>
      <c r="G527" s="137" t="n"/>
      <c r="H527" s="137" t="n"/>
    </row>
    <row r="528" ht="15" customHeight="1" s="83">
      <c r="A528" s="135" t="n"/>
      <c r="B528" s="135" t="n"/>
      <c r="C528" s="135" t="n"/>
      <c r="D528" s="136" t="n"/>
      <c r="E528" s="137" t="n"/>
      <c r="F528" s="136" t="n"/>
      <c r="G528" s="137" t="n"/>
      <c r="H528" s="137" t="n"/>
    </row>
    <row r="529" ht="15" customHeight="1" s="83">
      <c r="A529" s="135" t="n"/>
      <c r="B529" s="135" t="n"/>
      <c r="C529" s="135" t="n"/>
      <c r="D529" s="136" t="n"/>
      <c r="E529" s="137" t="n"/>
      <c r="F529" s="136" t="n"/>
      <c r="G529" s="137" t="n"/>
      <c r="H529" s="137" t="n"/>
    </row>
    <row r="530" ht="15" customHeight="1" s="83">
      <c r="A530" s="135" t="n"/>
      <c r="B530" s="135" t="n"/>
      <c r="C530" s="135" t="n"/>
      <c r="D530" s="136" t="n"/>
      <c r="E530" s="137" t="n"/>
      <c r="F530" s="136" t="n"/>
      <c r="G530" s="137" t="n"/>
      <c r="H530" s="137" t="n"/>
    </row>
    <row r="531" ht="15" customHeight="1" s="83">
      <c r="A531" s="135" t="n"/>
      <c r="B531" s="135" t="n"/>
      <c r="C531" s="135" t="n"/>
      <c r="D531" s="136" t="n"/>
      <c r="E531" s="137" t="n"/>
      <c r="F531" s="136" t="n"/>
      <c r="G531" s="137" t="n"/>
      <c r="H531" s="137" t="n"/>
    </row>
    <row r="532" ht="15" customHeight="1" s="83">
      <c r="A532" s="135" t="n"/>
      <c r="B532" s="135" t="n"/>
      <c r="C532" s="135" t="n"/>
      <c r="D532" s="136" t="n"/>
      <c r="E532" s="137" t="n"/>
      <c r="F532" s="136" t="n"/>
      <c r="G532" s="137" t="n"/>
      <c r="H532" s="137" t="n"/>
    </row>
    <row r="533" ht="15" customHeight="1" s="83">
      <c r="A533" s="135" t="n"/>
      <c r="B533" s="135" t="n"/>
      <c r="C533" s="135" t="n"/>
      <c r="D533" s="136" t="n"/>
      <c r="E533" s="137" t="n"/>
      <c r="F533" s="136" t="n"/>
      <c r="G533" s="137" t="n"/>
      <c r="H533" s="137" t="n"/>
    </row>
    <row r="534" ht="15" customHeight="1" s="83">
      <c r="A534" s="135" t="n"/>
      <c r="B534" s="135" t="n"/>
      <c r="C534" s="135" t="n"/>
      <c r="D534" s="136" t="n"/>
      <c r="E534" s="137" t="n"/>
      <c r="F534" s="136" t="n"/>
      <c r="G534" s="137" t="n"/>
      <c r="H534" s="137" t="n"/>
    </row>
    <row r="535" ht="15" customHeight="1" s="83">
      <c r="A535" s="135" t="n"/>
      <c r="B535" s="135" t="n"/>
      <c r="C535" s="135" t="n"/>
      <c r="D535" s="136" t="n"/>
      <c r="E535" s="137" t="n"/>
      <c r="F535" s="136" t="n"/>
      <c r="G535" s="137" t="n"/>
      <c r="H535" s="137" t="n"/>
    </row>
    <row r="536" ht="15" customHeight="1" s="83">
      <c r="A536" s="135" t="n"/>
      <c r="B536" s="135" t="n"/>
      <c r="C536" s="135" t="n"/>
      <c r="D536" s="136" t="n"/>
      <c r="E536" s="137" t="n"/>
      <c r="F536" s="136" t="n"/>
      <c r="G536" s="137" t="n"/>
      <c r="H536" s="137" t="n"/>
    </row>
    <row r="537" ht="15" customHeight="1" s="83">
      <c r="A537" s="135" t="n"/>
      <c r="B537" s="135" t="n"/>
      <c r="C537" s="135" t="n"/>
      <c r="D537" s="136" t="n"/>
      <c r="E537" s="137" t="n"/>
      <c r="F537" s="136" t="n"/>
      <c r="G537" s="137" t="n"/>
      <c r="H537" s="137" t="n"/>
    </row>
    <row r="538" ht="15" customHeight="1" s="83">
      <c r="A538" s="135" t="n"/>
      <c r="B538" s="135" t="n"/>
      <c r="C538" s="135" t="n"/>
      <c r="D538" s="136" t="n"/>
      <c r="E538" s="137" t="n"/>
      <c r="F538" s="136" t="n"/>
      <c r="G538" s="137" t="n"/>
      <c r="H538" s="137" t="n"/>
    </row>
    <row r="539" ht="15" customHeight="1" s="83">
      <c r="A539" s="135" t="n"/>
      <c r="B539" s="135" t="n"/>
      <c r="C539" s="135" t="n"/>
      <c r="D539" s="136" t="n"/>
      <c r="E539" s="137" t="n"/>
      <c r="F539" s="136" t="n"/>
      <c r="G539" s="137" t="n"/>
      <c r="H539" s="137" t="n"/>
    </row>
    <row r="540" ht="15" customHeight="1" s="83">
      <c r="A540" s="135" t="n"/>
      <c r="B540" s="135" t="n"/>
      <c r="C540" s="135" t="n"/>
      <c r="D540" s="136" t="n"/>
      <c r="E540" s="137" t="n"/>
      <c r="F540" s="136" t="n"/>
      <c r="G540" s="137" t="n"/>
      <c r="H540" s="137" t="n"/>
    </row>
    <row r="541" ht="15" customHeight="1" s="83">
      <c r="A541" s="135" t="n"/>
      <c r="B541" s="135" t="n"/>
      <c r="C541" s="135" t="n"/>
      <c r="D541" s="136" t="n"/>
      <c r="E541" s="137" t="n"/>
      <c r="F541" s="136" t="n"/>
      <c r="G541" s="137" t="n"/>
      <c r="H541" s="137" t="n"/>
    </row>
    <row r="542" ht="15" customHeight="1" s="83">
      <c r="A542" s="135" t="n"/>
      <c r="B542" s="135" t="n"/>
      <c r="C542" s="135" t="n"/>
      <c r="D542" s="136" t="n"/>
      <c r="E542" s="137" t="n"/>
      <c r="F542" s="136" t="n"/>
      <c r="G542" s="137" t="n"/>
      <c r="H542" s="137" t="n"/>
    </row>
    <row r="543" ht="15" customHeight="1" s="83">
      <c r="A543" s="135" t="n"/>
      <c r="B543" s="135" t="n"/>
      <c r="C543" s="135" t="n"/>
      <c r="D543" s="136" t="n"/>
      <c r="E543" s="137" t="n"/>
      <c r="F543" s="136" t="n"/>
      <c r="G543" s="137" t="n"/>
      <c r="H543" s="137" t="n"/>
    </row>
    <row r="544" ht="15" customHeight="1" s="83">
      <c r="A544" s="135" t="n"/>
      <c r="B544" s="135" t="n"/>
      <c r="C544" s="135" t="n"/>
      <c r="D544" s="136" t="n"/>
      <c r="E544" s="137" t="n"/>
      <c r="F544" s="136" t="n"/>
      <c r="G544" s="137" t="n"/>
      <c r="H544" s="137" t="n"/>
    </row>
    <row r="545" ht="15" customHeight="1" s="83">
      <c r="A545" s="135" t="n"/>
      <c r="B545" s="135" t="n"/>
      <c r="C545" s="135" t="n"/>
      <c r="D545" s="136" t="n"/>
      <c r="E545" s="137" t="n"/>
      <c r="F545" s="136" t="n"/>
      <c r="G545" s="137" t="n"/>
      <c r="H545" s="137" t="n"/>
    </row>
    <row r="546" ht="15" customHeight="1" s="83">
      <c r="A546" s="135" t="n"/>
      <c r="B546" s="135" t="n"/>
      <c r="C546" s="135" t="n"/>
      <c r="D546" s="136" t="n"/>
      <c r="E546" s="137" t="n"/>
      <c r="F546" s="136" t="n"/>
      <c r="G546" s="137" t="n"/>
      <c r="H546" s="137" t="n"/>
    </row>
    <row r="547" ht="15" customHeight="1" s="83">
      <c r="A547" s="135" t="n"/>
      <c r="B547" s="135" t="n"/>
      <c r="C547" s="135" t="n"/>
      <c r="D547" s="136" t="n"/>
      <c r="E547" s="137" t="n"/>
      <c r="F547" s="136" t="n"/>
      <c r="G547" s="137" t="n"/>
      <c r="H547" s="137" t="n"/>
    </row>
    <row r="548" ht="15" customHeight="1" s="83">
      <c r="A548" s="135" t="n"/>
      <c r="B548" s="135" t="n"/>
      <c r="C548" s="135" t="n"/>
      <c r="D548" s="136" t="n"/>
      <c r="E548" s="137" t="n"/>
      <c r="F548" s="136" t="n"/>
      <c r="G548" s="137" t="n"/>
      <c r="H548" s="137" t="n"/>
    </row>
    <row r="549" ht="15" customHeight="1" s="83">
      <c r="A549" s="135" t="n"/>
      <c r="B549" s="135" t="n"/>
      <c r="C549" s="135" t="n"/>
      <c r="D549" s="136" t="n"/>
      <c r="E549" s="137" t="n"/>
      <c r="F549" s="136" t="n"/>
      <c r="G549" s="137" t="n"/>
      <c r="H549" s="137" t="n"/>
    </row>
    <row r="550" ht="15" customHeight="1" s="83">
      <c r="A550" s="135" t="n"/>
      <c r="B550" s="135" t="n"/>
      <c r="C550" s="135" t="n"/>
      <c r="D550" s="136" t="n"/>
      <c r="E550" s="137" t="n"/>
      <c r="F550" s="136" t="n"/>
      <c r="G550" s="137" t="n"/>
      <c r="H550" s="137" t="n"/>
    </row>
    <row r="551" ht="15" customHeight="1" s="83">
      <c r="A551" s="135" t="n"/>
      <c r="B551" s="135" t="n"/>
      <c r="C551" s="135" t="n"/>
      <c r="D551" s="136" t="n"/>
      <c r="E551" s="137" t="n"/>
      <c r="F551" s="136" t="n"/>
      <c r="G551" s="137" t="n"/>
      <c r="H551" s="137" t="n"/>
    </row>
    <row r="552" ht="15" customHeight="1" s="83">
      <c r="A552" s="135" t="n"/>
      <c r="B552" s="135" t="n"/>
      <c r="C552" s="135" t="n"/>
      <c r="D552" s="136" t="n"/>
      <c r="E552" s="137" t="n"/>
      <c r="F552" s="136" t="n"/>
      <c r="G552" s="137" t="n"/>
      <c r="H552" s="137" t="n"/>
    </row>
    <row r="553" ht="15" customHeight="1" s="83">
      <c r="A553" s="135" t="n"/>
      <c r="B553" s="135" t="n"/>
      <c r="C553" s="135" t="n"/>
      <c r="D553" s="136" t="n"/>
      <c r="E553" s="137" t="n"/>
      <c r="F553" s="136" t="n"/>
      <c r="G553" s="137" t="n"/>
      <c r="H553" s="137" t="n"/>
    </row>
    <row r="554" ht="15" customHeight="1" s="83">
      <c r="A554" s="135" t="n"/>
      <c r="B554" s="135" t="n"/>
      <c r="C554" s="135" t="n"/>
      <c r="D554" s="136" t="n"/>
      <c r="E554" s="137" t="n"/>
      <c r="F554" s="136" t="n"/>
      <c r="G554" s="137" t="n"/>
      <c r="H554" s="137" t="n"/>
    </row>
    <row r="555" ht="15" customHeight="1" s="83">
      <c r="A555" s="135" t="n"/>
      <c r="B555" s="135" t="n"/>
      <c r="C555" s="135" t="n"/>
      <c r="D555" s="136" t="n"/>
      <c r="E555" s="137" t="n"/>
      <c r="F555" s="136" t="n"/>
      <c r="G555" s="137" t="n"/>
      <c r="H555" s="137" t="n"/>
    </row>
    <row r="556" ht="15" customHeight="1" s="83">
      <c r="A556" s="135" t="n"/>
      <c r="B556" s="135" t="n"/>
      <c r="C556" s="135" t="n"/>
      <c r="D556" s="136" t="n"/>
      <c r="E556" s="137" t="n"/>
      <c r="F556" s="136" t="n"/>
      <c r="G556" s="137" t="n"/>
      <c r="H556" s="137" t="n"/>
    </row>
    <row r="557" ht="15" customHeight="1" s="83">
      <c r="A557" s="135" t="n"/>
      <c r="B557" s="135" t="n"/>
      <c r="C557" s="135" t="n"/>
      <c r="D557" s="136" t="n"/>
      <c r="E557" s="137" t="n"/>
      <c r="F557" s="136" t="n"/>
      <c r="G557" s="137" t="n"/>
      <c r="H557" s="137" t="n"/>
    </row>
    <row r="558" ht="15" customHeight="1" s="83">
      <c r="A558" s="135" t="n"/>
      <c r="B558" s="135" t="n"/>
      <c r="C558" s="135" t="n"/>
      <c r="D558" s="136" t="n"/>
      <c r="E558" s="137" t="n"/>
      <c r="F558" s="136" t="n"/>
      <c r="G558" s="137" t="n"/>
      <c r="H558" s="137" t="n"/>
    </row>
    <row r="559" ht="15" customHeight="1" s="83">
      <c r="A559" s="135" t="n"/>
      <c r="B559" s="135" t="n"/>
      <c r="C559" s="135" t="n"/>
      <c r="D559" s="136" t="n"/>
      <c r="E559" s="137" t="n"/>
      <c r="F559" s="136" t="n"/>
      <c r="G559" s="137" t="n"/>
      <c r="H559" s="137" t="n"/>
    </row>
    <row r="560" ht="15" customHeight="1" s="83">
      <c r="A560" s="135" t="n"/>
      <c r="B560" s="135" t="n"/>
      <c r="C560" s="135" t="n"/>
      <c r="D560" s="136" t="n"/>
      <c r="E560" s="137" t="n"/>
      <c r="F560" s="136" t="n"/>
      <c r="G560" s="137" t="n"/>
      <c r="H560" s="137" t="n"/>
    </row>
    <row r="561" ht="15" customHeight="1" s="83">
      <c r="A561" s="135" t="n"/>
      <c r="B561" s="135" t="n"/>
      <c r="C561" s="135" t="n"/>
      <c r="D561" s="136" t="n"/>
      <c r="E561" s="137" t="n"/>
      <c r="F561" s="136" t="n"/>
      <c r="G561" s="137" t="n"/>
      <c r="H561" s="137" t="n"/>
    </row>
    <row r="562" ht="15" customHeight="1" s="83">
      <c r="A562" s="135" t="n"/>
      <c r="B562" s="135" t="n"/>
      <c r="C562" s="135" t="n"/>
      <c r="D562" s="136" t="n"/>
      <c r="E562" s="137" t="n"/>
      <c r="F562" s="136" t="n"/>
      <c r="G562" s="137" t="n"/>
      <c r="H562" s="137" t="n"/>
    </row>
    <row r="563" ht="15" customHeight="1" s="83">
      <c r="A563" s="135" t="n"/>
      <c r="B563" s="135" t="n"/>
      <c r="C563" s="135" t="n"/>
      <c r="D563" s="136" t="n"/>
      <c r="E563" s="137" t="n"/>
      <c r="F563" s="136" t="n"/>
      <c r="G563" s="137" t="n"/>
      <c r="H563" s="137" t="n"/>
    </row>
    <row r="564" ht="15" customHeight="1" s="83">
      <c r="A564" s="135" t="n"/>
      <c r="B564" s="135" t="n"/>
      <c r="C564" s="135" t="n"/>
      <c r="D564" s="136" t="n"/>
      <c r="E564" s="137" t="n"/>
      <c r="F564" s="136" t="n"/>
      <c r="G564" s="137" t="n"/>
      <c r="H564" s="137" t="n"/>
    </row>
    <row r="565" ht="15" customHeight="1" s="83">
      <c r="A565" s="135" t="n"/>
      <c r="B565" s="135" t="n"/>
      <c r="C565" s="135" t="n"/>
      <c r="D565" s="136" t="n"/>
      <c r="E565" s="137" t="n"/>
      <c r="F565" s="136" t="n"/>
      <c r="G565" s="137" t="n"/>
      <c r="H565" s="137" t="n"/>
    </row>
    <row r="566" ht="15" customHeight="1" s="83">
      <c r="A566" s="135" t="n"/>
      <c r="B566" s="135" t="n"/>
      <c r="C566" s="135" t="n"/>
      <c r="D566" s="136" t="n"/>
      <c r="E566" s="137" t="n"/>
      <c r="F566" s="136" t="n"/>
      <c r="G566" s="137" t="n"/>
      <c r="H566" s="137" t="n"/>
    </row>
    <row r="567" ht="15" customHeight="1" s="83">
      <c r="A567" s="135" t="n"/>
      <c r="B567" s="135" t="n"/>
      <c r="C567" s="135" t="n"/>
      <c r="D567" s="136" t="n"/>
      <c r="E567" s="137" t="n"/>
      <c r="F567" s="136" t="n"/>
      <c r="G567" s="137" t="n"/>
      <c r="H567" s="137" t="n"/>
    </row>
    <row r="568" ht="15" customHeight="1" s="83">
      <c r="A568" s="135" t="n"/>
      <c r="B568" s="135" t="n"/>
      <c r="C568" s="135" t="n"/>
      <c r="D568" s="136" t="n"/>
      <c r="E568" s="137" t="n"/>
      <c r="F568" s="136" t="n"/>
      <c r="G568" s="137" t="n"/>
      <c r="H568" s="137" t="n"/>
    </row>
    <row r="569" ht="15" customHeight="1" s="83">
      <c r="A569" s="135" t="n"/>
      <c r="B569" s="135" t="n"/>
      <c r="C569" s="135" t="n"/>
      <c r="D569" s="136" t="n"/>
      <c r="E569" s="137" t="n"/>
      <c r="F569" s="136" t="n"/>
      <c r="G569" s="137" t="n"/>
      <c r="H569" s="137" t="n"/>
    </row>
    <row r="570" ht="15" customHeight="1" s="83">
      <c r="A570" s="135" t="n"/>
      <c r="B570" s="135" t="n"/>
      <c r="C570" s="135" t="n"/>
      <c r="D570" s="136" t="n"/>
      <c r="E570" s="137" t="n"/>
      <c r="F570" s="136" t="n"/>
      <c r="G570" s="137" t="n"/>
      <c r="H570" s="137" t="n"/>
    </row>
    <row r="571" ht="15" customHeight="1" s="83">
      <c r="A571" s="135" t="n"/>
      <c r="B571" s="135" t="n"/>
      <c r="C571" s="135" t="n"/>
      <c r="D571" s="136" t="n"/>
      <c r="E571" s="137" t="n"/>
      <c r="F571" s="136" t="n"/>
      <c r="G571" s="137" t="n"/>
      <c r="H571" s="137" t="n"/>
    </row>
    <row r="572" ht="15" customHeight="1" s="83">
      <c r="A572" s="135" t="n"/>
      <c r="B572" s="135" t="n"/>
      <c r="C572" s="135" t="n"/>
      <c r="D572" s="136" t="n"/>
      <c r="E572" s="137" t="n"/>
      <c r="F572" s="136" t="n"/>
      <c r="G572" s="137" t="n"/>
      <c r="H572" s="137" t="n"/>
    </row>
    <row r="573" ht="15" customHeight="1" s="83">
      <c r="A573" s="135" t="n"/>
      <c r="B573" s="135" t="n"/>
      <c r="C573" s="135" t="n"/>
      <c r="D573" s="136" t="n"/>
      <c r="E573" s="137" t="n"/>
      <c r="F573" s="136" t="n"/>
      <c r="G573" s="137" t="n"/>
      <c r="H573" s="137" t="n"/>
    </row>
    <row r="574" ht="15" customHeight="1" s="83">
      <c r="A574" s="135" t="n"/>
      <c r="B574" s="135" t="n"/>
      <c r="C574" s="135" t="n"/>
      <c r="D574" s="136" t="n"/>
      <c r="E574" s="137" t="n"/>
      <c r="F574" s="136" t="n"/>
      <c r="G574" s="137" t="n"/>
      <c r="H574" s="137" t="n"/>
    </row>
    <row r="575" ht="15" customHeight="1" s="83">
      <c r="A575" s="135" t="n"/>
      <c r="B575" s="135" t="n"/>
      <c r="C575" s="135" t="n"/>
      <c r="D575" s="136" t="n"/>
      <c r="E575" s="137" t="n"/>
      <c r="F575" s="136" t="n"/>
      <c r="G575" s="137" t="n"/>
      <c r="H575" s="137" t="n"/>
    </row>
    <row r="576" ht="15" customHeight="1" s="83">
      <c r="A576" s="135" t="n"/>
      <c r="B576" s="135" t="n"/>
      <c r="C576" s="135" t="n"/>
      <c r="D576" s="136" t="n"/>
      <c r="E576" s="137" t="n"/>
      <c r="F576" s="136" t="n"/>
      <c r="G576" s="137" t="n"/>
      <c r="H576" s="137" t="n"/>
    </row>
    <row r="577" ht="15" customHeight="1" s="83">
      <c r="A577" s="135" t="n"/>
      <c r="B577" s="135" t="n"/>
      <c r="C577" s="135" t="n"/>
      <c r="D577" s="136" t="n"/>
      <c r="E577" s="137" t="n"/>
      <c r="F577" s="136" t="n"/>
      <c r="G577" s="137" t="n"/>
      <c r="H577" s="137" t="n"/>
    </row>
    <row r="578" ht="15" customHeight="1" s="83">
      <c r="A578" s="135" t="n"/>
      <c r="B578" s="135" t="n"/>
      <c r="C578" s="135" t="n"/>
      <c r="D578" s="136" t="n"/>
      <c r="E578" s="137" t="n"/>
      <c r="F578" s="136" t="n"/>
      <c r="G578" s="137" t="n"/>
      <c r="H578" s="137" t="n"/>
    </row>
    <row r="579" ht="15" customHeight="1" s="83">
      <c r="A579" s="135" t="n"/>
      <c r="B579" s="135" t="n"/>
      <c r="C579" s="135" t="n"/>
      <c r="D579" s="136" t="n"/>
      <c r="E579" s="137" t="n"/>
      <c r="F579" s="136" t="n"/>
      <c r="G579" s="137" t="n"/>
      <c r="H579" s="137" t="n"/>
    </row>
    <row r="580" ht="15" customHeight="1" s="83">
      <c r="A580" s="135" t="n"/>
      <c r="B580" s="135" t="n"/>
      <c r="C580" s="135" t="n"/>
      <c r="D580" s="136" t="n"/>
      <c r="E580" s="137" t="n"/>
      <c r="F580" s="136" t="n"/>
      <c r="G580" s="137" t="n"/>
      <c r="H580" s="137" t="n"/>
    </row>
    <row r="581" ht="15" customHeight="1" s="83">
      <c r="A581" s="135" t="n"/>
      <c r="B581" s="135" t="n"/>
      <c r="C581" s="135" t="n"/>
      <c r="D581" s="136" t="n"/>
      <c r="E581" s="137" t="n"/>
      <c r="F581" s="136" t="n"/>
      <c r="G581" s="137" t="n"/>
      <c r="H581" s="137" t="n"/>
    </row>
    <row r="582" ht="15" customHeight="1" s="83">
      <c r="A582" s="135" t="n"/>
      <c r="B582" s="135" t="n"/>
      <c r="C582" s="135" t="n"/>
      <c r="D582" s="136" t="n"/>
      <c r="E582" s="137" t="n"/>
      <c r="F582" s="136" t="n"/>
      <c r="G582" s="137" t="n"/>
      <c r="H582" s="137" t="n"/>
    </row>
    <row r="583" ht="15" customHeight="1" s="83">
      <c r="A583" s="135" t="n"/>
      <c r="B583" s="135" t="n"/>
      <c r="C583" s="135" t="n"/>
      <c r="D583" s="136" t="n"/>
      <c r="E583" s="137" t="n"/>
      <c r="F583" s="136" t="n"/>
      <c r="G583" s="137" t="n"/>
      <c r="H583" s="137" t="n"/>
    </row>
    <row r="584" ht="15" customHeight="1" s="83">
      <c r="A584" s="135" t="n"/>
      <c r="B584" s="135" t="n"/>
      <c r="C584" s="135" t="n"/>
      <c r="D584" s="136" t="n"/>
      <c r="E584" s="137" t="n"/>
      <c r="F584" s="136" t="n"/>
      <c r="G584" s="137" t="n"/>
      <c r="H584" s="137" t="n"/>
    </row>
    <row r="585" ht="15" customHeight="1" s="83">
      <c r="A585" s="135" t="n"/>
      <c r="B585" s="135" t="n"/>
      <c r="C585" s="135" t="n"/>
      <c r="D585" s="136" t="n"/>
      <c r="E585" s="137" t="n"/>
      <c r="F585" s="136" t="n"/>
      <c r="G585" s="137" t="n"/>
      <c r="H585" s="137" t="n"/>
    </row>
    <row r="586" ht="15" customHeight="1" s="83">
      <c r="A586" s="135" t="n"/>
      <c r="B586" s="135" t="n"/>
      <c r="C586" s="135" t="n"/>
      <c r="D586" s="136" t="n"/>
      <c r="E586" s="137" t="n"/>
      <c r="F586" s="136" t="n"/>
      <c r="G586" s="137" t="n"/>
      <c r="H586" s="137" t="n"/>
    </row>
    <row r="587" ht="15" customHeight="1" s="83">
      <c r="A587" s="135" t="n"/>
      <c r="B587" s="135" t="n"/>
      <c r="C587" s="135" t="n"/>
      <c r="D587" s="136" t="n"/>
      <c r="E587" s="137" t="n"/>
      <c r="F587" s="136" t="n"/>
      <c r="G587" s="137" t="n"/>
      <c r="H587" s="137" t="n"/>
    </row>
    <row r="588" ht="15" customHeight="1" s="83">
      <c r="A588" s="135" t="n"/>
      <c r="B588" s="135" t="n"/>
      <c r="C588" s="135" t="n"/>
      <c r="D588" s="136" t="n"/>
      <c r="E588" s="137" t="n"/>
      <c r="F588" s="136" t="n"/>
      <c r="G588" s="137" t="n"/>
      <c r="H588" s="137" t="n"/>
    </row>
    <row r="589" ht="15" customHeight="1" s="83">
      <c r="A589" s="135" t="n"/>
      <c r="B589" s="135" t="n"/>
      <c r="C589" s="135" t="n"/>
      <c r="D589" s="136" t="n"/>
      <c r="E589" s="137" t="n"/>
      <c r="F589" s="136" t="n"/>
      <c r="G589" s="137" t="n"/>
      <c r="H589" s="137" t="n"/>
    </row>
    <row r="590" ht="15" customHeight="1" s="83">
      <c r="A590" s="135" t="n"/>
      <c r="B590" s="135" t="n"/>
      <c r="C590" s="135" t="n"/>
      <c r="D590" s="136" t="n"/>
      <c r="E590" s="137" t="n"/>
      <c r="F590" s="136" t="n"/>
      <c r="G590" s="137" t="n"/>
      <c r="H590" s="137" t="n"/>
    </row>
    <row r="591" ht="15" customHeight="1" s="83">
      <c r="A591" s="135" t="n"/>
      <c r="B591" s="135" t="n"/>
      <c r="C591" s="135" t="n"/>
      <c r="D591" s="136" t="n"/>
      <c r="E591" s="137" t="n"/>
      <c r="F591" s="136" t="n"/>
      <c r="G591" s="137" t="n"/>
      <c r="H591" s="137" t="n"/>
    </row>
    <row r="592" ht="15" customHeight="1" s="83">
      <c r="A592" s="135" t="n"/>
      <c r="B592" s="135" t="n"/>
      <c r="C592" s="135" t="n"/>
      <c r="D592" s="136" t="n"/>
      <c r="E592" s="137" t="n"/>
      <c r="F592" s="136" t="n"/>
      <c r="G592" s="137" t="n"/>
      <c r="H592" s="137" t="n"/>
    </row>
    <row r="593" ht="15" customHeight="1" s="83">
      <c r="A593" s="135" t="n"/>
      <c r="B593" s="135" t="n"/>
      <c r="C593" s="135" t="n"/>
      <c r="D593" s="136" t="n"/>
      <c r="E593" s="137" t="n"/>
      <c r="F593" s="136" t="n"/>
      <c r="G593" s="137" t="n"/>
      <c r="H593" s="137" t="n"/>
    </row>
    <row r="594" ht="15" customHeight="1" s="83">
      <c r="A594" s="135" t="n"/>
      <c r="B594" s="135" t="n"/>
      <c r="C594" s="135" t="n"/>
      <c r="D594" s="136" t="n"/>
      <c r="E594" s="137" t="n"/>
      <c r="F594" s="136" t="n"/>
      <c r="G594" s="137" t="n"/>
      <c r="H594" s="137" t="n"/>
    </row>
    <row r="595" ht="15" customHeight="1" s="83">
      <c r="A595" s="135" t="n"/>
      <c r="B595" s="135" t="n"/>
      <c r="C595" s="135" t="n"/>
      <c r="D595" s="136" t="n"/>
      <c r="E595" s="137" t="n"/>
      <c r="F595" s="136" t="n"/>
      <c r="G595" s="137" t="n"/>
      <c r="H595" s="137" t="n"/>
    </row>
    <row r="596" ht="15" customHeight="1" s="83">
      <c r="A596" s="135" t="n"/>
      <c r="B596" s="135" t="n"/>
      <c r="C596" s="135" t="n"/>
      <c r="D596" s="136" t="n"/>
      <c r="E596" s="137" t="n"/>
      <c r="F596" s="136" t="n"/>
      <c r="G596" s="137" t="n"/>
      <c r="H596" s="137" t="n"/>
    </row>
    <row r="597" ht="15" customHeight="1" s="83">
      <c r="A597" s="135" t="n"/>
      <c r="B597" s="135" t="n"/>
      <c r="C597" s="135" t="n"/>
      <c r="D597" s="136" t="n"/>
      <c r="E597" s="137" t="n"/>
      <c r="F597" s="136" t="n"/>
      <c r="G597" s="137" t="n"/>
      <c r="H597" s="137" t="n"/>
    </row>
    <row r="598" ht="15" customHeight="1" s="83">
      <c r="A598" s="135" t="n"/>
      <c r="B598" s="135" t="n"/>
      <c r="C598" s="135" t="n"/>
      <c r="D598" s="136" t="n"/>
      <c r="E598" s="137" t="n"/>
      <c r="F598" s="136" t="n"/>
      <c r="G598" s="137" t="n"/>
      <c r="H598" s="137" t="n"/>
    </row>
    <row r="599" ht="15" customHeight="1" s="83">
      <c r="A599" s="135" t="n"/>
      <c r="B599" s="135" t="n"/>
      <c r="C599" s="135" t="n"/>
      <c r="D599" s="136" t="n"/>
      <c r="E599" s="137" t="n"/>
      <c r="F599" s="136" t="n"/>
      <c r="G599" s="137" t="n"/>
      <c r="H599" s="137" t="n"/>
    </row>
    <row r="600" ht="15" customHeight="1" s="83">
      <c r="A600" s="135" t="n"/>
      <c r="B600" s="135" t="n"/>
      <c r="C600" s="135" t="n"/>
      <c r="D600" s="136" t="n"/>
      <c r="E600" s="137" t="n"/>
      <c r="F600" s="136" t="n"/>
      <c r="G600" s="137" t="n"/>
      <c r="H600" s="137" t="n"/>
    </row>
    <row r="601" ht="15" customHeight="1" s="83">
      <c r="A601" s="135" t="n"/>
      <c r="B601" s="135" t="n"/>
      <c r="C601" s="135" t="n"/>
      <c r="D601" s="136" t="n"/>
      <c r="E601" s="137" t="n"/>
      <c r="F601" s="136" t="n"/>
      <c r="G601" s="137" t="n"/>
      <c r="H601" s="137" t="n"/>
    </row>
    <row r="602" ht="15" customHeight="1" s="83">
      <c r="A602" s="135" t="n"/>
      <c r="B602" s="135" t="n"/>
      <c r="C602" s="135" t="n"/>
      <c r="D602" s="136" t="n"/>
      <c r="E602" s="137" t="n"/>
      <c r="F602" s="136" t="n"/>
      <c r="G602" s="137" t="n"/>
      <c r="H602" s="137" t="n"/>
    </row>
    <row r="603" ht="15" customHeight="1" s="83">
      <c r="A603" s="135" t="n"/>
      <c r="B603" s="135" t="n"/>
      <c r="C603" s="135" t="n"/>
      <c r="D603" s="136" t="n"/>
      <c r="E603" s="137" t="n"/>
      <c r="F603" s="136" t="n"/>
      <c r="G603" s="137" t="n"/>
      <c r="H603" s="137" t="n"/>
    </row>
    <row r="604" ht="15" customHeight="1" s="83">
      <c r="A604" s="135" t="n"/>
      <c r="B604" s="135" t="n"/>
      <c r="C604" s="135" t="n"/>
      <c r="D604" s="136" t="n"/>
      <c r="E604" s="137" t="n"/>
      <c r="F604" s="136" t="n"/>
      <c r="G604" s="137" t="n"/>
      <c r="H604" s="137" t="n"/>
    </row>
    <row r="605" ht="15" customHeight="1" s="83">
      <c r="A605" s="135" t="n"/>
      <c r="B605" s="135" t="n"/>
      <c r="C605" s="135" t="n"/>
      <c r="D605" s="136" t="n"/>
      <c r="E605" s="137" t="n"/>
      <c r="F605" s="136" t="n"/>
      <c r="G605" s="137" t="n"/>
      <c r="H605" s="137" t="n"/>
    </row>
    <row r="606" ht="15" customHeight="1" s="83">
      <c r="A606" s="135" t="n"/>
      <c r="B606" s="135" t="n"/>
      <c r="C606" s="135" t="n"/>
      <c r="D606" s="136" t="n"/>
      <c r="E606" s="137" t="n"/>
      <c r="F606" s="136" t="n"/>
      <c r="G606" s="137" t="n"/>
      <c r="H606" s="137" t="n"/>
    </row>
    <row r="607" ht="15" customHeight="1" s="83">
      <c r="A607" s="135" t="n"/>
      <c r="B607" s="135" t="n"/>
      <c r="C607" s="135" t="n"/>
      <c r="D607" s="136" t="n"/>
      <c r="E607" s="137" t="n"/>
      <c r="F607" s="136" t="n"/>
      <c r="G607" s="137" t="n"/>
      <c r="H607" s="137" t="n"/>
    </row>
    <row r="608" ht="15" customHeight="1" s="83">
      <c r="A608" s="135" t="n"/>
      <c r="B608" s="135" t="n"/>
      <c r="C608" s="135" t="n"/>
      <c r="D608" s="136" t="n"/>
      <c r="E608" s="137" t="n"/>
      <c r="F608" s="136" t="n"/>
      <c r="G608" s="137" t="n"/>
      <c r="H608" s="137" t="n"/>
    </row>
    <row r="609" ht="15" customHeight="1" s="83">
      <c r="A609" s="135" t="n"/>
      <c r="B609" s="135" t="n"/>
      <c r="C609" s="135" t="n"/>
      <c r="D609" s="136" t="n"/>
      <c r="E609" s="137" t="n"/>
      <c r="F609" s="136" t="n"/>
      <c r="G609" s="137" t="n"/>
      <c r="H609" s="137" t="n"/>
    </row>
    <row r="610" ht="15" customHeight="1" s="83">
      <c r="A610" s="135" t="n"/>
      <c r="B610" s="135" t="n"/>
      <c r="C610" s="135" t="n"/>
      <c r="D610" s="136" t="n"/>
      <c r="E610" s="137" t="n"/>
      <c r="F610" s="136" t="n"/>
      <c r="G610" s="137" t="n"/>
      <c r="H610" s="137" t="n"/>
    </row>
    <row r="611" ht="15" customHeight="1" s="83">
      <c r="A611" s="135" t="n"/>
      <c r="B611" s="135" t="n"/>
      <c r="C611" s="135" t="n"/>
      <c r="D611" s="136" t="n"/>
      <c r="E611" s="137" t="n"/>
      <c r="F611" s="136" t="n"/>
      <c r="G611" s="137" t="n"/>
      <c r="H611" s="137" t="n"/>
    </row>
    <row r="612" ht="15" customHeight="1" s="83">
      <c r="A612" s="135" t="n"/>
      <c r="B612" s="135" t="n"/>
      <c r="C612" s="135" t="n"/>
      <c r="D612" s="136" t="n"/>
      <c r="E612" s="137" t="n"/>
      <c r="F612" s="136" t="n"/>
      <c r="G612" s="137" t="n"/>
      <c r="H612" s="137" t="n"/>
    </row>
    <row r="613" ht="15" customHeight="1" s="83">
      <c r="A613" s="135" t="n"/>
      <c r="B613" s="135" t="n"/>
      <c r="C613" s="135" t="n"/>
      <c r="D613" s="136" t="n"/>
      <c r="E613" s="137" t="n"/>
      <c r="F613" s="136" t="n"/>
      <c r="G613" s="137" t="n"/>
      <c r="H613" s="137" t="n"/>
    </row>
    <row r="614" ht="15" customHeight="1" s="83">
      <c r="A614" s="135" t="n"/>
      <c r="B614" s="135" t="n"/>
      <c r="C614" s="135" t="n"/>
      <c r="D614" s="136" t="n"/>
      <c r="E614" s="137" t="n"/>
      <c r="F614" s="136" t="n"/>
      <c r="G614" s="137" t="n"/>
      <c r="H614" s="137" t="n"/>
    </row>
    <row r="615" ht="15" customHeight="1" s="83">
      <c r="A615" s="135" t="n"/>
      <c r="B615" s="135" t="n"/>
      <c r="C615" s="135" t="n"/>
      <c r="D615" s="136" t="n"/>
      <c r="E615" s="137" t="n"/>
      <c r="F615" s="136" t="n"/>
      <c r="G615" s="137" t="n"/>
      <c r="H615" s="137" t="n"/>
    </row>
    <row r="616" ht="15" customHeight="1" s="83">
      <c r="A616" s="135" t="n"/>
      <c r="B616" s="135" t="n"/>
      <c r="C616" s="135" t="n"/>
      <c r="D616" s="136" t="n"/>
      <c r="E616" s="137" t="n"/>
      <c r="F616" s="136" t="n"/>
      <c r="G616" s="137" t="n"/>
      <c r="H616" s="137" t="n"/>
    </row>
    <row r="617" ht="15" customHeight="1" s="83">
      <c r="A617" s="135" t="n"/>
      <c r="B617" s="135" t="n"/>
      <c r="C617" s="135" t="n"/>
      <c r="D617" s="136" t="n"/>
      <c r="E617" s="137" t="n"/>
      <c r="F617" s="136" t="n"/>
      <c r="G617" s="137" t="n"/>
      <c r="H617" s="137" t="n"/>
    </row>
    <row r="618" ht="15" customHeight="1" s="83">
      <c r="A618" s="135" t="n"/>
      <c r="B618" s="135" t="n"/>
      <c r="C618" s="135" t="n"/>
      <c r="D618" s="136" t="n"/>
      <c r="E618" s="137" t="n"/>
      <c r="F618" s="136" t="n"/>
      <c r="G618" s="137" t="n"/>
      <c r="H618" s="137" t="n"/>
    </row>
    <row r="619" ht="15" customHeight="1" s="83">
      <c r="A619" s="135" t="n"/>
      <c r="B619" s="135" t="n"/>
      <c r="C619" s="135" t="n"/>
      <c r="D619" s="136" t="n"/>
      <c r="E619" s="137" t="n"/>
      <c r="F619" s="136" t="n"/>
      <c r="G619" s="137" t="n"/>
      <c r="H619" s="137" t="n"/>
    </row>
    <row r="620" ht="15" customHeight="1" s="83">
      <c r="A620" s="135" t="n"/>
      <c r="B620" s="135" t="n"/>
      <c r="C620" s="135" t="n"/>
      <c r="D620" s="136" t="n"/>
      <c r="E620" s="137" t="n"/>
      <c r="F620" s="136" t="n"/>
      <c r="G620" s="137" t="n"/>
      <c r="H620" s="137" t="n"/>
    </row>
    <row r="621" ht="15" customHeight="1" s="83">
      <c r="A621" s="135" t="n"/>
      <c r="B621" s="135" t="n"/>
      <c r="C621" s="135" t="n"/>
      <c r="D621" s="136" t="n"/>
      <c r="E621" s="137" t="n"/>
      <c r="F621" s="136" t="n"/>
      <c r="G621" s="137" t="n"/>
      <c r="H621" s="137" t="n"/>
    </row>
    <row r="622" ht="15" customHeight="1" s="83">
      <c r="A622" s="135" t="n"/>
      <c r="B622" s="135" t="n"/>
      <c r="C622" s="135" t="n"/>
      <c r="D622" s="136" t="n"/>
      <c r="E622" s="137" t="n"/>
      <c r="F622" s="136" t="n"/>
      <c r="G622" s="137" t="n"/>
      <c r="H622" s="137" t="n"/>
    </row>
    <row r="623" ht="15" customHeight="1" s="83">
      <c r="A623" s="135" t="n"/>
      <c r="B623" s="135" t="n"/>
      <c r="C623" s="135" t="n"/>
      <c r="D623" s="136" t="n"/>
      <c r="E623" s="137" t="n"/>
      <c r="F623" s="136" t="n"/>
      <c r="G623" s="137" t="n"/>
      <c r="H623" s="137" t="n"/>
    </row>
    <row r="624" ht="15" customHeight="1" s="83">
      <c r="A624" s="135" t="n"/>
      <c r="B624" s="135" t="n"/>
      <c r="C624" s="135" t="n"/>
      <c r="D624" s="136" t="n"/>
      <c r="E624" s="137" t="n"/>
      <c r="F624" s="136" t="n"/>
      <c r="G624" s="137" t="n"/>
      <c r="H624" s="137" t="n"/>
    </row>
    <row r="625" ht="15" customHeight="1" s="83">
      <c r="A625" s="135" t="n"/>
      <c r="B625" s="135" t="n"/>
      <c r="C625" s="135" t="n"/>
      <c r="D625" s="136" t="n"/>
      <c r="E625" s="137" t="n"/>
      <c r="F625" s="136" t="n"/>
      <c r="G625" s="137" t="n"/>
      <c r="H625" s="137" t="n"/>
    </row>
    <row r="626" ht="15" customHeight="1" s="83">
      <c r="A626" s="135" t="n"/>
      <c r="B626" s="135" t="n"/>
      <c r="C626" s="135" t="n"/>
      <c r="D626" s="136" t="n"/>
      <c r="E626" s="137" t="n"/>
      <c r="F626" s="136" t="n"/>
      <c r="G626" s="137" t="n"/>
      <c r="H626" s="137" t="n"/>
    </row>
    <row r="627" ht="15" customHeight="1" s="83">
      <c r="A627" s="135" t="n"/>
      <c r="B627" s="135" t="n"/>
      <c r="C627" s="135" t="n"/>
      <c r="D627" s="136" t="n"/>
      <c r="E627" s="137" t="n"/>
      <c r="F627" s="136" t="n"/>
      <c r="G627" s="137" t="n"/>
      <c r="H627" s="137" t="n"/>
    </row>
    <row r="628" ht="15" customHeight="1" s="83">
      <c r="A628" s="135" t="n"/>
      <c r="B628" s="135" t="n"/>
      <c r="C628" s="135" t="n"/>
      <c r="D628" s="136" t="n"/>
      <c r="E628" s="137" t="n"/>
      <c r="F628" s="136" t="n"/>
      <c r="G628" s="137" t="n"/>
      <c r="H628" s="137" t="n"/>
    </row>
    <row r="629" ht="15" customHeight="1" s="83">
      <c r="A629" s="135" t="n"/>
      <c r="B629" s="135" t="n"/>
      <c r="C629" s="135" t="n"/>
      <c r="D629" s="136" t="n"/>
      <c r="E629" s="137" t="n"/>
      <c r="F629" s="136" t="n"/>
      <c r="G629" s="137" t="n"/>
      <c r="H629" s="137" t="n"/>
    </row>
    <row r="630" ht="15" customHeight="1" s="83">
      <c r="A630" s="135" t="n"/>
      <c r="B630" s="135" t="n"/>
      <c r="C630" s="135" t="n"/>
      <c r="D630" s="136" t="n"/>
      <c r="E630" s="137" t="n"/>
      <c r="F630" s="136" t="n"/>
      <c r="G630" s="137" t="n"/>
      <c r="H630" s="137" t="n"/>
    </row>
    <row r="631" ht="15" customHeight="1" s="83">
      <c r="A631" s="135" t="n"/>
      <c r="B631" s="135" t="n"/>
      <c r="C631" s="135" t="n"/>
      <c r="D631" s="136" t="n"/>
      <c r="E631" s="137" t="n"/>
      <c r="F631" s="136" t="n"/>
      <c r="G631" s="137" t="n"/>
      <c r="H631" s="137" t="n"/>
    </row>
    <row r="632" ht="15" customHeight="1" s="83">
      <c r="A632" s="135" t="n"/>
      <c r="B632" s="135" t="n"/>
      <c r="C632" s="135" t="n"/>
      <c r="D632" s="136" t="n"/>
      <c r="E632" s="137" t="n"/>
      <c r="F632" s="136" t="n"/>
      <c r="G632" s="137" t="n"/>
      <c r="H632" s="137" t="n"/>
    </row>
    <row r="633" ht="15" customHeight="1" s="83">
      <c r="A633" s="135" t="n"/>
      <c r="B633" s="135" t="n"/>
      <c r="C633" s="135" t="n"/>
      <c r="D633" s="136" t="n"/>
      <c r="E633" s="137" t="n"/>
      <c r="F633" s="136" t="n"/>
      <c r="G633" s="137" t="n"/>
      <c r="H633" s="137" t="n"/>
    </row>
    <row r="634" ht="15" customHeight="1" s="83">
      <c r="A634" s="135" t="n"/>
      <c r="B634" s="135" t="n"/>
      <c r="C634" s="135" t="n"/>
      <c r="D634" s="136" t="n"/>
      <c r="E634" s="137" t="n"/>
      <c r="F634" s="136" t="n"/>
      <c r="G634" s="137" t="n"/>
      <c r="H634" s="137" t="n"/>
    </row>
    <row r="635" ht="15" customHeight="1" s="83">
      <c r="A635" s="135" t="n"/>
      <c r="B635" s="135" t="n"/>
      <c r="C635" s="135" t="n"/>
      <c r="D635" s="136" t="n"/>
      <c r="E635" s="137" t="n"/>
      <c r="F635" s="136" t="n"/>
      <c r="G635" s="137" t="n"/>
      <c r="H635" s="137" t="n"/>
    </row>
    <row r="636" ht="15" customHeight="1" s="83">
      <c r="A636" s="135" t="n"/>
      <c r="B636" s="135" t="n"/>
      <c r="C636" s="135" t="n"/>
      <c r="D636" s="136" t="n"/>
      <c r="E636" s="137" t="n"/>
      <c r="F636" s="136" t="n"/>
      <c r="G636" s="137" t="n"/>
      <c r="H636" s="137" t="n"/>
    </row>
    <row r="637" ht="15" customHeight="1" s="83">
      <c r="A637" s="135" t="n"/>
      <c r="B637" s="135" t="n"/>
      <c r="C637" s="135" t="n"/>
      <c r="D637" s="136" t="n"/>
      <c r="E637" s="137" t="n"/>
      <c r="F637" s="136" t="n"/>
      <c r="G637" s="137" t="n"/>
      <c r="H637" s="137" t="n"/>
    </row>
    <row r="638" ht="15" customHeight="1" s="83">
      <c r="A638" s="135" t="n"/>
      <c r="B638" s="135" t="n"/>
      <c r="C638" s="135" t="n"/>
      <c r="D638" s="136" t="n"/>
      <c r="E638" s="137" t="n"/>
      <c r="F638" s="136" t="n"/>
      <c r="G638" s="137" t="n"/>
      <c r="H638" s="137" t="n"/>
    </row>
    <row r="639" ht="15" customHeight="1" s="83">
      <c r="A639" s="135" t="n"/>
      <c r="B639" s="135" t="n"/>
      <c r="C639" s="135" t="n"/>
      <c r="D639" s="136" t="n"/>
      <c r="E639" s="137" t="n"/>
      <c r="F639" s="136" t="n"/>
      <c r="G639" s="137" t="n"/>
      <c r="H639" s="137" t="n"/>
    </row>
    <row r="640" ht="15" customHeight="1" s="83">
      <c r="A640" s="135" t="n"/>
      <c r="B640" s="135" t="n"/>
      <c r="C640" s="135" t="n"/>
      <c r="D640" s="136" t="n"/>
      <c r="E640" s="137" t="n"/>
      <c r="F640" s="136" t="n"/>
      <c r="G640" s="137" t="n"/>
      <c r="H640" s="137" t="n"/>
    </row>
    <row r="641" ht="15" customHeight="1" s="83">
      <c r="A641" s="135" t="n"/>
      <c r="B641" s="135" t="n"/>
      <c r="C641" s="135" t="n"/>
      <c r="D641" s="136" t="n"/>
      <c r="E641" s="137" t="n"/>
      <c r="F641" s="136" t="n"/>
      <c r="G641" s="137" t="n"/>
      <c r="H641" s="137" t="n"/>
    </row>
    <row r="642" ht="15" customHeight="1" s="83">
      <c r="A642" s="135" t="n"/>
      <c r="B642" s="135" t="n"/>
      <c r="C642" s="135" t="n"/>
      <c r="D642" s="136" t="n"/>
      <c r="E642" s="137" t="n"/>
      <c r="F642" s="136" t="n"/>
      <c r="G642" s="137" t="n"/>
      <c r="H642" s="137" t="n"/>
    </row>
    <row r="643" ht="15" customHeight="1" s="83">
      <c r="A643" s="135" t="n"/>
      <c r="B643" s="135" t="n"/>
      <c r="C643" s="135" t="n"/>
      <c r="D643" s="136" t="n"/>
      <c r="E643" s="137" t="n"/>
      <c r="F643" s="136" t="n"/>
      <c r="G643" s="137" t="n"/>
      <c r="H643" s="137" t="n"/>
    </row>
    <row r="644" ht="15" customHeight="1" s="83">
      <c r="A644" s="135" t="n"/>
      <c r="B644" s="135" t="n"/>
      <c r="C644" s="135" t="n"/>
      <c r="D644" s="136" t="n"/>
      <c r="E644" s="137" t="n"/>
      <c r="F644" s="136" t="n"/>
      <c r="G644" s="137" t="n"/>
      <c r="H644" s="137" t="n"/>
    </row>
    <row r="645" ht="15" customHeight="1" s="83">
      <c r="A645" s="135" t="n"/>
      <c r="B645" s="135" t="n"/>
      <c r="C645" s="135" t="n"/>
      <c r="D645" s="136" t="n"/>
      <c r="E645" s="137" t="n"/>
      <c r="F645" s="136" t="n"/>
      <c r="G645" s="137" t="n"/>
      <c r="H645" s="137" t="n"/>
    </row>
    <row r="646" ht="15" customHeight="1" s="83">
      <c r="A646" s="135" t="n"/>
      <c r="B646" s="135" t="n"/>
      <c r="C646" s="135" t="n"/>
      <c r="D646" s="136" t="n"/>
      <c r="E646" s="137" t="n"/>
      <c r="F646" s="136" t="n"/>
      <c r="G646" s="137" t="n"/>
      <c r="H646" s="137" t="n"/>
    </row>
    <row r="647" ht="15" customHeight="1" s="83">
      <c r="A647" s="135" t="n"/>
      <c r="B647" s="135" t="n"/>
      <c r="C647" s="135" t="n"/>
      <c r="D647" s="136" t="n"/>
      <c r="E647" s="137" t="n"/>
      <c r="F647" s="136" t="n"/>
      <c r="G647" s="137" t="n"/>
      <c r="H647" s="137" t="n"/>
    </row>
    <row r="648" ht="15" customHeight="1" s="83">
      <c r="A648" s="135" t="n"/>
      <c r="B648" s="135" t="n"/>
      <c r="C648" s="135" t="n"/>
      <c r="D648" s="136" t="n"/>
      <c r="E648" s="137" t="n"/>
      <c r="F648" s="136" t="n"/>
      <c r="G648" s="137" t="n"/>
      <c r="H648" s="137" t="n"/>
    </row>
    <row r="649" ht="15" customHeight="1" s="83">
      <c r="A649" s="135" t="n"/>
      <c r="B649" s="135" t="n"/>
      <c r="C649" s="135" t="n"/>
      <c r="D649" s="136" t="n"/>
      <c r="E649" s="137" t="n"/>
      <c r="F649" s="136" t="n"/>
      <c r="G649" s="137" t="n"/>
      <c r="H649" s="137" t="n"/>
    </row>
    <row r="650" ht="15" customHeight="1" s="83">
      <c r="A650" s="135" t="n"/>
      <c r="B650" s="135" t="n"/>
      <c r="C650" s="135" t="n"/>
      <c r="D650" s="136" t="n"/>
      <c r="E650" s="137" t="n"/>
      <c r="F650" s="136" t="n"/>
      <c r="G650" s="137" t="n"/>
      <c r="H650" s="137" t="n"/>
    </row>
    <row r="651" ht="15" customHeight="1" s="83">
      <c r="A651" s="135" t="n"/>
      <c r="B651" s="135" t="n"/>
      <c r="C651" s="135" t="n"/>
      <c r="D651" s="136" t="n"/>
      <c r="E651" s="137" t="n"/>
      <c r="F651" s="136" t="n"/>
      <c r="G651" s="137" t="n"/>
      <c r="H651" s="137" t="n"/>
    </row>
    <row r="652" ht="15" customHeight="1" s="83">
      <c r="A652" s="135" t="n"/>
      <c r="B652" s="135" t="n"/>
      <c r="C652" s="135" t="n"/>
      <c r="D652" s="136" t="n"/>
      <c r="E652" s="137" t="n"/>
      <c r="F652" s="136" t="n"/>
      <c r="G652" s="137" t="n"/>
      <c r="H652" s="137" t="n"/>
    </row>
    <row r="653" ht="15" customHeight="1" s="83">
      <c r="A653" s="135" t="n"/>
      <c r="B653" s="135" t="n"/>
      <c r="C653" s="135" t="n"/>
      <c r="D653" s="136" t="n"/>
      <c r="E653" s="137" t="n"/>
      <c r="F653" s="136" t="n"/>
      <c r="G653" s="137" t="n"/>
      <c r="H653" s="137" t="n"/>
    </row>
    <row r="654" ht="15" customHeight="1" s="83">
      <c r="A654" s="135" t="n"/>
      <c r="B654" s="135" t="n"/>
      <c r="C654" s="135" t="n"/>
      <c r="D654" s="136" t="n"/>
      <c r="E654" s="137" t="n"/>
      <c r="F654" s="136" t="n"/>
      <c r="G654" s="137" t="n"/>
      <c r="H654" s="137" t="n"/>
    </row>
    <row r="655" ht="15" customHeight="1" s="83">
      <c r="A655" s="135" t="n"/>
      <c r="B655" s="135" t="n"/>
      <c r="C655" s="135" t="n"/>
      <c r="D655" s="136" t="n"/>
      <c r="E655" s="137" t="n"/>
      <c r="F655" s="136" t="n"/>
      <c r="G655" s="137" t="n"/>
      <c r="H655" s="137" t="n"/>
    </row>
    <row r="656" ht="15" customHeight="1" s="83">
      <c r="A656" s="135" t="n"/>
      <c r="B656" s="135" t="n"/>
      <c r="C656" s="135" t="n"/>
      <c r="D656" s="136" t="n"/>
      <c r="E656" s="137" t="n"/>
      <c r="F656" s="136" t="n"/>
      <c r="G656" s="137" t="n"/>
      <c r="H656" s="137" t="n"/>
    </row>
    <row r="657" ht="15" customHeight="1" s="83">
      <c r="A657" s="135" t="n"/>
      <c r="B657" s="135" t="n"/>
      <c r="C657" s="135" t="n"/>
      <c r="D657" s="136" t="n"/>
      <c r="E657" s="137" t="n"/>
      <c r="F657" s="136" t="n"/>
      <c r="G657" s="137" t="n"/>
      <c r="H657" s="137" t="n"/>
    </row>
    <row r="658" ht="15" customHeight="1" s="83">
      <c r="A658" s="135" t="n"/>
      <c r="B658" s="135" t="n"/>
      <c r="C658" s="135" t="n"/>
      <c r="D658" s="136" t="n"/>
      <c r="E658" s="137" t="n"/>
      <c r="F658" s="136" t="n"/>
      <c r="G658" s="137" t="n"/>
      <c r="H658" s="137" t="n"/>
    </row>
    <row r="659" ht="15" customHeight="1" s="83">
      <c r="A659" s="135" t="n"/>
      <c r="B659" s="135" t="n"/>
      <c r="C659" s="135" t="n"/>
      <c r="D659" s="136" t="n"/>
      <c r="E659" s="137" t="n"/>
      <c r="F659" s="136" t="n"/>
      <c r="G659" s="137" t="n"/>
      <c r="H659" s="137" t="n"/>
    </row>
    <row r="660" ht="15" customHeight="1" s="83">
      <c r="A660" s="135" t="n"/>
      <c r="B660" s="135" t="n"/>
      <c r="C660" s="135" t="n"/>
      <c r="D660" s="136" t="n"/>
      <c r="E660" s="137" t="n"/>
      <c r="F660" s="136" t="n"/>
      <c r="G660" s="137" t="n"/>
      <c r="H660" s="137" t="n"/>
    </row>
    <row r="661" ht="15" customHeight="1" s="83">
      <c r="A661" s="135" t="n"/>
      <c r="B661" s="135" t="n"/>
      <c r="C661" s="135" t="n"/>
      <c r="D661" s="136" t="n"/>
      <c r="E661" s="137" t="n"/>
      <c r="F661" s="136" t="n"/>
      <c r="G661" s="137" t="n"/>
      <c r="H661" s="137" t="n"/>
    </row>
    <row r="662" ht="15" customHeight="1" s="83">
      <c r="A662" s="135" t="n"/>
      <c r="B662" s="135" t="n"/>
      <c r="C662" s="135" t="n"/>
      <c r="D662" s="136" t="n"/>
      <c r="E662" s="137" t="n"/>
      <c r="F662" s="136" t="n"/>
      <c r="G662" s="137" t="n"/>
      <c r="H662" s="137" t="n"/>
    </row>
    <row r="663" ht="15" customHeight="1" s="83">
      <c r="A663" s="135" t="n"/>
      <c r="B663" s="135" t="n"/>
      <c r="C663" s="135" t="n"/>
      <c r="D663" s="136" t="n"/>
      <c r="E663" s="137" t="n"/>
      <c r="F663" s="136" t="n"/>
      <c r="G663" s="137" t="n"/>
      <c r="H663" s="137" t="n"/>
    </row>
    <row r="664" ht="15" customHeight="1" s="83">
      <c r="A664" s="135" t="n"/>
      <c r="B664" s="135" t="n"/>
      <c r="C664" s="135" t="n"/>
      <c r="D664" s="136" t="n"/>
      <c r="E664" s="137" t="n"/>
      <c r="F664" s="136" t="n"/>
      <c r="G664" s="137" t="n"/>
      <c r="H664" s="137" t="n"/>
    </row>
    <row r="665" ht="15" customHeight="1" s="83">
      <c r="A665" s="135" t="n"/>
      <c r="B665" s="135" t="n"/>
      <c r="C665" s="135" t="n"/>
      <c r="D665" s="136" t="n"/>
      <c r="E665" s="137" t="n"/>
      <c r="F665" s="136" t="n"/>
      <c r="G665" s="137" t="n"/>
      <c r="H665" s="137" t="n"/>
    </row>
    <row r="666" ht="15" customHeight="1" s="83">
      <c r="A666" s="135" t="n"/>
      <c r="B666" s="135" t="n"/>
      <c r="C666" s="135" t="n"/>
      <c r="D666" s="136" t="n"/>
      <c r="E666" s="137" t="n"/>
      <c r="F666" s="136" t="n"/>
      <c r="G666" s="137" t="n"/>
      <c r="H666" s="137" t="n"/>
    </row>
    <row r="667" ht="15" customHeight="1" s="83">
      <c r="A667" s="135" t="n"/>
      <c r="B667" s="135" t="n"/>
      <c r="C667" s="135" t="n"/>
      <c r="D667" s="136" t="n"/>
      <c r="E667" s="137" t="n"/>
      <c r="F667" s="136" t="n"/>
      <c r="G667" s="137" t="n"/>
      <c r="H667" s="137" t="n"/>
    </row>
    <row r="668" ht="15" customHeight="1" s="83">
      <c r="A668" s="135" t="n"/>
      <c r="B668" s="135" t="n"/>
      <c r="C668" s="135" t="n"/>
      <c r="D668" s="136" t="n"/>
      <c r="E668" s="137" t="n"/>
      <c r="F668" s="136" t="n"/>
      <c r="G668" s="137" t="n"/>
      <c r="H668" s="137" t="n"/>
    </row>
    <row r="669" ht="15" customHeight="1" s="83">
      <c r="A669" s="135" t="n"/>
      <c r="B669" s="135" t="n"/>
      <c r="C669" s="135" t="n"/>
      <c r="D669" s="136" t="n"/>
      <c r="E669" s="137" t="n"/>
      <c r="F669" s="136" t="n"/>
      <c r="G669" s="137" t="n"/>
      <c r="H669" s="137" t="n"/>
    </row>
    <row r="670" ht="15" customHeight="1" s="83">
      <c r="A670" s="135" t="n"/>
      <c r="B670" s="135" t="n"/>
      <c r="C670" s="135" t="n"/>
      <c r="D670" s="136" t="n"/>
      <c r="E670" s="137" t="n"/>
      <c r="F670" s="136" t="n"/>
      <c r="G670" s="137" t="n"/>
      <c r="H670" s="137" t="n"/>
    </row>
    <row r="671" ht="15" customHeight="1" s="83">
      <c r="A671" s="135" t="n"/>
      <c r="B671" s="135" t="n"/>
      <c r="C671" s="135" t="n"/>
      <c r="D671" s="136" t="n"/>
      <c r="E671" s="137" t="n"/>
      <c r="F671" s="136" t="n"/>
      <c r="G671" s="137" t="n"/>
      <c r="H671" s="137" t="n"/>
    </row>
    <row r="672" ht="15" customHeight="1" s="83">
      <c r="A672" s="135" t="n"/>
      <c r="B672" s="135" t="n"/>
      <c r="C672" s="135" t="n"/>
      <c r="D672" s="136" t="n"/>
      <c r="E672" s="137" t="n"/>
      <c r="F672" s="136" t="n"/>
      <c r="G672" s="137" t="n"/>
      <c r="H672" s="137" t="n"/>
    </row>
    <row r="673" ht="15" customHeight="1" s="83">
      <c r="A673" s="135" t="n"/>
      <c r="B673" s="135" t="n"/>
      <c r="C673" s="135" t="n"/>
      <c r="D673" s="136" t="n"/>
      <c r="E673" s="137" t="n"/>
      <c r="F673" s="136" t="n"/>
      <c r="G673" s="137" t="n"/>
      <c r="H673" s="137" t="n"/>
    </row>
    <row r="674" ht="15" customHeight="1" s="83">
      <c r="A674" s="135" t="n"/>
      <c r="B674" s="135" t="n"/>
      <c r="C674" s="135" t="n"/>
      <c r="D674" s="136" t="n"/>
      <c r="E674" s="137" t="n"/>
      <c r="F674" s="136" t="n"/>
      <c r="G674" s="137" t="n"/>
      <c r="H674" s="137" t="n"/>
    </row>
    <row r="675" ht="15" customHeight="1" s="83">
      <c r="A675" s="135" t="n"/>
      <c r="B675" s="135" t="n"/>
      <c r="C675" s="135" t="n"/>
      <c r="D675" s="136" t="n"/>
      <c r="E675" s="137" t="n"/>
      <c r="F675" s="136" t="n"/>
      <c r="G675" s="137" t="n"/>
      <c r="H675" s="137" t="n"/>
    </row>
    <row r="676" ht="15" customHeight="1" s="83">
      <c r="A676" s="135" t="n"/>
      <c r="B676" s="135" t="n"/>
      <c r="C676" s="135" t="n"/>
      <c r="D676" s="136" t="n"/>
      <c r="E676" s="137" t="n"/>
      <c r="F676" s="136" t="n"/>
      <c r="G676" s="137" t="n"/>
      <c r="H676" s="137" t="n"/>
    </row>
    <row r="677" ht="15" customHeight="1" s="83">
      <c r="A677" s="135" t="n"/>
      <c r="B677" s="135" t="n"/>
      <c r="C677" s="135" t="n"/>
      <c r="D677" s="136" t="n"/>
      <c r="E677" s="137" t="n"/>
      <c r="F677" s="136" t="n"/>
      <c r="G677" s="137" t="n"/>
      <c r="H677" s="137" t="n"/>
    </row>
    <row r="678" ht="15" customHeight="1" s="83">
      <c r="A678" s="135" t="n"/>
      <c r="B678" s="135" t="n"/>
      <c r="C678" s="135" t="n"/>
      <c r="D678" s="136" t="n"/>
      <c r="E678" s="137" t="n"/>
      <c r="F678" s="136" t="n"/>
      <c r="G678" s="137" t="n"/>
      <c r="H678" s="137" t="n"/>
    </row>
    <row r="679" ht="15" customHeight="1" s="83">
      <c r="A679" s="135" t="n"/>
      <c r="B679" s="135" t="n"/>
      <c r="C679" s="135" t="n"/>
      <c r="D679" s="136" t="n"/>
      <c r="E679" s="137" t="n"/>
      <c r="F679" s="136" t="n"/>
      <c r="G679" s="137" t="n"/>
      <c r="H679" s="137" t="n"/>
    </row>
    <row r="680" ht="15" customHeight="1" s="83">
      <c r="A680" s="135" t="n"/>
      <c r="B680" s="135" t="n"/>
      <c r="C680" s="135" t="n"/>
      <c r="D680" s="136" t="n"/>
      <c r="E680" s="137" t="n"/>
      <c r="F680" s="136" t="n"/>
      <c r="G680" s="137" t="n"/>
      <c r="H680" s="137" t="n"/>
    </row>
    <row r="681" ht="15" customHeight="1" s="83">
      <c r="A681" s="135" t="n"/>
      <c r="B681" s="135" t="n"/>
      <c r="C681" s="135" t="n"/>
      <c r="D681" s="136" t="n"/>
      <c r="E681" s="137" t="n"/>
      <c r="F681" s="136" t="n"/>
      <c r="G681" s="137" t="n"/>
      <c r="H681" s="137" t="n"/>
    </row>
    <row r="682" ht="15" customHeight="1" s="83">
      <c r="A682" s="135" t="n"/>
      <c r="B682" s="135" t="n"/>
      <c r="C682" s="135" t="n"/>
      <c r="D682" s="136" t="n"/>
      <c r="E682" s="137" t="n"/>
      <c r="F682" s="136" t="n"/>
      <c r="G682" s="137" t="n"/>
      <c r="H682" s="137" t="n"/>
    </row>
    <row r="683" ht="15" customHeight="1" s="83">
      <c r="A683" s="135" t="n"/>
      <c r="B683" s="135" t="n"/>
      <c r="C683" s="135" t="n"/>
      <c r="D683" s="136" t="n"/>
      <c r="E683" s="137" t="n"/>
      <c r="F683" s="136" t="n"/>
      <c r="G683" s="137" t="n"/>
      <c r="H683" s="137" t="n"/>
    </row>
    <row r="684" ht="15" customHeight="1" s="83">
      <c r="A684" s="135" t="n"/>
      <c r="B684" s="135" t="n"/>
      <c r="C684" s="135" t="n"/>
      <c r="D684" s="136" t="n"/>
      <c r="E684" s="137" t="n"/>
      <c r="F684" s="136" t="n"/>
      <c r="G684" s="137" t="n"/>
      <c r="H684" s="137" t="n"/>
    </row>
    <row r="685" ht="15" customHeight="1" s="83">
      <c r="A685" s="135" t="n"/>
      <c r="B685" s="135" t="n"/>
      <c r="C685" s="135" t="n"/>
      <c r="D685" s="136" t="n"/>
      <c r="E685" s="137" t="n"/>
      <c r="F685" s="136" t="n"/>
      <c r="G685" s="137" t="n"/>
      <c r="H685" s="137" t="n"/>
    </row>
    <row r="686" ht="15" customHeight="1" s="83">
      <c r="A686" s="135" t="n"/>
      <c r="B686" s="135" t="n"/>
      <c r="C686" s="135" t="n"/>
      <c r="D686" s="136" t="n"/>
      <c r="E686" s="137" t="n"/>
      <c r="F686" s="136" t="n"/>
      <c r="G686" s="137" t="n"/>
      <c r="H686" s="137" t="n"/>
    </row>
    <row r="687" ht="15" customHeight="1" s="83">
      <c r="A687" s="135" t="n"/>
      <c r="B687" s="135" t="n"/>
      <c r="C687" s="135" t="n"/>
      <c r="D687" s="136" t="n"/>
      <c r="E687" s="137" t="n"/>
      <c r="F687" s="136" t="n"/>
      <c r="G687" s="137" t="n"/>
      <c r="H687" s="137" t="n"/>
    </row>
    <row r="688" ht="15" customHeight="1" s="83">
      <c r="A688" s="135" t="n"/>
      <c r="B688" s="135" t="n"/>
      <c r="C688" s="135" t="n"/>
      <c r="D688" s="136" t="n"/>
      <c r="E688" s="137" t="n"/>
      <c r="F688" s="136" t="n"/>
      <c r="G688" s="137" t="n"/>
      <c r="H688" s="137" t="n"/>
    </row>
    <row r="689" ht="15" customHeight="1" s="83">
      <c r="A689" s="135" t="n"/>
      <c r="B689" s="135" t="n"/>
      <c r="C689" s="135" t="n"/>
      <c r="D689" s="136" t="n"/>
      <c r="E689" s="137" t="n"/>
      <c r="F689" s="136" t="n"/>
      <c r="G689" s="137" t="n"/>
      <c r="H689" s="137" t="n"/>
    </row>
    <row r="690" ht="15" customHeight="1" s="83">
      <c r="A690" s="135" t="n"/>
      <c r="B690" s="135" t="n"/>
      <c r="C690" s="135" t="n"/>
      <c r="D690" s="136" t="n"/>
      <c r="E690" s="137" t="n"/>
      <c r="F690" s="136" t="n"/>
      <c r="G690" s="137" t="n"/>
      <c r="H690" s="137" t="n"/>
    </row>
    <row r="691" ht="15" customHeight="1" s="83">
      <c r="A691" s="135" t="n"/>
      <c r="B691" s="135" t="n"/>
      <c r="C691" s="135" t="n"/>
      <c r="D691" s="136" t="n"/>
      <c r="E691" s="137" t="n"/>
      <c r="F691" s="136" t="n"/>
      <c r="G691" s="137" t="n"/>
      <c r="H691" s="137" t="n"/>
    </row>
    <row r="692" ht="15" customHeight="1" s="83">
      <c r="A692" s="135" t="n"/>
      <c r="B692" s="135" t="n"/>
      <c r="C692" s="135" t="n"/>
      <c r="D692" s="136" t="n"/>
      <c r="E692" s="137" t="n"/>
      <c r="F692" s="136" t="n"/>
      <c r="G692" s="137" t="n"/>
      <c r="H692" s="137" t="n"/>
    </row>
    <row r="693" ht="15" customHeight="1" s="83">
      <c r="A693" s="135" t="n"/>
      <c r="B693" s="135" t="n"/>
      <c r="C693" s="135" t="n"/>
      <c r="D693" s="136" t="n"/>
      <c r="E693" s="137" t="n"/>
      <c r="F693" s="136" t="n"/>
      <c r="G693" s="137" t="n"/>
      <c r="H693" s="137" t="n"/>
    </row>
    <row r="694" ht="15" customHeight="1" s="83">
      <c r="A694" s="135" t="n"/>
      <c r="B694" s="135" t="n"/>
      <c r="C694" s="135" t="n"/>
      <c r="D694" s="136" t="n"/>
      <c r="E694" s="137" t="n"/>
      <c r="F694" s="136" t="n"/>
      <c r="G694" s="137" t="n"/>
      <c r="H694" s="137" t="n"/>
    </row>
    <row r="695" ht="15" customHeight="1" s="83">
      <c r="A695" s="135" t="n"/>
      <c r="B695" s="135" t="n"/>
      <c r="C695" s="135" t="n"/>
      <c r="D695" s="136" t="n"/>
      <c r="E695" s="137" t="n"/>
      <c r="F695" s="136" t="n"/>
      <c r="G695" s="137" t="n"/>
      <c r="H695" s="137" t="n"/>
    </row>
    <row r="696" ht="15" customHeight="1" s="83">
      <c r="A696" s="135" t="n"/>
      <c r="B696" s="135" t="n"/>
      <c r="C696" s="135" t="n"/>
      <c r="D696" s="136" t="n"/>
      <c r="E696" s="137" t="n"/>
      <c r="F696" s="136" t="n"/>
      <c r="G696" s="137" t="n"/>
      <c r="H696" s="137" t="n"/>
    </row>
    <row r="697" ht="15" customHeight="1" s="83">
      <c r="A697" s="135" t="n"/>
      <c r="B697" s="135" t="n"/>
      <c r="C697" s="135" t="n"/>
      <c r="D697" s="136" t="n"/>
      <c r="E697" s="137" t="n"/>
      <c r="F697" s="136" t="n"/>
      <c r="G697" s="137" t="n"/>
      <c r="H697" s="137" t="n"/>
    </row>
    <row r="698" ht="15" customHeight="1" s="83">
      <c r="A698" s="135" t="n"/>
      <c r="B698" s="135" t="n"/>
      <c r="C698" s="135" t="n"/>
      <c r="D698" s="136" t="n"/>
      <c r="E698" s="137" t="n"/>
      <c r="F698" s="136" t="n"/>
      <c r="G698" s="137" t="n"/>
      <c r="H698" s="137" t="n"/>
    </row>
    <row r="699" ht="15" customHeight="1" s="83">
      <c r="A699" s="135" t="n"/>
      <c r="B699" s="135" t="n"/>
      <c r="C699" s="135" t="n"/>
      <c r="D699" s="136" t="n"/>
      <c r="E699" s="137" t="n"/>
      <c r="F699" s="136" t="n"/>
      <c r="G699" s="137" t="n"/>
      <c r="H699" s="137" t="n"/>
    </row>
    <row r="700" ht="15" customHeight="1" s="83">
      <c r="A700" s="135" t="n"/>
      <c r="B700" s="135" t="n"/>
      <c r="C700" s="135" t="n"/>
      <c r="D700" s="136" t="n"/>
      <c r="E700" s="137" t="n"/>
      <c r="F700" s="136" t="n"/>
      <c r="G700" s="137" t="n"/>
      <c r="H700" s="137" t="n"/>
    </row>
    <row r="701" ht="15" customHeight="1" s="83">
      <c r="A701" s="135" t="n"/>
      <c r="B701" s="135" t="n"/>
      <c r="C701" s="135" t="n"/>
      <c r="D701" s="136" t="n"/>
      <c r="E701" s="137" t="n"/>
      <c r="F701" s="136" t="n"/>
      <c r="G701" s="137" t="n"/>
      <c r="H701" s="137" t="n"/>
    </row>
    <row r="702" ht="15" customHeight="1" s="83">
      <c r="A702" s="135" t="n"/>
      <c r="B702" s="135" t="n"/>
      <c r="C702" s="135" t="n"/>
      <c r="D702" s="136" t="n"/>
      <c r="E702" s="137" t="n"/>
      <c r="F702" s="136" t="n"/>
      <c r="G702" s="137" t="n"/>
      <c r="H702" s="137" t="n"/>
    </row>
    <row r="703" ht="15" customHeight="1" s="83">
      <c r="A703" s="135" t="n"/>
      <c r="B703" s="135" t="n"/>
      <c r="C703" s="135" t="n"/>
      <c r="D703" s="136" t="n"/>
      <c r="E703" s="137" t="n"/>
      <c r="F703" s="136" t="n"/>
      <c r="G703" s="137" t="n"/>
      <c r="H703" s="137" t="n"/>
    </row>
    <row r="704" ht="15" customHeight="1" s="83">
      <c r="A704" s="135" t="n"/>
      <c r="B704" s="135" t="n"/>
      <c r="C704" s="135" t="n"/>
      <c r="D704" s="136" t="n"/>
      <c r="E704" s="137" t="n"/>
      <c r="F704" s="136" t="n"/>
      <c r="G704" s="137" t="n"/>
      <c r="H704" s="137" t="n"/>
    </row>
    <row r="705" ht="15" customHeight="1" s="83">
      <c r="A705" s="135" t="n"/>
      <c r="B705" s="135" t="n"/>
      <c r="C705" s="135" t="n"/>
      <c r="D705" s="136" t="n"/>
      <c r="E705" s="137" t="n"/>
      <c r="F705" s="136" t="n"/>
      <c r="G705" s="137" t="n"/>
      <c r="H705" s="137" t="n"/>
    </row>
    <row r="706" ht="15" customHeight="1" s="83">
      <c r="A706" s="135" t="n"/>
      <c r="B706" s="135" t="n"/>
      <c r="C706" s="135" t="n"/>
      <c r="D706" s="136" t="n"/>
      <c r="E706" s="137" t="n"/>
      <c r="F706" s="136" t="n"/>
      <c r="G706" s="137" t="n"/>
      <c r="H706" s="137" t="n"/>
    </row>
    <row r="707" ht="15" customHeight="1" s="83">
      <c r="A707" s="135" t="n"/>
      <c r="B707" s="135" t="n"/>
      <c r="C707" s="135" t="n"/>
      <c r="D707" s="136" t="n"/>
      <c r="E707" s="137" t="n"/>
      <c r="F707" s="136" t="n"/>
      <c r="G707" s="137" t="n"/>
      <c r="H707" s="137" t="n"/>
    </row>
    <row r="708" ht="15" customHeight="1" s="83">
      <c r="A708" s="135" t="n"/>
      <c r="B708" s="135" t="n"/>
      <c r="C708" s="135" t="n"/>
      <c r="D708" s="136" t="n"/>
      <c r="E708" s="137" t="n"/>
      <c r="F708" s="136" t="n"/>
      <c r="G708" s="137" t="n"/>
      <c r="H708" s="137" t="n"/>
    </row>
    <row r="709" ht="15" customHeight="1" s="83">
      <c r="A709" s="135" t="n"/>
      <c r="B709" s="135" t="n"/>
      <c r="C709" s="135" t="n"/>
      <c r="D709" s="136" t="n"/>
      <c r="E709" s="137" t="n"/>
      <c r="F709" s="136" t="n"/>
      <c r="G709" s="137" t="n"/>
      <c r="H709" s="137" t="n"/>
    </row>
    <row r="710" ht="15" customHeight="1" s="83">
      <c r="A710" s="135" t="n"/>
      <c r="B710" s="135" t="n"/>
      <c r="C710" s="135" t="n"/>
      <c r="D710" s="136" t="n"/>
      <c r="E710" s="137" t="n"/>
      <c r="F710" s="136" t="n"/>
      <c r="G710" s="137" t="n"/>
      <c r="H710" s="137" t="n"/>
    </row>
    <row r="711" ht="15" customHeight="1" s="83">
      <c r="A711" s="135" t="n"/>
      <c r="B711" s="135" t="n"/>
      <c r="C711" s="135" t="n"/>
      <c r="D711" s="136" t="n"/>
      <c r="E711" s="137" t="n"/>
      <c r="F711" s="136" t="n"/>
      <c r="G711" s="137" t="n"/>
      <c r="H711" s="137" t="n"/>
    </row>
    <row r="712" ht="15" customHeight="1" s="83">
      <c r="A712" s="135" t="n"/>
      <c r="B712" s="135" t="n"/>
      <c r="C712" s="135" t="n"/>
      <c r="D712" s="136" t="n"/>
      <c r="E712" s="137" t="n"/>
      <c r="F712" s="136" t="n"/>
      <c r="G712" s="137" t="n"/>
      <c r="H712" s="137" t="n"/>
    </row>
    <row r="713" ht="15" customHeight="1" s="83">
      <c r="A713" s="135" t="n"/>
      <c r="B713" s="135" t="n"/>
      <c r="C713" s="135" t="n"/>
      <c r="D713" s="136" t="n"/>
      <c r="E713" s="137" t="n"/>
      <c r="F713" s="136" t="n"/>
      <c r="G713" s="137" t="n"/>
      <c r="H713" s="137" t="n"/>
    </row>
    <row r="714" ht="15" customHeight="1" s="83">
      <c r="A714" s="135" t="n"/>
      <c r="B714" s="135" t="n"/>
      <c r="C714" s="135" t="n"/>
      <c r="D714" s="136" t="n"/>
      <c r="E714" s="137" t="n"/>
      <c r="F714" s="136" t="n"/>
      <c r="G714" s="137" t="n"/>
      <c r="H714" s="137" t="n"/>
    </row>
    <row r="715" ht="15" customHeight="1" s="83">
      <c r="A715" s="135" t="n"/>
      <c r="B715" s="135" t="n"/>
      <c r="C715" s="135" t="n"/>
      <c r="D715" s="136" t="n"/>
      <c r="E715" s="137" t="n"/>
      <c r="F715" s="136" t="n"/>
      <c r="G715" s="137" t="n"/>
      <c r="H715" s="137" t="n"/>
    </row>
    <row r="716" ht="15" customHeight="1" s="83">
      <c r="A716" s="135" t="n"/>
      <c r="B716" s="135" t="n"/>
      <c r="C716" s="135" t="n"/>
      <c r="D716" s="136" t="n"/>
      <c r="E716" s="137" t="n"/>
      <c r="F716" s="136" t="n"/>
      <c r="G716" s="137" t="n"/>
      <c r="H716" s="137" t="n"/>
    </row>
    <row r="717" ht="15" customHeight="1" s="83">
      <c r="A717" s="135" t="n"/>
      <c r="B717" s="135" t="n"/>
      <c r="C717" s="135" t="n"/>
      <c r="D717" s="136" t="n"/>
      <c r="E717" s="137" t="n"/>
      <c r="F717" s="136" t="n"/>
      <c r="G717" s="137" t="n"/>
      <c r="H717" s="137" t="n"/>
    </row>
    <row r="718" ht="15" customHeight="1" s="83">
      <c r="A718" s="135" t="n"/>
      <c r="B718" s="135" t="n"/>
      <c r="C718" s="135" t="n"/>
      <c r="D718" s="136" t="n"/>
      <c r="E718" s="137" t="n"/>
      <c r="F718" s="136" t="n"/>
      <c r="G718" s="137" t="n"/>
      <c r="H718" s="137" t="n"/>
    </row>
    <row r="719" ht="15" customHeight="1" s="83">
      <c r="A719" s="135" t="n"/>
      <c r="B719" s="135" t="n"/>
      <c r="C719" s="135" t="n"/>
      <c r="D719" s="136" t="n"/>
      <c r="E719" s="137" t="n"/>
      <c r="F719" s="136" t="n"/>
      <c r="G719" s="137" t="n"/>
      <c r="H719" s="137" t="n"/>
    </row>
    <row r="720" ht="15" customHeight="1" s="83">
      <c r="A720" s="135" t="n"/>
      <c r="B720" s="135" t="n"/>
      <c r="C720" s="135" t="n"/>
      <c r="D720" s="136" t="n"/>
      <c r="E720" s="137" t="n"/>
      <c r="F720" s="136" t="n"/>
      <c r="G720" s="137" t="n"/>
      <c r="H720" s="137" t="n"/>
    </row>
    <row r="721" ht="15" customHeight="1" s="83">
      <c r="A721" s="135" t="n"/>
      <c r="B721" s="135" t="n"/>
      <c r="C721" s="135" t="n"/>
      <c r="D721" s="136" t="n"/>
      <c r="E721" s="137" t="n"/>
      <c r="F721" s="136" t="n"/>
      <c r="G721" s="137" t="n"/>
      <c r="H721" s="137" t="n"/>
    </row>
    <row r="722" ht="15" customHeight="1" s="83">
      <c r="A722" s="135" t="n"/>
      <c r="B722" s="135" t="n"/>
      <c r="C722" s="135" t="n"/>
      <c r="D722" s="136" t="n"/>
      <c r="E722" s="137" t="n"/>
      <c r="F722" s="136" t="n"/>
      <c r="G722" s="137" t="n"/>
      <c r="H722" s="137" t="n"/>
    </row>
    <row r="723" ht="15" customHeight="1" s="83">
      <c r="A723" s="135" t="n"/>
      <c r="B723" s="135" t="n"/>
      <c r="C723" s="135" t="n"/>
      <c r="D723" s="136" t="n"/>
      <c r="E723" s="137" t="n"/>
      <c r="F723" s="136" t="n"/>
      <c r="G723" s="137" t="n"/>
      <c r="H723" s="137" t="n"/>
    </row>
    <row r="724" ht="15" customHeight="1" s="83">
      <c r="A724" s="135" t="n"/>
      <c r="B724" s="135" t="n"/>
      <c r="C724" s="135" t="n"/>
      <c r="D724" s="136" t="n"/>
      <c r="E724" s="137" t="n"/>
      <c r="F724" s="136" t="n"/>
      <c r="G724" s="137" t="n"/>
      <c r="H724" s="137" t="n"/>
    </row>
    <row r="725" ht="15" customHeight="1" s="83">
      <c r="A725" s="135" t="n"/>
      <c r="B725" s="135" t="n"/>
      <c r="C725" s="135" t="n"/>
      <c r="D725" s="136" t="n"/>
      <c r="E725" s="137" t="n"/>
      <c r="F725" s="136" t="n"/>
      <c r="G725" s="137" t="n"/>
      <c r="H725" s="137" t="n"/>
    </row>
    <row r="726" ht="15" customHeight="1" s="83">
      <c r="A726" s="135" t="n"/>
      <c r="B726" s="135" t="n"/>
      <c r="C726" s="135" t="n"/>
      <c r="D726" s="136" t="n"/>
      <c r="E726" s="137" t="n"/>
      <c r="F726" s="136" t="n"/>
      <c r="G726" s="137" t="n"/>
      <c r="H726" s="137" t="n"/>
    </row>
    <row r="727" ht="15" customHeight="1" s="83">
      <c r="A727" s="135" t="n"/>
      <c r="B727" s="135" t="n"/>
      <c r="C727" s="135" t="n"/>
      <c r="D727" s="136" t="n"/>
      <c r="E727" s="137" t="n"/>
      <c r="F727" s="136" t="n"/>
      <c r="G727" s="137" t="n"/>
      <c r="H727" s="137" t="n"/>
    </row>
    <row r="728" ht="15" customHeight="1" s="83">
      <c r="A728" s="135" t="n"/>
      <c r="B728" s="135" t="n"/>
      <c r="C728" s="135" t="n"/>
      <c r="D728" s="136" t="n"/>
      <c r="E728" s="137" t="n"/>
      <c r="F728" s="136" t="n"/>
      <c r="G728" s="137" t="n"/>
      <c r="H728" s="137" t="n"/>
    </row>
    <row r="729" ht="15" customHeight="1" s="83">
      <c r="A729" s="135" t="n"/>
      <c r="B729" s="135" t="n"/>
      <c r="C729" s="135" t="n"/>
      <c r="D729" s="136" t="n"/>
      <c r="E729" s="137" t="n"/>
      <c r="F729" s="136" t="n"/>
      <c r="G729" s="137" t="n"/>
      <c r="H729" s="137" t="n"/>
    </row>
    <row r="730" ht="15" customHeight="1" s="83">
      <c r="A730" s="135" t="n"/>
      <c r="B730" s="135" t="n"/>
      <c r="C730" s="135" t="n"/>
      <c r="D730" s="136" t="n"/>
      <c r="E730" s="137" t="n"/>
      <c r="F730" s="136" t="n"/>
      <c r="G730" s="137" t="n"/>
      <c r="H730" s="137" t="n"/>
    </row>
    <row r="731" ht="15" customHeight="1" s="83">
      <c r="A731" s="135" t="n"/>
      <c r="B731" s="135" t="n"/>
      <c r="C731" s="135" t="n"/>
      <c r="D731" s="136" t="n"/>
      <c r="E731" s="137" t="n"/>
      <c r="F731" s="136" t="n"/>
      <c r="G731" s="137" t="n"/>
      <c r="H731" s="137" t="n"/>
    </row>
    <row r="732" ht="15" customHeight="1" s="83">
      <c r="A732" s="135" t="n"/>
      <c r="B732" s="135" t="n"/>
      <c r="C732" s="135" t="n"/>
      <c r="D732" s="136" t="n"/>
      <c r="E732" s="137" t="n"/>
      <c r="F732" s="136" t="n"/>
      <c r="G732" s="137" t="n"/>
      <c r="H732" s="137" t="n"/>
    </row>
    <row r="733" ht="15" customHeight="1" s="83">
      <c r="A733" s="135" t="n"/>
      <c r="B733" s="135" t="n"/>
      <c r="C733" s="135" t="n"/>
      <c r="D733" s="136" t="n"/>
      <c r="E733" s="137" t="n"/>
      <c r="F733" s="136" t="n"/>
      <c r="G733" s="137" t="n"/>
      <c r="H733" s="137" t="n"/>
    </row>
    <row r="734" ht="15" customHeight="1" s="83">
      <c r="A734" s="135" t="n"/>
      <c r="B734" s="135" t="n"/>
      <c r="C734" s="135" t="n"/>
      <c r="D734" s="136" t="n"/>
      <c r="E734" s="137" t="n"/>
      <c r="F734" s="136" t="n"/>
      <c r="G734" s="137" t="n"/>
      <c r="H734" s="137" t="n"/>
    </row>
    <row r="735" ht="15" customHeight="1" s="83">
      <c r="A735" s="135" t="n"/>
      <c r="B735" s="135" t="n"/>
      <c r="C735" s="135" t="n"/>
      <c r="D735" s="136" t="n"/>
      <c r="E735" s="137" t="n"/>
      <c r="F735" s="136" t="n"/>
      <c r="G735" s="137" t="n"/>
      <c r="H735" s="137" t="n"/>
    </row>
    <row r="736" ht="15" customHeight="1" s="83">
      <c r="A736" s="135" t="n"/>
      <c r="B736" s="135" t="n"/>
      <c r="C736" s="135" t="n"/>
      <c r="D736" s="136" t="n"/>
      <c r="E736" s="137" t="n"/>
      <c r="F736" s="136" t="n"/>
      <c r="G736" s="137" t="n"/>
      <c r="H736" s="137" t="n"/>
    </row>
    <row r="737" ht="15" customHeight="1" s="83">
      <c r="A737" s="135" t="n"/>
      <c r="B737" s="135" t="n"/>
      <c r="C737" s="135" t="n"/>
      <c r="D737" s="136" t="n"/>
      <c r="E737" s="137" t="n"/>
      <c r="F737" s="136" t="n"/>
      <c r="G737" s="137" t="n"/>
      <c r="H737" s="137" t="n"/>
    </row>
    <row r="738" ht="15" customHeight="1" s="83">
      <c r="A738" s="135" t="n"/>
      <c r="B738" s="135" t="n"/>
      <c r="C738" s="135" t="n"/>
      <c r="D738" s="136" t="n"/>
      <c r="E738" s="137" t="n"/>
      <c r="F738" s="136" t="n"/>
      <c r="G738" s="137" t="n"/>
      <c r="H738" s="137" t="n"/>
    </row>
    <row r="739" ht="15" customHeight="1" s="83">
      <c r="A739" s="135" t="n"/>
      <c r="B739" s="135" t="n"/>
      <c r="C739" s="135" t="n"/>
      <c r="D739" s="136" t="n"/>
      <c r="E739" s="137" t="n"/>
      <c r="F739" s="136" t="n"/>
      <c r="G739" s="137" t="n"/>
      <c r="H739" s="137" t="n"/>
    </row>
    <row r="740" ht="15" customHeight="1" s="83">
      <c r="A740" s="135" t="n"/>
      <c r="B740" s="135" t="n"/>
      <c r="C740" s="135" t="n"/>
      <c r="D740" s="136" t="n"/>
      <c r="E740" s="137" t="n"/>
      <c r="F740" s="136" t="n"/>
      <c r="G740" s="137" t="n"/>
      <c r="H740" s="137" t="n"/>
    </row>
    <row r="741" ht="15" customHeight="1" s="83">
      <c r="A741" s="135" t="n"/>
      <c r="B741" s="135" t="n"/>
      <c r="C741" s="135" t="n"/>
      <c r="D741" s="136" t="n"/>
      <c r="E741" s="137" t="n"/>
      <c r="F741" s="136" t="n"/>
      <c r="G741" s="137" t="n"/>
      <c r="H741" s="137" t="n"/>
    </row>
    <row r="742" ht="15" customHeight="1" s="83">
      <c r="A742" s="135" t="n"/>
      <c r="B742" s="135" t="n"/>
      <c r="C742" s="135" t="n"/>
      <c r="D742" s="136" t="n"/>
      <c r="E742" s="137" t="n"/>
      <c r="F742" s="136" t="n"/>
      <c r="G742" s="137" t="n"/>
      <c r="H742" s="137" t="n"/>
    </row>
    <row r="743" ht="15" customHeight="1" s="83">
      <c r="A743" s="135" t="n"/>
      <c r="B743" s="135" t="n"/>
      <c r="C743" s="135" t="n"/>
      <c r="D743" s="136" t="n"/>
      <c r="E743" s="137" t="n"/>
      <c r="F743" s="136" t="n"/>
      <c r="G743" s="137" t="n"/>
      <c r="H743" s="137" t="n"/>
    </row>
    <row r="744" ht="15" customHeight="1" s="83">
      <c r="A744" s="135" t="n"/>
      <c r="B744" s="135" t="n"/>
      <c r="C744" s="135" t="n"/>
      <c r="D744" s="136" t="n"/>
      <c r="E744" s="137" t="n"/>
      <c r="F744" s="136" t="n"/>
      <c r="G744" s="137" t="n"/>
      <c r="H744" s="137" t="n"/>
    </row>
    <row r="745" ht="15" customHeight="1" s="83">
      <c r="A745" s="135" t="n"/>
      <c r="B745" s="135" t="n"/>
      <c r="C745" s="135" t="n"/>
      <c r="D745" s="136" t="n"/>
      <c r="E745" s="137" t="n"/>
      <c r="F745" s="136" t="n"/>
      <c r="G745" s="137" t="n"/>
      <c r="H745" s="137" t="n"/>
    </row>
    <row r="746" ht="15" customHeight="1" s="83">
      <c r="A746" s="135" t="n"/>
      <c r="B746" s="135" t="n"/>
      <c r="C746" s="135" t="n"/>
      <c r="D746" s="136" t="n"/>
      <c r="E746" s="137" t="n"/>
      <c r="F746" s="136" t="n"/>
      <c r="G746" s="137" t="n"/>
      <c r="H746" s="137" t="n"/>
    </row>
    <row r="747" ht="15" customHeight="1" s="83">
      <c r="A747" s="135" t="n"/>
      <c r="B747" s="135" t="n"/>
      <c r="C747" s="135" t="n"/>
      <c r="D747" s="136" t="n"/>
      <c r="E747" s="137" t="n"/>
      <c r="F747" s="136" t="n"/>
      <c r="G747" s="137" t="n"/>
      <c r="H747" s="137" t="n"/>
    </row>
    <row r="748" ht="15" customHeight="1" s="83">
      <c r="A748" s="135" t="n"/>
      <c r="B748" s="135" t="n"/>
      <c r="C748" s="135" t="n"/>
      <c r="D748" s="136" t="n"/>
      <c r="E748" s="137" t="n"/>
      <c r="F748" s="136" t="n"/>
      <c r="G748" s="137" t="n"/>
      <c r="H748" s="137" t="n"/>
    </row>
    <row r="749" ht="15" customHeight="1" s="83">
      <c r="A749" s="135" t="n"/>
      <c r="B749" s="135" t="n"/>
      <c r="C749" s="135" t="n"/>
      <c r="D749" s="136" t="n"/>
      <c r="E749" s="137" t="n"/>
      <c r="F749" s="136" t="n"/>
      <c r="G749" s="137" t="n"/>
      <c r="H749" s="137" t="n"/>
    </row>
    <row r="750" ht="15" customHeight="1" s="83">
      <c r="A750" s="135" t="n"/>
      <c r="B750" s="135" t="n"/>
      <c r="C750" s="135" t="n"/>
      <c r="D750" s="136" t="n"/>
      <c r="E750" s="137" t="n"/>
      <c r="F750" s="136" t="n"/>
      <c r="G750" s="137" t="n"/>
      <c r="H750" s="137" t="n"/>
    </row>
    <row r="751" ht="15" customHeight="1" s="83">
      <c r="A751" s="135" t="n"/>
      <c r="B751" s="135" t="n"/>
      <c r="C751" s="135" t="n"/>
      <c r="D751" s="136" t="n"/>
      <c r="E751" s="137" t="n"/>
      <c r="F751" s="136" t="n"/>
      <c r="G751" s="137" t="n"/>
      <c r="H751" s="137" t="n"/>
    </row>
    <row r="752" ht="15" customHeight="1" s="83">
      <c r="A752" s="135" t="n"/>
      <c r="B752" s="135" t="n"/>
      <c r="C752" s="135" t="n"/>
      <c r="D752" s="136" t="n"/>
      <c r="E752" s="137" t="n"/>
      <c r="F752" s="136" t="n"/>
      <c r="G752" s="137" t="n"/>
      <c r="H752" s="137" t="n"/>
    </row>
    <row r="753" ht="15" customHeight="1" s="83">
      <c r="A753" s="135" t="n"/>
      <c r="B753" s="135" t="n"/>
      <c r="C753" s="135" t="n"/>
      <c r="D753" s="136" t="n"/>
      <c r="E753" s="137" t="n"/>
      <c r="F753" s="136" t="n"/>
      <c r="G753" s="137" t="n"/>
      <c r="H753" s="137" t="n"/>
    </row>
    <row r="754" ht="15" customHeight="1" s="83">
      <c r="A754" s="135" t="n"/>
      <c r="B754" s="135" t="n"/>
      <c r="C754" s="135" t="n"/>
      <c r="D754" s="136" t="n"/>
      <c r="E754" s="137" t="n"/>
      <c r="F754" s="136" t="n"/>
      <c r="G754" s="137" t="n"/>
      <c r="H754" s="137" t="n"/>
    </row>
    <row r="755" ht="15" customHeight="1" s="83">
      <c r="A755" s="135" t="n"/>
      <c r="B755" s="135" t="n"/>
      <c r="C755" s="135" t="n"/>
      <c r="D755" s="136" t="n"/>
      <c r="E755" s="137" t="n"/>
      <c r="F755" s="136" t="n"/>
      <c r="G755" s="137" t="n"/>
      <c r="H755" s="137" t="n"/>
    </row>
    <row r="756" ht="15" customHeight="1" s="83">
      <c r="A756" s="135" t="n"/>
      <c r="B756" s="135" t="n"/>
      <c r="C756" s="135" t="n"/>
      <c r="D756" s="136" t="n"/>
      <c r="E756" s="137" t="n"/>
      <c r="F756" s="136" t="n"/>
      <c r="G756" s="137" t="n"/>
      <c r="H756" s="137" t="n"/>
    </row>
    <row r="757" ht="15" customHeight="1" s="83">
      <c r="A757" s="135" t="n"/>
      <c r="B757" s="135" t="n"/>
      <c r="C757" s="135" t="n"/>
      <c r="D757" s="136" t="n"/>
      <c r="E757" s="137" t="n"/>
      <c r="F757" s="136" t="n"/>
      <c r="G757" s="137" t="n"/>
      <c r="H757" s="137" t="n"/>
    </row>
    <row r="758" ht="15" customHeight="1" s="83">
      <c r="A758" s="135" t="n"/>
      <c r="B758" s="135" t="n"/>
      <c r="C758" s="135" t="n"/>
      <c r="D758" s="136" t="n"/>
      <c r="E758" s="137" t="n"/>
      <c r="F758" s="136" t="n"/>
      <c r="G758" s="137" t="n"/>
      <c r="H758" s="137" t="n"/>
    </row>
    <row r="759" ht="15" customHeight="1" s="83">
      <c r="A759" s="135" t="n"/>
      <c r="B759" s="135" t="n"/>
      <c r="C759" s="135" t="n"/>
      <c r="D759" s="136" t="n"/>
      <c r="E759" s="137" t="n"/>
      <c r="F759" s="136" t="n"/>
      <c r="G759" s="137" t="n"/>
      <c r="H759" s="137" t="n"/>
    </row>
    <row r="760" ht="15" customHeight="1" s="83">
      <c r="A760" s="135" t="n"/>
      <c r="B760" s="135" t="n"/>
      <c r="C760" s="135" t="n"/>
      <c r="D760" s="136" t="n"/>
      <c r="E760" s="137" t="n"/>
      <c r="F760" s="136" t="n"/>
      <c r="G760" s="137" t="n"/>
      <c r="H760" s="137" t="n"/>
    </row>
    <row r="761" ht="15" customHeight="1" s="83">
      <c r="A761" s="135" t="n"/>
      <c r="B761" s="135" t="n"/>
      <c r="C761" s="135" t="n"/>
      <c r="D761" s="136" t="n"/>
      <c r="E761" s="137" t="n"/>
      <c r="F761" s="136" t="n"/>
      <c r="G761" s="137" t="n"/>
      <c r="H761" s="137" t="n"/>
    </row>
    <row r="762" ht="15" customHeight="1" s="83">
      <c r="A762" s="135" t="n"/>
      <c r="B762" s="135" t="n"/>
      <c r="C762" s="135" t="n"/>
      <c r="D762" s="136" t="n"/>
      <c r="E762" s="137" t="n"/>
      <c r="F762" s="136" t="n"/>
      <c r="G762" s="137" t="n"/>
      <c r="H762" s="137" t="n"/>
    </row>
    <row r="763" ht="15" customHeight="1" s="83">
      <c r="A763" s="135" t="n"/>
      <c r="B763" s="135" t="n"/>
      <c r="C763" s="135" t="n"/>
      <c r="D763" s="136" t="n"/>
      <c r="E763" s="137" t="n"/>
      <c r="F763" s="136" t="n"/>
      <c r="G763" s="137" t="n"/>
      <c r="H763" s="137" t="n"/>
    </row>
    <row r="764" ht="15" customHeight="1" s="83">
      <c r="A764" s="135" t="n"/>
      <c r="B764" s="135" t="n"/>
      <c r="C764" s="135" t="n"/>
      <c r="D764" s="136" t="n"/>
      <c r="E764" s="137" t="n"/>
      <c r="F764" s="136" t="n"/>
      <c r="G764" s="137" t="n"/>
      <c r="H764" s="137" t="n"/>
    </row>
    <row r="765" ht="15" customHeight="1" s="83">
      <c r="A765" s="135" t="n"/>
      <c r="B765" s="135" t="n"/>
      <c r="C765" s="135" t="n"/>
      <c r="D765" s="136" t="n"/>
      <c r="E765" s="137" t="n"/>
      <c r="F765" s="136" t="n"/>
      <c r="G765" s="137" t="n"/>
      <c r="H765" s="137" t="n"/>
    </row>
    <row r="766" ht="15" customHeight="1" s="83">
      <c r="A766" s="135" t="n"/>
      <c r="B766" s="135" t="n"/>
      <c r="C766" s="135" t="n"/>
      <c r="D766" s="136" t="n"/>
      <c r="E766" s="137" t="n"/>
      <c r="F766" s="136" t="n"/>
      <c r="G766" s="137" t="n"/>
      <c r="H766" s="137" t="n"/>
    </row>
    <row r="767" ht="15" customHeight="1" s="83">
      <c r="A767" s="135" t="n"/>
      <c r="B767" s="135" t="n"/>
      <c r="C767" s="135" t="n"/>
      <c r="D767" s="136" t="n"/>
      <c r="E767" s="137" t="n"/>
      <c r="F767" s="136" t="n"/>
      <c r="G767" s="137" t="n"/>
      <c r="H767" s="137" t="n"/>
    </row>
    <row r="768" ht="15" customHeight="1" s="83">
      <c r="A768" s="135" t="n"/>
      <c r="B768" s="135" t="n"/>
      <c r="C768" s="135" t="n"/>
      <c r="D768" s="136" t="n"/>
      <c r="E768" s="137" t="n"/>
      <c r="F768" s="136" t="n"/>
      <c r="G768" s="137" t="n"/>
      <c r="H768" s="137" t="n"/>
    </row>
    <row r="769" ht="15" customHeight="1" s="83">
      <c r="A769" s="135" t="n"/>
      <c r="B769" s="135" t="n"/>
      <c r="C769" s="135" t="n"/>
      <c r="D769" s="136" t="n"/>
      <c r="E769" s="137" t="n"/>
      <c r="F769" s="136" t="n"/>
      <c r="G769" s="137" t="n"/>
      <c r="H769" s="137" t="n"/>
    </row>
    <row r="770" ht="15" customHeight="1" s="83">
      <c r="A770" s="135" t="n"/>
      <c r="B770" s="135" t="n"/>
      <c r="C770" s="135" t="n"/>
      <c r="D770" s="136" t="n"/>
      <c r="E770" s="137" t="n"/>
      <c r="F770" s="136" t="n"/>
      <c r="G770" s="137" t="n"/>
      <c r="H770" s="137" t="n"/>
    </row>
    <row r="771" ht="15" customHeight="1" s="83">
      <c r="A771" s="135" t="n"/>
      <c r="B771" s="135" t="n"/>
      <c r="C771" s="135" t="n"/>
      <c r="D771" s="136" t="n"/>
      <c r="E771" s="137" t="n"/>
      <c r="F771" s="136" t="n"/>
      <c r="G771" s="137" t="n"/>
      <c r="H771" s="137" t="n"/>
    </row>
    <row r="772" ht="15" customHeight="1" s="83">
      <c r="A772" s="135" t="n"/>
      <c r="B772" s="135" t="n"/>
      <c r="C772" s="135" t="n"/>
      <c r="D772" s="136" t="n"/>
      <c r="E772" s="137" t="n"/>
      <c r="F772" s="136" t="n"/>
      <c r="G772" s="137" t="n"/>
      <c r="H772" s="137" t="n"/>
    </row>
    <row r="773" ht="15" customHeight="1" s="83">
      <c r="A773" s="135" t="n"/>
      <c r="B773" s="135" t="n"/>
      <c r="C773" s="135" t="n"/>
      <c r="D773" s="136" t="n"/>
      <c r="E773" s="137" t="n"/>
      <c r="F773" s="136" t="n"/>
      <c r="G773" s="137" t="n"/>
      <c r="H773" s="137" t="n"/>
    </row>
    <row r="774" ht="15" customHeight="1" s="83">
      <c r="A774" s="135" t="n"/>
      <c r="B774" s="135" t="n"/>
      <c r="C774" s="135" t="n"/>
      <c r="D774" s="136" t="n"/>
      <c r="E774" s="137" t="n"/>
      <c r="F774" s="136" t="n"/>
      <c r="G774" s="137" t="n"/>
      <c r="H774" s="137" t="n"/>
    </row>
    <row r="775" ht="15" customHeight="1" s="83">
      <c r="A775" s="135" t="n"/>
      <c r="B775" s="135" t="n"/>
      <c r="C775" s="135" t="n"/>
      <c r="D775" s="136" t="n"/>
      <c r="E775" s="137" t="n"/>
      <c r="F775" s="136" t="n"/>
      <c r="G775" s="137" t="n"/>
      <c r="H775" s="137" t="n"/>
    </row>
    <row r="776" ht="15" customHeight="1" s="83">
      <c r="A776" s="135" t="n"/>
      <c r="B776" s="135" t="n"/>
      <c r="C776" s="135" t="n"/>
      <c r="D776" s="136" t="n"/>
      <c r="E776" s="137" t="n"/>
      <c r="F776" s="136" t="n"/>
      <c r="G776" s="137" t="n"/>
      <c r="H776" s="137" t="n"/>
    </row>
    <row r="777" ht="15" customHeight="1" s="83">
      <c r="A777" s="135" t="n"/>
      <c r="B777" s="135" t="n"/>
      <c r="C777" s="135" t="n"/>
      <c r="D777" s="136" t="n"/>
      <c r="E777" s="137" t="n"/>
      <c r="F777" s="136" t="n"/>
      <c r="G777" s="137" t="n"/>
      <c r="H777" s="137" t="n"/>
    </row>
    <row r="778" ht="15" customHeight="1" s="83">
      <c r="A778" s="135" t="n"/>
      <c r="B778" s="135" t="n"/>
      <c r="C778" s="135" t="n"/>
      <c r="D778" s="136" t="n"/>
      <c r="E778" s="137" t="n"/>
      <c r="F778" s="136" t="n"/>
      <c r="G778" s="137" t="n"/>
      <c r="H778" s="137" t="n"/>
    </row>
    <row r="779" ht="15" customHeight="1" s="83">
      <c r="A779" s="135" t="n"/>
      <c r="B779" s="135" t="n"/>
      <c r="C779" s="135" t="n"/>
      <c r="D779" s="136" t="n"/>
      <c r="E779" s="137" t="n"/>
      <c r="F779" s="136" t="n"/>
      <c r="G779" s="137" t="n"/>
      <c r="H779" s="137" t="n"/>
    </row>
    <row r="780" ht="15" customHeight="1" s="83">
      <c r="A780" s="135" t="n"/>
      <c r="B780" s="135" t="n"/>
      <c r="C780" s="135" t="n"/>
      <c r="D780" s="136" t="n"/>
      <c r="E780" s="137" t="n"/>
      <c r="F780" s="136" t="n"/>
      <c r="G780" s="137" t="n"/>
      <c r="H780" s="137" t="n"/>
    </row>
    <row r="781" ht="15" customHeight="1" s="83">
      <c r="A781" s="135" t="n"/>
      <c r="B781" s="135" t="n"/>
      <c r="C781" s="135" t="n"/>
      <c r="D781" s="136" t="n"/>
      <c r="E781" s="137" t="n"/>
      <c r="F781" s="136" t="n"/>
      <c r="G781" s="137" t="n"/>
      <c r="H781" s="137" t="n"/>
    </row>
    <row r="782" ht="15" customHeight="1" s="83">
      <c r="A782" s="135" t="n"/>
      <c r="B782" s="135" t="n"/>
      <c r="C782" s="135" t="n"/>
      <c r="D782" s="136" t="n"/>
      <c r="E782" s="137" t="n"/>
      <c r="F782" s="136" t="n"/>
      <c r="G782" s="137" t="n"/>
      <c r="H782" s="137" t="n"/>
    </row>
    <row r="783" ht="15" customHeight="1" s="83">
      <c r="A783" s="135" t="n"/>
      <c r="B783" s="135" t="n"/>
      <c r="C783" s="135" t="n"/>
      <c r="D783" s="136" t="n"/>
      <c r="E783" s="137" t="n"/>
      <c r="F783" s="136" t="n"/>
      <c r="G783" s="137" t="n"/>
      <c r="H783" s="137" t="n"/>
    </row>
    <row r="784" ht="15" customHeight="1" s="83">
      <c r="A784" s="135" t="n"/>
      <c r="B784" s="135" t="n"/>
      <c r="C784" s="135" t="n"/>
      <c r="D784" s="136" t="n"/>
      <c r="E784" s="137" t="n"/>
      <c r="F784" s="136" t="n"/>
      <c r="G784" s="137" t="n"/>
      <c r="H784" s="137" t="n"/>
    </row>
    <row r="785" ht="15" customHeight="1" s="83">
      <c r="A785" s="135" t="n"/>
      <c r="B785" s="135" t="n"/>
      <c r="C785" s="135" t="n"/>
      <c r="D785" s="136" t="n"/>
      <c r="E785" s="137" t="n"/>
      <c r="F785" s="136" t="n"/>
      <c r="G785" s="137" t="n"/>
      <c r="H785" s="137" t="n"/>
    </row>
    <row r="786" ht="15" customHeight="1" s="83">
      <c r="A786" s="135" t="n"/>
      <c r="B786" s="135" t="n"/>
      <c r="C786" s="135" t="n"/>
      <c r="D786" s="136" t="n"/>
      <c r="E786" s="137" t="n"/>
      <c r="F786" s="136" t="n"/>
      <c r="G786" s="137" t="n"/>
      <c r="H786" s="137" t="n"/>
    </row>
    <row r="787" ht="15" customHeight="1" s="83">
      <c r="A787" s="135" t="n"/>
      <c r="B787" s="135" t="n"/>
      <c r="C787" s="135" t="n"/>
      <c r="D787" s="136" t="n"/>
      <c r="E787" s="137" t="n"/>
      <c r="F787" s="136" t="n"/>
      <c r="G787" s="137" t="n"/>
      <c r="H787" s="137" t="n"/>
    </row>
    <row r="788" ht="15" customHeight="1" s="83">
      <c r="A788" s="135" t="n"/>
      <c r="B788" s="135" t="n"/>
      <c r="C788" s="135" t="n"/>
      <c r="D788" s="136" t="n"/>
      <c r="E788" s="137" t="n"/>
      <c r="F788" s="136" t="n"/>
      <c r="G788" s="137" t="n"/>
      <c r="H788" s="137" t="n"/>
    </row>
    <row r="789" ht="15" customHeight="1" s="83">
      <c r="A789" s="135" t="n"/>
      <c r="B789" s="135" t="n"/>
      <c r="C789" s="135" t="n"/>
      <c r="D789" s="136" t="n"/>
      <c r="E789" s="137" t="n"/>
      <c r="F789" s="136" t="n"/>
      <c r="G789" s="137" t="n"/>
      <c r="H789" s="137" t="n"/>
    </row>
    <row r="790" ht="15" customHeight="1" s="83">
      <c r="A790" s="135" t="n"/>
      <c r="B790" s="135" t="n"/>
      <c r="C790" s="135" t="n"/>
      <c r="D790" s="136" t="n"/>
      <c r="E790" s="137" t="n"/>
      <c r="F790" s="136" t="n"/>
      <c r="G790" s="137" t="n"/>
      <c r="H790" s="137" t="n"/>
    </row>
    <row r="791" ht="15" customHeight="1" s="83">
      <c r="A791" s="135" t="n"/>
      <c r="B791" s="135" t="n"/>
      <c r="C791" s="135" t="n"/>
      <c r="D791" s="136" t="n"/>
      <c r="E791" s="137" t="n"/>
      <c r="F791" s="136" t="n"/>
      <c r="G791" s="137" t="n"/>
      <c r="H791" s="137" t="n"/>
    </row>
    <row r="792" ht="15" customHeight="1" s="83">
      <c r="A792" s="135" t="n"/>
      <c r="B792" s="135" t="n"/>
      <c r="C792" s="135" t="n"/>
      <c r="D792" s="136" t="n"/>
      <c r="E792" s="137" t="n"/>
      <c r="F792" s="136" t="n"/>
      <c r="G792" s="137" t="n"/>
      <c r="H792" s="137" t="n"/>
    </row>
    <row r="793" ht="15" customHeight="1" s="83">
      <c r="A793" s="135" t="n"/>
      <c r="B793" s="135" t="n"/>
      <c r="C793" s="135" t="n"/>
      <c r="D793" s="136" t="n"/>
      <c r="E793" s="137" t="n"/>
      <c r="F793" s="136" t="n"/>
      <c r="G793" s="137" t="n"/>
      <c r="H793" s="137" t="n"/>
    </row>
    <row r="794" ht="15" customHeight="1" s="83">
      <c r="A794" s="135" t="n"/>
      <c r="B794" s="135" t="n"/>
      <c r="C794" s="135" t="n"/>
      <c r="D794" s="136" t="n"/>
      <c r="E794" s="137" t="n"/>
      <c r="F794" s="136" t="n"/>
      <c r="G794" s="137" t="n"/>
      <c r="H794" s="137" t="n"/>
    </row>
    <row r="795" ht="15" customHeight="1" s="83">
      <c r="A795" s="135" t="n"/>
      <c r="B795" s="135" t="n"/>
      <c r="C795" s="135" t="n"/>
      <c r="D795" s="136" t="n"/>
      <c r="E795" s="137" t="n"/>
      <c r="F795" s="136" t="n"/>
      <c r="G795" s="137" t="n"/>
      <c r="H795" s="137" t="n"/>
    </row>
    <row r="796" ht="15" customHeight="1" s="83">
      <c r="A796" s="135" t="n"/>
      <c r="B796" s="135" t="n"/>
      <c r="C796" s="135" t="n"/>
      <c r="D796" s="136" t="n"/>
      <c r="E796" s="137" t="n"/>
      <c r="F796" s="136" t="n"/>
      <c r="G796" s="137" t="n"/>
      <c r="H796" s="137" t="n"/>
    </row>
    <row r="797" ht="15" customHeight="1" s="83">
      <c r="A797" s="135" t="n"/>
      <c r="B797" s="135" t="n"/>
      <c r="C797" s="135" t="n"/>
      <c r="D797" s="136" t="n"/>
      <c r="E797" s="137" t="n"/>
      <c r="F797" s="136" t="n"/>
      <c r="G797" s="137" t="n"/>
      <c r="H797" s="137" t="n"/>
    </row>
    <row r="798" ht="15" customHeight="1" s="83">
      <c r="A798" s="135" t="n"/>
      <c r="B798" s="135" t="n"/>
      <c r="C798" s="135" t="n"/>
      <c r="D798" s="136" t="n"/>
      <c r="E798" s="137" t="n"/>
      <c r="F798" s="136" t="n"/>
      <c r="G798" s="137" t="n"/>
      <c r="H798" s="137" t="n"/>
    </row>
    <row r="799" ht="15" customHeight="1" s="83">
      <c r="A799" s="135" t="n"/>
      <c r="B799" s="135" t="n"/>
      <c r="C799" s="135" t="n"/>
      <c r="D799" s="136" t="n"/>
      <c r="E799" s="137" t="n"/>
      <c r="F799" s="136" t="n"/>
      <c r="G799" s="137" t="n"/>
      <c r="H799" s="137" t="n"/>
    </row>
    <row r="800" ht="15" customHeight="1" s="83">
      <c r="A800" s="135" t="n"/>
      <c r="B800" s="135" t="n"/>
      <c r="C800" s="135" t="n"/>
      <c r="D800" s="136" t="n"/>
      <c r="E800" s="137" t="n"/>
      <c r="F800" s="136" t="n"/>
      <c r="G800" s="137" t="n"/>
      <c r="H800" s="137" t="n"/>
    </row>
    <row r="801" ht="15" customHeight="1" s="83">
      <c r="A801" s="135" t="n"/>
      <c r="B801" s="135" t="n"/>
      <c r="C801" s="135" t="n"/>
      <c r="D801" s="136" t="n"/>
      <c r="E801" s="137" t="n"/>
      <c r="F801" s="136" t="n"/>
      <c r="G801" s="137" t="n"/>
      <c r="H801" s="137" t="n"/>
    </row>
    <row r="802" ht="15" customHeight="1" s="83">
      <c r="A802" s="135" t="n"/>
      <c r="B802" s="135" t="n"/>
      <c r="C802" s="135" t="n"/>
      <c r="D802" s="136" t="n"/>
      <c r="E802" s="137" t="n"/>
      <c r="F802" s="136" t="n"/>
      <c r="G802" s="137" t="n"/>
      <c r="H802" s="137" t="n"/>
    </row>
    <row r="803" ht="15" customHeight="1" s="83">
      <c r="A803" s="135" t="n"/>
      <c r="B803" s="135" t="n"/>
      <c r="C803" s="135" t="n"/>
      <c r="D803" s="136" t="n"/>
      <c r="E803" s="137" t="n"/>
      <c r="F803" s="136" t="n"/>
      <c r="G803" s="137" t="n"/>
      <c r="H803" s="137" t="n"/>
    </row>
    <row r="804" ht="15" customHeight="1" s="83">
      <c r="A804" s="135" t="n"/>
      <c r="B804" s="135" t="n"/>
      <c r="C804" s="135" t="n"/>
      <c r="D804" s="136" t="n"/>
      <c r="E804" s="137" t="n"/>
      <c r="F804" s="136" t="n"/>
      <c r="G804" s="137" t="n"/>
      <c r="H804" s="137" t="n"/>
    </row>
    <row r="805" ht="15" customHeight="1" s="83">
      <c r="A805" s="135" t="n"/>
      <c r="B805" s="135" t="n"/>
      <c r="C805" s="135" t="n"/>
      <c r="D805" s="136" t="n"/>
      <c r="E805" s="137" t="n"/>
      <c r="F805" s="136" t="n"/>
      <c r="G805" s="137" t="n"/>
      <c r="H805" s="137" t="n"/>
    </row>
    <row r="806" ht="15" customHeight="1" s="83">
      <c r="A806" s="135" t="n"/>
      <c r="B806" s="135" t="n"/>
      <c r="C806" s="135" t="n"/>
      <c r="D806" s="136" t="n"/>
      <c r="E806" s="137" t="n"/>
      <c r="F806" s="136" t="n"/>
      <c r="G806" s="137" t="n"/>
      <c r="H806" s="137" t="n"/>
    </row>
    <row r="807" ht="15" customHeight="1" s="83">
      <c r="A807" s="135" t="n"/>
      <c r="B807" s="135" t="n"/>
      <c r="C807" s="135" t="n"/>
      <c r="D807" s="136" t="n"/>
      <c r="E807" s="137" t="n"/>
      <c r="F807" s="136" t="n"/>
      <c r="G807" s="137" t="n"/>
      <c r="H807" s="137" t="n"/>
    </row>
    <row r="808" ht="15" customHeight="1" s="83">
      <c r="A808" s="135" t="n"/>
      <c r="B808" s="135" t="n"/>
      <c r="C808" s="135" t="n"/>
      <c r="D808" s="136" t="n"/>
      <c r="E808" s="137" t="n"/>
      <c r="F808" s="136" t="n"/>
      <c r="G808" s="137" t="n"/>
      <c r="H808" s="137" t="n"/>
    </row>
    <row r="809" ht="15" customHeight="1" s="83">
      <c r="A809" s="135" t="n"/>
      <c r="B809" s="135" t="n"/>
      <c r="C809" s="135" t="n"/>
      <c r="D809" s="136" t="n"/>
      <c r="E809" s="137" t="n"/>
      <c r="F809" s="136" t="n"/>
      <c r="G809" s="137" t="n"/>
      <c r="H809" s="137" t="n"/>
    </row>
    <row r="810" ht="15" customHeight="1" s="83">
      <c r="A810" s="135" t="n"/>
      <c r="B810" s="135" t="n"/>
      <c r="C810" s="135" t="n"/>
      <c r="D810" s="136" t="n"/>
      <c r="E810" s="137" t="n"/>
      <c r="F810" s="136" t="n"/>
      <c r="G810" s="137" t="n"/>
      <c r="H810" s="137" t="n"/>
    </row>
    <row r="811" ht="15" customHeight="1" s="83">
      <c r="A811" s="135" t="n"/>
      <c r="B811" s="135" t="n"/>
      <c r="C811" s="135" t="n"/>
      <c r="D811" s="136" t="n"/>
      <c r="E811" s="137" t="n"/>
      <c r="F811" s="136" t="n"/>
      <c r="G811" s="137" t="n"/>
      <c r="H811" s="137" t="n"/>
    </row>
    <row r="812" ht="15" customHeight="1" s="83">
      <c r="A812" s="135" t="n"/>
      <c r="B812" s="135" t="n"/>
      <c r="C812" s="135" t="n"/>
      <c r="D812" s="136" t="n"/>
      <c r="E812" s="137" t="n"/>
      <c r="F812" s="136" t="n"/>
      <c r="G812" s="137" t="n"/>
      <c r="H812" s="137" t="n"/>
    </row>
    <row r="813" ht="15" customHeight="1" s="83">
      <c r="A813" s="135" t="n"/>
      <c r="B813" s="135" t="n"/>
      <c r="C813" s="135" t="n"/>
      <c r="D813" s="136" t="n"/>
      <c r="E813" s="137" t="n"/>
      <c r="F813" s="136" t="n"/>
      <c r="G813" s="137" t="n"/>
      <c r="H813" s="137" t="n"/>
    </row>
    <row r="814" ht="15" customHeight="1" s="83">
      <c r="A814" s="135" t="n"/>
      <c r="B814" s="135" t="n"/>
      <c r="C814" s="135" t="n"/>
      <c r="D814" s="136" t="n"/>
      <c r="E814" s="137" t="n"/>
      <c r="F814" s="136" t="n"/>
      <c r="G814" s="137" t="n"/>
      <c r="H814" s="137" t="n"/>
    </row>
    <row r="815" ht="15" customHeight="1" s="83">
      <c r="A815" s="135" t="n"/>
      <c r="B815" s="135" t="n"/>
      <c r="C815" s="135" t="n"/>
      <c r="D815" s="136" t="n"/>
      <c r="E815" s="137" t="n"/>
      <c r="F815" s="136" t="n"/>
      <c r="G815" s="137" t="n"/>
      <c r="H815" s="137" t="n"/>
    </row>
    <row r="816" ht="15" customHeight="1" s="83">
      <c r="A816" s="135" t="n"/>
      <c r="B816" s="135" t="n"/>
      <c r="C816" s="135" t="n"/>
      <c r="D816" s="136" t="n"/>
      <c r="E816" s="137" t="n"/>
      <c r="F816" s="136" t="n"/>
      <c r="G816" s="137" t="n"/>
      <c r="H816" s="137" t="n"/>
    </row>
    <row r="817" ht="15" customHeight="1" s="83">
      <c r="A817" s="135" t="n"/>
      <c r="B817" s="135" t="n"/>
      <c r="C817" s="135" t="n"/>
      <c r="D817" s="136" t="n"/>
      <c r="E817" s="137" t="n"/>
      <c r="F817" s="136" t="n"/>
      <c r="G817" s="137" t="n"/>
      <c r="H817" s="137" t="n"/>
    </row>
    <row r="818" ht="15" customHeight="1" s="83">
      <c r="A818" s="135" t="n"/>
      <c r="B818" s="135" t="n"/>
      <c r="C818" s="135" t="n"/>
      <c r="D818" s="136" t="n"/>
      <c r="E818" s="137" t="n"/>
      <c r="F818" s="136" t="n"/>
      <c r="G818" s="137" t="n"/>
      <c r="H818" s="137" t="n"/>
    </row>
    <row r="819" ht="15" customHeight="1" s="83">
      <c r="A819" s="135" t="n"/>
      <c r="B819" s="135" t="n"/>
      <c r="C819" s="135" t="n"/>
      <c r="D819" s="136" t="n"/>
      <c r="E819" s="137" t="n"/>
      <c r="F819" s="136" t="n"/>
      <c r="G819" s="137" t="n"/>
      <c r="H819" s="137" t="n"/>
    </row>
    <row r="820" ht="15" customHeight="1" s="83">
      <c r="A820" s="135" t="n"/>
      <c r="B820" s="135" t="n"/>
      <c r="C820" s="135" t="n"/>
      <c r="D820" s="136" t="n"/>
      <c r="E820" s="137" t="n"/>
      <c r="F820" s="136" t="n"/>
      <c r="G820" s="137" t="n"/>
      <c r="H820" s="137" t="n"/>
    </row>
    <row r="821" ht="15" customHeight="1" s="83">
      <c r="A821" s="135" t="n"/>
      <c r="B821" s="135" t="n"/>
      <c r="C821" s="135" t="n"/>
      <c r="D821" s="136" t="n"/>
      <c r="E821" s="137" t="n"/>
      <c r="F821" s="136" t="n"/>
      <c r="G821" s="137" t="n"/>
      <c r="H821" s="137" t="n"/>
    </row>
    <row r="822" ht="15" customHeight="1" s="83">
      <c r="A822" s="135" t="n"/>
      <c r="B822" s="135" t="n"/>
      <c r="C822" s="135" t="n"/>
      <c r="D822" s="136" t="n"/>
      <c r="E822" s="137" t="n"/>
      <c r="F822" s="136" t="n"/>
      <c r="G822" s="137" t="n"/>
      <c r="H822" s="137" t="n"/>
    </row>
    <row r="823" ht="15" customHeight="1" s="83">
      <c r="A823" s="135" t="n"/>
      <c r="B823" s="135" t="n"/>
      <c r="C823" s="135" t="n"/>
      <c r="D823" s="136" t="n"/>
      <c r="E823" s="137" t="n"/>
      <c r="F823" s="136" t="n"/>
      <c r="G823" s="137" t="n"/>
      <c r="H823" s="137" t="n"/>
    </row>
    <row r="824" ht="15" customHeight="1" s="83">
      <c r="A824" s="135" t="n"/>
      <c r="B824" s="135" t="n"/>
      <c r="C824" s="135" t="n"/>
      <c r="D824" s="136" t="n"/>
      <c r="E824" s="137" t="n"/>
      <c r="F824" s="136" t="n"/>
      <c r="G824" s="137" t="n"/>
      <c r="H824" s="137" t="n"/>
    </row>
    <row r="825" ht="15" customHeight="1" s="83">
      <c r="A825" s="135" t="n"/>
      <c r="B825" s="135" t="n"/>
      <c r="C825" s="135" t="n"/>
      <c r="D825" s="136" t="n"/>
      <c r="E825" s="137" t="n"/>
      <c r="F825" s="136" t="n"/>
      <c r="G825" s="137" t="n"/>
      <c r="H825" s="137" t="n"/>
    </row>
    <row r="826" ht="15" customHeight="1" s="83">
      <c r="A826" s="135" t="n"/>
      <c r="B826" s="135" t="n"/>
      <c r="C826" s="135" t="n"/>
      <c r="D826" s="136" t="n"/>
      <c r="E826" s="137" t="n"/>
      <c r="F826" s="136" t="n"/>
      <c r="G826" s="137" t="n"/>
      <c r="H826" s="137" t="n"/>
    </row>
    <row r="827" ht="15" customHeight="1" s="83">
      <c r="A827" s="135" t="n"/>
      <c r="B827" s="135" t="n"/>
      <c r="C827" s="135" t="n"/>
      <c r="D827" s="136" t="n"/>
      <c r="E827" s="137" t="n"/>
      <c r="F827" s="136" t="n"/>
      <c r="G827" s="137" t="n"/>
      <c r="H827" s="137" t="n"/>
    </row>
    <row r="828" ht="15" customHeight="1" s="83">
      <c r="A828" s="135" t="n"/>
      <c r="B828" s="135" t="n"/>
      <c r="C828" s="135" t="n"/>
      <c r="D828" s="136" t="n"/>
      <c r="E828" s="137" t="n"/>
      <c r="F828" s="136" t="n"/>
      <c r="G828" s="137" t="n"/>
      <c r="H828" s="137" t="n"/>
    </row>
    <row r="829" ht="15" customHeight="1" s="83">
      <c r="A829" s="135" t="n"/>
      <c r="B829" s="135" t="n"/>
      <c r="C829" s="135" t="n"/>
      <c r="D829" s="136" t="n"/>
      <c r="E829" s="137" t="n"/>
      <c r="F829" s="136" t="n"/>
      <c r="G829" s="137" t="n"/>
      <c r="H829" s="137" t="n"/>
    </row>
    <row r="830" ht="15" customHeight="1" s="83">
      <c r="A830" s="135" t="n"/>
      <c r="B830" s="135" t="n"/>
      <c r="C830" s="135" t="n"/>
      <c r="D830" s="136" t="n"/>
      <c r="E830" s="137" t="n"/>
      <c r="F830" s="136" t="n"/>
      <c r="G830" s="137" t="n"/>
      <c r="H830" s="137" t="n"/>
    </row>
    <row r="831" ht="15" customHeight="1" s="83">
      <c r="A831" s="135" t="n"/>
      <c r="B831" s="135" t="n"/>
      <c r="C831" s="135" t="n"/>
      <c r="D831" s="136" t="n"/>
      <c r="E831" s="137" t="n"/>
      <c r="F831" s="136" t="n"/>
      <c r="G831" s="137" t="n"/>
      <c r="H831" s="137" t="n"/>
    </row>
    <row r="832" ht="15" customHeight="1" s="83">
      <c r="A832" s="135" t="n"/>
      <c r="B832" s="135" t="n"/>
      <c r="C832" s="135" t="n"/>
      <c r="D832" s="136" t="n"/>
      <c r="E832" s="137" t="n"/>
      <c r="F832" s="136" t="n"/>
      <c r="G832" s="137" t="n"/>
      <c r="H832" s="137" t="n"/>
    </row>
    <row r="833" ht="15" customHeight="1" s="83">
      <c r="A833" s="135" t="n"/>
      <c r="B833" s="135" t="n"/>
      <c r="C833" s="135" t="n"/>
      <c r="D833" s="136" t="n"/>
      <c r="E833" s="137" t="n"/>
      <c r="F833" s="136" t="n"/>
      <c r="G833" s="137" t="n"/>
      <c r="H833" s="137" t="n"/>
    </row>
    <row r="834" ht="15" customHeight="1" s="83">
      <c r="A834" s="135" t="n"/>
      <c r="B834" s="135" t="n"/>
      <c r="C834" s="135" t="n"/>
      <c r="D834" s="136" t="n"/>
      <c r="E834" s="137" t="n"/>
      <c r="F834" s="136" t="n"/>
      <c r="G834" s="137" t="n"/>
      <c r="H834" s="137" t="n"/>
    </row>
    <row r="835" ht="15" customHeight="1" s="83">
      <c r="A835" s="135" t="n"/>
      <c r="B835" s="135" t="n"/>
      <c r="C835" s="135" t="n"/>
      <c r="D835" s="136" t="n"/>
      <c r="E835" s="137" t="n"/>
      <c r="F835" s="136" t="n"/>
      <c r="G835" s="137" t="n"/>
      <c r="H835" s="137" t="n"/>
    </row>
    <row r="836" ht="15" customHeight="1" s="83">
      <c r="A836" s="135" t="n"/>
      <c r="B836" s="135" t="n"/>
      <c r="C836" s="135" t="n"/>
      <c r="D836" s="136" t="n"/>
      <c r="E836" s="137" t="n"/>
      <c r="F836" s="136" t="n"/>
      <c r="G836" s="137" t="n"/>
      <c r="H836" s="137" t="n"/>
    </row>
    <row r="837" ht="15" customHeight="1" s="83">
      <c r="A837" s="135" t="n"/>
      <c r="B837" s="135" t="n"/>
      <c r="C837" s="135" t="n"/>
      <c r="D837" s="136" t="n"/>
      <c r="E837" s="137" t="n"/>
      <c r="F837" s="136" t="n"/>
      <c r="G837" s="137" t="n"/>
      <c r="H837" s="137" t="n"/>
    </row>
    <row r="838" ht="15" customHeight="1" s="83">
      <c r="A838" s="135" t="n"/>
      <c r="B838" s="135" t="n"/>
      <c r="C838" s="135" t="n"/>
      <c r="D838" s="136" t="n"/>
      <c r="E838" s="137" t="n"/>
      <c r="F838" s="136" t="n"/>
      <c r="G838" s="137" t="n"/>
      <c r="H838" s="137" t="n"/>
    </row>
    <row r="839" ht="15" customHeight="1" s="83">
      <c r="A839" s="135" t="n"/>
      <c r="B839" s="135" t="n"/>
      <c r="C839" s="135" t="n"/>
      <c r="D839" s="136" t="n"/>
      <c r="E839" s="137" t="n"/>
      <c r="F839" s="136" t="n"/>
      <c r="G839" s="137" t="n"/>
      <c r="H839" s="137" t="n"/>
    </row>
    <row r="840" ht="15" customHeight="1" s="83">
      <c r="A840" s="135" t="n"/>
      <c r="B840" s="135" t="n"/>
      <c r="C840" s="135" t="n"/>
      <c r="D840" s="136" t="n"/>
      <c r="E840" s="137" t="n"/>
      <c r="F840" s="136" t="n"/>
      <c r="G840" s="137" t="n"/>
      <c r="H840" s="137" t="n"/>
    </row>
    <row r="841" ht="15" customHeight="1" s="83">
      <c r="A841" s="135" t="n"/>
      <c r="B841" s="135" t="n"/>
      <c r="C841" s="135" t="n"/>
      <c r="D841" s="136" t="n"/>
      <c r="E841" s="137" t="n"/>
      <c r="F841" s="136" t="n"/>
      <c r="G841" s="137" t="n"/>
      <c r="H841" s="137" t="n"/>
    </row>
    <row r="842" ht="15" customHeight="1" s="83">
      <c r="A842" s="135" t="n"/>
      <c r="B842" s="135" t="n"/>
      <c r="C842" s="135" t="n"/>
      <c r="D842" s="136" t="n"/>
      <c r="E842" s="137" t="n"/>
      <c r="F842" s="136" t="n"/>
      <c r="G842" s="137" t="n"/>
      <c r="H842" s="137" t="n"/>
    </row>
    <row r="843" ht="15" customHeight="1" s="83">
      <c r="A843" s="135" t="n"/>
      <c r="B843" s="135" t="n"/>
      <c r="C843" s="135" t="n"/>
      <c r="D843" s="136" t="n"/>
      <c r="E843" s="137" t="n"/>
      <c r="F843" s="136" t="n"/>
      <c r="G843" s="137" t="n"/>
      <c r="H843" s="137" t="n"/>
    </row>
    <row r="844" ht="15" customHeight="1" s="83">
      <c r="A844" s="135" t="n"/>
      <c r="B844" s="135" t="n"/>
      <c r="C844" s="135" t="n"/>
      <c r="D844" s="136" t="n"/>
      <c r="E844" s="137" t="n"/>
      <c r="F844" s="136" t="n"/>
      <c r="G844" s="137" t="n"/>
      <c r="H844" s="137" t="n"/>
    </row>
    <row r="845" ht="15" customHeight="1" s="83">
      <c r="A845" s="135" t="n"/>
      <c r="B845" s="135" t="n"/>
      <c r="C845" s="135" t="n"/>
      <c r="D845" s="136" t="n"/>
      <c r="E845" s="137" t="n"/>
      <c r="F845" s="136" t="n"/>
      <c r="G845" s="137" t="n"/>
      <c r="H845" s="137" t="n"/>
    </row>
    <row r="846" ht="15" customHeight="1" s="83">
      <c r="A846" s="135" t="n"/>
      <c r="B846" s="135" t="n"/>
      <c r="C846" s="135" t="n"/>
      <c r="D846" s="136" t="n"/>
      <c r="E846" s="137" t="n"/>
      <c r="F846" s="136" t="n"/>
      <c r="G846" s="137" t="n"/>
      <c r="H846" s="137" t="n"/>
    </row>
    <row r="847" ht="15" customHeight="1" s="83">
      <c r="A847" s="135" t="n"/>
      <c r="B847" s="135" t="n"/>
      <c r="C847" s="135" t="n"/>
      <c r="D847" s="136" t="n"/>
      <c r="E847" s="137" t="n"/>
      <c r="F847" s="136" t="n"/>
      <c r="G847" s="137" t="n"/>
      <c r="H847" s="137" t="n"/>
    </row>
    <row r="848" ht="15" customHeight="1" s="83">
      <c r="A848" s="135" t="n"/>
      <c r="B848" s="135" t="n"/>
      <c r="C848" s="135" t="n"/>
      <c r="D848" s="136" t="n"/>
      <c r="E848" s="137" t="n"/>
      <c r="F848" s="136" t="n"/>
      <c r="G848" s="137" t="n"/>
      <c r="H848" s="137" t="n"/>
    </row>
    <row r="849" ht="15" customHeight="1" s="83">
      <c r="A849" s="135" t="n"/>
      <c r="B849" s="135" t="n"/>
      <c r="C849" s="135" t="n"/>
      <c r="D849" s="136" t="n"/>
      <c r="E849" s="137" t="n"/>
      <c r="F849" s="136" t="n"/>
      <c r="G849" s="137" t="n"/>
      <c r="H849" s="137" t="n"/>
    </row>
    <row r="850" ht="15" customHeight="1" s="83">
      <c r="A850" s="135" t="n"/>
      <c r="B850" s="135" t="n"/>
      <c r="C850" s="135" t="n"/>
      <c r="D850" s="136" t="n"/>
      <c r="E850" s="137" t="n"/>
      <c r="F850" s="136" t="n"/>
      <c r="G850" s="137" t="n"/>
      <c r="H850" s="137" t="n"/>
    </row>
    <row r="851" ht="15" customHeight="1" s="83">
      <c r="A851" s="135" t="n"/>
      <c r="B851" s="135" t="n"/>
      <c r="C851" s="135" t="n"/>
      <c r="D851" s="136" t="n"/>
      <c r="E851" s="137" t="n"/>
      <c r="F851" s="136" t="n"/>
      <c r="G851" s="137" t="n"/>
      <c r="H851" s="137" t="n"/>
    </row>
    <row r="852" ht="15" customHeight="1" s="83">
      <c r="A852" s="135" t="n"/>
      <c r="B852" s="135" t="n"/>
      <c r="C852" s="135" t="n"/>
      <c r="D852" s="136" t="n"/>
      <c r="E852" s="137" t="n"/>
      <c r="F852" s="136" t="n"/>
      <c r="G852" s="137" t="n"/>
      <c r="H852" s="137" t="n"/>
    </row>
    <row r="853" ht="15" customHeight="1" s="83">
      <c r="A853" s="135" t="n"/>
      <c r="B853" s="135" t="n"/>
      <c r="C853" s="135" t="n"/>
      <c r="D853" s="136" t="n"/>
      <c r="E853" s="137" t="n"/>
      <c r="F853" s="136" t="n"/>
      <c r="G853" s="137" t="n"/>
      <c r="H853" s="137" t="n"/>
    </row>
    <row r="854" ht="15" customHeight="1" s="83">
      <c r="A854" s="135" t="n"/>
      <c r="B854" s="135" t="n"/>
      <c r="C854" s="135" t="n"/>
      <c r="D854" s="136" t="n"/>
      <c r="E854" s="137" t="n"/>
      <c r="F854" s="136" t="n"/>
      <c r="G854" s="137" t="n"/>
      <c r="H854" s="137" t="n"/>
    </row>
    <row r="855" ht="15" customHeight="1" s="83">
      <c r="A855" s="135" t="n"/>
      <c r="B855" s="135" t="n"/>
      <c r="C855" s="135" t="n"/>
      <c r="D855" s="136" t="n"/>
      <c r="E855" s="137" t="n"/>
      <c r="F855" s="136" t="n"/>
      <c r="G855" s="137" t="n"/>
      <c r="H855" s="137" t="n"/>
    </row>
    <row r="856" ht="15" customHeight="1" s="83">
      <c r="A856" s="135" t="n"/>
      <c r="B856" s="135" t="n"/>
      <c r="C856" s="135" t="n"/>
      <c r="D856" s="136" t="n"/>
      <c r="E856" s="137" t="n"/>
      <c r="F856" s="136" t="n"/>
      <c r="G856" s="137" t="n"/>
      <c r="H856" s="137" t="n"/>
    </row>
    <row r="857" ht="15" customHeight="1" s="83">
      <c r="A857" s="135" t="n"/>
      <c r="B857" s="135" t="n"/>
      <c r="C857" s="135" t="n"/>
      <c r="D857" s="136" t="n"/>
      <c r="E857" s="137" t="n"/>
      <c r="F857" s="136" t="n"/>
      <c r="G857" s="137" t="n"/>
      <c r="H857" s="137" t="n"/>
    </row>
    <row r="858" ht="15" customHeight="1" s="83">
      <c r="A858" s="135" t="n"/>
      <c r="B858" s="135" t="n"/>
      <c r="C858" s="135" t="n"/>
      <c r="D858" s="136" t="n"/>
      <c r="E858" s="137" t="n"/>
      <c r="F858" s="136" t="n"/>
      <c r="G858" s="137" t="n"/>
      <c r="H858" s="137" t="n"/>
    </row>
    <row r="859" ht="15" customHeight="1" s="83">
      <c r="A859" s="135" t="n"/>
      <c r="B859" s="135" t="n"/>
      <c r="C859" s="135" t="n"/>
      <c r="D859" s="136" t="n"/>
      <c r="E859" s="137" t="n"/>
      <c r="F859" s="136" t="n"/>
      <c r="G859" s="137" t="n"/>
      <c r="H859" s="137" t="n"/>
    </row>
    <row r="860" ht="15" customHeight="1" s="83">
      <c r="A860" s="135" t="n"/>
      <c r="B860" s="135" t="n"/>
      <c r="C860" s="135" t="n"/>
      <c r="D860" s="136" t="n"/>
      <c r="E860" s="137" t="n"/>
      <c r="F860" s="136" t="n"/>
      <c r="G860" s="137" t="n"/>
      <c r="H860" s="137" t="n"/>
    </row>
    <row r="861" ht="15" customHeight="1" s="83">
      <c r="A861" s="135" t="n"/>
      <c r="B861" s="135" t="n"/>
      <c r="C861" s="135" t="n"/>
      <c r="D861" s="136" t="n"/>
      <c r="E861" s="137" t="n"/>
      <c r="F861" s="136" t="n"/>
      <c r="G861" s="137" t="n"/>
      <c r="H861" s="137" t="n"/>
    </row>
    <row r="862" ht="15" customHeight="1" s="83">
      <c r="A862" s="135" t="n"/>
      <c r="B862" s="135" t="n"/>
      <c r="C862" s="135" t="n"/>
      <c r="D862" s="136" t="n"/>
      <c r="E862" s="137" t="n"/>
      <c r="F862" s="136" t="n"/>
      <c r="G862" s="137" t="n"/>
      <c r="H862" s="137" t="n"/>
    </row>
    <row r="863" ht="15" customHeight="1" s="83">
      <c r="A863" s="135" t="n"/>
      <c r="B863" s="135" t="n"/>
      <c r="C863" s="135" t="n"/>
      <c r="D863" s="136" t="n"/>
      <c r="E863" s="137" t="n"/>
      <c r="F863" s="136" t="n"/>
      <c r="G863" s="137" t="n"/>
      <c r="H863" s="137" t="n"/>
    </row>
    <row r="864" ht="15" customHeight="1" s="83">
      <c r="A864" s="135" t="n"/>
      <c r="B864" s="135" t="n"/>
      <c r="C864" s="135" t="n"/>
      <c r="D864" s="136" t="n"/>
      <c r="E864" s="137" t="n"/>
      <c r="F864" s="136" t="n"/>
      <c r="G864" s="137" t="n"/>
      <c r="H864" s="137" t="n"/>
    </row>
    <row r="865" ht="15" customHeight="1" s="83">
      <c r="A865" s="135" t="n"/>
      <c r="B865" s="135" t="n"/>
      <c r="C865" s="135" t="n"/>
      <c r="D865" s="136" t="n"/>
      <c r="E865" s="137" t="n"/>
      <c r="F865" s="136" t="n"/>
      <c r="G865" s="137" t="n"/>
      <c r="H865" s="137" t="n"/>
    </row>
    <row r="866" ht="15" customHeight="1" s="83">
      <c r="A866" s="135" t="n"/>
      <c r="B866" s="135" t="n"/>
      <c r="C866" s="135" t="n"/>
      <c r="D866" s="136" t="n"/>
      <c r="E866" s="137" t="n"/>
      <c r="F866" s="136" t="n"/>
      <c r="G866" s="137" t="n"/>
      <c r="H866" s="137" t="n"/>
    </row>
    <row r="867" ht="15" customHeight="1" s="83">
      <c r="A867" s="135" t="n"/>
      <c r="B867" s="135" t="n"/>
      <c r="C867" s="135" t="n"/>
      <c r="D867" s="136" t="n"/>
      <c r="E867" s="137" t="n"/>
      <c r="F867" s="136" t="n"/>
      <c r="G867" s="137" t="n"/>
      <c r="H867" s="137" t="n"/>
    </row>
    <row r="868" ht="15" customHeight="1" s="83">
      <c r="A868" s="135" t="n"/>
      <c r="B868" s="135" t="n"/>
      <c r="C868" s="135" t="n"/>
      <c r="D868" s="136" t="n"/>
      <c r="E868" s="137" t="n"/>
      <c r="F868" s="136" t="n"/>
      <c r="G868" s="137" t="n"/>
      <c r="H868" s="137" t="n"/>
    </row>
    <row r="869" ht="15" customHeight="1" s="83">
      <c r="A869" s="135" t="n"/>
      <c r="B869" s="135" t="n"/>
      <c r="C869" s="135" t="n"/>
      <c r="D869" s="136" t="n"/>
      <c r="E869" s="137" t="n"/>
      <c r="F869" s="136" t="n"/>
      <c r="G869" s="137" t="n"/>
      <c r="H869" s="137" t="n"/>
    </row>
    <row r="870" ht="15" customHeight="1" s="83">
      <c r="A870" s="135" t="n"/>
      <c r="B870" s="135" t="n"/>
      <c r="C870" s="135" t="n"/>
      <c r="D870" s="136" t="n"/>
      <c r="E870" s="137" t="n"/>
      <c r="F870" s="136" t="n"/>
      <c r="G870" s="137" t="n"/>
      <c r="H870" s="137" t="n"/>
    </row>
    <row r="871" ht="15" customHeight="1" s="83">
      <c r="A871" s="135" t="n"/>
      <c r="B871" s="135" t="n"/>
      <c r="C871" s="135" t="n"/>
      <c r="D871" s="136" t="n"/>
      <c r="E871" s="137" t="n"/>
      <c r="F871" s="136" t="n"/>
      <c r="G871" s="137" t="n"/>
      <c r="H871" s="137" t="n"/>
    </row>
    <row r="872" ht="15" customHeight="1" s="83">
      <c r="A872" s="135" t="n"/>
      <c r="B872" s="135" t="n"/>
      <c r="C872" s="135" t="n"/>
      <c r="D872" s="136" t="n"/>
      <c r="E872" s="137" t="n"/>
      <c r="F872" s="136" t="n"/>
      <c r="G872" s="137" t="n"/>
      <c r="H872" s="137" t="n"/>
    </row>
    <row r="873" ht="15" customHeight="1" s="83">
      <c r="A873" s="135" t="n"/>
      <c r="B873" s="135" t="n"/>
      <c r="C873" s="135" t="n"/>
      <c r="D873" s="136" t="n"/>
      <c r="E873" s="137" t="n"/>
      <c r="F873" s="136" t="n"/>
      <c r="G873" s="137" t="n"/>
      <c r="H873" s="137" t="n"/>
    </row>
    <row r="874" ht="15" customHeight="1" s="83">
      <c r="A874" s="135" t="n"/>
      <c r="B874" s="135" t="n"/>
      <c r="C874" s="135" t="n"/>
      <c r="D874" s="136" t="n"/>
      <c r="E874" s="137" t="n"/>
      <c r="F874" s="136" t="n"/>
      <c r="G874" s="137" t="n"/>
      <c r="H874" s="137" t="n"/>
    </row>
    <row r="875" ht="15" customHeight="1" s="83">
      <c r="A875" s="135" t="n"/>
      <c r="B875" s="135" t="n"/>
      <c r="C875" s="135" t="n"/>
      <c r="D875" s="136" t="n"/>
      <c r="E875" s="137" t="n"/>
      <c r="F875" s="136" t="n"/>
      <c r="G875" s="137" t="n"/>
      <c r="H875" s="137" t="n"/>
    </row>
    <row r="876" ht="15" customHeight="1" s="83">
      <c r="A876" s="135" t="n"/>
      <c r="B876" s="135" t="n"/>
      <c r="C876" s="135" t="n"/>
      <c r="D876" s="136" t="n"/>
      <c r="E876" s="137" t="n"/>
      <c r="F876" s="136" t="n"/>
      <c r="G876" s="137" t="n"/>
      <c r="H876" s="137" t="n"/>
    </row>
    <row r="877" ht="15" customHeight="1" s="83">
      <c r="A877" s="135" t="n"/>
      <c r="B877" s="135" t="n"/>
      <c r="C877" s="135" t="n"/>
      <c r="D877" s="136" t="n"/>
      <c r="E877" s="137" t="n"/>
      <c r="F877" s="136" t="n"/>
      <c r="G877" s="137" t="n"/>
      <c r="H877" s="137" t="n"/>
    </row>
    <row r="878" ht="15" customHeight="1" s="83">
      <c r="A878" s="135" t="n"/>
      <c r="B878" s="135" t="n"/>
      <c r="C878" s="135" t="n"/>
      <c r="D878" s="136" t="n"/>
      <c r="E878" s="137" t="n"/>
      <c r="F878" s="136" t="n"/>
      <c r="G878" s="137" t="n"/>
      <c r="H878" s="137" t="n"/>
    </row>
    <row r="879" ht="15" customHeight="1" s="83">
      <c r="A879" s="135" t="n"/>
      <c r="B879" s="135" t="n"/>
      <c r="C879" s="135" t="n"/>
      <c r="D879" s="136" t="n"/>
      <c r="E879" s="137" t="n"/>
      <c r="F879" s="136" t="n"/>
      <c r="G879" s="137" t="n"/>
      <c r="H879" s="137" t="n"/>
    </row>
    <row r="880" ht="15" customHeight="1" s="83">
      <c r="A880" s="135" t="n"/>
      <c r="B880" s="135" t="n"/>
      <c r="C880" s="135" t="n"/>
      <c r="D880" s="136" t="n"/>
      <c r="E880" s="137" t="n"/>
      <c r="F880" s="136" t="n"/>
      <c r="G880" s="137" t="n"/>
      <c r="H880" s="137" t="n"/>
    </row>
    <row r="881" ht="15" customHeight="1" s="83">
      <c r="A881" s="135" t="n"/>
      <c r="B881" s="135" t="n"/>
      <c r="C881" s="135" t="n"/>
      <c r="D881" s="136" t="n"/>
      <c r="E881" s="137" t="n"/>
      <c r="F881" s="136" t="n"/>
      <c r="G881" s="137" t="n"/>
      <c r="H881" s="137" t="n"/>
    </row>
    <row r="882" ht="15" customHeight="1" s="83">
      <c r="A882" s="135" t="n"/>
      <c r="B882" s="135" t="n"/>
      <c r="C882" s="135" t="n"/>
      <c r="D882" s="136" t="n"/>
      <c r="E882" s="137" t="n"/>
      <c r="F882" s="136" t="n"/>
      <c r="G882" s="137" t="n"/>
      <c r="H882" s="137" t="n"/>
    </row>
    <row r="883" ht="15" customHeight="1" s="83">
      <c r="A883" s="135" t="n"/>
      <c r="B883" s="135" t="n"/>
      <c r="C883" s="135" t="n"/>
      <c r="D883" s="136" t="n"/>
      <c r="E883" s="137" t="n"/>
      <c r="F883" s="136" t="n"/>
      <c r="G883" s="137" t="n"/>
      <c r="H883" s="137" t="n"/>
    </row>
    <row r="884" ht="15" customHeight="1" s="83">
      <c r="A884" s="135" t="n"/>
      <c r="B884" s="135" t="n"/>
      <c r="C884" s="135" t="n"/>
      <c r="D884" s="136" t="n"/>
      <c r="E884" s="137" t="n"/>
      <c r="F884" s="136" t="n"/>
      <c r="G884" s="137" t="n"/>
      <c r="H884" s="137" t="n"/>
    </row>
    <row r="885" ht="15" customHeight="1" s="83">
      <c r="A885" s="135" t="n"/>
      <c r="B885" s="135" t="n"/>
      <c r="C885" s="135" t="n"/>
      <c r="D885" s="136" t="n"/>
      <c r="E885" s="137" t="n"/>
      <c r="F885" s="136" t="n"/>
      <c r="G885" s="137" t="n"/>
      <c r="H885" s="137" t="n"/>
    </row>
    <row r="886" ht="15" customHeight="1" s="83">
      <c r="A886" s="135" t="n"/>
      <c r="B886" s="135" t="n"/>
      <c r="C886" s="135" t="n"/>
      <c r="D886" s="136" t="n"/>
      <c r="E886" s="137" t="n"/>
      <c r="F886" s="136" t="n"/>
      <c r="G886" s="137" t="n"/>
      <c r="H886" s="137" t="n"/>
    </row>
    <row r="887" ht="15" customHeight="1" s="83">
      <c r="A887" s="135" t="n"/>
      <c r="B887" s="135" t="n"/>
      <c r="C887" s="135" t="n"/>
      <c r="D887" s="136" t="n"/>
      <c r="E887" s="137" t="n"/>
      <c r="F887" s="136" t="n"/>
      <c r="G887" s="137" t="n"/>
      <c r="H887" s="137" t="n"/>
    </row>
    <row r="888" ht="15" customHeight="1" s="83">
      <c r="A888" s="135" t="n"/>
      <c r="B888" s="135" t="n"/>
      <c r="C888" s="135" t="n"/>
      <c r="D888" s="136" t="n"/>
      <c r="E888" s="137" t="n"/>
      <c r="F888" s="136" t="n"/>
      <c r="G888" s="137" t="n"/>
      <c r="H888" s="137" t="n"/>
    </row>
    <row r="889" ht="15" customHeight="1" s="83">
      <c r="A889" s="135" t="n"/>
      <c r="B889" s="135" t="n"/>
      <c r="C889" s="135" t="n"/>
      <c r="D889" s="136" t="n"/>
      <c r="E889" s="137" t="n"/>
      <c r="F889" s="136" t="n"/>
      <c r="G889" s="137" t="n"/>
      <c r="H889" s="137" t="n"/>
    </row>
    <row r="890" ht="15" customHeight="1" s="83">
      <c r="A890" s="135" t="n"/>
      <c r="B890" s="135" t="n"/>
      <c r="C890" s="135" t="n"/>
      <c r="D890" s="136" t="n"/>
      <c r="E890" s="137" t="n"/>
      <c r="F890" s="136" t="n"/>
      <c r="G890" s="137" t="n"/>
      <c r="H890" s="137" t="n"/>
    </row>
    <row r="891" ht="15" customHeight="1" s="83">
      <c r="A891" s="135" t="n"/>
      <c r="B891" s="135" t="n"/>
      <c r="C891" s="135" t="n"/>
      <c r="D891" s="136" t="n"/>
      <c r="E891" s="137" t="n"/>
      <c r="F891" s="136" t="n"/>
      <c r="G891" s="137" t="n"/>
      <c r="H891" s="137" t="n"/>
    </row>
    <row r="892" ht="15" customHeight="1" s="83">
      <c r="A892" s="135" t="n"/>
      <c r="B892" s="135" t="n"/>
      <c r="C892" s="135" t="n"/>
      <c r="D892" s="136" t="n"/>
      <c r="E892" s="137" t="n"/>
      <c r="F892" s="136" t="n"/>
      <c r="G892" s="137" t="n"/>
      <c r="H892" s="137" t="n"/>
    </row>
    <row r="893" ht="15" customHeight="1" s="83">
      <c r="A893" s="135" t="n"/>
      <c r="B893" s="135" t="n"/>
      <c r="C893" s="135" t="n"/>
      <c r="D893" s="136" t="n"/>
      <c r="E893" s="137" t="n"/>
      <c r="F893" s="136" t="n"/>
      <c r="G893" s="137" t="n"/>
      <c r="H893" s="137" t="n"/>
    </row>
    <row r="894" ht="15" customHeight="1" s="83">
      <c r="A894" s="135" t="n"/>
      <c r="B894" s="135" t="n"/>
      <c r="C894" s="135" t="n"/>
      <c r="D894" s="136" t="n"/>
      <c r="E894" s="137" t="n"/>
      <c r="F894" s="136" t="n"/>
      <c r="G894" s="137" t="n"/>
      <c r="H894" s="137" t="n"/>
    </row>
    <row r="895" ht="15" customHeight="1" s="83">
      <c r="A895" s="135" t="n"/>
      <c r="B895" s="135" t="n"/>
      <c r="C895" s="135" t="n"/>
      <c r="D895" s="136" t="n"/>
      <c r="E895" s="137" t="n"/>
      <c r="F895" s="136" t="n"/>
      <c r="G895" s="137" t="n"/>
      <c r="H895" s="137" t="n"/>
    </row>
    <row r="896" ht="15" customHeight="1" s="83">
      <c r="A896" s="135" t="n"/>
      <c r="B896" s="135" t="n"/>
      <c r="C896" s="135" t="n"/>
      <c r="D896" s="136" t="n"/>
      <c r="E896" s="137" t="n"/>
      <c r="F896" s="136" t="n"/>
      <c r="G896" s="137" t="n"/>
      <c r="H896" s="137" t="n"/>
    </row>
    <row r="897" ht="15" customHeight="1" s="83">
      <c r="A897" s="135" t="n"/>
      <c r="B897" s="135" t="n"/>
      <c r="C897" s="135" t="n"/>
      <c r="D897" s="136" t="n"/>
      <c r="E897" s="137" t="n"/>
      <c r="F897" s="136" t="n"/>
      <c r="G897" s="137" t="n"/>
      <c r="H897" s="137" t="n"/>
    </row>
    <row r="898" ht="15" customHeight="1" s="83">
      <c r="A898" s="135" t="n"/>
      <c r="B898" s="135" t="n"/>
      <c r="C898" s="135" t="n"/>
      <c r="D898" s="136" t="n"/>
      <c r="E898" s="137" t="n"/>
      <c r="F898" s="136" t="n"/>
      <c r="G898" s="137" t="n"/>
      <c r="H898" s="137" t="n"/>
    </row>
    <row r="899" ht="15" customHeight="1" s="83">
      <c r="A899" s="135" t="n"/>
      <c r="B899" s="135" t="n"/>
      <c r="C899" s="135" t="n"/>
      <c r="D899" s="136" t="n"/>
      <c r="E899" s="137" t="n"/>
      <c r="F899" s="136" t="n"/>
      <c r="G899" s="137" t="n"/>
      <c r="H899" s="137" t="n"/>
    </row>
    <row r="900" ht="15" customHeight="1" s="83">
      <c r="A900" s="135" t="n"/>
      <c r="B900" s="135" t="n"/>
      <c r="C900" s="135" t="n"/>
      <c r="D900" s="136" t="n"/>
      <c r="E900" s="137" t="n"/>
      <c r="F900" s="136" t="n"/>
      <c r="G900" s="137" t="n"/>
      <c r="H900" s="137" t="n"/>
    </row>
    <row r="901" ht="15" customHeight="1" s="83">
      <c r="A901" s="135" t="n"/>
      <c r="B901" s="135" t="n"/>
      <c r="C901" s="135" t="n"/>
      <c r="D901" s="136" t="n"/>
      <c r="E901" s="137" t="n"/>
      <c r="F901" s="136" t="n"/>
      <c r="G901" s="137" t="n"/>
      <c r="H901" s="137" t="n"/>
    </row>
    <row r="902" ht="15" customHeight="1" s="83">
      <c r="A902" s="135" t="n"/>
      <c r="B902" s="135" t="n"/>
      <c r="C902" s="135" t="n"/>
      <c r="D902" s="136" t="n"/>
      <c r="E902" s="137" t="n"/>
      <c r="F902" s="136" t="n"/>
      <c r="G902" s="137" t="n"/>
      <c r="H902" s="137" t="n"/>
    </row>
    <row r="903" ht="15" customHeight="1" s="83">
      <c r="A903" s="135" t="n"/>
      <c r="B903" s="135" t="n"/>
      <c r="C903" s="135" t="n"/>
      <c r="D903" s="136" t="n"/>
      <c r="E903" s="137" t="n"/>
      <c r="F903" s="136" t="n"/>
      <c r="G903" s="137" t="n"/>
      <c r="H903" s="137" t="n"/>
    </row>
    <row r="904" ht="15" customHeight="1" s="83">
      <c r="A904" s="135" t="n"/>
      <c r="B904" s="135" t="n"/>
      <c r="C904" s="135" t="n"/>
      <c r="D904" s="136" t="n"/>
      <c r="E904" s="137" t="n"/>
      <c r="F904" s="136" t="n"/>
      <c r="G904" s="137" t="n"/>
      <c r="H904" s="137" t="n"/>
    </row>
    <row r="905" ht="15" customHeight="1" s="83">
      <c r="A905" s="135" t="n"/>
      <c r="B905" s="135" t="n"/>
      <c r="C905" s="135" t="n"/>
      <c r="D905" s="136" t="n"/>
      <c r="E905" s="137" t="n"/>
      <c r="F905" s="136" t="n"/>
      <c r="G905" s="137" t="n"/>
      <c r="H905" s="137" t="n"/>
    </row>
    <row r="906" ht="15" customHeight="1" s="83">
      <c r="A906" s="135" t="n"/>
      <c r="B906" s="135" t="n"/>
      <c r="C906" s="135" t="n"/>
      <c r="D906" s="136" t="n"/>
      <c r="E906" s="137" t="n"/>
      <c r="F906" s="136" t="n"/>
      <c r="G906" s="137" t="n"/>
      <c r="H906" s="137" t="n"/>
    </row>
    <row r="907" ht="15" customHeight="1" s="83">
      <c r="A907" s="135" t="n"/>
      <c r="B907" s="135" t="n"/>
      <c r="C907" s="135" t="n"/>
      <c r="D907" s="136" t="n"/>
      <c r="E907" s="137" t="n"/>
      <c r="F907" s="136" t="n"/>
      <c r="G907" s="137" t="n"/>
      <c r="H907" s="137" t="n"/>
    </row>
    <row r="908" ht="15" customHeight="1" s="83">
      <c r="A908" s="135" t="n"/>
      <c r="B908" s="135" t="n"/>
      <c r="C908" s="135" t="n"/>
      <c r="D908" s="136" t="n"/>
      <c r="E908" s="137" t="n"/>
      <c r="F908" s="136" t="n"/>
      <c r="G908" s="137" t="n"/>
      <c r="H908" s="137" t="n"/>
    </row>
    <row r="909" ht="15" customHeight="1" s="83">
      <c r="A909" s="135" t="n"/>
      <c r="B909" s="135" t="n"/>
      <c r="C909" s="135" t="n"/>
      <c r="D909" s="136" t="n"/>
      <c r="E909" s="137" t="n"/>
      <c r="F909" s="136" t="n"/>
      <c r="G909" s="137" t="n"/>
      <c r="H909" s="137" t="n"/>
    </row>
    <row r="910" ht="15" customHeight="1" s="83">
      <c r="A910" s="135" t="n"/>
      <c r="B910" s="135" t="n"/>
      <c r="C910" s="135" t="n"/>
      <c r="D910" s="136" t="n"/>
      <c r="E910" s="137" t="n"/>
      <c r="F910" s="136" t="n"/>
      <c r="G910" s="137" t="n"/>
      <c r="H910" s="137" t="n"/>
    </row>
    <row r="911" ht="15" customHeight="1" s="83">
      <c r="A911" s="135" t="n"/>
      <c r="B911" s="135" t="n"/>
      <c r="C911" s="135" t="n"/>
      <c r="D911" s="136" t="n"/>
      <c r="E911" s="137" t="n"/>
      <c r="F911" s="136" t="n"/>
      <c r="G911" s="137" t="n"/>
      <c r="H911" s="137" t="n"/>
    </row>
    <row r="912" ht="15" customHeight="1" s="83">
      <c r="A912" s="135" t="n"/>
      <c r="B912" s="135" t="n"/>
      <c r="C912" s="135" t="n"/>
      <c r="D912" s="136" t="n"/>
      <c r="E912" s="137" t="n"/>
      <c r="F912" s="136" t="n"/>
      <c r="G912" s="137" t="n"/>
      <c r="H912" s="137" t="n"/>
    </row>
    <row r="913" ht="15" customHeight="1" s="83">
      <c r="A913" s="135" t="n"/>
      <c r="B913" s="135" t="n"/>
      <c r="C913" s="135" t="n"/>
      <c r="D913" s="136" t="n"/>
      <c r="E913" s="137" t="n"/>
      <c r="F913" s="136" t="n"/>
      <c r="G913" s="137" t="n"/>
      <c r="H913" s="137" t="n"/>
    </row>
    <row r="914" ht="15" customHeight="1" s="83">
      <c r="A914" s="135" t="n"/>
      <c r="B914" s="135" t="n"/>
      <c r="C914" s="135" t="n"/>
      <c r="D914" s="136" t="n"/>
      <c r="E914" s="137" t="n"/>
      <c r="F914" s="136" t="n"/>
      <c r="G914" s="137" t="n"/>
      <c r="H914" s="137" t="n"/>
    </row>
    <row r="915" ht="15" customHeight="1" s="83">
      <c r="A915" s="135" t="n"/>
      <c r="B915" s="135" t="n"/>
      <c r="C915" s="135" t="n"/>
      <c r="D915" s="136" t="n"/>
      <c r="E915" s="137" t="n"/>
      <c r="F915" s="136" t="n"/>
      <c r="G915" s="137" t="n"/>
      <c r="H915" s="137" t="n"/>
    </row>
    <row r="916" ht="15" customHeight="1" s="83">
      <c r="A916" s="135" t="n"/>
      <c r="B916" s="135" t="n"/>
      <c r="C916" s="135" t="n"/>
      <c r="D916" s="136" t="n"/>
      <c r="E916" s="137" t="n"/>
      <c r="F916" s="136" t="n"/>
      <c r="G916" s="137" t="n"/>
      <c r="H916" s="137" t="n"/>
    </row>
    <row r="917" ht="15" customHeight="1" s="83">
      <c r="A917" s="135" t="n"/>
      <c r="B917" s="135" t="n"/>
      <c r="C917" s="135" t="n"/>
      <c r="D917" s="136" t="n"/>
      <c r="E917" s="137" t="n"/>
      <c r="F917" s="136" t="n"/>
      <c r="G917" s="137" t="n"/>
      <c r="H917" s="137" t="n"/>
    </row>
    <row r="918" ht="15" customHeight="1" s="83">
      <c r="A918" s="135" t="n"/>
      <c r="B918" s="135" t="n"/>
      <c r="C918" s="135" t="n"/>
      <c r="D918" s="136" t="n"/>
      <c r="E918" s="137" t="n"/>
      <c r="F918" s="136" t="n"/>
      <c r="G918" s="137" t="n"/>
      <c r="H918" s="137" t="n"/>
    </row>
    <row r="919" ht="15" customHeight="1" s="83">
      <c r="A919" s="135" t="n"/>
      <c r="B919" s="135" t="n"/>
      <c r="C919" s="135" t="n"/>
      <c r="D919" s="136" t="n"/>
      <c r="E919" s="137" t="n"/>
      <c r="F919" s="136" t="n"/>
      <c r="G919" s="137" t="n"/>
      <c r="H919" s="137" t="n"/>
    </row>
    <row r="920" ht="15" customHeight="1" s="83">
      <c r="A920" s="135" t="n"/>
      <c r="B920" s="135" t="n"/>
      <c r="C920" s="135" t="n"/>
      <c r="D920" s="136" t="n"/>
      <c r="E920" s="137" t="n"/>
      <c r="F920" s="136" t="n"/>
      <c r="G920" s="137" t="n"/>
      <c r="H920" s="137" t="n"/>
    </row>
    <row r="921" ht="15" customHeight="1" s="83">
      <c r="A921" s="135" t="n"/>
      <c r="B921" s="135" t="n"/>
      <c r="C921" s="135" t="n"/>
      <c r="D921" s="136" t="n"/>
      <c r="E921" s="137" t="n"/>
      <c r="F921" s="136" t="n"/>
      <c r="G921" s="137" t="n"/>
      <c r="H921" s="137" t="n"/>
    </row>
    <row r="922" ht="15" customHeight="1" s="83">
      <c r="A922" s="135" t="n"/>
      <c r="B922" s="135" t="n"/>
      <c r="C922" s="135" t="n"/>
      <c r="D922" s="136" t="n"/>
      <c r="E922" s="137" t="n"/>
      <c r="F922" s="136" t="n"/>
      <c r="G922" s="137" t="n"/>
      <c r="H922" s="137" t="n"/>
    </row>
    <row r="923" ht="15" customHeight="1" s="83">
      <c r="A923" s="135" t="n"/>
      <c r="B923" s="135" t="n"/>
      <c r="C923" s="135" t="n"/>
      <c r="D923" s="136" t="n"/>
      <c r="E923" s="137" t="n"/>
      <c r="F923" s="136" t="n"/>
      <c r="G923" s="137" t="n"/>
      <c r="H923" s="137" t="n"/>
    </row>
    <row r="924" ht="15" customHeight="1" s="83">
      <c r="A924" s="135" t="n"/>
      <c r="B924" s="135" t="n"/>
      <c r="C924" s="135" t="n"/>
      <c r="D924" s="136" t="n"/>
      <c r="E924" s="137" t="n"/>
      <c r="F924" s="136" t="n"/>
      <c r="G924" s="137" t="n"/>
      <c r="H924" s="137" t="n"/>
    </row>
    <row r="925" ht="15" customHeight="1" s="83">
      <c r="A925" s="135" t="n"/>
      <c r="B925" s="135" t="n"/>
      <c r="C925" s="135" t="n"/>
      <c r="D925" s="136" t="n"/>
      <c r="E925" s="137" t="n"/>
      <c r="F925" s="136" t="n"/>
      <c r="G925" s="137" t="n"/>
      <c r="H925" s="137" t="n"/>
    </row>
    <row r="926" ht="15" customHeight="1" s="83">
      <c r="A926" s="135" t="n"/>
      <c r="B926" s="135" t="n"/>
      <c r="C926" s="135" t="n"/>
      <c r="D926" s="136" t="n"/>
      <c r="E926" s="137" t="n"/>
      <c r="F926" s="136" t="n"/>
      <c r="G926" s="137" t="n"/>
      <c r="H926" s="137" t="n"/>
    </row>
    <row r="927" ht="15" customHeight="1" s="83">
      <c r="A927" s="135" t="n"/>
      <c r="B927" s="135" t="n"/>
      <c r="C927" s="135" t="n"/>
      <c r="D927" s="136" t="n"/>
      <c r="E927" s="137" t="n"/>
      <c r="F927" s="136" t="n"/>
      <c r="G927" s="137" t="n"/>
      <c r="H927" s="137" t="n"/>
    </row>
    <row r="928" ht="15" customHeight="1" s="83">
      <c r="A928" s="135" t="n"/>
      <c r="B928" s="135" t="n"/>
      <c r="C928" s="135" t="n"/>
      <c r="D928" s="136" t="n"/>
      <c r="E928" s="137" t="n"/>
      <c r="F928" s="136" t="n"/>
      <c r="G928" s="137" t="n"/>
      <c r="H928" s="137" t="n"/>
    </row>
    <row r="929" ht="15" customHeight="1" s="83">
      <c r="A929" s="135" t="n"/>
      <c r="B929" s="135" t="n"/>
      <c r="C929" s="135" t="n"/>
      <c r="D929" s="136" t="n"/>
      <c r="E929" s="137" t="n"/>
      <c r="F929" s="136" t="n"/>
      <c r="G929" s="137" t="n"/>
      <c r="H929" s="137" t="n"/>
    </row>
    <row r="930" ht="15" customHeight="1" s="83">
      <c r="A930" s="135" t="n"/>
      <c r="B930" s="135" t="n"/>
      <c r="C930" s="135" t="n"/>
      <c r="D930" s="136" t="n"/>
      <c r="E930" s="137" t="n"/>
      <c r="F930" s="136" t="n"/>
      <c r="G930" s="137" t="n"/>
      <c r="H930" s="137" t="n"/>
    </row>
    <row r="931" ht="15" customHeight="1" s="83">
      <c r="A931" s="135" t="n"/>
      <c r="B931" s="135" t="n"/>
      <c r="C931" s="135" t="n"/>
      <c r="D931" s="136" t="n"/>
      <c r="E931" s="137" t="n"/>
      <c r="F931" s="136" t="n"/>
      <c r="G931" s="137" t="n"/>
      <c r="H931" s="137" t="n"/>
    </row>
    <row r="932" ht="15" customHeight="1" s="83">
      <c r="A932" s="135" t="n"/>
      <c r="B932" s="135" t="n"/>
      <c r="C932" s="135" t="n"/>
      <c r="D932" s="136" t="n"/>
      <c r="E932" s="137" t="n"/>
      <c r="F932" s="136" t="n"/>
      <c r="G932" s="137" t="n"/>
      <c r="H932" s="137" t="n"/>
    </row>
    <row r="933" ht="15" customHeight="1" s="83">
      <c r="A933" s="135" t="n"/>
      <c r="B933" s="135" t="n"/>
      <c r="C933" s="135" t="n"/>
      <c r="D933" s="136" t="n"/>
      <c r="E933" s="137" t="n"/>
      <c r="F933" s="136" t="n"/>
      <c r="G933" s="137" t="n"/>
      <c r="H933" s="137" t="n"/>
    </row>
    <row r="934" ht="15" customHeight="1" s="83">
      <c r="A934" s="135" t="n"/>
      <c r="B934" s="135" t="n"/>
      <c r="C934" s="135" t="n"/>
      <c r="D934" s="136" t="n"/>
      <c r="E934" s="137" t="n"/>
      <c r="F934" s="136" t="n"/>
      <c r="G934" s="137" t="n"/>
      <c r="H934" s="137" t="n"/>
    </row>
    <row r="935" ht="15" customHeight="1" s="83">
      <c r="A935" s="135" t="n"/>
      <c r="B935" s="135" t="n"/>
      <c r="C935" s="135" t="n"/>
      <c r="D935" s="136" t="n"/>
      <c r="E935" s="137" t="n"/>
      <c r="F935" s="136" t="n"/>
      <c r="G935" s="137" t="n"/>
      <c r="H935" s="137" t="n"/>
    </row>
    <row r="936" ht="15" customHeight="1" s="83">
      <c r="A936" s="135" t="n"/>
      <c r="B936" s="135" t="n"/>
      <c r="C936" s="135" t="n"/>
      <c r="D936" s="136" t="n"/>
      <c r="E936" s="137" t="n"/>
      <c r="F936" s="136" t="n"/>
      <c r="G936" s="137" t="n"/>
      <c r="H936" s="137" t="n"/>
    </row>
    <row r="937" ht="15" customHeight="1" s="83">
      <c r="A937" s="135" t="n"/>
      <c r="B937" s="135" t="n"/>
      <c r="C937" s="135" t="n"/>
      <c r="D937" s="136" t="n"/>
      <c r="E937" s="137" t="n"/>
      <c r="F937" s="136" t="n"/>
      <c r="G937" s="137" t="n"/>
      <c r="H937" s="137" t="n"/>
    </row>
    <row r="938" ht="15" customHeight="1" s="83">
      <c r="A938" s="135" t="n"/>
      <c r="B938" s="135" t="n"/>
      <c r="C938" s="135" t="n"/>
      <c r="D938" s="136" t="n"/>
      <c r="E938" s="137" t="n"/>
      <c r="F938" s="136" t="n"/>
      <c r="G938" s="137" t="n"/>
      <c r="H938" s="137" t="n"/>
    </row>
    <row r="939" ht="15" customHeight="1" s="83">
      <c r="A939" s="135" t="n"/>
      <c r="B939" s="135" t="n"/>
      <c r="C939" s="135" t="n"/>
      <c r="D939" s="136" t="n"/>
      <c r="E939" s="137" t="n"/>
      <c r="F939" s="136" t="n"/>
      <c r="G939" s="137" t="n"/>
      <c r="H939" s="137" t="n"/>
    </row>
    <row r="940" ht="15" customHeight="1" s="83">
      <c r="A940" s="135" t="n"/>
      <c r="B940" s="135" t="n"/>
      <c r="C940" s="135" t="n"/>
      <c r="D940" s="136" t="n"/>
      <c r="E940" s="137" t="n"/>
      <c r="F940" s="136" t="n"/>
      <c r="G940" s="137" t="n"/>
      <c r="H940" s="137" t="n"/>
    </row>
    <row r="941" ht="15" customHeight="1" s="83">
      <c r="A941" s="135" t="n"/>
      <c r="B941" s="135" t="n"/>
      <c r="C941" s="135" t="n"/>
      <c r="D941" s="136" t="n"/>
      <c r="E941" s="137" t="n"/>
      <c r="F941" s="136" t="n"/>
      <c r="G941" s="137" t="n"/>
      <c r="H941" s="137" t="n"/>
    </row>
    <row r="942" ht="15" customHeight="1" s="83">
      <c r="A942" s="135" t="n"/>
      <c r="B942" s="135" t="n"/>
      <c r="C942" s="135" t="n"/>
      <c r="D942" s="136" t="n"/>
      <c r="E942" s="137" t="n"/>
      <c r="F942" s="136" t="n"/>
      <c r="G942" s="137" t="n"/>
      <c r="H942" s="137" t="n"/>
    </row>
    <row r="943" ht="15" customHeight="1" s="83">
      <c r="A943" s="135" t="n"/>
      <c r="B943" s="135" t="n"/>
      <c r="C943" s="135" t="n"/>
      <c r="D943" s="136" t="n"/>
      <c r="E943" s="137" t="n"/>
      <c r="F943" s="136" t="n"/>
      <c r="G943" s="137" t="n"/>
      <c r="H943" s="137" t="n"/>
    </row>
    <row r="944" ht="15" customHeight="1" s="83">
      <c r="A944" s="135" t="n"/>
      <c r="B944" s="135" t="n"/>
      <c r="C944" s="135" t="n"/>
      <c r="D944" s="136" t="n"/>
      <c r="E944" s="137" t="n"/>
      <c r="F944" s="136" t="n"/>
      <c r="G944" s="137" t="n"/>
      <c r="H944" s="137" t="n"/>
    </row>
    <row r="945" ht="15" customHeight="1" s="83">
      <c r="A945" s="135" t="n"/>
      <c r="B945" s="135" t="n"/>
      <c r="C945" s="135" t="n"/>
      <c r="D945" s="136" t="n"/>
      <c r="E945" s="137" t="n"/>
      <c r="F945" s="136" t="n"/>
      <c r="G945" s="137" t="n"/>
      <c r="H945" s="137" t="n"/>
    </row>
    <row r="946" ht="15" customHeight="1" s="83">
      <c r="A946" s="135" t="n"/>
      <c r="B946" s="135" t="n"/>
      <c r="C946" s="135" t="n"/>
      <c r="D946" s="136" t="n"/>
      <c r="E946" s="137" t="n"/>
      <c r="F946" s="136" t="n"/>
      <c r="G946" s="137" t="n"/>
      <c r="H946" s="137" t="n"/>
    </row>
    <row r="947" ht="15" customHeight="1" s="83">
      <c r="A947" s="135" t="n"/>
      <c r="B947" s="135" t="n"/>
      <c r="C947" s="135" t="n"/>
      <c r="D947" s="136" t="n"/>
      <c r="E947" s="137" t="n"/>
      <c r="F947" s="136" t="n"/>
      <c r="G947" s="137" t="n"/>
      <c r="H947" s="137" t="n"/>
    </row>
    <row r="948" ht="15" customHeight="1" s="83">
      <c r="A948" s="135" t="n"/>
      <c r="B948" s="135" t="n"/>
      <c r="C948" s="135" t="n"/>
      <c r="D948" s="136" t="n"/>
      <c r="E948" s="137" t="n"/>
      <c r="F948" s="136" t="n"/>
      <c r="G948" s="137" t="n"/>
      <c r="H948" s="137" t="n"/>
    </row>
    <row r="949" ht="15" customHeight="1" s="83">
      <c r="A949" s="135" t="n"/>
      <c r="B949" s="135" t="n"/>
      <c r="C949" s="135" t="n"/>
      <c r="D949" s="136" t="n"/>
      <c r="E949" s="137" t="n"/>
      <c r="F949" s="136" t="n"/>
      <c r="G949" s="137" t="n"/>
      <c r="H949" s="137" t="n"/>
    </row>
    <row r="950" ht="15" customHeight="1" s="83">
      <c r="A950" s="135" t="n"/>
      <c r="B950" s="135" t="n"/>
      <c r="C950" s="135" t="n"/>
      <c r="D950" s="136" t="n"/>
      <c r="E950" s="137" t="n"/>
      <c r="F950" s="136" t="n"/>
      <c r="G950" s="137" t="n"/>
      <c r="H950" s="137" t="n"/>
    </row>
    <row r="951" ht="15" customHeight="1" s="83">
      <c r="A951" s="135" t="n"/>
      <c r="B951" s="135" t="n"/>
      <c r="C951" s="135" t="n"/>
      <c r="D951" s="136" t="n"/>
      <c r="E951" s="137" t="n"/>
      <c r="F951" s="136" t="n"/>
      <c r="G951" s="137" t="n"/>
      <c r="H951" s="137" t="n"/>
    </row>
    <row r="952" ht="15" customHeight="1" s="83">
      <c r="A952" s="135" t="n"/>
      <c r="B952" s="135" t="n"/>
      <c r="C952" s="135" t="n"/>
      <c r="D952" s="136" t="n"/>
      <c r="E952" s="137" t="n"/>
      <c r="F952" s="136" t="n"/>
      <c r="G952" s="137" t="n"/>
      <c r="H952" s="137" t="n"/>
    </row>
    <row r="953" ht="15" customHeight="1" s="83">
      <c r="A953" s="135" t="n"/>
      <c r="B953" s="135" t="n"/>
      <c r="C953" s="135" t="n"/>
      <c r="D953" s="136" t="n"/>
      <c r="E953" s="137" t="n"/>
      <c r="F953" s="136" t="n"/>
      <c r="G953" s="137" t="n"/>
      <c r="H953" s="137" t="n"/>
    </row>
    <row r="954" ht="15" customHeight="1" s="83">
      <c r="A954" s="135" t="n"/>
      <c r="B954" s="135" t="n"/>
      <c r="C954" s="135" t="n"/>
      <c r="D954" s="136" t="n"/>
      <c r="E954" s="137" t="n"/>
      <c r="F954" s="136" t="n"/>
      <c r="G954" s="137" t="n"/>
      <c r="H954" s="137" t="n"/>
    </row>
    <row r="955" ht="15" customHeight="1" s="83">
      <c r="A955" s="135" t="n"/>
      <c r="B955" s="135" t="n"/>
      <c r="C955" s="135" t="n"/>
      <c r="D955" s="136" t="n"/>
      <c r="E955" s="137" t="n"/>
      <c r="F955" s="136" t="n"/>
      <c r="G955" s="137" t="n"/>
      <c r="H955" s="137" t="n"/>
    </row>
    <row r="956" ht="15" customHeight="1" s="83">
      <c r="A956" s="135" t="n"/>
      <c r="B956" s="135" t="n"/>
      <c r="C956" s="135" t="n"/>
      <c r="D956" s="136" t="n"/>
      <c r="E956" s="137" t="n"/>
      <c r="F956" s="136" t="n"/>
      <c r="G956" s="137" t="n"/>
      <c r="H956" s="137" t="n"/>
    </row>
    <row r="957" ht="15" customHeight="1" s="83">
      <c r="A957" s="135" t="n"/>
      <c r="B957" s="135" t="n"/>
      <c r="C957" s="135" t="n"/>
      <c r="D957" s="136" t="n"/>
      <c r="E957" s="137" t="n"/>
      <c r="F957" s="136" t="n"/>
      <c r="G957" s="137" t="n"/>
      <c r="H957" s="137" t="n"/>
    </row>
    <row r="958" ht="15" customHeight="1" s="83">
      <c r="A958" s="135" t="n"/>
      <c r="B958" s="135" t="n"/>
      <c r="C958" s="135" t="n"/>
      <c r="D958" s="136" t="n"/>
      <c r="E958" s="137" t="n"/>
      <c r="F958" s="136" t="n"/>
      <c r="G958" s="137" t="n"/>
      <c r="H958" s="137" t="n"/>
    </row>
    <row r="959" ht="15" customHeight="1" s="83">
      <c r="A959" s="135" t="n"/>
      <c r="B959" s="135" t="n"/>
      <c r="C959" s="135" t="n"/>
      <c r="D959" s="136" t="n"/>
      <c r="E959" s="137" t="n"/>
      <c r="F959" s="136" t="n"/>
      <c r="G959" s="137" t="n"/>
      <c r="H959" s="137" t="n"/>
    </row>
    <row r="960" ht="15" customHeight="1" s="83">
      <c r="A960" s="135" t="n"/>
      <c r="B960" s="135" t="n"/>
      <c r="C960" s="135" t="n"/>
      <c r="D960" s="136" t="n"/>
      <c r="E960" s="137" t="n"/>
      <c r="F960" s="136" t="n"/>
      <c r="G960" s="137" t="n"/>
      <c r="H960" s="137" t="n"/>
    </row>
    <row r="961" ht="15" customHeight="1" s="83">
      <c r="A961" s="135" t="n"/>
      <c r="B961" s="135" t="n"/>
      <c r="C961" s="135" t="n"/>
      <c r="D961" s="136" t="n"/>
      <c r="E961" s="137" t="n"/>
      <c r="F961" s="136" t="n"/>
      <c r="G961" s="137" t="n"/>
      <c r="H961" s="137" t="n"/>
    </row>
    <row r="962" ht="15" customHeight="1" s="83">
      <c r="A962" s="135" t="n"/>
      <c r="B962" s="135" t="n"/>
      <c r="C962" s="135" t="n"/>
      <c r="D962" s="136" t="n"/>
      <c r="E962" s="137" t="n"/>
      <c r="F962" s="136" t="n"/>
      <c r="G962" s="137" t="n"/>
      <c r="H962" s="137" t="n"/>
    </row>
    <row r="963" ht="15" customHeight="1" s="83">
      <c r="A963" s="135" t="n"/>
      <c r="B963" s="135" t="n"/>
      <c r="C963" s="135" t="n"/>
      <c r="D963" s="136" t="n"/>
      <c r="E963" s="137" t="n"/>
      <c r="F963" s="136" t="n"/>
      <c r="G963" s="137" t="n"/>
      <c r="H963" s="137" t="n"/>
    </row>
    <row r="964" ht="15" customHeight="1" s="83">
      <c r="A964" s="135" t="n"/>
      <c r="B964" s="135" t="n"/>
      <c r="C964" s="135" t="n"/>
      <c r="D964" s="136" t="n"/>
      <c r="E964" s="137" t="n"/>
      <c r="F964" s="136" t="n"/>
      <c r="G964" s="137" t="n"/>
      <c r="H964" s="137" t="n"/>
    </row>
    <row r="965" ht="15" customHeight="1" s="83">
      <c r="A965" s="135" t="n"/>
      <c r="B965" s="135" t="n"/>
      <c r="C965" s="135" t="n"/>
      <c r="D965" s="136" t="n"/>
      <c r="E965" s="137" t="n"/>
      <c r="F965" s="136" t="n"/>
      <c r="G965" s="137" t="n"/>
      <c r="H965" s="137" t="n"/>
    </row>
    <row r="966" ht="15" customHeight="1" s="83">
      <c r="A966" s="135" t="n"/>
      <c r="B966" s="135" t="n"/>
      <c r="C966" s="135" t="n"/>
      <c r="D966" s="136" t="n"/>
      <c r="E966" s="137" t="n"/>
      <c r="F966" s="136" t="n"/>
      <c r="G966" s="137" t="n"/>
      <c r="H966" s="137" t="n"/>
    </row>
    <row r="967" ht="15" customHeight="1" s="83">
      <c r="A967" s="135" t="n"/>
      <c r="B967" s="135" t="n"/>
      <c r="C967" s="135" t="n"/>
      <c r="D967" s="136" t="n"/>
      <c r="E967" s="137" t="n"/>
      <c r="F967" s="136" t="n"/>
      <c r="G967" s="137" t="n"/>
      <c r="H967" s="137" t="n"/>
    </row>
    <row r="968" ht="15" customHeight="1" s="83">
      <c r="A968" s="135" t="n"/>
      <c r="B968" s="135" t="n"/>
      <c r="C968" s="135" t="n"/>
      <c r="D968" s="136" t="n"/>
      <c r="E968" s="137" t="n"/>
      <c r="F968" s="136" t="n"/>
      <c r="G968" s="137" t="n"/>
      <c r="H968" s="137" t="n"/>
    </row>
    <row r="969" ht="15" customHeight="1" s="83">
      <c r="A969" s="135" t="n"/>
      <c r="B969" s="135" t="n"/>
      <c r="C969" s="135" t="n"/>
      <c r="D969" s="136" t="n"/>
      <c r="E969" s="137" t="n"/>
      <c r="F969" s="136" t="n"/>
      <c r="G969" s="137" t="n"/>
      <c r="H969" s="137" t="n"/>
    </row>
    <row r="970" ht="15" customHeight="1" s="83">
      <c r="A970" s="135" t="n"/>
      <c r="B970" s="135" t="n"/>
      <c r="C970" s="135" t="n"/>
      <c r="D970" s="136" t="n"/>
      <c r="E970" s="137" t="n"/>
      <c r="F970" s="136" t="n"/>
      <c r="G970" s="137" t="n"/>
      <c r="H970" s="137" t="n"/>
    </row>
    <row r="971" ht="15" customHeight="1" s="83">
      <c r="A971" s="135" t="n"/>
      <c r="B971" s="135" t="n"/>
      <c r="C971" s="135" t="n"/>
      <c r="D971" s="136" t="n"/>
      <c r="E971" s="137" t="n"/>
      <c r="F971" s="136" t="n"/>
      <c r="G971" s="137" t="n"/>
      <c r="H971" s="137" t="n"/>
    </row>
    <row r="972" ht="15" customHeight="1" s="83">
      <c r="A972" s="135" t="n"/>
      <c r="B972" s="135" t="n"/>
      <c r="C972" s="135" t="n"/>
      <c r="D972" s="136" t="n"/>
      <c r="E972" s="137" t="n"/>
      <c r="F972" s="136" t="n"/>
      <c r="G972" s="137" t="n"/>
      <c r="H972" s="137" t="n"/>
    </row>
    <row r="973" ht="15" customHeight="1" s="83">
      <c r="A973" s="135" t="n"/>
      <c r="B973" s="135" t="n"/>
      <c r="C973" s="135" t="n"/>
      <c r="D973" s="136" t="n"/>
      <c r="E973" s="137" t="n"/>
      <c r="F973" s="136" t="n"/>
      <c r="G973" s="137" t="n"/>
      <c r="H973" s="137" t="n"/>
    </row>
    <row r="974" ht="15" customHeight="1" s="83">
      <c r="A974" s="135" t="n"/>
      <c r="B974" s="135" t="n"/>
      <c r="C974" s="135" t="n"/>
      <c r="D974" s="136" t="n"/>
      <c r="E974" s="137" t="n"/>
      <c r="F974" s="136" t="n"/>
      <c r="G974" s="137" t="n"/>
      <c r="H974" s="137" t="n"/>
    </row>
    <row r="975" ht="15" customHeight="1" s="83">
      <c r="A975" s="135" t="n"/>
      <c r="B975" s="135" t="n"/>
      <c r="C975" s="135" t="n"/>
      <c r="D975" s="136" t="n"/>
      <c r="E975" s="137" t="n"/>
      <c r="F975" s="136" t="n"/>
      <c r="G975" s="137" t="n"/>
      <c r="H975" s="137" t="n"/>
    </row>
    <row r="976" ht="15" customHeight="1" s="83">
      <c r="A976" s="135" t="n"/>
      <c r="B976" s="135" t="n"/>
      <c r="C976" s="135" t="n"/>
      <c r="D976" s="136" t="n"/>
      <c r="E976" s="137" t="n"/>
      <c r="F976" s="136" t="n"/>
      <c r="G976" s="137" t="n"/>
      <c r="H976" s="137" t="n"/>
    </row>
    <row r="977" ht="15" customHeight="1" s="83">
      <c r="A977" s="135" t="n"/>
      <c r="B977" s="135" t="n"/>
      <c r="C977" s="135" t="n"/>
      <c r="D977" s="136" t="n"/>
      <c r="E977" s="137" t="n"/>
      <c r="F977" s="136" t="n"/>
      <c r="G977" s="137" t="n"/>
      <c r="H977" s="137" t="n"/>
    </row>
    <row r="978" ht="15" customHeight="1" s="83">
      <c r="A978" s="135" t="n"/>
      <c r="B978" s="135" t="n"/>
      <c r="C978" s="135" t="n"/>
      <c r="D978" s="136" t="n"/>
      <c r="E978" s="137" t="n"/>
      <c r="F978" s="136" t="n"/>
      <c r="G978" s="137" t="n"/>
      <c r="H978" s="137" t="n"/>
    </row>
    <row r="979" ht="15" customHeight="1" s="83">
      <c r="A979" s="135" t="n"/>
      <c r="B979" s="135" t="n"/>
      <c r="C979" s="135" t="n"/>
      <c r="D979" s="136" t="n"/>
      <c r="E979" s="137" t="n"/>
      <c r="F979" s="136" t="n"/>
      <c r="G979" s="137" t="n"/>
      <c r="H979" s="137" t="n"/>
    </row>
    <row r="980" ht="15" customHeight="1" s="83">
      <c r="A980" s="135" t="n"/>
      <c r="B980" s="135" t="n"/>
      <c r="C980" s="135" t="n"/>
      <c r="D980" s="136" t="n"/>
      <c r="E980" s="137" t="n"/>
      <c r="F980" s="136" t="n"/>
      <c r="G980" s="137" t="n"/>
      <c r="H980" s="137" t="n"/>
    </row>
    <row r="981" ht="15" customHeight="1" s="83">
      <c r="A981" s="135" t="n"/>
      <c r="B981" s="135" t="n"/>
      <c r="C981" s="135" t="n"/>
      <c r="D981" s="136" t="n"/>
      <c r="E981" s="137" t="n"/>
      <c r="F981" s="136" t="n"/>
      <c r="G981" s="137" t="n"/>
      <c r="H981" s="137" t="n"/>
    </row>
    <row r="982" ht="15" customHeight="1" s="83">
      <c r="A982" s="135" t="n"/>
      <c r="B982" s="135" t="n"/>
      <c r="C982" s="135" t="n"/>
      <c r="D982" s="136" t="n"/>
      <c r="E982" s="137" t="n"/>
      <c r="F982" s="136" t="n"/>
      <c r="G982" s="137" t="n"/>
      <c r="H982" s="137" t="n"/>
    </row>
    <row r="983" ht="15" customHeight="1" s="83">
      <c r="A983" s="135" t="n"/>
      <c r="B983" s="135" t="n"/>
      <c r="C983" s="135" t="n"/>
      <c r="D983" s="136" t="n"/>
      <c r="E983" s="137" t="n"/>
      <c r="F983" s="136" t="n"/>
      <c r="G983" s="137" t="n"/>
      <c r="H983" s="137" t="n"/>
    </row>
    <row r="984" ht="15" customHeight="1" s="83">
      <c r="A984" s="135" t="n"/>
      <c r="B984" s="135" t="n"/>
      <c r="C984" s="135" t="n"/>
      <c r="D984" s="136" t="n"/>
      <c r="E984" s="137" t="n"/>
      <c r="F984" s="136" t="n"/>
      <c r="G984" s="137" t="n"/>
      <c r="H984" s="137" t="n"/>
    </row>
    <row r="985" ht="15" customHeight="1" s="83">
      <c r="A985" s="135" t="n"/>
      <c r="B985" s="135" t="n"/>
      <c r="C985" s="135" t="n"/>
      <c r="D985" s="136" t="n"/>
      <c r="E985" s="137" t="n"/>
      <c r="F985" s="136" t="n"/>
      <c r="G985" s="137" t="n"/>
      <c r="H985" s="137" t="n"/>
    </row>
    <row r="986" ht="15" customHeight="1" s="83">
      <c r="A986" s="135" t="n"/>
      <c r="B986" s="135" t="n"/>
      <c r="C986" s="135" t="n"/>
      <c r="D986" s="136" t="n"/>
      <c r="E986" s="137" t="n"/>
      <c r="F986" s="136" t="n"/>
      <c r="G986" s="137" t="n"/>
      <c r="H986" s="137" t="n"/>
    </row>
    <row r="987" ht="15" customHeight="1" s="83">
      <c r="A987" s="135" t="n"/>
      <c r="B987" s="135" t="n"/>
      <c r="C987" s="135" t="n"/>
      <c r="D987" s="136" t="n"/>
      <c r="E987" s="137" t="n"/>
      <c r="F987" s="136" t="n"/>
      <c r="G987" s="137" t="n"/>
      <c r="H987" s="137" t="n"/>
    </row>
    <row r="988" ht="15" customHeight="1" s="83">
      <c r="A988" s="135" t="n"/>
      <c r="B988" s="135" t="n"/>
      <c r="C988" s="135" t="n"/>
      <c r="D988" s="136" t="n"/>
      <c r="E988" s="137" t="n"/>
      <c r="F988" s="136" t="n"/>
      <c r="G988" s="137" t="n"/>
      <c r="H988" s="137" t="n"/>
    </row>
    <row r="989" ht="15" customHeight="1" s="83">
      <c r="A989" s="135" t="n"/>
      <c r="B989" s="135" t="n"/>
      <c r="C989" s="135" t="n"/>
      <c r="D989" s="136" t="n"/>
      <c r="E989" s="137" t="n"/>
      <c r="F989" s="136" t="n"/>
      <c r="G989" s="137" t="n"/>
      <c r="H989" s="137" t="n"/>
    </row>
    <row r="990" ht="15" customHeight="1" s="83">
      <c r="A990" s="135" t="n"/>
      <c r="B990" s="135" t="n"/>
      <c r="C990" s="135" t="n"/>
      <c r="D990" s="136" t="n"/>
      <c r="E990" s="137" t="n"/>
      <c r="F990" s="136" t="n"/>
      <c r="G990" s="137" t="n"/>
      <c r="H990" s="137" t="n"/>
    </row>
    <row r="991" ht="15" customHeight="1" s="83">
      <c r="A991" s="135" t="n"/>
      <c r="B991" s="135" t="n"/>
      <c r="C991" s="135" t="n"/>
      <c r="D991" s="136" t="n"/>
      <c r="E991" s="137" t="n"/>
      <c r="F991" s="136" t="n"/>
      <c r="G991" s="137" t="n"/>
      <c r="H991" s="137" t="n"/>
    </row>
    <row r="992" ht="15" customHeight="1" s="83">
      <c r="A992" s="135" t="n"/>
      <c r="B992" s="135" t="n"/>
      <c r="C992" s="135" t="n"/>
      <c r="D992" s="136" t="n"/>
      <c r="E992" s="137" t="n"/>
      <c r="F992" s="136" t="n"/>
      <c r="G992" s="137" t="n"/>
      <c r="H992" s="137" t="n"/>
    </row>
    <row r="993" ht="15" customHeight="1" s="83">
      <c r="A993" s="135" t="n"/>
      <c r="B993" s="135" t="n"/>
      <c r="C993" s="135" t="n"/>
      <c r="D993" s="136" t="n"/>
      <c r="E993" s="137" t="n"/>
      <c r="F993" s="136" t="n"/>
      <c r="G993" s="137" t="n"/>
      <c r="H993" s="137" t="n"/>
    </row>
    <row r="994" ht="15" customHeight="1" s="83">
      <c r="A994" s="135" t="n"/>
      <c r="B994" s="135" t="n"/>
      <c r="C994" s="135" t="n"/>
      <c r="D994" s="136" t="n"/>
      <c r="E994" s="137" t="n"/>
      <c r="F994" s="136" t="n"/>
      <c r="G994" s="137" t="n"/>
      <c r="H994" s="137" t="n"/>
    </row>
    <row r="995" ht="15" customHeight="1" s="83">
      <c r="A995" s="135" t="n"/>
      <c r="B995" s="135" t="n"/>
      <c r="C995" s="135" t="n"/>
      <c r="D995" s="136" t="n"/>
      <c r="E995" s="137" t="n"/>
      <c r="F995" s="136" t="n"/>
      <c r="G995" s="137" t="n"/>
      <c r="H995" s="137" t="n"/>
    </row>
    <row r="996" ht="15" customHeight="1" s="83">
      <c r="A996" s="135" t="n"/>
      <c r="B996" s="135" t="n"/>
      <c r="C996" s="135" t="n"/>
      <c r="D996" s="136" t="n"/>
      <c r="E996" s="137" t="n"/>
      <c r="F996" s="136" t="n"/>
      <c r="G996" s="137" t="n"/>
      <c r="H996" s="137" t="n"/>
    </row>
    <row r="997" ht="15" customHeight="1" s="83">
      <c r="A997" s="135" t="n"/>
      <c r="B997" s="135" t="n"/>
      <c r="C997" s="135" t="n"/>
      <c r="D997" s="136" t="n"/>
      <c r="E997" s="137" t="n"/>
      <c r="F997" s="136" t="n"/>
      <c r="G997" s="137" t="n"/>
      <c r="H997" s="137" t="n"/>
    </row>
    <row r="998" ht="15" customHeight="1" s="83">
      <c r="A998" s="135" t="n"/>
      <c r="B998" s="135" t="n"/>
      <c r="C998" s="135" t="n"/>
      <c r="D998" s="136" t="n"/>
      <c r="E998" s="137" t="n"/>
      <c r="F998" s="136" t="n"/>
      <c r="G998" s="137" t="n"/>
      <c r="H998" s="137" t="n"/>
    </row>
    <row r="999" ht="15" customHeight="1" s="83">
      <c r="A999" s="135" t="n"/>
      <c r="B999" s="135" t="n"/>
      <c r="C999" s="135" t="n"/>
      <c r="D999" s="136" t="n"/>
      <c r="E999" s="137" t="n"/>
      <c r="F999" s="136" t="n"/>
      <c r="G999" s="137" t="n"/>
      <c r="H999" s="137" t="n"/>
    </row>
    <row r="1000" ht="15" customHeight="1" s="83">
      <c r="A1000" s="135" t="n"/>
      <c r="B1000" s="135" t="n"/>
      <c r="C1000" s="135" t="n"/>
      <c r="D1000" s="136" t="n"/>
      <c r="E1000" s="137" t="n"/>
      <c r="F1000" s="136" t="n"/>
      <c r="G1000" s="137" t="n"/>
      <c r="H1000" s="137" t="n"/>
    </row>
    <row r="1001" ht="15" customHeight="1" s="83">
      <c r="A1001" s="135" t="n"/>
      <c r="B1001" s="135" t="n"/>
      <c r="C1001" s="135" t="n"/>
      <c r="D1001" s="136" t="n"/>
      <c r="E1001" s="137" t="n"/>
      <c r="F1001" s="136" t="n"/>
      <c r="G1001" s="137" t="n"/>
      <c r="H1001" s="137" t="n"/>
    </row>
    <row r="1002" ht="15" customHeight="1" s="83">
      <c r="A1002" s="135" t="n"/>
      <c r="B1002" s="135" t="n"/>
      <c r="C1002" s="135" t="n"/>
      <c r="D1002" s="136" t="n"/>
      <c r="E1002" s="137" t="n"/>
      <c r="F1002" s="136" t="n"/>
      <c r="G1002" s="137" t="n"/>
      <c r="H1002" s="137" t="n"/>
    </row>
    <row r="1003" ht="15" customHeight="1" s="83">
      <c r="A1003" s="135" t="n"/>
      <c r="B1003" s="135" t="n"/>
      <c r="C1003" s="135" t="n"/>
      <c r="D1003" s="136" t="n"/>
      <c r="E1003" s="137" t="n"/>
      <c r="F1003" s="136" t="n"/>
      <c r="G1003" s="137" t="n"/>
      <c r="H1003" s="137" t="n"/>
    </row>
    <row r="1004" ht="15" customHeight="1" s="83">
      <c r="A1004" s="135" t="n"/>
      <c r="B1004" s="135" t="n"/>
      <c r="C1004" s="135" t="n"/>
      <c r="D1004" s="135" t="n"/>
      <c r="F1004" s="135" t="n"/>
    </row>
    <row r="1005"/>
    <row r="1006" ht="19.5" customHeight="1" s="83">
      <c r="A1006" s="120" t="inlineStr">
        <is>
          <t>Kayıp kolonu otomatik: Piyasa Tutarı - Hakediş Tutarı. Piyasa fiyatı güncel rayiç olmalıdır.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H6">
    <cfRule type="cellIs" rank="0" priority="2" equalAverage="0" operator="greaterThan" aboveAverage="0" dxfId="1" text="" percent="0" bottom="0">
      <formula>0</formula>
    </cfRule>
    <cfRule type="cellIs" rank="0" priority="3" equalAverage="0" operator="lessThanOrEqual" aboveAverage="0" dxfId="0" text="" percent="0" bottom="0">
      <formula>0</formula>
    </cfRule>
  </conditionalFormatting>
  <conditionalFormatting sqref="G6">
    <cfRule type="cellIs" rank="0" priority="4" equalAverage="0" operator="greaterThan" aboveAverage="0" dxfId="10" text="" percent="0" bottom="0">
      <formula>e{r}</formula>
    </cfRule>
  </conditionalFormatting>
  <conditionalFormatting sqref="H7">
    <cfRule type="cellIs" rank="0" priority="5" equalAverage="0" operator="greaterThan" aboveAverage="0" dxfId="1" text="" percent="0" bottom="0">
      <formula>0</formula>
    </cfRule>
    <cfRule type="cellIs" rank="0" priority="6" equalAverage="0" operator="lessThanOrEqual" aboveAverage="0" dxfId="0" text="" percent="0" bottom="0">
      <formula>0</formula>
    </cfRule>
  </conditionalFormatting>
  <conditionalFormatting sqref="G7">
    <cfRule type="cellIs" rank="0" priority="7" equalAverage="0" operator="greaterThan" aboveAverage="0" dxfId="10" text="" percent="0" bottom="0">
      <formula>e{r}</formula>
    </cfRule>
  </conditionalFormatting>
  <conditionalFormatting sqref="H8">
    <cfRule type="cellIs" rank="0" priority="8" equalAverage="0" operator="greaterThan" aboveAverage="0" dxfId="1" text="" percent="0" bottom="0">
      <formula>0</formula>
    </cfRule>
    <cfRule type="cellIs" rank="0" priority="9" equalAverage="0" operator="lessThanOrEqual" aboveAverage="0" dxfId="0" text="" percent="0" bottom="0">
      <formula>0</formula>
    </cfRule>
  </conditionalFormatting>
  <conditionalFormatting sqref="G8">
    <cfRule type="cellIs" rank="0" priority="10" equalAverage="0" operator="greaterThan" aboveAverage="0" dxfId="10" text="" percent="0" bottom="0">
      <formula>e{r}</formula>
    </cfRule>
  </conditionalFormatting>
  <conditionalFormatting sqref="H9">
    <cfRule type="cellIs" rank="0" priority="11" equalAverage="0" operator="greaterThan" aboveAverage="0" dxfId="1" text="" percent="0" bottom="0">
      <formula>0</formula>
    </cfRule>
    <cfRule type="cellIs" rank="0" priority="12" equalAverage="0" operator="lessThanOrEqual" aboveAverage="0" dxfId="0" text="" percent="0" bottom="0">
      <formula>0</formula>
    </cfRule>
  </conditionalFormatting>
  <conditionalFormatting sqref="G9">
    <cfRule type="cellIs" rank="0" priority="13" equalAverage="0" operator="greaterThan" aboveAverage="0" dxfId="10" text="" percent="0" bottom="0">
      <formula>e{r}</formula>
    </cfRule>
  </conditionalFormatting>
  <conditionalFormatting sqref="H10">
    <cfRule type="cellIs" rank="0" priority="14" equalAverage="0" operator="greaterThan" aboveAverage="0" dxfId="1" text="" percent="0" bottom="0">
      <formula>0</formula>
    </cfRule>
    <cfRule type="cellIs" rank="0" priority="15" equalAverage="0" operator="lessThanOrEqual" aboveAverage="0" dxfId="0" text="" percent="0" bottom="0">
      <formula>0</formula>
    </cfRule>
  </conditionalFormatting>
  <conditionalFormatting sqref="G10">
    <cfRule type="cellIs" rank="0" priority="16" equalAverage="0" operator="greaterThan" aboveAverage="0" dxfId="10" text="" percent="0" bottom="0">
      <formula>e{r}</formula>
    </cfRule>
  </conditionalFormatting>
  <conditionalFormatting sqref="H11">
    <cfRule type="cellIs" rank="0" priority="17" equalAverage="0" operator="greaterThan" aboveAverage="0" dxfId="1" text="" percent="0" bottom="0">
      <formula>0</formula>
    </cfRule>
    <cfRule type="cellIs" rank="0" priority="18" equalAverage="0" operator="lessThanOrEqual" aboveAverage="0" dxfId="0" text="" percent="0" bottom="0">
      <formula>0</formula>
    </cfRule>
  </conditionalFormatting>
  <conditionalFormatting sqref="G11">
    <cfRule type="cellIs" rank="0" priority="19" equalAverage="0" operator="greaterThan" aboveAverage="0" dxfId="10" text="" percent="0" bottom="0">
      <formula>e{r}</formula>
    </cfRule>
  </conditionalFormatting>
  <conditionalFormatting sqref="H12">
    <cfRule type="cellIs" rank="0" priority="20" equalAverage="0" operator="greaterThan" aboveAverage="0" dxfId="1" text="" percent="0" bottom="0">
      <formula>0</formula>
    </cfRule>
    <cfRule type="cellIs" rank="0" priority="21" equalAverage="0" operator="lessThanOrEqual" aboveAverage="0" dxfId="0" text="" percent="0" bottom="0">
      <formula>0</formula>
    </cfRule>
  </conditionalFormatting>
  <conditionalFormatting sqref="G12">
    <cfRule type="cellIs" rank="0" priority="22" equalAverage="0" operator="greaterThan" aboveAverage="0" dxfId="10" text="" percent="0" bottom="0">
      <formula>e{r}</formula>
    </cfRule>
  </conditionalFormatting>
  <conditionalFormatting sqref="H13">
    <cfRule type="cellIs" rank="0" priority="23" equalAverage="0" operator="greaterThan" aboveAverage="0" dxfId="1" text="" percent="0" bottom="0">
      <formula>0</formula>
    </cfRule>
    <cfRule type="cellIs" rank="0" priority="24" equalAverage="0" operator="lessThanOrEqual" aboveAverage="0" dxfId="0" text="" percent="0" bottom="0">
      <formula>0</formula>
    </cfRule>
  </conditionalFormatting>
  <conditionalFormatting sqref="G13">
    <cfRule type="cellIs" rank="0" priority="25" equalAverage="0" operator="greaterThan" aboveAverage="0" dxfId="10" text="" percent="0" bottom="0">
      <formula>e{r}</formula>
    </cfRule>
  </conditionalFormatting>
  <conditionalFormatting sqref="H14">
    <cfRule type="cellIs" rank="0" priority="26" equalAverage="0" operator="greaterThan" aboveAverage="0" dxfId="1" text="" percent="0" bottom="0">
      <formula>0</formula>
    </cfRule>
    <cfRule type="cellIs" rank="0" priority="27" equalAverage="0" operator="lessThanOrEqual" aboveAverage="0" dxfId="0" text="" percent="0" bottom="0">
      <formula>0</formula>
    </cfRule>
  </conditionalFormatting>
  <conditionalFormatting sqref="G14">
    <cfRule type="cellIs" rank="0" priority="28" equalAverage="0" operator="greaterThan" aboveAverage="0" dxfId="10" text="" percent="0" bottom="0">
      <formula>e{r}</formula>
    </cfRule>
  </conditionalFormatting>
  <conditionalFormatting sqref="H15">
    <cfRule type="cellIs" rank="0" priority="29" equalAverage="0" operator="greaterThan" aboveAverage="0" dxfId="1" text="" percent="0" bottom="0">
      <formula>0</formula>
    </cfRule>
    <cfRule type="cellIs" rank="0" priority="30" equalAverage="0" operator="lessThanOrEqual" aboveAverage="0" dxfId="0" text="" percent="0" bottom="0">
      <formula>0</formula>
    </cfRule>
  </conditionalFormatting>
  <conditionalFormatting sqref="G15">
    <cfRule type="cellIs" rank="0" priority="31" equalAverage="0" operator="greaterThan" aboveAverage="0" dxfId="10" text="" percent="0" bottom="0">
      <formula>e{r}</formula>
    </cfRule>
  </conditionalFormatting>
  <conditionalFormatting sqref="H16">
    <cfRule type="cellIs" rank="0" priority="32" equalAverage="0" operator="greaterThan" aboveAverage="0" dxfId="1" text="" percent="0" bottom="0">
      <formula>0</formula>
    </cfRule>
    <cfRule type="cellIs" rank="0" priority="33" equalAverage="0" operator="lessThanOrEqual" aboveAverage="0" dxfId="0" text="" percent="0" bottom="0">
      <formula>0</formula>
    </cfRule>
  </conditionalFormatting>
  <conditionalFormatting sqref="G16">
    <cfRule type="cellIs" rank="0" priority="34" equalAverage="0" operator="greaterThan" aboveAverage="0" dxfId="10" text="" percent="0" bottom="0">
      <formula>e{r}</formula>
    </cfRule>
  </conditionalFormatting>
  <conditionalFormatting sqref="H17">
    <cfRule type="cellIs" rank="0" priority="35" equalAverage="0" operator="greaterThan" aboveAverage="0" dxfId="1" text="" percent="0" bottom="0">
      <formula>0</formula>
    </cfRule>
    <cfRule type="cellIs" rank="0" priority="36" equalAverage="0" operator="lessThanOrEqual" aboveAverage="0" dxfId="0" text="" percent="0" bottom="0">
      <formula>0</formula>
    </cfRule>
  </conditionalFormatting>
  <conditionalFormatting sqref="G17">
    <cfRule type="cellIs" rank="0" priority="37" equalAverage="0" operator="greaterThan" aboveAverage="0" dxfId="10" text="" percent="0" bottom="0">
      <formula>e{r}</formula>
    </cfRule>
  </conditionalFormatting>
  <conditionalFormatting sqref="H18">
    <cfRule type="cellIs" rank="0" priority="38" equalAverage="0" operator="greaterThan" aboveAverage="0" dxfId="1" text="" percent="0" bottom="0">
      <formula>0</formula>
    </cfRule>
    <cfRule type="cellIs" rank="0" priority="39" equalAverage="0" operator="lessThanOrEqual" aboveAverage="0" dxfId="0" text="" percent="0" bottom="0">
      <formula>0</formula>
    </cfRule>
  </conditionalFormatting>
  <conditionalFormatting sqref="G18">
    <cfRule type="cellIs" rank="0" priority="40" equalAverage="0" operator="greaterThan" aboveAverage="0" dxfId="10" text="" percent="0" bottom="0">
      <formula>e{r}</formula>
    </cfRule>
  </conditionalFormatting>
  <conditionalFormatting sqref="H19">
    <cfRule type="cellIs" rank="0" priority="41" equalAverage="0" operator="greaterThan" aboveAverage="0" dxfId="1" text="" percent="0" bottom="0">
      <formula>0</formula>
    </cfRule>
    <cfRule type="cellIs" rank="0" priority="42" equalAverage="0" operator="lessThanOrEqual" aboveAverage="0" dxfId="0" text="" percent="0" bottom="0">
      <formula>0</formula>
    </cfRule>
  </conditionalFormatting>
  <conditionalFormatting sqref="G19">
    <cfRule type="cellIs" rank="0" priority="43" equalAverage="0" operator="greaterThan" aboveAverage="0" dxfId="10" text="" percent="0" bottom="0">
      <formula>e{r}</formula>
    </cfRule>
  </conditionalFormatting>
  <conditionalFormatting sqref="H20">
    <cfRule type="cellIs" rank="0" priority="44" equalAverage="0" operator="greaterThan" aboveAverage="0" dxfId="1" text="" percent="0" bottom="0">
      <formula>0</formula>
    </cfRule>
    <cfRule type="cellIs" rank="0" priority="45" equalAverage="0" operator="lessThanOrEqual" aboveAverage="0" dxfId="0" text="" percent="0" bottom="0">
      <formula>0</formula>
    </cfRule>
  </conditionalFormatting>
  <conditionalFormatting sqref="G20">
    <cfRule type="cellIs" rank="0" priority="46" equalAverage="0" operator="greaterThan" aboveAverage="0" dxfId="10" text="" percent="0" bottom="0">
      <formula>e{r}</formula>
    </cfRule>
  </conditionalFormatting>
  <conditionalFormatting sqref="H21">
    <cfRule type="cellIs" rank="0" priority="47" equalAverage="0" operator="greaterThan" aboveAverage="0" dxfId="1" text="" percent="0" bottom="0">
      <formula>0</formula>
    </cfRule>
    <cfRule type="cellIs" rank="0" priority="48" equalAverage="0" operator="lessThanOrEqual" aboveAverage="0" dxfId="0" text="" percent="0" bottom="0">
      <formula>0</formula>
    </cfRule>
  </conditionalFormatting>
  <conditionalFormatting sqref="G21">
    <cfRule type="cellIs" rank="0" priority="49" equalAverage="0" operator="greaterThan" aboveAverage="0" dxfId="10" text="" percent="0" bottom="0">
      <formula>e{r}</formula>
    </cfRule>
  </conditionalFormatting>
  <conditionalFormatting sqref="H22">
    <cfRule type="cellIs" rank="0" priority="50" equalAverage="0" operator="greaterThan" aboveAverage="0" dxfId="1" text="" percent="0" bottom="0">
      <formula>0</formula>
    </cfRule>
    <cfRule type="cellIs" rank="0" priority="51" equalAverage="0" operator="lessThanOrEqual" aboveAverage="0" dxfId="0" text="" percent="0" bottom="0">
      <formula>0</formula>
    </cfRule>
  </conditionalFormatting>
  <conditionalFormatting sqref="G22">
    <cfRule type="cellIs" rank="0" priority="52" equalAverage="0" operator="greaterThan" aboveAverage="0" dxfId="10" text="" percent="0" bottom="0">
      <formula>e{r}</formula>
    </cfRule>
  </conditionalFormatting>
  <conditionalFormatting sqref="H23">
    <cfRule type="cellIs" rank="0" priority="53" equalAverage="0" operator="greaterThan" aboveAverage="0" dxfId="1" text="" percent="0" bottom="0">
      <formula>0</formula>
    </cfRule>
    <cfRule type="cellIs" rank="0" priority="54" equalAverage="0" operator="lessThanOrEqual" aboveAverage="0" dxfId="0" text="" percent="0" bottom="0">
      <formula>0</formula>
    </cfRule>
  </conditionalFormatting>
  <conditionalFormatting sqref="G23">
    <cfRule type="cellIs" rank="0" priority="55" equalAverage="0" operator="greaterThan" aboveAverage="0" dxfId="10" text="" percent="0" bottom="0">
      <formula>e{r}</formula>
    </cfRule>
  </conditionalFormatting>
  <conditionalFormatting sqref="H24">
    <cfRule type="cellIs" rank="0" priority="56" equalAverage="0" operator="greaterThan" aboveAverage="0" dxfId="1" text="" percent="0" bottom="0">
      <formula>0</formula>
    </cfRule>
    <cfRule type="cellIs" rank="0" priority="57" equalAverage="0" operator="lessThanOrEqual" aboveAverage="0" dxfId="0" text="" percent="0" bottom="0">
      <formula>0</formula>
    </cfRule>
  </conditionalFormatting>
  <conditionalFormatting sqref="G24">
    <cfRule type="cellIs" rank="0" priority="58" equalAverage="0" operator="greaterThan" aboveAverage="0" dxfId="10" text="" percent="0" bottom="0">
      <formula>e{r}</formula>
    </cfRule>
  </conditionalFormatting>
  <conditionalFormatting sqref="H25">
    <cfRule type="cellIs" rank="0" priority="59" equalAverage="0" operator="greaterThan" aboveAverage="0" dxfId="1" text="" percent="0" bottom="0">
      <formula>0</formula>
    </cfRule>
    <cfRule type="cellIs" rank="0" priority="60" equalAverage="0" operator="lessThanOrEqual" aboveAverage="0" dxfId="0" text="" percent="0" bottom="0">
      <formula>0</formula>
    </cfRule>
  </conditionalFormatting>
  <conditionalFormatting sqref="G25">
    <cfRule type="cellIs" rank="0" priority="61" equalAverage="0" operator="greaterThan" aboveAverage="0" dxfId="10" text="" percent="0" bottom="0">
      <formula>e{r}</formula>
    </cfRule>
  </conditionalFormatting>
  <conditionalFormatting sqref="H26">
    <cfRule type="cellIs" rank="0" priority="62" equalAverage="0" operator="greaterThan" aboveAverage="0" dxfId="1" text="" percent="0" bottom="0">
      <formula>0</formula>
    </cfRule>
    <cfRule type="cellIs" rank="0" priority="63" equalAverage="0" operator="lessThanOrEqual" aboveAverage="0" dxfId="0" text="" percent="0" bottom="0">
      <formula>0</formula>
    </cfRule>
  </conditionalFormatting>
  <conditionalFormatting sqref="G26">
    <cfRule type="cellIs" rank="0" priority="64" equalAverage="0" operator="greaterThan" aboveAverage="0" dxfId="10" text="" percent="0" bottom="0">
      <formula>e{r}</formula>
    </cfRule>
  </conditionalFormatting>
  <conditionalFormatting sqref="H27">
    <cfRule type="cellIs" rank="0" priority="65" equalAverage="0" operator="greaterThan" aboveAverage="0" dxfId="1" text="" percent="0" bottom="0">
      <formula>0</formula>
    </cfRule>
    <cfRule type="cellIs" rank="0" priority="66" equalAverage="0" operator="lessThanOrEqual" aboveAverage="0" dxfId="0" text="" percent="0" bottom="0">
      <formula>0</formula>
    </cfRule>
  </conditionalFormatting>
  <conditionalFormatting sqref="G27">
    <cfRule type="cellIs" rank="0" priority="67" equalAverage="0" operator="greaterThan" aboveAverage="0" dxfId="10" text="" percent="0" bottom="0">
      <formula>e{r}</formula>
    </cfRule>
  </conditionalFormatting>
  <conditionalFormatting sqref="H28">
    <cfRule type="cellIs" rank="0" priority="68" equalAverage="0" operator="greaterThan" aboveAverage="0" dxfId="1" text="" percent="0" bottom="0">
      <formula>0</formula>
    </cfRule>
    <cfRule type="cellIs" rank="0" priority="69" equalAverage="0" operator="lessThanOrEqual" aboveAverage="0" dxfId="0" text="" percent="0" bottom="0">
      <formula>0</formula>
    </cfRule>
  </conditionalFormatting>
  <conditionalFormatting sqref="G28">
    <cfRule type="cellIs" rank="0" priority="70" equalAverage="0" operator="greaterThan" aboveAverage="0" dxfId="10" text="" percent="0" bottom="0">
      <formula>e{r}</formula>
    </cfRule>
  </conditionalFormatting>
  <conditionalFormatting sqref="H29">
    <cfRule type="cellIs" rank="0" priority="71" equalAverage="0" operator="greaterThan" aboveAverage="0" dxfId="1" text="" percent="0" bottom="0">
      <formula>0</formula>
    </cfRule>
    <cfRule type="cellIs" rank="0" priority="72" equalAverage="0" operator="lessThanOrEqual" aboveAverage="0" dxfId="0" text="" percent="0" bottom="0">
      <formula>0</formula>
    </cfRule>
  </conditionalFormatting>
  <conditionalFormatting sqref="G29">
    <cfRule type="cellIs" rank="0" priority="73" equalAverage="0" operator="greaterThan" aboveAverage="0" dxfId="10" text="" percent="0" bottom="0">
      <formula>e{r}</formula>
    </cfRule>
  </conditionalFormatting>
  <conditionalFormatting sqref="H30">
    <cfRule type="cellIs" rank="0" priority="74" equalAverage="0" operator="greaterThan" aboveAverage="0" dxfId="1" text="" percent="0" bottom="0">
      <formula>0</formula>
    </cfRule>
    <cfRule type="cellIs" rank="0" priority="75" equalAverage="0" operator="lessThanOrEqual" aboveAverage="0" dxfId="0" text="" percent="0" bottom="0">
      <formula>0</formula>
    </cfRule>
  </conditionalFormatting>
  <conditionalFormatting sqref="G30">
    <cfRule type="cellIs" rank="0" priority="76" equalAverage="0" operator="greaterThan" aboveAverage="0" dxfId="10" text="" percent="0" bottom="0">
      <formula>e{r}</formula>
    </cfRule>
  </conditionalFormatting>
  <conditionalFormatting sqref="H31">
    <cfRule type="cellIs" rank="0" priority="77" equalAverage="0" operator="greaterThan" aboveAverage="0" dxfId="1" text="" percent="0" bottom="0">
      <formula>0</formula>
    </cfRule>
    <cfRule type="cellIs" rank="0" priority="78" equalAverage="0" operator="lessThanOrEqual" aboveAverage="0" dxfId="0" text="" percent="0" bottom="0">
      <formula>0</formula>
    </cfRule>
  </conditionalFormatting>
  <conditionalFormatting sqref="G31">
    <cfRule type="cellIs" rank="0" priority="79" equalAverage="0" operator="greaterThan" aboveAverage="0" dxfId="10" text="" percent="0" bottom="0">
      <formula>e{r}</formula>
    </cfRule>
  </conditionalFormatting>
  <conditionalFormatting sqref="H32">
    <cfRule type="cellIs" rank="0" priority="80" equalAverage="0" operator="greaterThan" aboveAverage="0" dxfId="1" text="" percent="0" bottom="0">
      <formula>0</formula>
    </cfRule>
    <cfRule type="cellIs" rank="0" priority="81" equalAverage="0" operator="lessThanOrEqual" aboveAverage="0" dxfId="0" text="" percent="0" bottom="0">
      <formula>0</formula>
    </cfRule>
  </conditionalFormatting>
  <conditionalFormatting sqref="G32">
    <cfRule type="cellIs" rank="0" priority="82" equalAverage="0" operator="greaterThan" aboveAverage="0" dxfId="10" text="" percent="0" bottom="0">
      <formula>e{r}</formula>
    </cfRule>
  </conditionalFormatting>
  <conditionalFormatting sqref="H33">
    <cfRule type="cellIs" rank="0" priority="83" equalAverage="0" operator="greaterThan" aboveAverage="0" dxfId="1" text="" percent="0" bottom="0">
      <formula>0</formula>
    </cfRule>
    <cfRule type="cellIs" rank="0" priority="84" equalAverage="0" operator="lessThanOrEqual" aboveAverage="0" dxfId="0" text="" percent="0" bottom="0">
      <formula>0</formula>
    </cfRule>
  </conditionalFormatting>
  <conditionalFormatting sqref="G33">
    <cfRule type="cellIs" rank="0" priority="85" equalAverage="0" operator="greaterThan" aboveAverage="0" dxfId="10" text="" percent="0" bottom="0">
      <formula>e{r}</formula>
    </cfRule>
  </conditionalFormatting>
  <conditionalFormatting sqref="H34">
    <cfRule type="cellIs" rank="0" priority="86" equalAverage="0" operator="greaterThan" aboveAverage="0" dxfId="1" text="" percent="0" bottom="0">
      <formula>0</formula>
    </cfRule>
    <cfRule type="cellIs" rank="0" priority="87" equalAverage="0" operator="lessThanOrEqual" aboveAverage="0" dxfId="0" text="" percent="0" bottom="0">
      <formula>0</formula>
    </cfRule>
  </conditionalFormatting>
  <conditionalFormatting sqref="G34">
    <cfRule type="cellIs" rank="0" priority="88" equalAverage="0" operator="greaterThan" aboveAverage="0" dxfId="10" text="" percent="0" bottom="0">
      <formula>e{r}</formula>
    </cfRule>
  </conditionalFormatting>
  <conditionalFormatting sqref="H35">
    <cfRule type="cellIs" rank="0" priority="89" equalAverage="0" operator="greaterThan" aboveAverage="0" dxfId="1" text="" percent="0" bottom="0">
      <formula>0</formula>
    </cfRule>
    <cfRule type="cellIs" rank="0" priority="90" equalAverage="0" operator="lessThanOrEqual" aboveAverage="0" dxfId="0" text="" percent="0" bottom="0">
      <formula>0</formula>
    </cfRule>
  </conditionalFormatting>
  <conditionalFormatting sqref="G35">
    <cfRule type="cellIs" rank="0" priority="91" equalAverage="0" operator="greaterThan" aboveAverage="0" dxfId="10" text="" percent="0" bottom="0">
      <formula>e{r}</formula>
    </cfRule>
  </conditionalFormatting>
  <conditionalFormatting sqref="H36">
    <cfRule type="cellIs" rank="0" priority="92" equalAverage="0" operator="greaterThan" aboveAverage="0" dxfId="1" text="" percent="0" bottom="0">
      <formula>0</formula>
    </cfRule>
    <cfRule type="cellIs" rank="0" priority="93" equalAverage="0" operator="lessThanOrEqual" aboveAverage="0" dxfId="0" text="" percent="0" bottom="0">
      <formula>0</formula>
    </cfRule>
  </conditionalFormatting>
  <conditionalFormatting sqref="G36">
    <cfRule type="cellIs" rank="0" priority="94" equalAverage="0" operator="greaterThan" aboveAverage="0" dxfId="10" text="" percent="0" bottom="0">
      <formula>e{r}</formula>
    </cfRule>
  </conditionalFormatting>
  <conditionalFormatting sqref="H37">
    <cfRule type="cellIs" rank="0" priority="95" equalAverage="0" operator="greaterThan" aboveAverage="0" dxfId="1" text="" percent="0" bottom="0">
      <formula>0</formula>
    </cfRule>
    <cfRule type="cellIs" rank="0" priority="96" equalAverage="0" operator="lessThanOrEqual" aboveAverage="0" dxfId="0" text="" percent="0" bottom="0">
      <formula>0</formula>
    </cfRule>
  </conditionalFormatting>
  <conditionalFormatting sqref="G37">
    <cfRule type="cellIs" rank="0" priority="97" equalAverage="0" operator="greaterThan" aboveAverage="0" dxfId="10" text="" percent="0" bottom="0">
      <formula>e{r}</formula>
    </cfRule>
  </conditionalFormatting>
  <conditionalFormatting sqref="H38">
    <cfRule type="cellIs" rank="0" priority="98" equalAverage="0" operator="greaterThan" aboveAverage="0" dxfId="1" text="" percent="0" bottom="0">
      <formula>0</formula>
    </cfRule>
    <cfRule type="cellIs" rank="0" priority="99" equalAverage="0" operator="lessThanOrEqual" aboveAverage="0" dxfId="0" text="" percent="0" bottom="0">
      <formula>0</formula>
    </cfRule>
  </conditionalFormatting>
  <conditionalFormatting sqref="G38">
    <cfRule type="cellIs" rank="0" priority="100" equalAverage="0" operator="greaterThan" aboveAverage="0" dxfId="10" text="" percent="0" bottom="0">
      <formula>e{r}</formula>
    </cfRule>
  </conditionalFormatting>
  <conditionalFormatting sqref="H39">
    <cfRule type="cellIs" rank="0" priority="101" equalAverage="0" operator="greaterThan" aboveAverage="0" dxfId="1" text="" percent="0" bottom="0">
      <formula>0</formula>
    </cfRule>
    <cfRule type="cellIs" rank="0" priority="102" equalAverage="0" operator="lessThanOrEqual" aboveAverage="0" dxfId="0" text="" percent="0" bottom="0">
      <formula>0</formula>
    </cfRule>
  </conditionalFormatting>
  <conditionalFormatting sqref="G39">
    <cfRule type="cellIs" rank="0" priority="103" equalAverage="0" operator="greaterThan" aboveAverage="0" dxfId="10" text="" percent="0" bottom="0">
      <formula>e{r}</formula>
    </cfRule>
  </conditionalFormatting>
  <conditionalFormatting sqref="H40">
    <cfRule type="cellIs" rank="0" priority="104" equalAverage="0" operator="greaterThan" aboveAverage="0" dxfId="1" text="" percent="0" bottom="0">
      <formula>0</formula>
    </cfRule>
    <cfRule type="cellIs" rank="0" priority="105" equalAverage="0" operator="lessThanOrEqual" aboveAverage="0" dxfId="0" text="" percent="0" bottom="0">
      <formula>0</formula>
    </cfRule>
  </conditionalFormatting>
  <conditionalFormatting sqref="G40">
    <cfRule type="cellIs" rank="0" priority="106" equalAverage="0" operator="greaterThan" aboveAverage="0" dxfId="10" text="" percent="0" bottom="0">
      <formula>e{r}</formula>
    </cfRule>
  </conditionalFormatting>
  <conditionalFormatting sqref="H41">
    <cfRule type="cellIs" rank="0" priority="107" equalAverage="0" operator="greaterThan" aboveAverage="0" dxfId="1" text="" percent="0" bottom="0">
      <formula>0</formula>
    </cfRule>
    <cfRule type="cellIs" rank="0" priority="108" equalAverage="0" operator="lessThanOrEqual" aboveAverage="0" dxfId="0" text="" percent="0" bottom="0">
      <formula>0</formula>
    </cfRule>
  </conditionalFormatting>
  <conditionalFormatting sqref="G41">
    <cfRule type="cellIs" rank="0" priority="109" equalAverage="0" operator="greaterThan" aboveAverage="0" dxfId="10" text="" percent="0" bottom="0">
      <formula>e{r}</formula>
    </cfRule>
  </conditionalFormatting>
  <conditionalFormatting sqref="H42">
    <cfRule type="cellIs" rank="0" priority="110" equalAverage="0" operator="greaterThan" aboveAverage="0" dxfId="1" text="" percent="0" bottom="0">
      <formula>0</formula>
    </cfRule>
    <cfRule type="cellIs" rank="0" priority="111" equalAverage="0" operator="lessThanOrEqual" aboveAverage="0" dxfId="0" text="" percent="0" bottom="0">
      <formula>0</formula>
    </cfRule>
  </conditionalFormatting>
  <conditionalFormatting sqref="G42">
    <cfRule type="cellIs" rank="0" priority="112" equalAverage="0" operator="greaterThan" aboveAverage="0" dxfId="10" text="" percent="0" bottom="0">
      <formula>e{r}</formula>
    </cfRule>
  </conditionalFormatting>
  <conditionalFormatting sqref="H43">
    <cfRule type="cellIs" rank="0" priority="113" equalAverage="0" operator="greaterThan" aboveAverage="0" dxfId="1" text="" percent="0" bottom="0">
      <formula>0</formula>
    </cfRule>
    <cfRule type="cellIs" rank="0" priority="114" equalAverage="0" operator="lessThanOrEqual" aboveAverage="0" dxfId="0" text="" percent="0" bottom="0">
      <formula>0</formula>
    </cfRule>
  </conditionalFormatting>
  <conditionalFormatting sqref="G43">
    <cfRule type="cellIs" rank="0" priority="115" equalAverage="0" operator="greaterThan" aboveAverage="0" dxfId="10" text="" percent="0" bottom="0">
      <formula>e{r}</formula>
    </cfRule>
  </conditionalFormatting>
  <conditionalFormatting sqref="H44">
    <cfRule type="cellIs" rank="0" priority="116" equalAverage="0" operator="greaterThan" aboveAverage="0" dxfId="1" text="" percent="0" bottom="0">
      <formula>0</formula>
    </cfRule>
    <cfRule type="cellIs" rank="0" priority="117" equalAverage="0" operator="lessThanOrEqual" aboveAverage="0" dxfId="0" text="" percent="0" bottom="0">
      <formula>0</formula>
    </cfRule>
  </conditionalFormatting>
  <conditionalFormatting sqref="G44">
    <cfRule type="cellIs" rank="0" priority="118" equalAverage="0" operator="greaterThan" aboveAverage="0" dxfId="10" text="" percent="0" bottom="0">
      <formula>e{r}</formula>
    </cfRule>
  </conditionalFormatting>
  <conditionalFormatting sqref="H45">
    <cfRule type="cellIs" rank="0" priority="119" equalAverage="0" operator="greaterThan" aboveAverage="0" dxfId="1" text="" percent="0" bottom="0">
      <formula>0</formula>
    </cfRule>
    <cfRule type="cellIs" rank="0" priority="120" equalAverage="0" operator="lessThanOrEqual" aboveAverage="0" dxfId="0" text="" percent="0" bottom="0">
      <formula>0</formula>
    </cfRule>
  </conditionalFormatting>
  <conditionalFormatting sqref="G45">
    <cfRule type="cellIs" rank="0" priority="121" equalAverage="0" operator="greaterThan" aboveAverage="0" dxfId="10" text="" percent="0" bottom="0">
      <formula>e{r}</formula>
    </cfRule>
  </conditionalFormatting>
  <conditionalFormatting sqref="H46">
    <cfRule type="cellIs" rank="0" priority="122" equalAverage="0" operator="greaterThan" aboveAverage="0" dxfId="1" text="" percent="0" bottom="0">
      <formula>0</formula>
    </cfRule>
    <cfRule type="cellIs" rank="0" priority="123" equalAverage="0" operator="lessThanOrEqual" aboveAverage="0" dxfId="0" text="" percent="0" bottom="0">
      <formula>0</formula>
    </cfRule>
  </conditionalFormatting>
  <conditionalFormatting sqref="G46">
    <cfRule type="cellIs" rank="0" priority="124" equalAverage="0" operator="greaterThan" aboveAverage="0" dxfId="10" text="" percent="0" bottom="0">
      <formula>e{r}</formula>
    </cfRule>
  </conditionalFormatting>
  <conditionalFormatting sqref="H47">
    <cfRule type="cellIs" rank="0" priority="125" equalAverage="0" operator="greaterThan" aboveAverage="0" dxfId="1" text="" percent="0" bottom="0">
      <formula>0</formula>
    </cfRule>
    <cfRule type="cellIs" rank="0" priority="126" equalAverage="0" operator="lessThanOrEqual" aboveAverage="0" dxfId="0" text="" percent="0" bottom="0">
      <formula>0</formula>
    </cfRule>
  </conditionalFormatting>
  <conditionalFormatting sqref="G47">
    <cfRule type="cellIs" rank="0" priority="127" equalAverage="0" operator="greaterThan" aboveAverage="0" dxfId="10" text="" percent="0" bottom="0">
      <formula>e{r}</formula>
    </cfRule>
  </conditionalFormatting>
  <conditionalFormatting sqref="H48">
    <cfRule type="cellIs" rank="0" priority="128" equalAverage="0" operator="greaterThan" aboveAverage="0" dxfId="1" text="" percent="0" bottom="0">
      <formula>0</formula>
    </cfRule>
    <cfRule type="cellIs" rank="0" priority="129" equalAverage="0" operator="lessThanOrEqual" aboveAverage="0" dxfId="0" text="" percent="0" bottom="0">
      <formula>0</formula>
    </cfRule>
  </conditionalFormatting>
  <conditionalFormatting sqref="G48">
    <cfRule type="cellIs" rank="0" priority="130" equalAverage="0" operator="greaterThan" aboveAverage="0" dxfId="10" text="" percent="0" bottom="0">
      <formula>e{r}</formula>
    </cfRule>
  </conditionalFormatting>
  <conditionalFormatting sqref="H49">
    <cfRule type="cellIs" rank="0" priority="131" equalAverage="0" operator="greaterThan" aboveAverage="0" dxfId="1" text="" percent="0" bottom="0">
      <formula>0</formula>
    </cfRule>
    <cfRule type="cellIs" rank="0" priority="132" equalAverage="0" operator="lessThanOrEqual" aboveAverage="0" dxfId="0" text="" percent="0" bottom="0">
      <formula>0</formula>
    </cfRule>
  </conditionalFormatting>
  <conditionalFormatting sqref="G49">
    <cfRule type="cellIs" rank="0" priority="133" equalAverage="0" operator="greaterThan" aboveAverage="0" dxfId="10" text="" percent="0" bottom="0">
      <formula>e{r}</formula>
    </cfRule>
  </conditionalFormatting>
  <conditionalFormatting sqref="H50">
    <cfRule type="cellIs" rank="0" priority="134" equalAverage="0" operator="greaterThan" aboveAverage="0" dxfId="1" text="" percent="0" bottom="0">
      <formula>0</formula>
    </cfRule>
    <cfRule type="cellIs" rank="0" priority="135" equalAverage="0" operator="lessThanOrEqual" aboveAverage="0" dxfId="0" text="" percent="0" bottom="0">
      <formula>0</formula>
    </cfRule>
  </conditionalFormatting>
  <conditionalFormatting sqref="G50">
    <cfRule type="cellIs" rank="0" priority="136" equalAverage="0" operator="greaterThan" aboveAverage="0" dxfId="10" text="" percent="0" bottom="0">
      <formula>e{r}</formula>
    </cfRule>
  </conditionalFormatting>
  <conditionalFormatting sqref="H51">
    <cfRule type="cellIs" rank="0" priority="137" equalAverage="0" operator="greaterThan" aboveAverage="0" dxfId="1" text="" percent="0" bottom="0">
      <formula>0</formula>
    </cfRule>
    <cfRule type="cellIs" rank="0" priority="138" equalAverage="0" operator="lessThanOrEqual" aboveAverage="0" dxfId="0" text="" percent="0" bottom="0">
      <formula>0</formula>
    </cfRule>
  </conditionalFormatting>
  <conditionalFormatting sqref="G51">
    <cfRule type="cellIs" rank="0" priority="139" equalAverage="0" operator="greaterThan" aboveAverage="0" dxfId="10" text="" percent="0" bottom="0">
      <formula>e{r}</formula>
    </cfRule>
  </conditionalFormatting>
  <conditionalFormatting sqref="H52">
    <cfRule type="cellIs" rank="0" priority="140" equalAverage="0" operator="greaterThan" aboveAverage="0" dxfId="1" text="" percent="0" bottom="0">
      <formula>0</formula>
    </cfRule>
    <cfRule type="cellIs" rank="0" priority="141" equalAverage="0" operator="lessThanOrEqual" aboveAverage="0" dxfId="0" text="" percent="0" bottom="0">
      <formula>0</formula>
    </cfRule>
  </conditionalFormatting>
  <conditionalFormatting sqref="G52">
    <cfRule type="cellIs" rank="0" priority="142" equalAverage="0" operator="greaterThan" aboveAverage="0" dxfId="10" text="" percent="0" bottom="0">
      <formula>e{r}</formula>
    </cfRule>
  </conditionalFormatting>
  <conditionalFormatting sqref="H53">
    <cfRule type="cellIs" rank="0" priority="143" equalAverage="0" operator="greaterThan" aboveAverage="0" dxfId="1" text="" percent="0" bottom="0">
      <formula>0</formula>
    </cfRule>
    <cfRule type="cellIs" rank="0" priority="144" equalAverage="0" operator="lessThanOrEqual" aboveAverage="0" dxfId="0" text="" percent="0" bottom="0">
      <formula>0</formula>
    </cfRule>
  </conditionalFormatting>
  <conditionalFormatting sqref="G53">
    <cfRule type="cellIs" rank="0" priority="145" equalAverage="0" operator="greaterThan" aboveAverage="0" dxfId="10" text="" percent="0" bottom="0">
      <formula>e{r}</formula>
    </cfRule>
  </conditionalFormatting>
  <conditionalFormatting sqref="H54">
    <cfRule type="cellIs" rank="0" priority="146" equalAverage="0" operator="greaterThan" aboveAverage="0" dxfId="1" text="" percent="0" bottom="0">
      <formula>0</formula>
    </cfRule>
    <cfRule type="cellIs" rank="0" priority="147" equalAverage="0" operator="lessThanOrEqual" aboveAverage="0" dxfId="0" text="" percent="0" bottom="0">
      <formula>0</formula>
    </cfRule>
  </conditionalFormatting>
  <conditionalFormatting sqref="G54">
    <cfRule type="cellIs" rank="0" priority="148" equalAverage="0" operator="greaterThan" aboveAverage="0" dxfId="10" text="" percent="0" bottom="0">
      <formula>e{r}</formula>
    </cfRule>
  </conditionalFormatting>
  <conditionalFormatting sqref="H55">
    <cfRule type="cellIs" rank="0" priority="149" equalAverage="0" operator="greaterThan" aboveAverage="0" dxfId="1" text="" percent="0" bottom="0">
      <formula>0</formula>
    </cfRule>
    <cfRule type="cellIs" rank="0" priority="150" equalAverage="0" operator="lessThanOrEqual" aboveAverage="0" dxfId="0" text="" percent="0" bottom="0">
      <formula>0</formula>
    </cfRule>
  </conditionalFormatting>
  <conditionalFormatting sqref="G55">
    <cfRule type="cellIs" rank="0" priority="151" equalAverage="0" operator="greaterThan" aboveAverage="0" dxfId="10" text="" percent="0" bottom="0">
      <formula>e{r}</formula>
    </cfRule>
  </conditionalFormatting>
  <conditionalFormatting sqref="H56">
    <cfRule type="cellIs" rank="0" priority="152" equalAverage="0" operator="greaterThan" aboveAverage="0" dxfId="1" text="" percent="0" bottom="0">
      <formula>0</formula>
    </cfRule>
    <cfRule type="cellIs" rank="0" priority="153" equalAverage="0" operator="lessThanOrEqual" aboveAverage="0" dxfId="0" text="" percent="0" bottom="0">
      <formula>0</formula>
    </cfRule>
  </conditionalFormatting>
  <conditionalFormatting sqref="G56">
    <cfRule type="cellIs" rank="0" priority="154" equalAverage="0" operator="greaterThan" aboveAverage="0" dxfId="10" text="" percent="0" bottom="0">
      <formula>e{r}</formula>
    </cfRule>
  </conditionalFormatting>
  <conditionalFormatting sqref="H57">
    <cfRule type="cellIs" rank="0" priority="155" equalAverage="0" operator="greaterThan" aboveAverage="0" dxfId="1" text="" percent="0" bottom="0">
      <formula>0</formula>
    </cfRule>
    <cfRule type="cellIs" rank="0" priority="156" equalAverage="0" operator="lessThanOrEqual" aboveAverage="0" dxfId="0" text="" percent="0" bottom="0">
      <formula>0</formula>
    </cfRule>
  </conditionalFormatting>
  <conditionalFormatting sqref="G57">
    <cfRule type="cellIs" rank="0" priority="157" equalAverage="0" operator="greaterThan" aboveAverage="0" dxfId="10" text="" percent="0" bottom="0">
      <formula>e{r}</formula>
    </cfRule>
  </conditionalFormatting>
  <conditionalFormatting sqref="H58">
    <cfRule type="cellIs" rank="0" priority="158" equalAverage="0" operator="greaterThan" aboveAverage="0" dxfId="1" text="" percent="0" bottom="0">
      <formula>0</formula>
    </cfRule>
    <cfRule type="cellIs" rank="0" priority="159" equalAverage="0" operator="lessThanOrEqual" aboveAverage="0" dxfId="0" text="" percent="0" bottom="0">
      <formula>0</formula>
    </cfRule>
  </conditionalFormatting>
  <conditionalFormatting sqref="G58">
    <cfRule type="cellIs" rank="0" priority="160" equalAverage="0" operator="greaterThan" aboveAverage="0" dxfId="10" text="" percent="0" bottom="0">
      <formula>e{r}</formula>
    </cfRule>
  </conditionalFormatting>
  <conditionalFormatting sqref="H59">
    <cfRule type="cellIs" rank="0" priority="161" equalAverage="0" operator="greaterThan" aboveAverage="0" dxfId="1" text="" percent="0" bottom="0">
      <formula>0</formula>
    </cfRule>
    <cfRule type="cellIs" rank="0" priority="162" equalAverage="0" operator="lessThanOrEqual" aboveAverage="0" dxfId="0" text="" percent="0" bottom="0">
      <formula>0</formula>
    </cfRule>
  </conditionalFormatting>
  <conditionalFormatting sqref="G59">
    <cfRule type="cellIs" rank="0" priority="163" equalAverage="0" operator="greaterThan" aboveAverage="0" dxfId="10" text="" percent="0" bottom="0">
      <formula>e{r}</formula>
    </cfRule>
  </conditionalFormatting>
  <conditionalFormatting sqref="H60">
    <cfRule type="cellIs" rank="0" priority="164" equalAverage="0" operator="greaterThan" aboveAverage="0" dxfId="1" text="" percent="0" bottom="0">
      <formula>0</formula>
    </cfRule>
    <cfRule type="cellIs" rank="0" priority="165" equalAverage="0" operator="lessThanOrEqual" aboveAverage="0" dxfId="0" text="" percent="0" bottom="0">
      <formula>0</formula>
    </cfRule>
  </conditionalFormatting>
  <conditionalFormatting sqref="G60">
    <cfRule type="cellIs" rank="0" priority="166" equalAverage="0" operator="greaterThan" aboveAverage="0" dxfId="10" text="" percent="0" bottom="0">
      <formula>e{r}</formula>
    </cfRule>
  </conditionalFormatting>
  <conditionalFormatting sqref="H61">
    <cfRule type="cellIs" rank="0" priority="167" equalAverage="0" operator="greaterThan" aboveAverage="0" dxfId="1" text="" percent="0" bottom="0">
      <formula>0</formula>
    </cfRule>
    <cfRule type="cellIs" rank="0" priority="168" equalAverage="0" operator="lessThanOrEqual" aboveAverage="0" dxfId="0" text="" percent="0" bottom="0">
      <formula>0</formula>
    </cfRule>
  </conditionalFormatting>
  <conditionalFormatting sqref="G61">
    <cfRule type="cellIs" rank="0" priority="169" equalAverage="0" operator="greaterThan" aboveAverage="0" dxfId="10" text="" percent="0" bottom="0">
      <formula>e{r}</formula>
    </cfRule>
  </conditionalFormatting>
  <conditionalFormatting sqref="H62">
    <cfRule type="cellIs" rank="0" priority="170" equalAverage="0" operator="greaterThan" aboveAverage="0" dxfId="1" text="" percent="0" bottom="0">
      <formula>0</formula>
    </cfRule>
    <cfRule type="cellIs" rank="0" priority="171" equalAverage="0" operator="lessThanOrEqual" aboveAverage="0" dxfId="0" text="" percent="0" bottom="0">
      <formula>0</formula>
    </cfRule>
  </conditionalFormatting>
  <conditionalFormatting sqref="G62">
    <cfRule type="cellIs" rank="0" priority="172" equalAverage="0" operator="greaterThan" aboveAverage="0" dxfId="10" text="" percent="0" bottom="0">
      <formula>e{r}</formula>
    </cfRule>
  </conditionalFormatting>
  <conditionalFormatting sqref="H63">
    <cfRule type="cellIs" rank="0" priority="173" equalAverage="0" operator="greaterThan" aboveAverage="0" dxfId="1" text="" percent="0" bottom="0">
      <formula>0</formula>
    </cfRule>
    <cfRule type="cellIs" rank="0" priority="174" equalAverage="0" operator="lessThanOrEqual" aboveAverage="0" dxfId="0" text="" percent="0" bottom="0">
      <formula>0</formula>
    </cfRule>
  </conditionalFormatting>
  <conditionalFormatting sqref="G63">
    <cfRule type="cellIs" rank="0" priority="175" equalAverage="0" operator="greaterThan" aboveAverage="0" dxfId="10" text="" percent="0" bottom="0">
      <formula>e{r}</formula>
    </cfRule>
  </conditionalFormatting>
  <conditionalFormatting sqref="H64">
    <cfRule type="cellIs" rank="0" priority="176" equalAverage="0" operator="greaterThan" aboveAverage="0" dxfId="1" text="" percent="0" bottom="0">
      <formula>0</formula>
    </cfRule>
    <cfRule type="cellIs" rank="0" priority="177" equalAverage="0" operator="lessThanOrEqual" aboveAverage="0" dxfId="0" text="" percent="0" bottom="0">
      <formula>0</formula>
    </cfRule>
  </conditionalFormatting>
  <conditionalFormatting sqref="G64">
    <cfRule type="cellIs" rank="0" priority="178" equalAverage="0" operator="greaterThan" aboveAverage="0" dxfId="10" text="" percent="0" bottom="0">
      <formula>e{r}</formula>
    </cfRule>
  </conditionalFormatting>
  <conditionalFormatting sqref="H65">
    <cfRule type="cellIs" rank="0" priority="179" equalAverage="0" operator="greaterThan" aboveAverage="0" dxfId="1" text="" percent="0" bottom="0">
      <formula>0</formula>
    </cfRule>
    <cfRule type="cellIs" rank="0" priority="180" equalAverage="0" operator="lessThanOrEqual" aboveAverage="0" dxfId="0" text="" percent="0" bottom="0">
      <formula>0</formula>
    </cfRule>
  </conditionalFormatting>
  <conditionalFormatting sqref="G65">
    <cfRule type="cellIs" rank="0" priority="181" equalAverage="0" operator="greaterThan" aboveAverage="0" dxfId="10" text="" percent="0" bottom="0">
      <formula>e{r}</formula>
    </cfRule>
  </conditionalFormatting>
  <conditionalFormatting sqref="H66">
    <cfRule type="cellIs" rank="0" priority="182" equalAverage="0" operator="greaterThan" aboveAverage="0" dxfId="1" text="" percent="0" bottom="0">
      <formula>0</formula>
    </cfRule>
    <cfRule type="cellIs" rank="0" priority="183" equalAverage="0" operator="lessThanOrEqual" aboveAverage="0" dxfId="0" text="" percent="0" bottom="0">
      <formula>0</formula>
    </cfRule>
  </conditionalFormatting>
  <conditionalFormatting sqref="G66">
    <cfRule type="cellIs" rank="0" priority="184" equalAverage="0" operator="greaterThan" aboveAverage="0" dxfId="10" text="" percent="0" bottom="0">
      <formula>e{r}</formula>
    </cfRule>
  </conditionalFormatting>
  <conditionalFormatting sqref="H67">
    <cfRule type="cellIs" rank="0" priority="185" equalAverage="0" operator="greaterThan" aboveAverage="0" dxfId="1" text="" percent="0" bottom="0">
      <formula>0</formula>
    </cfRule>
    <cfRule type="cellIs" rank="0" priority="186" equalAverage="0" operator="lessThanOrEqual" aboveAverage="0" dxfId="0" text="" percent="0" bottom="0">
      <formula>0</formula>
    </cfRule>
  </conditionalFormatting>
  <conditionalFormatting sqref="G67">
    <cfRule type="cellIs" rank="0" priority="187" equalAverage="0" operator="greaterThan" aboveAverage="0" dxfId="10" text="" percent="0" bottom="0">
      <formula>e{r}</formula>
    </cfRule>
  </conditionalFormatting>
  <conditionalFormatting sqref="H68">
    <cfRule type="cellIs" rank="0" priority="188" equalAverage="0" operator="greaterThan" aboveAverage="0" dxfId="1" text="" percent="0" bottom="0">
      <formula>0</formula>
    </cfRule>
    <cfRule type="cellIs" rank="0" priority="189" equalAverage="0" operator="lessThanOrEqual" aboveAverage="0" dxfId="0" text="" percent="0" bottom="0">
      <formula>0</formula>
    </cfRule>
  </conditionalFormatting>
  <conditionalFormatting sqref="G68">
    <cfRule type="cellIs" rank="0" priority="190" equalAverage="0" operator="greaterThan" aboveAverage="0" dxfId="10" text="" percent="0" bottom="0">
      <formula>e{r}</formula>
    </cfRule>
  </conditionalFormatting>
  <conditionalFormatting sqref="H69">
    <cfRule type="cellIs" rank="0" priority="191" equalAverage="0" operator="greaterThan" aboveAverage="0" dxfId="1" text="" percent="0" bottom="0">
      <formula>0</formula>
    </cfRule>
    <cfRule type="cellIs" rank="0" priority="192" equalAverage="0" operator="lessThanOrEqual" aboveAverage="0" dxfId="0" text="" percent="0" bottom="0">
      <formula>0</formula>
    </cfRule>
  </conditionalFormatting>
  <conditionalFormatting sqref="G69">
    <cfRule type="cellIs" rank="0" priority="193" equalAverage="0" operator="greaterThan" aboveAverage="0" dxfId="10" text="" percent="0" bottom="0">
      <formula>e{r}</formula>
    </cfRule>
  </conditionalFormatting>
  <conditionalFormatting sqref="H70">
    <cfRule type="cellIs" rank="0" priority="194" equalAverage="0" operator="greaterThan" aboveAverage="0" dxfId="1" text="" percent="0" bottom="0">
      <formula>0</formula>
    </cfRule>
    <cfRule type="cellIs" rank="0" priority="195" equalAverage="0" operator="lessThanOrEqual" aboveAverage="0" dxfId="0" text="" percent="0" bottom="0">
      <formula>0</formula>
    </cfRule>
  </conditionalFormatting>
  <conditionalFormatting sqref="G70">
    <cfRule type="cellIs" rank="0" priority="196" equalAverage="0" operator="greaterThan" aboveAverage="0" dxfId="10" text="" percent="0" bottom="0">
      <formula>e{r}</formula>
    </cfRule>
  </conditionalFormatting>
  <conditionalFormatting sqref="H71">
    <cfRule type="cellIs" rank="0" priority="197" equalAverage="0" operator="greaterThan" aboveAverage="0" dxfId="1" text="" percent="0" bottom="0">
      <formula>0</formula>
    </cfRule>
    <cfRule type="cellIs" rank="0" priority="198" equalAverage="0" operator="lessThanOrEqual" aboveAverage="0" dxfId="0" text="" percent="0" bottom="0">
      <formula>0</formula>
    </cfRule>
  </conditionalFormatting>
  <conditionalFormatting sqref="G71">
    <cfRule type="cellIs" rank="0" priority="199" equalAverage="0" operator="greaterThan" aboveAverage="0" dxfId="10" text="" percent="0" bottom="0">
      <formula>e{r}</formula>
    </cfRule>
  </conditionalFormatting>
  <conditionalFormatting sqref="H72">
    <cfRule type="cellIs" rank="0" priority="200" equalAverage="0" operator="greaterThan" aboveAverage="0" dxfId="1" text="" percent="0" bottom="0">
      <formula>0</formula>
    </cfRule>
    <cfRule type="cellIs" rank="0" priority="201" equalAverage="0" operator="lessThanOrEqual" aboveAverage="0" dxfId="0" text="" percent="0" bottom="0">
      <formula>0</formula>
    </cfRule>
  </conditionalFormatting>
  <conditionalFormatting sqref="G72">
    <cfRule type="cellIs" rank="0" priority="202" equalAverage="0" operator="greaterThan" aboveAverage="0" dxfId="10" text="" percent="0" bottom="0">
      <formula>e{r}</formula>
    </cfRule>
  </conditionalFormatting>
  <conditionalFormatting sqref="H73">
    <cfRule type="cellIs" rank="0" priority="203" equalAverage="0" operator="greaterThan" aboveAverage="0" dxfId="1" text="" percent="0" bottom="0">
      <formula>0</formula>
    </cfRule>
    <cfRule type="cellIs" rank="0" priority="204" equalAverage="0" operator="lessThanOrEqual" aboveAverage="0" dxfId="0" text="" percent="0" bottom="0">
      <formula>0</formula>
    </cfRule>
  </conditionalFormatting>
  <conditionalFormatting sqref="G73">
    <cfRule type="cellIs" rank="0" priority="205" equalAverage="0" operator="greaterThan" aboveAverage="0" dxfId="10" text="" percent="0" bottom="0">
      <formula>e{r}</formula>
    </cfRule>
  </conditionalFormatting>
  <conditionalFormatting sqref="H74">
    <cfRule type="cellIs" rank="0" priority="206" equalAverage="0" operator="greaterThan" aboveAverage="0" dxfId="1" text="" percent="0" bottom="0">
      <formula>0</formula>
    </cfRule>
    <cfRule type="cellIs" rank="0" priority="207" equalAverage="0" operator="lessThanOrEqual" aboveAverage="0" dxfId="0" text="" percent="0" bottom="0">
      <formula>0</formula>
    </cfRule>
  </conditionalFormatting>
  <conditionalFormatting sqref="G74">
    <cfRule type="cellIs" rank="0" priority="208" equalAverage="0" operator="greaterThan" aboveAverage="0" dxfId="10" text="" percent="0" bottom="0">
      <formula>e{r}</formula>
    </cfRule>
  </conditionalFormatting>
  <conditionalFormatting sqref="H75">
    <cfRule type="cellIs" rank="0" priority="209" equalAverage="0" operator="greaterThan" aboveAverage="0" dxfId="1" text="" percent="0" bottom="0">
      <formula>0</formula>
    </cfRule>
    <cfRule type="cellIs" rank="0" priority="210" equalAverage="0" operator="lessThanOrEqual" aboveAverage="0" dxfId="0" text="" percent="0" bottom="0">
      <formula>0</formula>
    </cfRule>
  </conditionalFormatting>
  <conditionalFormatting sqref="G75">
    <cfRule type="cellIs" rank="0" priority="211" equalAverage="0" operator="greaterThan" aboveAverage="0" dxfId="10" text="" percent="0" bottom="0">
      <formula>e{r}</formula>
    </cfRule>
  </conditionalFormatting>
  <conditionalFormatting sqref="H76">
    <cfRule type="cellIs" rank="0" priority="212" equalAverage="0" operator="greaterThan" aboveAverage="0" dxfId="1" text="" percent="0" bottom="0">
      <formula>0</formula>
    </cfRule>
    <cfRule type="cellIs" rank="0" priority="213" equalAverage="0" operator="lessThanOrEqual" aboveAverage="0" dxfId="0" text="" percent="0" bottom="0">
      <formula>0</formula>
    </cfRule>
  </conditionalFormatting>
  <conditionalFormatting sqref="G76">
    <cfRule type="cellIs" rank="0" priority="214" equalAverage="0" operator="greaterThan" aboveAverage="0" dxfId="10" text="" percent="0" bottom="0">
      <formula>e{r}</formula>
    </cfRule>
  </conditionalFormatting>
  <conditionalFormatting sqref="H77">
    <cfRule type="cellIs" rank="0" priority="215" equalAverage="0" operator="greaterThan" aboveAverage="0" dxfId="1" text="" percent="0" bottom="0">
      <formula>0</formula>
    </cfRule>
    <cfRule type="cellIs" rank="0" priority="216" equalAverage="0" operator="lessThanOrEqual" aboveAverage="0" dxfId="0" text="" percent="0" bottom="0">
      <formula>0</formula>
    </cfRule>
  </conditionalFormatting>
  <conditionalFormatting sqref="G77">
    <cfRule type="cellIs" rank="0" priority="217" equalAverage="0" operator="greaterThan" aboveAverage="0" dxfId="10" text="" percent="0" bottom="0">
      <formula>e{r}</formula>
    </cfRule>
  </conditionalFormatting>
  <conditionalFormatting sqref="H78">
    <cfRule type="cellIs" rank="0" priority="218" equalAverage="0" operator="greaterThan" aboveAverage="0" dxfId="1" text="" percent="0" bottom="0">
      <formula>0</formula>
    </cfRule>
    <cfRule type="cellIs" rank="0" priority="219" equalAverage="0" operator="lessThanOrEqual" aboveAverage="0" dxfId="0" text="" percent="0" bottom="0">
      <formula>0</formula>
    </cfRule>
  </conditionalFormatting>
  <conditionalFormatting sqref="G78">
    <cfRule type="cellIs" rank="0" priority="220" equalAverage="0" operator="greaterThan" aboveAverage="0" dxfId="10" text="" percent="0" bottom="0">
      <formula>e{r}</formula>
    </cfRule>
  </conditionalFormatting>
  <conditionalFormatting sqref="H79">
    <cfRule type="cellIs" rank="0" priority="221" equalAverage="0" operator="greaterThan" aboveAverage="0" dxfId="1" text="" percent="0" bottom="0">
      <formula>0</formula>
    </cfRule>
    <cfRule type="cellIs" rank="0" priority="222" equalAverage="0" operator="lessThanOrEqual" aboveAverage="0" dxfId="0" text="" percent="0" bottom="0">
      <formula>0</formula>
    </cfRule>
  </conditionalFormatting>
  <conditionalFormatting sqref="G79">
    <cfRule type="cellIs" rank="0" priority="223" equalAverage="0" operator="greaterThan" aboveAverage="0" dxfId="10" text="" percent="0" bottom="0">
      <formula>e{r}</formula>
    </cfRule>
  </conditionalFormatting>
  <conditionalFormatting sqref="H80">
    <cfRule type="cellIs" rank="0" priority="224" equalAverage="0" operator="greaterThan" aboveAverage="0" dxfId="1" text="" percent="0" bottom="0">
      <formula>0</formula>
    </cfRule>
    <cfRule type="cellIs" rank="0" priority="225" equalAverage="0" operator="lessThanOrEqual" aboveAverage="0" dxfId="0" text="" percent="0" bottom="0">
      <formula>0</formula>
    </cfRule>
  </conditionalFormatting>
  <conditionalFormatting sqref="G80">
    <cfRule type="cellIs" rank="0" priority="226" equalAverage="0" operator="greaterThan" aboveAverage="0" dxfId="10" text="" percent="0" bottom="0">
      <formula>e{r}</formula>
    </cfRule>
  </conditionalFormatting>
  <conditionalFormatting sqref="H81">
    <cfRule type="cellIs" rank="0" priority="227" equalAverage="0" operator="greaterThan" aboveAverage="0" dxfId="1" text="" percent="0" bottom="0">
      <formula>0</formula>
    </cfRule>
    <cfRule type="cellIs" rank="0" priority="228" equalAverage="0" operator="lessThanOrEqual" aboveAverage="0" dxfId="0" text="" percent="0" bottom="0">
      <formula>0</formula>
    </cfRule>
  </conditionalFormatting>
  <conditionalFormatting sqref="G81">
    <cfRule type="cellIs" rank="0" priority="229" equalAverage="0" operator="greaterThan" aboveAverage="0" dxfId="10" text="" percent="0" bottom="0">
      <formula>e{r}</formula>
    </cfRule>
  </conditionalFormatting>
  <conditionalFormatting sqref="H82">
    <cfRule type="cellIs" rank="0" priority="230" equalAverage="0" operator="greaterThan" aboveAverage="0" dxfId="1" text="" percent="0" bottom="0">
      <formula>0</formula>
    </cfRule>
    <cfRule type="cellIs" rank="0" priority="231" equalAverage="0" operator="lessThanOrEqual" aboveAverage="0" dxfId="0" text="" percent="0" bottom="0">
      <formula>0</formula>
    </cfRule>
  </conditionalFormatting>
  <conditionalFormatting sqref="G82">
    <cfRule type="cellIs" rank="0" priority="232" equalAverage="0" operator="greaterThan" aboveAverage="0" dxfId="10" text="" percent="0" bottom="0">
      <formula>e{r}</formula>
    </cfRule>
  </conditionalFormatting>
  <conditionalFormatting sqref="H83">
    <cfRule type="cellIs" rank="0" priority="233" equalAverage="0" operator="greaterThan" aboveAverage="0" dxfId="1" text="" percent="0" bottom="0">
      <formula>0</formula>
    </cfRule>
    <cfRule type="cellIs" rank="0" priority="234" equalAverage="0" operator="lessThanOrEqual" aboveAverage="0" dxfId="0" text="" percent="0" bottom="0">
      <formula>0</formula>
    </cfRule>
  </conditionalFormatting>
  <conditionalFormatting sqref="G83">
    <cfRule type="cellIs" rank="0" priority="235" equalAverage="0" operator="greaterThan" aboveAverage="0" dxfId="10" text="" percent="0" bottom="0">
      <formula>e{r}</formula>
    </cfRule>
  </conditionalFormatting>
  <conditionalFormatting sqref="H84">
    <cfRule type="cellIs" rank="0" priority="236" equalAverage="0" operator="greaterThan" aboveAverage="0" dxfId="1" text="" percent="0" bottom="0">
      <formula>0</formula>
    </cfRule>
    <cfRule type="cellIs" rank="0" priority="237" equalAverage="0" operator="lessThanOrEqual" aboveAverage="0" dxfId="0" text="" percent="0" bottom="0">
      <formula>0</formula>
    </cfRule>
  </conditionalFormatting>
  <conditionalFormatting sqref="G84">
    <cfRule type="cellIs" rank="0" priority="238" equalAverage="0" operator="greaterThan" aboveAverage="0" dxfId="10" text="" percent="0" bottom="0">
      <formula>e{r}</formula>
    </cfRule>
  </conditionalFormatting>
  <conditionalFormatting sqref="H85">
    <cfRule type="cellIs" rank="0" priority="239" equalAverage="0" operator="greaterThan" aboveAverage="0" dxfId="1" text="" percent="0" bottom="0">
      <formula>0</formula>
    </cfRule>
    <cfRule type="cellIs" rank="0" priority="240" equalAverage="0" operator="lessThanOrEqual" aboveAverage="0" dxfId="0" text="" percent="0" bottom="0">
      <formula>0</formula>
    </cfRule>
  </conditionalFormatting>
  <conditionalFormatting sqref="G85">
    <cfRule type="cellIs" rank="0" priority="241" equalAverage="0" operator="greaterThan" aboveAverage="0" dxfId="10" text="" percent="0" bottom="0">
      <formula>e{r}</formula>
    </cfRule>
  </conditionalFormatting>
  <conditionalFormatting sqref="H86">
    <cfRule type="cellIs" rank="0" priority="242" equalAverage="0" operator="greaterThan" aboveAverage="0" dxfId="1" text="" percent="0" bottom="0">
      <formula>0</formula>
    </cfRule>
    <cfRule type="cellIs" rank="0" priority="243" equalAverage="0" operator="lessThanOrEqual" aboveAverage="0" dxfId="0" text="" percent="0" bottom="0">
      <formula>0</formula>
    </cfRule>
  </conditionalFormatting>
  <conditionalFormatting sqref="G86">
    <cfRule type="cellIs" rank="0" priority="244" equalAverage="0" operator="greaterThan" aboveAverage="0" dxfId="10" text="" percent="0" bottom="0">
      <formula>e{r}</formula>
    </cfRule>
  </conditionalFormatting>
  <conditionalFormatting sqref="H87">
    <cfRule type="cellIs" rank="0" priority="245" equalAverage="0" operator="greaterThan" aboveAverage="0" dxfId="1" text="" percent="0" bottom="0">
      <formula>0</formula>
    </cfRule>
    <cfRule type="cellIs" rank="0" priority="246" equalAverage="0" operator="lessThanOrEqual" aboveAverage="0" dxfId="0" text="" percent="0" bottom="0">
      <formula>0</formula>
    </cfRule>
  </conditionalFormatting>
  <conditionalFormatting sqref="G87">
    <cfRule type="cellIs" rank="0" priority="247" equalAverage="0" operator="greaterThan" aboveAverage="0" dxfId="10" text="" percent="0" bottom="0">
      <formula>e{r}</formula>
    </cfRule>
  </conditionalFormatting>
  <conditionalFormatting sqref="H88">
    <cfRule type="cellIs" rank="0" priority="248" equalAverage="0" operator="greaterThan" aboveAverage="0" dxfId="1" text="" percent="0" bottom="0">
      <formula>0</formula>
    </cfRule>
    <cfRule type="cellIs" rank="0" priority="249" equalAverage="0" operator="lessThanOrEqual" aboveAverage="0" dxfId="0" text="" percent="0" bottom="0">
      <formula>0</formula>
    </cfRule>
  </conditionalFormatting>
  <conditionalFormatting sqref="G88">
    <cfRule type="cellIs" rank="0" priority="250" equalAverage="0" operator="greaterThan" aboveAverage="0" dxfId="10" text="" percent="0" bottom="0">
      <formula>e{r}</formula>
    </cfRule>
  </conditionalFormatting>
  <conditionalFormatting sqref="H89">
    <cfRule type="cellIs" rank="0" priority="251" equalAverage="0" operator="greaterThan" aboveAverage="0" dxfId="1" text="" percent="0" bottom="0">
      <formula>0</formula>
    </cfRule>
    <cfRule type="cellIs" rank="0" priority="252" equalAverage="0" operator="lessThanOrEqual" aboveAverage="0" dxfId="0" text="" percent="0" bottom="0">
      <formula>0</formula>
    </cfRule>
  </conditionalFormatting>
  <conditionalFormatting sqref="G89">
    <cfRule type="cellIs" rank="0" priority="253" equalAverage="0" operator="greaterThan" aboveAverage="0" dxfId="10" text="" percent="0" bottom="0">
      <formula>e{r}</formula>
    </cfRule>
  </conditionalFormatting>
  <conditionalFormatting sqref="H90">
    <cfRule type="cellIs" rank="0" priority="254" equalAverage="0" operator="greaterThan" aboveAverage="0" dxfId="1" text="" percent="0" bottom="0">
      <formula>0</formula>
    </cfRule>
    <cfRule type="cellIs" rank="0" priority="255" equalAverage="0" operator="lessThanOrEqual" aboveAverage="0" dxfId="0" text="" percent="0" bottom="0">
      <formula>0</formula>
    </cfRule>
  </conditionalFormatting>
  <conditionalFormatting sqref="G90">
    <cfRule type="cellIs" rank="0" priority="256" equalAverage="0" operator="greaterThan" aboveAverage="0" dxfId="10" text="" percent="0" bottom="0">
      <formula>e{r}</formula>
    </cfRule>
  </conditionalFormatting>
  <conditionalFormatting sqref="H91">
    <cfRule type="cellIs" rank="0" priority="257" equalAverage="0" operator="greaterThan" aboveAverage="0" dxfId="1" text="" percent="0" bottom="0">
      <formula>0</formula>
    </cfRule>
    <cfRule type="cellIs" rank="0" priority="258" equalAverage="0" operator="lessThanOrEqual" aboveAverage="0" dxfId="0" text="" percent="0" bottom="0">
      <formula>0</formula>
    </cfRule>
  </conditionalFormatting>
  <conditionalFormatting sqref="G91">
    <cfRule type="cellIs" rank="0" priority="259" equalAverage="0" operator="greaterThan" aboveAverage="0" dxfId="10" text="" percent="0" bottom="0">
      <formula>e{r}</formula>
    </cfRule>
  </conditionalFormatting>
  <conditionalFormatting sqref="H92">
    <cfRule type="cellIs" rank="0" priority="260" equalAverage="0" operator="greaterThan" aboveAverage="0" dxfId="1" text="" percent="0" bottom="0">
      <formula>0</formula>
    </cfRule>
    <cfRule type="cellIs" rank="0" priority="261" equalAverage="0" operator="lessThanOrEqual" aboveAverage="0" dxfId="0" text="" percent="0" bottom="0">
      <formula>0</formula>
    </cfRule>
  </conditionalFormatting>
  <conditionalFormatting sqref="G92">
    <cfRule type="cellIs" rank="0" priority="262" equalAverage="0" operator="greaterThan" aboveAverage="0" dxfId="10" text="" percent="0" bottom="0">
      <formula>e{r}</formula>
    </cfRule>
  </conditionalFormatting>
  <conditionalFormatting sqref="H93">
    <cfRule type="cellIs" rank="0" priority="263" equalAverage="0" operator="greaterThan" aboveAverage="0" dxfId="1" text="" percent="0" bottom="0">
      <formula>0</formula>
    </cfRule>
    <cfRule type="cellIs" rank="0" priority="264" equalAverage="0" operator="lessThanOrEqual" aboveAverage="0" dxfId="0" text="" percent="0" bottom="0">
      <formula>0</formula>
    </cfRule>
  </conditionalFormatting>
  <conditionalFormatting sqref="G93">
    <cfRule type="cellIs" rank="0" priority="265" equalAverage="0" operator="greaterThan" aboveAverage="0" dxfId="10" text="" percent="0" bottom="0">
      <formula>e{r}</formula>
    </cfRule>
  </conditionalFormatting>
  <conditionalFormatting sqref="H94">
    <cfRule type="cellIs" rank="0" priority="266" equalAverage="0" operator="greaterThan" aboveAverage="0" dxfId="1" text="" percent="0" bottom="0">
      <formula>0</formula>
    </cfRule>
    <cfRule type="cellIs" rank="0" priority="267" equalAverage="0" operator="lessThanOrEqual" aboveAverage="0" dxfId="0" text="" percent="0" bottom="0">
      <formula>0</formula>
    </cfRule>
  </conditionalFormatting>
  <conditionalFormatting sqref="G94">
    <cfRule type="cellIs" rank="0" priority="268" equalAverage="0" operator="greaterThan" aboveAverage="0" dxfId="10" text="" percent="0" bottom="0">
      <formula>e{r}</formula>
    </cfRule>
  </conditionalFormatting>
  <conditionalFormatting sqref="H95">
    <cfRule type="cellIs" rank="0" priority="269" equalAverage="0" operator="greaterThan" aboveAverage="0" dxfId="1" text="" percent="0" bottom="0">
      <formula>0</formula>
    </cfRule>
    <cfRule type="cellIs" rank="0" priority="270" equalAverage="0" operator="lessThanOrEqual" aboveAverage="0" dxfId="0" text="" percent="0" bottom="0">
      <formula>0</formula>
    </cfRule>
  </conditionalFormatting>
  <conditionalFormatting sqref="G95">
    <cfRule type="cellIs" rank="0" priority="271" equalAverage="0" operator="greaterThan" aboveAverage="0" dxfId="10" text="" percent="0" bottom="0">
      <formula>e{r}</formula>
    </cfRule>
  </conditionalFormatting>
  <conditionalFormatting sqref="H96">
    <cfRule type="cellIs" rank="0" priority="272" equalAverage="0" operator="greaterThan" aboveAverage="0" dxfId="1" text="" percent="0" bottom="0">
      <formula>0</formula>
    </cfRule>
    <cfRule type="cellIs" rank="0" priority="273" equalAverage="0" operator="lessThanOrEqual" aboveAverage="0" dxfId="0" text="" percent="0" bottom="0">
      <formula>0</formula>
    </cfRule>
  </conditionalFormatting>
  <conditionalFormatting sqref="G96">
    <cfRule type="cellIs" rank="0" priority="274" equalAverage="0" operator="greaterThan" aboveAverage="0" dxfId="10" text="" percent="0" bottom="0">
      <formula>e{r}</formula>
    </cfRule>
  </conditionalFormatting>
  <conditionalFormatting sqref="H97">
    <cfRule type="cellIs" rank="0" priority="275" equalAverage="0" operator="greaterThan" aboveAverage="0" dxfId="1" text="" percent="0" bottom="0">
      <formula>0</formula>
    </cfRule>
    <cfRule type="cellIs" rank="0" priority="276" equalAverage="0" operator="lessThanOrEqual" aboveAverage="0" dxfId="0" text="" percent="0" bottom="0">
      <formula>0</formula>
    </cfRule>
  </conditionalFormatting>
  <conditionalFormatting sqref="G97">
    <cfRule type="cellIs" rank="0" priority="277" equalAverage="0" operator="greaterThan" aboveAverage="0" dxfId="10" text="" percent="0" bottom="0">
      <formula>e{r}</formula>
    </cfRule>
  </conditionalFormatting>
  <conditionalFormatting sqref="H98">
    <cfRule type="cellIs" rank="0" priority="278" equalAverage="0" operator="greaterThan" aboveAverage="0" dxfId="1" text="" percent="0" bottom="0">
      <formula>0</formula>
    </cfRule>
    <cfRule type="cellIs" rank="0" priority="279" equalAverage="0" operator="lessThanOrEqual" aboveAverage="0" dxfId="0" text="" percent="0" bottom="0">
      <formula>0</formula>
    </cfRule>
  </conditionalFormatting>
  <conditionalFormatting sqref="G98">
    <cfRule type="cellIs" rank="0" priority="280" equalAverage="0" operator="greaterThan" aboveAverage="0" dxfId="10" text="" percent="0" bottom="0">
      <formula>e{r}</formula>
    </cfRule>
  </conditionalFormatting>
  <conditionalFormatting sqref="H99">
    <cfRule type="cellIs" rank="0" priority="281" equalAverage="0" operator="greaterThan" aboveAverage="0" dxfId="1" text="" percent="0" bottom="0">
      <formula>0</formula>
    </cfRule>
    <cfRule type="cellIs" rank="0" priority="282" equalAverage="0" operator="lessThanOrEqual" aboveAverage="0" dxfId="0" text="" percent="0" bottom="0">
      <formula>0</formula>
    </cfRule>
  </conditionalFormatting>
  <conditionalFormatting sqref="G99">
    <cfRule type="cellIs" rank="0" priority="283" equalAverage="0" operator="greaterThan" aboveAverage="0" dxfId="10" text="" percent="0" bottom="0">
      <formula>e{r}</formula>
    </cfRule>
  </conditionalFormatting>
  <conditionalFormatting sqref="H100">
    <cfRule type="cellIs" rank="0" priority="284" equalAverage="0" operator="greaterThan" aboveAverage="0" dxfId="1" text="" percent="0" bottom="0">
      <formula>0</formula>
    </cfRule>
    <cfRule type="cellIs" rank="0" priority="285" equalAverage="0" operator="lessThanOrEqual" aboveAverage="0" dxfId="0" text="" percent="0" bottom="0">
      <formula>0</formula>
    </cfRule>
  </conditionalFormatting>
  <conditionalFormatting sqref="G100">
    <cfRule type="cellIs" rank="0" priority="286" equalAverage="0" operator="greaterThan" aboveAverage="0" dxfId="10" text="" percent="0" bottom="0">
      <formula>e{r}</formula>
    </cfRule>
  </conditionalFormatting>
  <conditionalFormatting sqref="H101">
    <cfRule type="cellIs" rank="0" priority="287" equalAverage="0" operator="greaterThan" aboveAverage="0" dxfId="1" text="" percent="0" bottom="0">
      <formula>0</formula>
    </cfRule>
    <cfRule type="cellIs" rank="0" priority="288" equalAverage="0" operator="lessThanOrEqual" aboveAverage="0" dxfId="0" text="" percent="0" bottom="0">
      <formula>0</formula>
    </cfRule>
  </conditionalFormatting>
  <conditionalFormatting sqref="G101">
    <cfRule type="cellIs" rank="0" priority="289" equalAverage="0" operator="greaterThan" aboveAverage="0" dxfId="10" text="" percent="0" bottom="0">
      <formula>e{r}</formula>
    </cfRule>
  </conditionalFormatting>
  <conditionalFormatting sqref="H102">
    <cfRule type="cellIs" rank="0" priority="290" equalAverage="0" operator="greaterThan" aboveAverage="0" dxfId="1" text="" percent="0" bottom="0">
      <formula>0</formula>
    </cfRule>
    <cfRule type="cellIs" rank="0" priority="291" equalAverage="0" operator="lessThanOrEqual" aboveAverage="0" dxfId="0" text="" percent="0" bottom="0">
      <formula>0</formula>
    </cfRule>
  </conditionalFormatting>
  <conditionalFormatting sqref="G102">
    <cfRule type="cellIs" rank="0" priority="292" equalAverage="0" operator="greaterThan" aboveAverage="0" dxfId="10" text="" percent="0" bottom="0">
      <formula>e{r}</formula>
    </cfRule>
  </conditionalFormatting>
  <conditionalFormatting sqref="H103">
    <cfRule type="cellIs" rank="0" priority="293" equalAverage="0" operator="greaterThan" aboveAverage="0" dxfId="1" text="" percent="0" bottom="0">
      <formula>0</formula>
    </cfRule>
    <cfRule type="cellIs" rank="0" priority="294" equalAverage="0" operator="lessThanOrEqual" aboveAverage="0" dxfId="0" text="" percent="0" bottom="0">
      <formula>0</formula>
    </cfRule>
  </conditionalFormatting>
  <conditionalFormatting sqref="G103">
    <cfRule type="cellIs" rank="0" priority="295" equalAverage="0" operator="greaterThan" aboveAverage="0" dxfId="10" text="" percent="0" bottom="0">
      <formula>e{r}</formula>
    </cfRule>
  </conditionalFormatting>
  <conditionalFormatting sqref="H104">
    <cfRule type="cellIs" rank="0" priority="296" equalAverage="0" operator="greaterThan" aboveAverage="0" dxfId="1" text="" percent="0" bottom="0">
      <formula>0</formula>
    </cfRule>
    <cfRule type="cellIs" rank="0" priority="297" equalAverage="0" operator="lessThanOrEqual" aboveAverage="0" dxfId="0" text="" percent="0" bottom="0">
      <formula>0</formula>
    </cfRule>
  </conditionalFormatting>
  <conditionalFormatting sqref="G104">
    <cfRule type="cellIs" rank="0" priority="298" equalAverage="0" operator="greaterThan" aboveAverage="0" dxfId="10" text="" percent="0" bottom="0">
      <formula>e{r}</formula>
    </cfRule>
  </conditionalFormatting>
  <conditionalFormatting sqref="H105">
    <cfRule type="cellIs" rank="0" priority="299" equalAverage="0" operator="greaterThan" aboveAverage="0" dxfId="1" text="" percent="0" bottom="0">
      <formula>0</formula>
    </cfRule>
    <cfRule type="cellIs" rank="0" priority="300" equalAverage="0" operator="lessThanOrEqual" aboveAverage="0" dxfId="0" text="" percent="0" bottom="0">
      <formula>0</formula>
    </cfRule>
  </conditionalFormatting>
  <conditionalFormatting sqref="G105">
    <cfRule type="cellIs" rank="0" priority="301" equalAverage="0" operator="greaterThan" aboveAverage="0" dxfId="10" text="" percent="0" bottom="0">
      <formula>e{r}</formula>
    </cfRule>
  </conditionalFormatting>
  <conditionalFormatting sqref="H106">
    <cfRule type="cellIs" rank="0" priority="302" equalAverage="0" operator="greaterThan" aboveAverage="0" dxfId="1" text="" percent="0" bottom="0">
      <formula>0</formula>
    </cfRule>
    <cfRule type="cellIs" rank="0" priority="303" equalAverage="0" operator="lessThanOrEqual" aboveAverage="0" dxfId="0" text="" percent="0" bottom="0">
      <formula>0</formula>
    </cfRule>
  </conditionalFormatting>
  <conditionalFormatting sqref="G106">
    <cfRule type="cellIs" rank="0" priority="304" equalAverage="0" operator="greaterThan" aboveAverage="0" dxfId="10" text="" percent="0" bottom="0">
      <formula>e{r}</formula>
    </cfRule>
  </conditionalFormatting>
  <conditionalFormatting sqref="H107">
    <cfRule type="cellIs" rank="0" priority="305" equalAverage="0" operator="greaterThan" aboveAverage="0" dxfId="1" text="" percent="0" bottom="0">
      <formula>0</formula>
    </cfRule>
    <cfRule type="cellIs" rank="0" priority="306" equalAverage="0" operator="lessThanOrEqual" aboveAverage="0" dxfId="0" text="" percent="0" bottom="0">
      <formula>0</formula>
    </cfRule>
  </conditionalFormatting>
  <conditionalFormatting sqref="G107">
    <cfRule type="cellIs" rank="0" priority="307" equalAverage="0" operator="greaterThan" aboveAverage="0" dxfId="10" text="" percent="0" bottom="0">
      <formula>e{r}</formula>
    </cfRule>
  </conditionalFormatting>
  <conditionalFormatting sqref="H108">
    <cfRule type="cellIs" rank="0" priority="308" equalAverage="0" operator="greaterThan" aboveAverage="0" dxfId="1" text="" percent="0" bottom="0">
      <formula>0</formula>
    </cfRule>
    <cfRule type="cellIs" rank="0" priority="309" equalAverage="0" operator="lessThanOrEqual" aboveAverage="0" dxfId="0" text="" percent="0" bottom="0">
      <formula>0</formula>
    </cfRule>
  </conditionalFormatting>
  <conditionalFormatting sqref="G108">
    <cfRule type="cellIs" rank="0" priority="310" equalAverage="0" operator="greaterThan" aboveAverage="0" dxfId="10" text="" percent="0" bottom="0">
      <formula>e{r}</formula>
    </cfRule>
  </conditionalFormatting>
  <conditionalFormatting sqref="H109">
    <cfRule type="cellIs" rank="0" priority="311" equalAverage="0" operator="greaterThan" aboveAverage="0" dxfId="1" text="" percent="0" bottom="0">
      <formula>0</formula>
    </cfRule>
    <cfRule type="cellIs" rank="0" priority="312" equalAverage="0" operator="lessThanOrEqual" aboveAverage="0" dxfId="0" text="" percent="0" bottom="0">
      <formula>0</formula>
    </cfRule>
  </conditionalFormatting>
  <conditionalFormatting sqref="G109">
    <cfRule type="cellIs" rank="0" priority="313" equalAverage="0" operator="greaterThan" aboveAverage="0" dxfId="10" text="" percent="0" bottom="0">
      <formula>e{r}</formula>
    </cfRule>
  </conditionalFormatting>
  <conditionalFormatting sqref="H110">
    <cfRule type="cellIs" rank="0" priority="314" equalAverage="0" operator="greaterThan" aboveAverage="0" dxfId="1" text="" percent="0" bottom="0">
      <formula>0</formula>
    </cfRule>
    <cfRule type="cellIs" rank="0" priority="315" equalAverage="0" operator="lessThanOrEqual" aboveAverage="0" dxfId="0" text="" percent="0" bottom="0">
      <formula>0</formula>
    </cfRule>
  </conditionalFormatting>
  <conditionalFormatting sqref="G110">
    <cfRule type="cellIs" rank="0" priority="316" equalAverage="0" operator="greaterThan" aboveAverage="0" dxfId="10" text="" percent="0" bottom="0">
      <formula>e{r}</formula>
    </cfRule>
  </conditionalFormatting>
  <conditionalFormatting sqref="H111">
    <cfRule type="cellIs" rank="0" priority="317" equalAverage="0" operator="greaterThan" aboveAverage="0" dxfId="1" text="" percent="0" bottom="0">
      <formula>0</formula>
    </cfRule>
    <cfRule type="cellIs" rank="0" priority="318" equalAverage="0" operator="lessThanOrEqual" aboveAverage="0" dxfId="0" text="" percent="0" bottom="0">
      <formula>0</formula>
    </cfRule>
  </conditionalFormatting>
  <conditionalFormatting sqref="G111">
    <cfRule type="cellIs" rank="0" priority="319" equalAverage="0" operator="greaterThan" aboveAverage="0" dxfId="10" text="" percent="0" bottom="0">
      <formula>e{r}</formula>
    </cfRule>
  </conditionalFormatting>
  <conditionalFormatting sqref="H112">
    <cfRule type="cellIs" rank="0" priority="320" equalAverage="0" operator="greaterThan" aboveAverage="0" dxfId="1" text="" percent="0" bottom="0">
      <formula>0</formula>
    </cfRule>
    <cfRule type="cellIs" rank="0" priority="321" equalAverage="0" operator="lessThanOrEqual" aboveAverage="0" dxfId="0" text="" percent="0" bottom="0">
      <formula>0</formula>
    </cfRule>
  </conditionalFormatting>
  <conditionalFormatting sqref="G112">
    <cfRule type="cellIs" rank="0" priority="322" equalAverage="0" operator="greaterThan" aboveAverage="0" dxfId="10" text="" percent="0" bottom="0">
      <formula>e{r}</formula>
    </cfRule>
  </conditionalFormatting>
  <conditionalFormatting sqref="H113">
    <cfRule type="cellIs" rank="0" priority="323" equalAverage="0" operator="greaterThan" aboveAverage="0" dxfId="1" text="" percent="0" bottom="0">
      <formula>0</formula>
    </cfRule>
    <cfRule type="cellIs" rank="0" priority="324" equalAverage="0" operator="lessThanOrEqual" aboveAverage="0" dxfId="0" text="" percent="0" bottom="0">
      <formula>0</formula>
    </cfRule>
  </conditionalFormatting>
  <conditionalFormatting sqref="G113">
    <cfRule type="cellIs" rank="0" priority="325" equalAverage="0" operator="greaterThan" aboveAverage="0" dxfId="10" text="" percent="0" bottom="0">
      <formula>e{r}</formula>
    </cfRule>
  </conditionalFormatting>
  <conditionalFormatting sqref="H114">
    <cfRule type="cellIs" rank="0" priority="326" equalAverage="0" operator="greaterThan" aboveAverage="0" dxfId="1" text="" percent="0" bottom="0">
      <formula>0</formula>
    </cfRule>
    <cfRule type="cellIs" rank="0" priority="327" equalAverage="0" operator="lessThanOrEqual" aboveAverage="0" dxfId="0" text="" percent="0" bottom="0">
      <formula>0</formula>
    </cfRule>
  </conditionalFormatting>
  <conditionalFormatting sqref="G114">
    <cfRule type="cellIs" rank="0" priority="328" equalAverage="0" operator="greaterThan" aboveAverage="0" dxfId="10" text="" percent="0" bottom="0">
      <formula>e{r}</formula>
    </cfRule>
  </conditionalFormatting>
  <conditionalFormatting sqref="H115">
    <cfRule type="cellIs" rank="0" priority="329" equalAverage="0" operator="greaterThan" aboveAverage="0" dxfId="1" text="" percent="0" bottom="0">
      <formula>0</formula>
    </cfRule>
    <cfRule type="cellIs" rank="0" priority="330" equalAverage="0" operator="lessThanOrEqual" aboveAverage="0" dxfId="0" text="" percent="0" bottom="0">
      <formula>0</formula>
    </cfRule>
  </conditionalFormatting>
  <conditionalFormatting sqref="G115">
    <cfRule type="cellIs" rank="0" priority="331" equalAverage="0" operator="greaterThan" aboveAverage="0" dxfId="10" text="" percent="0" bottom="0">
      <formula>e{r}</formula>
    </cfRule>
  </conditionalFormatting>
  <conditionalFormatting sqref="H116">
    <cfRule type="cellIs" rank="0" priority="332" equalAverage="0" operator="greaterThan" aboveAverage="0" dxfId="1" text="" percent="0" bottom="0">
      <formula>0</formula>
    </cfRule>
    <cfRule type="cellIs" rank="0" priority="333" equalAverage="0" operator="lessThanOrEqual" aboveAverage="0" dxfId="0" text="" percent="0" bottom="0">
      <formula>0</formula>
    </cfRule>
  </conditionalFormatting>
  <conditionalFormatting sqref="G116">
    <cfRule type="cellIs" rank="0" priority="334" equalAverage="0" operator="greaterThan" aboveAverage="0" dxfId="10" text="" percent="0" bottom="0">
      <formula>e{r}</formula>
    </cfRule>
  </conditionalFormatting>
  <conditionalFormatting sqref="H117">
    <cfRule type="cellIs" rank="0" priority="335" equalAverage="0" operator="greaterThan" aboveAverage="0" dxfId="1" text="" percent="0" bottom="0">
      <formula>0</formula>
    </cfRule>
    <cfRule type="cellIs" rank="0" priority="336" equalAverage="0" operator="lessThanOrEqual" aboveAverage="0" dxfId="0" text="" percent="0" bottom="0">
      <formula>0</formula>
    </cfRule>
  </conditionalFormatting>
  <conditionalFormatting sqref="G117">
    <cfRule type="cellIs" rank="0" priority="337" equalAverage="0" operator="greaterThan" aboveAverage="0" dxfId="10" text="" percent="0" bottom="0">
      <formula>e{r}</formula>
    </cfRule>
  </conditionalFormatting>
  <conditionalFormatting sqref="H118">
    <cfRule type="cellIs" rank="0" priority="338" equalAverage="0" operator="greaterThan" aboveAverage="0" dxfId="1" text="" percent="0" bottom="0">
      <formula>0</formula>
    </cfRule>
    <cfRule type="cellIs" rank="0" priority="339" equalAverage="0" operator="lessThanOrEqual" aboveAverage="0" dxfId="0" text="" percent="0" bottom="0">
      <formula>0</formula>
    </cfRule>
  </conditionalFormatting>
  <conditionalFormatting sqref="G118">
    <cfRule type="cellIs" rank="0" priority="340" equalAverage="0" operator="greaterThan" aboveAverage="0" dxfId="10" text="" percent="0" bottom="0">
      <formula>e{r}</formula>
    </cfRule>
  </conditionalFormatting>
  <conditionalFormatting sqref="H119">
    <cfRule type="cellIs" rank="0" priority="341" equalAverage="0" operator="greaterThan" aboveAverage="0" dxfId="1" text="" percent="0" bottom="0">
      <formula>0</formula>
    </cfRule>
    <cfRule type="cellIs" rank="0" priority="342" equalAverage="0" operator="lessThanOrEqual" aboveAverage="0" dxfId="0" text="" percent="0" bottom="0">
      <formula>0</formula>
    </cfRule>
  </conditionalFormatting>
  <conditionalFormatting sqref="G119">
    <cfRule type="cellIs" rank="0" priority="343" equalAverage="0" operator="greaterThan" aboveAverage="0" dxfId="10" text="" percent="0" bottom="0">
      <formula>e{r}</formula>
    </cfRule>
  </conditionalFormatting>
  <conditionalFormatting sqref="H120">
    <cfRule type="cellIs" rank="0" priority="344" equalAverage="0" operator="greaterThan" aboveAverage="0" dxfId="1" text="" percent="0" bottom="0">
      <formula>0</formula>
    </cfRule>
    <cfRule type="cellIs" rank="0" priority="345" equalAverage="0" operator="lessThanOrEqual" aboveAverage="0" dxfId="0" text="" percent="0" bottom="0">
      <formula>0</formula>
    </cfRule>
  </conditionalFormatting>
  <conditionalFormatting sqref="G120">
    <cfRule type="cellIs" rank="0" priority="346" equalAverage="0" operator="greaterThan" aboveAverage="0" dxfId="10" text="" percent="0" bottom="0">
      <formula>e{r}</formula>
    </cfRule>
  </conditionalFormatting>
  <conditionalFormatting sqref="H121">
    <cfRule type="cellIs" rank="0" priority="347" equalAverage="0" operator="greaterThan" aboveAverage="0" dxfId="1" text="" percent="0" bottom="0">
      <formula>0</formula>
    </cfRule>
    <cfRule type="cellIs" rank="0" priority="348" equalAverage="0" operator="lessThanOrEqual" aboveAverage="0" dxfId="0" text="" percent="0" bottom="0">
      <formula>0</formula>
    </cfRule>
  </conditionalFormatting>
  <conditionalFormatting sqref="G121">
    <cfRule type="cellIs" rank="0" priority="349" equalAverage="0" operator="greaterThan" aboveAverage="0" dxfId="10" text="" percent="0" bottom="0">
      <formula>e{r}</formula>
    </cfRule>
  </conditionalFormatting>
  <conditionalFormatting sqref="H122">
    <cfRule type="cellIs" rank="0" priority="350" equalAverage="0" operator="greaterThan" aboveAverage="0" dxfId="1" text="" percent="0" bottom="0">
      <formula>0</formula>
    </cfRule>
    <cfRule type="cellIs" rank="0" priority="351" equalAverage="0" operator="lessThanOrEqual" aboveAverage="0" dxfId="0" text="" percent="0" bottom="0">
      <formula>0</formula>
    </cfRule>
  </conditionalFormatting>
  <conditionalFormatting sqref="G122">
    <cfRule type="cellIs" rank="0" priority="352" equalAverage="0" operator="greaterThan" aboveAverage="0" dxfId="10" text="" percent="0" bottom="0">
      <formula>e{r}</formula>
    </cfRule>
  </conditionalFormatting>
  <conditionalFormatting sqref="H123">
    <cfRule type="cellIs" rank="0" priority="353" equalAverage="0" operator="greaterThan" aboveAverage="0" dxfId="1" text="" percent="0" bottom="0">
      <formula>0</formula>
    </cfRule>
    <cfRule type="cellIs" rank="0" priority="354" equalAverage="0" operator="lessThanOrEqual" aboveAverage="0" dxfId="0" text="" percent="0" bottom="0">
      <formula>0</formula>
    </cfRule>
  </conditionalFormatting>
  <conditionalFormatting sqref="G123">
    <cfRule type="cellIs" rank="0" priority="355" equalAverage="0" operator="greaterThan" aboveAverage="0" dxfId="10" text="" percent="0" bottom="0">
      <formula>e{r}</formula>
    </cfRule>
  </conditionalFormatting>
  <conditionalFormatting sqref="H124">
    <cfRule type="cellIs" rank="0" priority="356" equalAverage="0" operator="greaterThan" aboveAverage="0" dxfId="1" text="" percent="0" bottom="0">
      <formula>0</formula>
    </cfRule>
    <cfRule type="cellIs" rank="0" priority="357" equalAverage="0" operator="lessThanOrEqual" aboveAverage="0" dxfId="0" text="" percent="0" bottom="0">
      <formula>0</formula>
    </cfRule>
  </conditionalFormatting>
  <conditionalFormatting sqref="G124">
    <cfRule type="cellIs" rank="0" priority="358" equalAverage="0" operator="greaterThan" aboveAverage="0" dxfId="10" text="" percent="0" bottom="0">
      <formula>e{r}</formula>
    </cfRule>
  </conditionalFormatting>
  <conditionalFormatting sqref="H125">
    <cfRule type="cellIs" rank="0" priority="359" equalAverage="0" operator="greaterThan" aboveAverage="0" dxfId="1" text="" percent="0" bottom="0">
      <formula>0</formula>
    </cfRule>
    <cfRule type="cellIs" rank="0" priority="360" equalAverage="0" operator="lessThanOrEqual" aboveAverage="0" dxfId="0" text="" percent="0" bottom="0">
      <formula>0</formula>
    </cfRule>
  </conditionalFormatting>
  <conditionalFormatting sqref="G125">
    <cfRule type="cellIs" rank="0" priority="361" equalAverage="0" operator="greaterThan" aboveAverage="0" dxfId="10" text="" percent="0" bottom="0">
      <formula>e{r}</formula>
    </cfRule>
  </conditionalFormatting>
  <conditionalFormatting sqref="H126">
    <cfRule type="cellIs" rank="0" priority="362" equalAverage="0" operator="greaterThan" aboveAverage="0" dxfId="1" text="" percent="0" bottom="0">
      <formula>0</formula>
    </cfRule>
    <cfRule type="cellIs" rank="0" priority="363" equalAverage="0" operator="lessThanOrEqual" aboveAverage="0" dxfId="0" text="" percent="0" bottom="0">
      <formula>0</formula>
    </cfRule>
  </conditionalFormatting>
  <conditionalFormatting sqref="G126">
    <cfRule type="cellIs" rank="0" priority="364" equalAverage="0" operator="greaterThan" aboveAverage="0" dxfId="10" text="" percent="0" bottom="0">
      <formula>e{r}</formula>
    </cfRule>
  </conditionalFormatting>
  <conditionalFormatting sqref="H127">
    <cfRule type="cellIs" rank="0" priority="365" equalAverage="0" operator="greaterThan" aboveAverage="0" dxfId="1" text="" percent="0" bottom="0">
      <formula>0</formula>
    </cfRule>
    <cfRule type="cellIs" rank="0" priority="366" equalAverage="0" operator="lessThanOrEqual" aboveAverage="0" dxfId="0" text="" percent="0" bottom="0">
      <formula>0</formula>
    </cfRule>
  </conditionalFormatting>
  <conditionalFormatting sqref="G127">
    <cfRule type="cellIs" rank="0" priority="367" equalAverage="0" operator="greaterThan" aboveAverage="0" dxfId="10" text="" percent="0" bottom="0">
      <formula>e{r}</formula>
    </cfRule>
  </conditionalFormatting>
  <conditionalFormatting sqref="H128">
    <cfRule type="cellIs" rank="0" priority="368" equalAverage="0" operator="greaterThan" aboveAverage="0" dxfId="1" text="" percent="0" bottom="0">
      <formula>0</formula>
    </cfRule>
    <cfRule type="cellIs" rank="0" priority="369" equalAverage="0" operator="lessThanOrEqual" aboveAverage="0" dxfId="0" text="" percent="0" bottom="0">
      <formula>0</formula>
    </cfRule>
  </conditionalFormatting>
  <conditionalFormatting sqref="G128">
    <cfRule type="cellIs" rank="0" priority="370" equalAverage="0" operator="greaterThan" aboveAverage="0" dxfId="10" text="" percent="0" bottom="0">
      <formula>e{r}</formula>
    </cfRule>
  </conditionalFormatting>
  <conditionalFormatting sqref="H129">
    <cfRule type="cellIs" rank="0" priority="371" equalAverage="0" operator="greaterThan" aboveAverage="0" dxfId="1" text="" percent="0" bottom="0">
      <formula>0</formula>
    </cfRule>
    <cfRule type="cellIs" rank="0" priority="372" equalAverage="0" operator="lessThanOrEqual" aboveAverage="0" dxfId="0" text="" percent="0" bottom="0">
      <formula>0</formula>
    </cfRule>
  </conditionalFormatting>
  <conditionalFormatting sqref="G129">
    <cfRule type="cellIs" rank="0" priority="373" equalAverage="0" operator="greaterThan" aboveAverage="0" dxfId="10" text="" percent="0" bottom="0">
      <formula>e{r}</formula>
    </cfRule>
  </conditionalFormatting>
  <conditionalFormatting sqref="H130">
    <cfRule type="cellIs" rank="0" priority="374" equalAverage="0" operator="greaterThan" aboveAverage="0" dxfId="1" text="" percent="0" bottom="0">
      <formula>0</formula>
    </cfRule>
    <cfRule type="cellIs" rank="0" priority="375" equalAverage="0" operator="lessThanOrEqual" aboveAverage="0" dxfId="0" text="" percent="0" bottom="0">
      <formula>0</formula>
    </cfRule>
  </conditionalFormatting>
  <conditionalFormatting sqref="G130">
    <cfRule type="cellIs" rank="0" priority="376" equalAverage="0" operator="greaterThan" aboveAverage="0" dxfId="10" text="" percent="0" bottom="0">
      <formula>e{r}</formula>
    </cfRule>
  </conditionalFormatting>
  <conditionalFormatting sqref="H131">
    <cfRule type="cellIs" rank="0" priority="377" equalAverage="0" operator="greaterThan" aboveAverage="0" dxfId="1" text="" percent="0" bottom="0">
      <formula>0</formula>
    </cfRule>
    <cfRule type="cellIs" rank="0" priority="378" equalAverage="0" operator="lessThanOrEqual" aboveAverage="0" dxfId="0" text="" percent="0" bottom="0">
      <formula>0</formula>
    </cfRule>
  </conditionalFormatting>
  <conditionalFormatting sqref="G131">
    <cfRule type="cellIs" rank="0" priority="379" equalAverage="0" operator="greaterThan" aboveAverage="0" dxfId="10" text="" percent="0" bottom="0">
      <formula>e{r}</formula>
    </cfRule>
  </conditionalFormatting>
  <conditionalFormatting sqref="H132">
    <cfRule type="cellIs" rank="0" priority="380" equalAverage="0" operator="greaterThan" aboveAverage="0" dxfId="1" text="" percent="0" bottom="0">
      <formula>0</formula>
    </cfRule>
    <cfRule type="cellIs" rank="0" priority="381" equalAverage="0" operator="lessThanOrEqual" aboveAverage="0" dxfId="0" text="" percent="0" bottom="0">
      <formula>0</formula>
    </cfRule>
  </conditionalFormatting>
  <conditionalFormatting sqref="G132">
    <cfRule type="cellIs" rank="0" priority="382" equalAverage="0" operator="greaterThan" aboveAverage="0" dxfId="10" text="" percent="0" bottom="0">
      <formula>e{r}</formula>
    </cfRule>
  </conditionalFormatting>
  <conditionalFormatting sqref="H133">
    <cfRule type="cellIs" rank="0" priority="383" equalAverage="0" operator="greaterThan" aboveAverage="0" dxfId="1" text="" percent="0" bottom="0">
      <formula>0</formula>
    </cfRule>
    <cfRule type="cellIs" rank="0" priority="384" equalAverage="0" operator="lessThanOrEqual" aboveAverage="0" dxfId="0" text="" percent="0" bottom="0">
      <formula>0</formula>
    </cfRule>
  </conditionalFormatting>
  <conditionalFormatting sqref="G133">
    <cfRule type="cellIs" rank="0" priority="385" equalAverage="0" operator="greaterThan" aboveAverage="0" dxfId="10" text="" percent="0" bottom="0">
      <formula>e{r}</formula>
    </cfRule>
  </conditionalFormatting>
  <conditionalFormatting sqref="H134">
    <cfRule type="cellIs" rank="0" priority="386" equalAverage="0" operator="greaterThan" aboveAverage="0" dxfId="1" text="" percent="0" bottom="0">
      <formula>0</formula>
    </cfRule>
    <cfRule type="cellIs" rank="0" priority="387" equalAverage="0" operator="lessThanOrEqual" aboveAverage="0" dxfId="0" text="" percent="0" bottom="0">
      <formula>0</formula>
    </cfRule>
  </conditionalFormatting>
  <conditionalFormatting sqref="G134">
    <cfRule type="cellIs" rank="0" priority="388" equalAverage="0" operator="greaterThan" aboveAverage="0" dxfId="10" text="" percent="0" bottom="0">
      <formula>e{r}</formula>
    </cfRule>
  </conditionalFormatting>
  <conditionalFormatting sqref="H135">
    <cfRule type="cellIs" rank="0" priority="389" equalAverage="0" operator="greaterThan" aboveAverage="0" dxfId="1" text="" percent="0" bottom="0">
      <formula>0</formula>
    </cfRule>
    <cfRule type="cellIs" rank="0" priority="390" equalAverage="0" operator="lessThanOrEqual" aboveAverage="0" dxfId="0" text="" percent="0" bottom="0">
      <formula>0</formula>
    </cfRule>
  </conditionalFormatting>
  <conditionalFormatting sqref="G135">
    <cfRule type="cellIs" rank="0" priority="391" equalAverage="0" operator="greaterThan" aboveAverage="0" dxfId="10" text="" percent="0" bottom="0">
      <formula>e{r}</formula>
    </cfRule>
  </conditionalFormatting>
  <conditionalFormatting sqref="H136">
    <cfRule type="cellIs" rank="0" priority="392" equalAverage="0" operator="greaterThan" aboveAverage="0" dxfId="1" text="" percent="0" bottom="0">
      <formula>0</formula>
    </cfRule>
    <cfRule type="cellIs" rank="0" priority="393" equalAverage="0" operator="lessThanOrEqual" aboveAverage="0" dxfId="0" text="" percent="0" bottom="0">
      <formula>0</formula>
    </cfRule>
  </conditionalFormatting>
  <conditionalFormatting sqref="G136">
    <cfRule type="cellIs" rank="0" priority="394" equalAverage="0" operator="greaterThan" aboveAverage="0" dxfId="10" text="" percent="0" bottom="0">
      <formula>e{r}</formula>
    </cfRule>
  </conditionalFormatting>
  <conditionalFormatting sqref="H137">
    <cfRule type="cellIs" rank="0" priority="395" equalAverage="0" operator="greaterThan" aboveAverage="0" dxfId="1" text="" percent="0" bottom="0">
      <formula>0</formula>
    </cfRule>
    <cfRule type="cellIs" rank="0" priority="396" equalAverage="0" operator="lessThanOrEqual" aboveAverage="0" dxfId="0" text="" percent="0" bottom="0">
      <formula>0</formula>
    </cfRule>
  </conditionalFormatting>
  <conditionalFormatting sqref="G137">
    <cfRule type="cellIs" rank="0" priority="397" equalAverage="0" operator="greaterThan" aboveAverage="0" dxfId="10" text="" percent="0" bottom="0">
      <formula>e{r}</formula>
    </cfRule>
  </conditionalFormatting>
  <conditionalFormatting sqref="H138">
    <cfRule type="cellIs" rank="0" priority="398" equalAverage="0" operator="greaterThan" aboveAverage="0" dxfId="1" text="" percent="0" bottom="0">
      <formula>0</formula>
    </cfRule>
    <cfRule type="cellIs" rank="0" priority="399" equalAverage="0" operator="lessThanOrEqual" aboveAverage="0" dxfId="0" text="" percent="0" bottom="0">
      <formula>0</formula>
    </cfRule>
  </conditionalFormatting>
  <conditionalFormatting sqref="G138">
    <cfRule type="cellIs" rank="0" priority="400" equalAverage="0" operator="greaterThan" aboveAverage="0" dxfId="10" text="" percent="0" bottom="0">
      <formula>e{r}</formula>
    </cfRule>
  </conditionalFormatting>
  <conditionalFormatting sqref="H139">
    <cfRule type="cellIs" rank="0" priority="401" equalAverage="0" operator="greaterThan" aboveAverage="0" dxfId="1" text="" percent="0" bottom="0">
      <formula>0</formula>
    </cfRule>
    <cfRule type="cellIs" rank="0" priority="402" equalAverage="0" operator="lessThanOrEqual" aboveAverage="0" dxfId="0" text="" percent="0" bottom="0">
      <formula>0</formula>
    </cfRule>
  </conditionalFormatting>
  <conditionalFormatting sqref="G139">
    <cfRule type="cellIs" rank="0" priority="403" equalAverage="0" operator="greaterThan" aboveAverage="0" dxfId="10" text="" percent="0" bottom="0">
      <formula>e{r}</formula>
    </cfRule>
  </conditionalFormatting>
  <conditionalFormatting sqref="H140">
    <cfRule type="cellIs" rank="0" priority="404" equalAverage="0" operator="greaterThan" aboveAverage="0" dxfId="1" text="" percent="0" bottom="0">
      <formula>0</formula>
    </cfRule>
    <cfRule type="cellIs" rank="0" priority="405" equalAverage="0" operator="lessThanOrEqual" aboveAverage="0" dxfId="0" text="" percent="0" bottom="0">
      <formula>0</formula>
    </cfRule>
  </conditionalFormatting>
  <conditionalFormatting sqref="G140">
    <cfRule type="cellIs" rank="0" priority="406" equalAverage="0" operator="greaterThan" aboveAverage="0" dxfId="10" text="" percent="0" bottom="0">
      <formula>e{r}</formula>
    </cfRule>
  </conditionalFormatting>
  <conditionalFormatting sqref="H141">
    <cfRule type="cellIs" rank="0" priority="407" equalAverage="0" operator="greaterThan" aboveAverage="0" dxfId="1" text="" percent="0" bottom="0">
      <formula>0</formula>
    </cfRule>
    <cfRule type="cellIs" rank="0" priority="408" equalAverage="0" operator="lessThanOrEqual" aboveAverage="0" dxfId="0" text="" percent="0" bottom="0">
      <formula>0</formula>
    </cfRule>
  </conditionalFormatting>
  <conditionalFormatting sqref="G141">
    <cfRule type="cellIs" rank="0" priority="409" equalAverage="0" operator="greaterThan" aboveAverage="0" dxfId="10" text="" percent="0" bottom="0">
      <formula>e{r}</formula>
    </cfRule>
  </conditionalFormatting>
  <conditionalFormatting sqref="H142">
    <cfRule type="cellIs" rank="0" priority="410" equalAverage="0" operator="greaterThan" aboveAverage="0" dxfId="1" text="" percent="0" bottom="0">
      <formula>0</formula>
    </cfRule>
    <cfRule type="cellIs" rank="0" priority="411" equalAverage="0" operator="lessThanOrEqual" aboveAverage="0" dxfId="0" text="" percent="0" bottom="0">
      <formula>0</formula>
    </cfRule>
  </conditionalFormatting>
  <conditionalFormatting sqref="G142">
    <cfRule type="cellIs" rank="0" priority="412" equalAverage="0" operator="greaterThan" aboveAverage="0" dxfId="10" text="" percent="0" bottom="0">
      <formula>e{r}</formula>
    </cfRule>
  </conditionalFormatting>
  <conditionalFormatting sqref="H143">
    <cfRule type="cellIs" rank="0" priority="413" equalAverage="0" operator="greaterThan" aboveAverage="0" dxfId="1" text="" percent="0" bottom="0">
      <formula>0</formula>
    </cfRule>
    <cfRule type="cellIs" rank="0" priority="414" equalAverage="0" operator="lessThanOrEqual" aboveAverage="0" dxfId="0" text="" percent="0" bottom="0">
      <formula>0</formula>
    </cfRule>
  </conditionalFormatting>
  <conditionalFormatting sqref="G143">
    <cfRule type="cellIs" rank="0" priority="415" equalAverage="0" operator="greaterThan" aboveAverage="0" dxfId="10" text="" percent="0" bottom="0">
      <formula>e{r}</formula>
    </cfRule>
  </conditionalFormatting>
  <conditionalFormatting sqref="H144">
    <cfRule type="cellIs" rank="0" priority="416" equalAverage="0" operator="greaterThan" aboveAverage="0" dxfId="1" text="" percent="0" bottom="0">
      <formula>0</formula>
    </cfRule>
    <cfRule type="cellIs" rank="0" priority="417" equalAverage="0" operator="lessThanOrEqual" aboveAverage="0" dxfId="0" text="" percent="0" bottom="0">
      <formula>0</formula>
    </cfRule>
  </conditionalFormatting>
  <conditionalFormatting sqref="G144">
    <cfRule type="cellIs" rank="0" priority="418" equalAverage="0" operator="greaterThan" aboveAverage="0" dxfId="10" text="" percent="0" bottom="0">
      <formula>e{r}</formula>
    </cfRule>
  </conditionalFormatting>
  <conditionalFormatting sqref="H145">
    <cfRule type="cellIs" rank="0" priority="419" equalAverage="0" operator="greaterThan" aboveAverage="0" dxfId="1" text="" percent="0" bottom="0">
      <formula>0</formula>
    </cfRule>
    <cfRule type="cellIs" rank="0" priority="420" equalAverage="0" operator="lessThanOrEqual" aboveAverage="0" dxfId="0" text="" percent="0" bottom="0">
      <formula>0</formula>
    </cfRule>
  </conditionalFormatting>
  <conditionalFormatting sqref="G145">
    <cfRule type="cellIs" rank="0" priority="421" equalAverage="0" operator="greaterThan" aboveAverage="0" dxfId="10" text="" percent="0" bottom="0">
      <formula>e{r}</formula>
    </cfRule>
  </conditionalFormatting>
  <conditionalFormatting sqref="H146">
    <cfRule type="cellIs" rank="0" priority="422" equalAverage="0" operator="greaterThan" aboveAverage="0" dxfId="1" text="" percent="0" bottom="0">
      <formula>0</formula>
    </cfRule>
    <cfRule type="cellIs" rank="0" priority="423" equalAverage="0" operator="lessThanOrEqual" aboveAverage="0" dxfId="0" text="" percent="0" bottom="0">
      <formula>0</formula>
    </cfRule>
  </conditionalFormatting>
  <conditionalFormatting sqref="G146">
    <cfRule type="cellIs" rank="0" priority="424" equalAverage="0" operator="greaterThan" aboveAverage="0" dxfId="10" text="" percent="0" bottom="0">
      <formula>e{r}</formula>
    </cfRule>
  </conditionalFormatting>
  <conditionalFormatting sqref="H147">
    <cfRule type="cellIs" rank="0" priority="425" equalAverage="0" operator="greaterThan" aboveAverage="0" dxfId="1" text="" percent="0" bottom="0">
      <formula>0</formula>
    </cfRule>
    <cfRule type="cellIs" rank="0" priority="426" equalAverage="0" operator="lessThanOrEqual" aboveAverage="0" dxfId="0" text="" percent="0" bottom="0">
      <formula>0</formula>
    </cfRule>
  </conditionalFormatting>
  <conditionalFormatting sqref="G147">
    <cfRule type="cellIs" rank="0" priority="427" equalAverage="0" operator="greaterThan" aboveAverage="0" dxfId="10" text="" percent="0" bottom="0">
      <formula>e{r}</formula>
    </cfRule>
  </conditionalFormatting>
  <conditionalFormatting sqref="H148">
    <cfRule type="cellIs" rank="0" priority="428" equalAverage="0" operator="greaterThan" aboveAverage="0" dxfId="1" text="" percent="0" bottom="0">
      <formula>0</formula>
    </cfRule>
    <cfRule type="cellIs" rank="0" priority="429" equalAverage="0" operator="lessThanOrEqual" aboveAverage="0" dxfId="0" text="" percent="0" bottom="0">
      <formula>0</formula>
    </cfRule>
  </conditionalFormatting>
  <conditionalFormatting sqref="G148">
    <cfRule type="cellIs" rank="0" priority="430" equalAverage="0" operator="greaterThan" aboveAverage="0" dxfId="10" text="" percent="0" bottom="0">
      <formula>e{r}</formula>
    </cfRule>
  </conditionalFormatting>
  <conditionalFormatting sqref="H149">
    <cfRule type="cellIs" rank="0" priority="431" equalAverage="0" operator="greaterThan" aboveAverage="0" dxfId="1" text="" percent="0" bottom="0">
      <formula>0</formula>
    </cfRule>
    <cfRule type="cellIs" rank="0" priority="432" equalAverage="0" operator="lessThanOrEqual" aboveAverage="0" dxfId="0" text="" percent="0" bottom="0">
      <formula>0</formula>
    </cfRule>
  </conditionalFormatting>
  <conditionalFormatting sqref="G149">
    <cfRule type="cellIs" rank="0" priority="433" equalAverage="0" operator="greaterThan" aboveAverage="0" dxfId="10" text="" percent="0" bottom="0">
      <formula>e{r}</formula>
    </cfRule>
  </conditionalFormatting>
  <conditionalFormatting sqref="H150">
    <cfRule type="cellIs" rank="0" priority="434" equalAverage="0" operator="greaterThan" aboveAverage="0" dxfId="1" text="" percent="0" bottom="0">
      <formula>0</formula>
    </cfRule>
    <cfRule type="cellIs" rank="0" priority="435" equalAverage="0" operator="lessThanOrEqual" aboveAverage="0" dxfId="0" text="" percent="0" bottom="0">
      <formula>0</formula>
    </cfRule>
  </conditionalFormatting>
  <conditionalFormatting sqref="G150">
    <cfRule type="cellIs" rank="0" priority="436" equalAverage="0" operator="greaterThan" aboveAverage="0" dxfId="10" text="" percent="0" bottom="0">
      <formula>e{r}</formula>
    </cfRule>
  </conditionalFormatting>
  <conditionalFormatting sqref="H151">
    <cfRule type="cellIs" rank="0" priority="437" equalAverage="0" operator="greaterThan" aboveAverage="0" dxfId="1" text="" percent="0" bottom="0">
      <formula>0</formula>
    </cfRule>
    <cfRule type="cellIs" rank="0" priority="438" equalAverage="0" operator="lessThanOrEqual" aboveAverage="0" dxfId="0" text="" percent="0" bottom="0">
      <formula>0</formula>
    </cfRule>
  </conditionalFormatting>
  <conditionalFormatting sqref="G151">
    <cfRule type="cellIs" rank="0" priority="439" equalAverage="0" operator="greaterThan" aboveAverage="0" dxfId="10" text="" percent="0" bottom="0">
      <formula>e{r}</formula>
    </cfRule>
  </conditionalFormatting>
  <conditionalFormatting sqref="H152">
    <cfRule type="cellIs" rank="0" priority="440" equalAverage="0" operator="greaterThan" aboveAverage="0" dxfId="1" text="" percent="0" bottom="0">
      <formula>0</formula>
    </cfRule>
    <cfRule type="cellIs" rank="0" priority="441" equalAverage="0" operator="lessThanOrEqual" aboveAverage="0" dxfId="0" text="" percent="0" bottom="0">
      <formula>0</formula>
    </cfRule>
  </conditionalFormatting>
  <conditionalFormatting sqref="G152">
    <cfRule type="cellIs" rank="0" priority="442" equalAverage="0" operator="greaterThan" aboveAverage="0" dxfId="10" text="" percent="0" bottom="0">
      <formula>e{r}</formula>
    </cfRule>
  </conditionalFormatting>
  <conditionalFormatting sqref="H153">
    <cfRule type="cellIs" rank="0" priority="443" equalAverage="0" operator="greaterThan" aboveAverage="0" dxfId="1" text="" percent="0" bottom="0">
      <formula>0</formula>
    </cfRule>
    <cfRule type="cellIs" rank="0" priority="444" equalAverage="0" operator="lessThanOrEqual" aboveAverage="0" dxfId="0" text="" percent="0" bottom="0">
      <formula>0</formula>
    </cfRule>
  </conditionalFormatting>
  <conditionalFormatting sqref="G153">
    <cfRule type="cellIs" rank="0" priority="445" equalAverage="0" operator="greaterThan" aboveAverage="0" dxfId="10" text="" percent="0" bottom="0">
      <formula>e{r}</formula>
    </cfRule>
  </conditionalFormatting>
  <conditionalFormatting sqref="H154">
    <cfRule type="cellIs" rank="0" priority="446" equalAverage="0" operator="greaterThan" aboveAverage="0" dxfId="1" text="" percent="0" bottom="0">
      <formula>0</formula>
    </cfRule>
    <cfRule type="cellIs" rank="0" priority="447" equalAverage="0" operator="lessThanOrEqual" aboveAverage="0" dxfId="0" text="" percent="0" bottom="0">
      <formula>0</formula>
    </cfRule>
  </conditionalFormatting>
  <conditionalFormatting sqref="G154">
    <cfRule type="cellIs" rank="0" priority="448" equalAverage="0" operator="greaterThan" aboveAverage="0" dxfId="10" text="" percent="0" bottom="0">
      <formula>e{r}</formula>
    </cfRule>
  </conditionalFormatting>
  <conditionalFormatting sqref="H155">
    <cfRule type="cellIs" rank="0" priority="449" equalAverage="0" operator="greaterThan" aboveAverage="0" dxfId="1" text="" percent="0" bottom="0">
      <formula>0</formula>
    </cfRule>
    <cfRule type="cellIs" rank="0" priority="450" equalAverage="0" operator="lessThanOrEqual" aboveAverage="0" dxfId="0" text="" percent="0" bottom="0">
      <formula>0</formula>
    </cfRule>
  </conditionalFormatting>
  <conditionalFormatting sqref="G155">
    <cfRule type="cellIs" rank="0" priority="451" equalAverage="0" operator="greaterThan" aboveAverage="0" dxfId="10" text="" percent="0" bottom="0">
      <formula>e{r}</formula>
    </cfRule>
  </conditionalFormatting>
  <conditionalFormatting sqref="H156">
    <cfRule type="cellIs" rank="0" priority="452" equalAverage="0" operator="greaterThan" aboveAverage="0" dxfId="1" text="" percent="0" bottom="0">
      <formula>0</formula>
    </cfRule>
    <cfRule type="cellIs" rank="0" priority="453" equalAverage="0" operator="lessThanOrEqual" aboveAverage="0" dxfId="0" text="" percent="0" bottom="0">
      <formula>0</formula>
    </cfRule>
  </conditionalFormatting>
  <conditionalFormatting sqref="G156">
    <cfRule type="cellIs" rank="0" priority="454" equalAverage="0" operator="greaterThan" aboveAverage="0" dxfId="10" text="" percent="0" bottom="0">
      <formula>e{r}</formula>
    </cfRule>
  </conditionalFormatting>
  <conditionalFormatting sqref="H157">
    <cfRule type="cellIs" rank="0" priority="455" equalAverage="0" operator="greaterThan" aboveAverage="0" dxfId="1" text="" percent="0" bottom="0">
      <formula>0</formula>
    </cfRule>
    <cfRule type="cellIs" rank="0" priority="456" equalAverage="0" operator="lessThanOrEqual" aboveAverage="0" dxfId="0" text="" percent="0" bottom="0">
      <formula>0</formula>
    </cfRule>
  </conditionalFormatting>
  <conditionalFormatting sqref="G157">
    <cfRule type="cellIs" rank="0" priority="457" equalAverage="0" operator="greaterThan" aboveAverage="0" dxfId="10" text="" percent="0" bottom="0">
      <formula>e{r}</formula>
    </cfRule>
  </conditionalFormatting>
  <conditionalFormatting sqref="H158">
    <cfRule type="cellIs" rank="0" priority="458" equalAverage="0" operator="greaterThan" aboveAverage="0" dxfId="1" text="" percent="0" bottom="0">
      <formula>0</formula>
    </cfRule>
    <cfRule type="cellIs" rank="0" priority="459" equalAverage="0" operator="lessThanOrEqual" aboveAverage="0" dxfId="0" text="" percent="0" bottom="0">
      <formula>0</formula>
    </cfRule>
  </conditionalFormatting>
  <conditionalFormatting sqref="G158">
    <cfRule type="cellIs" rank="0" priority="460" equalAverage="0" operator="greaterThan" aboveAverage="0" dxfId="10" text="" percent="0" bottom="0">
      <formula>e{r}</formula>
    </cfRule>
  </conditionalFormatting>
  <conditionalFormatting sqref="H159">
    <cfRule type="cellIs" rank="0" priority="461" equalAverage="0" operator="greaterThan" aboveAverage="0" dxfId="1" text="" percent="0" bottom="0">
      <formula>0</formula>
    </cfRule>
    <cfRule type="cellIs" rank="0" priority="462" equalAverage="0" operator="lessThanOrEqual" aboveAverage="0" dxfId="0" text="" percent="0" bottom="0">
      <formula>0</formula>
    </cfRule>
  </conditionalFormatting>
  <conditionalFormatting sqref="G159">
    <cfRule type="cellIs" rank="0" priority="463" equalAverage="0" operator="greaterThan" aboveAverage="0" dxfId="10" text="" percent="0" bottom="0">
      <formula>e{r}</formula>
    </cfRule>
  </conditionalFormatting>
  <conditionalFormatting sqref="H160">
    <cfRule type="cellIs" rank="0" priority="464" equalAverage="0" operator="greaterThan" aboveAverage="0" dxfId="1" text="" percent="0" bottom="0">
      <formula>0</formula>
    </cfRule>
    <cfRule type="cellIs" rank="0" priority="465" equalAverage="0" operator="lessThanOrEqual" aboveAverage="0" dxfId="0" text="" percent="0" bottom="0">
      <formula>0</formula>
    </cfRule>
  </conditionalFormatting>
  <conditionalFormatting sqref="G160">
    <cfRule type="cellIs" rank="0" priority="466" equalAverage="0" operator="greaterThan" aboveAverage="0" dxfId="10" text="" percent="0" bottom="0">
      <formula>e{r}</formula>
    </cfRule>
  </conditionalFormatting>
  <conditionalFormatting sqref="H161">
    <cfRule type="cellIs" rank="0" priority="467" equalAverage="0" operator="greaterThan" aboveAverage="0" dxfId="1" text="" percent="0" bottom="0">
      <formula>0</formula>
    </cfRule>
    <cfRule type="cellIs" rank="0" priority="468" equalAverage="0" operator="lessThanOrEqual" aboveAverage="0" dxfId="0" text="" percent="0" bottom="0">
      <formula>0</formula>
    </cfRule>
  </conditionalFormatting>
  <conditionalFormatting sqref="G161">
    <cfRule type="cellIs" rank="0" priority="469" equalAverage="0" operator="greaterThan" aboveAverage="0" dxfId="10" text="" percent="0" bottom="0">
      <formula>e{r}</formula>
    </cfRule>
  </conditionalFormatting>
  <conditionalFormatting sqref="H162">
    <cfRule type="cellIs" rank="0" priority="470" equalAverage="0" operator="greaterThan" aboveAverage="0" dxfId="1" text="" percent="0" bottom="0">
      <formula>0</formula>
    </cfRule>
    <cfRule type="cellIs" rank="0" priority="471" equalAverage="0" operator="lessThanOrEqual" aboveAverage="0" dxfId="0" text="" percent="0" bottom="0">
      <formula>0</formula>
    </cfRule>
  </conditionalFormatting>
  <conditionalFormatting sqref="G162">
    <cfRule type="cellIs" rank="0" priority="472" equalAverage="0" operator="greaterThan" aboveAverage="0" dxfId="10" text="" percent="0" bottom="0">
      <formula>e{r}</formula>
    </cfRule>
  </conditionalFormatting>
  <conditionalFormatting sqref="H163">
    <cfRule type="cellIs" rank="0" priority="473" equalAverage="0" operator="greaterThan" aboveAverage="0" dxfId="1" text="" percent="0" bottom="0">
      <formula>0</formula>
    </cfRule>
    <cfRule type="cellIs" rank="0" priority="474" equalAverage="0" operator="lessThanOrEqual" aboveAverage="0" dxfId="0" text="" percent="0" bottom="0">
      <formula>0</formula>
    </cfRule>
  </conditionalFormatting>
  <conditionalFormatting sqref="G163">
    <cfRule type="cellIs" rank="0" priority="475" equalAverage="0" operator="greaterThan" aboveAverage="0" dxfId="10" text="" percent="0" bottom="0">
      <formula>e{r}</formula>
    </cfRule>
  </conditionalFormatting>
  <conditionalFormatting sqref="H164">
    <cfRule type="cellIs" rank="0" priority="476" equalAverage="0" operator="greaterThan" aboveAverage="0" dxfId="1" text="" percent="0" bottom="0">
      <formula>0</formula>
    </cfRule>
    <cfRule type="cellIs" rank="0" priority="477" equalAverage="0" operator="lessThanOrEqual" aboveAverage="0" dxfId="0" text="" percent="0" bottom="0">
      <formula>0</formula>
    </cfRule>
  </conditionalFormatting>
  <conditionalFormatting sqref="G164">
    <cfRule type="cellIs" rank="0" priority="478" equalAverage="0" operator="greaterThan" aboveAverage="0" dxfId="10" text="" percent="0" bottom="0">
      <formula>e{r}</formula>
    </cfRule>
  </conditionalFormatting>
  <conditionalFormatting sqref="H165">
    <cfRule type="cellIs" rank="0" priority="479" equalAverage="0" operator="greaterThan" aboveAverage="0" dxfId="1" text="" percent="0" bottom="0">
      <formula>0</formula>
    </cfRule>
    <cfRule type="cellIs" rank="0" priority="480" equalAverage="0" operator="lessThanOrEqual" aboveAverage="0" dxfId="0" text="" percent="0" bottom="0">
      <formula>0</formula>
    </cfRule>
  </conditionalFormatting>
  <conditionalFormatting sqref="G165">
    <cfRule type="cellIs" rank="0" priority="481" equalAverage="0" operator="greaterThan" aboveAverage="0" dxfId="10" text="" percent="0" bottom="0">
      <formula>e{r}</formula>
    </cfRule>
  </conditionalFormatting>
  <conditionalFormatting sqref="H166">
    <cfRule type="cellIs" rank="0" priority="482" equalAverage="0" operator="greaterThan" aboveAverage="0" dxfId="1" text="" percent="0" bottom="0">
      <formula>0</formula>
    </cfRule>
    <cfRule type="cellIs" rank="0" priority="483" equalAverage="0" operator="lessThanOrEqual" aboveAverage="0" dxfId="0" text="" percent="0" bottom="0">
      <formula>0</formula>
    </cfRule>
  </conditionalFormatting>
  <conditionalFormatting sqref="G166">
    <cfRule type="cellIs" rank="0" priority="484" equalAverage="0" operator="greaterThan" aboveAverage="0" dxfId="10" text="" percent="0" bottom="0">
      <formula>e{r}</formula>
    </cfRule>
  </conditionalFormatting>
  <conditionalFormatting sqref="H167">
    <cfRule type="cellIs" rank="0" priority="485" equalAverage="0" operator="greaterThan" aboveAverage="0" dxfId="1" text="" percent="0" bottom="0">
      <formula>0</formula>
    </cfRule>
    <cfRule type="cellIs" rank="0" priority="486" equalAverage="0" operator="lessThanOrEqual" aboveAverage="0" dxfId="0" text="" percent="0" bottom="0">
      <formula>0</formula>
    </cfRule>
  </conditionalFormatting>
  <conditionalFormatting sqref="G167">
    <cfRule type="cellIs" rank="0" priority="487" equalAverage="0" operator="greaterThan" aboveAverage="0" dxfId="10" text="" percent="0" bottom="0">
      <formula>e{r}</formula>
    </cfRule>
  </conditionalFormatting>
  <conditionalFormatting sqref="H168">
    <cfRule type="cellIs" rank="0" priority="488" equalAverage="0" operator="greaterThan" aboveAverage="0" dxfId="1" text="" percent="0" bottom="0">
      <formula>0</formula>
    </cfRule>
    <cfRule type="cellIs" rank="0" priority="489" equalAverage="0" operator="lessThanOrEqual" aboveAverage="0" dxfId="0" text="" percent="0" bottom="0">
      <formula>0</formula>
    </cfRule>
  </conditionalFormatting>
  <conditionalFormatting sqref="G168">
    <cfRule type="cellIs" rank="0" priority="490" equalAverage="0" operator="greaterThan" aboveAverage="0" dxfId="10" text="" percent="0" bottom="0">
      <formula>e{r}</formula>
    </cfRule>
  </conditionalFormatting>
  <conditionalFormatting sqref="H169">
    <cfRule type="cellIs" rank="0" priority="491" equalAverage="0" operator="greaterThan" aboveAverage="0" dxfId="1" text="" percent="0" bottom="0">
      <formula>0</formula>
    </cfRule>
    <cfRule type="cellIs" rank="0" priority="492" equalAverage="0" operator="lessThanOrEqual" aboveAverage="0" dxfId="0" text="" percent="0" bottom="0">
      <formula>0</formula>
    </cfRule>
  </conditionalFormatting>
  <conditionalFormatting sqref="G169">
    <cfRule type="cellIs" rank="0" priority="493" equalAverage="0" operator="greaterThan" aboveAverage="0" dxfId="10" text="" percent="0" bottom="0">
      <formula>e{r}</formula>
    </cfRule>
  </conditionalFormatting>
  <conditionalFormatting sqref="H170">
    <cfRule type="cellIs" rank="0" priority="494" equalAverage="0" operator="greaterThan" aboveAverage="0" dxfId="1" text="" percent="0" bottom="0">
      <formula>0</formula>
    </cfRule>
    <cfRule type="cellIs" rank="0" priority="495" equalAverage="0" operator="lessThanOrEqual" aboveAverage="0" dxfId="0" text="" percent="0" bottom="0">
      <formula>0</formula>
    </cfRule>
  </conditionalFormatting>
  <conditionalFormatting sqref="G170">
    <cfRule type="cellIs" rank="0" priority="496" equalAverage="0" operator="greaterThan" aboveAverage="0" dxfId="10" text="" percent="0" bottom="0">
      <formula>e{r}</formula>
    </cfRule>
  </conditionalFormatting>
  <conditionalFormatting sqref="H171">
    <cfRule type="cellIs" rank="0" priority="497" equalAverage="0" operator="greaterThan" aboveAverage="0" dxfId="1" text="" percent="0" bottom="0">
      <formula>0</formula>
    </cfRule>
    <cfRule type="cellIs" rank="0" priority="498" equalAverage="0" operator="lessThanOrEqual" aboveAverage="0" dxfId="0" text="" percent="0" bottom="0">
      <formula>0</formula>
    </cfRule>
  </conditionalFormatting>
  <conditionalFormatting sqref="G171">
    <cfRule type="cellIs" rank="0" priority="499" equalAverage="0" operator="greaterThan" aboveAverage="0" dxfId="10" text="" percent="0" bottom="0">
      <formula>e{r}</formula>
    </cfRule>
  </conditionalFormatting>
  <conditionalFormatting sqref="H172">
    <cfRule type="cellIs" rank="0" priority="500" equalAverage="0" operator="greaterThan" aboveAverage="0" dxfId="1" text="" percent="0" bottom="0">
      <formula>0</formula>
    </cfRule>
    <cfRule type="cellIs" rank="0" priority="501" equalAverage="0" operator="lessThanOrEqual" aboveAverage="0" dxfId="0" text="" percent="0" bottom="0">
      <formula>0</formula>
    </cfRule>
  </conditionalFormatting>
  <conditionalFormatting sqref="G172">
    <cfRule type="cellIs" rank="0" priority="502" equalAverage="0" operator="greaterThan" aboveAverage="0" dxfId="10" text="" percent="0" bottom="0">
      <formula>e{r}</formula>
    </cfRule>
  </conditionalFormatting>
  <conditionalFormatting sqref="H173">
    <cfRule type="cellIs" rank="0" priority="503" equalAverage="0" operator="greaterThan" aboveAverage="0" dxfId="1" text="" percent="0" bottom="0">
      <formula>0</formula>
    </cfRule>
    <cfRule type="cellIs" rank="0" priority="504" equalAverage="0" operator="lessThanOrEqual" aboveAverage="0" dxfId="0" text="" percent="0" bottom="0">
      <formula>0</formula>
    </cfRule>
  </conditionalFormatting>
  <conditionalFormatting sqref="G173">
    <cfRule type="cellIs" rank="0" priority="505" equalAverage="0" operator="greaterThan" aboveAverage="0" dxfId="10" text="" percent="0" bottom="0">
      <formula>e{r}</formula>
    </cfRule>
  </conditionalFormatting>
  <conditionalFormatting sqref="H174">
    <cfRule type="cellIs" rank="0" priority="506" equalAverage="0" operator="greaterThan" aboveAverage="0" dxfId="1" text="" percent="0" bottom="0">
      <formula>0</formula>
    </cfRule>
    <cfRule type="cellIs" rank="0" priority="507" equalAverage="0" operator="lessThanOrEqual" aboveAverage="0" dxfId="0" text="" percent="0" bottom="0">
      <formula>0</formula>
    </cfRule>
  </conditionalFormatting>
  <conditionalFormatting sqref="G174">
    <cfRule type="cellIs" rank="0" priority="508" equalAverage="0" operator="greaterThan" aboveAverage="0" dxfId="10" text="" percent="0" bottom="0">
      <formula>e{r}</formula>
    </cfRule>
  </conditionalFormatting>
  <conditionalFormatting sqref="H175">
    <cfRule type="cellIs" rank="0" priority="509" equalAverage="0" operator="greaterThan" aboveAverage="0" dxfId="1" text="" percent="0" bottom="0">
      <formula>0</formula>
    </cfRule>
    <cfRule type="cellIs" rank="0" priority="510" equalAverage="0" operator="lessThanOrEqual" aboveAverage="0" dxfId="0" text="" percent="0" bottom="0">
      <formula>0</formula>
    </cfRule>
  </conditionalFormatting>
  <conditionalFormatting sqref="G175">
    <cfRule type="cellIs" rank="0" priority="511" equalAverage="0" operator="greaterThan" aboveAverage="0" dxfId="10" text="" percent="0" bottom="0">
      <formula>e{r}</formula>
    </cfRule>
  </conditionalFormatting>
  <conditionalFormatting sqref="H176">
    <cfRule type="cellIs" rank="0" priority="512" equalAverage="0" operator="greaterThan" aboveAverage="0" dxfId="1" text="" percent="0" bottom="0">
      <formula>0</formula>
    </cfRule>
    <cfRule type="cellIs" rank="0" priority="513" equalAverage="0" operator="lessThanOrEqual" aboveAverage="0" dxfId="0" text="" percent="0" bottom="0">
      <formula>0</formula>
    </cfRule>
  </conditionalFormatting>
  <conditionalFormatting sqref="G176">
    <cfRule type="cellIs" rank="0" priority="514" equalAverage="0" operator="greaterThan" aboveAverage="0" dxfId="10" text="" percent="0" bottom="0">
      <formula>e{r}</formula>
    </cfRule>
  </conditionalFormatting>
  <conditionalFormatting sqref="H177">
    <cfRule type="cellIs" rank="0" priority="515" equalAverage="0" operator="greaterThan" aboveAverage="0" dxfId="1" text="" percent="0" bottom="0">
      <formula>0</formula>
    </cfRule>
    <cfRule type="cellIs" rank="0" priority="516" equalAverage="0" operator="lessThanOrEqual" aboveAverage="0" dxfId="0" text="" percent="0" bottom="0">
      <formula>0</formula>
    </cfRule>
  </conditionalFormatting>
  <conditionalFormatting sqref="G177">
    <cfRule type="cellIs" rank="0" priority="517" equalAverage="0" operator="greaterThan" aboveAverage="0" dxfId="10" text="" percent="0" bottom="0">
      <formula>e{r}</formula>
    </cfRule>
  </conditionalFormatting>
  <conditionalFormatting sqref="H178">
    <cfRule type="cellIs" rank="0" priority="518" equalAverage="0" operator="greaterThan" aboveAverage="0" dxfId="1" text="" percent="0" bottom="0">
      <formula>0</formula>
    </cfRule>
    <cfRule type="cellIs" rank="0" priority="519" equalAverage="0" operator="lessThanOrEqual" aboveAverage="0" dxfId="0" text="" percent="0" bottom="0">
      <formula>0</formula>
    </cfRule>
  </conditionalFormatting>
  <conditionalFormatting sqref="G178">
    <cfRule type="cellIs" rank="0" priority="520" equalAverage="0" operator="greaterThan" aboveAverage="0" dxfId="10" text="" percent="0" bottom="0">
      <formula>e{r}</formula>
    </cfRule>
  </conditionalFormatting>
  <conditionalFormatting sqref="H179">
    <cfRule type="cellIs" rank="0" priority="521" equalAverage="0" operator="greaterThan" aboveAverage="0" dxfId="1" text="" percent="0" bottom="0">
      <formula>0</formula>
    </cfRule>
    <cfRule type="cellIs" rank="0" priority="522" equalAverage="0" operator="lessThanOrEqual" aboveAverage="0" dxfId="0" text="" percent="0" bottom="0">
      <formula>0</formula>
    </cfRule>
  </conditionalFormatting>
  <conditionalFormatting sqref="G179">
    <cfRule type="cellIs" rank="0" priority="523" equalAverage="0" operator="greaterThan" aboveAverage="0" dxfId="10" text="" percent="0" bottom="0">
      <formula>e{r}</formula>
    </cfRule>
  </conditionalFormatting>
  <conditionalFormatting sqref="H180">
    <cfRule type="cellIs" rank="0" priority="524" equalAverage="0" operator="greaterThan" aboveAverage="0" dxfId="1" text="" percent="0" bottom="0">
      <formula>0</formula>
    </cfRule>
    <cfRule type="cellIs" rank="0" priority="525" equalAverage="0" operator="lessThanOrEqual" aboveAverage="0" dxfId="0" text="" percent="0" bottom="0">
      <formula>0</formula>
    </cfRule>
  </conditionalFormatting>
  <conditionalFormatting sqref="G180">
    <cfRule type="cellIs" rank="0" priority="526" equalAverage="0" operator="greaterThan" aboveAverage="0" dxfId="10" text="" percent="0" bottom="0">
      <formula>e{r}</formula>
    </cfRule>
  </conditionalFormatting>
  <conditionalFormatting sqref="H181">
    <cfRule type="cellIs" rank="0" priority="527" equalAverage="0" operator="greaterThan" aboveAverage="0" dxfId="1" text="" percent="0" bottom="0">
      <formula>0</formula>
    </cfRule>
    <cfRule type="cellIs" rank="0" priority="528" equalAverage="0" operator="lessThanOrEqual" aboveAverage="0" dxfId="0" text="" percent="0" bottom="0">
      <formula>0</formula>
    </cfRule>
  </conditionalFormatting>
  <conditionalFormatting sqref="G181">
    <cfRule type="cellIs" rank="0" priority="529" equalAverage="0" operator="greaterThan" aboveAverage="0" dxfId="10" text="" percent="0" bottom="0">
      <formula>e{r}</formula>
    </cfRule>
  </conditionalFormatting>
  <conditionalFormatting sqref="H182">
    <cfRule type="cellIs" rank="0" priority="530" equalAverage="0" operator="greaterThan" aboveAverage="0" dxfId="1" text="" percent="0" bottom="0">
      <formula>0</formula>
    </cfRule>
    <cfRule type="cellIs" rank="0" priority="531" equalAverage="0" operator="lessThanOrEqual" aboveAverage="0" dxfId="0" text="" percent="0" bottom="0">
      <formula>0</formula>
    </cfRule>
  </conditionalFormatting>
  <conditionalFormatting sqref="G182">
    <cfRule type="cellIs" rank="0" priority="532" equalAverage="0" operator="greaterThan" aboveAverage="0" dxfId="10" text="" percent="0" bottom="0">
      <formula>e{r}</formula>
    </cfRule>
  </conditionalFormatting>
  <conditionalFormatting sqref="H183">
    <cfRule type="cellIs" rank="0" priority="533" equalAverage="0" operator="greaterThan" aboveAverage="0" dxfId="1" text="" percent="0" bottom="0">
      <formula>0</formula>
    </cfRule>
    <cfRule type="cellIs" rank="0" priority="534" equalAverage="0" operator="lessThanOrEqual" aboveAverage="0" dxfId="0" text="" percent="0" bottom="0">
      <formula>0</formula>
    </cfRule>
  </conditionalFormatting>
  <conditionalFormatting sqref="G183">
    <cfRule type="cellIs" rank="0" priority="535" equalAverage="0" operator="greaterThan" aboveAverage="0" dxfId="10" text="" percent="0" bottom="0">
      <formula>e{r}</formula>
    </cfRule>
  </conditionalFormatting>
  <conditionalFormatting sqref="H184">
    <cfRule type="cellIs" rank="0" priority="536" equalAverage="0" operator="greaterThan" aboveAverage="0" dxfId="1" text="" percent="0" bottom="0">
      <formula>0</formula>
    </cfRule>
    <cfRule type="cellIs" rank="0" priority="537" equalAverage="0" operator="lessThanOrEqual" aboveAverage="0" dxfId="0" text="" percent="0" bottom="0">
      <formula>0</formula>
    </cfRule>
  </conditionalFormatting>
  <conditionalFormatting sqref="G184">
    <cfRule type="cellIs" rank="0" priority="538" equalAverage="0" operator="greaterThan" aboveAverage="0" dxfId="10" text="" percent="0" bottom="0">
      <formula>e{r}</formula>
    </cfRule>
  </conditionalFormatting>
  <conditionalFormatting sqref="H185">
    <cfRule type="cellIs" rank="0" priority="539" equalAverage="0" operator="greaterThan" aboveAverage="0" dxfId="1" text="" percent="0" bottom="0">
      <formula>0</formula>
    </cfRule>
    <cfRule type="cellIs" rank="0" priority="540" equalAverage="0" operator="lessThanOrEqual" aboveAverage="0" dxfId="0" text="" percent="0" bottom="0">
      <formula>0</formula>
    </cfRule>
  </conditionalFormatting>
  <conditionalFormatting sqref="G185">
    <cfRule type="cellIs" rank="0" priority="541" equalAverage="0" operator="greaterThan" aboveAverage="0" dxfId="10" text="" percent="0" bottom="0">
      <formula>e{r}</formula>
    </cfRule>
  </conditionalFormatting>
  <conditionalFormatting sqref="H186">
    <cfRule type="cellIs" rank="0" priority="542" equalAverage="0" operator="greaterThan" aboveAverage="0" dxfId="1" text="" percent="0" bottom="0">
      <formula>0</formula>
    </cfRule>
    <cfRule type="cellIs" rank="0" priority="543" equalAverage="0" operator="lessThanOrEqual" aboveAverage="0" dxfId="0" text="" percent="0" bottom="0">
      <formula>0</formula>
    </cfRule>
  </conditionalFormatting>
  <conditionalFormatting sqref="G186">
    <cfRule type="cellIs" rank="0" priority="544" equalAverage="0" operator="greaterThan" aboveAverage="0" dxfId="10" text="" percent="0" bottom="0">
      <formula>e{r}</formula>
    </cfRule>
  </conditionalFormatting>
  <conditionalFormatting sqref="H187">
    <cfRule type="cellIs" rank="0" priority="545" equalAverage="0" operator="greaterThan" aboveAverage="0" dxfId="1" text="" percent="0" bottom="0">
      <formula>0</formula>
    </cfRule>
    <cfRule type="cellIs" rank="0" priority="546" equalAverage="0" operator="lessThanOrEqual" aboveAverage="0" dxfId="0" text="" percent="0" bottom="0">
      <formula>0</formula>
    </cfRule>
  </conditionalFormatting>
  <conditionalFormatting sqref="G187">
    <cfRule type="cellIs" rank="0" priority="547" equalAverage="0" operator="greaterThan" aboveAverage="0" dxfId="10" text="" percent="0" bottom="0">
      <formula>e{r}</formula>
    </cfRule>
  </conditionalFormatting>
  <conditionalFormatting sqref="H188">
    <cfRule type="cellIs" rank="0" priority="548" equalAverage="0" operator="greaterThan" aboveAverage="0" dxfId="1" text="" percent="0" bottom="0">
      <formula>0</formula>
    </cfRule>
    <cfRule type="cellIs" rank="0" priority="549" equalAverage="0" operator="lessThanOrEqual" aboveAverage="0" dxfId="0" text="" percent="0" bottom="0">
      <formula>0</formula>
    </cfRule>
  </conditionalFormatting>
  <conditionalFormatting sqref="G188">
    <cfRule type="cellIs" rank="0" priority="550" equalAverage="0" operator="greaterThan" aboveAverage="0" dxfId="10" text="" percent="0" bottom="0">
      <formula>e{r}</formula>
    </cfRule>
  </conditionalFormatting>
  <conditionalFormatting sqref="H189">
    <cfRule type="cellIs" rank="0" priority="551" equalAverage="0" operator="greaterThan" aboveAverage="0" dxfId="1" text="" percent="0" bottom="0">
      <formula>0</formula>
    </cfRule>
    <cfRule type="cellIs" rank="0" priority="552" equalAverage="0" operator="lessThanOrEqual" aboveAverage="0" dxfId="0" text="" percent="0" bottom="0">
      <formula>0</formula>
    </cfRule>
  </conditionalFormatting>
  <conditionalFormatting sqref="G189">
    <cfRule type="cellIs" rank="0" priority="553" equalAverage="0" operator="greaterThan" aboveAverage="0" dxfId="10" text="" percent="0" bottom="0">
      <formula>e{r}</formula>
    </cfRule>
  </conditionalFormatting>
  <conditionalFormatting sqref="H190">
    <cfRule type="cellIs" rank="0" priority="554" equalAverage="0" operator="greaterThan" aboveAverage="0" dxfId="1" text="" percent="0" bottom="0">
      <formula>0</formula>
    </cfRule>
    <cfRule type="cellIs" rank="0" priority="555" equalAverage="0" operator="lessThanOrEqual" aboveAverage="0" dxfId="0" text="" percent="0" bottom="0">
      <formula>0</formula>
    </cfRule>
  </conditionalFormatting>
  <conditionalFormatting sqref="G190">
    <cfRule type="cellIs" rank="0" priority="556" equalAverage="0" operator="greaterThan" aboveAverage="0" dxfId="10" text="" percent="0" bottom="0">
      <formula>e{r}</formula>
    </cfRule>
  </conditionalFormatting>
  <conditionalFormatting sqref="H191">
    <cfRule type="cellIs" rank="0" priority="557" equalAverage="0" operator="greaterThan" aboveAverage="0" dxfId="1" text="" percent="0" bottom="0">
      <formula>0</formula>
    </cfRule>
    <cfRule type="cellIs" rank="0" priority="558" equalAverage="0" operator="lessThanOrEqual" aboveAverage="0" dxfId="0" text="" percent="0" bottom="0">
      <formula>0</formula>
    </cfRule>
  </conditionalFormatting>
  <conditionalFormatting sqref="G191">
    <cfRule type="cellIs" rank="0" priority="559" equalAverage="0" operator="greaterThan" aboveAverage="0" dxfId="10" text="" percent="0" bottom="0">
      <formula>e{r}</formula>
    </cfRule>
  </conditionalFormatting>
  <conditionalFormatting sqref="H192">
    <cfRule type="cellIs" rank="0" priority="560" equalAverage="0" operator="greaterThan" aboveAverage="0" dxfId="1" text="" percent="0" bottom="0">
      <formula>0</formula>
    </cfRule>
    <cfRule type="cellIs" rank="0" priority="561" equalAverage="0" operator="lessThanOrEqual" aboveAverage="0" dxfId="0" text="" percent="0" bottom="0">
      <formula>0</formula>
    </cfRule>
  </conditionalFormatting>
  <conditionalFormatting sqref="G192">
    <cfRule type="cellIs" rank="0" priority="562" equalAverage="0" operator="greaterThan" aboveAverage="0" dxfId="10" text="" percent="0" bottom="0">
      <formula>e{r}</formula>
    </cfRule>
  </conditionalFormatting>
  <conditionalFormatting sqref="H193">
    <cfRule type="cellIs" rank="0" priority="563" equalAverage="0" operator="greaterThan" aboveAverage="0" dxfId="1" text="" percent="0" bottom="0">
      <formula>0</formula>
    </cfRule>
    <cfRule type="cellIs" rank="0" priority="564" equalAverage="0" operator="lessThanOrEqual" aboveAverage="0" dxfId="0" text="" percent="0" bottom="0">
      <formula>0</formula>
    </cfRule>
  </conditionalFormatting>
  <conditionalFormatting sqref="G193">
    <cfRule type="cellIs" rank="0" priority="565" equalAverage="0" operator="greaterThan" aboveAverage="0" dxfId="10" text="" percent="0" bottom="0">
      <formula>e{r}</formula>
    </cfRule>
  </conditionalFormatting>
  <conditionalFormatting sqref="H194">
    <cfRule type="cellIs" rank="0" priority="566" equalAverage="0" operator="greaterThan" aboveAverage="0" dxfId="1" text="" percent="0" bottom="0">
      <formula>0</formula>
    </cfRule>
    <cfRule type="cellIs" rank="0" priority="567" equalAverage="0" operator="lessThanOrEqual" aboveAverage="0" dxfId="0" text="" percent="0" bottom="0">
      <formula>0</formula>
    </cfRule>
  </conditionalFormatting>
  <conditionalFormatting sqref="G194">
    <cfRule type="cellIs" rank="0" priority="568" equalAverage="0" operator="greaterThan" aboveAverage="0" dxfId="10" text="" percent="0" bottom="0">
      <formula>e{r}</formula>
    </cfRule>
  </conditionalFormatting>
  <conditionalFormatting sqref="H195">
    <cfRule type="cellIs" rank="0" priority="569" equalAverage="0" operator="greaterThan" aboveAverage="0" dxfId="1" text="" percent="0" bottom="0">
      <formula>0</formula>
    </cfRule>
    <cfRule type="cellIs" rank="0" priority="570" equalAverage="0" operator="lessThanOrEqual" aboveAverage="0" dxfId="0" text="" percent="0" bottom="0">
      <formula>0</formula>
    </cfRule>
  </conditionalFormatting>
  <conditionalFormatting sqref="G195">
    <cfRule type="cellIs" rank="0" priority="571" equalAverage="0" operator="greaterThan" aboveAverage="0" dxfId="10" text="" percent="0" bottom="0">
      <formula>e{r}</formula>
    </cfRule>
  </conditionalFormatting>
  <conditionalFormatting sqref="H196">
    <cfRule type="cellIs" rank="0" priority="572" equalAverage="0" operator="greaterThan" aboveAverage="0" dxfId="1" text="" percent="0" bottom="0">
      <formula>0</formula>
    </cfRule>
    <cfRule type="cellIs" rank="0" priority="573" equalAverage="0" operator="lessThanOrEqual" aboveAverage="0" dxfId="0" text="" percent="0" bottom="0">
      <formula>0</formula>
    </cfRule>
  </conditionalFormatting>
  <conditionalFormatting sqref="G196">
    <cfRule type="cellIs" rank="0" priority="574" equalAverage="0" operator="greaterThan" aboveAverage="0" dxfId="10" text="" percent="0" bottom="0">
      <formula>e{r}</formula>
    </cfRule>
  </conditionalFormatting>
  <conditionalFormatting sqref="H197">
    <cfRule type="cellIs" rank="0" priority="575" equalAverage="0" operator="greaterThan" aboveAverage="0" dxfId="1" text="" percent="0" bottom="0">
      <formula>0</formula>
    </cfRule>
    <cfRule type="cellIs" rank="0" priority="576" equalAverage="0" operator="lessThanOrEqual" aboveAverage="0" dxfId="0" text="" percent="0" bottom="0">
      <formula>0</formula>
    </cfRule>
  </conditionalFormatting>
  <conditionalFormatting sqref="G197">
    <cfRule type="cellIs" rank="0" priority="577" equalAverage="0" operator="greaterThan" aboveAverage="0" dxfId="10" text="" percent="0" bottom="0">
      <formula>e{r}</formula>
    </cfRule>
  </conditionalFormatting>
  <conditionalFormatting sqref="H198">
    <cfRule type="cellIs" rank="0" priority="578" equalAverage="0" operator="greaterThan" aboveAverage="0" dxfId="1" text="" percent="0" bottom="0">
      <formula>0</formula>
    </cfRule>
    <cfRule type="cellIs" rank="0" priority="579" equalAverage="0" operator="lessThanOrEqual" aboveAverage="0" dxfId="0" text="" percent="0" bottom="0">
      <formula>0</formula>
    </cfRule>
  </conditionalFormatting>
  <conditionalFormatting sqref="G198">
    <cfRule type="cellIs" rank="0" priority="580" equalAverage="0" operator="greaterThan" aboveAverage="0" dxfId="10" text="" percent="0" bottom="0">
      <formula>e{r}</formula>
    </cfRule>
  </conditionalFormatting>
  <conditionalFormatting sqref="H199">
    <cfRule type="cellIs" rank="0" priority="581" equalAverage="0" operator="greaterThan" aboveAverage="0" dxfId="1" text="" percent="0" bottom="0">
      <formula>0</formula>
    </cfRule>
    <cfRule type="cellIs" rank="0" priority="582" equalAverage="0" operator="lessThanOrEqual" aboveAverage="0" dxfId="0" text="" percent="0" bottom="0">
      <formula>0</formula>
    </cfRule>
  </conditionalFormatting>
  <conditionalFormatting sqref="G199">
    <cfRule type="cellIs" rank="0" priority="583" equalAverage="0" operator="greaterThan" aboveAverage="0" dxfId="10" text="" percent="0" bottom="0">
      <formula>e{r}</formula>
    </cfRule>
  </conditionalFormatting>
  <conditionalFormatting sqref="H200">
    <cfRule type="cellIs" rank="0" priority="584" equalAverage="0" operator="greaterThan" aboveAverage="0" dxfId="1" text="" percent="0" bottom="0">
      <formula>0</formula>
    </cfRule>
    <cfRule type="cellIs" rank="0" priority="585" equalAverage="0" operator="lessThanOrEqual" aboveAverage="0" dxfId="0" text="" percent="0" bottom="0">
      <formula>0</formula>
    </cfRule>
  </conditionalFormatting>
  <conditionalFormatting sqref="G200">
    <cfRule type="cellIs" rank="0" priority="586" equalAverage="0" operator="greaterThan" aboveAverage="0" dxfId="10" text="" percent="0" bottom="0">
      <formula>e{r}</formula>
    </cfRule>
  </conditionalFormatting>
  <conditionalFormatting sqref="H201">
    <cfRule type="cellIs" rank="0" priority="587" equalAverage="0" operator="greaterThan" aboveAverage="0" dxfId="1" text="" percent="0" bottom="0">
      <formula>0</formula>
    </cfRule>
    <cfRule type="cellIs" rank="0" priority="588" equalAverage="0" operator="lessThanOrEqual" aboveAverage="0" dxfId="0" text="" percent="0" bottom="0">
      <formula>0</formula>
    </cfRule>
  </conditionalFormatting>
  <conditionalFormatting sqref="G201">
    <cfRule type="cellIs" rank="0" priority="589" equalAverage="0" operator="greaterThan" aboveAverage="0" dxfId="10" text="" percent="0" bottom="0">
      <formula>e{r}</formula>
    </cfRule>
  </conditionalFormatting>
  <conditionalFormatting sqref="H202">
    <cfRule type="cellIs" rank="0" priority="590" equalAverage="0" operator="greaterThan" aboveAverage="0" dxfId="1" text="" percent="0" bottom="0">
      <formula>0</formula>
    </cfRule>
    <cfRule type="cellIs" rank="0" priority="591" equalAverage="0" operator="lessThanOrEqual" aboveAverage="0" dxfId="0" text="" percent="0" bottom="0">
      <formula>0</formula>
    </cfRule>
  </conditionalFormatting>
  <conditionalFormatting sqref="G202">
    <cfRule type="cellIs" rank="0" priority="592" equalAverage="0" operator="greaterThan" aboveAverage="0" dxfId="10" text="" percent="0" bottom="0">
      <formula>e{r}</formula>
    </cfRule>
  </conditionalFormatting>
  <conditionalFormatting sqref="H203">
    <cfRule type="cellIs" rank="0" priority="593" equalAverage="0" operator="greaterThan" aboveAverage="0" dxfId="1" text="" percent="0" bottom="0">
      <formula>0</formula>
    </cfRule>
    <cfRule type="cellIs" rank="0" priority="594" equalAverage="0" operator="lessThanOrEqual" aboveAverage="0" dxfId="0" text="" percent="0" bottom="0">
      <formula>0</formula>
    </cfRule>
  </conditionalFormatting>
  <conditionalFormatting sqref="G203">
    <cfRule type="cellIs" rank="0" priority="595" equalAverage="0" operator="greaterThan" aboveAverage="0" dxfId="10" text="" percent="0" bottom="0">
      <formula>e{r}</formula>
    </cfRule>
  </conditionalFormatting>
  <conditionalFormatting sqref="H204">
    <cfRule type="cellIs" rank="0" priority="596" equalAverage="0" operator="greaterThan" aboveAverage="0" dxfId="1" text="" percent="0" bottom="0">
      <formula>0</formula>
    </cfRule>
    <cfRule type="cellIs" rank="0" priority="597" equalAverage="0" operator="lessThanOrEqual" aboveAverage="0" dxfId="0" text="" percent="0" bottom="0">
      <formula>0</formula>
    </cfRule>
  </conditionalFormatting>
  <conditionalFormatting sqref="G204">
    <cfRule type="cellIs" rank="0" priority="598" equalAverage="0" operator="greaterThan" aboveAverage="0" dxfId="10" text="" percent="0" bottom="0">
      <formula>e{r}</formula>
    </cfRule>
  </conditionalFormatting>
  <conditionalFormatting sqref="H205">
    <cfRule type="cellIs" rank="0" priority="599" equalAverage="0" operator="greaterThan" aboveAverage="0" dxfId="1" text="" percent="0" bottom="0">
      <formula>0</formula>
    </cfRule>
    <cfRule type="cellIs" rank="0" priority="600" equalAverage="0" operator="lessThanOrEqual" aboveAverage="0" dxfId="0" text="" percent="0" bottom="0">
      <formula>0</formula>
    </cfRule>
  </conditionalFormatting>
  <conditionalFormatting sqref="G205">
    <cfRule type="cellIs" rank="0" priority="601" equalAverage="0" operator="greaterThan" aboveAverage="0" dxfId="10" text="" percent="0" bottom="0">
      <formula>e{r}</formula>
    </cfRule>
  </conditionalFormatting>
  <conditionalFormatting sqref="H206">
    <cfRule type="cellIs" rank="0" priority="602" equalAverage="0" operator="greaterThan" aboveAverage="0" dxfId="1" text="" percent="0" bottom="0">
      <formula>0</formula>
    </cfRule>
    <cfRule type="cellIs" rank="0" priority="603" equalAverage="0" operator="lessThanOrEqual" aboveAverage="0" dxfId="0" text="" percent="0" bottom="0">
      <formula>0</formula>
    </cfRule>
  </conditionalFormatting>
  <conditionalFormatting sqref="G206">
    <cfRule type="cellIs" rank="0" priority="604" equalAverage="0" operator="greaterThan" aboveAverage="0" dxfId="10" text="" percent="0" bottom="0">
      <formula>e{r}</formula>
    </cfRule>
  </conditionalFormatting>
  <conditionalFormatting sqref="H207">
    <cfRule type="cellIs" rank="0" priority="605" equalAverage="0" operator="greaterThan" aboveAverage="0" dxfId="1" text="" percent="0" bottom="0">
      <formula>0</formula>
    </cfRule>
    <cfRule type="cellIs" rank="0" priority="606" equalAverage="0" operator="lessThanOrEqual" aboveAverage="0" dxfId="0" text="" percent="0" bottom="0">
      <formula>0</formula>
    </cfRule>
  </conditionalFormatting>
  <conditionalFormatting sqref="G207">
    <cfRule type="cellIs" rank="0" priority="607" equalAverage="0" operator="greaterThan" aboveAverage="0" dxfId="10" text="" percent="0" bottom="0">
      <formula>e{r}</formula>
    </cfRule>
  </conditionalFormatting>
  <conditionalFormatting sqref="H208">
    <cfRule type="cellIs" rank="0" priority="608" equalAverage="0" operator="greaterThan" aboveAverage="0" dxfId="1" text="" percent="0" bottom="0">
      <formula>0</formula>
    </cfRule>
    <cfRule type="cellIs" rank="0" priority="609" equalAverage="0" operator="lessThanOrEqual" aboveAverage="0" dxfId="0" text="" percent="0" bottom="0">
      <formula>0</formula>
    </cfRule>
  </conditionalFormatting>
  <conditionalFormatting sqref="G208">
    <cfRule type="cellIs" rank="0" priority="610" equalAverage="0" operator="greaterThan" aboveAverage="0" dxfId="10" text="" percent="0" bottom="0">
      <formula>e{r}</formula>
    </cfRule>
  </conditionalFormatting>
  <conditionalFormatting sqref="H209">
    <cfRule type="cellIs" rank="0" priority="611" equalAverage="0" operator="greaterThan" aboveAverage="0" dxfId="1" text="" percent="0" bottom="0">
      <formula>0</formula>
    </cfRule>
    <cfRule type="cellIs" rank="0" priority="612" equalAverage="0" operator="lessThanOrEqual" aboveAverage="0" dxfId="0" text="" percent="0" bottom="0">
      <formula>0</formula>
    </cfRule>
  </conditionalFormatting>
  <conditionalFormatting sqref="G209">
    <cfRule type="cellIs" rank="0" priority="613" equalAverage="0" operator="greaterThan" aboveAverage="0" dxfId="10" text="" percent="0" bottom="0">
      <formula>e{r}</formula>
    </cfRule>
  </conditionalFormatting>
  <conditionalFormatting sqref="H210">
    <cfRule type="cellIs" rank="0" priority="614" equalAverage="0" operator="greaterThan" aboveAverage="0" dxfId="1" text="" percent="0" bottom="0">
      <formula>0</formula>
    </cfRule>
    <cfRule type="cellIs" rank="0" priority="615" equalAverage="0" operator="lessThanOrEqual" aboveAverage="0" dxfId="0" text="" percent="0" bottom="0">
      <formula>0</formula>
    </cfRule>
  </conditionalFormatting>
  <conditionalFormatting sqref="G210">
    <cfRule type="cellIs" rank="0" priority="616" equalAverage="0" operator="greaterThan" aboveAverage="0" dxfId="10" text="" percent="0" bottom="0">
      <formula>e{r}</formula>
    </cfRule>
  </conditionalFormatting>
  <conditionalFormatting sqref="H211">
    <cfRule type="cellIs" rank="0" priority="617" equalAverage="0" operator="greaterThan" aboveAverage="0" dxfId="1" text="" percent="0" bottom="0">
      <formula>0</formula>
    </cfRule>
    <cfRule type="cellIs" rank="0" priority="618" equalAverage="0" operator="lessThanOrEqual" aboveAverage="0" dxfId="0" text="" percent="0" bottom="0">
      <formula>0</formula>
    </cfRule>
  </conditionalFormatting>
  <conditionalFormatting sqref="G211">
    <cfRule type="cellIs" rank="0" priority="619" equalAverage="0" operator="greaterThan" aboveAverage="0" dxfId="10" text="" percent="0" bottom="0">
      <formula>e{r}</formula>
    </cfRule>
  </conditionalFormatting>
  <conditionalFormatting sqref="H212">
    <cfRule type="cellIs" rank="0" priority="620" equalAverage="0" operator="greaterThan" aboveAverage="0" dxfId="1" text="" percent="0" bottom="0">
      <formula>0</formula>
    </cfRule>
    <cfRule type="cellIs" rank="0" priority="621" equalAverage="0" operator="lessThanOrEqual" aboveAverage="0" dxfId="0" text="" percent="0" bottom="0">
      <formula>0</formula>
    </cfRule>
  </conditionalFormatting>
  <conditionalFormatting sqref="G212">
    <cfRule type="cellIs" rank="0" priority="622" equalAverage="0" operator="greaterThan" aboveAverage="0" dxfId="10" text="" percent="0" bottom="0">
      <formula>e{r}</formula>
    </cfRule>
  </conditionalFormatting>
  <conditionalFormatting sqref="H213">
    <cfRule type="cellIs" rank="0" priority="623" equalAverage="0" operator="greaterThan" aboveAverage="0" dxfId="1" text="" percent="0" bottom="0">
      <formula>0</formula>
    </cfRule>
    <cfRule type="cellIs" rank="0" priority="624" equalAverage="0" operator="lessThanOrEqual" aboveAverage="0" dxfId="0" text="" percent="0" bottom="0">
      <formula>0</formula>
    </cfRule>
  </conditionalFormatting>
  <conditionalFormatting sqref="G213">
    <cfRule type="cellIs" rank="0" priority="625" equalAverage="0" operator="greaterThan" aboveAverage="0" dxfId="10" text="" percent="0" bottom="0">
      <formula>e{r}</formula>
    </cfRule>
  </conditionalFormatting>
  <conditionalFormatting sqref="H214">
    <cfRule type="cellIs" rank="0" priority="626" equalAverage="0" operator="greaterThan" aboveAverage="0" dxfId="1" text="" percent="0" bottom="0">
      <formula>0</formula>
    </cfRule>
    <cfRule type="cellIs" rank="0" priority="627" equalAverage="0" operator="lessThanOrEqual" aboveAverage="0" dxfId="0" text="" percent="0" bottom="0">
      <formula>0</formula>
    </cfRule>
  </conditionalFormatting>
  <conditionalFormatting sqref="G214">
    <cfRule type="cellIs" rank="0" priority="628" equalAverage="0" operator="greaterThan" aboveAverage="0" dxfId="10" text="" percent="0" bottom="0">
      <formula>e{r}</formula>
    </cfRule>
  </conditionalFormatting>
  <conditionalFormatting sqref="H215">
    <cfRule type="cellIs" rank="0" priority="629" equalAverage="0" operator="greaterThan" aboveAverage="0" dxfId="1" text="" percent="0" bottom="0">
      <formula>0</formula>
    </cfRule>
    <cfRule type="cellIs" rank="0" priority="630" equalAverage="0" operator="lessThanOrEqual" aboveAverage="0" dxfId="0" text="" percent="0" bottom="0">
      <formula>0</formula>
    </cfRule>
  </conditionalFormatting>
  <conditionalFormatting sqref="G215">
    <cfRule type="cellIs" rank="0" priority="631" equalAverage="0" operator="greaterThan" aboveAverage="0" dxfId="10" text="" percent="0" bottom="0">
      <formula>e{r}</formula>
    </cfRule>
  </conditionalFormatting>
  <conditionalFormatting sqref="H216">
    <cfRule type="cellIs" rank="0" priority="632" equalAverage="0" operator="greaterThan" aboveAverage="0" dxfId="1" text="" percent="0" bottom="0">
      <formula>0</formula>
    </cfRule>
    <cfRule type="cellIs" rank="0" priority="633" equalAverage="0" operator="lessThanOrEqual" aboveAverage="0" dxfId="0" text="" percent="0" bottom="0">
      <formula>0</formula>
    </cfRule>
  </conditionalFormatting>
  <conditionalFormatting sqref="G216">
    <cfRule type="cellIs" rank="0" priority="634" equalAverage="0" operator="greaterThan" aboveAverage="0" dxfId="10" text="" percent="0" bottom="0">
      <formula>e{r}</formula>
    </cfRule>
  </conditionalFormatting>
  <conditionalFormatting sqref="H217">
    <cfRule type="cellIs" rank="0" priority="635" equalAverage="0" operator="greaterThan" aboveAverage="0" dxfId="1" text="" percent="0" bottom="0">
      <formula>0</formula>
    </cfRule>
    <cfRule type="cellIs" rank="0" priority="636" equalAverage="0" operator="lessThanOrEqual" aboveAverage="0" dxfId="0" text="" percent="0" bottom="0">
      <formula>0</formula>
    </cfRule>
  </conditionalFormatting>
  <conditionalFormatting sqref="G217">
    <cfRule type="cellIs" rank="0" priority="637" equalAverage="0" operator="greaterThan" aboveAverage="0" dxfId="10" text="" percent="0" bottom="0">
      <formula>e{r}</formula>
    </cfRule>
  </conditionalFormatting>
  <conditionalFormatting sqref="H218">
    <cfRule type="cellIs" rank="0" priority="638" equalAverage="0" operator="greaterThan" aboveAverage="0" dxfId="1" text="" percent="0" bottom="0">
      <formula>0</formula>
    </cfRule>
    <cfRule type="cellIs" rank="0" priority="639" equalAverage="0" operator="lessThanOrEqual" aboveAverage="0" dxfId="0" text="" percent="0" bottom="0">
      <formula>0</formula>
    </cfRule>
  </conditionalFormatting>
  <conditionalFormatting sqref="G218">
    <cfRule type="cellIs" rank="0" priority="640" equalAverage="0" operator="greaterThan" aboveAverage="0" dxfId="10" text="" percent="0" bottom="0">
      <formula>e{r}</formula>
    </cfRule>
  </conditionalFormatting>
  <conditionalFormatting sqref="H219">
    <cfRule type="cellIs" rank="0" priority="641" equalAverage="0" operator="greaterThan" aboveAverage="0" dxfId="1" text="" percent="0" bottom="0">
      <formula>0</formula>
    </cfRule>
    <cfRule type="cellIs" rank="0" priority="642" equalAverage="0" operator="lessThanOrEqual" aboveAverage="0" dxfId="0" text="" percent="0" bottom="0">
      <formula>0</formula>
    </cfRule>
  </conditionalFormatting>
  <conditionalFormatting sqref="G219">
    <cfRule type="cellIs" rank="0" priority="643" equalAverage="0" operator="greaterThan" aboveAverage="0" dxfId="10" text="" percent="0" bottom="0">
      <formula>e{r}</formula>
    </cfRule>
  </conditionalFormatting>
  <conditionalFormatting sqref="H220">
    <cfRule type="cellIs" rank="0" priority="644" equalAverage="0" operator="greaterThan" aboveAverage="0" dxfId="1" text="" percent="0" bottom="0">
      <formula>0</formula>
    </cfRule>
    <cfRule type="cellIs" rank="0" priority="645" equalAverage="0" operator="lessThanOrEqual" aboveAverage="0" dxfId="0" text="" percent="0" bottom="0">
      <formula>0</formula>
    </cfRule>
  </conditionalFormatting>
  <conditionalFormatting sqref="G220">
    <cfRule type="cellIs" rank="0" priority="646" equalAverage="0" operator="greaterThan" aboveAverage="0" dxfId="10" text="" percent="0" bottom="0">
      <formula>e{r}</formula>
    </cfRule>
  </conditionalFormatting>
  <conditionalFormatting sqref="H221">
    <cfRule type="cellIs" rank="0" priority="647" equalAverage="0" operator="greaterThan" aboveAverage="0" dxfId="1" text="" percent="0" bottom="0">
      <formula>0</formula>
    </cfRule>
    <cfRule type="cellIs" rank="0" priority="648" equalAverage="0" operator="lessThanOrEqual" aboveAverage="0" dxfId="0" text="" percent="0" bottom="0">
      <formula>0</formula>
    </cfRule>
  </conditionalFormatting>
  <conditionalFormatting sqref="G221">
    <cfRule type="cellIs" rank="0" priority="649" equalAverage="0" operator="greaterThan" aboveAverage="0" dxfId="10" text="" percent="0" bottom="0">
      <formula>e{r}</formula>
    </cfRule>
  </conditionalFormatting>
  <conditionalFormatting sqref="H222">
    <cfRule type="cellIs" rank="0" priority="650" equalAverage="0" operator="greaterThan" aboveAverage="0" dxfId="1" text="" percent="0" bottom="0">
      <formula>0</formula>
    </cfRule>
    <cfRule type="cellIs" rank="0" priority="651" equalAverage="0" operator="lessThanOrEqual" aboveAverage="0" dxfId="0" text="" percent="0" bottom="0">
      <formula>0</formula>
    </cfRule>
  </conditionalFormatting>
  <conditionalFormatting sqref="G222">
    <cfRule type="cellIs" rank="0" priority="652" equalAverage="0" operator="greaterThan" aboveAverage="0" dxfId="10" text="" percent="0" bottom="0">
      <formula>e{r}</formula>
    </cfRule>
  </conditionalFormatting>
  <conditionalFormatting sqref="H223">
    <cfRule type="cellIs" rank="0" priority="653" equalAverage="0" operator="greaterThan" aboveAverage="0" dxfId="1" text="" percent="0" bottom="0">
      <formula>0</formula>
    </cfRule>
    <cfRule type="cellIs" rank="0" priority="654" equalAverage="0" operator="lessThanOrEqual" aboveAverage="0" dxfId="0" text="" percent="0" bottom="0">
      <formula>0</formula>
    </cfRule>
  </conditionalFormatting>
  <conditionalFormatting sqref="G223">
    <cfRule type="cellIs" rank="0" priority="655" equalAverage="0" operator="greaterThan" aboveAverage="0" dxfId="10" text="" percent="0" bottom="0">
      <formula>e{r}</formula>
    </cfRule>
  </conditionalFormatting>
  <conditionalFormatting sqref="H224">
    <cfRule type="cellIs" rank="0" priority="656" equalAverage="0" operator="greaterThan" aboveAverage="0" dxfId="1" text="" percent="0" bottom="0">
      <formula>0</formula>
    </cfRule>
    <cfRule type="cellIs" rank="0" priority="657" equalAverage="0" operator="lessThanOrEqual" aboveAverage="0" dxfId="0" text="" percent="0" bottom="0">
      <formula>0</formula>
    </cfRule>
  </conditionalFormatting>
  <conditionalFormatting sqref="G224">
    <cfRule type="cellIs" rank="0" priority="658" equalAverage="0" operator="greaterThan" aboveAverage="0" dxfId="10" text="" percent="0" bottom="0">
      <formula>e{r}</formula>
    </cfRule>
  </conditionalFormatting>
  <conditionalFormatting sqref="H225">
    <cfRule type="cellIs" rank="0" priority="659" equalAverage="0" operator="greaterThan" aboveAverage="0" dxfId="1" text="" percent="0" bottom="0">
      <formula>0</formula>
    </cfRule>
    <cfRule type="cellIs" rank="0" priority="660" equalAverage="0" operator="lessThanOrEqual" aboveAverage="0" dxfId="0" text="" percent="0" bottom="0">
      <formula>0</formula>
    </cfRule>
  </conditionalFormatting>
  <conditionalFormatting sqref="G225">
    <cfRule type="cellIs" rank="0" priority="661" equalAverage="0" operator="greaterThan" aboveAverage="0" dxfId="10" text="" percent="0" bottom="0">
      <formula>e{r}</formula>
    </cfRule>
  </conditionalFormatting>
  <conditionalFormatting sqref="H226">
    <cfRule type="cellIs" rank="0" priority="662" equalAverage="0" operator="greaterThan" aboveAverage="0" dxfId="1" text="" percent="0" bottom="0">
      <formula>0</formula>
    </cfRule>
    <cfRule type="cellIs" rank="0" priority="663" equalAverage="0" operator="lessThanOrEqual" aboveAverage="0" dxfId="0" text="" percent="0" bottom="0">
      <formula>0</formula>
    </cfRule>
  </conditionalFormatting>
  <conditionalFormatting sqref="G226">
    <cfRule type="cellIs" rank="0" priority="664" equalAverage="0" operator="greaterThan" aboveAverage="0" dxfId="10" text="" percent="0" bottom="0">
      <formula>e{r}</formula>
    </cfRule>
  </conditionalFormatting>
  <conditionalFormatting sqref="H227">
    <cfRule type="cellIs" rank="0" priority="665" equalAverage="0" operator="greaterThan" aboveAverage="0" dxfId="1" text="" percent="0" bottom="0">
      <formula>0</formula>
    </cfRule>
    <cfRule type="cellIs" rank="0" priority="666" equalAverage="0" operator="lessThanOrEqual" aboveAverage="0" dxfId="0" text="" percent="0" bottom="0">
      <formula>0</formula>
    </cfRule>
  </conditionalFormatting>
  <conditionalFormatting sqref="G227">
    <cfRule type="cellIs" rank="0" priority="667" equalAverage="0" operator="greaterThan" aboveAverage="0" dxfId="10" text="" percent="0" bottom="0">
      <formula>e{r}</formula>
    </cfRule>
  </conditionalFormatting>
  <conditionalFormatting sqref="H228">
    <cfRule type="cellIs" rank="0" priority="668" equalAverage="0" operator="greaterThan" aboveAverage="0" dxfId="1" text="" percent="0" bottom="0">
      <formula>0</formula>
    </cfRule>
    <cfRule type="cellIs" rank="0" priority="669" equalAverage="0" operator="lessThanOrEqual" aboveAverage="0" dxfId="0" text="" percent="0" bottom="0">
      <formula>0</formula>
    </cfRule>
  </conditionalFormatting>
  <conditionalFormatting sqref="G228">
    <cfRule type="cellIs" rank="0" priority="670" equalAverage="0" operator="greaterThan" aboveAverage="0" dxfId="10" text="" percent="0" bottom="0">
      <formula>e{r}</formula>
    </cfRule>
  </conditionalFormatting>
  <conditionalFormatting sqref="H229">
    <cfRule type="cellIs" rank="0" priority="671" equalAverage="0" operator="greaterThan" aboveAverage="0" dxfId="1" text="" percent="0" bottom="0">
      <formula>0</formula>
    </cfRule>
    <cfRule type="cellIs" rank="0" priority="672" equalAverage="0" operator="lessThanOrEqual" aboveAverage="0" dxfId="0" text="" percent="0" bottom="0">
      <formula>0</formula>
    </cfRule>
  </conditionalFormatting>
  <conditionalFormatting sqref="G229">
    <cfRule type="cellIs" rank="0" priority="673" equalAverage="0" operator="greaterThan" aboveAverage="0" dxfId="10" text="" percent="0" bottom="0">
      <formula>e{r}</formula>
    </cfRule>
  </conditionalFormatting>
  <conditionalFormatting sqref="H230">
    <cfRule type="cellIs" rank="0" priority="674" equalAverage="0" operator="greaterThan" aboveAverage="0" dxfId="1" text="" percent="0" bottom="0">
      <formula>0</formula>
    </cfRule>
    <cfRule type="cellIs" rank="0" priority="675" equalAverage="0" operator="lessThanOrEqual" aboveAverage="0" dxfId="0" text="" percent="0" bottom="0">
      <formula>0</formula>
    </cfRule>
  </conditionalFormatting>
  <conditionalFormatting sqref="G230">
    <cfRule type="cellIs" rank="0" priority="676" equalAverage="0" operator="greaterThan" aboveAverage="0" dxfId="10" text="" percent="0" bottom="0">
      <formula>e{r}</formula>
    </cfRule>
  </conditionalFormatting>
  <conditionalFormatting sqref="H231">
    <cfRule type="cellIs" rank="0" priority="677" equalAverage="0" operator="greaterThan" aboveAverage="0" dxfId="1" text="" percent="0" bottom="0">
      <formula>0</formula>
    </cfRule>
    <cfRule type="cellIs" rank="0" priority="678" equalAverage="0" operator="lessThanOrEqual" aboveAverage="0" dxfId="0" text="" percent="0" bottom="0">
      <formula>0</formula>
    </cfRule>
  </conditionalFormatting>
  <conditionalFormatting sqref="G231">
    <cfRule type="cellIs" rank="0" priority="679" equalAverage="0" operator="greaterThan" aboveAverage="0" dxfId="10" text="" percent="0" bottom="0">
      <formula>e{r}</formula>
    </cfRule>
  </conditionalFormatting>
  <conditionalFormatting sqref="H232">
    <cfRule type="cellIs" rank="0" priority="680" equalAverage="0" operator="greaterThan" aboveAverage="0" dxfId="1" text="" percent="0" bottom="0">
      <formula>0</formula>
    </cfRule>
    <cfRule type="cellIs" rank="0" priority="681" equalAverage="0" operator="lessThanOrEqual" aboveAverage="0" dxfId="0" text="" percent="0" bottom="0">
      <formula>0</formula>
    </cfRule>
  </conditionalFormatting>
  <conditionalFormatting sqref="G232">
    <cfRule type="cellIs" rank="0" priority="682" equalAverage="0" operator="greaterThan" aboveAverage="0" dxfId="10" text="" percent="0" bottom="0">
      <formula>e{r}</formula>
    </cfRule>
  </conditionalFormatting>
  <conditionalFormatting sqref="H233">
    <cfRule type="cellIs" rank="0" priority="683" equalAverage="0" operator="greaterThan" aboveAverage="0" dxfId="1" text="" percent="0" bottom="0">
      <formula>0</formula>
    </cfRule>
    <cfRule type="cellIs" rank="0" priority="684" equalAverage="0" operator="lessThanOrEqual" aboveAverage="0" dxfId="0" text="" percent="0" bottom="0">
      <formula>0</formula>
    </cfRule>
  </conditionalFormatting>
  <conditionalFormatting sqref="G233">
    <cfRule type="cellIs" rank="0" priority="685" equalAverage="0" operator="greaterThan" aboveAverage="0" dxfId="10" text="" percent="0" bottom="0">
      <formula>e{r}</formula>
    </cfRule>
  </conditionalFormatting>
  <conditionalFormatting sqref="H234">
    <cfRule type="cellIs" rank="0" priority="686" equalAverage="0" operator="greaterThan" aboveAverage="0" dxfId="1" text="" percent="0" bottom="0">
      <formula>0</formula>
    </cfRule>
    <cfRule type="cellIs" rank="0" priority="687" equalAverage="0" operator="lessThanOrEqual" aboveAverage="0" dxfId="0" text="" percent="0" bottom="0">
      <formula>0</formula>
    </cfRule>
  </conditionalFormatting>
  <conditionalFormatting sqref="G234">
    <cfRule type="cellIs" rank="0" priority="688" equalAverage="0" operator="greaterThan" aboveAverage="0" dxfId="10" text="" percent="0" bottom="0">
      <formula>e{r}</formula>
    </cfRule>
  </conditionalFormatting>
  <conditionalFormatting sqref="H235">
    <cfRule type="cellIs" rank="0" priority="689" equalAverage="0" operator="greaterThan" aboveAverage="0" dxfId="1" text="" percent="0" bottom="0">
      <formula>0</formula>
    </cfRule>
    <cfRule type="cellIs" rank="0" priority="690" equalAverage="0" operator="lessThanOrEqual" aboveAverage="0" dxfId="0" text="" percent="0" bottom="0">
      <formula>0</formula>
    </cfRule>
  </conditionalFormatting>
  <conditionalFormatting sqref="G235">
    <cfRule type="cellIs" rank="0" priority="691" equalAverage="0" operator="greaterThan" aboveAverage="0" dxfId="10" text="" percent="0" bottom="0">
      <formula>e{r}</formula>
    </cfRule>
  </conditionalFormatting>
  <conditionalFormatting sqref="H236">
    <cfRule type="cellIs" rank="0" priority="692" equalAverage="0" operator="greaterThan" aboveAverage="0" dxfId="1" text="" percent="0" bottom="0">
      <formula>0</formula>
    </cfRule>
    <cfRule type="cellIs" rank="0" priority="693" equalAverage="0" operator="lessThanOrEqual" aboveAverage="0" dxfId="0" text="" percent="0" bottom="0">
      <formula>0</formula>
    </cfRule>
  </conditionalFormatting>
  <conditionalFormatting sqref="G236">
    <cfRule type="cellIs" rank="0" priority="694" equalAverage="0" operator="greaterThan" aboveAverage="0" dxfId="10" text="" percent="0" bottom="0">
      <formula>e{r}</formula>
    </cfRule>
  </conditionalFormatting>
  <conditionalFormatting sqref="H237">
    <cfRule type="cellIs" rank="0" priority="695" equalAverage="0" operator="greaterThan" aboveAverage="0" dxfId="1" text="" percent="0" bottom="0">
      <formula>0</formula>
    </cfRule>
    <cfRule type="cellIs" rank="0" priority="696" equalAverage="0" operator="lessThanOrEqual" aboveAverage="0" dxfId="0" text="" percent="0" bottom="0">
      <formula>0</formula>
    </cfRule>
  </conditionalFormatting>
  <conditionalFormatting sqref="G237">
    <cfRule type="cellIs" rank="0" priority="697" equalAverage="0" operator="greaterThan" aboveAverage="0" dxfId="10" text="" percent="0" bottom="0">
      <formula>e{r}</formula>
    </cfRule>
  </conditionalFormatting>
  <conditionalFormatting sqref="H238">
    <cfRule type="cellIs" rank="0" priority="698" equalAverage="0" operator="greaterThan" aboveAverage="0" dxfId="1" text="" percent="0" bottom="0">
      <formula>0</formula>
    </cfRule>
    <cfRule type="cellIs" rank="0" priority="699" equalAverage="0" operator="lessThanOrEqual" aboveAverage="0" dxfId="0" text="" percent="0" bottom="0">
      <formula>0</formula>
    </cfRule>
  </conditionalFormatting>
  <conditionalFormatting sqref="G238">
    <cfRule type="cellIs" rank="0" priority="700" equalAverage="0" operator="greaterThan" aboveAverage="0" dxfId="10" text="" percent="0" bottom="0">
      <formula>e{r}</formula>
    </cfRule>
  </conditionalFormatting>
  <conditionalFormatting sqref="H239">
    <cfRule type="cellIs" rank="0" priority="701" equalAverage="0" operator="greaterThan" aboveAverage="0" dxfId="1" text="" percent="0" bottom="0">
      <formula>0</formula>
    </cfRule>
    <cfRule type="cellIs" rank="0" priority="702" equalAverage="0" operator="lessThanOrEqual" aboveAverage="0" dxfId="0" text="" percent="0" bottom="0">
      <formula>0</formula>
    </cfRule>
  </conditionalFormatting>
  <conditionalFormatting sqref="G239">
    <cfRule type="cellIs" rank="0" priority="703" equalAverage="0" operator="greaterThan" aboveAverage="0" dxfId="10" text="" percent="0" bottom="0">
      <formula>e{r}</formula>
    </cfRule>
  </conditionalFormatting>
  <conditionalFormatting sqref="H240">
    <cfRule type="cellIs" rank="0" priority="704" equalAverage="0" operator="greaterThan" aboveAverage="0" dxfId="1" text="" percent="0" bottom="0">
      <formula>0</formula>
    </cfRule>
    <cfRule type="cellIs" rank="0" priority="705" equalAverage="0" operator="lessThanOrEqual" aboveAverage="0" dxfId="0" text="" percent="0" bottom="0">
      <formula>0</formula>
    </cfRule>
  </conditionalFormatting>
  <conditionalFormatting sqref="G240">
    <cfRule type="cellIs" rank="0" priority="706" equalAverage="0" operator="greaterThan" aboveAverage="0" dxfId="10" text="" percent="0" bottom="0">
      <formula>e{r}</formula>
    </cfRule>
  </conditionalFormatting>
  <conditionalFormatting sqref="H241">
    <cfRule type="cellIs" rank="0" priority="707" equalAverage="0" operator="greaterThan" aboveAverage="0" dxfId="1" text="" percent="0" bottom="0">
      <formula>0</formula>
    </cfRule>
    <cfRule type="cellIs" rank="0" priority="708" equalAverage="0" operator="lessThanOrEqual" aboveAverage="0" dxfId="0" text="" percent="0" bottom="0">
      <formula>0</formula>
    </cfRule>
  </conditionalFormatting>
  <conditionalFormatting sqref="G241">
    <cfRule type="cellIs" rank="0" priority="709" equalAverage="0" operator="greaterThan" aboveAverage="0" dxfId="10" text="" percent="0" bottom="0">
      <formula>e{r}</formula>
    </cfRule>
  </conditionalFormatting>
  <conditionalFormatting sqref="H242">
    <cfRule type="cellIs" rank="0" priority="710" equalAverage="0" operator="greaterThan" aboveAverage="0" dxfId="1" text="" percent="0" bottom="0">
      <formula>0</formula>
    </cfRule>
    <cfRule type="cellIs" rank="0" priority="711" equalAverage="0" operator="lessThanOrEqual" aboveAverage="0" dxfId="0" text="" percent="0" bottom="0">
      <formula>0</formula>
    </cfRule>
  </conditionalFormatting>
  <conditionalFormatting sqref="G242">
    <cfRule type="cellIs" rank="0" priority="712" equalAverage="0" operator="greaterThan" aboveAverage="0" dxfId="10" text="" percent="0" bottom="0">
      <formula>e{r}</formula>
    </cfRule>
  </conditionalFormatting>
  <conditionalFormatting sqref="H243">
    <cfRule type="cellIs" rank="0" priority="713" equalAverage="0" operator="greaterThan" aboveAverage="0" dxfId="1" text="" percent="0" bottom="0">
      <formula>0</formula>
    </cfRule>
    <cfRule type="cellIs" rank="0" priority="714" equalAverage="0" operator="lessThanOrEqual" aboveAverage="0" dxfId="0" text="" percent="0" bottom="0">
      <formula>0</formula>
    </cfRule>
  </conditionalFormatting>
  <conditionalFormatting sqref="G243">
    <cfRule type="cellIs" rank="0" priority="715" equalAverage="0" operator="greaterThan" aboveAverage="0" dxfId="10" text="" percent="0" bottom="0">
      <formula>e{r}</formula>
    </cfRule>
  </conditionalFormatting>
  <conditionalFormatting sqref="H244">
    <cfRule type="cellIs" rank="0" priority="716" equalAverage="0" operator="greaterThan" aboveAverage="0" dxfId="1" text="" percent="0" bottom="0">
      <formula>0</formula>
    </cfRule>
    <cfRule type="cellIs" rank="0" priority="717" equalAverage="0" operator="lessThanOrEqual" aboveAverage="0" dxfId="0" text="" percent="0" bottom="0">
      <formula>0</formula>
    </cfRule>
  </conditionalFormatting>
  <conditionalFormatting sqref="G244">
    <cfRule type="cellIs" rank="0" priority="718" equalAverage="0" operator="greaterThan" aboveAverage="0" dxfId="10" text="" percent="0" bottom="0">
      <formula>e{r}</formula>
    </cfRule>
  </conditionalFormatting>
  <conditionalFormatting sqref="H245">
    <cfRule type="cellIs" rank="0" priority="719" equalAverage="0" operator="greaterThan" aboveAverage="0" dxfId="1" text="" percent="0" bottom="0">
      <formula>0</formula>
    </cfRule>
    <cfRule type="cellIs" rank="0" priority="720" equalAverage="0" operator="lessThanOrEqual" aboveAverage="0" dxfId="0" text="" percent="0" bottom="0">
      <formula>0</formula>
    </cfRule>
  </conditionalFormatting>
  <conditionalFormatting sqref="G245">
    <cfRule type="cellIs" rank="0" priority="721" equalAverage="0" operator="greaterThan" aboveAverage="0" dxfId="10" text="" percent="0" bottom="0">
      <formula>e{r}</formula>
    </cfRule>
  </conditionalFormatting>
  <conditionalFormatting sqref="H246">
    <cfRule type="cellIs" rank="0" priority="722" equalAverage="0" operator="greaterThan" aboveAverage="0" dxfId="1" text="" percent="0" bottom="0">
      <formula>0</formula>
    </cfRule>
    <cfRule type="cellIs" rank="0" priority="723" equalAverage="0" operator="lessThanOrEqual" aboveAverage="0" dxfId="0" text="" percent="0" bottom="0">
      <formula>0</formula>
    </cfRule>
  </conditionalFormatting>
  <conditionalFormatting sqref="G246">
    <cfRule type="cellIs" rank="0" priority="724" equalAverage="0" operator="greaterThan" aboveAverage="0" dxfId="10" text="" percent="0" bottom="0">
      <formula>e{r}</formula>
    </cfRule>
  </conditionalFormatting>
  <conditionalFormatting sqref="H247">
    <cfRule type="cellIs" rank="0" priority="725" equalAverage="0" operator="greaterThan" aboveAverage="0" dxfId="1" text="" percent="0" bottom="0">
      <formula>0</formula>
    </cfRule>
    <cfRule type="cellIs" rank="0" priority="726" equalAverage="0" operator="lessThanOrEqual" aboveAverage="0" dxfId="0" text="" percent="0" bottom="0">
      <formula>0</formula>
    </cfRule>
  </conditionalFormatting>
  <conditionalFormatting sqref="G247">
    <cfRule type="cellIs" rank="0" priority="727" equalAverage="0" operator="greaterThan" aboveAverage="0" dxfId="10" text="" percent="0" bottom="0">
      <formula>e{r}</formula>
    </cfRule>
  </conditionalFormatting>
  <conditionalFormatting sqref="H248">
    <cfRule type="cellIs" rank="0" priority="728" equalAverage="0" operator="greaterThan" aboveAverage="0" dxfId="1" text="" percent="0" bottom="0">
      <formula>0</formula>
    </cfRule>
    <cfRule type="cellIs" rank="0" priority="729" equalAverage="0" operator="lessThanOrEqual" aboveAverage="0" dxfId="0" text="" percent="0" bottom="0">
      <formula>0</formula>
    </cfRule>
  </conditionalFormatting>
  <conditionalFormatting sqref="G248">
    <cfRule type="cellIs" rank="0" priority="730" equalAverage="0" operator="greaterThan" aboveAverage="0" dxfId="10" text="" percent="0" bottom="0">
      <formula>e{r}</formula>
    </cfRule>
  </conditionalFormatting>
  <conditionalFormatting sqref="H249">
    <cfRule type="cellIs" rank="0" priority="731" equalAverage="0" operator="greaterThan" aboveAverage="0" dxfId="1" text="" percent="0" bottom="0">
      <formula>0</formula>
    </cfRule>
    <cfRule type="cellIs" rank="0" priority="732" equalAverage="0" operator="lessThanOrEqual" aboveAverage="0" dxfId="0" text="" percent="0" bottom="0">
      <formula>0</formula>
    </cfRule>
  </conditionalFormatting>
  <conditionalFormatting sqref="G249">
    <cfRule type="cellIs" rank="0" priority="733" equalAverage="0" operator="greaterThan" aboveAverage="0" dxfId="10" text="" percent="0" bottom="0">
      <formula>e{r}</formula>
    </cfRule>
  </conditionalFormatting>
  <conditionalFormatting sqref="H250">
    <cfRule type="cellIs" rank="0" priority="734" equalAverage="0" operator="greaterThan" aboveAverage="0" dxfId="1" text="" percent="0" bottom="0">
      <formula>0</formula>
    </cfRule>
    <cfRule type="cellIs" rank="0" priority="735" equalAverage="0" operator="lessThanOrEqual" aboveAverage="0" dxfId="0" text="" percent="0" bottom="0">
      <formula>0</formula>
    </cfRule>
  </conditionalFormatting>
  <conditionalFormatting sqref="G250">
    <cfRule type="cellIs" rank="0" priority="736" equalAverage="0" operator="greaterThan" aboveAverage="0" dxfId="10" text="" percent="0" bottom="0">
      <formula>e{r}</formula>
    </cfRule>
  </conditionalFormatting>
  <conditionalFormatting sqref="H251">
    <cfRule type="cellIs" rank="0" priority="737" equalAverage="0" operator="greaterThan" aboveAverage="0" dxfId="1" text="" percent="0" bottom="0">
      <formula>0</formula>
    </cfRule>
    <cfRule type="cellIs" rank="0" priority="738" equalAverage="0" operator="lessThanOrEqual" aboveAverage="0" dxfId="0" text="" percent="0" bottom="0">
      <formula>0</formula>
    </cfRule>
  </conditionalFormatting>
  <conditionalFormatting sqref="G251">
    <cfRule type="cellIs" rank="0" priority="739" equalAverage="0" operator="greaterThan" aboveAverage="0" dxfId="10" text="" percent="0" bottom="0">
      <formula>e{r}</formula>
    </cfRule>
  </conditionalFormatting>
  <conditionalFormatting sqref="H252">
    <cfRule type="cellIs" rank="0" priority="740" equalAverage="0" operator="greaterThan" aboveAverage="0" dxfId="1" text="" percent="0" bottom="0">
      <formula>0</formula>
    </cfRule>
    <cfRule type="cellIs" rank="0" priority="741" equalAverage="0" operator="lessThanOrEqual" aboveAverage="0" dxfId="0" text="" percent="0" bottom="0">
      <formula>0</formula>
    </cfRule>
  </conditionalFormatting>
  <conditionalFormatting sqref="G252">
    <cfRule type="cellIs" rank="0" priority="742" equalAverage="0" operator="greaterThan" aboveAverage="0" dxfId="10" text="" percent="0" bottom="0">
      <formula>e{r}</formula>
    </cfRule>
  </conditionalFormatting>
  <conditionalFormatting sqref="H253">
    <cfRule type="cellIs" rank="0" priority="743" equalAverage="0" operator="greaterThan" aboveAverage="0" dxfId="1" text="" percent="0" bottom="0">
      <formula>0</formula>
    </cfRule>
    <cfRule type="cellIs" rank="0" priority="744" equalAverage="0" operator="lessThanOrEqual" aboveAverage="0" dxfId="0" text="" percent="0" bottom="0">
      <formula>0</formula>
    </cfRule>
  </conditionalFormatting>
  <conditionalFormatting sqref="G253">
    <cfRule type="cellIs" rank="0" priority="745" equalAverage="0" operator="greaterThan" aboveAverage="0" dxfId="10" text="" percent="0" bottom="0">
      <formula>e{r}</formula>
    </cfRule>
  </conditionalFormatting>
  <conditionalFormatting sqref="H254">
    <cfRule type="cellIs" rank="0" priority="746" equalAverage="0" operator="greaterThan" aboveAverage="0" dxfId="1" text="" percent="0" bottom="0">
      <formula>0</formula>
    </cfRule>
    <cfRule type="cellIs" rank="0" priority="747" equalAverage="0" operator="lessThanOrEqual" aboveAverage="0" dxfId="0" text="" percent="0" bottom="0">
      <formula>0</formula>
    </cfRule>
  </conditionalFormatting>
  <conditionalFormatting sqref="G254">
    <cfRule type="cellIs" rank="0" priority="748" equalAverage="0" operator="greaterThan" aboveAverage="0" dxfId="10" text="" percent="0" bottom="0">
      <formula>e{r}</formula>
    </cfRule>
  </conditionalFormatting>
  <conditionalFormatting sqref="H255">
    <cfRule type="cellIs" rank="0" priority="749" equalAverage="0" operator="greaterThan" aboveAverage="0" dxfId="1" text="" percent="0" bottom="0">
      <formula>0</formula>
    </cfRule>
    <cfRule type="cellIs" rank="0" priority="750" equalAverage="0" operator="lessThanOrEqual" aboveAverage="0" dxfId="0" text="" percent="0" bottom="0">
      <formula>0</formula>
    </cfRule>
  </conditionalFormatting>
  <conditionalFormatting sqref="G255">
    <cfRule type="cellIs" rank="0" priority="751" equalAverage="0" operator="greaterThan" aboveAverage="0" dxfId="10" text="" percent="0" bottom="0">
      <formula>e{r}</formula>
    </cfRule>
  </conditionalFormatting>
  <conditionalFormatting sqref="H256">
    <cfRule type="cellIs" rank="0" priority="752" equalAverage="0" operator="greaterThan" aboveAverage="0" dxfId="1" text="" percent="0" bottom="0">
      <formula>0</formula>
    </cfRule>
    <cfRule type="cellIs" rank="0" priority="753" equalAverage="0" operator="lessThanOrEqual" aboveAverage="0" dxfId="0" text="" percent="0" bottom="0">
      <formula>0</formula>
    </cfRule>
  </conditionalFormatting>
  <conditionalFormatting sqref="G256">
    <cfRule type="cellIs" rank="0" priority="754" equalAverage="0" operator="greaterThan" aboveAverage="0" dxfId="10" text="" percent="0" bottom="0">
      <formula>e{r}</formula>
    </cfRule>
  </conditionalFormatting>
  <conditionalFormatting sqref="H257">
    <cfRule type="cellIs" rank="0" priority="755" equalAverage="0" operator="greaterThan" aboveAverage="0" dxfId="1" text="" percent="0" bottom="0">
      <formula>0</formula>
    </cfRule>
    <cfRule type="cellIs" rank="0" priority="756" equalAverage="0" operator="lessThanOrEqual" aboveAverage="0" dxfId="0" text="" percent="0" bottom="0">
      <formula>0</formula>
    </cfRule>
  </conditionalFormatting>
  <conditionalFormatting sqref="G257">
    <cfRule type="cellIs" rank="0" priority="757" equalAverage="0" operator="greaterThan" aboveAverage="0" dxfId="10" text="" percent="0" bottom="0">
      <formula>e{r}</formula>
    </cfRule>
  </conditionalFormatting>
  <conditionalFormatting sqref="H258">
    <cfRule type="cellIs" rank="0" priority="758" equalAverage="0" operator="greaterThan" aboveAverage="0" dxfId="1" text="" percent="0" bottom="0">
      <formula>0</formula>
    </cfRule>
    <cfRule type="cellIs" rank="0" priority="759" equalAverage="0" operator="lessThanOrEqual" aboveAverage="0" dxfId="0" text="" percent="0" bottom="0">
      <formula>0</formula>
    </cfRule>
  </conditionalFormatting>
  <conditionalFormatting sqref="G258">
    <cfRule type="cellIs" rank="0" priority="760" equalAverage="0" operator="greaterThan" aboveAverage="0" dxfId="10" text="" percent="0" bottom="0">
      <formula>e{r}</formula>
    </cfRule>
  </conditionalFormatting>
  <conditionalFormatting sqref="H259">
    <cfRule type="cellIs" rank="0" priority="761" equalAverage="0" operator="greaterThan" aboveAverage="0" dxfId="1" text="" percent="0" bottom="0">
      <formula>0</formula>
    </cfRule>
    <cfRule type="cellIs" rank="0" priority="762" equalAverage="0" operator="lessThanOrEqual" aboveAverage="0" dxfId="0" text="" percent="0" bottom="0">
      <formula>0</formula>
    </cfRule>
  </conditionalFormatting>
  <conditionalFormatting sqref="G259">
    <cfRule type="cellIs" rank="0" priority="763" equalAverage="0" operator="greaterThan" aboveAverage="0" dxfId="10" text="" percent="0" bottom="0">
      <formula>e{r}</formula>
    </cfRule>
  </conditionalFormatting>
  <conditionalFormatting sqref="H260">
    <cfRule type="cellIs" rank="0" priority="764" equalAverage="0" operator="greaterThan" aboveAverage="0" dxfId="1" text="" percent="0" bottom="0">
      <formula>0</formula>
    </cfRule>
    <cfRule type="cellIs" rank="0" priority="765" equalAverage="0" operator="lessThanOrEqual" aboveAverage="0" dxfId="0" text="" percent="0" bottom="0">
      <formula>0</formula>
    </cfRule>
  </conditionalFormatting>
  <conditionalFormatting sqref="G260">
    <cfRule type="cellIs" rank="0" priority="766" equalAverage="0" operator="greaterThan" aboveAverage="0" dxfId="10" text="" percent="0" bottom="0">
      <formula>e{r}</formula>
    </cfRule>
  </conditionalFormatting>
  <conditionalFormatting sqref="H261">
    <cfRule type="cellIs" rank="0" priority="767" equalAverage="0" operator="greaterThan" aboveAverage="0" dxfId="1" text="" percent="0" bottom="0">
      <formula>0</formula>
    </cfRule>
    <cfRule type="cellIs" rank="0" priority="768" equalAverage="0" operator="lessThanOrEqual" aboveAverage="0" dxfId="0" text="" percent="0" bottom="0">
      <formula>0</formula>
    </cfRule>
  </conditionalFormatting>
  <conditionalFormatting sqref="G261">
    <cfRule type="cellIs" rank="0" priority="769" equalAverage="0" operator="greaterThan" aboveAverage="0" dxfId="10" text="" percent="0" bottom="0">
      <formula>e{r}</formula>
    </cfRule>
  </conditionalFormatting>
  <conditionalFormatting sqref="H262">
    <cfRule type="cellIs" rank="0" priority="770" equalAverage="0" operator="greaterThan" aboveAverage="0" dxfId="1" text="" percent="0" bottom="0">
      <formula>0</formula>
    </cfRule>
    <cfRule type="cellIs" rank="0" priority="771" equalAverage="0" operator="lessThanOrEqual" aboveAverage="0" dxfId="0" text="" percent="0" bottom="0">
      <formula>0</formula>
    </cfRule>
  </conditionalFormatting>
  <conditionalFormatting sqref="G262">
    <cfRule type="cellIs" rank="0" priority="772" equalAverage="0" operator="greaterThan" aboveAverage="0" dxfId="10" text="" percent="0" bottom="0">
      <formula>e{r}</formula>
    </cfRule>
  </conditionalFormatting>
  <conditionalFormatting sqref="H263">
    <cfRule type="cellIs" rank="0" priority="773" equalAverage="0" operator="greaterThan" aboveAverage="0" dxfId="1" text="" percent="0" bottom="0">
      <formula>0</formula>
    </cfRule>
    <cfRule type="cellIs" rank="0" priority="774" equalAverage="0" operator="lessThanOrEqual" aboveAverage="0" dxfId="0" text="" percent="0" bottom="0">
      <formula>0</formula>
    </cfRule>
  </conditionalFormatting>
  <conditionalFormatting sqref="G263">
    <cfRule type="cellIs" rank="0" priority="775" equalAverage="0" operator="greaterThan" aboveAverage="0" dxfId="10" text="" percent="0" bottom="0">
      <formula>e{r}</formula>
    </cfRule>
  </conditionalFormatting>
  <conditionalFormatting sqref="H264">
    <cfRule type="cellIs" rank="0" priority="776" equalAverage="0" operator="greaterThan" aboveAverage="0" dxfId="1" text="" percent="0" bottom="0">
      <formula>0</formula>
    </cfRule>
    <cfRule type="cellIs" rank="0" priority="777" equalAverage="0" operator="lessThanOrEqual" aboveAverage="0" dxfId="0" text="" percent="0" bottom="0">
      <formula>0</formula>
    </cfRule>
  </conditionalFormatting>
  <conditionalFormatting sqref="G264">
    <cfRule type="cellIs" rank="0" priority="778" equalAverage="0" operator="greaterThan" aboveAverage="0" dxfId="10" text="" percent="0" bottom="0">
      <formula>e{r}</formula>
    </cfRule>
  </conditionalFormatting>
  <conditionalFormatting sqref="H265">
    <cfRule type="cellIs" rank="0" priority="779" equalAverage="0" operator="greaterThan" aboveAverage="0" dxfId="1" text="" percent="0" bottom="0">
      <formula>0</formula>
    </cfRule>
    <cfRule type="cellIs" rank="0" priority="780" equalAverage="0" operator="lessThanOrEqual" aboveAverage="0" dxfId="0" text="" percent="0" bottom="0">
      <formula>0</formula>
    </cfRule>
  </conditionalFormatting>
  <conditionalFormatting sqref="G265">
    <cfRule type="cellIs" rank="0" priority="781" equalAverage="0" operator="greaterThan" aboveAverage="0" dxfId="10" text="" percent="0" bottom="0">
      <formula>e{r}</formula>
    </cfRule>
  </conditionalFormatting>
  <conditionalFormatting sqref="H266">
    <cfRule type="cellIs" rank="0" priority="782" equalAverage="0" operator="greaterThan" aboveAverage="0" dxfId="1" text="" percent="0" bottom="0">
      <formula>0</formula>
    </cfRule>
    <cfRule type="cellIs" rank="0" priority="783" equalAverage="0" operator="lessThanOrEqual" aboveAverage="0" dxfId="0" text="" percent="0" bottom="0">
      <formula>0</formula>
    </cfRule>
  </conditionalFormatting>
  <conditionalFormatting sqref="G266">
    <cfRule type="cellIs" rank="0" priority="784" equalAverage="0" operator="greaterThan" aboveAverage="0" dxfId="10" text="" percent="0" bottom="0">
      <formula>e{r}</formula>
    </cfRule>
  </conditionalFormatting>
  <conditionalFormatting sqref="H267">
    <cfRule type="cellIs" rank="0" priority="785" equalAverage="0" operator="greaterThan" aboveAverage="0" dxfId="1" text="" percent="0" bottom="0">
      <formula>0</formula>
    </cfRule>
    <cfRule type="cellIs" rank="0" priority="786" equalAverage="0" operator="lessThanOrEqual" aboveAverage="0" dxfId="0" text="" percent="0" bottom="0">
      <formula>0</formula>
    </cfRule>
  </conditionalFormatting>
  <conditionalFormatting sqref="G267">
    <cfRule type="cellIs" rank="0" priority="787" equalAverage="0" operator="greaterThan" aboveAverage="0" dxfId="10" text="" percent="0" bottom="0">
      <formula>e{r}</formula>
    </cfRule>
  </conditionalFormatting>
  <conditionalFormatting sqref="H268">
    <cfRule type="cellIs" rank="0" priority="788" equalAverage="0" operator="greaterThan" aboveAverage="0" dxfId="1" text="" percent="0" bottom="0">
      <formula>0</formula>
    </cfRule>
    <cfRule type="cellIs" rank="0" priority="789" equalAverage="0" operator="lessThanOrEqual" aboveAverage="0" dxfId="0" text="" percent="0" bottom="0">
      <formula>0</formula>
    </cfRule>
  </conditionalFormatting>
  <conditionalFormatting sqref="G268">
    <cfRule type="cellIs" rank="0" priority="790" equalAverage="0" operator="greaterThan" aboveAverage="0" dxfId="10" text="" percent="0" bottom="0">
      <formula>e{r}</formula>
    </cfRule>
  </conditionalFormatting>
  <conditionalFormatting sqref="H269">
    <cfRule type="cellIs" rank="0" priority="791" equalAverage="0" operator="greaterThan" aboveAverage="0" dxfId="1" text="" percent="0" bottom="0">
      <formula>0</formula>
    </cfRule>
    <cfRule type="cellIs" rank="0" priority="792" equalAverage="0" operator="lessThanOrEqual" aboveAverage="0" dxfId="0" text="" percent="0" bottom="0">
      <formula>0</formula>
    </cfRule>
  </conditionalFormatting>
  <conditionalFormatting sqref="G269">
    <cfRule type="cellIs" rank="0" priority="793" equalAverage="0" operator="greaterThan" aboveAverage="0" dxfId="10" text="" percent="0" bottom="0">
      <formula>e{r}</formula>
    </cfRule>
  </conditionalFormatting>
  <conditionalFormatting sqref="H270">
    <cfRule type="cellIs" rank="0" priority="794" equalAverage="0" operator="greaterThan" aboveAverage="0" dxfId="1" text="" percent="0" bottom="0">
      <formula>0</formula>
    </cfRule>
    <cfRule type="cellIs" rank="0" priority="795" equalAverage="0" operator="lessThanOrEqual" aboveAverage="0" dxfId="0" text="" percent="0" bottom="0">
      <formula>0</formula>
    </cfRule>
  </conditionalFormatting>
  <conditionalFormatting sqref="G270">
    <cfRule type="cellIs" rank="0" priority="796" equalAverage="0" operator="greaterThan" aboveAverage="0" dxfId="10" text="" percent="0" bottom="0">
      <formula>e{r}</formula>
    </cfRule>
  </conditionalFormatting>
  <conditionalFormatting sqref="H271">
    <cfRule type="cellIs" rank="0" priority="797" equalAverage="0" operator="greaterThan" aboveAverage="0" dxfId="1" text="" percent="0" bottom="0">
      <formula>0</formula>
    </cfRule>
    <cfRule type="cellIs" rank="0" priority="798" equalAverage="0" operator="lessThanOrEqual" aboveAverage="0" dxfId="0" text="" percent="0" bottom="0">
      <formula>0</formula>
    </cfRule>
  </conditionalFormatting>
  <conditionalFormatting sqref="G271">
    <cfRule type="cellIs" rank="0" priority="799" equalAverage="0" operator="greaterThan" aboveAverage="0" dxfId="10" text="" percent="0" bottom="0">
      <formula>e{r}</formula>
    </cfRule>
  </conditionalFormatting>
  <conditionalFormatting sqref="H272">
    <cfRule type="cellIs" rank="0" priority="800" equalAverage="0" operator="greaterThan" aboveAverage="0" dxfId="1" text="" percent="0" bottom="0">
      <formula>0</formula>
    </cfRule>
    <cfRule type="cellIs" rank="0" priority="801" equalAverage="0" operator="lessThanOrEqual" aboveAverage="0" dxfId="0" text="" percent="0" bottom="0">
      <formula>0</formula>
    </cfRule>
  </conditionalFormatting>
  <conditionalFormatting sqref="G272">
    <cfRule type="cellIs" rank="0" priority="802" equalAverage="0" operator="greaterThan" aboveAverage="0" dxfId="10" text="" percent="0" bottom="0">
      <formula>e{r}</formula>
    </cfRule>
  </conditionalFormatting>
  <conditionalFormatting sqref="H273">
    <cfRule type="cellIs" rank="0" priority="803" equalAverage="0" operator="greaterThan" aboveAverage="0" dxfId="1" text="" percent="0" bottom="0">
      <formula>0</formula>
    </cfRule>
    <cfRule type="cellIs" rank="0" priority="804" equalAverage="0" operator="lessThanOrEqual" aboveAverage="0" dxfId="0" text="" percent="0" bottom="0">
      <formula>0</formula>
    </cfRule>
  </conditionalFormatting>
  <conditionalFormatting sqref="G273">
    <cfRule type="cellIs" rank="0" priority="805" equalAverage="0" operator="greaterThan" aboveAverage="0" dxfId="10" text="" percent="0" bottom="0">
      <formula>e{r}</formula>
    </cfRule>
  </conditionalFormatting>
  <conditionalFormatting sqref="H274">
    <cfRule type="cellIs" rank="0" priority="806" equalAverage="0" operator="greaterThan" aboveAverage="0" dxfId="1" text="" percent="0" bottom="0">
      <formula>0</formula>
    </cfRule>
    <cfRule type="cellIs" rank="0" priority="807" equalAverage="0" operator="lessThanOrEqual" aboveAverage="0" dxfId="0" text="" percent="0" bottom="0">
      <formula>0</formula>
    </cfRule>
  </conditionalFormatting>
  <conditionalFormatting sqref="G274">
    <cfRule type="cellIs" rank="0" priority="808" equalAverage="0" operator="greaterThan" aboveAverage="0" dxfId="10" text="" percent="0" bottom="0">
      <formula>e{r}</formula>
    </cfRule>
  </conditionalFormatting>
  <conditionalFormatting sqref="H275">
    <cfRule type="cellIs" rank="0" priority="809" equalAverage="0" operator="greaterThan" aboveAverage="0" dxfId="1" text="" percent="0" bottom="0">
      <formula>0</formula>
    </cfRule>
    <cfRule type="cellIs" rank="0" priority="810" equalAverage="0" operator="lessThanOrEqual" aboveAverage="0" dxfId="0" text="" percent="0" bottom="0">
      <formula>0</formula>
    </cfRule>
  </conditionalFormatting>
  <conditionalFormatting sqref="G275">
    <cfRule type="cellIs" rank="0" priority="811" equalAverage="0" operator="greaterThan" aboveAverage="0" dxfId="10" text="" percent="0" bottom="0">
      <formula>e{r}</formula>
    </cfRule>
  </conditionalFormatting>
  <conditionalFormatting sqref="H276">
    <cfRule type="cellIs" rank="0" priority="812" equalAverage="0" operator="greaterThan" aboveAverage="0" dxfId="1" text="" percent="0" bottom="0">
      <formula>0</formula>
    </cfRule>
    <cfRule type="cellIs" rank="0" priority="813" equalAverage="0" operator="lessThanOrEqual" aboveAverage="0" dxfId="0" text="" percent="0" bottom="0">
      <formula>0</formula>
    </cfRule>
  </conditionalFormatting>
  <conditionalFormatting sqref="G276">
    <cfRule type="cellIs" rank="0" priority="814" equalAverage="0" operator="greaterThan" aboveAverage="0" dxfId="10" text="" percent="0" bottom="0">
      <formula>e{r}</formula>
    </cfRule>
  </conditionalFormatting>
  <conditionalFormatting sqref="H277">
    <cfRule type="cellIs" rank="0" priority="815" equalAverage="0" operator="greaterThan" aboveAverage="0" dxfId="1" text="" percent="0" bottom="0">
      <formula>0</formula>
    </cfRule>
    <cfRule type="cellIs" rank="0" priority="816" equalAverage="0" operator="lessThanOrEqual" aboveAverage="0" dxfId="0" text="" percent="0" bottom="0">
      <formula>0</formula>
    </cfRule>
  </conditionalFormatting>
  <conditionalFormatting sqref="G277">
    <cfRule type="cellIs" rank="0" priority="817" equalAverage="0" operator="greaterThan" aboveAverage="0" dxfId="10" text="" percent="0" bottom="0">
      <formula>e{r}</formula>
    </cfRule>
  </conditionalFormatting>
  <conditionalFormatting sqref="H278">
    <cfRule type="cellIs" rank="0" priority="818" equalAverage="0" operator="greaterThan" aboveAverage="0" dxfId="1" text="" percent="0" bottom="0">
      <formula>0</formula>
    </cfRule>
    <cfRule type="cellIs" rank="0" priority="819" equalAverage="0" operator="lessThanOrEqual" aboveAverage="0" dxfId="0" text="" percent="0" bottom="0">
      <formula>0</formula>
    </cfRule>
  </conditionalFormatting>
  <conditionalFormatting sqref="G278">
    <cfRule type="cellIs" rank="0" priority="820" equalAverage="0" operator="greaterThan" aboveAverage="0" dxfId="10" text="" percent="0" bottom="0">
      <formula>e{r}</formula>
    </cfRule>
  </conditionalFormatting>
  <conditionalFormatting sqref="H279">
    <cfRule type="cellIs" rank="0" priority="821" equalAverage="0" operator="greaterThan" aboveAverage="0" dxfId="1" text="" percent="0" bottom="0">
      <formula>0</formula>
    </cfRule>
    <cfRule type="cellIs" rank="0" priority="822" equalAverage="0" operator="lessThanOrEqual" aboveAverage="0" dxfId="0" text="" percent="0" bottom="0">
      <formula>0</formula>
    </cfRule>
  </conditionalFormatting>
  <conditionalFormatting sqref="G279">
    <cfRule type="cellIs" rank="0" priority="823" equalAverage="0" operator="greaterThan" aboveAverage="0" dxfId="10" text="" percent="0" bottom="0">
      <formula>e{r}</formula>
    </cfRule>
  </conditionalFormatting>
  <conditionalFormatting sqref="H280">
    <cfRule type="cellIs" rank="0" priority="824" equalAverage="0" operator="greaterThan" aboveAverage="0" dxfId="1" text="" percent="0" bottom="0">
      <formula>0</formula>
    </cfRule>
    <cfRule type="cellIs" rank="0" priority="825" equalAverage="0" operator="lessThanOrEqual" aboveAverage="0" dxfId="0" text="" percent="0" bottom="0">
      <formula>0</formula>
    </cfRule>
  </conditionalFormatting>
  <conditionalFormatting sqref="G280">
    <cfRule type="cellIs" rank="0" priority="826" equalAverage="0" operator="greaterThan" aboveAverage="0" dxfId="10" text="" percent="0" bottom="0">
      <formula>e{r}</formula>
    </cfRule>
  </conditionalFormatting>
  <conditionalFormatting sqref="H281">
    <cfRule type="cellIs" rank="0" priority="827" equalAverage="0" operator="greaterThan" aboveAverage="0" dxfId="1" text="" percent="0" bottom="0">
      <formula>0</formula>
    </cfRule>
    <cfRule type="cellIs" rank="0" priority="828" equalAverage="0" operator="lessThanOrEqual" aboveAverage="0" dxfId="0" text="" percent="0" bottom="0">
      <formula>0</formula>
    </cfRule>
  </conditionalFormatting>
  <conditionalFormatting sqref="G281">
    <cfRule type="cellIs" rank="0" priority="829" equalAverage="0" operator="greaterThan" aboveAverage="0" dxfId="10" text="" percent="0" bottom="0">
      <formula>e{r}</formula>
    </cfRule>
  </conditionalFormatting>
  <conditionalFormatting sqref="H282">
    <cfRule type="cellIs" rank="0" priority="830" equalAverage="0" operator="greaterThan" aboveAverage="0" dxfId="1" text="" percent="0" bottom="0">
      <formula>0</formula>
    </cfRule>
    <cfRule type="cellIs" rank="0" priority="831" equalAverage="0" operator="lessThanOrEqual" aboveAverage="0" dxfId="0" text="" percent="0" bottom="0">
      <formula>0</formula>
    </cfRule>
  </conditionalFormatting>
  <conditionalFormatting sqref="G282">
    <cfRule type="cellIs" rank="0" priority="832" equalAverage="0" operator="greaterThan" aboveAverage="0" dxfId="10" text="" percent="0" bottom="0">
      <formula>e{r}</formula>
    </cfRule>
  </conditionalFormatting>
  <conditionalFormatting sqref="H283">
    <cfRule type="cellIs" rank="0" priority="833" equalAverage="0" operator="greaterThan" aboveAverage="0" dxfId="1" text="" percent="0" bottom="0">
      <formula>0</formula>
    </cfRule>
    <cfRule type="cellIs" rank="0" priority="834" equalAverage="0" operator="lessThanOrEqual" aboveAverage="0" dxfId="0" text="" percent="0" bottom="0">
      <formula>0</formula>
    </cfRule>
  </conditionalFormatting>
  <conditionalFormatting sqref="G283">
    <cfRule type="cellIs" rank="0" priority="835" equalAverage="0" operator="greaterThan" aboveAverage="0" dxfId="10" text="" percent="0" bottom="0">
      <formula>e{r}</formula>
    </cfRule>
  </conditionalFormatting>
  <conditionalFormatting sqref="H284">
    <cfRule type="cellIs" rank="0" priority="836" equalAverage="0" operator="greaterThan" aboveAverage="0" dxfId="1" text="" percent="0" bottom="0">
      <formula>0</formula>
    </cfRule>
    <cfRule type="cellIs" rank="0" priority="837" equalAverage="0" operator="lessThanOrEqual" aboveAverage="0" dxfId="0" text="" percent="0" bottom="0">
      <formula>0</formula>
    </cfRule>
  </conditionalFormatting>
  <conditionalFormatting sqref="G284">
    <cfRule type="cellIs" rank="0" priority="838" equalAverage="0" operator="greaterThan" aboveAverage="0" dxfId="10" text="" percent="0" bottom="0">
      <formula>e{r}</formula>
    </cfRule>
  </conditionalFormatting>
  <conditionalFormatting sqref="H285">
    <cfRule type="cellIs" rank="0" priority="839" equalAverage="0" operator="greaterThan" aboveAverage="0" dxfId="1" text="" percent="0" bottom="0">
      <formula>0</formula>
    </cfRule>
    <cfRule type="cellIs" rank="0" priority="840" equalAverage="0" operator="lessThanOrEqual" aboveAverage="0" dxfId="0" text="" percent="0" bottom="0">
      <formula>0</formula>
    </cfRule>
  </conditionalFormatting>
  <conditionalFormatting sqref="G285">
    <cfRule type="cellIs" rank="0" priority="841" equalAverage="0" operator="greaterThan" aboveAverage="0" dxfId="10" text="" percent="0" bottom="0">
      <formula>e{r}</formula>
    </cfRule>
  </conditionalFormatting>
  <conditionalFormatting sqref="H286">
    <cfRule type="cellIs" rank="0" priority="842" equalAverage="0" operator="greaterThan" aboveAverage="0" dxfId="1" text="" percent="0" bottom="0">
      <formula>0</formula>
    </cfRule>
    <cfRule type="cellIs" rank="0" priority="843" equalAverage="0" operator="lessThanOrEqual" aboveAverage="0" dxfId="0" text="" percent="0" bottom="0">
      <formula>0</formula>
    </cfRule>
  </conditionalFormatting>
  <conditionalFormatting sqref="G286">
    <cfRule type="cellIs" rank="0" priority="844" equalAverage="0" operator="greaterThan" aboveAverage="0" dxfId="10" text="" percent="0" bottom="0">
      <formula>e{r}</formula>
    </cfRule>
  </conditionalFormatting>
  <conditionalFormatting sqref="H287">
    <cfRule type="cellIs" rank="0" priority="845" equalAverage="0" operator="greaterThan" aboveAverage="0" dxfId="1" text="" percent="0" bottom="0">
      <formula>0</formula>
    </cfRule>
    <cfRule type="cellIs" rank="0" priority="846" equalAverage="0" operator="lessThanOrEqual" aboveAverage="0" dxfId="0" text="" percent="0" bottom="0">
      <formula>0</formula>
    </cfRule>
  </conditionalFormatting>
  <conditionalFormatting sqref="G287">
    <cfRule type="cellIs" rank="0" priority="847" equalAverage="0" operator="greaterThan" aboveAverage="0" dxfId="10" text="" percent="0" bottom="0">
      <formula>e{r}</formula>
    </cfRule>
  </conditionalFormatting>
  <conditionalFormatting sqref="H288">
    <cfRule type="cellIs" rank="0" priority="848" equalAverage="0" operator="greaterThan" aboveAverage="0" dxfId="1" text="" percent="0" bottom="0">
      <formula>0</formula>
    </cfRule>
    <cfRule type="cellIs" rank="0" priority="849" equalAverage="0" operator="lessThanOrEqual" aboveAverage="0" dxfId="0" text="" percent="0" bottom="0">
      <formula>0</formula>
    </cfRule>
  </conditionalFormatting>
  <conditionalFormatting sqref="G288">
    <cfRule type="cellIs" rank="0" priority="850" equalAverage="0" operator="greaterThan" aboveAverage="0" dxfId="10" text="" percent="0" bottom="0">
      <formula>e{r}</formula>
    </cfRule>
  </conditionalFormatting>
  <conditionalFormatting sqref="H289">
    <cfRule type="cellIs" rank="0" priority="851" equalAverage="0" operator="greaterThan" aboveAverage="0" dxfId="1" text="" percent="0" bottom="0">
      <formula>0</formula>
    </cfRule>
    <cfRule type="cellIs" rank="0" priority="852" equalAverage="0" operator="lessThanOrEqual" aboveAverage="0" dxfId="0" text="" percent="0" bottom="0">
      <formula>0</formula>
    </cfRule>
  </conditionalFormatting>
  <conditionalFormatting sqref="G289">
    <cfRule type="cellIs" rank="0" priority="853" equalAverage="0" operator="greaterThan" aboveAverage="0" dxfId="10" text="" percent="0" bottom="0">
      <formula>e{r}</formula>
    </cfRule>
  </conditionalFormatting>
  <conditionalFormatting sqref="H290">
    <cfRule type="cellIs" rank="0" priority="854" equalAverage="0" operator="greaterThan" aboveAverage="0" dxfId="1" text="" percent="0" bottom="0">
      <formula>0</formula>
    </cfRule>
    <cfRule type="cellIs" rank="0" priority="855" equalAverage="0" operator="lessThanOrEqual" aboveAverage="0" dxfId="0" text="" percent="0" bottom="0">
      <formula>0</formula>
    </cfRule>
  </conditionalFormatting>
  <conditionalFormatting sqref="G290">
    <cfRule type="cellIs" rank="0" priority="856" equalAverage="0" operator="greaterThan" aboveAverage="0" dxfId="10" text="" percent="0" bottom="0">
      <formula>e{r}</formula>
    </cfRule>
  </conditionalFormatting>
  <conditionalFormatting sqref="H291">
    <cfRule type="cellIs" rank="0" priority="857" equalAverage="0" operator="greaterThan" aboveAverage="0" dxfId="1" text="" percent="0" bottom="0">
      <formula>0</formula>
    </cfRule>
    <cfRule type="cellIs" rank="0" priority="858" equalAverage="0" operator="lessThanOrEqual" aboveAverage="0" dxfId="0" text="" percent="0" bottom="0">
      <formula>0</formula>
    </cfRule>
  </conditionalFormatting>
  <conditionalFormatting sqref="G291">
    <cfRule type="cellIs" rank="0" priority="859" equalAverage="0" operator="greaterThan" aboveAverage="0" dxfId="10" text="" percent="0" bottom="0">
      <formula>e{r}</formula>
    </cfRule>
  </conditionalFormatting>
  <conditionalFormatting sqref="H292">
    <cfRule type="cellIs" rank="0" priority="860" equalAverage="0" operator="greaterThan" aboveAverage="0" dxfId="1" text="" percent="0" bottom="0">
      <formula>0</formula>
    </cfRule>
    <cfRule type="cellIs" rank="0" priority="861" equalAverage="0" operator="lessThanOrEqual" aboveAverage="0" dxfId="0" text="" percent="0" bottom="0">
      <formula>0</formula>
    </cfRule>
  </conditionalFormatting>
  <conditionalFormatting sqref="G292">
    <cfRule type="cellIs" rank="0" priority="862" equalAverage="0" operator="greaterThan" aboveAverage="0" dxfId="10" text="" percent="0" bottom="0">
      <formula>e{r}</formula>
    </cfRule>
  </conditionalFormatting>
  <conditionalFormatting sqref="H293">
    <cfRule type="cellIs" rank="0" priority="863" equalAverage="0" operator="greaterThan" aboveAverage="0" dxfId="1" text="" percent="0" bottom="0">
      <formula>0</formula>
    </cfRule>
    <cfRule type="cellIs" rank="0" priority="864" equalAverage="0" operator="lessThanOrEqual" aboveAverage="0" dxfId="0" text="" percent="0" bottom="0">
      <formula>0</formula>
    </cfRule>
  </conditionalFormatting>
  <conditionalFormatting sqref="G293">
    <cfRule type="cellIs" rank="0" priority="865" equalAverage="0" operator="greaterThan" aboveAverage="0" dxfId="10" text="" percent="0" bottom="0">
      <formula>e{r}</formula>
    </cfRule>
  </conditionalFormatting>
  <conditionalFormatting sqref="H294">
    <cfRule type="cellIs" rank="0" priority="866" equalAverage="0" operator="greaterThan" aboveAverage="0" dxfId="1" text="" percent="0" bottom="0">
      <formula>0</formula>
    </cfRule>
    <cfRule type="cellIs" rank="0" priority="867" equalAverage="0" operator="lessThanOrEqual" aboveAverage="0" dxfId="0" text="" percent="0" bottom="0">
      <formula>0</formula>
    </cfRule>
  </conditionalFormatting>
  <conditionalFormatting sqref="G294">
    <cfRule type="cellIs" rank="0" priority="868" equalAverage="0" operator="greaterThan" aboveAverage="0" dxfId="10" text="" percent="0" bottom="0">
      <formula>e{r}</formula>
    </cfRule>
  </conditionalFormatting>
  <conditionalFormatting sqref="H295">
    <cfRule type="cellIs" rank="0" priority="869" equalAverage="0" operator="greaterThan" aboveAverage="0" dxfId="1" text="" percent="0" bottom="0">
      <formula>0</formula>
    </cfRule>
    <cfRule type="cellIs" rank="0" priority="870" equalAverage="0" operator="lessThanOrEqual" aboveAverage="0" dxfId="0" text="" percent="0" bottom="0">
      <formula>0</formula>
    </cfRule>
  </conditionalFormatting>
  <conditionalFormatting sqref="G295">
    <cfRule type="cellIs" rank="0" priority="871" equalAverage="0" operator="greaterThan" aboveAverage="0" dxfId="10" text="" percent="0" bottom="0">
      <formula>e{r}</formula>
    </cfRule>
  </conditionalFormatting>
  <conditionalFormatting sqref="H296">
    <cfRule type="cellIs" rank="0" priority="872" equalAverage="0" operator="greaterThan" aboveAverage="0" dxfId="1" text="" percent="0" bottom="0">
      <formula>0</formula>
    </cfRule>
    <cfRule type="cellIs" rank="0" priority="873" equalAverage="0" operator="lessThanOrEqual" aboveAverage="0" dxfId="0" text="" percent="0" bottom="0">
      <formula>0</formula>
    </cfRule>
  </conditionalFormatting>
  <conditionalFormatting sqref="G296">
    <cfRule type="cellIs" rank="0" priority="874" equalAverage="0" operator="greaterThan" aboveAverage="0" dxfId="10" text="" percent="0" bottom="0">
      <formula>e{r}</formula>
    </cfRule>
  </conditionalFormatting>
  <conditionalFormatting sqref="H297">
    <cfRule type="cellIs" rank="0" priority="875" equalAverage="0" operator="greaterThan" aboveAverage="0" dxfId="1" text="" percent="0" bottom="0">
      <formula>0</formula>
    </cfRule>
    <cfRule type="cellIs" rank="0" priority="876" equalAverage="0" operator="lessThanOrEqual" aboveAverage="0" dxfId="0" text="" percent="0" bottom="0">
      <formula>0</formula>
    </cfRule>
  </conditionalFormatting>
  <conditionalFormatting sqref="G297">
    <cfRule type="cellIs" rank="0" priority="877" equalAverage="0" operator="greaterThan" aboveAverage="0" dxfId="10" text="" percent="0" bottom="0">
      <formula>e{r}</formula>
    </cfRule>
  </conditionalFormatting>
  <conditionalFormatting sqref="H298">
    <cfRule type="cellIs" rank="0" priority="878" equalAverage="0" operator="greaterThan" aboveAverage="0" dxfId="1" text="" percent="0" bottom="0">
      <formula>0</formula>
    </cfRule>
    <cfRule type="cellIs" rank="0" priority="879" equalAverage="0" operator="lessThanOrEqual" aboveAverage="0" dxfId="0" text="" percent="0" bottom="0">
      <formula>0</formula>
    </cfRule>
  </conditionalFormatting>
  <conditionalFormatting sqref="G298">
    <cfRule type="cellIs" rank="0" priority="880" equalAverage="0" operator="greaterThan" aboveAverage="0" dxfId="10" text="" percent="0" bottom="0">
      <formula>e{r}</formula>
    </cfRule>
  </conditionalFormatting>
  <conditionalFormatting sqref="H299">
    <cfRule type="cellIs" rank="0" priority="881" equalAverage="0" operator="greaterThan" aboveAverage="0" dxfId="1" text="" percent="0" bottom="0">
      <formula>0</formula>
    </cfRule>
    <cfRule type="cellIs" rank="0" priority="882" equalAverage="0" operator="lessThanOrEqual" aboveAverage="0" dxfId="0" text="" percent="0" bottom="0">
      <formula>0</formula>
    </cfRule>
  </conditionalFormatting>
  <conditionalFormatting sqref="G299">
    <cfRule type="cellIs" rank="0" priority="883" equalAverage="0" operator="greaterThan" aboveAverage="0" dxfId="10" text="" percent="0" bottom="0">
      <formula>e{r}</formula>
    </cfRule>
  </conditionalFormatting>
  <conditionalFormatting sqref="H300">
    <cfRule type="cellIs" rank="0" priority="884" equalAverage="0" operator="greaterThan" aboveAverage="0" dxfId="1" text="" percent="0" bottom="0">
      <formula>0</formula>
    </cfRule>
    <cfRule type="cellIs" rank="0" priority="885" equalAverage="0" operator="lessThanOrEqual" aboveAverage="0" dxfId="0" text="" percent="0" bottom="0">
      <formula>0</formula>
    </cfRule>
  </conditionalFormatting>
  <conditionalFormatting sqref="G300">
    <cfRule type="cellIs" rank="0" priority="886" equalAverage="0" operator="greaterThan" aboveAverage="0" dxfId="10" text="" percent="0" bottom="0">
      <formula>e{r}</formula>
    </cfRule>
  </conditionalFormatting>
  <conditionalFormatting sqref="H301">
    <cfRule type="cellIs" rank="0" priority="887" equalAverage="0" operator="greaterThan" aboveAverage="0" dxfId="1" text="" percent="0" bottom="0">
      <formula>0</formula>
    </cfRule>
    <cfRule type="cellIs" rank="0" priority="888" equalAverage="0" operator="lessThanOrEqual" aboveAverage="0" dxfId="0" text="" percent="0" bottom="0">
      <formula>0</formula>
    </cfRule>
  </conditionalFormatting>
  <conditionalFormatting sqref="G301">
    <cfRule type="cellIs" rank="0" priority="889" equalAverage="0" operator="greaterThan" aboveAverage="0" dxfId="10" text="" percent="0" bottom="0">
      <formula>e{r}</formula>
    </cfRule>
  </conditionalFormatting>
  <conditionalFormatting sqref="H302">
    <cfRule type="cellIs" rank="0" priority="890" equalAverage="0" operator="greaterThan" aboveAverage="0" dxfId="1" text="" percent="0" bottom="0">
      <formula>0</formula>
    </cfRule>
    <cfRule type="cellIs" rank="0" priority="891" equalAverage="0" operator="lessThanOrEqual" aboveAverage="0" dxfId="0" text="" percent="0" bottom="0">
      <formula>0</formula>
    </cfRule>
  </conditionalFormatting>
  <conditionalFormatting sqref="G302">
    <cfRule type="cellIs" rank="0" priority="892" equalAverage="0" operator="greaterThan" aboveAverage="0" dxfId="10" text="" percent="0" bottom="0">
      <formula>e{r}</formula>
    </cfRule>
  </conditionalFormatting>
  <conditionalFormatting sqref="H303">
    <cfRule type="cellIs" rank="0" priority="893" equalAverage="0" operator="greaterThan" aboveAverage="0" dxfId="1" text="" percent="0" bottom="0">
      <formula>0</formula>
    </cfRule>
    <cfRule type="cellIs" rank="0" priority="894" equalAverage="0" operator="lessThanOrEqual" aboveAverage="0" dxfId="0" text="" percent="0" bottom="0">
      <formula>0</formula>
    </cfRule>
  </conditionalFormatting>
  <conditionalFormatting sqref="G303">
    <cfRule type="cellIs" rank="0" priority="895" equalAverage="0" operator="greaterThan" aboveAverage="0" dxfId="10" text="" percent="0" bottom="0">
      <formula>e{r}</formula>
    </cfRule>
  </conditionalFormatting>
  <conditionalFormatting sqref="H304">
    <cfRule type="cellIs" rank="0" priority="896" equalAverage="0" operator="greaterThan" aboveAverage="0" dxfId="1" text="" percent="0" bottom="0">
      <formula>0</formula>
    </cfRule>
    <cfRule type="cellIs" rank="0" priority="897" equalAverage="0" operator="lessThanOrEqual" aboveAverage="0" dxfId="0" text="" percent="0" bottom="0">
      <formula>0</formula>
    </cfRule>
  </conditionalFormatting>
  <conditionalFormatting sqref="G304">
    <cfRule type="cellIs" rank="0" priority="898" equalAverage="0" operator="greaterThan" aboveAverage="0" dxfId="10" text="" percent="0" bottom="0">
      <formula>e{r}</formula>
    </cfRule>
  </conditionalFormatting>
  <conditionalFormatting sqref="H305">
    <cfRule type="cellIs" rank="0" priority="899" equalAverage="0" operator="greaterThan" aboveAverage="0" dxfId="1" text="" percent="0" bottom="0">
      <formula>0</formula>
    </cfRule>
    <cfRule type="cellIs" rank="0" priority="900" equalAverage="0" operator="lessThanOrEqual" aboveAverage="0" dxfId="0" text="" percent="0" bottom="0">
      <formula>0</formula>
    </cfRule>
  </conditionalFormatting>
  <conditionalFormatting sqref="G305">
    <cfRule type="cellIs" rank="0" priority="901" equalAverage="0" operator="greaterThan" aboveAverage="0" dxfId="10" text="" percent="0" bottom="0">
      <formula>e{r}</formula>
    </cfRule>
  </conditionalFormatting>
  <conditionalFormatting sqref="H306">
    <cfRule type="cellIs" rank="0" priority="902" equalAverage="0" operator="greaterThan" aboveAverage="0" dxfId="1" text="" percent="0" bottom="0">
      <formula>0</formula>
    </cfRule>
    <cfRule type="cellIs" rank="0" priority="903" equalAverage="0" operator="lessThanOrEqual" aboveAverage="0" dxfId="0" text="" percent="0" bottom="0">
      <formula>0</formula>
    </cfRule>
  </conditionalFormatting>
  <conditionalFormatting sqref="G306">
    <cfRule type="cellIs" rank="0" priority="904" equalAverage="0" operator="greaterThan" aboveAverage="0" dxfId="10" text="" percent="0" bottom="0">
      <formula>e{r}</formula>
    </cfRule>
  </conditionalFormatting>
  <conditionalFormatting sqref="H307">
    <cfRule type="cellIs" rank="0" priority="905" equalAverage="0" operator="greaterThan" aboveAverage="0" dxfId="1" text="" percent="0" bottom="0">
      <formula>0</formula>
    </cfRule>
    <cfRule type="cellIs" rank="0" priority="906" equalAverage="0" operator="lessThanOrEqual" aboveAverage="0" dxfId="0" text="" percent="0" bottom="0">
      <formula>0</formula>
    </cfRule>
  </conditionalFormatting>
  <conditionalFormatting sqref="G307">
    <cfRule type="cellIs" rank="0" priority="907" equalAverage="0" operator="greaterThan" aboveAverage="0" dxfId="10" text="" percent="0" bottom="0">
      <formula>e{r}</formula>
    </cfRule>
  </conditionalFormatting>
  <conditionalFormatting sqref="H308">
    <cfRule type="cellIs" rank="0" priority="908" equalAverage="0" operator="greaterThan" aboveAverage="0" dxfId="1" text="" percent="0" bottom="0">
      <formula>0</formula>
    </cfRule>
    <cfRule type="cellIs" rank="0" priority="909" equalAverage="0" operator="lessThanOrEqual" aboveAverage="0" dxfId="0" text="" percent="0" bottom="0">
      <formula>0</formula>
    </cfRule>
  </conditionalFormatting>
  <conditionalFormatting sqref="G308">
    <cfRule type="cellIs" rank="0" priority="910" equalAverage="0" operator="greaterThan" aboveAverage="0" dxfId="10" text="" percent="0" bottom="0">
      <formula>e{r}</formula>
    </cfRule>
  </conditionalFormatting>
  <conditionalFormatting sqref="H309">
    <cfRule type="cellIs" rank="0" priority="911" equalAverage="0" operator="greaterThan" aboveAverage="0" dxfId="1" text="" percent="0" bottom="0">
      <formula>0</formula>
    </cfRule>
    <cfRule type="cellIs" rank="0" priority="912" equalAverage="0" operator="lessThanOrEqual" aboveAverage="0" dxfId="0" text="" percent="0" bottom="0">
      <formula>0</formula>
    </cfRule>
  </conditionalFormatting>
  <conditionalFormatting sqref="G309">
    <cfRule type="cellIs" rank="0" priority="913" equalAverage="0" operator="greaterThan" aboveAverage="0" dxfId="10" text="" percent="0" bottom="0">
      <formula>e{r}</formula>
    </cfRule>
  </conditionalFormatting>
  <conditionalFormatting sqref="H310">
    <cfRule type="cellIs" rank="0" priority="914" equalAverage="0" operator="greaterThan" aboveAverage="0" dxfId="1" text="" percent="0" bottom="0">
      <formula>0</formula>
    </cfRule>
    <cfRule type="cellIs" rank="0" priority="915" equalAverage="0" operator="lessThanOrEqual" aboveAverage="0" dxfId="0" text="" percent="0" bottom="0">
      <formula>0</formula>
    </cfRule>
  </conditionalFormatting>
  <conditionalFormatting sqref="G310">
    <cfRule type="cellIs" rank="0" priority="916" equalAverage="0" operator="greaterThan" aboveAverage="0" dxfId="10" text="" percent="0" bottom="0">
      <formula>e{r}</formula>
    </cfRule>
  </conditionalFormatting>
  <conditionalFormatting sqref="H311">
    <cfRule type="cellIs" rank="0" priority="917" equalAverage="0" operator="greaterThan" aboveAverage="0" dxfId="1" text="" percent="0" bottom="0">
      <formula>0</formula>
    </cfRule>
    <cfRule type="cellIs" rank="0" priority="918" equalAverage="0" operator="lessThanOrEqual" aboveAverage="0" dxfId="0" text="" percent="0" bottom="0">
      <formula>0</formula>
    </cfRule>
  </conditionalFormatting>
  <conditionalFormatting sqref="G311">
    <cfRule type="cellIs" rank="0" priority="919" equalAverage="0" operator="greaterThan" aboveAverage="0" dxfId="10" text="" percent="0" bottom="0">
      <formula>e{r}</formula>
    </cfRule>
  </conditionalFormatting>
  <conditionalFormatting sqref="H312">
    <cfRule type="cellIs" rank="0" priority="920" equalAverage="0" operator="greaterThan" aboveAverage="0" dxfId="1" text="" percent="0" bottom="0">
      <formula>0</formula>
    </cfRule>
    <cfRule type="cellIs" rank="0" priority="921" equalAverage="0" operator="lessThanOrEqual" aboveAverage="0" dxfId="0" text="" percent="0" bottom="0">
      <formula>0</formula>
    </cfRule>
  </conditionalFormatting>
  <conditionalFormatting sqref="G312">
    <cfRule type="cellIs" rank="0" priority="922" equalAverage="0" operator="greaterThan" aboveAverage="0" dxfId="10" text="" percent="0" bottom="0">
      <formula>e{r}</formula>
    </cfRule>
  </conditionalFormatting>
  <conditionalFormatting sqref="H313">
    <cfRule type="cellIs" rank="0" priority="923" equalAverage="0" operator="greaterThan" aboveAverage="0" dxfId="1" text="" percent="0" bottom="0">
      <formula>0</formula>
    </cfRule>
    <cfRule type="cellIs" rank="0" priority="924" equalAverage="0" operator="lessThanOrEqual" aboveAverage="0" dxfId="0" text="" percent="0" bottom="0">
      <formula>0</formula>
    </cfRule>
  </conditionalFormatting>
  <conditionalFormatting sqref="G313">
    <cfRule type="cellIs" rank="0" priority="925" equalAverage="0" operator="greaterThan" aboveAverage="0" dxfId="10" text="" percent="0" bottom="0">
      <formula>e{r}</formula>
    </cfRule>
  </conditionalFormatting>
  <conditionalFormatting sqref="H314">
    <cfRule type="cellIs" rank="0" priority="926" equalAverage="0" operator="greaterThan" aboveAverage="0" dxfId="1" text="" percent="0" bottom="0">
      <formula>0</formula>
    </cfRule>
    <cfRule type="cellIs" rank="0" priority="927" equalAverage="0" operator="lessThanOrEqual" aboveAverage="0" dxfId="0" text="" percent="0" bottom="0">
      <formula>0</formula>
    </cfRule>
  </conditionalFormatting>
  <conditionalFormatting sqref="G314">
    <cfRule type="cellIs" rank="0" priority="928" equalAverage="0" operator="greaterThan" aboveAverage="0" dxfId="10" text="" percent="0" bottom="0">
      <formula>e{r}</formula>
    </cfRule>
  </conditionalFormatting>
  <conditionalFormatting sqref="H315">
    <cfRule type="cellIs" rank="0" priority="929" equalAverage="0" operator="greaterThan" aboveAverage="0" dxfId="1" text="" percent="0" bottom="0">
      <formula>0</formula>
    </cfRule>
    <cfRule type="cellIs" rank="0" priority="930" equalAverage="0" operator="lessThanOrEqual" aboveAverage="0" dxfId="0" text="" percent="0" bottom="0">
      <formula>0</formula>
    </cfRule>
  </conditionalFormatting>
  <conditionalFormatting sqref="G315">
    <cfRule type="cellIs" rank="0" priority="931" equalAverage="0" operator="greaterThan" aboveAverage="0" dxfId="10" text="" percent="0" bottom="0">
      <formula>e{r}</formula>
    </cfRule>
  </conditionalFormatting>
  <conditionalFormatting sqref="H316">
    <cfRule type="cellIs" rank="0" priority="932" equalAverage="0" operator="greaterThan" aboveAverage="0" dxfId="1" text="" percent="0" bottom="0">
      <formula>0</formula>
    </cfRule>
    <cfRule type="cellIs" rank="0" priority="933" equalAverage="0" operator="lessThanOrEqual" aboveAverage="0" dxfId="0" text="" percent="0" bottom="0">
      <formula>0</formula>
    </cfRule>
  </conditionalFormatting>
  <conditionalFormatting sqref="G316">
    <cfRule type="cellIs" rank="0" priority="934" equalAverage="0" operator="greaterThan" aboveAverage="0" dxfId="10" text="" percent="0" bottom="0">
      <formula>e{r}</formula>
    </cfRule>
  </conditionalFormatting>
  <conditionalFormatting sqref="H317">
    <cfRule type="cellIs" rank="0" priority="935" equalAverage="0" operator="greaterThan" aboveAverage="0" dxfId="1" text="" percent="0" bottom="0">
      <formula>0</formula>
    </cfRule>
    <cfRule type="cellIs" rank="0" priority="936" equalAverage="0" operator="lessThanOrEqual" aboveAverage="0" dxfId="0" text="" percent="0" bottom="0">
      <formula>0</formula>
    </cfRule>
  </conditionalFormatting>
  <conditionalFormatting sqref="G317">
    <cfRule type="cellIs" rank="0" priority="937" equalAverage="0" operator="greaterThan" aboveAverage="0" dxfId="10" text="" percent="0" bottom="0">
      <formula>e{r}</formula>
    </cfRule>
  </conditionalFormatting>
  <conditionalFormatting sqref="H318">
    <cfRule type="cellIs" rank="0" priority="938" equalAverage="0" operator="greaterThan" aboveAverage="0" dxfId="1" text="" percent="0" bottom="0">
      <formula>0</formula>
    </cfRule>
    <cfRule type="cellIs" rank="0" priority="939" equalAverage="0" operator="lessThanOrEqual" aboveAverage="0" dxfId="0" text="" percent="0" bottom="0">
      <formula>0</formula>
    </cfRule>
  </conditionalFormatting>
  <conditionalFormatting sqref="G318">
    <cfRule type="cellIs" rank="0" priority="940" equalAverage="0" operator="greaterThan" aboveAverage="0" dxfId="10" text="" percent="0" bottom="0">
      <formula>e{r}</formula>
    </cfRule>
  </conditionalFormatting>
  <conditionalFormatting sqref="H319">
    <cfRule type="cellIs" rank="0" priority="941" equalAverage="0" operator="greaterThan" aboveAverage="0" dxfId="1" text="" percent="0" bottom="0">
      <formula>0</formula>
    </cfRule>
    <cfRule type="cellIs" rank="0" priority="942" equalAverage="0" operator="lessThanOrEqual" aboveAverage="0" dxfId="0" text="" percent="0" bottom="0">
      <formula>0</formula>
    </cfRule>
  </conditionalFormatting>
  <conditionalFormatting sqref="G319">
    <cfRule type="cellIs" rank="0" priority="943" equalAverage="0" operator="greaterThan" aboveAverage="0" dxfId="10" text="" percent="0" bottom="0">
      <formula>e{r}</formula>
    </cfRule>
  </conditionalFormatting>
  <conditionalFormatting sqref="H320">
    <cfRule type="cellIs" rank="0" priority="944" equalAverage="0" operator="greaterThan" aboveAverage="0" dxfId="1" text="" percent="0" bottom="0">
      <formula>0</formula>
    </cfRule>
    <cfRule type="cellIs" rank="0" priority="945" equalAverage="0" operator="lessThanOrEqual" aboveAverage="0" dxfId="0" text="" percent="0" bottom="0">
      <formula>0</formula>
    </cfRule>
  </conditionalFormatting>
  <conditionalFormatting sqref="G320">
    <cfRule type="cellIs" rank="0" priority="946" equalAverage="0" operator="greaterThan" aboveAverage="0" dxfId="10" text="" percent="0" bottom="0">
      <formula>e{r}</formula>
    </cfRule>
  </conditionalFormatting>
  <conditionalFormatting sqref="H321">
    <cfRule type="cellIs" rank="0" priority="947" equalAverage="0" operator="greaterThan" aboveAverage="0" dxfId="1" text="" percent="0" bottom="0">
      <formula>0</formula>
    </cfRule>
    <cfRule type="cellIs" rank="0" priority="948" equalAverage="0" operator="lessThanOrEqual" aboveAverage="0" dxfId="0" text="" percent="0" bottom="0">
      <formula>0</formula>
    </cfRule>
  </conditionalFormatting>
  <conditionalFormatting sqref="G321">
    <cfRule type="cellIs" rank="0" priority="949" equalAverage="0" operator="greaterThan" aboveAverage="0" dxfId="10" text="" percent="0" bottom="0">
      <formula>e{r}</formula>
    </cfRule>
  </conditionalFormatting>
  <conditionalFormatting sqref="H322">
    <cfRule type="cellIs" rank="0" priority="950" equalAverage="0" operator="greaterThan" aboveAverage="0" dxfId="1" text="" percent="0" bottom="0">
      <formula>0</formula>
    </cfRule>
    <cfRule type="cellIs" rank="0" priority="951" equalAverage="0" operator="lessThanOrEqual" aboveAverage="0" dxfId="0" text="" percent="0" bottom="0">
      <formula>0</formula>
    </cfRule>
  </conditionalFormatting>
  <conditionalFormatting sqref="G322">
    <cfRule type="cellIs" rank="0" priority="952" equalAverage="0" operator="greaterThan" aboveAverage="0" dxfId="10" text="" percent="0" bottom="0">
      <formula>e{r}</formula>
    </cfRule>
  </conditionalFormatting>
  <conditionalFormatting sqref="H323">
    <cfRule type="cellIs" rank="0" priority="953" equalAverage="0" operator="greaterThan" aboveAverage="0" dxfId="1" text="" percent="0" bottom="0">
      <formula>0</formula>
    </cfRule>
    <cfRule type="cellIs" rank="0" priority="954" equalAverage="0" operator="lessThanOrEqual" aboveAverage="0" dxfId="0" text="" percent="0" bottom="0">
      <formula>0</formula>
    </cfRule>
  </conditionalFormatting>
  <conditionalFormatting sqref="G323">
    <cfRule type="cellIs" rank="0" priority="955" equalAverage="0" operator="greaterThan" aboveAverage="0" dxfId="10" text="" percent="0" bottom="0">
      <formula>e{r}</formula>
    </cfRule>
  </conditionalFormatting>
  <conditionalFormatting sqref="H324">
    <cfRule type="cellIs" rank="0" priority="956" equalAverage="0" operator="greaterThan" aboveAverage="0" dxfId="1" text="" percent="0" bottom="0">
      <formula>0</formula>
    </cfRule>
    <cfRule type="cellIs" rank="0" priority="957" equalAverage="0" operator="lessThanOrEqual" aboveAverage="0" dxfId="0" text="" percent="0" bottom="0">
      <formula>0</formula>
    </cfRule>
  </conditionalFormatting>
  <conditionalFormatting sqref="G324">
    <cfRule type="cellIs" rank="0" priority="958" equalAverage="0" operator="greaterThan" aboveAverage="0" dxfId="10" text="" percent="0" bottom="0">
      <formula>e{r}</formula>
    </cfRule>
  </conditionalFormatting>
  <conditionalFormatting sqref="H325">
    <cfRule type="cellIs" rank="0" priority="959" equalAverage="0" operator="greaterThan" aboveAverage="0" dxfId="1" text="" percent="0" bottom="0">
      <formula>0</formula>
    </cfRule>
    <cfRule type="cellIs" rank="0" priority="960" equalAverage="0" operator="lessThanOrEqual" aboveAverage="0" dxfId="0" text="" percent="0" bottom="0">
      <formula>0</formula>
    </cfRule>
  </conditionalFormatting>
  <conditionalFormatting sqref="G325">
    <cfRule type="cellIs" rank="0" priority="961" equalAverage="0" operator="greaterThan" aboveAverage="0" dxfId="10" text="" percent="0" bottom="0">
      <formula>e{r}</formula>
    </cfRule>
  </conditionalFormatting>
  <conditionalFormatting sqref="H326">
    <cfRule type="cellIs" rank="0" priority="962" equalAverage="0" operator="greaterThan" aboveAverage="0" dxfId="1" text="" percent="0" bottom="0">
      <formula>0</formula>
    </cfRule>
    <cfRule type="cellIs" rank="0" priority="963" equalAverage="0" operator="lessThanOrEqual" aboveAverage="0" dxfId="0" text="" percent="0" bottom="0">
      <formula>0</formula>
    </cfRule>
  </conditionalFormatting>
  <conditionalFormatting sqref="G326">
    <cfRule type="cellIs" rank="0" priority="964" equalAverage="0" operator="greaterThan" aboveAverage="0" dxfId="10" text="" percent="0" bottom="0">
      <formula>e{r}</formula>
    </cfRule>
  </conditionalFormatting>
  <conditionalFormatting sqref="H327">
    <cfRule type="cellIs" rank="0" priority="965" equalAverage="0" operator="greaterThan" aboveAverage="0" dxfId="1" text="" percent="0" bottom="0">
      <formula>0</formula>
    </cfRule>
    <cfRule type="cellIs" rank="0" priority="966" equalAverage="0" operator="lessThanOrEqual" aboveAverage="0" dxfId="0" text="" percent="0" bottom="0">
      <formula>0</formula>
    </cfRule>
  </conditionalFormatting>
  <conditionalFormatting sqref="G327">
    <cfRule type="cellIs" rank="0" priority="967" equalAverage="0" operator="greaterThan" aboveAverage="0" dxfId="10" text="" percent="0" bottom="0">
      <formula>e{r}</formula>
    </cfRule>
  </conditionalFormatting>
  <conditionalFormatting sqref="H328">
    <cfRule type="cellIs" rank="0" priority="968" equalAverage="0" operator="greaterThan" aboveAverage="0" dxfId="1" text="" percent="0" bottom="0">
      <formula>0</formula>
    </cfRule>
    <cfRule type="cellIs" rank="0" priority="969" equalAverage="0" operator="lessThanOrEqual" aboveAverage="0" dxfId="0" text="" percent="0" bottom="0">
      <formula>0</formula>
    </cfRule>
  </conditionalFormatting>
  <conditionalFormatting sqref="G328">
    <cfRule type="cellIs" rank="0" priority="970" equalAverage="0" operator="greaterThan" aboveAverage="0" dxfId="10" text="" percent="0" bottom="0">
      <formula>e{r}</formula>
    </cfRule>
  </conditionalFormatting>
  <conditionalFormatting sqref="H329">
    <cfRule type="cellIs" rank="0" priority="971" equalAverage="0" operator="greaterThan" aboveAverage="0" dxfId="1" text="" percent="0" bottom="0">
      <formula>0</formula>
    </cfRule>
    <cfRule type="cellIs" rank="0" priority="972" equalAverage="0" operator="lessThanOrEqual" aboveAverage="0" dxfId="0" text="" percent="0" bottom="0">
      <formula>0</formula>
    </cfRule>
  </conditionalFormatting>
  <conditionalFormatting sqref="G329">
    <cfRule type="cellIs" rank="0" priority="973" equalAverage="0" operator="greaterThan" aboveAverage="0" dxfId="10" text="" percent="0" bottom="0">
      <formula>e{r}</formula>
    </cfRule>
  </conditionalFormatting>
  <conditionalFormatting sqref="H330">
    <cfRule type="cellIs" rank="0" priority="974" equalAverage="0" operator="greaterThan" aboveAverage="0" dxfId="1" text="" percent="0" bottom="0">
      <formula>0</formula>
    </cfRule>
    <cfRule type="cellIs" rank="0" priority="975" equalAverage="0" operator="lessThanOrEqual" aboveAverage="0" dxfId="0" text="" percent="0" bottom="0">
      <formula>0</formula>
    </cfRule>
  </conditionalFormatting>
  <conditionalFormatting sqref="G330">
    <cfRule type="cellIs" rank="0" priority="976" equalAverage="0" operator="greaterThan" aboveAverage="0" dxfId="10" text="" percent="0" bottom="0">
      <formula>e{r}</formula>
    </cfRule>
  </conditionalFormatting>
  <conditionalFormatting sqref="H331">
    <cfRule type="cellIs" rank="0" priority="977" equalAverage="0" operator="greaterThan" aboveAverage="0" dxfId="1" text="" percent="0" bottom="0">
      <formula>0</formula>
    </cfRule>
    <cfRule type="cellIs" rank="0" priority="978" equalAverage="0" operator="lessThanOrEqual" aboveAverage="0" dxfId="0" text="" percent="0" bottom="0">
      <formula>0</formula>
    </cfRule>
  </conditionalFormatting>
  <conditionalFormatting sqref="G331">
    <cfRule type="cellIs" rank="0" priority="979" equalAverage="0" operator="greaterThan" aboveAverage="0" dxfId="10" text="" percent="0" bottom="0">
      <formula>e{r}</formula>
    </cfRule>
  </conditionalFormatting>
  <conditionalFormatting sqref="H332">
    <cfRule type="cellIs" rank="0" priority="980" equalAverage="0" operator="greaterThan" aboveAverage="0" dxfId="1" text="" percent="0" bottom="0">
      <formula>0</formula>
    </cfRule>
    <cfRule type="cellIs" rank="0" priority="981" equalAverage="0" operator="lessThanOrEqual" aboveAverage="0" dxfId="0" text="" percent="0" bottom="0">
      <formula>0</formula>
    </cfRule>
  </conditionalFormatting>
  <conditionalFormatting sqref="G332">
    <cfRule type="cellIs" rank="0" priority="982" equalAverage="0" operator="greaterThan" aboveAverage="0" dxfId="10" text="" percent="0" bottom="0">
      <formula>e{r}</formula>
    </cfRule>
  </conditionalFormatting>
  <conditionalFormatting sqref="H333">
    <cfRule type="cellIs" rank="0" priority="983" equalAverage="0" operator="greaterThan" aboveAverage="0" dxfId="1" text="" percent="0" bottom="0">
      <formula>0</formula>
    </cfRule>
    <cfRule type="cellIs" rank="0" priority="984" equalAverage="0" operator="lessThanOrEqual" aboveAverage="0" dxfId="0" text="" percent="0" bottom="0">
      <formula>0</formula>
    </cfRule>
  </conditionalFormatting>
  <conditionalFormatting sqref="G333">
    <cfRule type="cellIs" rank="0" priority="985" equalAverage="0" operator="greaterThan" aboveAverage="0" dxfId="10" text="" percent="0" bottom="0">
      <formula>e{r}</formula>
    </cfRule>
  </conditionalFormatting>
  <conditionalFormatting sqref="H334">
    <cfRule type="cellIs" rank="0" priority="986" equalAverage="0" operator="greaterThan" aboveAverage="0" dxfId="1" text="" percent="0" bottom="0">
      <formula>0</formula>
    </cfRule>
    <cfRule type="cellIs" rank="0" priority="987" equalAverage="0" operator="lessThanOrEqual" aboveAverage="0" dxfId="0" text="" percent="0" bottom="0">
      <formula>0</formula>
    </cfRule>
  </conditionalFormatting>
  <conditionalFormatting sqref="G334">
    <cfRule type="cellIs" rank="0" priority="988" equalAverage="0" operator="greaterThan" aboveAverage="0" dxfId="10" text="" percent="0" bottom="0">
      <formula>e{r}</formula>
    </cfRule>
  </conditionalFormatting>
  <conditionalFormatting sqref="H335">
    <cfRule type="cellIs" rank="0" priority="989" equalAverage="0" operator="greaterThan" aboveAverage="0" dxfId="1" text="" percent="0" bottom="0">
      <formula>0</formula>
    </cfRule>
    <cfRule type="cellIs" rank="0" priority="990" equalAverage="0" operator="lessThanOrEqual" aboveAverage="0" dxfId="0" text="" percent="0" bottom="0">
      <formula>0</formula>
    </cfRule>
  </conditionalFormatting>
  <conditionalFormatting sqref="G335">
    <cfRule type="cellIs" rank="0" priority="991" equalAverage="0" operator="greaterThan" aboveAverage="0" dxfId="10" text="" percent="0" bottom="0">
      <formula>e{r}</formula>
    </cfRule>
  </conditionalFormatting>
  <conditionalFormatting sqref="H336">
    <cfRule type="cellIs" rank="0" priority="992" equalAverage="0" operator="greaterThan" aboveAverage="0" dxfId="1" text="" percent="0" bottom="0">
      <formula>0</formula>
    </cfRule>
    <cfRule type="cellIs" rank="0" priority="993" equalAverage="0" operator="lessThanOrEqual" aboveAverage="0" dxfId="0" text="" percent="0" bottom="0">
      <formula>0</formula>
    </cfRule>
  </conditionalFormatting>
  <conditionalFormatting sqref="G336">
    <cfRule type="cellIs" rank="0" priority="994" equalAverage="0" operator="greaterThan" aboveAverage="0" dxfId="10" text="" percent="0" bottom="0">
      <formula>e{r}</formula>
    </cfRule>
  </conditionalFormatting>
  <conditionalFormatting sqref="H337">
    <cfRule type="cellIs" rank="0" priority="995" equalAverage="0" operator="greaterThan" aboveAverage="0" dxfId="1" text="" percent="0" bottom="0">
      <formula>0</formula>
    </cfRule>
    <cfRule type="cellIs" rank="0" priority="996" equalAverage="0" operator="lessThanOrEqual" aboveAverage="0" dxfId="0" text="" percent="0" bottom="0">
      <formula>0</formula>
    </cfRule>
  </conditionalFormatting>
  <conditionalFormatting sqref="G337">
    <cfRule type="cellIs" rank="0" priority="997" equalAverage="0" operator="greaterThan" aboveAverage="0" dxfId="10" text="" percent="0" bottom="0">
      <formula>e{r}</formula>
    </cfRule>
  </conditionalFormatting>
  <conditionalFormatting sqref="H338">
    <cfRule type="cellIs" rank="0" priority="998" equalAverage="0" operator="greaterThan" aboveAverage="0" dxfId="1" text="" percent="0" bottom="0">
      <formula>0</formula>
    </cfRule>
    <cfRule type="cellIs" rank="0" priority="999" equalAverage="0" operator="lessThanOrEqual" aboveAverage="0" dxfId="0" text="" percent="0" bottom="0">
      <formula>0</formula>
    </cfRule>
  </conditionalFormatting>
  <conditionalFormatting sqref="G338">
    <cfRule type="cellIs" rank="0" priority="1000" equalAverage="0" operator="greaterThan" aboveAverage="0" dxfId="10" text="" percent="0" bottom="0">
      <formula>e{r}</formula>
    </cfRule>
  </conditionalFormatting>
  <conditionalFormatting sqref="H339">
    <cfRule type="cellIs" rank="0" priority="1001" equalAverage="0" operator="greaterThan" aboveAverage="0" dxfId="1" text="" percent="0" bottom="0">
      <formula>0</formula>
    </cfRule>
    <cfRule type="cellIs" rank="0" priority="1002" equalAverage="0" operator="lessThanOrEqual" aboveAverage="0" dxfId="0" text="" percent="0" bottom="0">
      <formula>0</formula>
    </cfRule>
  </conditionalFormatting>
  <conditionalFormatting sqref="G339">
    <cfRule type="cellIs" rank="0" priority="1003" equalAverage="0" operator="greaterThan" aboveAverage="0" dxfId="10" text="" percent="0" bottom="0">
      <formula>e{r}</formula>
    </cfRule>
  </conditionalFormatting>
  <conditionalFormatting sqref="H340">
    <cfRule type="cellIs" rank="0" priority="1004" equalAverage="0" operator="greaterThan" aboveAverage="0" dxfId="1" text="" percent="0" bottom="0">
      <formula>0</formula>
    </cfRule>
    <cfRule type="cellIs" rank="0" priority="1005" equalAverage="0" operator="lessThanOrEqual" aboveAverage="0" dxfId="0" text="" percent="0" bottom="0">
      <formula>0</formula>
    </cfRule>
  </conditionalFormatting>
  <conditionalFormatting sqref="G340">
    <cfRule type="cellIs" rank="0" priority="1006" equalAverage="0" operator="greaterThan" aboveAverage="0" dxfId="10" text="" percent="0" bottom="0">
      <formula>e{r}</formula>
    </cfRule>
  </conditionalFormatting>
  <conditionalFormatting sqref="H341">
    <cfRule type="cellIs" rank="0" priority="1007" equalAverage="0" operator="greaterThan" aboveAverage="0" dxfId="1" text="" percent="0" bottom="0">
      <formula>0</formula>
    </cfRule>
    <cfRule type="cellIs" rank="0" priority="1008" equalAverage="0" operator="lessThanOrEqual" aboveAverage="0" dxfId="0" text="" percent="0" bottom="0">
      <formula>0</formula>
    </cfRule>
  </conditionalFormatting>
  <conditionalFormatting sqref="G341">
    <cfRule type="cellIs" rank="0" priority="1009" equalAverage="0" operator="greaterThan" aboveAverage="0" dxfId="10" text="" percent="0" bottom="0">
      <formula>e{r}</formula>
    </cfRule>
  </conditionalFormatting>
  <conditionalFormatting sqref="H342">
    <cfRule type="cellIs" rank="0" priority="1010" equalAverage="0" operator="greaterThan" aboveAverage="0" dxfId="1" text="" percent="0" bottom="0">
      <formula>0</formula>
    </cfRule>
    <cfRule type="cellIs" rank="0" priority="1011" equalAverage="0" operator="lessThanOrEqual" aboveAverage="0" dxfId="0" text="" percent="0" bottom="0">
      <formula>0</formula>
    </cfRule>
  </conditionalFormatting>
  <conditionalFormatting sqref="G342">
    <cfRule type="cellIs" rank="0" priority="1012" equalAverage="0" operator="greaterThan" aboveAverage="0" dxfId="10" text="" percent="0" bottom="0">
      <formula>e{r}</formula>
    </cfRule>
  </conditionalFormatting>
  <conditionalFormatting sqref="H343">
    <cfRule type="cellIs" rank="0" priority="1013" equalAverage="0" operator="greaterThan" aboveAverage="0" dxfId="1" text="" percent="0" bottom="0">
      <formula>0</formula>
    </cfRule>
    <cfRule type="cellIs" rank="0" priority="1014" equalAverage="0" operator="lessThanOrEqual" aboveAverage="0" dxfId="0" text="" percent="0" bottom="0">
      <formula>0</formula>
    </cfRule>
  </conditionalFormatting>
  <conditionalFormatting sqref="G343">
    <cfRule type="cellIs" rank="0" priority="1015" equalAverage="0" operator="greaterThan" aboveAverage="0" dxfId="10" text="" percent="0" bottom="0">
      <formula>e{r}</formula>
    </cfRule>
  </conditionalFormatting>
  <conditionalFormatting sqref="H344">
    <cfRule type="cellIs" rank="0" priority="1016" equalAverage="0" operator="greaterThan" aboveAverage="0" dxfId="1" text="" percent="0" bottom="0">
      <formula>0</formula>
    </cfRule>
    <cfRule type="cellIs" rank="0" priority="1017" equalAverage="0" operator="lessThanOrEqual" aboveAverage="0" dxfId="0" text="" percent="0" bottom="0">
      <formula>0</formula>
    </cfRule>
  </conditionalFormatting>
  <conditionalFormatting sqref="G344">
    <cfRule type="cellIs" rank="0" priority="1018" equalAverage="0" operator="greaterThan" aboveAverage="0" dxfId="10" text="" percent="0" bottom="0">
      <formula>e{r}</formula>
    </cfRule>
  </conditionalFormatting>
  <conditionalFormatting sqref="H345">
    <cfRule type="cellIs" rank="0" priority="1019" equalAverage="0" operator="greaterThan" aboveAverage="0" dxfId="1" text="" percent="0" bottom="0">
      <formula>0</formula>
    </cfRule>
    <cfRule type="cellIs" rank="0" priority="1020" equalAverage="0" operator="lessThanOrEqual" aboveAverage="0" dxfId="0" text="" percent="0" bottom="0">
      <formula>0</formula>
    </cfRule>
  </conditionalFormatting>
  <conditionalFormatting sqref="G345">
    <cfRule type="cellIs" rank="0" priority="1021" equalAverage="0" operator="greaterThan" aboveAverage="0" dxfId="10" text="" percent="0" bottom="0">
      <formula>e{r}</formula>
    </cfRule>
  </conditionalFormatting>
  <conditionalFormatting sqref="H346">
    <cfRule type="cellIs" rank="0" priority="1022" equalAverage="0" operator="greaterThan" aboveAverage="0" dxfId="1" text="" percent="0" bottom="0">
      <formula>0</formula>
    </cfRule>
    <cfRule type="cellIs" rank="0" priority="1023" equalAverage="0" operator="lessThanOrEqual" aboveAverage="0" dxfId="0" text="" percent="0" bottom="0">
      <formula>0</formula>
    </cfRule>
  </conditionalFormatting>
  <conditionalFormatting sqref="G346">
    <cfRule type="cellIs" rank="0" priority="1024" equalAverage="0" operator="greaterThan" aboveAverage="0" dxfId="10" text="" percent="0" bottom="0">
      <formula>e{r}</formula>
    </cfRule>
  </conditionalFormatting>
  <conditionalFormatting sqref="H347">
    <cfRule type="cellIs" rank="0" priority="1025" equalAverage="0" operator="greaterThan" aboveAverage="0" dxfId="1" text="" percent="0" bottom="0">
      <formula>0</formula>
    </cfRule>
    <cfRule type="cellIs" rank="0" priority="1026" equalAverage="0" operator="lessThanOrEqual" aboveAverage="0" dxfId="0" text="" percent="0" bottom="0">
      <formula>0</formula>
    </cfRule>
  </conditionalFormatting>
  <conditionalFormatting sqref="G347">
    <cfRule type="cellIs" rank="0" priority="1027" equalAverage="0" operator="greaterThan" aboveAverage="0" dxfId="10" text="" percent="0" bottom="0">
      <formula>e{r}</formula>
    </cfRule>
  </conditionalFormatting>
  <conditionalFormatting sqref="H348">
    <cfRule type="cellIs" rank="0" priority="1028" equalAverage="0" operator="greaterThan" aboveAverage="0" dxfId="1" text="" percent="0" bottom="0">
      <formula>0</formula>
    </cfRule>
    <cfRule type="cellIs" rank="0" priority="1029" equalAverage="0" operator="lessThanOrEqual" aboveAverage="0" dxfId="0" text="" percent="0" bottom="0">
      <formula>0</formula>
    </cfRule>
  </conditionalFormatting>
  <conditionalFormatting sqref="G348">
    <cfRule type="cellIs" rank="0" priority="1030" equalAverage="0" operator="greaterThan" aboveAverage="0" dxfId="10" text="" percent="0" bottom="0">
      <formula>e{r}</formula>
    </cfRule>
  </conditionalFormatting>
  <conditionalFormatting sqref="H349">
    <cfRule type="cellIs" rank="0" priority="1031" equalAverage="0" operator="greaterThan" aboveAverage="0" dxfId="1" text="" percent="0" bottom="0">
      <formula>0</formula>
    </cfRule>
    <cfRule type="cellIs" rank="0" priority="1032" equalAverage="0" operator="lessThanOrEqual" aboveAverage="0" dxfId="0" text="" percent="0" bottom="0">
      <formula>0</formula>
    </cfRule>
  </conditionalFormatting>
  <conditionalFormatting sqref="G349">
    <cfRule type="cellIs" rank="0" priority="1033" equalAverage="0" operator="greaterThan" aboveAverage="0" dxfId="10" text="" percent="0" bottom="0">
      <formula>e{r}</formula>
    </cfRule>
  </conditionalFormatting>
  <conditionalFormatting sqref="H350">
    <cfRule type="cellIs" rank="0" priority="1034" equalAverage="0" operator="greaterThan" aboveAverage="0" dxfId="1" text="" percent="0" bottom="0">
      <formula>0</formula>
    </cfRule>
    <cfRule type="cellIs" rank="0" priority="1035" equalAverage="0" operator="lessThanOrEqual" aboveAverage="0" dxfId="0" text="" percent="0" bottom="0">
      <formula>0</formula>
    </cfRule>
  </conditionalFormatting>
  <conditionalFormatting sqref="G350">
    <cfRule type="cellIs" rank="0" priority="1036" equalAverage="0" operator="greaterThan" aboveAverage="0" dxfId="10" text="" percent="0" bottom="0">
      <formula>e{r}</formula>
    </cfRule>
  </conditionalFormatting>
  <conditionalFormatting sqref="H351">
    <cfRule type="cellIs" rank="0" priority="1037" equalAverage="0" operator="greaterThan" aboveAverage="0" dxfId="1" text="" percent="0" bottom="0">
      <formula>0</formula>
    </cfRule>
    <cfRule type="cellIs" rank="0" priority="1038" equalAverage="0" operator="lessThanOrEqual" aboveAverage="0" dxfId="0" text="" percent="0" bottom="0">
      <formula>0</formula>
    </cfRule>
  </conditionalFormatting>
  <conditionalFormatting sqref="G351">
    <cfRule type="cellIs" rank="0" priority="1039" equalAverage="0" operator="greaterThan" aboveAverage="0" dxfId="10" text="" percent="0" bottom="0">
      <formula>e{r}</formula>
    </cfRule>
  </conditionalFormatting>
  <conditionalFormatting sqref="H352">
    <cfRule type="cellIs" rank="0" priority="1040" equalAverage="0" operator="greaterThan" aboveAverage="0" dxfId="1" text="" percent="0" bottom="0">
      <formula>0</formula>
    </cfRule>
    <cfRule type="cellIs" rank="0" priority="1041" equalAverage="0" operator="lessThanOrEqual" aboveAverage="0" dxfId="0" text="" percent="0" bottom="0">
      <formula>0</formula>
    </cfRule>
  </conditionalFormatting>
  <conditionalFormatting sqref="G352">
    <cfRule type="cellIs" rank="0" priority="1042" equalAverage="0" operator="greaterThan" aboveAverage="0" dxfId="10" text="" percent="0" bottom="0">
      <formula>e{r}</formula>
    </cfRule>
  </conditionalFormatting>
  <conditionalFormatting sqref="H353">
    <cfRule type="cellIs" rank="0" priority="1043" equalAverage="0" operator="greaterThan" aboveAverage="0" dxfId="1" text="" percent="0" bottom="0">
      <formula>0</formula>
    </cfRule>
    <cfRule type="cellIs" rank="0" priority="1044" equalAverage="0" operator="lessThanOrEqual" aboveAverage="0" dxfId="0" text="" percent="0" bottom="0">
      <formula>0</formula>
    </cfRule>
  </conditionalFormatting>
  <conditionalFormatting sqref="G353">
    <cfRule type="cellIs" rank="0" priority="1045" equalAverage="0" operator="greaterThan" aboveAverage="0" dxfId="10" text="" percent="0" bottom="0">
      <formula>e{r}</formula>
    </cfRule>
  </conditionalFormatting>
  <conditionalFormatting sqref="H354">
    <cfRule type="cellIs" rank="0" priority="1046" equalAverage="0" operator="greaterThan" aboveAverage="0" dxfId="1" text="" percent="0" bottom="0">
      <formula>0</formula>
    </cfRule>
    <cfRule type="cellIs" rank="0" priority="1047" equalAverage="0" operator="lessThanOrEqual" aboveAverage="0" dxfId="0" text="" percent="0" bottom="0">
      <formula>0</formula>
    </cfRule>
  </conditionalFormatting>
  <conditionalFormatting sqref="G354">
    <cfRule type="cellIs" rank="0" priority="1048" equalAverage="0" operator="greaterThan" aboveAverage="0" dxfId="10" text="" percent="0" bottom="0">
      <formula>e{r}</formula>
    </cfRule>
  </conditionalFormatting>
  <conditionalFormatting sqref="H355">
    <cfRule type="cellIs" rank="0" priority="1049" equalAverage="0" operator="greaterThan" aboveAverage="0" dxfId="1" text="" percent="0" bottom="0">
      <formula>0</formula>
    </cfRule>
    <cfRule type="cellIs" rank="0" priority="1050" equalAverage="0" operator="lessThanOrEqual" aboveAverage="0" dxfId="0" text="" percent="0" bottom="0">
      <formula>0</formula>
    </cfRule>
  </conditionalFormatting>
  <conditionalFormatting sqref="G355">
    <cfRule type="cellIs" rank="0" priority="1051" equalAverage="0" operator="greaterThan" aboveAverage="0" dxfId="10" text="" percent="0" bottom="0">
      <formula>e{r}</formula>
    </cfRule>
  </conditionalFormatting>
  <conditionalFormatting sqref="H356">
    <cfRule type="cellIs" rank="0" priority="1052" equalAverage="0" operator="greaterThan" aboveAverage="0" dxfId="1" text="" percent="0" bottom="0">
      <formula>0</formula>
    </cfRule>
    <cfRule type="cellIs" rank="0" priority="1053" equalAverage="0" operator="lessThanOrEqual" aboveAverage="0" dxfId="0" text="" percent="0" bottom="0">
      <formula>0</formula>
    </cfRule>
  </conditionalFormatting>
  <conditionalFormatting sqref="G356">
    <cfRule type="cellIs" rank="0" priority="1054" equalAverage="0" operator="greaterThan" aboveAverage="0" dxfId="10" text="" percent="0" bottom="0">
      <formula>e{r}</formula>
    </cfRule>
  </conditionalFormatting>
  <conditionalFormatting sqref="H357">
    <cfRule type="cellIs" rank="0" priority="1055" equalAverage="0" operator="greaterThan" aboveAverage="0" dxfId="1" text="" percent="0" bottom="0">
      <formula>0</formula>
    </cfRule>
    <cfRule type="cellIs" rank="0" priority="1056" equalAverage="0" operator="lessThanOrEqual" aboveAverage="0" dxfId="0" text="" percent="0" bottom="0">
      <formula>0</formula>
    </cfRule>
  </conditionalFormatting>
  <conditionalFormatting sqref="G357">
    <cfRule type="cellIs" rank="0" priority="1057" equalAverage="0" operator="greaterThan" aboveAverage="0" dxfId="10" text="" percent="0" bottom="0">
      <formula>e{r}</formula>
    </cfRule>
  </conditionalFormatting>
  <conditionalFormatting sqref="H358">
    <cfRule type="cellIs" rank="0" priority="1058" equalAverage="0" operator="greaterThan" aboveAverage="0" dxfId="1" text="" percent="0" bottom="0">
      <formula>0</formula>
    </cfRule>
    <cfRule type="cellIs" rank="0" priority="1059" equalAverage="0" operator="lessThanOrEqual" aboveAverage="0" dxfId="0" text="" percent="0" bottom="0">
      <formula>0</formula>
    </cfRule>
  </conditionalFormatting>
  <conditionalFormatting sqref="G358">
    <cfRule type="cellIs" rank="0" priority="1060" equalAverage="0" operator="greaterThan" aboveAverage="0" dxfId="10" text="" percent="0" bottom="0">
      <formula>e{r}</formula>
    </cfRule>
  </conditionalFormatting>
  <conditionalFormatting sqref="H359">
    <cfRule type="cellIs" rank="0" priority="1061" equalAverage="0" operator="greaterThan" aboveAverage="0" dxfId="1" text="" percent="0" bottom="0">
      <formula>0</formula>
    </cfRule>
    <cfRule type="cellIs" rank="0" priority="1062" equalAverage="0" operator="lessThanOrEqual" aboveAverage="0" dxfId="0" text="" percent="0" bottom="0">
      <formula>0</formula>
    </cfRule>
  </conditionalFormatting>
  <conditionalFormatting sqref="G359">
    <cfRule type="cellIs" rank="0" priority="1063" equalAverage="0" operator="greaterThan" aboveAverage="0" dxfId="10" text="" percent="0" bottom="0">
      <formula>e{r}</formula>
    </cfRule>
  </conditionalFormatting>
  <conditionalFormatting sqref="H360">
    <cfRule type="cellIs" rank="0" priority="1064" equalAverage="0" operator="greaterThan" aboveAverage="0" dxfId="1" text="" percent="0" bottom="0">
      <formula>0</formula>
    </cfRule>
    <cfRule type="cellIs" rank="0" priority="1065" equalAverage="0" operator="lessThanOrEqual" aboveAverage="0" dxfId="0" text="" percent="0" bottom="0">
      <formula>0</formula>
    </cfRule>
  </conditionalFormatting>
  <conditionalFormatting sqref="G360">
    <cfRule type="cellIs" rank="0" priority="1066" equalAverage="0" operator="greaterThan" aboveAverage="0" dxfId="10" text="" percent="0" bottom="0">
      <formula>e{r}</formula>
    </cfRule>
  </conditionalFormatting>
  <conditionalFormatting sqref="H361">
    <cfRule type="cellIs" rank="0" priority="1067" equalAverage="0" operator="greaterThan" aboveAverage="0" dxfId="1" text="" percent="0" bottom="0">
      <formula>0</formula>
    </cfRule>
    <cfRule type="cellIs" rank="0" priority="1068" equalAverage="0" operator="lessThanOrEqual" aboveAverage="0" dxfId="0" text="" percent="0" bottom="0">
      <formula>0</formula>
    </cfRule>
  </conditionalFormatting>
  <conditionalFormatting sqref="G361">
    <cfRule type="cellIs" rank="0" priority="1069" equalAverage="0" operator="greaterThan" aboveAverage="0" dxfId="10" text="" percent="0" bottom="0">
      <formula>e{r}</formula>
    </cfRule>
  </conditionalFormatting>
  <conditionalFormatting sqref="H362">
    <cfRule type="cellIs" rank="0" priority="1070" equalAverage="0" operator="greaterThan" aboveAverage="0" dxfId="1" text="" percent="0" bottom="0">
      <formula>0</formula>
    </cfRule>
    <cfRule type="cellIs" rank="0" priority="1071" equalAverage="0" operator="lessThanOrEqual" aboveAverage="0" dxfId="0" text="" percent="0" bottom="0">
      <formula>0</formula>
    </cfRule>
  </conditionalFormatting>
  <conditionalFormatting sqref="G362">
    <cfRule type="cellIs" rank="0" priority="1072" equalAverage="0" operator="greaterThan" aboveAverage="0" dxfId="10" text="" percent="0" bottom="0">
      <formula>e{r}</formula>
    </cfRule>
  </conditionalFormatting>
  <conditionalFormatting sqref="H363">
    <cfRule type="cellIs" rank="0" priority="1073" equalAverage="0" operator="greaterThan" aboveAverage="0" dxfId="1" text="" percent="0" bottom="0">
      <formula>0</formula>
    </cfRule>
    <cfRule type="cellIs" rank="0" priority="1074" equalAverage="0" operator="lessThanOrEqual" aboveAverage="0" dxfId="0" text="" percent="0" bottom="0">
      <formula>0</formula>
    </cfRule>
  </conditionalFormatting>
  <conditionalFormatting sqref="G363">
    <cfRule type="cellIs" rank="0" priority="1075" equalAverage="0" operator="greaterThan" aboveAverage="0" dxfId="10" text="" percent="0" bottom="0">
      <formula>e{r}</formula>
    </cfRule>
  </conditionalFormatting>
  <conditionalFormatting sqref="H364">
    <cfRule type="cellIs" rank="0" priority="1076" equalAverage="0" operator="greaterThan" aboveAverage="0" dxfId="1" text="" percent="0" bottom="0">
      <formula>0</formula>
    </cfRule>
    <cfRule type="cellIs" rank="0" priority="1077" equalAverage="0" operator="lessThanOrEqual" aboveAverage="0" dxfId="0" text="" percent="0" bottom="0">
      <formula>0</formula>
    </cfRule>
  </conditionalFormatting>
  <conditionalFormatting sqref="G364">
    <cfRule type="cellIs" rank="0" priority="1078" equalAverage="0" operator="greaterThan" aboveAverage="0" dxfId="10" text="" percent="0" bottom="0">
      <formula>e{r}</formula>
    </cfRule>
  </conditionalFormatting>
  <conditionalFormatting sqref="H365">
    <cfRule type="cellIs" rank="0" priority="1079" equalAverage="0" operator="greaterThan" aboveAverage="0" dxfId="1" text="" percent="0" bottom="0">
      <formula>0</formula>
    </cfRule>
    <cfRule type="cellIs" rank="0" priority="1080" equalAverage="0" operator="lessThanOrEqual" aboveAverage="0" dxfId="0" text="" percent="0" bottom="0">
      <formula>0</formula>
    </cfRule>
  </conditionalFormatting>
  <conditionalFormatting sqref="G365">
    <cfRule type="cellIs" rank="0" priority="1081" equalAverage="0" operator="greaterThan" aboveAverage="0" dxfId="10" text="" percent="0" bottom="0">
      <formula>e{r}</formula>
    </cfRule>
  </conditionalFormatting>
  <conditionalFormatting sqref="H366">
    <cfRule type="cellIs" rank="0" priority="1082" equalAverage="0" operator="greaterThan" aboveAverage="0" dxfId="1" text="" percent="0" bottom="0">
      <formula>0</formula>
    </cfRule>
    <cfRule type="cellIs" rank="0" priority="1083" equalAverage="0" operator="lessThanOrEqual" aboveAverage="0" dxfId="0" text="" percent="0" bottom="0">
      <formula>0</formula>
    </cfRule>
  </conditionalFormatting>
  <conditionalFormatting sqref="G366">
    <cfRule type="cellIs" rank="0" priority="1084" equalAverage="0" operator="greaterThan" aboveAverage="0" dxfId="10" text="" percent="0" bottom="0">
      <formula>e{r}</formula>
    </cfRule>
  </conditionalFormatting>
  <conditionalFormatting sqref="H367">
    <cfRule type="cellIs" rank="0" priority="1085" equalAverage="0" operator="greaterThan" aboveAverage="0" dxfId="1" text="" percent="0" bottom="0">
      <formula>0</formula>
    </cfRule>
    <cfRule type="cellIs" rank="0" priority="1086" equalAverage="0" operator="lessThanOrEqual" aboveAverage="0" dxfId="0" text="" percent="0" bottom="0">
      <formula>0</formula>
    </cfRule>
  </conditionalFormatting>
  <conditionalFormatting sqref="G367">
    <cfRule type="cellIs" rank="0" priority="1087" equalAverage="0" operator="greaterThan" aboveAverage="0" dxfId="10" text="" percent="0" bottom="0">
      <formula>e{r}</formula>
    </cfRule>
  </conditionalFormatting>
  <conditionalFormatting sqref="H368">
    <cfRule type="cellIs" rank="0" priority="1088" equalAverage="0" operator="greaterThan" aboveAverage="0" dxfId="1" text="" percent="0" bottom="0">
      <formula>0</formula>
    </cfRule>
    <cfRule type="cellIs" rank="0" priority="1089" equalAverage="0" operator="lessThanOrEqual" aboveAverage="0" dxfId="0" text="" percent="0" bottom="0">
      <formula>0</formula>
    </cfRule>
  </conditionalFormatting>
  <conditionalFormatting sqref="G368">
    <cfRule type="cellIs" rank="0" priority="1090" equalAverage="0" operator="greaterThan" aboveAverage="0" dxfId="10" text="" percent="0" bottom="0">
      <formula>e{r}</formula>
    </cfRule>
  </conditionalFormatting>
  <conditionalFormatting sqref="H369">
    <cfRule type="cellIs" rank="0" priority="1091" equalAverage="0" operator="greaterThan" aboveAverage="0" dxfId="1" text="" percent="0" bottom="0">
      <formula>0</formula>
    </cfRule>
    <cfRule type="cellIs" rank="0" priority="1092" equalAverage="0" operator="lessThanOrEqual" aboveAverage="0" dxfId="0" text="" percent="0" bottom="0">
      <formula>0</formula>
    </cfRule>
  </conditionalFormatting>
  <conditionalFormatting sqref="G369">
    <cfRule type="cellIs" rank="0" priority="1093" equalAverage="0" operator="greaterThan" aboveAverage="0" dxfId="10" text="" percent="0" bottom="0">
      <formula>e{r}</formula>
    </cfRule>
  </conditionalFormatting>
  <conditionalFormatting sqref="H370">
    <cfRule type="cellIs" rank="0" priority="1094" equalAverage="0" operator="greaterThan" aboveAverage="0" dxfId="1" text="" percent="0" bottom="0">
      <formula>0</formula>
    </cfRule>
    <cfRule type="cellIs" rank="0" priority="1095" equalAverage="0" operator="lessThanOrEqual" aboveAverage="0" dxfId="0" text="" percent="0" bottom="0">
      <formula>0</formula>
    </cfRule>
  </conditionalFormatting>
  <conditionalFormatting sqref="G370">
    <cfRule type="cellIs" rank="0" priority="1096" equalAverage="0" operator="greaterThan" aboveAverage="0" dxfId="10" text="" percent="0" bottom="0">
      <formula>e{r}</formula>
    </cfRule>
  </conditionalFormatting>
  <conditionalFormatting sqref="H371">
    <cfRule type="cellIs" rank="0" priority="1097" equalAverage="0" operator="greaterThan" aboveAverage="0" dxfId="1" text="" percent="0" bottom="0">
      <formula>0</formula>
    </cfRule>
    <cfRule type="cellIs" rank="0" priority="1098" equalAverage="0" operator="lessThanOrEqual" aboveAverage="0" dxfId="0" text="" percent="0" bottom="0">
      <formula>0</formula>
    </cfRule>
  </conditionalFormatting>
  <conditionalFormatting sqref="G371">
    <cfRule type="cellIs" rank="0" priority="1099" equalAverage="0" operator="greaterThan" aboveAverage="0" dxfId="10" text="" percent="0" bottom="0">
      <formula>e{r}</formula>
    </cfRule>
  </conditionalFormatting>
  <conditionalFormatting sqref="H372">
    <cfRule type="cellIs" rank="0" priority="1100" equalAverage="0" operator="greaterThan" aboveAverage="0" dxfId="1" text="" percent="0" bottom="0">
      <formula>0</formula>
    </cfRule>
    <cfRule type="cellIs" rank="0" priority="1101" equalAverage="0" operator="lessThanOrEqual" aboveAverage="0" dxfId="0" text="" percent="0" bottom="0">
      <formula>0</formula>
    </cfRule>
  </conditionalFormatting>
  <conditionalFormatting sqref="G372">
    <cfRule type="cellIs" rank="0" priority="1102" equalAverage="0" operator="greaterThan" aboveAverage="0" dxfId="10" text="" percent="0" bottom="0">
      <formula>e{r}</formula>
    </cfRule>
  </conditionalFormatting>
  <conditionalFormatting sqref="H373">
    <cfRule type="cellIs" rank="0" priority="1103" equalAverage="0" operator="greaterThan" aboveAverage="0" dxfId="1" text="" percent="0" bottom="0">
      <formula>0</formula>
    </cfRule>
    <cfRule type="cellIs" rank="0" priority="1104" equalAverage="0" operator="lessThanOrEqual" aboveAverage="0" dxfId="0" text="" percent="0" bottom="0">
      <formula>0</formula>
    </cfRule>
  </conditionalFormatting>
  <conditionalFormatting sqref="G373">
    <cfRule type="cellIs" rank="0" priority="1105" equalAverage="0" operator="greaterThan" aboveAverage="0" dxfId="10" text="" percent="0" bottom="0">
      <formula>e{r}</formula>
    </cfRule>
  </conditionalFormatting>
  <conditionalFormatting sqref="H374">
    <cfRule type="cellIs" rank="0" priority="1106" equalAverage="0" operator="greaterThan" aboveAverage="0" dxfId="1" text="" percent="0" bottom="0">
      <formula>0</formula>
    </cfRule>
    <cfRule type="cellIs" rank="0" priority="1107" equalAverage="0" operator="lessThanOrEqual" aboveAverage="0" dxfId="0" text="" percent="0" bottom="0">
      <formula>0</formula>
    </cfRule>
  </conditionalFormatting>
  <conditionalFormatting sqref="G374">
    <cfRule type="cellIs" rank="0" priority="1108" equalAverage="0" operator="greaterThan" aboveAverage="0" dxfId="10" text="" percent="0" bottom="0">
      <formula>e{r}</formula>
    </cfRule>
  </conditionalFormatting>
  <conditionalFormatting sqref="H375">
    <cfRule type="cellIs" rank="0" priority="1109" equalAverage="0" operator="greaterThan" aboveAverage="0" dxfId="1" text="" percent="0" bottom="0">
      <formula>0</formula>
    </cfRule>
    <cfRule type="cellIs" rank="0" priority="1110" equalAverage="0" operator="lessThanOrEqual" aboveAverage="0" dxfId="0" text="" percent="0" bottom="0">
      <formula>0</formula>
    </cfRule>
  </conditionalFormatting>
  <conditionalFormatting sqref="G375">
    <cfRule type="cellIs" rank="0" priority="1111" equalAverage="0" operator="greaterThan" aboveAverage="0" dxfId="10" text="" percent="0" bottom="0">
      <formula>e{r}</formula>
    </cfRule>
  </conditionalFormatting>
  <conditionalFormatting sqref="H376">
    <cfRule type="cellIs" rank="0" priority="1112" equalAverage="0" operator="greaterThan" aboveAverage="0" dxfId="1" text="" percent="0" bottom="0">
      <formula>0</formula>
    </cfRule>
    <cfRule type="cellIs" rank="0" priority="1113" equalAverage="0" operator="lessThanOrEqual" aboveAverage="0" dxfId="0" text="" percent="0" bottom="0">
      <formula>0</formula>
    </cfRule>
  </conditionalFormatting>
  <conditionalFormatting sqref="G376">
    <cfRule type="cellIs" rank="0" priority="1114" equalAverage="0" operator="greaterThan" aboveAverage="0" dxfId="10" text="" percent="0" bottom="0">
      <formula>e{r}</formula>
    </cfRule>
  </conditionalFormatting>
  <conditionalFormatting sqref="H377">
    <cfRule type="cellIs" rank="0" priority="1115" equalAverage="0" operator="greaterThan" aboveAverage="0" dxfId="1" text="" percent="0" bottom="0">
      <formula>0</formula>
    </cfRule>
    <cfRule type="cellIs" rank="0" priority="1116" equalAverage="0" operator="lessThanOrEqual" aboveAverage="0" dxfId="0" text="" percent="0" bottom="0">
      <formula>0</formula>
    </cfRule>
  </conditionalFormatting>
  <conditionalFormatting sqref="G377">
    <cfRule type="cellIs" rank="0" priority="1117" equalAverage="0" operator="greaterThan" aboveAverage="0" dxfId="10" text="" percent="0" bottom="0">
      <formula>e{r}</formula>
    </cfRule>
  </conditionalFormatting>
  <conditionalFormatting sqref="H378">
    <cfRule type="cellIs" rank="0" priority="1118" equalAverage="0" operator="greaterThan" aboveAverage="0" dxfId="1" text="" percent="0" bottom="0">
      <formula>0</formula>
    </cfRule>
    <cfRule type="cellIs" rank="0" priority="1119" equalAverage="0" operator="lessThanOrEqual" aboveAverage="0" dxfId="0" text="" percent="0" bottom="0">
      <formula>0</formula>
    </cfRule>
  </conditionalFormatting>
  <conditionalFormatting sqref="G378">
    <cfRule type="cellIs" rank="0" priority="1120" equalAverage="0" operator="greaterThan" aboveAverage="0" dxfId="10" text="" percent="0" bottom="0">
      <formula>e{r}</formula>
    </cfRule>
  </conditionalFormatting>
  <conditionalFormatting sqref="H379">
    <cfRule type="cellIs" rank="0" priority="1121" equalAverage="0" operator="greaterThan" aboveAverage="0" dxfId="1" text="" percent="0" bottom="0">
      <formula>0</formula>
    </cfRule>
    <cfRule type="cellIs" rank="0" priority="1122" equalAverage="0" operator="lessThanOrEqual" aboveAverage="0" dxfId="0" text="" percent="0" bottom="0">
      <formula>0</formula>
    </cfRule>
  </conditionalFormatting>
  <conditionalFormatting sqref="G379">
    <cfRule type="cellIs" rank="0" priority="1123" equalAverage="0" operator="greaterThan" aboveAverage="0" dxfId="10" text="" percent="0" bottom="0">
      <formula>e{r}</formula>
    </cfRule>
  </conditionalFormatting>
  <conditionalFormatting sqref="H380">
    <cfRule type="cellIs" rank="0" priority="1124" equalAverage="0" operator="greaterThan" aboveAverage="0" dxfId="1" text="" percent="0" bottom="0">
      <formula>0</formula>
    </cfRule>
    <cfRule type="cellIs" rank="0" priority="1125" equalAverage="0" operator="lessThanOrEqual" aboveAverage="0" dxfId="0" text="" percent="0" bottom="0">
      <formula>0</formula>
    </cfRule>
  </conditionalFormatting>
  <conditionalFormatting sqref="G380">
    <cfRule type="cellIs" rank="0" priority="1126" equalAverage="0" operator="greaterThan" aboveAverage="0" dxfId="10" text="" percent="0" bottom="0">
      <formula>e{r}</formula>
    </cfRule>
  </conditionalFormatting>
  <conditionalFormatting sqref="H381">
    <cfRule type="cellIs" rank="0" priority="1127" equalAverage="0" operator="greaterThan" aboveAverage="0" dxfId="1" text="" percent="0" bottom="0">
      <formula>0</formula>
    </cfRule>
    <cfRule type="cellIs" rank="0" priority="1128" equalAverage="0" operator="lessThanOrEqual" aboveAverage="0" dxfId="0" text="" percent="0" bottom="0">
      <formula>0</formula>
    </cfRule>
  </conditionalFormatting>
  <conditionalFormatting sqref="G381">
    <cfRule type="cellIs" rank="0" priority="1129" equalAverage="0" operator="greaterThan" aboveAverage="0" dxfId="10" text="" percent="0" bottom="0">
      <formula>e{r}</formula>
    </cfRule>
  </conditionalFormatting>
  <conditionalFormatting sqref="H382">
    <cfRule type="cellIs" rank="0" priority="1130" equalAverage="0" operator="greaterThan" aboveAverage="0" dxfId="1" text="" percent="0" bottom="0">
      <formula>0</formula>
    </cfRule>
    <cfRule type="cellIs" rank="0" priority="1131" equalAverage="0" operator="lessThanOrEqual" aboveAverage="0" dxfId="0" text="" percent="0" bottom="0">
      <formula>0</formula>
    </cfRule>
  </conditionalFormatting>
  <conditionalFormatting sqref="G382">
    <cfRule type="cellIs" rank="0" priority="1132" equalAverage="0" operator="greaterThan" aboveAverage="0" dxfId="10" text="" percent="0" bottom="0">
      <formula>e{r}</formula>
    </cfRule>
  </conditionalFormatting>
  <conditionalFormatting sqref="H383">
    <cfRule type="cellIs" rank="0" priority="1133" equalAverage="0" operator="greaterThan" aboveAverage="0" dxfId="1" text="" percent="0" bottom="0">
      <formula>0</formula>
    </cfRule>
    <cfRule type="cellIs" rank="0" priority="1134" equalAverage="0" operator="lessThanOrEqual" aboveAverage="0" dxfId="0" text="" percent="0" bottom="0">
      <formula>0</formula>
    </cfRule>
  </conditionalFormatting>
  <conditionalFormatting sqref="G383">
    <cfRule type="cellIs" rank="0" priority="1135" equalAverage="0" operator="greaterThan" aboveAverage="0" dxfId="10" text="" percent="0" bottom="0">
      <formula>e{r}</formula>
    </cfRule>
  </conditionalFormatting>
  <conditionalFormatting sqref="H384">
    <cfRule type="cellIs" rank="0" priority="1136" equalAverage="0" operator="greaterThan" aboveAverage="0" dxfId="1" text="" percent="0" bottom="0">
      <formula>0</formula>
    </cfRule>
    <cfRule type="cellIs" rank="0" priority="1137" equalAverage="0" operator="lessThanOrEqual" aboveAverage="0" dxfId="0" text="" percent="0" bottom="0">
      <formula>0</formula>
    </cfRule>
  </conditionalFormatting>
  <conditionalFormatting sqref="G384">
    <cfRule type="cellIs" rank="0" priority="1138" equalAverage="0" operator="greaterThan" aboveAverage="0" dxfId="10" text="" percent="0" bottom="0">
      <formula>e{r}</formula>
    </cfRule>
  </conditionalFormatting>
  <conditionalFormatting sqref="H385">
    <cfRule type="cellIs" rank="0" priority="1139" equalAverage="0" operator="greaterThan" aboveAverage="0" dxfId="1" text="" percent="0" bottom="0">
      <formula>0</formula>
    </cfRule>
    <cfRule type="cellIs" rank="0" priority="1140" equalAverage="0" operator="lessThanOrEqual" aboveAverage="0" dxfId="0" text="" percent="0" bottom="0">
      <formula>0</formula>
    </cfRule>
  </conditionalFormatting>
  <conditionalFormatting sqref="G385">
    <cfRule type="cellIs" rank="0" priority="1141" equalAverage="0" operator="greaterThan" aboveAverage="0" dxfId="10" text="" percent="0" bottom="0">
      <formula>e{r}</formula>
    </cfRule>
  </conditionalFormatting>
  <conditionalFormatting sqref="H386">
    <cfRule type="cellIs" rank="0" priority="1142" equalAverage="0" operator="greaterThan" aboveAverage="0" dxfId="1" text="" percent="0" bottom="0">
      <formula>0</formula>
    </cfRule>
    <cfRule type="cellIs" rank="0" priority="1143" equalAverage="0" operator="lessThanOrEqual" aboveAverage="0" dxfId="0" text="" percent="0" bottom="0">
      <formula>0</formula>
    </cfRule>
  </conditionalFormatting>
  <conditionalFormatting sqref="G386">
    <cfRule type="cellIs" rank="0" priority="1144" equalAverage="0" operator="greaterThan" aboveAverage="0" dxfId="10" text="" percent="0" bottom="0">
      <formula>e{r}</formula>
    </cfRule>
  </conditionalFormatting>
  <conditionalFormatting sqref="H387">
    <cfRule type="cellIs" rank="0" priority="1145" equalAverage="0" operator="greaterThan" aboveAverage="0" dxfId="1" text="" percent="0" bottom="0">
      <formula>0</formula>
    </cfRule>
    <cfRule type="cellIs" rank="0" priority="1146" equalAverage="0" operator="lessThanOrEqual" aboveAverage="0" dxfId="0" text="" percent="0" bottom="0">
      <formula>0</formula>
    </cfRule>
  </conditionalFormatting>
  <conditionalFormatting sqref="G387">
    <cfRule type="cellIs" rank="0" priority="1147" equalAverage="0" operator="greaterThan" aboveAverage="0" dxfId="10" text="" percent="0" bottom="0">
      <formula>e{r}</formula>
    </cfRule>
  </conditionalFormatting>
  <conditionalFormatting sqref="H388">
    <cfRule type="cellIs" rank="0" priority="1148" equalAverage="0" operator="greaterThan" aboveAverage="0" dxfId="1" text="" percent="0" bottom="0">
      <formula>0</formula>
    </cfRule>
    <cfRule type="cellIs" rank="0" priority="1149" equalAverage="0" operator="lessThanOrEqual" aboveAverage="0" dxfId="0" text="" percent="0" bottom="0">
      <formula>0</formula>
    </cfRule>
  </conditionalFormatting>
  <conditionalFormatting sqref="G388">
    <cfRule type="cellIs" rank="0" priority="1150" equalAverage="0" operator="greaterThan" aboveAverage="0" dxfId="10" text="" percent="0" bottom="0">
      <formula>e{r}</formula>
    </cfRule>
  </conditionalFormatting>
  <conditionalFormatting sqref="H389">
    <cfRule type="cellIs" rank="0" priority="1151" equalAverage="0" operator="greaterThan" aboveAverage="0" dxfId="1" text="" percent="0" bottom="0">
      <formula>0</formula>
    </cfRule>
    <cfRule type="cellIs" rank="0" priority="1152" equalAverage="0" operator="lessThanOrEqual" aboveAverage="0" dxfId="0" text="" percent="0" bottom="0">
      <formula>0</formula>
    </cfRule>
  </conditionalFormatting>
  <conditionalFormatting sqref="G389">
    <cfRule type="cellIs" rank="0" priority="1153" equalAverage="0" operator="greaterThan" aboveAverage="0" dxfId="10" text="" percent="0" bottom="0">
      <formula>e{r}</formula>
    </cfRule>
  </conditionalFormatting>
  <conditionalFormatting sqref="H390">
    <cfRule type="cellIs" rank="0" priority="1154" equalAverage="0" operator="greaterThan" aboveAverage="0" dxfId="1" text="" percent="0" bottom="0">
      <formula>0</formula>
    </cfRule>
    <cfRule type="cellIs" rank="0" priority="1155" equalAverage="0" operator="lessThanOrEqual" aboveAverage="0" dxfId="0" text="" percent="0" bottom="0">
      <formula>0</formula>
    </cfRule>
  </conditionalFormatting>
  <conditionalFormatting sqref="G390">
    <cfRule type="cellIs" rank="0" priority="1156" equalAverage="0" operator="greaterThan" aboveAverage="0" dxfId="10" text="" percent="0" bottom="0">
      <formula>e{r}</formula>
    </cfRule>
  </conditionalFormatting>
  <conditionalFormatting sqref="H391">
    <cfRule type="cellIs" rank="0" priority="1157" equalAverage="0" operator="greaterThan" aboveAverage="0" dxfId="1" text="" percent="0" bottom="0">
      <formula>0</formula>
    </cfRule>
    <cfRule type="cellIs" rank="0" priority="1158" equalAverage="0" operator="lessThanOrEqual" aboveAverage="0" dxfId="0" text="" percent="0" bottom="0">
      <formula>0</formula>
    </cfRule>
  </conditionalFormatting>
  <conditionalFormatting sqref="G391">
    <cfRule type="cellIs" rank="0" priority="1159" equalAverage="0" operator="greaterThan" aboveAverage="0" dxfId="10" text="" percent="0" bottom="0">
      <formula>e{r}</formula>
    </cfRule>
  </conditionalFormatting>
  <conditionalFormatting sqref="H392">
    <cfRule type="cellIs" rank="0" priority="1160" equalAverage="0" operator="greaterThan" aboveAverage="0" dxfId="1" text="" percent="0" bottom="0">
      <formula>0</formula>
    </cfRule>
    <cfRule type="cellIs" rank="0" priority="1161" equalAverage="0" operator="lessThanOrEqual" aboveAverage="0" dxfId="0" text="" percent="0" bottom="0">
      <formula>0</formula>
    </cfRule>
  </conditionalFormatting>
  <conditionalFormatting sqref="G392">
    <cfRule type="cellIs" rank="0" priority="1162" equalAverage="0" operator="greaterThan" aboveAverage="0" dxfId="10" text="" percent="0" bottom="0">
      <formula>e{r}</formula>
    </cfRule>
  </conditionalFormatting>
  <conditionalFormatting sqref="H393">
    <cfRule type="cellIs" rank="0" priority="1163" equalAverage="0" operator="greaterThan" aboveAverage="0" dxfId="1" text="" percent="0" bottom="0">
      <formula>0</formula>
    </cfRule>
    <cfRule type="cellIs" rank="0" priority="1164" equalAverage="0" operator="lessThanOrEqual" aboveAverage="0" dxfId="0" text="" percent="0" bottom="0">
      <formula>0</formula>
    </cfRule>
  </conditionalFormatting>
  <conditionalFormatting sqref="G393">
    <cfRule type="cellIs" rank="0" priority="1165" equalAverage="0" operator="greaterThan" aboveAverage="0" dxfId="10" text="" percent="0" bottom="0">
      <formula>e{r}</formula>
    </cfRule>
  </conditionalFormatting>
  <conditionalFormatting sqref="H394">
    <cfRule type="cellIs" rank="0" priority="1166" equalAverage="0" operator="greaterThan" aboveAverage="0" dxfId="1" text="" percent="0" bottom="0">
      <formula>0</formula>
    </cfRule>
    <cfRule type="cellIs" rank="0" priority="1167" equalAverage="0" operator="lessThanOrEqual" aboveAverage="0" dxfId="0" text="" percent="0" bottom="0">
      <formula>0</formula>
    </cfRule>
  </conditionalFormatting>
  <conditionalFormatting sqref="G394">
    <cfRule type="cellIs" rank="0" priority="1168" equalAverage="0" operator="greaterThan" aboveAverage="0" dxfId="10" text="" percent="0" bottom="0">
      <formula>e{r}</formula>
    </cfRule>
  </conditionalFormatting>
  <conditionalFormatting sqref="H395">
    <cfRule type="cellIs" rank="0" priority="1169" equalAverage="0" operator="greaterThan" aboveAverage="0" dxfId="1" text="" percent="0" bottom="0">
      <formula>0</formula>
    </cfRule>
    <cfRule type="cellIs" rank="0" priority="1170" equalAverage="0" operator="lessThanOrEqual" aboveAverage="0" dxfId="0" text="" percent="0" bottom="0">
      <formula>0</formula>
    </cfRule>
  </conditionalFormatting>
  <conditionalFormatting sqref="G395">
    <cfRule type="cellIs" rank="0" priority="1171" equalAverage="0" operator="greaterThan" aboveAverage="0" dxfId="10" text="" percent="0" bottom="0">
      <formula>e{r}</formula>
    </cfRule>
  </conditionalFormatting>
  <conditionalFormatting sqref="H396">
    <cfRule type="cellIs" rank="0" priority="1172" equalAverage="0" operator="greaterThan" aboveAverage="0" dxfId="1" text="" percent="0" bottom="0">
      <formula>0</formula>
    </cfRule>
    <cfRule type="cellIs" rank="0" priority="1173" equalAverage="0" operator="lessThanOrEqual" aboveAverage="0" dxfId="0" text="" percent="0" bottom="0">
      <formula>0</formula>
    </cfRule>
  </conditionalFormatting>
  <conditionalFormatting sqref="G396">
    <cfRule type="cellIs" rank="0" priority="1174" equalAverage="0" operator="greaterThan" aboveAverage="0" dxfId="10" text="" percent="0" bottom="0">
      <formula>e{r}</formula>
    </cfRule>
  </conditionalFormatting>
  <conditionalFormatting sqref="H397">
    <cfRule type="cellIs" rank="0" priority="1175" equalAverage="0" operator="greaterThan" aboveAverage="0" dxfId="1" text="" percent="0" bottom="0">
      <formula>0</formula>
    </cfRule>
    <cfRule type="cellIs" rank="0" priority="1176" equalAverage="0" operator="lessThanOrEqual" aboveAverage="0" dxfId="0" text="" percent="0" bottom="0">
      <formula>0</formula>
    </cfRule>
  </conditionalFormatting>
  <conditionalFormatting sqref="G397">
    <cfRule type="cellIs" rank="0" priority="1177" equalAverage="0" operator="greaterThan" aboveAverage="0" dxfId="10" text="" percent="0" bottom="0">
      <formula>e{r}</formula>
    </cfRule>
  </conditionalFormatting>
  <conditionalFormatting sqref="H398">
    <cfRule type="cellIs" rank="0" priority="1178" equalAverage="0" operator="greaterThan" aboveAverage="0" dxfId="1" text="" percent="0" bottom="0">
      <formula>0</formula>
    </cfRule>
    <cfRule type="cellIs" rank="0" priority="1179" equalAverage="0" operator="lessThanOrEqual" aboveAverage="0" dxfId="0" text="" percent="0" bottom="0">
      <formula>0</formula>
    </cfRule>
  </conditionalFormatting>
  <conditionalFormatting sqref="G398">
    <cfRule type="cellIs" rank="0" priority="1180" equalAverage="0" operator="greaterThan" aboveAverage="0" dxfId="10" text="" percent="0" bottom="0">
      <formula>e{r}</formula>
    </cfRule>
  </conditionalFormatting>
  <conditionalFormatting sqref="H399">
    <cfRule type="cellIs" rank="0" priority="1181" equalAverage="0" operator="greaterThan" aboveAverage="0" dxfId="1" text="" percent="0" bottom="0">
      <formula>0</formula>
    </cfRule>
    <cfRule type="cellIs" rank="0" priority="1182" equalAverage="0" operator="lessThanOrEqual" aboveAverage="0" dxfId="0" text="" percent="0" bottom="0">
      <formula>0</formula>
    </cfRule>
  </conditionalFormatting>
  <conditionalFormatting sqref="G399">
    <cfRule type="cellIs" rank="0" priority="1183" equalAverage="0" operator="greaterThan" aboveAverage="0" dxfId="10" text="" percent="0" bottom="0">
      <formula>e{r}</formula>
    </cfRule>
  </conditionalFormatting>
  <conditionalFormatting sqref="H400">
    <cfRule type="cellIs" rank="0" priority="1184" equalAverage="0" operator="greaterThan" aboveAverage="0" dxfId="1" text="" percent="0" bottom="0">
      <formula>0</formula>
    </cfRule>
    <cfRule type="cellIs" rank="0" priority="1185" equalAverage="0" operator="lessThanOrEqual" aboveAverage="0" dxfId="0" text="" percent="0" bottom="0">
      <formula>0</formula>
    </cfRule>
  </conditionalFormatting>
  <conditionalFormatting sqref="G400">
    <cfRule type="cellIs" rank="0" priority="1186" equalAverage="0" operator="greaterThan" aboveAverage="0" dxfId="10" text="" percent="0" bottom="0">
      <formula>e{r}</formula>
    </cfRule>
  </conditionalFormatting>
  <conditionalFormatting sqref="H401">
    <cfRule type="cellIs" rank="0" priority="1187" equalAverage="0" operator="greaterThan" aboveAverage="0" dxfId="1" text="" percent="0" bottom="0">
      <formula>0</formula>
    </cfRule>
    <cfRule type="cellIs" rank="0" priority="1188" equalAverage="0" operator="lessThanOrEqual" aboveAverage="0" dxfId="0" text="" percent="0" bottom="0">
      <formula>0</formula>
    </cfRule>
  </conditionalFormatting>
  <conditionalFormatting sqref="G401">
    <cfRule type="cellIs" rank="0" priority="1189" equalAverage="0" operator="greaterThan" aboveAverage="0" dxfId="10" text="" percent="0" bottom="0">
      <formula>e{r}</formula>
    </cfRule>
  </conditionalFormatting>
  <conditionalFormatting sqref="H402">
    <cfRule type="cellIs" rank="0" priority="1190" equalAverage="0" operator="greaterThan" aboveAverage="0" dxfId="1" text="" percent="0" bottom="0">
      <formula>0</formula>
    </cfRule>
    <cfRule type="cellIs" rank="0" priority="1191" equalAverage="0" operator="lessThanOrEqual" aboveAverage="0" dxfId="0" text="" percent="0" bottom="0">
      <formula>0</formula>
    </cfRule>
  </conditionalFormatting>
  <conditionalFormatting sqref="G402">
    <cfRule type="cellIs" rank="0" priority="1192" equalAverage="0" operator="greaterThan" aboveAverage="0" dxfId="10" text="" percent="0" bottom="0">
      <formula>e{r}</formula>
    </cfRule>
  </conditionalFormatting>
  <conditionalFormatting sqref="H403">
    <cfRule type="cellIs" rank="0" priority="1193" equalAverage="0" operator="greaterThan" aboveAverage="0" dxfId="1" text="" percent="0" bottom="0">
      <formula>0</formula>
    </cfRule>
    <cfRule type="cellIs" rank="0" priority="1194" equalAverage="0" operator="lessThanOrEqual" aboveAverage="0" dxfId="0" text="" percent="0" bottom="0">
      <formula>0</formula>
    </cfRule>
  </conditionalFormatting>
  <conditionalFormatting sqref="G403">
    <cfRule type="cellIs" rank="0" priority="1195" equalAverage="0" operator="greaterThan" aboveAverage="0" dxfId="10" text="" percent="0" bottom="0">
      <formula>e{r}</formula>
    </cfRule>
  </conditionalFormatting>
  <conditionalFormatting sqref="H404">
    <cfRule type="cellIs" rank="0" priority="1196" equalAverage="0" operator="greaterThan" aboveAverage="0" dxfId="1" text="" percent="0" bottom="0">
      <formula>0</formula>
    </cfRule>
    <cfRule type="cellIs" rank="0" priority="1197" equalAverage="0" operator="lessThanOrEqual" aboveAverage="0" dxfId="0" text="" percent="0" bottom="0">
      <formula>0</formula>
    </cfRule>
  </conditionalFormatting>
  <conditionalFormatting sqref="G404">
    <cfRule type="cellIs" rank="0" priority="1198" equalAverage="0" operator="greaterThan" aboveAverage="0" dxfId="10" text="" percent="0" bottom="0">
      <formula>e{r}</formula>
    </cfRule>
  </conditionalFormatting>
  <conditionalFormatting sqref="H405">
    <cfRule type="cellIs" rank="0" priority="1199" equalAverage="0" operator="greaterThan" aboveAverage="0" dxfId="1" text="" percent="0" bottom="0">
      <formula>0</formula>
    </cfRule>
    <cfRule type="cellIs" rank="0" priority="1200" equalAverage="0" operator="lessThanOrEqual" aboveAverage="0" dxfId="0" text="" percent="0" bottom="0">
      <formula>0</formula>
    </cfRule>
  </conditionalFormatting>
  <conditionalFormatting sqref="G405">
    <cfRule type="cellIs" rank="0" priority="1201" equalAverage="0" operator="greaterThan" aboveAverage="0" dxfId="10" text="" percent="0" bottom="0">
      <formula>e{r}</formula>
    </cfRule>
  </conditionalFormatting>
  <conditionalFormatting sqref="H406">
    <cfRule type="cellIs" rank="0" priority="1202" equalAverage="0" operator="greaterThan" aboveAverage="0" dxfId="1" text="" percent="0" bottom="0">
      <formula>0</formula>
    </cfRule>
    <cfRule type="cellIs" rank="0" priority="1203" equalAverage="0" operator="lessThanOrEqual" aboveAverage="0" dxfId="0" text="" percent="0" bottom="0">
      <formula>0</formula>
    </cfRule>
  </conditionalFormatting>
  <conditionalFormatting sqref="G406">
    <cfRule type="cellIs" rank="0" priority="1204" equalAverage="0" operator="greaterThan" aboveAverage="0" dxfId="10" text="" percent="0" bottom="0">
      <formula>e{r}</formula>
    </cfRule>
  </conditionalFormatting>
  <conditionalFormatting sqref="H407">
    <cfRule type="cellIs" rank="0" priority="1205" equalAverage="0" operator="greaterThan" aboveAverage="0" dxfId="1" text="" percent="0" bottom="0">
      <formula>0</formula>
    </cfRule>
    <cfRule type="cellIs" rank="0" priority="1206" equalAverage="0" operator="lessThanOrEqual" aboveAverage="0" dxfId="0" text="" percent="0" bottom="0">
      <formula>0</formula>
    </cfRule>
  </conditionalFormatting>
  <conditionalFormatting sqref="G407">
    <cfRule type="cellIs" rank="0" priority="1207" equalAverage="0" operator="greaterThan" aboveAverage="0" dxfId="10" text="" percent="0" bottom="0">
      <formula>e{r}</formula>
    </cfRule>
  </conditionalFormatting>
  <conditionalFormatting sqref="H408">
    <cfRule type="cellIs" rank="0" priority="1208" equalAverage="0" operator="greaterThan" aboveAverage="0" dxfId="1" text="" percent="0" bottom="0">
      <formula>0</formula>
    </cfRule>
    <cfRule type="cellIs" rank="0" priority="1209" equalAverage="0" operator="lessThanOrEqual" aboveAverage="0" dxfId="0" text="" percent="0" bottom="0">
      <formula>0</formula>
    </cfRule>
  </conditionalFormatting>
  <conditionalFormatting sqref="G408">
    <cfRule type="cellIs" rank="0" priority="1210" equalAverage="0" operator="greaterThan" aboveAverage="0" dxfId="10" text="" percent="0" bottom="0">
      <formula>e{r}</formula>
    </cfRule>
  </conditionalFormatting>
  <conditionalFormatting sqref="H409">
    <cfRule type="cellIs" rank="0" priority="1211" equalAverage="0" operator="greaterThan" aboveAverage="0" dxfId="1" text="" percent="0" bottom="0">
      <formula>0</formula>
    </cfRule>
    <cfRule type="cellIs" rank="0" priority="1212" equalAverage="0" operator="lessThanOrEqual" aboveAverage="0" dxfId="0" text="" percent="0" bottom="0">
      <formula>0</formula>
    </cfRule>
  </conditionalFormatting>
  <conditionalFormatting sqref="G409">
    <cfRule type="cellIs" rank="0" priority="1213" equalAverage="0" operator="greaterThan" aboveAverage="0" dxfId="10" text="" percent="0" bottom="0">
      <formula>e{r}</formula>
    </cfRule>
  </conditionalFormatting>
  <conditionalFormatting sqref="H410">
    <cfRule type="cellIs" rank="0" priority="1214" equalAverage="0" operator="greaterThan" aboveAverage="0" dxfId="1" text="" percent="0" bottom="0">
      <formula>0</formula>
    </cfRule>
    <cfRule type="cellIs" rank="0" priority="1215" equalAverage="0" operator="lessThanOrEqual" aboveAverage="0" dxfId="0" text="" percent="0" bottom="0">
      <formula>0</formula>
    </cfRule>
  </conditionalFormatting>
  <conditionalFormatting sqref="G410">
    <cfRule type="cellIs" rank="0" priority="1216" equalAverage="0" operator="greaterThan" aboveAverage="0" dxfId="10" text="" percent="0" bottom="0">
      <formula>e{r}</formula>
    </cfRule>
  </conditionalFormatting>
  <conditionalFormatting sqref="H411">
    <cfRule type="cellIs" rank="0" priority="1217" equalAverage="0" operator="greaterThan" aboveAverage="0" dxfId="1" text="" percent="0" bottom="0">
      <formula>0</formula>
    </cfRule>
    <cfRule type="cellIs" rank="0" priority="1218" equalAverage="0" operator="lessThanOrEqual" aboveAverage="0" dxfId="0" text="" percent="0" bottom="0">
      <formula>0</formula>
    </cfRule>
  </conditionalFormatting>
  <conditionalFormatting sqref="G411">
    <cfRule type="cellIs" rank="0" priority="1219" equalAverage="0" operator="greaterThan" aboveAverage="0" dxfId="10" text="" percent="0" bottom="0">
      <formula>e{r}</formula>
    </cfRule>
  </conditionalFormatting>
  <conditionalFormatting sqref="H412">
    <cfRule type="cellIs" rank="0" priority="1220" equalAverage="0" operator="greaterThan" aboveAverage="0" dxfId="1" text="" percent="0" bottom="0">
      <formula>0</formula>
    </cfRule>
    <cfRule type="cellIs" rank="0" priority="1221" equalAverage="0" operator="lessThanOrEqual" aboveAverage="0" dxfId="0" text="" percent="0" bottom="0">
      <formula>0</formula>
    </cfRule>
  </conditionalFormatting>
  <conditionalFormatting sqref="G412">
    <cfRule type="cellIs" rank="0" priority="1222" equalAverage="0" operator="greaterThan" aboveAverage="0" dxfId="10" text="" percent="0" bottom="0">
      <formula>e{r}</formula>
    </cfRule>
  </conditionalFormatting>
  <conditionalFormatting sqref="H413">
    <cfRule type="cellIs" rank="0" priority="1223" equalAverage="0" operator="greaterThan" aboveAverage="0" dxfId="1" text="" percent="0" bottom="0">
      <formula>0</formula>
    </cfRule>
    <cfRule type="cellIs" rank="0" priority="1224" equalAverage="0" operator="lessThanOrEqual" aboveAverage="0" dxfId="0" text="" percent="0" bottom="0">
      <formula>0</formula>
    </cfRule>
  </conditionalFormatting>
  <conditionalFormatting sqref="G413">
    <cfRule type="cellIs" rank="0" priority="1225" equalAverage="0" operator="greaterThan" aboveAverage="0" dxfId="10" text="" percent="0" bottom="0">
      <formula>e{r}</formula>
    </cfRule>
  </conditionalFormatting>
  <conditionalFormatting sqref="H414">
    <cfRule type="cellIs" rank="0" priority="1226" equalAverage="0" operator="greaterThan" aboveAverage="0" dxfId="1" text="" percent="0" bottom="0">
      <formula>0</formula>
    </cfRule>
    <cfRule type="cellIs" rank="0" priority="1227" equalAverage="0" operator="lessThanOrEqual" aboveAverage="0" dxfId="0" text="" percent="0" bottom="0">
      <formula>0</formula>
    </cfRule>
  </conditionalFormatting>
  <conditionalFormatting sqref="G414">
    <cfRule type="cellIs" rank="0" priority="1228" equalAverage="0" operator="greaterThan" aboveAverage="0" dxfId="10" text="" percent="0" bottom="0">
      <formula>e{r}</formula>
    </cfRule>
  </conditionalFormatting>
  <conditionalFormatting sqref="H415">
    <cfRule type="cellIs" rank="0" priority="1229" equalAverage="0" operator="greaterThan" aboveAverage="0" dxfId="1" text="" percent="0" bottom="0">
      <formula>0</formula>
    </cfRule>
    <cfRule type="cellIs" rank="0" priority="1230" equalAverage="0" operator="lessThanOrEqual" aboveAverage="0" dxfId="0" text="" percent="0" bottom="0">
      <formula>0</formula>
    </cfRule>
  </conditionalFormatting>
  <conditionalFormatting sqref="G415">
    <cfRule type="cellIs" rank="0" priority="1231" equalAverage="0" operator="greaterThan" aboveAverage="0" dxfId="10" text="" percent="0" bottom="0">
      <formula>e{r}</formula>
    </cfRule>
  </conditionalFormatting>
  <conditionalFormatting sqref="H416">
    <cfRule type="cellIs" rank="0" priority="1232" equalAverage="0" operator="greaterThan" aboveAverage="0" dxfId="1" text="" percent="0" bottom="0">
      <formula>0</formula>
    </cfRule>
    <cfRule type="cellIs" rank="0" priority="1233" equalAverage="0" operator="lessThanOrEqual" aboveAverage="0" dxfId="0" text="" percent="0" bottom="0">
      <formula>0</formula>
    </cfRule>
  </conditionalFormatting>
  <conditionalFormatting sqref="G416">
    <cfRule type="cellIs" rank="0" priority="1234" equalAverage="0" operator="greaterThan" aboveAverage="0" dxfId="10" text="" percent="0" bottom="0">
      <formula>e{r}</formula>
    </cfRule>
  </conditionalFormatting>
  <conditionalFormatting sqref="H417">
    <cfRule type="cellIs" rank="0" priority="1235" equalAverage="0" operator="greaterThan" aboveAverage="0" dxfId="1" text="" percent="0" bottom="0">
      <formula>0</formula>
    </cfRule>
    <cfRule type="cellIs" rank="0" priority="1236" equalAverage="0" operator="lessThanOrEqual" aboveAverage="0" dxfId="0" text="" percent="0" bottom="0">
      <formula>0</formula>
    </cfRule>
  </conditionalFormatting>
  <conditionalFormatting sqref="G417">
    <cfRule type="cellIs" rank="0" priority="1237" equalAverage="0" operator="greaterThan" aboveAverage="0" dxfId="10" text="" percent="0" bottom="0">
      <formula>e{r}</formula>
    </cfRule>
  </conditionalFormatting>
  <conditionalFormatting sqref="H418">
    <cfRule type="cellIs" rank="0" priority="1238" equalAverage="0" operator="greaterThan" aboveAverage="0" dxfId="1" text="" percent="0" bottom="0">
      <formula>0</formula>
    </cfRule>
    <cfRule type="cellIs" rank="0" priority="1239" equalAverage="0" operator="lessThanOrEqual" aboveAverage="0" dxfId="0" text="" percent="0" bottom="0">
      <formula>0</formula>
    </cfRule>
  </conditionalFormatting>
  <conditionalFormatting sqref="G418">
    <cfRule type="cellIs" rank="0" priority="1240" equalAverage="0" operator="greaterThan" aboveAverage="0" dxfId="10" text="" percent="0" bottom="0">
      <formula>e{r}</formula>
    </cfRule>
  </conditionalFormatting>
  <conditionalFormatting sqref="H419">
    <cfRule type="cellIs" rank="0" priority="1241" equalAverage="0" operator="greaterThan" aboveAverage="0" dxfId="1" text="" percent="0" bottom="0">
      <formula>0</formula>
    </cfRule>
    <cfRule type="cellIs" rank="0" priority="1242" equalAverage="0" operator="lessThanOrEqual" aboveAverage="0" dxfId="0" text="" percent="0" bottom="0">
      <formula>0</formula>
    </cfRule>
  </conditionalFormatting>
  <conditionalFormatting sqref="G419">
    <cfRule type="cellIs" rank="0" priority="1243" equalAverage="0" operator="greaterThan" aboveAverage="0" dxfId="10" text="" percent="0" bottom="0">
      <formula>e{r}</formula>
    </cfRule>
  </conditionalFormatting>
  <conditionalFormatting sqref="H420">
    <cfRule type="cellIs" rank="0" priority="1244" equalAverage="0" operator="greaterThan" aboveAverage="0" dxfId="1" text="" percent="0" bottom="0">
      <formula>0</formula>
    </cfRule>
    <cfRule type="cellIs" rank="0" priority="1245" equalAverage="0" operator="lessThanOrEqual" aboveAverage="0" dxfId="0" text="" percent="0" bottom="0">
      <formula>0</formula>
    </cfRule>
  </conditionalFormatting>
  <conditionalFormatting sqref="G420">
    <cfRule type="cellIs" rank="0" priority="1246" equalAverage="0" operator="greaterThan" aboveAverage="0" dxfId="10" text="" percent="0" bottom="0">
      <formula>e{r}</formula>
    </cfRule>
  </conditionalFormatting>
  <conditionalFormatting sqref="H421">
    <cfRule type="cellIs" rank="0" priority="1247" equalAverage="0" operator="greaterThan" aboveAverage="0" dxfId="1" text="" percent="0" bottom="0">
      <formula>0</formula>
    </cfRule>
    <cfRule type="cellIs" rank="0" priority="1248" equalAverage="0" operator="lessThanOrEqual" aboveAverage="0" dxfId="0" text="" percent="0" bottom="0">
      <formula>0</formula>
    </cfRule>
  </conditionalFormatting>
  <conditionalFormatting sqref="G421">
    <cfRule type="cellIs" rank="0" priority="1249" equalAverage="0" operator="greaterThan" aboveAverage="0" dxfId="10" text="" percent="0" bottom="0">
      <formula>e{r}</formula>
    </cfRule>
  </conditionalFormatting>
  <conditionalFormatting sqref="H422">
    <cfRule type="cellIs" rank="0" priority="1250" equalAverage="0" operator="greaterThan" aboveAverage="0" dxfId="1" text="" percent="0" bottom="0">
      <formula>0</formula>
    </cfRule>
    <cfRule type="cellIs" rank="0" priority="1251" equalAverage="0" operator="lessThanOrEqual" aboveAverage="0" dxfId="0" text="" percent="0" bottom="0">
      <formula>0</formula>
    </cfRule>
  </conditionalFormatting>
  <conditionalFormatting sqref="G422">
    <cfRule type="cellIs" rank="0" priority="1252" equalAverage="0" operator="greaterThan" aboveAverage="0" dxfId="10" text="" percent="0" bottom="0">
      <formula>e{r}</formula>
    </cfRule>
  </conditionalFormatting>
  <conditionalFormatting sqref="H423">
    <cfRule type="cellIs" rank="0" priority="1253" equalAverage="0" operator="greaterThan" aboveAverage="0" dxfId="1" text="" percent="0" bottom="0">
      <formula>0</formula>
    </cfRule>
    <cfRule type="cellIs" rank="0" priority="1254" equalAverage="0" operator="lessThanOrEqual" aboveAverage="0" dxfId="0" text="" percent="0" bottom="0">
      <formula>0</formula>
    </cfRule>
  </conditionalFormatting>
  <conditionalFormatting sqref="G423">
    <cfRule type="cellIs" rank="0" priority="1255" equalAverage="0" operator="greaterThan" aboveAverage="0" dxfId="10" text="" percent="0" bottom="0">
      <formula>e{r}</formula>
    </cfRule>
  </conditionalFormatting>
  <conditionalFormatting sqref="H424">
    <cfRule type="cellIs" rank="0" priority="1256" equalAverage="0" operator="greaterThan" aboveAverage="0" dxfId="1" text="" percent="0" bottom="0">
      <formula>0</formula>
    </cfRule>
    <cfRule type="cellIs" rank="0" priority="1257" equalAverage="0" operator="lessThanOrEqual" aboveAverage="0" dxfId="0" text="" percent="0" bottom="0">
      <formula>0</formula>
    </cfRule>
  </conditionalFormatting>
  <conditionalFormatting sqref="G424">
    <cfRule type="cellIs" rank="0" priority="1258" equalAverage="0" operator="greaterThan" aboveAverage="0" dxfId="10" text="" percent="0" bottom="0">
      <formula>e{r}</formula>
    </cfRule>
  </conditionalFormatting>
  <conditionalFormatting sqref="H425">
    <cfRule type="cellIs" rank="0" priority="1259" equalAverage="0" operator="greaterThan" aboveAverage="0" dxfId="1" text="" percent="0" bottom="0">
      <formula>0</formula>
    </cfRule>
    <cfRule type="cellIs" rank="0" priority="1260" equalAverage="0" operator="lessThanOrEqual" aboveAverage="0" dxfId="0" text="" percent="0" bottom="0">
      <formula>0</formula>
    </cfRule>
  </conditionalFormatting>
  <conditionalFormatting sqref="G425">
    <cfRule type="cellIs" rank="0" priority="1261" equalAverage="0" operator="greaterThan" aboveAverage="0" dxfId="10" text="" percent="0" bottom="0">
      <formula>e{r}</formula>
    </cfRule>
  </conditionalFormatting>
  <conditionalFormatting sqref="H426">
    <cfRule type="cellIs" rank="0" priority="1262" equalAverage="0" operator="greaterThan" aboveAverage="0" dxfId="1" text="" percent="0" bottom="0">
      <formula>0</formula>
    </cfRule>
    <cfRule type="cellIs" rank="0" priority="1263" equalAverage="0" operator="lessThanOrEqual" aboveAverage="0" dxfId="0" text="" percent="0" bottom="0">
      <formula>0</formula>
    </cfRule>
  </conditionalFormatting>
  <conditionalFormatting sqref="G426">
    <cfRule type="cellIs" rank="0" priority="1264" equalAverage="0" operator="greaterThan" aboveAverage="0" dxfId="10" text="" percent="0" bottom="0">
      <formula>e{r}</formula>
    </cfRule>
  </conditionalFormatting>
  <conditionalFormatting sqref="H427">
    <cfRule type="cellIs" rank="0" priority="1265" equalAverage="0" operator="greaterThan" aboveAverage="0" dxfId="1" text="" percent="0" bottom="0">
      <formula>0</formula>
    </cfRule>
    <cfRule type="cellIs" rank="0" priority="1266" equalAverage="0" operator="lessThanOrEqual" aboveAverage="0" dxfId="0" text="" percent="0" bottom="0">
      <formula>0</formula>
    </cfRule>
  </conditionalFormatting>
  <conditionalFormatting sqref="G427">
    <cfRule type="cellIs" rank="0" priority="1267" equalAverage="0" operator="greaterThan" aboveAverage="0" dxfId="10" text="" percent="0" bottom="0">
      <formula>e{r}</formula>
    </cfRule>
  </conditionalFormatting>
  <conditionalFormatting sqref="H428">
    <cfRule type="cellIs" rank="0" priority="1268" equalAverage="0" operator="greaterThan" aboveAverage="0" dxfId="1" text="" percent="0" bottom="0">
      <formula>0</formula>
    </cfRule>
    <cfRule type="cellIs" rank="0" priority="1269" equalAverage="0" operator="lessThanOrEqual" aboveAverage="0" dxfId="0" text="" percent="0" bottom="0">
      <formula>0</formula>
    </cfRule>
  </conditionalFormatting>
  <conditionalFormatting sqref="G428">
    <cfRule type="cellIs" rank="0" priority="1270" equalAverage="0" operator="greaterThan" aboveAverage="0" dxfId="10" text="" percent="0" bottom="0">
      <formula>e{r}</formula>
    </cfRule>
  </conditionalFormatting>
  <conditionalFormatting sqref="H429">
    <cfRule type="cellIs" rank="0" priority="1271" equalAverage="0" operator="greaterThan" aboveAverage="0" dxfId="1" text="" percent="0" bottom="0">
      <formula>0</formula>
    </cfRule>
    <cfRule type="cellIs" rank="0" priority="1272" equalAverage="0" operator="lessThanOrEqual" aboveAverage="0" dxfId="0" text="" percent="0" bottom="0">
      <formula>0</formula>
    </cfRule>
  </conditionalFormatting>
  <conditionalFormatting sqref="G429">
    <cfRule type="cellIs" rank="0" priority="1273" equalAverage="0" operator="greaterThan" aboveAverage="0" dxfId="10" text="" percent="0" bottom="0">
      <formula>e{r}</formula>
    </cfRule>
  </conditionalFormatting>
  <conditionalFormatting sqref="H430">
    <cfRule type="cellIs" rank="0" priority="1274" equalAverage="0" operator="greaterThan" aboveAverage="0" dxfId="1" text="" percent="0" bottom="0">
      <formula>0</formula>
    </cfRule>
    <cfRule type="cellIs" rank="0" priority="1275" equalAverage="0" operator="lessThanOrEqual" aboveAverage="0" dxfId="0" text="" percent="0" bottom="0">
      <formula>0</formula>
    </cfRule>
  </conditionalFormatting>
  <conditionalFormatting sqref="G430">
    <cfRule type="cellIs" rank="0" priority="1276" equalAverage="0" operator="greaterThan" aboveAverage="0" dxfId="10" text="" percent="0" bottom="0">
      <formula>e{r}</formula>
    </cfRule>
  </conditionalFormatting>
  <conditionalFormatting sqref="H431">
    <cfRule type="cellIs" rank="0" priority="1277" equalAverage="0" operator="greaterThan" aboveAverage="0" dxfId="1" text="" percent="0" bottom="0">
      <formula>0</formula>
    </cfRule>
    <cfRule type="cellIs" rank="0" priority="1278" equalAverage="0" operator="lessThanOrEqual" aboveAverage="0" dxfId="0" text="" percent="0" bottom="0">
      <formula>0</formula>
    </cfRule>
  </conditionalFormatting>
  <conditionalFormatting sqref="G431">
    <cfRule type="cellIs" rank="0" priority="1279" equalAverage="0" operator="greaterThan" aboveAverage="0" dxfId="10" text="" percent="0" bottom="0">
      <formula>e{r}</formula>
    </cfRule>
  </conditionalFormatting>
  <conditionalFormatting sqref="H432">
    <cfRule type="cellIs" rank="0" priority="1280" equalAverage="0" operator="greaterThan" aboveAverage="0" dxfId="1" text="" percent="0" bottom="0">
      <formula>0</formula>
    </cfRule>
    <cfRule type="cellIs" rank="0" priority="1281" equalAverage="0" operator="lessThanOrEqual" aboveAverage="0" dxfId="0" text="" percent="0" bottom="0">
      <formula>0</formula>
    </cfRule>
  </conditionalFormatting>
  <conditionalFormatting sqref="G432">
    <cfRule type="cellIs" rank="0" priority="1282" equalAverage="0" operator="greaterThan" aboveAverage="0" dxfId="10" text="" percent="0" bottom="0">
      <formula>e{r}</formula>
    </cfRule>
  </conditionalFormatting>
  <conditionalFormatting sqref="H433">
    <cfRule type="cellIs" rank="0" priority="1283" equalAverage="0" operator="greaterThan" aboveAverage="0" dxfId="1" text="" percent="0" bottom="0">
      <formula>0</formula>
    </cfRule>
    <cfRule type="cellIs" rank="0" priority="1284" equalAverage="0" operator="lessThanOrEqual" aboveAverage="0" dxfId="0" text="" percent="0" bottom="0">
      <formula>0</formula>
    </cfRule>
  </conditionalFormatting>
  <conditionalFormatting sqref="G433">
    <cfRule type="cellIs" rank="0" priority="1285" equalAverage="0" operator="greaterThan" aboveAverage="0" dxfId="10" text="" percent="0" bottom="0">
      <formula>e{r}</formula>
    </cfRule>
  </conditionalFormatting>
  <conditionalFormatting sqref="H434">
    <cfRule type="cellIs" rank="0" priority="1286" equalAverage="0" operator="greaterThan" aboveAverage="0" dxfId="1" text="" percent="0" bottom="0">
      <formula>0</formula>
    </cfRule>
    <cfRule type="cellIs" rank="0" priority="1287" equalAverage="0" operator="lessThanOrEqual" aboveAverage="0" dxfId="0" text="" percent="0" bottom="0">
      <formula>0</formula>
    </cfRule>
  </conditionalFormatting>
  <conditionalFormatting sqref="G434">
    <cfRule type="cellIs" rank="0" priority="1288" equalAverage="0" operator="greaterThan" aboveAverage="0" dxfId="10" text="" percent="0" bottom="0">
      <formula>e{r}</formula>
    </cfRule>
  </conditionalFormatting>
  <conditionalFormatting sqref="H435">
    <cfRule type="cellIs" rank="0" priority="1289" equalAverage="0" operator="greaterThan" aboveAverage="0" dxfId="1" text="" percent="0" bottom="0">
      <formula>0</formula>
    </cfRule>
    <cfRule type="cellIs" rank="0" priority="1290" equalAverage="0" operator="lessThanOrEqual" aboveAverage="0" dxfId="0" text="" percent="0" bottom="0">
      <formula>0</formula>
    </cfRule>
  </conditionalFormatting>
  <conditionalFormatting sqref="G435">
    <cfRule type="cellIs" rank="0" priority="1291" equalAverage="0" operator="greaterThan" aboveAverage="0" dxfId="10" text="" percent="0" bottom="0">
      <formula>e{r}</formula>
    </cfRule>
  </conditionalFormatting>
  <conditionalFormatting sqref="H436">
    <cfRule type="cellIs" rank="0" priority="1292" equalAverage="0" operator="greaterThan" aboveAverage="0" dxfId="1" text="" percent="0" bottom="0">
      <formula>0</formula>
    </cfRule>
    <cfRule type="cellIs" rank="0" priority="1293" equalAverage="0" operator="lessThanOrEqual" aboveAverage="0" dxfId="0" text="" percent="0" bottom="0">
      <formula>0</formula>
    </cfRule>
  </conditionalFormatting>
  <conditionalFormatting sqref="G436">
    <cfRule type="cellIs" rank="0" priority="1294" equalAverage="0" operator="greaterThan" aboveAverage="0" dxfId="10" text="" percent="0" bottom="0">
      <formula>e{r}</formula>
    </cfRule>
  </conditionalFormatting>
  <conditionalFormatting sqref="H437">
    <cfRule type="cellIs" rank="0" priority="1295" equalAverage="0" operator="greaterThan" aboveAverage="0" dxfId="1" text="" percent="0" bottom="0">
      <formula>0</formula>
    </cfRule>
    <cfRule type="cellIs" rank="0" priority="1296" equalAverage="0" operator="lessThanOrEqual" aboveAverage="0" dxfId="0" text="" percent="0" bottom="0">
      <formula>0</formula>
    </cfRule>
  </conditionalFormatting>
  <conditionalFormatting sqref="G437">
    <cfRule type="cellIs" rank="0" priority="1297" equalAverage="0" operator="greaterThan" aboveAverage="0" dxfId="10" text="" percent="0" bottom="0">
      <formula>e{r}</formula>
    </cfRule>
  </conditionalFormatting>
  <conditionalFormatting sqref="H438">
    <cfRule type="cellIs" rank="0" priority="1298" equalAverage="0" operator="greaterThan" aboveAverage="0" dxfId="1" text="" percent="0" bottom="0">
      <formula>0</formula>
    </cfRule>
    <cfRule type="cellIs" rank="0" priority="1299" equalAverage="0" operator="lessThanOrEqual" aboveAverage="0" dxfId="0" text="" percent="0" bottom="0">
      <formula>0</formula>
    </cfRule>
  </conditionalFormatting>
  <conditionalFormatting sqref="G438">
    <cfRule type="cellIs" rank="0" priority="1300" equalAverage="0" operator="greaterThan" aboveAverage="0" dxfId="10" text="" percent="0" bottom="0">
      <formula>e{r}</formula>
    </cfRule>
  </conditionalFormatting>
  <conditionalFormatting sqref="H439">
    <cfRule type="cellIs" rank="0" priority="1301" equalAverage="0" operator="greaterThan" aboveAverage="0" dxfId="1" text="" percent="0" bottom="0">
      <formula>0</formula>
    </cfRule>
    <cfRule type="cellIs" rank="0" priority="1302" equalAverage="0" operator="lessThanOrEqual" aboveAverage="0" dxfId="0" text="" percent="0" bottom="0">
      <formula>0</formula>
    </cfRule>
  </conditionalFormatting>
  <conditionalFormatting sqref="G439">
    <cfRule type="cellIs" rank="0" priority="1303" equalAverage="0" operator="greaterThan" aboveAverage="0" dxfId="10" text="" percent="0" bottom="0">
      <formula>e{r}</formula>
    </cfRule>
  </conditionalFormatting>
  <conditionalFormatting sqref="H440">
    <cfRule type="cellIs" rank="0" priority="1304" equalAverage="0" operator="greaterThan" aboveAverage="0" dxfId="1" text="" percent="0" bottom="0">
      <formula>0</formula>
    </cfRule>
    <cfRule type="cellIs" rank="0" priority="1305" equalAverage="0" operator="lessThanOrEqual" aboveAverage="0" dxfId="0" text="" percent="0" bottom="0">
      <formula>0</formula>
    </cfRule>
  </conditionalFormatting>
  <conditionalFormatting sqref="G440">
    <cfRule type="cellIs" rank="0" priority="1306" equalAverage="0" operator="greaterThan" aboveAverage="0" dxfId="10" text="" percent="0" bottom="0">
      <formula>e{r}</formula>
    </cfRule>
  </conditionalFormatting>
  <conditionalFormatting sqref="H441">
    <cfRule type="cellIs" rank="0" priority="1307" equalAverage="0" operator="greaterThan" aboveAverage="0" dxfId="1" text="" percent="0" bottom="0">
      <formula>0</formula>
    </cfRule>
    <cfRule type="cellIs" rank="0" priority="1308" equalAverage="0" operator="lessThanOrEqual" aboveAverage="0" dxfId="0" text="" percent="0" bottom="0">
      <formula>0</formula>
    </cfRule>
  </conditionalFormatting>
  <conditionalFormatting sqref="G441">
    <cfRule type="cellIs" rank="0" priority="1309" equalAverage="0" operator="greaterThan" aboveAverage="0" dxfId="10" text="" percent="0" bottom="0">
      <formula>e{r}</formula>
    </cfRule>
  </conditionalFormatting>
  <conditionalFormatting sqref="H442">
    <cfRule type="cellIs" rank="0" priority="1310" equalAverage="0" operator="greaterThan" aboveAverage="0" dxfId="1" text="" percent="0" bottom="0">
      <formula>0</formula>
    </cfRule>
    <cfRule type="cellIs" rank="0" priority="1311" equalAverage="0" operator="lessThanOrEqual" aboveAverage="0" dxfId="0" text="" percent="0" bottom="0">
      <formula>0</formula>
    </cfRule>
  </conditionalFormatting>
  <conditionalFormatting sqref="G442">
    <cfRule type="cellIs" rank="0" priority="1312" equalAverage="0" operator="greaterThan" aboveAverage="0" dxfId="10" text="" percent="0" bottom="0">
      <formula>e{r}</formula>
    </cfRule>
  </conditionalFormatting>
  <conditionalFormatting sqref="H443">
    <cfRule type="cellIs" rank="0" priority="1313" equalAverage="0" operator="greaterThan" aboveAverage="0" dxfId="1" text="" percent="0" bottom="0">
      <formula>0</formula>
    </cfRule>
    <cfRule type="cellIs" rank="0" priority="1314" equalAverage="0" operator="lessThanOrEqual" aboveAverage="0" dxfId="0" text="" percent="0" bottom="0">
      <formula>0</formula>
    </cfRule>
  </conditionalFormatting>
  <conditionalFormatting sqref="G443">
    <cfRule type="cellIs" rank="0" priority="1315" equalAverage="0" operator="greaterThan" aboveAverage="0" dxfId="10" text="" percent="0" bottom="0">
      <formula>e{r}</formula>
    </cfRule>
  </conditionalFormatting>
  <conditionalFormatting sqref="H444">
    <cfRule type="cellIs" rank="0" priority="1316" equalAverage="0" operator="greaterThan" aboveAverage="0" dxfId="1" text="" percent="0" bottom="0">
      <formula>0</formula>
    </cfRule>
    <cfRule type="cellIs" rank="0" priority="1317" equalAverage="0" operator="lessThanOrEqual" aboveAverage="0" dxfId="0" text="" percent="0" bottom="0">
      <formula>0</formula>
    </cfRule>
  </conditionalFormatting>
  <conditionalFormatting sqref="G444">
    <cfRule type="cellIs" rank="0" priority="1318" equalAverage="0" operator="greaterThan" aboveAverage="0" dxfId="10" text="" percent="0" bottom="0">
      <formula>e{r}</formula>
    </cfRule>
  </conditionalFormatting>
  <conditionalFormatting sqref="H445">
    <cfRule type="cellIs" rank="0" priority="1319" equalAverage="0" operator="greaterThan" aboveAverage="0" dxfId="1" text="" percent="0" bottom="0">
      <formula>0</formula>
    </cfRule>
    <cfRule type="cellIs" rank="0" priority="1320" equalAverage="0" operator="lessThanOrEqual" aboveAverage="0" dxfId="0" text="" percent="0" bottom="0">
      <formula>0</formula>
    </cfRule>
  </conditionalFormatting>
  <conditionalFormatting sqref="G445">
    <cfRule type="cellIs" rank="0" priority="1321" equalAverage="0" operator="greaterThan" aboveAverage="0" dxfId="10" text="" percent="0" bottom="0">
      <formula>e{r}</formula>
    </cfRule>
  </conditionalFormatting>
  <conditionalFormatting sqref="H446">
    <cfRule type="cellIs" rank="0" priority="1322" equalAverage="0" operator="greaterThan" aboveAverage="0" dxfId="1" text="" percent="0" bottom="0">
      <formula>0</formula>
    </cfRule>
    <cfRule type="cellIs" rank="0" priority="1323" equalAverage="0" operator="lessThanOrEqual" aboveAverage="0" dxfId="0" text="" percent="0" bottom="0">
      <formula>0</formula>
    </cfRule>
  </conditionalFormatting>
  <conditionalFormatting sqref="G446">
    <cfRule type="cellIs" rank="0" priority="1324" equalAverage="0" operator="greaterThan" aboveAverage="0" dxfId="10" text="" percent="0" bottom="0">
      <formula>e{r}</formula>
    </cfRule>
  </conditionalFormatting>
  <conditionalFormatting sqref="H447">
    <cfRule type="cellIs" rank="0" priority="1325" equalAverage="0" operator="greaterThan" aboveAverage="0" dxfId="1" text="" percent="0" bottom="0">
      <formula>0</formula>
    </cfRule>
    <cfRule type="cellIs" rank="0" priority="1326" equalAverage="0" operator="lessThanOrEqual" aboveAverage="0" dxfId="0" text="" percent="0" bottom="0">
      <formula>0</formula>
    </cfRule>
  </conditionalFormatting>
  <conditionalFormatting sqref="G447">
    <cfRule type="cellIs" rank="0" priority="1327" equalAverage="0" operator="greaterThan" aboveAverage="0" dxfId="10" text="" percent="0" bottom="0">
      <formula>e{r}</formula>
    </cfRule>
  </conditionalFormatting>
  <conditionalFormatting sqref="H448">
    <cfRule type="cellIs" rank="0" priority="1328" equalAverage="0" operator="greaterThan" aboveAverage="0" dxfId="1" text="" percent="0" bottom="0">
      <formula>0</formula>
    </cfRule>
    <cfRule type="cellIs" rank="0" priority="1329" equalAverage="0" operator="lessThanOrEqual" aboveAverage="0" dxfId="0" text="" percent="0" bottom="0">
      <formula>0</formula>
    </cfRule>
  </conditionalFormatting>
  <conditionalFormatting sqref="G448">
    <cfRule type="cellIs" rank="0" priority="1330" equalAverage="0" operator="greaterThan" aboveAverage="0" dxfId="10" text="" percent="0" bottom="0">
      <formula>e{r}</formula>
    </cfRule>
  </conditionalFormatting>
  <conditionalFormatting sqref="H449">
    <cfRule type="cellIs" rank="0" priority="1331" equalAverage="0" operator="greaterThan" aboveAverage="0" dxfId="1" text="" percent="0" bottom="0">
      <formula>0</formula>
    </cfRule>
    <cfRule type="cellIs" rank="0" priority="1332" equalAverage="0" operator="lessThanOrEqual" aboveAverage="0" dxfId="0" text="" percent="0" bottom="0">
      <formula>0</formula>
    </cfRule>
  </conditionalFormatting>
  <conditionalFormatting sqref="G449">
    <cfRule type="cellIs" rank="0" priority="1333" equalAverage="0" operator="greaterThan" aboveAverage="0" dxfId="10" text="" percent="0" bottom="0">
      <formula>e{r}</formula>
    </cfRule>
  </conditionalFormatting>
  <conditionalFormatting sqref="H450">
    <cfRule type="cellIs" rank="0" priority="1334" equalAverage="0" operator="greaterThan" aboveAverage="0" dxfId="1" text="" percent="0" bottom="0">
      <formula>0</formula>
    </cfRule>
    <cfRule type="cellIs" rank="0" priority="1335" equalAverage="0" operator="lessThanOrEqual" aboveAverage="0" dxfId="0" text="" percent="0" bottom="0">
      <formula>0</formula>
    </cfRule>
  </conditionalFormatting>
  <conditionalFormatting sqref="G450">
    <cfRule type="cellIs" rank="0" priority="1336" equalAverage="0" operator="greaterThan" aboveAverage="0" dxfId="10" text="" percent="0" bottom="0">
      <formula>e{r}</formula>
    </cfRule>
  </conditionalFormatting>
  <conditionalFormatting sqref="H451">
    <cfRule type="cellIs" rank="0" priority="1337" equalAverage="0" operator="greaterThan" aboveAverage="0" dxfId="1" text="" percent="0" bottom="0">
      <formula>0</formula>
    </cfRule>
    <cfRule type="cellIs" rank="0" priority="1338" equalAverage="0" operator="lessThanOrEqual" aboveAverage="0" dxfId="0" text="" percent="0" bottom="0">
      <formula>0</formula>
    </cfRule>
  </conditionalFormatting>
  <conditionalFormatting sqref="G451">
    <cfRule type="cellIs" rank="0" priority="1339" equalAverage="0" operator="greaterThan" aboveAverage="0" dxfId="10" text="" percent="0" bottom="0">
      <formula>e{r}</formula>
    </cfRule>
  </conditionalFormatting>
  <conditionalFormatting sqref="H452">
    <cfRule type="cellIs" rank="0" priority="1340" equalAverage="0" operator="greaterThan" aboveAverage="0" dxfId="1" text="" percent="0" bottom="0">
      <formula>0</formula>
    </cfRule>
    <cfRule type="cellIs" rank="0" priority="1341" equalAverage="0" operator="lessThanOrEqual" aboveAverage="0" dxfId="0" text="" percent="0" bottom="0">
      <formula>0</formula>
    </cfRule>
  </conditionalFormatting>
  <conditionalFormatting sqref="G452">
    <cfRule type="cellIs" rank="0" priority="1342" equalAverage="0" operator="greaterThan" aboveAverage="0" dxfId="10" text="" percent="0" bottom="0">
      <formula>e{r}</formula>
    </cfRule>
  </conditionalFormatting>
  <conditionalFormatting sqref="H453">
    <cfRule type="cellIs" rank="0" priority="1343" equalAverage="0" operator="greaterThan" aboveAverage="0" dxfId="1" text="" percent="0" bottom="0">
      <formula>0</formula>
    </cfRule>
    <cfRule type="cellIs" rank="0" priority="1344" equalAverage="0" operator="lessThanOrEqual" aboveAverage="0" dxfId="0" text="" percent="0" bottom="0">
      <formula>0</formula>
    </cfRule>
  </conditionalFormatting>
  <conditionalFormatting sqref="G453">
    <cfRule type="cellIs" rank="0" priority="1345" equalAverage="0" operator="greaterThan" aboveAverage="0" dxfId="10" text="" percent="0" bottom="0">
      <formula>e{r}</formula>
    </cfRule>
  </conditionalFormatting>
  <conditionalFormatting sqref="H454">
    <cfRule type="cellIs" rank="0" priority="1346" equalAverage="0" operator="greaterThan" aboveAverage="0" dxfId="1" text="" percent="0" bottom="0">
      <formula>0</formula>
    </cfRule>
    <cfRule type="cellIs" rank="0" priority="1347" equalAverage="0" operator="lessThanOrEqual" aboveAverage="0" dxfId="0" text="" percent="0" bottom="0">
      <formula>0</formula>
    </cfRule>
  </conditionalFormatting>
  <conditionalFormatting sqref="G454">
    <cfRule type="cellIs" rank="0" priority="1348" equalAverage="0" operator="greaterThan" aboveAverage="0" dxfId="10" text="" percent="0" bottom="0">
      <formula>e{r}</formula>
    </cfRule>
  </conditionalFormatting>
  <conditionalFormatting sqref="H455">
    <cfRule type="cellIs" rank="0" priority="1349" equalAverage="0" operator="greaterThan" aboveAverage="0" dxfId="1" text="" percent="0" bottom="0">
      <formula>0</formula>
    </cfRule>
    <cfRule type="cellIs" rank="0" priority="1350" equalAverage="0" operator="lessThanOrEqual" aboveAverage="0" dxfId="0" text="" percent="0" bottom="0">
      <formula>0</formula>
    </cfRule>
  </conditionalFormatting>
  <conditionalFormatting sqref="G455">
    <cfRule type="cellIs" rank="0" priority="1351" equalAverage="0" operator="greaterThan" aboveAverage="0" dxfId="10" text="" percent="0" bottom="0">
      <formula>e{r}</formula>
    </cfRule>
  </conditionalFormatting>
  <conditionalFormatting sqref="H456">
    <cfRule type="cellIs" rank="0" priority="1352" equalAverage="0" operator="greaterThan" aboveAverage="0" dxfId="1" text="" percent="0" bottom="0">
      <formula>0</formula>
    </cfRule>
    <cfRule type="cellIs" rank="0" priority="1353" equalAverage="0" operator="lessThanOrEqual" aboveAverage="0" dxfId="0" text="" percent="0" bottom="0">
      <formula>0</formula>
    </cfRule>
  </conditionalFormatting>
  <conditionalFormatting sqref="G456">
    <cfRule type="cellIs" rank="0" priority="1354" equalAverage="0" operator="greaterThan" aboveAverage="0" dxfId="10" text="" percent="0" bottom="0">
      <formula>e{r}</formula>
    </cfRule>
  </conditionalFormatting>
  <conditionalFormatting sqref="H457">
    <cfRule type="cellIs" rank="0" priority="1355" equalAverage="0" operator="greaterThan" aboveAverage="0" dxfId="1" text="" percent="0" bottom="0">
      <formula>0</formula>
    </cfRule>
    <cfRule type="cellIs" rank="0" priority="1356" equalAverage="0" operator="lessThanOrEqual" aboveAverage="0" dxfId="0" text="" percent="0" bottom="0">
      <formula>0</formula>
    </cfRule>
  </conditionalFormatting>
  <conditionalFormatting sqref="G457">
    <cfRule type="cellIs" rank="0" priority="1357" equalAverage="0" operator="greaterThan" aboveAverage="0" dxfId="10" text="" percent="0" bottom="0">
      <formula>e{r}</formula>
    </cfRule>
  </conditionalFormatting>
  <conditionalFormatting sqref="H458">
    <cfRule type="cellIs" rank="0" priority="1358" equalAverage="0" operator="greaterThan" aboveAverage="0" dxfId="1" text="" percent="0" bottom="0">
      <formula>0</formula>
    </cfRule>
    <cfRule type="cellIs" rank="0" priority="1359" equalAverage="0" operator="lessThanOrEqual" aboveAverage="0" dxfId="0" text="" percent="0" bottom="0">
      <formula>0</formula>
    </cfRule>
  </conditionalFormatting>
  <conditionalFormatting sqref="G458">
    <cfRule type="cellIs" rank="0" priority="1360" equalAverage="0" operator="greaterThan" aboveAverage="0" dxfId="10" text="" percent="0" bottom="0">
      <formula>e{r}</formula>
    </cfRule>
  </conditionalFormatting>
  <conditionalFormatting sqref="H459">
    <cfRule type="cellIs" rank="0" priority="1361" equalAverage="0" operator="greaterThan" aboveAverage="0" dxfId="1" text="" percent="0" bottom="0">
      <formula>0</formula>
    </cfRule>
    <cfRule type="cellIs" rank="0" priority="1362" equalAverage="0" operator="lessThanOrEqual" aboveAverage="0" dxfId="0" text="" percent="0" bottom="0">
      <formula>0</formula>
    </cfRule>
  </conditionalFormatting>
  <conditionalFormatting sqref="G459">
    <cfRule type="cellIs" rank="0" priority="1363" equalAverage="0" operator="greaterThan" aboveAverage="0" dxfId="10" text="" percent="0" bottom="0">
      <formula>e{r}</formula>
    </cfRule>
  </conditionalFormatting>
  <conditionalFormatting sqref="H460">
    <cfRule type="cellIs" rank="0" priority="1364" equalAverage="0" operator="greaterThan" aboveAverage="0" dxfId="1" text="" percent="0" bottom="0">
      <formula>0</formula>
    </cfRule>
    <cfRule type="cellIs" rank="0" priority="1365" equalAverage="0" operator="lessThanOrEqual" aboveAverage="0" dxfId="0" text="" percent="0" bottom="0">
      <formula>0</formula>
    </cfRule>
  </conditionalFormatting>
  <conditionalFormatting sqref="G460">
    <cfRule type="cellIs" rank="0" priority="1366" equalAverage="0" operator="greaterThan" aboveAverage="0" dxfId="10" text="" percent="0" bottom="0">
      <formula>e{r}</formula>
    </cfRule>
  </conditionalFormatting>
  <conditionalFormatting sqref="H461">
    <cfRule type="cellIs" rank="0" priority="1367" equalAverage="0" operator="greaterThan" aboveAverage="0" dxfId="1" text="" percent="0" bottom="0">
      <formula>0</formula>
    </cfRule>
    <cfRule type="cellIs" rank="0" priority="1368" equalAverage="0" operator="lessThanOrEqual" aboveAverage="0" dxfId="0" text="" percent="0" bottom="0">
      <formula>0</formula>
    </cfRule>
  </conditionalFormatting>
  <conditionalFormatting sqref="G461">
    <cfRule type="cellIs" rank="0" priority="1369" equalAverage="0" operator="greaterThan" aboveAverage="0" dxfId="10" text="" percent="0" bottom="0">
      <formula>e{r}</formula>
    </cfRule>
  </conditionalFormatting>
  <conditionalFormatting sqref="H462">
    <cfRule type="cellIs" rank="0" priority="1370" equalAverage="0" operator="greaterThan" aboveAverage="0" dxfId="1" text="" percent="0" bottom="0">
      <formula>0</formula>
    </cfRule>
    <cfRule type="cellIs" rank="0" priority="1371" equalAverage="0" operator="lessThanOrEqual" aboveAverage="0" dxfId="0" text="" percent="0" bottom="0">
      <formula>0</formula>
    </cfRule>
  </conditionalFormatting>
  <conditionalFormatting sqref="G462">
    <cfRule type="cellIs" rank="0" priority="1372" equalAverage="0" operator="greaterThan" aboveAverage="0" dxfId="10" text="" percent="0" bottom="0">
      <formula>e{r}</formula>
    </cfRule>
  </conditionalFormatting>
  <conditionalFormatting sqref="H463">
    <cfRule type="cellIs" rank="0" priority="1373" equalAverage="0" operator="greaterThan" aboveAverage="0" dxfId="1" text="" percent="0" bottom="0">
      <formula>0</formula>
    </cfRule>
    <cfRule type="cellIs" rank="0" priority="1374" equalAverage="0" operator="lessThanOrEqual" aboveAverage="0" dxfId="0" text="" percent="0" bottom="0">
      <formula>0</formula>
    </cfRule>
  </conditionalFormatting>
  <conditionalFormatting sqref="G463">
    <cfRule type="cellIs" rank="0" priority="1375" equalAverage="0" operator="greaterThan" aboveAverage="0" dxfId="10" text="" percent="0" bottom="0">
      <formula>e{r}</formula>
    </cfRule>
  </conditionalFormatting>
  <conditionalFormatting sqref="H464">
    <cfRule type="cellIs" rank="0" priority="1376" equalAverage="0" operator="greaterThan" aboveAverage="0" dxfId="1" text="" percent="0" bottom="0">
      <formula>0</formula>
    </cfRule>
    <cfRule type="cellIs" rank="0" priority="1377" equalAverage="0" operator="lessThanOrEqual" aboveAverage="0" dxfId="0" text="" percent="0" bottom="0">
      <formula>0</formula>
    </cfRule>
  </conditionalFormatting>
  <conditionalFormatting sqref="G464">
    <cfRule type="cellIs" rank="0" priority="1378" equalAverage="0" operator="greaterThan" aboveAverage="0" dxfId="10" text="" percent="0" bottom="0">
      <formula>e{r}</formula>
    </cfRule>
  </conditionalFormatting>
  <conditionalFormatting sqref="H465">
    <cfRule type="cellIs" rank="0" priority="1379" equalAverage="0" operator="greaterThan" aboveAverage="0" dxfId="1" text="" percent="0" bottom="0">
      <formula>0</formula>
    </cfRule>
    <cfRule type="cellIs" rank="0" priority="1380" equalAverage="0" operator="lessThanOrEqual" aboveAverage="0" dxfId="0" text="" percent="0" bottom="0">
      <formula>0</formula>
    </cfRule>
  </conditionalFormatting>
  <conditionalFormatting sqref="G465">
    <cfRule type="cellIs" rank="0" priority="1381" equalAverage="0" operator="greaterThan" aboveAverage="0" dxfId="10" text="" percent="0" bottom="0">
      <formula>e{r}</formula>
    </cfRule>
  </conditionalFormatting>
  <conditionalFormatting sqref="H466">
    <cfRule type="cellIs" rank="0" priority="1382" equalAverage="0" operator="greaterThan" aboveAverage="0" dxfId="1" text="" percent="0" bottom="0">
      <formula>0</formula>
    </cfRule>
    <cfRule type="cellIs" rank="0" priority="1383" equalAverage="0" operator="lessThanOrEqual" aboveAverage="0" dxfId="0" text="" percent="0" bottom="0">
      <formula>0</formula>
    </cfRule>
  </conditionalFormatting>
  <conditionalFormatting sqref="G466">
    <cfRule type="cellIs" rank="0" priority="1384" equalAverage="0" operator="greaterThan" aboveAverage="0" dxfId="10" text="" percent="0" bottom="0">
      <formula>e{r}</formula>
    </cfRule>
  </conditionalFormatting>
  <conditionalFormatting sqref="H467">
    <cfRule type="cellIs" rank="0" priority="1385" equalAverage="0" operator="greaterThan" aboveAverage="0" dxfId="1" text="" percent="0" bottom="0">
      <formula>0</formula>
    </cfRule>
    <cfRule type="cellIs" rank="0" priority="1386" equalAverage="0" operator="lessThanOrEqual" aboveAverage="0" dxfId="0" text="" percent="0" bottom="0">
      <formula>0</formula>
    </cfRule>
  </conditionalFormatting>
  <conditionalFormatting sqref="G467">
    <cfRule type="cellIs" rank="0" priority="1387" equalAverage="0" operator="greaterThan" aboveAverage="0" dxfId="10" text="" percent="0" bottom="0">
      <formula>e{r}</formula>
    </cfRule>
  </conditionalFormatting>
  <conditionalFormatting sqref="H468">
    <cfRule type="cellIs" rank="0" priority="1388" equalAverage="0" operator="greaterThan" aboveAverage="0" dxfId="1" text="" percent="0" bottom="0">
      <formula>0</formula>
    </cfRule>
    <cfRule type="cellIs" rank="0" priority="1389" equalAverage="0" operator="lessThanOrEqual" aboveAverage="0" dxfId="0" text="" percent="0" bottom="0">
      <formula>0</formula>
    </cfRule>
  </conditionalFormatting>
  <conditionalFormatting sqref="G468">
    <cfRule type="cellIs" rank="0" priority="1390" equalAverage="0" operator="greaterThan" aboveAverage="0" dxfId="10" text="" percent="0" bottom="0">
      <formula>e{r}</formula>
    </cfRule>
  </conditionalFormatting>
  <conditionalFormatting sqref="H469">
    <cfRule type="cellIs" rank="0" priority="1391" equalAverage="0" operator="greaterThan" aboveAverage="0" dxfId="1" text="" percent="0" bottom="0">
      <formula>0</formula>
    </cfRule>
    <cfRule type="cellIs" rank="0" priority="1392" equalAverage="0" operator="lessThanOrEqual" aboveAverage="0" dxfId="0" text="" percent="0" bottom="0">
      <formula>0</formula>
    </cfRule>
  </conditionalFormatting>
  <conditionalFormatting sqref="G469">
    <cfRule type="cellIs" rank="0" priority="1393" equalAverage="0" operator="greaterThan" aboveAverage="0" dxfId="10" text="" percent="0" bottom="0">
      <formula>e{r}</formula>
    </cfRule>
  </conditionalFormatting>
  <conditionalFormatting sqref="H470">
    <cfRule type="cellIs" rank="0" priority="1394" equalAverage="0" operator="greaterThan" aboveAverage="0" dxfId="1" text="" percent="0" bottom="0">
      <formula>0</formula>
    </cfRule>
    <cfRule type="cellIs" rank="0" priority="1395" equalAverage="0" operator="lessThanOrEqual" aboveAverage="0" dxfId="0" text="" percent="0" bottom="0">
      <formula>0</formula>
    </cfRule>
  </conditionalFormatting>
  <conditionalFormatting sqref="G470">
    <cfRule type="cellIs" rank="0" priority="1396" equalAverage="0" operator="greaterThan" aboveAverage="0" dxfId="10" text="" percent="0" bottom="0">
      <formula>e{r}</formula>
    </cfRule>
  </conditionalFormatting>
  <conditionalFormatting sqref="H471">
    <cfRule type="cellIs" rank="0" priority="1397" equalAverage="0" operator="greaterThan" aboveAverage="0" dxfId="1" text="" percent="0" bottom="0">
      <formula>0</formula>
    </cfRule>
    <cfRule type="cellIs" rank="0" priority="1398" equalAverage="0" operator="lessThanOrEqual" aboveAverage="0" dxfId="0" text="" percent="0" bottom="0">
      <formula>0</formula>
    </cfRule>
  </conditionalFormatting>
  <conditionalFormatting sqref="G471">
    <cfRule type="cellIs" rank="0" priority="1399" equalAverage="0" operator="greaterThan" aboveAverage="0" dxfId="10" text="" percent="0" bottom="0">
      <formula>e{r}</formula>
    </cfRule>
  </conditionalFormatting>
  <conditionalFormatting sqref="H472">
    <cfRule type="cellIs" rank="0" priority="1400" equalAverage="0" operator="greaterThan" aboveAverage="0" dxfId="1" text="" percent="0" bottom="0">
      <formula>0</formula>
    </cfRule>
    <cfRule type="cellIs" rank="0" priority="1401" equalAverage="0" operator="lessThanOrEqual" aboveAverage="0" dxfId="0" text="" percent="0" bottom="0">
      <formula>0</formula>
    </cfRule>
  </conditionalFormatting>
  <conditionalFormatting sqref="G472">
    <cfRule type="cellIs" rank="0" priority="1402" equalAverage="0" operator="greaterThan" aboveAverage="0" dxfId="10" text="" percent="0" bottom="0">
      <formula>e{r}</formula>
    </cfRule>
  </conditionalFormatting>
  <conditionalFormatting sqref="H473">
    <cfRule type="cellIs" rank="0" priority="1403" equalAverage="0" operator="greaterThan" aboveAverage="0" dxfId="1" text="" percent="0" bottom="0">
      <formula>0</formula>
    </cfRule>
    <cfRule type="cellIs" rank="0" priority="1404" equalAverage="0" operator="lessThanOrEqual" aboveAverage="0" dxfId="0" text="" percent="0" bottom="0">
      <formula>0</formula>
    </cfRule>
  </conditionalFormatting>
  <conditionalFormatting sqref="G473">
    <cfRule type="cellIs" rank="0" priority="1405" equalAverage="0" operator="greaterThan" aboveAverage="0" dxfId="10" text="" percent="0" bottom="0">
      <formula>e{r}</formula>
    </cfRule>
  </conditionalFormatting>
  <conditionalFormatting sqref="H474">
    <cfRule type="cellIs" rank="0" priority="1406" equalAverage="0" operator="greaterThan" aboveAverage="0" dxfId="1" text="" percent="0" bottom="0">
      <formula>0</formula>
    </cfRule>
    <cfRule type="cellIs" rank="0" priority="1407" equalAverage="0" operator="lessThanOrEqual" aboveAverage="0" dxfId="0" text="" percent="0" bottom="0">
      <formula>0</formula>
    </cfRule>
  </conditionalFormatting>
  <conditionalFormatting sqref="G474">
    <cfRule type="cellIs" rank="0" priority="1408" equalAverage="0" operator="greaterThan" aboveAverage="0" dxfId="10" text="" percent="0" bottom="0">
      <formula>e{r}</formula>
    </cfRule>
  </conditionalFormatting>
  <conditionalFormatting sqref="H475">
    <cfRule type="cellIs" rank="0" priority="1409" equalAverage="0" operator="greaterThan" aboveAverage="0" dxfId="1" text="" percent="0" bottom="0">
      <formula>0</formula>
    </cfRule>
    <cfRule type="cellIs" rank="0" priority="1410" equalAverage="0" operator="lessThanOrEqual" aboveAverage="0" dxfId="0" text="" percent="0" bottom="0">
      <formula>0</formula>
    </cfRule>
  </conditionalFormatting>
  <conditionalFormatting sqref="G475">
    <cfRule type="cellIs" rank="0" priority="1411" equalAverage="0" operator="greaterThan" aboveAverage="0" dxfId="10" text="" percent="0" bottom="0">
      <formula>e{r}</formula>
    </cfRule>
  </conditionalFormatting>
  <conditionalFormatting sqref="H476">
    <cfRule type="cellIs" rank="0" priority="1412" equalAverage="0" operator="greaterThan" aboveAverage="0" dxfId="1" text="" percent="0" bottom="0">
      <formula>0</formula>
    </cfRule>
    <cfRule type="cellIs" rank="0" priority="1413" equalAverage="0" operator="lessThanOrEqual" aboveAverage="0" dxfId="0" text="" percent="0" bottom="0">
      <formula>0</formula>
    </cfRule>
  </conditionalFormatting>
  <conditionalFormatting sqref="G476">
    <cfRule type="cellIs" rank="0" priority="1414" equalAverage="0" operator="greaterThan" aboveAverage="0" dxfId="10" text="" percent="0" bottom="0">
      <formula>e{r}</formula>
    </cfRule>
  </conditionalFormatting>
  <conditionalFormatting sqref="H477">
    <cfRule type="cellIs" rank="0" priority="1415" equalAverage="0" operator="greaterThan" aboveAverage="0" dxfId="1" text="" percent="0" bottom="0">
      <formula>0</formula>
    </cfRule>
    <cfRule type="cellIs" rank="0" priority="1416" equalAverage="0" operator="lessThanOrEqual" aboveAverage="0" dxfId="0" text="" percent="0" bottom="0">
      <formula>0</formula>
    </cfRule>
  </conditionalFormatting>
  <conditionalFormatting sqref="G477">
    <cfRule type="cellIs" rank="0" priority="1417" equalAverage="0" operator="greaterThan" aboveAverage="0" dxfId="10" text="" percent="0" bottom="0">
      <formula>e{r}</formula>
    </cfRule>
  </conditionalFormatting>
  <conditionalFormatting sqref="H478">
    <cfRule type="cellIs" rank="0" priority="1418" equalAverage="0" operator="greaterThan" aboveAverage="0" dxfId="1" text="" percent="0" bottom="0">
      <formula>0</formula>
    </cfRule>
    <cfRule type="cellIs" rank="0" priority="1419" equalAverage="0" operator="lessThanOrEqual" aboveAverage="0" dxfId="0" text="" percent="0" bottom="0">
      <formula>0</formula>
    </cfRule>
  </conditionalFormatting>
  <conditionalFormatting sqref="G478">
    <cfRule type="cellIs" rank="0" priority="1420" equalAverage="0" operator="greaterThan" aboveAverage="0" dxfId="10" text="" percent="0" bottom="0">
      <formula>e{r}</formula>
    </cfRule>
  </conditionalFormatting>
  <conditionalFormatting sqref="H479">
    <cfRule type="cellIs" rank="0" priority="1421" equalAverage="0" operator="greaterThan" aboveAverage="0" dxfId="1" text="" percent="0" bottom="0">
      <formula>0</formula>
    </cfRule>
    <cfRule type="cellIs" rank="0" priority="1422" equalAverage="0" operator="lessThanOrEqual" aboveAverage="0" dxfId="0" text="" percent="0" bottom="0">
      <formula>0</formula>
    </cfRule>
  </conditionalFormatting>
  <conditionalFormatting sqref="G479">
    <cfRule type="cellIs" rank="0" priority="1423" equalAverage="0" operator="greaterThan" aboveAverage="0" dxfId="10" text="" percent="0" bottom="0">
      <formula>e{r}</formula>
    </cfRule>
  </conditionalFormatting>
  <conditionalFormatting sqref="H480">
    <cfRule type="cellIs" rank="0" priority="1424" equalAverage="0" operator="greaterThan" aboveAverage="0" dxfId="1" text="" percent="0" bottom="0">
      <formula>0</formula>
    </cfRule>
    <cfRule type="cellIs" rank="0" priority="1425" equalAverage="0" operator="lessThanOrEqual" aboveAverage="0" dxfId="0" text="" percent="0" bottom="0">
      <formula>0</formula>
    </cfRule>
  </conditionalFormatting>
  <conditionalFormatting sqref="G480">
    <cfRule type="cellIs" rank="0" priority="1426" equalAverage="0" operator="greaterThan" aboveAverage="0" dxfId="10" text="" percent="0" bottom="0">
      <formula>e{r}</formula>
    </cfRule>
  </conditionalFormatting>
  <conditionalFormatting sqref="H481">
    <cfRule type="cellIs" rank="0" priority="1427" equalAverage="0" operator="greaterThan" aboveAverage="0" dxfId="1" text="" percent="0" bottom="0">
      <formula>0</formula>
    </cfRule>
    <cfRule type="cellIs" rank="0" priority="1428" equalAverage="0" operator="lessThanOrEqual" aboveAverage="0" dxfId="0" text="" percent="0" bottom="0">
      <formula>0</formula>
    </cfRule>
  </conditionalFormatting>
  <conditionalFormatting sqref="G481">
    <cfRule type="cellIs" rank="0" priority="1429" equalAverage="0" operator="greaterThan" aboveAverage="0" dxfId="10" text="" percent="0" bottom="0">
      <formula>e{r}</formula>
    </cfRule>
  </conditionalFormatting>
  <conditionalFormatting sqref="H482">
    <cfRule type="cellIs" rank="0" priority="1430" equalAverage="0" operator="greaterThan" aboveAverage="0" dxfId="1" text="" percent="0" bottom="0">
      <formula>0</formula>
    </cfRule>
    <cfRule type="cellIs" rank="0" priority="1431" equalAverage="0" operator="lessThanOrEqual" aboveAverage="0" dxfId="0" text="" percent="0" bottom="0">
      <formula>0</formula>
    </cfRule>
  </conditionalFormatting>
  <conditionalFormatting sqref="G482">
    <cfRule type="cellIs" rank="0" priority="1432" equalAverage="0" operator="greaterThan" aboveAverage="0" dxfId="10" text="" percent="0" bottom="0">
      <formula>e{r}</formula>
    </cfRule>
  </conditionalFormatting>
  <conditionalFormatting sqref="H483">
    <cfRule type="cellIs" rank="0" priority="1433" equalAverage="0" operator="greaterThan" aboveAverage="0" dxfId="1" text="" percent="0" bottom="0">
      <formula>0</formula>
    </cfRule>
    <cfRule type="cellIs" rank="0" priority="1434" equalAverage="0" operator="lessThanOrEqual" aboveAverage="0" dxfId="0" text="" percent="0" bottom="0">
      <formula>0</formula>
    </cfRule>
  </conditionalFormatting>
  <conditionalFormatting sqref="G483">
    <cfRule type="cellIs" rank="0" priority="1435" equalAverage="0" operator="greaterThan" aboveAverage="0" dxfId="10" text="" percent="0" bottom="0">
      <formula>e{r}</formula>
    </cfRule>
  </conditionalFormatting>
  <conditionalFormatting sqref="H484">
    <cfRule type="cellIs" rank="0" priority="1436" equalAverage="0" operator="greaterThan" aboveAverage="0" dxfId="1" text="" percent="0" bottom="0">
      <formula>0</formula>
    </cfRule>
    <cfRule type="cellIs" rank="0" priority="1437" equalAverage="0" operator="lessThanOrEqual" aboveAverage="0" dxfId="0" text="" percent="0" bottom="0">
      <formula>0</formula>
    </cfRule>
  </conditionalFormatting>
  <conditionalFormatting sqref="G484">
    <cfRule type="cellIs" rank="0" priority="1438" equalAverage="0" operator="greaterThan" aboveAverage="0" dxfId="10" text="" percent="0" bottom="0">
      <formula>e{r}</formula>
    </cfRule>
  </conditionalFormatting>
  <conditionalFormatting sqref="H485">
    <cfRule type="cellIs" rank="0" priority="1439" equalAverage="0" operator="greaterThan" aboveAverage="0" dxfId="1" text="" percent="0" bottom="0">
      <formula>0</formula>
    </cfRule>
    <cfRule type="cellIs" rank="0" priority="1440" equalAverage="0" operator="lessThanOrEqual" aboveAverage="0" dxfId="0" text="" percent="0" bottom="0">
      <formula>0</formula>
    </cfRule>
  </conditionalFormatting>
  <conditionalFormatting sqref="G485">
    <cfRule type="cellIs" rank="0" priority="1441" equalAverage="0" operator="greaterThan" aboveAverage="0" dxfId="10" text="" percent="0" bottom="0">
      <formula>e{r}</formula>
    </cfRule>
  </conditionalFormatting>
  <conditionalFormatting sqref="H486">
    <cfRule type="cellIs" rank="0" priority="1442" equalAverage="0" operator="greaterThan" aboveAverage="0" dxfId="1" text="" percent="0" bottom="0">
      <formula>0</formula>
    </cfRule>
    <cfRule type="cellIs" rank="0" priority="1443" equalAverage="0" operator="lessThanOrEqual" aboveAverage="0" dxfId="0" text="" percent="0" bottom="0">
      <formula>0</formula>
    </cfRule>
  </conditionalFormatting>
  <conditionalFormatting sqref="G486">
    <cfRule type="cellIs" rank="0" priority="1444" equalAverage="0" operator="greaterThan" aboveAverage="0" dxfId="10" text="" percent="0" bottom="0">
      <formula>e{r}</formula>
    </cfRule>
  </conditionalFormatting>
  <conditionalFormatting sqref="H487">
    <cfRule type="cellIs" rank="0" priority="1445" equalAverage="0" operator="greaterThan" aboveAverage="0" dxfId="1" text="" percent="0" bottom="0">
      <formula>0</formula>
    </cfRule>
    <cfRule type="cellIs" rank="0" priority="1446" equalAverage="0" operator="lessThanOrEqual" aboveAverage="0" dxfId="0" text="" percent="0" bottom="0">
      <formula>0</formula>
    </cfRule>
  </conditionalFormatting>
  <conditionalFormatting sqref="G487">
    <cfRule type="cellIs" rank="0" priority="1447" equalAverage="0" operator="greaterThan" aboveAverage="0" dxfId="10" text="" percent="0" bottom="0">
      <formula>e{r}</formula>
    </cfRule>
  </conditionalFormatting>
  <conditionalFormatting sqref="H488">
    <cfRule type="cellIs" rank="0" priority="1448" equalAverage="0" operator="greaterThan" aboveAverage="0" dxfId="1" text="" percent="0" bottom="0">
      <formula>0</formula>
    </cfRule>
    <cfRule type="cellIs" rank="0" priority="1449" equalAverage="0" operator="lessThanOrEqual" aboveAverage="0" dxfId="0" text="" percent="0" bottom="0">
      <formula>0</formula>
    </cfRule>
  </conditionalFormatting>
  <conditionalFormatting sqref="G488">
    <cfRule type="cellIs" rank="0" priority="1450" equalAverage="0" operator="greaterThan" aboveAverage="0" dxfId="10" text="" percent="0" bottom="0">
      <formula>e{r}</formula>
    </cfRule>
  </conditionalFormatting>
  <conditionalFormatting sqref="H489">
    <cfRule type="cellIs" rank="0" priority="1451" equalAverage="0" operator="greaterThan" aboveAverage="0" dxfId="1" text="" percent="0" bottom="0">
      <formula>0</formula>
    </cfRule>
    <cfRule type="cellIs" rank="0" priority="1452" equalAverage="0" operator="lessThanOrEqual" aboveAverage="0" dxfId="0" text="" percent="0" bottom="0">
      <formula>0</formula>
    </cfRule>
  </conditionalFormatting>
  <conditionalFormatting sqref="G489">
    <cfRule type="cellIs" rank="0" priority="1453" equalAverage="0" operator="greaterThan" aboveAverage="0" dxfId="10" text="" percent="0" bottom="0">
      <formula>e{r}</formula>
    </cfRule>
  </conditionalFormatting>
  <conditionalFormatting sqref="H490">
    <cfRule type="cellIs" rank="0" priority="1454" equalAverage="0" operator="greaterThan" aboveAverage="0" dxfId="1" text="" percent="0" bottom="0">
      <formula>0</formula>
    </cfRule>
    <cfRule type="cellIs" rank="0" priority="1455" equalAverage="0" operator="lessThanOrEqual" aboveAverage="0" dxfId="0" text="" percent="0" bottom="0">
      <formula>0</formula>
    </cfRule>
  </conditionalFormatting>
  <conditionalFormatting sqref="G490">
    <cfRule type="cellIs" rank="0" priority="1456" equalAverage="0" operator="greaterThan" aboveAverage="0" dxfId="10" text="" percent="0" bottom="0">
      <formula>e{r}</formula>
    </cfRule>
  </conditionalFormatting>
  <conditionalFormatting sqref="H491">
    <cfRule type="cellIs" rank="0" priority="1457" equalAverage="0" operator="greaterThan" aboveAverage="0" dxfId="1" text="" percent="0" bottom="0">
      <formula>0</formula>
    </cfRule>
    <cfRule type="cellIs" rank="0" priority="1458" equalAverage="0" operator="lessThanOrEqual" aboveAverage="0" dxfId="0" text="" percent="0" bottom="0">
      <formula>0</formula>
    </cfRule>
  </conditionalFormatting>
  <conditionalFormatting sqref="G491">
    <cfRule type="cellIs" rank="0" priority="1459" equalAverage="0" operator="greaterThan" aboveAverage="0" dxfId="10" text="" percent="0" bottom="0">
      <formula>e{r}</formula>
    </cfRule>
  </conditionalFormatting>
  <conditionalFormatting sqref="H492">
    <cfRule type="cellIs" rank="0" priority="1460" equalAverage="0" operator="greaterThan" aboveAverage="0" dxfId="1" text="" percent="0" bottom="0">
      <formula>0</formula>
    </cfRule>
    <cfRule type="cellIs" rank="0" priority="1461" equalAverage="0" operator="lessThanOrEqual" aboveAverage="0" dxfId="0" text="" percent="0" bottom="0">
      <formula>0</formula>
    </cfRule>
  </conditionalFormatting>
  <conditionalFormatting sqref="G492">
    <cfRule type="cellIs" rank="0" priority="1462" equalAverage="0" operator="greaterThan" aboveAverage="0" dxfId="10" text="" percent="0" bottom="0">
      <formula>e{r}</formula>
    </cfRule>
  </conditionalFormatting>
  <conditionalFormatting sqref="H493">
    <cfRule type="cellIs" rank="0" priority="1463" equalAverage="0" operator="greaterThan" aboveAverage="0" dxfId="1" text="" percent="0" bottom="0">
      <formula>0</formula>
    </cfRule>
    <cfRule type="cellIs" rank="0" priority="1464" equalAverage="0" operator="lessThanOrEqual" aboveAverage="0" dxfId="0" text="" percent="0" bottom="0">
      <formula>0</formula>
    </cfRule>
  </conditionalFormatting>
  <conditionalFormatting sqref="G493">
    <cfRule type="cellIs" rank="0" priority="1465" equalAverage="0" operator="greaterThan" aboveAverage="0" dxfId="10" text="" percent="0" bottom="0">
      <formula>e{r}</formula>
    </cfRule>
  </conditionalFormatting>
  <conditionalFormatting sqref="H494">
    <cfRule type="cellIs" rank="0" priority="1466" equalAverage="0" operator="greaterThan" aboveAverage="0" dxfId="1" text="" percent="0" bottom="0">
      <formula>0</formula>
    </cfRule>
    <cfRule type="cellIs" rank="0" priority="1467" equalAverage="0" operator="lessThanOrEqual" aboveAverage="0" dxfId="0" text="" percent="0" bottom="0">
      <formula>0</formula>
    </cfRule>
  </conditionalFormatting>
  <conditionalFormatting sqref="G494">
    <cfRule type="cellIs" rank="0" priority="1468" equalAverage="0" operator="greaterThan" aboveAverage="0" dxfId="10" text="" percent="0" bottom="0">
      <formula>e{r}</formula>
    </cfRule>
  </conditionalFormatting>
  <conditionalFormatting sqref="H495">
    <cfRule type="cellIs" rank="0" priority="1469" equalAverage="0" operator="greaterThan" aboveAverage="0" dxfId="1" text="" percent="0" bottom="0">
      <formula>0</formula>
    </cfRule>
    <cfRule type="cellIs" rank="0" priority="1470" equalAverage="0" operator="lessThanOrEqual" aboveAverage="0" dxfId="0" text="" percent="0" bottom="0">
      <formula>0</formula>
    </cfRule>
  </conditionalFormatting>
  <conditionalFormatting sqref="G495">
    <cfRule type="cellIs" rank="0" priority="1471" equalAverage="0" operator="greaterThan" aboveAverage="0" dxfId="10" text="" percent="0" bottom="0">
      <formula>e{r}</formula>
    </cfRule>
  </conditionalFormatting>
  <conditionalFormatting sqref="H496">
    <cfRule type="cellIs" rank="0" priority="1472" equalAverage="0" operator="greaterThan" aboveAverage="0" dxfId="1" text="" percent="0" bottom="0">
      <formula>0</formula>
    </cfRule>
    <cfRule type="cellIs" rank="0" priority="1473" equalAverage="0" operator="lessThanOrEqual" aboveAverage="0" dxfId="0" text="" percent="0" bottom="0">
      <formula>0</formula>
    </cfRule>
  </conditionalFormatting>
  <conditionalFormatting sqref="G496">
    <cfRule type="cellIs" rank="0" priority="1474" equalAverage="0" operator="greaterThan" aboveAverage="0" dxfId="10" text="" percent="0" bottom="0">
      <formula>e{r}</formula>
    </cfRule>
  </conditionalFormatting>
  <conditionalFormatting sqref="H497">
    <cfRule type="cellIs" rank="0" priority="1475" equalAverage="0" operator="greaterThan" aboveAverage="0" dxfId="1" text="" percent="0" bottom="0">
      <formula>0</formula>
    </cfRule>
    <cfRule type="cellIs" rank="0" priority="1476" equalAverage="0" operator="lessThanOrEqual" aboveAverage="0" dxfId="0" text="" percent="0" bottom="0">
      <formula>0</formula>
    </cfRule>
  </conditionalFormatting>
  <conditionalFormatting sqref="G497">
    <cfRule type="cellIs" rank="0" priority="1477" equalAverage="0" operator="greaterThan" aboveAverage="0" dxfId="10" text="" percent="0" bottom="0">
      <formula>e{r}</formula>
    </cfRule>
  </conditionalFormatting>
  <conditionalFormatting sqref="H498">
    <cfRule type="cellIs" rank="0" priority="1478" equalAverage="0" operator="greaterThan" aboveAverage="0" dxfId="1" text="" percent="0" bottom="0">
      <formula>0</formula>
    </cfRule>
    <cfRule type="cellIs" rank="0" priority="1479" equalAverage="0" operator="lessThanOrEqual" aboveAverage="0" dxfId="0" text="" percent="0" bottom="0">
      <formula>0</formula>
    </cfRule>
  </conditionalFormatting>
  <conditionalFormatting sqref="G498">
    <cfRule type="cellIs" rank="0" priority="1480" equalAverage="0" operator="greaterThan" aboveAverage="0" dxfId="10" text="" percent="0" bottom="0">
      <formula>e{r}</formula>
    </cfRule>
  </conditionalFormatting>
  <conditionalFormatting sqref="H499">
    <cfRule type="cellIs" rank="0" priority="1481" equalAverage="0" operator="greaterThan" aboveAverage="0" dxfId="1" text="" percent="0" bottom="0">
      <formula>0</formula>
    </cfRule>
    <cfRule type="cellIs" rank="0" priority="1482" equalAverage="0" operator="lessThanOrEqual" aboveAverage="0" dxfId="0" text="" percent="0" bottom="0">
      <formula>0</formula>
    </cfRule>
  </conditionalFormatting>
  <conditionalFormatting sqref="G499">
    <cfRule type="cellIs" rank="0" priority="1483" equalAverage="0" operator="greaterThan" aboveAverage="0" dxfId="10" text="" percent="0" bottom="0">
      <formula>e{r}</formula>
    </cfRule>
  </conditionalFormatting>
  <conditionalFormatting sqref="H500">
    <cfRule type="cellIs" rank="0" priority="1484" equalAverage="0" operator="greaterThan" aboveAverage="0" dxfId="1" text="" percent="0" bottom="0">
      <formula>0</formula>
    </cfRule>
    <cfRule type="cellIs" rank="0" priority="1485" equalAverage="0" operator="lessThanOrEqual" aboveAverage="0" dxfId="0" text="" percent="0" bottom="0">
      <formula>0</formula>
    </cfRule>
  </conditionalFormatting>
  <conditionalFormatting sqref="G500">
    <cfRule type="cellIs" rank="0" priority="1486" equalAverage="0" operator="greaterThan" aboveAverage="0" dxfId="10" text="" percent="0" bottom="0">
      <formula>e{r}</formula>
    </cfRule>
  </conditionalFormatting>
  <conditionalFormatting sqref="H501">
    <cfRule type="cellIs" rank="0" priority="1487" equalAverage="0" operator="greaterThan" aboveAverage="0" dxfId="1" text="" percent="0" bottom="0">
      <formula>0</formula>
    </cfRule>
    <cfRule type="cellIs" rank="0" priority="1488" equalAverage="0" operator="lessThanOrEqual" aboveAverage="0" dxfId="0" text="" percent="0" bottom="0">
      <formula>0</formula>
    </cfRule>
  </conditionalFormatting>
  <conditionalFormatting sqref="G501">
    <cfRule type="cellIs" rank="0" priority="1489" equalAverage="0" operator="greaterThan" aboveAverage="0" dxfId="10" text="" percent="0" bottom="0">
      <formula>e{r}</formula>
    </cfRule>
  </conditionalFormatting>
  <conditionalFormatting sqref="H502">
    <cfRule type="cellIs" rank="0" priority="1490" equalAverage="0" operator="greaterThan" aboveAverage="0" dxfId="1" text="" percent="0" bottom="0">
      <formula>0</formula>
    </cfRule>
    <cfRule type="cellIs" rank="0" priority="1491" equalAverage="0" operator="lessThanOrEqual" aboveAverage="0" dxfId="0" text="" percent="0" bottom="0">
      <formula>0</formula>
    </cfRule>
  </conditionalFormatting>
  <conditionalFormatting sqref="G502">
    <cfRule type="cellIs" rank="0" priority="1492" equalAverage="0" operator="greaterThan" aboveAverage="0" dxfId="10" text="" percent="0" bottom="0">
      <formula>e{r}</formula>
    </cfRule>
  </conditionalFormatting>
  <conditionalFormatting sqref="H503">
    <cfRule type="cellIs" rank="0" priority="1493" equalAverage="0" operator="greaterThan" aboveAverage="0" dxfId="1" text="" percent="0" bottom="0">
      <formula>0</formula>
    </cfRule>
    <cfRule type="cellIs" rank="0" priority="1494" equalAverage="0" operator="lessThanOrEqual" aboveAverage="0" dxfId="0" text="" percent="0" bottom="0">
      <formula>0</formula>
    </cfRule>
  </conditionalFormatting>
  <conditionalFormatting sqref="G503">
    <cfRule type="cellIs" rank="0" priority="1495" equalAverage="0" operator="greaterThan" aboveAverage="0" dxfId="10" text="" percent="0" bottom="0">
      <formula>e{r}</formula>
    </cfRule>
  </conditionalFormatting>
  <conditionalFormatting sqref="H504">
    <cfRule type="cellIs" rank="0" priority="1496" equalAverage="0" operator="greaterThan" aboveAverage="0" dxfId="1" text="" percent="0" bottom="0">
      <formula>0</formula>
    </cfRule>
    <cfRule type="cellIs" rank="0" priority="1497" equalAverage="0" operator="lessThanOrEqual" aboveAverage="0" dxfId="0" text="" percent="0" bottom="0">
      <formula>0</formula>
    </cfRule>
  </conditionalFormatting>
  <conditionalFormatting sqref="G504">
    <cfRule type="cellIs" rank="0" priority="1498" equalAverage="0" operator="greaterThan" aboveAverage="0" dxfId="10" text="" percent="0" bottom="0">
      <formula>e{r}</formula>
    </cfRule>
  </conditionalFormatting>
  <conditionalFormatting sqref="H505">
    <cfRule type="cellIs" rank="0" priority="1499" equalAverage="0" operator="greaterThan" aboveAverage="0" dxfId="1" text="" percent="0" bottom="0">
      <formula>0</formula>
    </cfRule>
    <cfRule type="cellIs" rank="0" priority="1500" equalAverage="0" operator="lessThanOrEqual" aboveAverage="0" dxfId="0" text="" percent="0" bottom="0">
      <formula>0</formula>
    </cfRule>
  </conditionalFormatting>
  <conditionalFormatting sqref="G505">
    <cfRule type="cellIs" rank="0" priority="1501" equalAverage="0" operator="greaterThan" aboveAverage="0" dxfId="10" text="" percent="0" bottom="0">
      <formula>e{r}</formula>
    </cfRule>
  </conditionalFormatting>
  <conditionalFormatting sqref="H506">
    <cfRule type="cellIs" rank="0" priority="1502" equalAverage="0" operator="greaterThan" aboveAverage="0" dxfId="1" text="" percent="0" bottom="0">
      <formula>0</formula>
    </cfRule>
    <cfRule type="cellIs" rank="0" priority="1503" equalAverage="0" operator="lessThanOrEqual" aboveAverage="0" dxfId="0" text="" percent="0" bottom="0">
      <formula>0</formula>
    </cfRule>
  </conditionalFormatting>
  <conditionalFormatting sqref="G506">
    <cfRule type="cellIs" rank="0" priority="1504" equalAverage="0" operator="greaterThan" aboveAverage="0" dxfId="10" text="" percent="0" bottom="0">
      <formula>e{r}</formula>
    </cfRule>
  </conditionalFormatting>
  <conditionalFormatting sqref="H507">
    <cfRule type="cellIs" rank="0" priority="1505" equalAverage="0" operator="greaterThan" aboveAverage="0" dxfId="1" text="" percent="0" bottom="0">
      <formula>0</formula>
    </cfRule>
    <cfRule type="cellIs" rank="0" priority="1506" equalAverage="0" operator="lessThanOrEqual" aboveAverage="0" dxfId="0" text="" percent="0" bottom="0">
      <formula>0</formula>
    </cfRule>
  </conditionalFormatting>
  <conditionalFormatting sqref="G507">
    <cfRule type="cellIs" rank="0" priority="1507" equalAverage="0" operator="greaterThan" aboveAverage="0" dxfId="10" text="" percent="0" bottom="0">
      <formula>e{r}</formula>
    </cfRule>
  </conditionalFormatting>
  <conditionalFormatting sqref="H508">
    <cfRule type="cellIs" rank="0" priority="1508" equalAverage="0" operator="greaterThan" aboveAverage="0" dxfId="1" text="" percent="0" bottom="0">
      <formula>0</formula>
    </cfRule>
    <cfRule type="cellIs" rank="0" priority="1509" equalAverage="0" operator="lessThanOrEqual" aboveAverage="0" dxfId="0" text="" percent="0" bottom="0">
      <formula>0</formula>
    </cfRule>
  </conditionalFormatting>
  <conditionalFormatting sqref="G508">
    <cfRule type="cellIs" rank="0" priority="1510" equalAverage="0" operator="greaterThan" aboveAverage="0" dxfId="10" text="" percent="0" bottom="0">
      <formula>e{r}</formula>
    </cfRule>
  </conditionalFormatting>
  <conditionalFormatting sqref="H509">
    <cfRule type="cellIs" rank="0" priority="1511" equalAverage="0" operator="greaterThan" aboveAverage="0" dxfId="1" text="" percent="0" bottom="0">
      <formula>0</formula>
    </cfRule>
    <cfRule type="cellIs" rank="0" priority="1512" equalAverage="0" operator="lessThanOrEqual" aboveAverage="0" dxfId="0" text="" percent="0" bottom="0">
      <formula>0</formula>
    </cfRule>
  </conditionalFormatting>
  <conditionalFormatting sqref="G509">
    <cfRule type="cellIs" rank="0" priority="1513" equalAverage="0" operator="greaterThan" aboveAverage="0" dxfId="10" text="" percent="0" bottom="0">
      <formula>e{r}</formula>
    </cfRule>
  </conditionalFormatting>
  <conditionalFormatting sqref="H510">
    <cfRule type="cellIs" rank="0" priority="1514" equalAverage="0" operator="greaterThan" aboveAverage="0" dxfId="1" text="" percent="0" bottom="0">
      <formula>0</formula>
    </cfRule>
    <cfRule type="cellIs" rank="0" priority="1515" equalAverage="0" operator="lessThanOrEqual" aboveAverage="0" dxfId="0" text="" percent="0" bottom="0">
      <formula>0</formula>
    </cfRule>
  </conditionalFormatting>
  <conditionalFormatting sqref="G510">
    <cfRule type="cellIs" rank="0" priority="1516" equalAverage="0" operator="greaterThan" aboveAverage="0" dxfId="10" text="" percent="0" bottom="0">
      <formula>e{r}</formula>
    </cfRule>
  </conditionalFormatting>
  <conditionalFormatting sqref="H511">
    <cfRule type="cellIs" rank="0" priority="1517" equalAverage="0" operator="greaterThan" aboveAverage="0" dxfId="1" text="" percent="0" bottom="0">
      <formula>0</formula>
    </cfRule>
    <cfRule type="cellIs" rank="0" priority="1518" equalAverage="0" operator="lessThanOrEqual" aboveAverage="0" dxfId="0" text="" percent="0" bottom="0">
      <formula>0</formula>
    </cfRule>
  </conditionalFormatting>
  <conditionalFormatting sqref="G511">
    <cfRule type="cellIs" rank="0" priority="1519" equalAverage="0" operator="greaterThan" aboveAverage="0" dxfId="10" text="" percent="0" bottom="0">
      <formula>e{r}</formula>
    </cfRule>
  </conditionalFormatting>
  <conditionalFormatting sqref="H512">
    <cfRule type="cellIs" rank="0" priority="1520" equalAverage="0" operator="greaterThan" aboveAverage="0" dxfId="1" text="" percent="0" bottom="0">
      <formula>0</formula>
    </cfRule>
    <cfRule type="cellIs" rank="0" priority="1521" equalAverage="0" operator="lessThanOrEqual" aboveAverage="0" dxfId="0" text="" percent="0" bottom="0">
      <formula>0</formula>
    </cfRule>
  </conditionalFormatting>
  <conditionalFormatting sqref="G512">
    <cfRule type="cellIs" rank="0" priority="1522" equalAverage="0" operator="greaterThan" aboveAverage="0" dxfId="10" text="" percent="0" bottom="0">
      <formula>e{r}</formula>
    </cfRule>
  </conditionalFormatting>
  <conditionalFormatting sqref="H513">
    <cfRule type="cellIs" rank="0" priority="1523" equalAverage="0" operator="greaterThan" aboveAverage="0" dxfId="1" text="" percent="0" bottom="0">
      <formula>0</formula>
    </cfRule>
    <cfRule type="cellIs" rank="0" priority="1524" equalAverage="0" operator="lessThanOrEqual" aboveAverage="0" dxfId="0" text="" percent="0" bottom="0">
      <formula>0</formula>
    </cfRule>
  </conditionalFormatting>
  <conditionalFormatting sqref="G513">
    <cfRule type="cellIs" rank="0" priority="1525" equalAverage="0" operator="greaterThan" aboveAverage="0" dxfId="10" text="" percent="0" bottom="0">
      <formula>e{r}</formula>
    </cfRule>
  </conditionalFormatting>
  <conditionalFormatting sqref="H514">
    <cfRule type="cellIs" rank="0" priority="1526" equalAverage="0" operator="greaterThan" aboveAverage="0" dxfId="1" text="" percent="0" bottom="0">
      <formula>0</formula>
    </cfRule>
    <cfRule type="cellIs" rank="0" priority="1527" equalAverage="0" operator="lessThanOrEqual" aboveAverage="0" dxfId="0" text="" percent="0" bottom="0">
      <formula>0</formula>
    </cfRule>
  </conditionalFormatting>
  <conditionalFormatting sqref="G514">
    <cfRule type="cellIs" rank="0" priority="1528" equalAverage="0" operator="greaterThan" aboveAverage="0" dxfId="10" text="" percent="0" bottom="0">
      <formula>e{r}</formula>
    </cfRule>
  </conditionalFormatting>
  <conditionalFormatting sqref="H515">
    <cfRule type="cellIs" rank="0" priority="1529" equalAverage="0" operator="greaterThan" aboveAverage="0" dxfId="1" text="" percent="0" bottom="0">
      <formula>0</formula>
    </cfRule>
    <cfRule type="cellIs" rank="0" priority="1530" equalAverage="0" operator="lessThanOrEqual" aboveAverage="0" dxfId="0" text="" percent="0" bottom="0">
      <formula>0</formula>
    </cfRule>
  </conditionalFormatting>
  <conditionalFormatting sqref="G515">
    <cfRule type="cellIs" rank="0" priority="1531" equalAverage="0" operator="greaterThan" aboveAverage="0" dxfId="10" text="" percent="0" bottom="0">
      <formula>e{r}</formula>
    </cfRule>
  </conditionalFormatting>
  <conditionalFormatting sqref="H516">
    <cfRule type="cellIs" rank="0" priority="1532" equalAverage="0" operator="greaterThan" aboveAverage="0" dxfId="1" text="" percent="0" bottom="0">
      <formula>0</formula>
    </cfRule>
    <cfRule type="cellIs" rank="0" priority="1533" equalAverage="0" operator="lessThanOrEqual" aboveAverage="0" dxfId="0" text="" percent="0" bottom="0">
      <formula>0</formula>
    </cfRule>
  </conditionalFormatting>
  <conditionalFormatting sqref="G516">
    <cfRule type="cellIs" rank="0" priority="1534" equalAverage="0" operator="greaterThan" aboveAverage="0" dxfId="10" text="" percent="0" bottom="0">
      <formula>e{r}</formula>
    </cfRule>
  </conditionalFormatting>
  <conditionalFormatting sqref="H517">
    <cfRule type="cellIs" rank="0" priority="1535" equalAverage="0" operator="greaterThan" aboveAverage="0" dxfId="1" text="" percent="0" bottom="0">
      <formula>0</formula>
    </cfRule>
    <cfRule type="cellIs" rank="0" priority="1536" equalAverage="0" operator="lessThanOrEqual" aboveAverage="0" dxfId="0" text="" percent="0" bottom="0">
      <formula>0</formula>
    </cfRule>
  </conditionalFormatting>
  <conditionalFormatting sqref="G517">
    <cfRule type="cellIs" rank="0" priority="1537" equalAverage="0" operator="greaterThan" aboveAverage="0" dxfId="10" text="" percent="0" bottom="0">
      <formula>e{r}</formula>
    </cfRule>
  </conditionalFormatting>
  <conditionalFormatting sqref="H518">
    <cfRule type="cellIs" rank="0" priority="1538" equalAverage="0" operator="greaterThan" aboveAverage="0" dxfId="1" text="" percent="0" bottom="0">
      <formula>0</formula>
    </cfRule>
    <cfRule type="cellIs" rank="0" priority="1539" equalAverage="0" operator="lessThanOrEqual" aboveAverage="0" dxfId="0" text="" percent="0" bottom="0">
      <formula>0</formula>
    </cfRule>
  </conditionalFormatting>
  <conditionalFormatting sqref="G518">
    <cfRule type="cellIs" rank="0" priority="1540" equalAverage="0" operator="greaterThan" aboveAverage="0" dxfId="10" text="" percent="0" bottom="0">
      <formula>e{r}</formula>
    </cfRule>
  </conditionalFormatting>
  <conditionalFormatting sqref="H519">
    <cfRule type="cellIs" rank="0" priority="1541" equalAverage="0" operator="greaterThan" aboveAverage="0" dxfId="1" text="" percent="0" bottom="0">
      <formula>0</formula>
    </cfRule>
    <cfRule type="cellIs" rank="0" priority="1542" equalAverage="0" operator="lessThanOrEqual" aboveAverage="0" dxfId="0" text="" percent="0" bottom="0">
      <formula>0</formula>
    </cfRule>
  </conditionalFormatting>
  <conditionalFormatting sqref="G519">
    <cfRule type="cellIs" rank="0" priority="1543" equalAverage="0" operator="greaterThan" aboveAverage="0" dxfId="10" text="" percent="0" bottom="0">
      <formula>e{r}</formula>
    </cfRule>
  </conditionalFormatting>
  <conditionalFormatting sqref="H520">
    <cfRule type="cellIs" rank="0" priority="1544" equalAverage="0" operator="greaterThan" aboveAverage="0" dxfId="1" text="" percent="0" bottom="0">
      <formula>0</formula>
    </cfRule>
    <cfRule type="cellIs" rank="0" priority="1545" equalAverage="0" operator="lessThanOrEqual" aboveAverage="0" dxfId="0" text="" percent="0" bottom="0">
      <formula>0</formula>
    </cfRule>
  </conditionalFormatting>
  <conditionalFormatting sqref="G520">
    <cfRule type="cellIs" rank="0" priority="1546" equalAverage="0" operator="greaterThan" aboveAverage="0" dxfId="10" text="" percent="0" bottom="0">
      <formula>e{r}</formula>
    </cfRule>
  </conditionalFormatting>
  <conditionalFormatting sqref="H521">
    <cfRule type="cellIs" rank="0" priority="1547" equalAverage="0" operator="greaterThan" aboveAverage="0" dxfId="1" text="" percent="0" bottom="0">
      <formula>0</formula>
    </cfRule>
    <cfRule type="cellIs" rank="0" priority="1548" equalAverage="0" operator="lessThanOrEqual" aboveAverage="0" dxfId="0" text="" percent="0" bottom="0">
      <formula>0</formula>
    </cfRule>
  </conditionalFormatting>
  <conditionalFormatting sqref="G521">
    <cfRule type="cellIs" rank="0" priority="1549" equalAverage="0" operator="greaterThan" aboveAverage="0" dxfId="10" text="" percent="0" bottom="0">
      <formula>e{r}</formula>
    </cfRule>
  </conditionalFormatting>
  <conditionalFormatting sqref="H522">
    <cfRule type="cellIs" rank="0" priority="1550" equalAverage="0" operator="greaterThan" aboveAverage="0" dxfId="1" text="" percent="0" bottom="0">
      <formula>0</formula>
    </cfRule>
    <cfRule type="cellIs" rank="0" priority="1551" equalAverage="0" operator="lessThanOrEqual" aboveAverage="0" dxfId="0" text="" percent="0" bottom="0">
      <formula>0</formula>
    </cfRule>
  </conditionalFormatting>
  <conditionalFormatting sqref="G522">
    <cfRule type="cellIs" rank="0" priority="1552" equalAverage="0" operator="greaterThan" aboveAverage="0" dxfId="10" text="" percent="0" bottom="0">
      <formula>e{r}</formula>
    </cfRule>
  </conditionalFormatting>
  <conditionalFormatting sqref="H523">
    <cfRule type="cellIs" rank="0" priority="1553" equalAverage="0" operator="greaterThan" aboveAverage="0" dxfId="1" text="" percent="0" bottom="0">
      <formula>0</formula>
    </cfRule>
    <cfRule type="cellIs" rank="0" priority="1554" equalAverage="0" operator="lessThanOrEqual" aboveAverage="0" dxfId="0" text="" percent="0" bottom="0">
      <formula>0</formula>
    </cfRule>
  </conditionalFormatting>
  <conditionalFormatting sqref="G523">
    <cfRule type="cellIs" rank="0" priority="1555" equalAverage="0" operator="greaterThan" aboveAverage="0" dxfId="10" text="" percent="0" bottom="0">
      <formula>e{r}</formula>
    </cfRule>
  </conditionalFormatting>
  <conditionalFormatting sqref="H524">
    <cfRule type="cellIs" rank="0" priority="1556" equalAverage="0" operator="greaterThan" aboveAverage="0" dxfId="1" text="" percent="0" bottom="0">
      <formula>0</formula>
    </cfRule>
    <cfRule type="cellIs" rank="0" priority="1557" equalAverage="0" operator="lessThanOrEqual" aboveAverage="0" dxfId="0" text="" percent="0" bottom="0">
      <formula>0</formula>
    </cfRule>
  </conditionalFormatting>
  <conditionalFormatting sqref="G524">
    <cfRule type="cellIs" rank="0" priority="1558" equalAverage="0" operator="greaterThan" aboveAverage="0" dxfId="10" text="" percent="0" bottom="0">
      <formula>e{r}</formula>
    </cfRule>
  </conditionalFormatting>
  <conditionalFormatting sqref="H525">
    <cfRule type="cellIs" rank="0" priority="1559" equalAverage="0" operator="greaterThan" aboveAverage="0" dxfId="1" text="" percent="0" bottom="0">
      <formula>0</formula>
    </cfRule>
    <cfRule type="cellIs" rank="0" priority="1560" equalAverage="0" operator="lessThanOrEqual" aboveAverage="0" dxfId="0" text="" percent="0" bottom="0">
      <formula>0</formula>
    </cfRule>
  </conditionalFormatting>
  <conditionalFormatting sqref="G525">
    <cfRule type="cellIs" rank="0" priority="1561" equalAverage="0" operator="greaterThan" aboveAverage="0" dxfId="10" text="" percent="0" bottom="0">
      <formula>e{r}</formula>
    </cfRule>
  </conditionalFormatting>
  <conditionalFormatting sqref="H526">
    <cfRule type="cellIs" rank="0" priority="1562" equalAverage="0" operator="greaterThan" aboveAverage="0" dxfId="1" text="" percent="0" bottom="0">
      <formula>0</formula>
    </cfRule>
    <cfRule type="cellIs" rank="0" priority="1563" equalAverage="0" operator="lessThanOrEqual" aboveAverage="0" dxfId="0" text="" percent="0" bottom="0">
      <formula>0</formula>
    </cfRule>
  </conditionalFormatting>
  <conditionalFormatting sqref="G526">
    <cfRule type="cellIs" rank="0" priority="1564" equalAverage="0" operator="greaterThan" aboveAverage="0" dxfId="10" text="" percent="0" bottom="0">
      <formula>e{r}</formula>
    </cfRule>
  </conditionalFormatting>
  <conditionalFormatting sqref="H527">
    <cfRule type="cellIs" rank="0" priority="1565" equalAverage="0" operator="greaterThan" aboveAverage="0" dxfId="1" text="" percent="0" bottom="0">
      <formula>0</formula>
    </cfRule>
    <cfRule type="cellIs" rank="0" priority="1566" equalAverage="0" operator="lessThanOrEqual" aboveAverage="0" dxfId="0" text="" percent="0" bottom="0">
      <formula>0</formula>
    </cfRule>
  </conditionalFormatting>
  <conditionalFormatting sqref="G527">
    <cfRule type="cellIs" rank="0" priority="1567" equalAverage="0" operator="greaterThan" aboveAverage="0" dxfId="10" text="" percent="0" bottom="0">
      <formula>e{r}</formula>
    </cfRule>
  </conditionalFormatting>
  <conditionalFormatting sqref="H528">
    <cfRule type="cellIs" rank="0" priority="1568" equalAverage="0" operator="greaterThan" aboveAverage="0" dxfId="1" text="" percent="0" bottom="0">
      <formula>0</formula>
    </cfRule>
    <cfRule type="cellIs" rank="0" priority="1569" equalAverage="0" operator="lessThanOrEqual" aboveAverage="0" dxfId="0" text="" percent="0" bottom="0">
      <formula>0</formula>
    </cfRule>
  </conditionalFormatting>
  <conditionalFormatting sqref="G528">
    <cfRule type="cellIs" rank="0" priority="1570" equalAverage="0" operator="greaterThan" aboveAverage="0" dxfId="10" text="" percent="0" bottom="0">
      <formula>e{r}</formula>
    </cfRule>
  </conditionalFormatting>
  <conditionalFormatting sqref="H529">
    <cfRule type="cellIs" rank="0" priority="1571" equalAverage="0" operator="greaterThan" aboveAverage="0" dxfId="1" text="" percent="0" bottom="0">
      <formula>0</formula>
    </cfRule>
    <cfRule type="cellIs" rank="0" priority="1572" equalAverage="0" operator="lessThanOrEqual" aboveAverage="0" dxfId="0" text="" percent="0" bottom="0">
      <formula>0</formula>
    </cfRule>
  </conditionalFormatting>
  <conditionalFormatting sqref="G529">
    <cfRule type="cellIs" rank="0" priority="1573" equalAverage="0" operator="greaterThan" aboveAverage="0" dxfId="10" text="" percent="0" bottom="0">
      <formula>e{r}</formula>
    </cfRule>
  </conditionalFormatting>
  <conditionalFormatting sqref="H530">
    <cfRule type="cellIs" rank="0" priority="1574" equalAverage="0" operator="greaterThan" aboveAverage="0" dxfId="1" text="" percent="0" bottom="0">
      <formula>0</formula>
    </cfRule>
    <cfRule type="cellIs" rank="0" priority="1575" equalAverage="0" operator="lessThanOrEqual" aboveAverage="0" dxfId="0" text="" percent="0" bottom="0">
      <formula>0</formula>
    </cfRule>
  </conditionalFormatting>
  <conditionalFormatting sqref="G530">
    <cfRule type="cellIs" rank="0" priority="1576" equalAverage="0" operator="greaterThan" aboveAverage="0" dxfId="10" text="" percent="0" bottom="0">
      <formula>e{r}</formula>
    </cfRule>
  </conditionalFormatting>
  <conditionalFormatting sqref="H531">
    <cfRule type="cellIs" rank="0" priority="1577" equalAverage="0" operator="greaterThan" aboveAverage="0" dxfId="1" text="" percent="0" bottom="0">
      <formula>0</formula>
    </cfRule>
    <cfRule type="cellIs" rank="0" priority="1578" equalAverage="0" operator="lessThanOrEqual" aboveAverage="0" dxfId="0" text="" percent="0" bottom="0">
      <formula>0</formula>
    </cfRule>
  </conditionalFormatting>
  <conditionalFormatting sqref="G531">
    <cfRule type="cellIs" rank="0" priority="1579" equalAverage="0" operator="greaterThan" aboveAverage="0" dxfId="10" text="" percent="0" bottom="0">
      <formula>e{r}</formula>
    </cfRule>
  </conditionalFormatting>
  <conditionalFormatting sqref="H532">
    <cfRule type="cellIs" rank="0" priority="1580" equalAverage="0" operator="greaterThan" aboveAverage="0" dxfId="1" text="" percent="0" bottom="0">
      <formula>0</formula>
    </cfRule>
    <cfRule type="cellIs" rank="0" priority="1581" equalAverage="0" operator="lessThanOrEqual" aboveAverage="0" dxfId="0" text="" percent="0" bottom="0">
      <formula>0</formula>
    </cfRule>
  </conditionalFormatting>
  <conditionalFormatting sqref="G532">
    <cfRule type="cellIs" rank="0" priority="1582" equalAverage="0" operator="greaterThan" aboveAverage="0" dxfId="10" text="" percent="0" bottom="0">
      <formula>e{r}</formula>
    </cfRule>
  </conditionalFormatting>
  <conditionalFormatting sqref="H533">
    <cfRule type="cellIs" rank="0" priority="1583" equalAverage="0" operator="greaterThan" aboveAverage="0" dxfId="1" text="" percent="0" bottom="0">
      <formula>0</formula>
    </cfRule>
    <cfRule type="cellIs" rank="0" priority="1584" equalAverage="0" operator="lessThanOrEqual" aboveAverage="0" dxfId="0" text="" percent="0" bottom="0">
      <formula>0</formula>
    </cfRule>
  </conditionalFormatting>
  <conditionalFormatting sqref="G533">
    <cfRule type="cellIs" rank="0" priority="1585" equalAverage="0" operator="greaterThan" aboveAverage="0" dxfId="10" text="" percent="0" bottom="0">
      <formula>e{r}</formula>
    </cfRule>
  </conditionalFormatting>
  <conditionalFormatting sqref="H534">
    <cfRule type="cellIs" rank="0" priority="1586" equalAverage="0" operator="greaterThan" aboveAverage="0" dxfId="1" text="" percent="0" bottom="0">
      <formula>0</formula>
    </cfRule>
    <cfRule type="cellIs" rank="0" priority="1587" equalAverage="0" operator="lessThanOrEqual" aboveAverage="0" dxfId="0" text="" percent="0" bottom="0">
      <formula>0</formula>
    </cfRule>
  </conditionalFormatting>
  <conditionalFormatting sqref="G534">
    <cfRule type="cellIs" rank="0" priority="1588" equalAverage="0" operator="greaterThan" aboveAverage="0" dxfId="10" text="" percent="0" bottom="0">
      <formula>e{r}</formula>
    </cfRule>
  </conditionalFormatting>
  <conditionalFormatting sqref="H535">
    <cfRule type="cellIs" rank="0" priority="1589" equalAverage="0" operator="greaterThan" aboveAverage="0" dxfId="1" text="" percent="0" bottom="0">
      <formula>0</formula>
    </cfRule>
    <cfRule type="cellIs" rank="0" priority="1590" equalAverage="0" operator="lessThanOrEqual" aboveAverage="0" dxfId="0" text="" percent="0" bottom="0">
      <formula>0</formula>
    </cfRule>
  </conditionalFormatting>
  <conditionalFormatting sqref="G535">
    <cfRule type="cellIs" rank="0" priority="1591" equalAverage="0" operator="greaterThan" aboveAverage="0" dxfId="10" text="" percent="0" bottom="0">
      <formula>e{r}</formula>
    </cfRule>
  </conditionalFormatting>
  <conditionalFormatting sqref="H536">
    <cfRule type="cellIs" rank="0" priority="1592" equalAverage="0" operator="greaterThan" aboveAverage="0" dxfId="1" text="" percent="0" bottom="0">
      <formula>0</formula>
    </cfRule>
    <cfRule type="cellIs" rank="0" priority="1593" equalAverage="0" operator="lessThanOrEqual" aboveAverage="0" dxfId="0" text="" percent="0" bottom="0">
      <formula>0</formula>
    </cfRule>
  </conditionalFormatting>
  <conditionalFormatting sqref="G536">
    <cfRule type="cellIs" rank="0" priority="1594" equalAverage="0" operator="greaterThan" aboveAverage="0" dxfId="10" text="" percent="0" bottom="0">
      <formula>e{r}</formula>
    </cfRule>
  </conditionalFormatting>
  <conditionalFormatting sqref="H537">
    <cfRule type="cellIs" rank="0" priority="1595" equalAverage="0" operator="greaterThan" aboveAverage="0" dxfId="1" text="" percent="0" bottom="0">
      <formula>0</formula>
    </cfRule>
    <cfRule type="cellIs" rank="0" priority="1596" equalAverage="0" operator="lessThanOrEqual" aboveAverage="0" dxfId="0" text="" percent="0" bottom="0">
      <formula>0</formula>
    </cfRule>
  </conditionalFormatting>
  <conditionalFormatting sqref="G537">
    <cfRule type="cellIs" rank="0" priority="1597" equalAverage="0" operator="greaterThan" aboveAverage="0" dxfId="10" text="" percent="0" bottom="0">
      <formula>e{r}</formula>
    </cfRule>
  </conditionalFormatting>
  <conditionalFormatting sqref="H538">
    <cfRule type="cellIs" rank="0" priority="1598" equalAverage="0" operator="greaterThan" aboveAverage="0" dxfId="1" text="" percent="0" bottom="0">
      <formula>0</formula>
    </cfRule>
    <cfRule type="cellIs" rank="0" priority="1599" equalAverage="0" operator="lessThanOrEqual" aboveAverage="0" dxfId="0" text="" percent="0" bottom="0">
      <formula>0</formula>
    </cfRule>
  </conditionalFormatting>
  <conditionalFormatting sqref="G538">
    <cfRule type="cellIs" rank="0" priority="1600" equalAverage="0" operator="greaterThan" aboveAverage="0" dxfId="10" text="" percent="0" bottom="0">
      <formula>e{r}</formula>
    </cfRule>
  </conditionalFormatting>
  <conditionalFormatting sqref="H539">
    <cfRule type="cellIs" rank="0" priority="1601" equalAverage="0" operator="greaterThan" aboveAverage="0" dxfId="1" text="" percent="0" bottom="0">
      <formula>0</formula>
    </cfRule>
    <cfRule type="cellIs" rank="0" priority="1602" equalAverage="0" operator="lessThanOrEqual" aboveAverage="0" dxfId="0" text="" percent="0" bottom="0">
      <formula>0</formula>
    </cfRule>
  </conditionalFormatting>
  <conditionalFormatting sqref="G539">
    <cfRule type="cellIs" rank="0" priority="1603" equalAverage="0" operator="greaterThan" aboveAverage="0" dxfId="10" text="" percent="0" bottom="0">
      <formula>e{r}</formula>
    </cfRule>
  </conditionalFormatting>
  <conditionalFormatting sqref="H540">
    <cfRule type="cellIs" rank="0" priority="1604" equalAverage="0" operator="greaterThan" aboveAverage="0" dxfId="1" text="" percent="0" bottom="0">
      <formula>0</formula>
    </cfRule>
    <cfRule type="cellIs" rank="0" priority="1605" equalAverage="0" operator="lessThanOrEqual" aboveAverage="0" dxfId="0" text="" percent="0" bottom="0">
      <formula>0</formula>
    </cfRule>
  </conditionalFormatting>
  <conditionalFormatting sqref="G540">
    <cfRule type="cellIs" rank="0" priority="1606" equalAverage="0" operator="greaterThan" aboveAverage="0" dxfId="10" text="" percent="0" bottom="0">
      <formula>e{r}</formula>
    </cfRule>
  </conditionalFormatting>
  <conditionalFormatting sqref="H541">
    <cfRule type="cellIs" rank="0" priority="1607" equalAverage="0" operator="greaterThan" aboveAverage="0" dxfId="1" text="" percent="0" bottom="0">
      <formula>0</formula>
    </cfRule>
    <cfRule type="cellIs" rank="0" priority="1608" equalAverage="0" operator="lessThanOrEqual" aboveAverage="0" dxfId="0" text="" percent="0" bottom="0">
      <formula>0</formula>
    </cfRule>
  </conditionalFormatting>
  <conditionalFormatting sqref="G541">
    <cfRule type="cellIs" rank="0" priority="1609" equalAverage="0" operator="greaterThan" aboveAverage="0" dxfId="10" text="" percent="0" bottom="0">
      <formula>e{r}</formula>
    </cfRule>
  </conditionalFormatting>
  <conditionalFormatting sqref="H542">
    <cfRule type="cellIs" rank="0" priority="1610" equalAverage="0" operator="greaterThan" aboveAverage="0" dxfId="1" text="" percent="0" bottom="0">
      <formula>0</formula>
    </cfRule>
    <cfRule type="cellIs" rank="0" priority="1611" equalAverage="0" operator="lessThanOrEqual" aboveAverage="0" dxfId="0" text="" percent="0" bottom="0">
      <formula>0</formula>
    </cfRule>
  </conditionalFormatting>
  <conditionalFormatting sqref="G542">
    <cfRule type="cellIs" rank="0" priority="1612" equalAverage="0" operator="greaterThan" aboveAverage="0" dxfId="10" text="" percent="0" bottom="0">
      <formula>e{r}</formula>
    </cfRule>
  </conditionalFormatting>
  <conditionalFormatting sqref="H543">
    <cfRule type="cellIs" rank="0" priority="1613" equalAverage="0" operator="greaterThan" aboveAverage="0" dxfId="1" text="" percent="0" bottom="0">
      <formula>0</formula>
    </cfRule>
    <cfRule type="cellIs" rank="0" priority="1614" equalAverage="0" operator="lessThanOrEqual" aboveAverage="0" dxfId="0" text="" percent="0" bottom="0">
      <formula>0</formula>
    </cfRule>
  </conditionalFormatting>
  <conditionalFormatting sqref="G543">
    <cfRule type="cellIs" rank="0" priority="1615" equalAverage="0" operator="greaterThan" aboveAverage="0" dxfId="10" text="" percent="0" bottom="0">
      <formula>e{r}</formula>
    </cfRule>
  </conditionalFormatting>
  <conditionalFormatting sqref="H544">
    <cfRule type="cellIs" rank="0" priority="1616" equalAverage="0" operator="greaterThan" aboveAverage="0" dxfId="1" text="" percent="0" bottom="0">
      <formula>0</formula>
    </cfRule>
    <cfRule type="cellIs" rank="0" priority="1617" equalAverage="0" operator="lessThanOrEqual" aboveAverage="0" dxfId="0" text="" percent="0" bottom="0">
      <formula>0</formula>
    </cfRule>
  </conditionalFormatting>
  <conditionalFormatting sqref="G544">
    <cfRule type="cellIs" rank="0" priority="1618" equalAverage="0" operator="greaterThan" aboveAverage="0" dxfId="10" text="" percent="0" bottom="0">
      <formula>e{r}</formula>
    </cfRule>
  </conditionalFormatting>
  <conditionalFormatting sqref="H545">
    <cfRule type="cellIs" rank="0" priority="1619" equalAverage="0" operator="greaterThan" aboveAverage="0" dxfId="1" text="" percent="0" bottom="0">
      <formula>0</formula>
    </cfRule>
    <cfRule type="cellIs" rank="0" priority="1620" equalAverage="0" operator="lessThanOrEqual" aboveAverage="0" dxfId="0" text="" percent="0" bottom="0">
      <formula>0</formula>
    </cfRule>
  </conditionalFormatting>
  <conditionalFormatting sqref="G545">
    <cfRule type="cellIs" rank="0" priority="1621" equalAverage="0" operator="greaterThan" aboveAverage="0" dxfId="10" text="" percent="0" bottom="0">
      <formula>e{r}</formula>
    </cfRule>
  </conditionalFormatting>
  <conditionalFormatting sqref="H546">
    <cfRule type="cellIs" rank="0" priority="1622" equalAverage="0" operator="greaterThan" aboveAverage="0" dxfId="1" text="" percent="0" bottom="0">
      <formula>0</formula>
    </cfRule>
    <cfRule type="cellIs" rank="0" priority="1623" equalAverage="0" operator="lessThanOrEqual" aboveAverage="0" dxfId="0" text="" percent="0" bottom="0">
      <formula>0</formula>
    </cfRule>
  </conditionalFormatting>
  <conditionalFormatting sqref="G546">
    <cfRule type="cellIs" rank="0" priority="1624" equalAverage="0" operator="greaterThan" aboveAverage="0" dxfId="10" text="" percent="0" bottom="0">
      <formula>e{r}</formula>
    </cfRule>
  </conditionalFormatting>
  <conditionalFormatting sqref="H547">
    <cfRule type="cellIs" rank="0" priority="1625" equalAverage="0" operator="greaterThan" aboveAverage="0" dxfId="1" text="" percent="0" bottom="0">
      <formula>0</formula>
    </cfRule>
    <cfRule type="cellIs" rank="0" priority="1626" equalAverage="0" operator="lessThanOrEqual" aboveAverage="0" dxfId="0" text="" percent="0" bottom="0">
      <formula>0</formula>
    </cfRule>
  </conditionalFormatting>
  <conditionalFormatting sqref="G547">
    <cfRule type="cellIs" rank="0" priority="1627" equalAverage="0" operator="greaterThan" aboveAverage="0" dxfId="10" text="" percent="0" bottom="0">
      <formula>e{r}</formula>
    </cfRule>
  </conditionalFormatting>
  <conditionalFormatting sqref="H548">
    <cfRule type="cellIs" rank="0" priority="1628" equalAverage="0" operator="greaterThan" aboveAverage="0" dxfId="1" text="" percent="0" bottom="0">
      <formula>0</formula>
    </cfRule>
    <cfRule type="cellIs" rank="0" priority="1629" equalAverage="0" operator="lessThanOrEqual" aboveAverage="0" dxfId="0" text="" percent="0" bottom="0">
      <formula>0</formula>
    </cfRule>
  </conditionalFormatting>
  <conditionalFormatting sqref="G548">
    <cfRule type="cellIs" rank="0" priority="1630" equalAverage="0" operator="greaterThan" aboveAverage="0" dxfId="10" text="" percent="0" bottom="0">
      <formula>e{r}</formula>
    </cfRule>
  </conditionalFormatting>
  <conditionalFormatting sqref="H549">
    <cfRule type="cellIs" rank="0" priority="1631" equalAverage="0" operator="greaterThan" aboveAverage="0" dxfId="1" text="" percent="0" bottom="0">
      <formula>0</formula>
    </cfRule>
    <cfRule type="cellIs" rank="0" priority="1632" equalAverage="0" operator="lessThanOrEqual" aboveAverage="0" dxfId="0" text="" percent="0" bottom="0">
      <formula>0</formula>
    </cfRule>
  </conditionalFormatting>
  <conditionalFormatting sqref="G549">
    <cfRule type="cellIs" rank="0" priority="1633" equalAverage="0" operator="greaterThan" aboveAverage="0" dxfId="10" text="" percent="0" bottom="0">
      <formula>e{r}</formula>
    </cfRule>
  </conditionalFormatting>
  <conditionalFormatting sqref="H550">
    <cfRule type="cellIs" rank="0" priority="1634" equalAverage="0" operator="greaterThan" aboveAverage="0" dxfId="1" text="" percent="0" bottom="0">
      <formula>0</formula>
    </cfRule>
    <cfRule type="cellIs" rank="0" priority="1635" equalAverage="0" operator="lessThanOrEqual" aboveAverage="0" dxfId="0" text="" percent="0" bottom="0">
      <formula>0</formula>
    </cfRule>
  </conditionalFormatting>
  <conditionalFormatting sqref="G550">
    <cfRule type="cellIs" rank="0" priority="1636" equalAverage="0" operator="greaterThan" aboveAverage="0" dxfId="10" text="" percent="0" bottom="0">
      <formula>e{r}</formula>
    </cfRule>
  </conditionalFormatting>
  <conditionalFormatting sqref="H551">
    <cfRule type="cellIs" rank="0" priority="1637" equalAverage="0" operator="greaterThan" aboveAverage="0" dxfId="1" text="" percent="0" bottom="0">
      <formula>0</formula>
    </cfRule>
    <cfRule type="cellIs" rank="0" priority="1638" equalAverage="0" operator="lessThanOrEqual" aboveAverage="0" dxfId="0" text="" percent="0" bottom="0">
      <formula>0</formula>
    </cfRule>
  </conditionalFormatting>
  <conditionalFormatting sqref="G551">
    <cfRule type="cellIs" rank="0" priority="1639" equalAverage="0" operator="greaterThan" aboveAverage="0" dxfId="10" text="" percent="0" bottom="0">
      <formula>e{r}</formula>
    </cfRule>
  </conditionalFormatting>
  <conditionalFormatting sqref="H552">
    <cfRule type="cellIs" rank="0" priority="1640" equalAverage="0" operator="greaterThan" aboveAverage="0" dxfId="1" text="" percent="0" bottom="0">
      <formula>0</formula>
    </cfRule>
    <cfRule type="cellIs" rank="0" priority="1641" equalAverage="0" operator="lessThanOrEqual" aboveAverage="0" dxfId="0" text="" percent="0" bottom="0">
      <formula>0</formula>
    </cfRule>
  </conditionalFormatting>
  <conditionalFormatting sqref="G552">
    <cfRule type="cellIs" rank="0" priority="1642" equalAverage="0" operator="greaterThan" aboveAverage="0" dxfId="10" text="" percent="0" bottom="0">
      <formula>e{r}</formula>
    </cfRule>
  </conditionalFormatting>
  <conditionalFormatting sqref="H553">
    <cfRule type="cellIs" rank="0" priority="1643" equalAverage="0" operator="greaterThan" aboveAverage="0" dxfId="1" text="" percent="0" bottom="0">
      <formula>0</formula>
    </cfRule>
    <cfRule type="cellIs" rank="0" priority="1644" equalAverage="0" operator="lessThanOrEqual" aboveAverage="0" dxfId="0" text="" percent="0" bottom="0">
      <formula>0</formula>
    </cfRule>
  </conditionalFormatting>
  <conditionalFormatting sqref="G553">
    <cfRule type="cellIs" rank="0" priority="1645" equalAverage="0" operator="greaterThan" aboveAverage="0" dxfId="10" text="" percent="0" bottom="0">
      <formula>e{r}</formula>
    </cfRule>
  </conditionalFormatting>
  <conditionalFormatting sqref="H554">
    <cfRule type="cellIs" rank="0" priority="1646" equalAverage="0" operator="greaterThan" aboveAverage="0" dxfId="1" text="" percent="0" bottom="0">
      <formula>0</formula>
    </cfRule>
    <cfRule type="cellIs" rank="0" priority="1647" equalAverage="0" operator="lessThanOrEqual" aboveAverage="0" dxfId="0" text="" percent="0" bottom="0">
      <formula>0</formula>
    </cfRule>
  </conditionalFormatting>
  <conditionalFormatting sqref="G554">
    <cfRule type="cellIs" rank="0" priority="1648" equalAverage="0" operator="greaterThan" aboveAverage="0" dxfId="10" text="" percent="0" bottom="0">
      <formula>e{r}</formula>
    </cfRule>
  </conditionalFormatting>
  <conditionalFormatting sqref="H555">
    <cfRule type="cellIs" rank="0" priority="1649" equalAverage="0" operator="greaterThan" aboveAverage="0" dxfId="1" text="" percent="0" bottom="0">
      <formula>0</formula>
    </cfRule>
    <cfRule type="cellIs" rank="0" priority="1650" equalAverage="0" operator="lessThanOrEqual" aboveAverage="0" dxfId="0" text="" percent="0" bottom="0">
      <formula>0</formula>
    </cfRule>
  </conditionalFormatting>
  <conditionalFormatting sqref="G555">
    <cfRule type="cellIs" rank="0" priority="1651" equalAverage="0" operator="greaterThan" aboveAverage="0" dxfId="10" text="" percent="0" bottom="0">
      <formula>e{r}</formula>
    </cfRule>
  </conditionalFormatting>
  <conditionalFormatting sqref="H556">
    <cfRule type="cellIs" rank="0" priority="1652" equalAverage="0" operator="greaterThan" aboveAverage="0" dxfId="1" text="" percent="0" bottom="0">
      <formula>0</formula>
    </cfRule>
    <cfRule type="cellIs" rank="0" priority="1653" equalAverage="0" operator="lessThanOrEqual" aboveAverage="0" dxfId="0" text="" percent="0" bottom="0">
      <formula>0</formula>
    </cfRule>
  </conditionalFormatting>
  <conditionalFormatting sqref="G556">
    <cfRule type="cellIs" rank="0" priority="1654" equalAverage="0" operator="greaterThan" aboveAverage="0" dxfId="10" text="" percent="0" bottom="0">
      <formula>e{r}</formula>
    </cfRule>
  </conditionalFormatting>
  <conditionalFormatting sqref="H557">
    <cfRule type="cellIs" rank="0" priority="1655" equalAverage="0" operator="greaterThan" aboveAverage="0" dxfId="1" text="" percent="0" bottom="0">
      <formula>0</formula>
    </cfRule>
    <cfRule type="cellIs" rank="0" priority="1656" equalAverage="0" operator="lessThanOrEqual" aboveAverage="0" dxfId="0" text="" percent="0" bottom="0">
      <formula>0</formula>
    </cfRule>
  </conditionalFormatting>
  <conditionalFormatting sqref="G557">
    <cfRule type="cellIs" rank="0" priority="1657" equalAverage="0" operator="greaterThan" aboveAverage="0" dxfId="10" text="" percent="0" bottom="0">
      <formula>e{r}</formula>
    </cfRule>
  </conditionalFormatting>
  <conditionalFormatting sqref="H558">
    <cfRule type="cellIs" rank="0" priority="1658" equalAverage="0" operator="greaterThan" aboveAverage="0" dxfId="1" text="" percent="0" bottom="0">
      <formula>0</formula>
    </cfRule>
    <cfRule type="cellIs" rank="0" priority="1659" equalAverage="0" operator="lessThanOrEqual" aboveAverage="0" dxfId="0" text="" percent="0" bottom="0">
      <formula>0</formula>
    </cfRule>
  </conditionalFormatting>
  <conditionalFormatting sqref="G558">
    <cfRule type="cellIs" rank="0" priority="1660" equalAverage="0" operator="greaterThan" aboveAverage="0" dxfId="10" text="" percent="0" bottom="0">
      <formula>e{r}</formula>
    </cfRule>
  </conditionalFormatting>
  <conditionalFormatting sqref="H559">
    <cfRule type="cellIs" rank="0" priority="1661" equalAverage="0" operator="greaterThan" aboveAverage="0" dxfId="1" text="" percent="0" bottom="0">
      <formula>0</formula>
    </cfRule>
    <cfRule type="cellIs" rank="0" priority="1662" equalAverage="0" operator="lessThanOrEqual" aboveAverage="0" dxfId="0" text="" percent="0" bottom="0">
      <formula>0</formula>
    </cfRule>
  </conditionalFormatting>
  <conditionalFormatting sqref="G559">
    <cfRule type="cellIs" rank="0" priority="1663" equalAverage="0" operator="greaterThan" aboveAverage="0" dxfId="10" text="" percent="0" bottom="0">
      <formula>e{r}</formula>
    </cfRule>
  </conditionalFormatting>
  <conditionalFormatting sqref="H560">
    <cfRule type="cellIs" rank="0" priority="1664" equalAverage="0" operator="greaterThan" aboveAverage="0" dxfId="1" text="" percent="0" bottom="0">
      <formula>0</formula>
    </cfRule>
    <cfRule type="cellIs" rank="0" priority="1665" equalAverage="0" operator="lessThanOrEqual" aboveAverage="0" dxfId="0" text="" percent="0" bottom="0">
      <formula>0</formula>
    </cfRule>
  </conditionalFormatting>
  <conditionalFormatting sqref="G560">
    <cfRule type="cellIs" rank="0" priority="1666" equalAverage="0" operator="greaterThan" aboveAverage="0" dxfId="10" text="" percent="0" bottom="0">
      <formula>e{r}</formula>
    </cfRule>
  </conditionalFormatting>
  <conditionalFormatting sqref="H561">
    <cfRule type="cellIs" rank="0" priority="1667" equalAverage="0" operator="greaterThan" aboveAverage="0" dxfId="1" text="" percent="0" bottom="0">
      <formula>0</formula>
    </cfRule>
    <cfRule type="cellIs" rank="0" priority="1668" equalAverage="0" operator="lessThanOrEqual" aboveAverage="0" dxfId="0" text="" percent="0" bottom="0">
      <formula>0</formula>
    </cfRule>
  </conditionalFormatting>
  <conditionalFormatting sqref="G561">
    <cfRule type="cellIs" rank="0" priority="1669" equalAverage="0" operator="greaterThan" aboveAverage="0" dxfId="10" text="" percent="0" bottom="0">
      <formula>e{r}</formula>
    </cfRule>
  </conditionalFormatting>
  <conditionalFormatting sqref="H562">
    <cfRule type="cellIs" rank="0" priority="1670" equalAverage="0" operator="greaterThan" aboveAverage="0" dxfId="1" text="" percent="0" bottom="0">
      <formula>0</formula>
    </cfRule>
    <cfRule type="cellIs" rank="0" priority="1671" equalAverage="0" operator="lessThanOrEqual" aboveAverage="0" dxfId="0" text="" percent="0" bottom="0">
      <formula>0</formula>
    </cfRule>
  </conditionalFormatting>
  <conditionalFormatting sqref="G562">
    <cfRule type="cellIs" rank="0" priority="1672" equalAverage="0" operator="greaterThan" aboveAverage="0" dxfId="10" text="" percent="0" bottom="0">
      <formula>e{r}</formula>
    </cfRule>
  </conditionalFormatting>
  <conditionalFormatting sqref="H563">
    <cfRule type="cellIs" rank="0" priority="1673" equalAverage="0" operator="greaterThan" aboveAverage="0" dxfId="1" text="" percent="0" bottom="0">
      <formula>0</formula>
    </cfRule>
    <cfRule type="cellIs" rank="0" priority="1674" equalAverage="0" operator="lessThanOrEqual" aboveAverage="0" dxfId="0" text="" percent="0" bottom="0">
      <formula>0</formula>
    </cfRule>
  </conditionalFormatting>
  <conditionalFormatting sqref="G563">
    <cfRule type="cellIs" rank="0" priority="1675" equalAverage="0" operator="greaterThan" aboveAverage="0" dxfId="10" text="" percent="0" bottom="0">
      <formula>e{r}</formula>
    </cfRule>
  </conditionalFormatting>
  <conditionalFormatting sqref="H564">
    <cfRule type="cellIs" rank="0" priority="1676" equalAverage="0" operator="greaterThan" aboveAverage="0" dxfId="1" text="" percent="0" bottom="0">
      <formula>0</formula>
    </cfRule>
    <cfRule type="cellIs" rank="0" priority="1677" equalAverage="0" operator="lessThanOrEqual" aboveAverage="0" dxfId="0" text="" percent="0" bottom="0">
      <formula>0</formula>
    </cfRule>
  </conditionalFormatting>
  <conditionalFormatting sqref="G564">
    <cfRule type="cellIs" rank="0" priority="1678" equalAverage="0" operator="greaterThan" aboveAverage="0" dxfId="10" text="" percent="0" bottom="0">
      <formula>e{r}</formula>
    </cfRule>
  </conditionalFormatting>
  <conditionalFormatting sqref="H565">
    <cfRule type="cellIs" rank="0" priority="1679" equalAverage="0" operator="greaterThan" aboveAverage="0" dxfId="1" text="" percent="0" bottom="0">
      <formula>0</formula>
    </cfRule>
    <cfRule type="cellIs" rank="0" priority="1680" equalAverage="0" operator="lessThanOrEqual" aboveAverage="0" dxfId="0" text="" percent="0" bottom="0">
      <formula>0</formula>
    </cfRule>
  </conditionalFormatting>
  <conditionalFormatting sqref="G565">
    <cfRule type="cellIs" rank="0" priority="1681" equalAverage="0" operator="greaterThan" aboveAverage="0" dxfId="10" text="" percent="0" bottom="0">
      <formula>e{r}</formula>
    </cfRule>
  </conditionalFormatting>
  <conditionalFormatting sqref="H566">
    <cfRule type="cellIs" rank="0" priority="1682" equalAverage="0" operator="greaterThan" aboveAverage="0" dxfId="1" text="" percent="0" bottom="0">
      <formula>0</formula>
    </cfRule>
    <cfRule type="cellIs" rank="0" priority="1683" equalAverage="0" operator="lessThanOrEqual" aboveAverage="0" dxfId="0" text="" percent="0" bottom="0">
      <formula>0</formula>
    </cfRule>
  </conditionalFormatting>
  <conditionalFormatting sqref="G566">
    <cfRule type="cellIs" rank="0" priority="1684" equalAverage="0" operator="greaterThan" aboveAverage="0" dxfId="10" text="" percent="0" bottom="0">
      <formula>e{r}</formula>
    </cfRule>
  </conditionalFormatting>
  <conditionalFormatting sqref="H567">
    <cfRule type="cellIs" rank="0" priority="1685" equalAverage="0" operator="greaterThan" aboveAverage="0" dxfId="1" text="" percent="0" bottom="0">
      <formula>0</formula>
    </cfRule>
    <cfRule type="cellIs" rank="0" priority="1686" equalAverage="0" operator="lessThanOrEqual" aboveAverage="0" dxfId="0" text="" percent="0" bottom="0">
      <formula>0</formula>
    </cfRule>
  </conditionalFormatting>
  <conditionalFormatting sqref="G567">
    <cfRule type="cellIs" rank="0" priority="1687" equalAverage="0" operator="greaterThan" aboveAverage="0" dxfId="10" text="" percent="0" bottom="0">
      <formula>e{r}</formula>
    </cfRule>
  </conditionalFormatting>
  <conditionalFormatting sqref="H568">
    <cfRule type="cellIs" rank="0" priority="1688" equalAverage="0" operator="greaterThan" aboveAverage="0" dxfId="1" text="" percent="0" bottom="0">
      <formula>0</formula>
    </cfRule>
    <cfRule type="cellIs" rank="0" priority="1689" equalAverage="0" operator="lessThanOrEqual" aboveAverage="0" dxfId="0" text="" percent="0" bottom="0">
      <formula>0</formula>
    </cfRule>
  </conditionalFormatting>
  <conditionalFormatting sqref="G568">
    <cfRule type="cellIs" rank="0" priority="1690" equalAverage="0" operator="greaterThan" aboveAverage="0" dxfId="10" text="" percent="0" bottom="0">
      <formula>e{r}</formula>
    </cfRule>
  </conditionalFormatting>
  <conditionalFormatting sqref="H569">
    <cfRule type="cellIs" rank="0" priority="1691" equalAverage="0" operator="greaterThan" aboveAverage="0" dxfId="1" text="" percent="0" bottom="0">
      <formula>0</formula>
    </cfRule>
    <cfRule type="cellIs" rank="0" priority="1692" equalAverage="0" operator="lessThanOrEqual" aboveAverage="0" dxfId="0" text="" percent="0" bottom="0">
      <formula>0</formula>
    </cfRule>
  </conditionalFormatting>
  <conditionalFormatting sqref="G569">
    <cfRule type="cellIs" rank="0" priority="1693" equalAverage="0" operator="greaterThan" aboveAverage="0" dxfId="10" text="" percent="0" bottom="0">
      <formula>e{r}</formula>
    </cfRule>
  </conditionalFormatting>
  <conditionalFormatting sqref="H570">
    <cfRule type="cellIs" rank="0" priority="1694" equalAverage="0" operator="greaterThan" aboveAverage="0" dxfId="1" text="" percent="0" bottom="0">
      <formula>0</formula>
    </cfRule>
    <cfRule type="cellIs" rank="0" priority="1695" equalAverage="0" operator="lessThanOrEqual" aboveAverage="0" dxfId="0" text="" percent="0" bottom="0">
      <formula>0</formula>
    </cfRule>
  </conditionalFormatting>
  <conditionalFormatting sqref="G570">
    <cfRule type="cellIs" rank="0" priority="1696" equalAverage="0" operator="greaterThan" aboveAverage="0" dxfId="10" text="" percent="0" bottom="0">
      <formula>e{r}</formula>
    </cfRule>
  </conditionalFormatting>
  <conditionalFormatting sqref="H571">
    <cfRule type="cellIs" rank="0" priority="1697" equalAverage="0" operator="greaterThan" aboveAverage="0" dxfId="1" text="" percent="0" bottom="0">
      <formula>0</formula>
    </cfRule>
    <cfRule type="cellIs" rank="0" priority="1698" equalAverage="0" operator="lessThanOrEqual" aboveAverage="0" dxfId="0" text="" percent="0" bottom="0">
      <formula>0</formula>
    </cfRule>
  </conditionalFormatting>
  <conditionalFormatting sqref="G571">
    <cfRule type="cellIs" rank="0" priority="1699" equalAverage="0" operator="greaterThan" aboveAverage="0" dxfId="10" text="" percent="0" bottom="0">
      <formula>e{r}</formula>
    </cfRule>
  </conditionalFormatting>
  <conditionalFormatting sqref="H572">
    <cfRule type="cellIs" rank="0" priority="1700" equalAverage="0" operator="greaterThan" aboveAverage="0" dxfId="1" text="" percent="0" bottom="0">
      <formula>0</formula>
    </cfRule>
    <cfRule type="cellIs" rank="0" priority="1701" equalAverage="0" operator="lessThanOrEqual" aboveAverage="0" dxfId="0" text="" percent="0" bottom="0">
      <formula>0</formula>
    </cfRule>
  </conditionalFormatting>
  <conditionalFormatting sqref="G572">
    <cfRule type="cellIs" rank="0" priority="1702" equalAverage="0" operator="greaterThan" aboveAverage="0" dxfId="10" text="" percent="0" bottom="0">
      <formula>e{r}</formula>
    </cfRule>
  </conditionalFormatting>
  <conditionalFormatting sqref="H573">
    <cfRule type="cellIs" rank="0" priority="1703" equalAverage="0" operator="greaterThan" aboveAverage="0" dxfId="1" text="" percent="0" bottom="0">
      <formula>0</formula>
    </cfRule>
    <cfRule type="cellIs" rank="0" priority="1704" equalAverage="0" operator="lessThanOrEqual" aboveAverage="0" dxfId="0" text="" percent="0" bottom="0">
      <formula>0</formula>
    </cfRule>
  </conditionalFormatting>
  <conditionalFormatting sqref="G573">
    <cfRule type="cellIs" rank="0" priority="1705" equalAverage="0" operator="greaterThan" aboveAverage="0" dxfId="10" text="" percent="0" bottom="0">
      <formula>e{r}</formula>
    </cfRule>
  </conditionalFormatting>
  <conditionalFormatting sqref="H574">
    <cfRule type="cellIs" rank="0" priority="1706" equalAverage="0" operator="greaterThan" aboveAverage="0" dxfId="1" text="" percent="0" bottom="0">
      <formula>0</formula>
    </cfRule>
    <cfRule type="cellIs" rank="0" priority="1707" equalAverage="0" operator="lessThanOrEqual" aboveAverage="0" dxfId="0" text="" percent="0" bottom="0">
      <formula>0</formula>
    </cfRule>
  </conditionalFormatting>
  <conditionalFormatting sqref="G574">
    <cfRule type="cellIs" rank="0" priority="1708" equalAverage="0" operator="greaterThan" aboveAverage="0" dxfId="10" text="" percent="0" bottom="0">
      <formula>e{r}</formula>
    </cfRule>
  </conditionalFormatting>
  <conditionalFormatting sqref="H575">
    <cfRule type="cellIs" rank="0" priority="1709" equalAverage="0" operator="greaterThan" aboveAverage="0" dxfId="1" text="" percent="0" bottom="0">
      <formula>0</formula>
    </cfRule>
    <cfRule type="cellIs" rank="0" priority="1710" equalAverage="0" operator="lessThanOrEqual" aboveAverage="0" dxfId="0" text="" percent="0" bottom="0">
      <formula>0</formula>
    </cfRule>
  </conditionalFormatting>
  <conditionalFormatting sqref="G575">
    <cfRule type="cellIs" rank="0" priority="1711" equalAverage="0" operator="greaterThan" aboveAverage="0" dxfId="10" text="" percent="0" bottom="0">
      <formula>e{r}</formula>
    </cfRule>
  </conditionalFormatting>
  <conditionalFormatting sqref="H576">
    <cfRule type="cellIs" rank="0" priority="1712" equalAverage="0" operator="greaterThan" aboveAverage="0" dxfId="1" text="" percent="0" bottom="0">
      <formula>0</formula>
    </cfRule>
    <cfRule type="cellIs" rank="0" priority="1713" equalAverage="0" operator="lessThanOrEqual" aboveAverage="0" dxfId="0" text="" percent="0" bottom="0">
      <formula>0</formula>
    </cfRule>
  </conditionalFormatting>
  <conditionalFormatting sqref="G576">
    <cfRule type="cellIs" rank="0" priority="1714" equalAverage="0" operator="greaterThan" aboveAverage="0" dxfId="10" text="" percent="0" bottom="0">
      <formula>e{r}</formula>
    </cfRule>
  </conditionalFormatting>
  <conditionalFormatting sqref="H577">
    <cfRule type="cellIs" rank="0" priority="1715" equalAverage="0" operator="greaterThan" aboveAverage="0" dxfId="1" text="" percent="0" bottom="0">
      <formula>0</formula>
    </cfRule>
    <cfRule type="cellIs" rank="0" priority="1716" equalAverage="0" operator="lessThanOrEqual" aboveAverage="0" dxfId="0" text="" percent="0" bottom="0">
      <formula>0</formula>
    </cfRule>
  </conditionalFormatting>
  <conditionalFormatting sqref="G577">
    <cfRule type="cellIs" rank="0" priority="1717" equalAverage="0" operator="greaterThan" aboveAverage="0" dxfId="10" text="" percent="0" bottom="0">
      <formula>e{r}</formula>
    </cfRule>
  </conditionalFormatting>
  <conditionalFormatting sqref="H578">
    <cfRule type="cellIs" rank="0" priority="1718" equalAverage="0" operator="greaterThan" aboveAverage="0" dxfId="1" text="" percent="0" bottom="0">
      <formula>0</formula>
    </cfRule>
    <cfRule type="cellIs" rank="0" priority="1719" equalAverage="0" operator="lessThanOrEqual" aboveAverage="0" dxfId="0" text="" percent="0" bottom="0">
      <formula>0</formula>
    </cfRule>
  </conditionalFormatting>
  <conditionalFormatting sqref="G578">
    <cfRule type="cellIs" rank="0" priority="1720" equalAverage="0" operator="greaterThan" aboveAverage="0" dxfId="10" text="" percent="0" bottom="0">
      <formula>e{r}</formula>
    </cfRule>
  </conditionalFormatting>
  <conditionalFormatting sqref="H579">
    <cfRule type="cellIs" rank="0" priority="1721" equalAverage="0" operator="greaterThan" aboveAverage="0" dxfId="1" text="" percent="0" bottom="0">
      <formula>0</formula>
    </cfRule>
    <cfRule type="cellIs" rank="0" priority="1722" equalAverage="0" operator="lessThanOrEqual" aboveAverage="0" dxfId="0" text="" percent="0" bottom="0">
      <formula>0</formula>
    </cfRule>
  </conditionalFormatting>
  <conditionalFormatting sqref="G579">
    <cfRule type="cellIs" rank="0" priority="1723" equalAverage="0" operator="greaterThan" aboveAverage="0" dxfId="10" text="" percent="0" bottom="0">
      <formula>e{r}</formula>
    </cfRule>
  </conditionalFormatting>
  <conditionalFormatting sqref="H580">
    <cfRule type="cellIs" rank="0" priority="1724" equalAverage="0" operator="greaterThan" aboveAverage="0" dxfId="1" text="" percent="0" bottom="0">
      <formula>0</formula>
    </cfRule>
    <cfRule type="cellIs" rank="0" priority="1725" equalAverage="0" operator="lessThanOrEqual" aboveAverage="0" dxfId="0" text="" percent="0" bottom="0">
      <formula>0</formula>
    </cfRule>
  </conditionalFormatting>
  <conditionalFormatting sqref="G580">
    <cfRule type="cellIs" rank="0" priority="1726" equalAverage="0" operator="greaterThan" aboveAverage="0" dxfId="10" text="" percent="0" bottom="0">
      <formula>e{r}</formula>
    </cfRule>
  </conditionalFormatting>
  <conditionalFormatting sqref="H581">
    <cfRule type="cellIs" rank="0" priority="1727" equalAverage="0" operator="greaterThan" aboveAverage="0" dxfId="1" text="" percent="0" bottom="0">
      <formula>0</formula>
    </cfRule>
    <cfRule type="cellIs" rank="0" priority="1728" equalAverage="0" operator="lessThanOrEqual" aboveAverage="0" dxfId="0" text="" percent="0" bottom="0">
      <formula>0</formula>
    </cfRule>
  </conditionalFormatting>
  <conditionalFormatting sqref="G581">
    <cfRule type="cellIs" rank="0" priority="1729" equalAverage="0" operator="greaterThan" aboveAverage="0" dxfId="10" text="" percent="0" bottom="0">
      <formula>e{r}</formula>
    </cfRule>
  </conditionalFormatting>
  <conditionalFormatting sqref="H582">
    <cfRule type="cellIs" rank="0" priority="1730" equalAverage="0" operator="greaterThan" aboveAverage="0" dxfId="1" text="" percent="0" bottom="0">
      <formula>0</formula>
    </cfRule>
    <cfRule type="cellIs" rank="0" priority="1731" equalAverage="0" operator="lessThanOrEqual" aboveAverage="0" dxfId="0" text="" percent="0" bottom="0">
      <formula>0</formula>
    </cfRule>
  </conditionalFormatting>
  <conditionalFormatting sqref="G582">
    <cfRule type="cellIs" rank="0" priority="1732" equalAverage="0" operator="greaterThan" aboveAverage="0" dxfId="10" text="" percent="0" bottom="0">
      <formula>e{r}</formula>
    </cfRule>
  </conditionalFormatting>
  <conditionalFormatting sqref="H583">
    <cfRule type="cellIs" rank="0" priority="1733" equalAverage="0" operator="greaterThan" aboveAverage="0" dxfId="1" text="" percent="0" bottom="0">
      <formula>0</formula>
    </cfRule>
    <cfRule type="cellIs" rank="0" priority="1734" equalAverage="0" operator="lessThanOrEqual" aboveAverage="0" dxfId="0" text="" percent="0" bottom="0">
      <formula>0</formula>
    </cfRule>
  </conditionalFormatting>
  <conditionalFormatting sqref="G583">
    <cfRule type="cellIs" rank="0" priority="1735" equalAverage="0" operator="greaterThan" aboveAverage="0" dxfId="10" text="" percent="0" bottom="0">
      <formula>e{r}</formula>
    </cfRule>
  </conditionalFormatting>
  <conditionalFormatting sqref="H584">
    <cfRule type="cellIs" rank="0" priority="1736" equalAverage="0" operator="greaterThan" aboveAverage="0" dxfId="1" text="" percent="0" bottom="0">
      <formula>0</formula>
    </cfRule>
    <cfRule type="cellIs" rank="0" priority="1737" equalAverage="0" operator="lessThanOrEqual" aboveAverage="0" dxfId="0" text="" percent="0" bottom="0">
      <formula>0</formula>
    </cfRule>
  </conditionalFormatting>
  <conditionalFormatting sqref="G584">
    <cfRule type="cellIs" rank="0" priority="1738" equalAverage="0" operator="greaterThan" aboveAverage="0" dxfId="10" text="" percent="0" bottom="0">
      <formula>e{r}</formula>
    </cfRule>
  </conditionalFormatting>
  <conditionalFormatting sqref="H585">
    <cfRule type="cellIs" rank="0" priority="1739" equalAverage="0" operator="greaterThan" aboveAverage="0" dxfId="1" text="" percent="0" bottom="0">
      <formula>0</formula>
    </cfRule>
    <cfRule type="cellIs" rank="0" priority="1740" equalAverage="0" operator="lessThanOrEqual" aboveAverage="0" dxfId="0" text="" percent="0" bottom="0">
      <formula>0</formula>
    </cfRule>
  </conditionalFormatting>
  <conditionalFormatting sqref="G585">
    <cfRule type="cellIs" rank="0" priority="1741" equalAverage="0" operator="greaterThan" aboveAverage="0" dxfId="10" text="" percent="0" bottom="0">
      <formula>e{r}</formula>
    </cfRule>
  </conditionalFormatting>
  <conditionalFormatting sqref="H586">
    <cfRule type="cellIs" rank="0" priority="1742" equalAverage="0" operator="greaterThan" aboveAverage="0" dxfId="1" text="" percent="0" bottom="0">
      <formula>0</formula>
    </cfRule>
    <cfRule type="cellIs" rank="0" priority="1743" equalAverage="0" operator="lessThanOrEqual" aboveAverage="0" dxfId="0" text="" percent="0" bottom="0">
      <formula>0</formula>
    </cfRule>
  </conditionalFormatting>
  <conditionalFormatting sqref="G586">
    <cfRule type="cellIs" rank="0" priority="1744" equalAverage="0" operator="greaterThan" aboveAverage="0" dxfId="10" text="" percent="0" bottom="0">
      <formula>e{r}</formula>
    </cfRule>
  </conditionalFormatting>
  <conditionalFormatting sqref="H587">
    <cfRule type="cellIs" rank="0" priority="1745" equalAverage="0" operator="greaterThan" aboveAverage="0" dxfId="1" text="" percent="0" bottom="0">
      <formula>0</formula>
    </cfRule>
    <cfRule type="cellIs" rank="0" priority="1746" equalAverage="0" operator="lessThanOrEqual" aboveAverage="0" dxfId="0" text="" percent="0" bottom="0">
      <formula>0</formula>
    </cfRule>
  </conditionalFormatting>
  <conditionalFormatting sqref="G587">
    <cfRule type="cellIs" rank="0" priority="1747" equalAverage="0" operator="greaterThan" aboveAverage="0" dxfId="10" text="" percent="0" bottom="0">
      <formula>e{r}</formula>
    </cfRule>
  </conditionalFormatting>
  <conditionalFormatting sqref="H588">
    <cfRule type="cellIs" rank="0" priority="1748" equalAverage="0" operator="greaterThan" aboveAverage="0" dxfId="1" text="" percent="0" bottom="0">
      <formula>0</formula>
    </cfRule>
    <cfRule type="cellIs" rank="0" priority="1749" equalAverage="0" operator="lessThanOrEqual" aboveAverage="0" dxfId="0" text="" percent="0" bottom="0">
      <formula>0</formula>
    </cfRule>
  </conditionalFormatting>
  <conditionalFormatting sqref="G588">
    <cfRule type="cellIs" rank="0" priority="1750" equalAverage="0" operator="greaterThan" aboveAverage="0" dxfId="10" text="" percent="0" bottom="0">
      <formula>e{r}</formula>
    </cfRule>
  </conditionalFormatting>
  <conditionalFormatting sqref="H589">
    <cfRule type="cellIs" rank="0" priority="1751" equalAverage="0" operator="greaterThan" aboveAverage="0" dxfId="1" text="" percent="0" bottom="0">
      <formula>0</formula>
    </cfRule>
    <cfRule type="cellIs" rank="0" priority="1752" equalAverage="0" operator="lessThanOrEqual" aboveAverage="0" dxfId="0" text="" percent="0" bottom="0">
      <formula>0</formula>
    </cfRule>
  </conditionalFormatting>
  <conditionalFormatting sqref="G589">
    <cfRule type="cellIs" rank="0" priority="1753" equalAverage="0" operator="greaterThan" aboveAverage="0" dxfId="10" text="" percent="0" bottom="0">
      <formula>e{r}</formula>
    </cfRule>
  </conditionalFormatting>
  <conditionalFormatting sqref="H590">
    <cfRule type="cellIs" rank="0" priority="1754" equalAverage="0" operator="greaterThan" aboveAverage="0" dxfId="1" text="" percent="0" bottom="0">
      <formula>0</formula>
    </cfRule>
    <cfRule type="cellIs" rank="0" priority="1755" equalAverage="0" operator="lessThanOrEqual" aboveAverage="0" dxfId="0" text="" percent="0" bottom="0">
      <formula>0</formula>
    </cfRule>
  </conditionalFormatting>
  <conditionalFormatting sqref="G590">
    <cfRule type="cellIs" rank="0" priority="1756" equalAverage="0" operator="greaterThan" aboveAverage="0" dxfId="10" text="" percent="0" bottom="0">
      <formula>e{r}</formula>
    </cfRule>
  </conditionalFormatting>
  <conditionalFormatting sqref="H591">
    <cfRule type="cellIs" rank="0" priority="1757" equalAverage="0" operator="greaterThan" aboveAverage="0" dxfId="1" text="" percent="0" bottom="0">
      <formula>0</formula>
    </cfRule>
    <cfRule type="cellIs" rank="0" priority="1758" equalAverage="0" operator="lessThanOrEqual" aboveAverage="0" dxfId="0" text="" percent="0" bottom="0">
      <formula>0</formula>
    </cfRule>
  </conditionalFormatting>
  <conditionalFormatting sqref="G591">
    <cfRule type="cellIs" rank="0" priority="1759" equalAverage="0" operator="greaterThan" aboveAverage="0" dxfId="10" text="" percent="0" bottom="0">
      <formula>e{r}</formula>
    </cfRule>
  </conditionalFormatting>
  <conditionalFormatting sqref="H592">
    <cfRule type="cellIs" rank="0" priority="1760" equalAverage="0" operator="greaterThan" aboveAverage="0" dxfId="1" text="" percent="0" bottom="0">
      <formula>0</formula>
    </cfRule>
    <cfRule type="cellIs" rank="0" priority="1761" equalAverage="0" operator="lessThanOrEqual" aboveAverage="0" dxfId="0" text="" percent="0" bottom="0">
      <formula>0</formula>
    </cfRule>
  </conditionalFormatting>
  <conditionalFormatting sqref="G592">
    <cfRule type="cellIs" rank="0" priority="1762" equalAverage="0" operator="greaterThan" aboveAverage="0" dxfId="10" text="" percent="0" bottom="0">
      <formula>e{r}</formula>
    </cfRule>
  </conditionalFormatting>
  <conditionalFormatting sqref="H593">
    <cfRule type="cellIs" rank="0" priority="1763" equalAverage="0" operator="greaterThan" aboveAverage="0" dxfId="1" text="" percent="0" bottom="0">
      <formula>0</formula>
    </cfRule>
    <cfRule type="cellIs" rank="0" priority="1764" equalAverage="0" operator="lessThanOrEqual" aboveAverage="0" dxfId="0" text="" percent="0" bottom="0">
      <formula>0</formula>
    </cfRule>
  </conditionalFormatting>
  <conditionalFormatting sqref="G593">
    <cfRule type="cellIs" rank="0" priority="1765" equalAverage="0" operator="greaterThan" aboveAverage="0" dxfId="10" text="" percent="0" bottom="0">
      <formula>e{r}</formula>
    </cfRule>
  </conditionalFormatting>
  <conditionalFormatting sqref="H594">
    <cfRule type="cellIs" rank="0" priority="1766" equalAverage="0" operator="greaterThan" aboveAverage="0" dxfId="1" text="" percent="0" bottom="0">
      <formula>0</formula>
    </cfRule>
    <cfRule type="cellIs" rank="0" priority="1767" equalAverage="0" operator="lessThanOrEqual" aboveAverage="0" dxfId="0" text="" percent="0" bottom="0">
      <formula>0</formula>
    </cfRule>
  </conditionalFormatting>
  <conditionalFormatting sqref="G594">
    <cfRule type="cellIs" rank="0" priority="1768" equalAverage="0" operator="greaterThan" aboveAverage="0" dxfId="10" text="" percent="0" bottom="0">
      <formula>e{r}</formula>
    </cfRule>
  </conditionalFormatting>
  <conditionalFormatting sqref="H595">
    <cfRule type="cellIs" rank="0" priority="1769" equalAverage="0" operator="greaterThan" aboveAverage="0" dxfId="1" text="" percent="0" bottom="0">
      <formula>0</formula>
    </cfRule>
    <cfRule type="cellIs" rank="0" priority="1770" equalAverage="0" operator="lessThanOrEqual" aboveAverage="0" dxfId="0" text="" percent="0" bottom="0">
      <formula>0</formula>
    </cfRule>
  </conditionalFormatting>
  <conditionalFormatting sqref="G595">
    <cfRule type="cellIs" rank="0" priority="1771" equalAverage="0" operator="greaterThan" aboveAverage="0" dxfId="10" text="" percent="0" bottom="0">
      <formula>e{r}</formula>
    </cfRule>
  </conditionalFormatting>
  <conditionalFormatting sqref="H596">
    <cfRule type="cellIs" rank="0" priority="1772" equalAverage="0" operator="greaterThan" aboveAverage="0" dxfId="1" text="" percent="0" bottom="0">
      <formula>0</formula>
    </cfRule>
    <cfRule type="cellIs" rank="0" priority="1773" equalAverage="0" operator="lessThanOrEqual" aboveAverage="0" dxfId="0" text="" percent="0" bottom="0">
      <formula>0</formula>
    </cfRule>
  </conditionalFormatting>
  <conditionalFormatting sqref="G596">
    <cfRule type="cellIs" rank="0" priority="1774" equalAverage="0" operator="greaterThan" aboveAverage="0" dxfId="10" text="" percent="0" bottom="0">
      <formula>e{r}</formula>
    </cfRule>
  </conditionalFormatting>
  <conditionalFormatting sqref="H597">
    <cfRule type="cellIs" rank="0" priority="1775" equalAverage="0" operator="greaterThan" aboveAverage="0" dxfId="1" text="" percent="0" bottom="0">
      <formula>0</formula>
    </cfRule>
    <cfRule type="cellIs" rank="0" priority="1776" equalAverage="0" operator="lessThanOrEqual" aboveAverage="0" dxfId="0" text="" percent="0" bottom="0">
      <formula>0</formula>
    </cfRule>
  </conditionalFormatting>
  <conditionalFormatting sqref="G597">
    <cfRule type="cellIs" rank="0" priority="1777" equalAverage="0" operator="greaterThan" aboveAverage="0" dxfId="10" text="" percent="0" bottom="0">
      <formula>e{r}</formula>
    </cfRule>
  </conditionalFormatting>
  <conditionalFormatting sqref="H598">
    <cfRule type="cellIs" rank="0" priority="1778" equalAverage="0" operator="greaterThan" aboveAverage="0" dxfId="1" text="" percent="0" bottom="0">
      <formula>0</formula>
    </cfRule>
    <cfRule type="cellIs" rank="0" priority="1779" equalAverage="0" operator="lessThanOrEqual" aboveAverage="0" dxfId="0" text="" percent="0" bottom="0">
      <formula>0</formula>
    </cfRule>
  </conditionalFormatting>
  <conditionalFormatting sqref="G598">
    <cfRule type="cellIs" rank="0" priority="1780" equalAverage="0" operator="greaterThan" aboveAverage="0" dxfId="10" text="" percent="0" bottom="0">
      <formula>e{r}</formula>
    </cfRule>
  </conditionalFormatting>
  <conditionalFormatting sqref="H599">
    <cfRule type="cellIs" rank="0" priority="1781" equalAverage="0" operator="greaterThan" aboveAverage="0" dxfId="1" text="" percent="0" bottom="0">
      <formula>0</formula>
    </cfRule>
    <cfRule type="cellIs" rank="0" priority="1782" equalAverage="0" operator="lessThanOrEqual" aboveAverage="0" dxfId="0" text="" percent="0" bottom="0">
      <formula>0</formula>
    </cfRule>
  </conditionalFormatting>
  <conditionalFormatting sqref="G599">
    <cfRule type="cellIs" rank="0" priority="1783" equalAverage="0" operator="greaterThan" aboveAverage="0" dxfId="10" text="" percent="0" bottom="0">
      <formula>e{r}</formula>
    </cfRule>
  </conditionalFormatting>
  <conditionalFormatting sqref="H600">
    <cfRule type="cellIs" rank="0" priority="1784" equalAverage="0" operator="greaterThan" aboveAverage="0" dxfId="1" text="" percent="0" bottom="0">
      <formula>0</formula>
    </cfRule>
    <cfRule type="cellIs" rank="0" priority="1785" equalAverage="0" operator="lessThanOrEqual" aboveAverage="0" dxfId="0" text="" percent="0" bottom="0">
      <formula>0</formula>
    </cfRule>
  </conditionalFormatting>
  <conditionalFormatting sqref="G600">
    <cfRule type="cellIs" rank="0" priority="1786" equalAverage="0" operator="greaterThan" aboveAverage="0" dxfId="10" text="" percent="0" bottom="0">
      <formula>e{r}</formula>
    </cfRule>
  </conditionalFormatting>
  <conditionalFormatting sqref="H601">
    <cfRule type="cellIs" rank="0" priority="1787" equalAverage="0" operator="greaterThan" aboveAverage="0" dxfId="1" text="" percent="0" bottom="0">
      <formula>0</formula>
    </cfRule>
    <cfRule type="cellIs" rank="0" priority="1788" equalAverage="0" operator="lessThanOrEqual" aboveAverage="0" dxfId="0" text="" percent="0" bottom="0">
      <formula>0</formula>
    </cfRule>
  </conditionalFormatting>
  <conditionalFormatting sqref="G601">
    <cfRule type="cellIs" rank="0" priority="1789" equalAverage="0" operator="greaterThan" aboveAverage="0" dxfId="10" text="" percent="0" bottom="0">
      <formula>e{r}</formula>
    </cfRule>
  </conditionalFormatting>
  <conditionalFormatting sqref="H602">
    <cfRule type="cellIs" rank="0" priority="1790" equalAverage="0" operator="greaterThan" aboveAverage="0" dxfId="1" text="" percent="0" bottom="0">
      <formula>0</formula>
    </cfRule>
    <cfRule type="cellIs" rank="0" priority="1791" equalAverage="0" operator="lessThanOrEqual" aboveAverage="0" dxfId="0" text="" percent="0" bottom="0">
      <formula>0</formula>
    </cfRule>
  </conditionalFormatting>
  <conditionalFormatting sqref="G602">
    <cfRule type="cellIs" rank="0" priority="1792" equalAverage="0" operator="greaterThan" aboveAverage="0" dxfId="10" text="" percent="0" bottom="0">
      <formula>e{r}</formula>
    </cfRule>
  </conditionalFormatting>
  <conditionalFormatting sqref="H603">
    <cfRule type="cellIs" rank="0" priority="1793" equalAverage="0" operator="greaterThan" aboveAverage="0" dxfId="1" text="" percent="0" bottom="0">
      <formula>0</formula>
    </cfRule>
    <cfRule type="cellIs" rank="0" priority="1794" equalAverage="0" operator="lessThanOrEqual" aboveAverage="0" dxfId="0" text="" percent="0" bottom="0">
      <formula>0</formula>
    </cfRule>
  </conditionalFormatting>
  <conditionalFormatting sqref="G603">
    <cfRule type="cellIs" rank="0" priority="1795" equalAverage="0" operator="greaterThan" aboveAverage="0" dxfId="10" text="" percent="0" bottom="0">
      <formula>e{r}</formula>
    </cfRule>
  </conditionalFormatting>
  <conditionalFormatting sqref="H604">
    <cfRule type="cellIs" rank="0" priority="1796" equalAverage="0" operator="greaterThan" aboveAverage="0" dxfId="1" text="" percent="0" bottom="0">
      <formula>0</formula>
    </cfRule>
    <cfRule type="cellIs" rank="0" priority="1797" equalAverage="0" operator="lessThanOrEqual" aboveAverage="0" dxfId="0" text="" percent="0" bottom="0">
      <formula>0</formula>
    </cfRule>
  </conditionalFormatting>
  <conditionalFormatting sqref="G604">
    <cfRule type="cellIs" rank="0" priority="1798" equalAverage="0" operator="greaterThan" aboveAverage="0" dxfId="10" text="" percent="0" bottom="0">
      <formula>e{r}</formula>
    </cfRule>
  </conditionalFormatting>
  <conditionalFormatting sqref="H605">
    <cfRule type="cellIs" rank="0" priority="1799" equalAverage="0" operator="greaterThan" aboveAverage="0" dxfId="1" text="" percent="0" bottom="0">
      <formula>0</formula>
    </cfRule>
    <cfRule type="cellIs" rank="0" priority="1800" equalAverage="0" operator="lessThanOrEqual" aboveAverage="0" dxfId="0" text="" percent="0" bottom="0">
      <formula>0</formula>
    </cfRule>
  </conditionalFormatting>
  <conditionalFormatting sqref="G605">
    <cfRule type="cellIs" rank="0" priority="1801" equalAverage="0" operator="greaterThan" aboveAverage="0" dxfId="10" text="" percent="0" bottom="0">
      <formula>e{r}</formula>
    </cfRule>
  </conditionalFormatting>
  <conditionalFormatting sqref="H606">
    <cfRule type="cellIs" rank="0" priority="1802" equalAverage="0" operator="greaterThan" aboveAverage="0" dxfId="1" text="" percent="0" bottom="0">
      <formula>0</formula>
    </cfRule>
    <cfRule type="cellIs" rank="0" priority="1803" equalAverage="0" operator="lessThanOrEqual" aboveAverage="0" dxfId="0" text="" percent="0" bottom="0">
      <formula>0</formula>
    </cfRule>
  </conditionalFormatting>
  <conditionalFormatting sqref="G606">
    <cfRule type="cellIs" rank="0" priority="1804" equalAverage="0" operator="greaterThan" aboveAverage="0" dxfId="10" text="" percent="0" bottom="0">
      <formula>e{r}</formula>
    </cfRule>
  </conditionalFormatting>
  <conditionalFormatting sqref="H607">
    <cfRule type="cellIs" rank="0" priority="1805" equalAverage="0" operator="greaterThan" aboveAverage="0" dxfId="1" text="" percent="0" bottom="0">
      <formula>0</formula>
    </cfRule>
    <cfRule type="cellIs" rank="0" priority="1806" equalAverage="0" operator="lessThanOrEqual" aboveAverage="0" dxfId="0" text="" percent="0" bottom="0">
      <formula>0</formula>
    </cfRule>
  </conditionalFormatting>
  <conditionalFormatting sqref="G607">
    <cfRule type="cellIs" rank="0" priority="1807" equalAverage="0" operator="greaterThan" aboveAverage="0" dxfId="10" text="" percent="0" bottom="0">
      <formula>e{r}</formula>
    </cfRule>
  </conditionalFormatting>
  <conditionalFormatting sqref="H608">
    <cfRule type="cellIs" rank="0" priority="1808" equalAverage="0" operator="greaterThan" aboveAverage="0" dxfId="1" text="" percent="0" bottom="0">
      <formula>0</formula>
    </cfRule>
    <cfRule type="cellIs" rank="0" priority="1809" equalAverage="0" operator="lessThanOrEqual" aboveAverage="0" dxfId="0" text="" percent="0" bottom="0">
      <formula>0</formula>
    </cfRule>
  </conditionalFormatting>
  <conditionalFormatting sqref="G608">
    <cfRule type="cellIs" rank="0" priority="1810" equalAverage="0" operator="greaterThan" aboveAverage="0" dxfId="10" text="" percent="0" bottom="0">
      <formula>e{r}</formula>
    </cfRule>
  </conditionalFormatting>
  <conditionalFormatting sqref="H609">
    <cfRule type="cellIs" rank="0" priority="1811" equalAverage="0" operator="greaterThan" aboveAverage="0" dxfId="1" text="" percent="0" bottom="0">
      <formula>0</formula>
    </cfRule>
    <cfRule type="cellIs" rank="0" priority="1812" equalAverage="0" operator="lessThanOrEqual" aboveAverage="0" dxfId="0" text="" percent="0" bottom="0">
      <formula>0</formula>
    </cfRule>
  </conditionalFormatting>
  <conditionalFormatting sqref="G609">
    <cfRule type="cellIs" rank="0" priority="1813" equalAverage="0" operator="greaterThan" aboveAverage="0" dxfId="10" text="" percent="0" bottom="0">
      <formula>e{r}</formula>
    </cfRule>
  </conditionalFormatting>
  <conditionalFormatting sqref="H610">
    <cfRule type="cellIs" rank="0" priority="1814" equalAverage="0" operator="greaterThan" aboveAverage="0" dxfId="1" text="" percent="0" bottom="0">
      <formula>0</formula>
    </cfRule>
    <cfRule type="cellIs" rank="0" priority="1815" equalAverage="0" operator="lessThanOrEqual" aboveAverage="0" dxfId="0" text="" percent="0" bottom="0">
      <formula>0</formula>
    </cfRule>
  </conditionalFormatting>
  <conditionalFormatting sqref="G610">
    <cfRule type="cellIs" rank="0" priority="1816" equalAverage="0" operator="greaterThan" aboveAverage="0" dxfId="10" text="" percent="0" bottom="0">
      <formula>e{r}</formula>
    </cfRule>
  </conditionalFormatting>
  <conditionalFormatting sqref="H611">
    <cfRule type="cellIs" rank="0" priority="1817" equalAverage="0" operator="greaterThan" aboveAverage="0" dxfId="1" text="" percent="0" bottom="0">
      <formula>0</formula>
    </cfRule>
    <cfRule type="cellIs" rank="0" priority="1818" equalAverage="0" operator="lessThanOrEqual" aboveAverage="0" dxfId="0" text="" percent="0" bottom="0">
      <formula>0</formula>
    </cfRule>
  </conditionalFormatting>
  <conditionalFormatting sqref="G611">
    <cfRule type="cellIs" rank="0" priority="1819" equalAverage="0" operator="greaterThan" aboveAverage="0" dxfId="10" text="" percent="0" bottom="0">
      <formula>e{r}</formula>
    </cfRule>
  </conditionalFormatting>
  <conditionalFormatting sqref="H612">
    <cfRule type="cellIs" rank="0" priority="1820" equalAverage="0" operator="greaterThan" aboveAverage="0" dxfId="1" text="" percent="0" bottom="0">
      <formula>0</formula>
    </cfRule>
    <cfRule type="cellIs" rank="0" priority="1821" equalAverage="0" operator="lessThanOrEqual" aboveAverage="0" dxfId="0" text="" percent="0" bottom="0">
      <formula>0</formula>
    </cfRule>
  </conditionalFormatting>
  <conditionalFormatting sqref="G612">
    <cfRule type="cellIs" rank="0" priority="1822" equalAverage="0" operator="greaterThan" aboveAverage="0" dxfId="10" text="" percent="0" bottom="0">
      <formula>e{r}</formula>
    </cfRule>
  </conditionalFormatting>
  <conditionalFormatting sqref="H613">
    <cfRule type="cellIs" rank="0" priority="1823" equalAverage="0" operator="greaterThan" aboveAverage="0" dxfId="1" text="" percent="0" bottom="0">
      <formula>0</formula>
    </cfRule>
    <cfRule type="cellIs" rank="0" priority="1824" equalAverage="0" operator="lessThanOrEqual" aboveAverage="0" dxfId="0" text="" percent="0" bottom="0">
      <formula>0</formula>
    </cfRule>
  </conditionalFormatting>
  <conditionalFormatting sqref="G613">
    <cfRule type="cellIs" rank="0" priority="1825" equalAverage="0" operator="greaterThan" aboveAverage="0" dxfId="10" text="" percent="0" bottom="0">
      <formula>e{r}</formula>
    </cfRule>
  </conditionalFormatting>
  <conditionalFormatting sqref="H614">
    <cfRule type="cellIs" rank="0" priority="1826" equalAverage="0" operator="greaterThan" aboveAverage="0" dxfId="1" text="" percent="0" bottom="0">
      <formula>0</formula>
    </cfRule>
    <cfRule type="cellIs" rank="0" priority="1827" equalAverage="0" operator="lessThanOrEqual" aboveAverage="0" dxfId="0" text="" percent="0" bottom="0">
      <formula>0</formula>
    </cfRule>
  </conditionalFormatting>
  <conditionalFormatting sqref="G614">
    <cfRule type="cellIs" rank="0" priority="1828" equalAverage="0" operator="greaterThan" aboveAverage="0" dxfId="10" text="" percent="0" bottom="0">
      <formula>e{r}</formula>
    </cfRule>
  </conditionalFormatting>
  <conditionalFormatting sqref="H615">
    <cfRule type="cellIs" rank="0" priority="1829" equalAverage="0" operator="greaterThan" aboveAverage="0" dxfId="1" text="" percent="0" bottom="0">
      <formula>0</formula>
    </cfRule>
    <cfRule type="cellIs" rank="0" priority="1830" equalAverage="0" operator="lessThanOrEqual" aboveAverage="0" dxfId="0" text="" percent="0" bottom="0">
      <formula>0</formula>
    </cfRule>
  </conditionalFormatting>
  <conditionalFormatting sqref="G615">
    <cfRule type="cellIs" rank="0" priority="1831" equalAverage="0" operator="greaterThan" aboveAverage="0" dxfId="10" text="" percent="0" bottom="0">
      <formula>e{r}</formula>
    </cfRule>
  </conditionalFormatting>
  <conditionalFormatting sqref="H616">
    <cfRule type="cellIs" rank="0" priority="1832" equalAverage="0" operator="greaterThan" aboveAverage="0" dxfId="1" text="" percent="0" bottom="0">
      <formula>0</formula>
    </cfRule>
    <cfRule type="cellIs" rank="0" priority="1833" equalAverage="0" operator="lessThanOrEqual" aboveAverage="0" dxfId="0" text="" percent="0" bottom="0">
      <formula>0</formula>
    </cfRule>
  </conditionalFormatting>
  <conditionalFormatting sqref="G616">
    <cfRule type="cellIs" rank="0" priority="1834" equalAverage="0" operator="greaterThan" aboveAverage="0" dxfId="10" text="" percent="0" bottom="0">
      <formula>e{r}</formula>
    </cfRule>
  </conditionalFormatting>
  <conditionalFormatting sqref="H617">
    <cfRule type="cellIs" rank="0" priority="1835" equalAverage="0" operator="greaterThan" aboveAverage="0" dxfId="1" text="" percent="0" bottom="0">
      <formula>0</formula>
    </cfRule>
    <cfRule type="cellIs" rank="0" priority="1836" equalAverage="0" operator="lessThanOrEqual" aboveAverage="0" dxfId="0" text="" percent="0" bottom="0">
      <formula>0</formula>
    </cfRule>
  </conditionalFormatting>
  <conditionalFormatting sqref="G617">
    <cfRule type="cellIs" rank="0" priority="1837" equalAverage="0" operator="greaterThan" aboveAverage="0" dxfId="10" text="" percent="0" bottom="0">
      <formula>e{r}</formula>
    </cfRule>
  </conditionalFormatting>
  <conditionalFormatting sqref="H618">
    <cfRule type="cellIs" rank="0" priority="1838" equalAverage="0" operator="greaterThan" aboveAverage="0" dxfId="1" text="" percent="0" bottom="0">
      <formula>0</formula>
    </cfRule>
    <cfRule type="cellIs" rank="0" priority="1839" equalAverage="0" operator="lessThanOrEqual" aboveAverage="0" dxfId="0" text="" percent="0" bottom="0">
      <formula>0</formula>
    </cfRule>
  </conditionalFormatting>
  <conditionalFormatting sqref="G618">
    <cfRule type="cellIs" rank="0" priority="1840" equalAverage="0" operator="greaterThan" aboveAverage="0" dxfId="10" text="" percent="0" bottom="0">
      <formula>e{r}</formula>
    </cfRule>
  </conditionalFormatting>
  <conditionalFormatting sqref="H619">
    <cfRule type="cellIs" rank="0" priority="1841" equalAverage="0" operator="greaterThan" aboveAverage="0" dxfId="1" text="" percent="0" bottom="0">
      <formula>0</formula>
    </cfRule>
    <cfRule type="cellIs" rank="0" priority="1842" equalAverage="0" operator="lessThanOrEqual" aboveAverage="0" dxfId="0" text="" percent="0" bottom="0">
      <formula>0</formula>
    </cfRule>
  </conditionalFormatting>
  <conditionalFormatting sqref="G619">
    <cfRule type="cellIs" rank="0" priority="1843" equalAverage="0" operator="greaterThan" aboveAverage="0" dxfId="10" text="" percent="0" bottom="0">
      <formula>e{r}</formula>
    </cfRule>
  </conditionalFormatting>
  <conditionalFormatting sqref="H620">
    <cfRule type="cellIs" rank="0" priority="1844" equalAverage="0" operator="greaterThan" aboveAverage="0" dxfId="1" text="" percent="0" bottom="0">
      <formula>0</formula>
    </cfRule>
    <cfRule type="cellIs" rank="0" priority="1845" equalAverage="0" operator="lessThanOrEqual" aboveAverage="0" dxfId="0" text="" percent="0" bottom="0">
      <formula>0</formula>
    </cfRule>
  </conditionalFormatting>
  <conditionalFormatting sqref="G620">
    <cfRule type="cellIs" rank="0" priority="1846" equalAverage="0" operator="greaterThan" aboveAverage="0" dxfId="10" text="" percent="0" bottom="0">
      <formula>e{r}</formula>
    </cfRule>
  </conditionalFormatting>
  <conditionalFormatting sqref="H621">
    <cfRule type="cellIs" rank="0" priority="1847" equalAverage="0" operator="greaterThan" aboveAverage="0" dxfId="1" text="" percent="0" bottom="0">
      <formula>0</formula>
    </cfRule>
    <cfRule type="cellIs" rank="0" priority="1848" equalAverage="0" operator="lessThanOrEqual" aboveAverage="0" dxfId="0" text="" percent="0" bottom="0">
      <formula>0</formula>
    </cfRule>
  </conditionalFormatting>
  <conditionalFormatting sqref="G621">
    <cfRule type="cellIs" rank="0" priority="1849" equalAverage="0" operator="greaterThan" aboveAverage="0" dxfId="10" text="" percent="0" bottom="0">
      <formula>e{r}</formula>
    </cfRule>
  </conditionalFormatting>
  <conditionalFormatting sqref="H622">
    <cfRule type="cellIs" rank="0" priority="1850" equalAverage="0" operator="greaterThan" aboveAverage="0" dxfId="1" text="" percent="0" bottom="0">
      <formula>0</formula>
    </cfRule>
    <cfRule type="cellIs" rank="0" priority="1851" equalAverage="0" operator="lessThanOrEqual" aboveAverage="0" dxfId="0" text="" percent="0" bottom="0">
      <formula>0</formula>
    </cfRule>
  </conditionalFormatting>
  <conditionalFormatting sqref="G622">
    <cfRule type="cellIs" rank="0" priority="1852" equalAverage="0" operator="greaterThan" aboveAverage="0" dxfId="10" text="" percent="0" bottom="0">
      <formula>e{r}</formula>
    </cfRule>
  </conditionalFormatting>
  <conditionalFormatting sqref="H623">
    <cfRule type="cellIs" rank="0" priority="1853" equalAverage="0" operator="greaterThan" aboveAverage="0" dxfId="1" text="" percent="0" bottom="0">
      <formula>0</formula>
    </cfRule>
    <cfRule type="cellIs" rank="0" priority="1854" equalAverage="0" operator="lessThanOrEqual" aboveAverage="0" dxfId="0" text="" percent="0" bottom="0">
      <formula>0</formula>
    </cfRule>
  </conditionalFormatting>
  <conditionalFormatting sqref="G623">
    <cfRule type="cellIs" rank="0" priority="1855" equalAverage="0" operator="greaterThan" aboveAverage="0" dxfId="10" text="" percent="0" bottom="0">
      <formula>e{r}</formula>
    </cfRule>
  </conditionalFormatting>
  <conditionalFormatting sqref="H624">
    <cfRule type="cellIs" rank="0" priority="1856" equalAverage="0" operator="greaterThan" aboveAverage="0" dxfId="1" text="" percent="0" bottom="0">
      <formula>0</formula>
    </cfRule>
    <cfRule type="cellIs" rank="0" priority="1857" equalAverage="0" operator="lessThanOrEqual" aboveAverage="0" dxfId="0" text="" percent="0" bottom="0">
      <formula>0</formula>
    </cfRule>
  </conditionalFormatting>
  <conditionalFormatting sqref="G624">
    <cfRule type="cellIs" rank="0" priority="1858" equalAverage="0" operator="greaterThan" aboveAverage="0" dxfId="10" text="" percent="0" bottom="0">
      <formula>e{r}</formula>
    </cfRule>
  </conditionalFormatting>
  <conditionalFormatting sqref="H625">
    <cfRule type="cellIs" rank="0" priority="1859" equalAverage="0" operator="greaterThan" aboveAverage="0" dxfId="1" text="" percent="0" bottom="0">
      <formula>0</formula>
    </cfRule>
    <cfRule type="cellIs" rank="0" priority="1860" equalAverage="0" operator="lessThanOrEqual" aboveAverage="0" dxfId="0" text="" percent="0" bottom="0">
      <formula>0</formula>
    </cfRule>
  </conditionalFormatting>
  <conditionalFormatting sqref="G625">
    <cfRule type="cellIs" rank="0" priority="1861" equalAverage="0" operator="greaterThan" aboveAverage="0" dxfId="10" text="" percent="0" bottom="0">
      <formula>e{r}</formula>
    </cfRule>
  </conditionalFormatting>
  <conditionalFormatting sqref="H626">
    <cfRule type="cellIs" rank="0" priority="1862" equalAverage="0" operator="greaterThan" aboveAverage="0" dxfId="1" text="" percent="0" bottom="0">
      <formula>0</formula>
    </cfRule>
    <cfRule type="cellIs" rank="0" priority="1863" equalAverage="0" operator="lessThanOrEqual" aboveAverage="0" dxfId="0" text="" percent="0" bottom="0">
      <formula>0</formula>
    </cfRule>
  </conditionalFormatting>
  <conditionalFormatting sqref="G626">
    <cfRule type="cellIs" rank="0" priority="1864" equalAverage="0" operator="greaterThan" aboveAverage="0" dxfId="10" text="" percent="0" bottom="0">
      <formula>e{r}</formula>
    </cfRule>
  </conditionalFormatting>
  <conditionalFormatting sqref="H627">
    <cfRule type="cellIs" rank="0" priority="1865" equalAverage="0" operator="greaterThan" aboveAverage="0" dxfId="1" text="" percent="0" bottom="0">
      <formula>0</formula>
    </cfRule>
    <cfRule type="cellIs" rank="0" priority="1866" equalAverage="0" operator="lessThanOrEqual" aboveAverage="0" dxfId="0" text="" percent="0" bottom="0">
      <formula>0</formula>
    </cfRule>
  </conditionalFormatting>
  <conditionalFormatting sqref="G627">
    <cfRule type="cellIs" rank="0" priority="1867" equalAverage="0" operator="greaterThan" aboveAverage="0" dxfId="10" text="" percent="0" bottom="0">
      <formula>e{r}</formula>
    </cfRule>
  </conditionalFormatting>
  <conditionalFormatting sqref="H628">
    <cfRule type="cellIs" rank="0" priority="1868" equalAverage="0" operator="greaterThan" aboveAverage="0" dxfId="1" text="" percent="0" bottom="0">
      <formula>0</formula>
    </cfRule>
    <cfRule type="cellIs" rank="0" priority="1869" equalAverage="0" operator="lessThanOrEqual" aboveAverage="0" dxfId="0" text="" percent="0" bottom="0">
      <formula>0</formula>
    </cfRule>
  </conditionalFormatting>
  <conditionalFormatting sqref="G628">
    <cfRule type="cellIs" rank="0" priority="1870" equalAverage="0" operator="greaterThan" aboveAverage="0" dxfId="10" text="" percent="0" bottom="0">
      <formula>e{r}</formula>
    </cfRule>
  </conditionalFormatting>
  <conditionalFormatting sqref="H629">
    <cfRule type="cellIs" rank="0" priority="1871" equalAverage="0" operator="greaterThan" aboveAverage="0" dxfId="1" text="" percent="0" bottom="0">
      <formula>0</formula>
    </cfRule>
    <cfRule type="cellIs" rank="0" priority="1872" equalAverage="0" operator="lessThanOrEqual" aboveAverage="0" dxfId="0" text="" percent="0" bottom="0">
      <formula>0</formula>
    </cfRule>
  </conditionalFormatting>
  <conditionalFormatting sqref="G629">
    <cfRule type="cellIs" rank="0" priority="1873" equalAverage="0" operator="greaterThan" aboveAverage="0" dxfId="10" text="" percent="0" bottom="0">
      <formula>e{r}</formula>
    </cfRule>
  </conditionalFormatting>
  <conditionalFormatting sqref="H630">
    <cfRule type="cellIs" rank="0" priority="1874" equalAverage="0" operator="greaterThan" aboveAverage="0" dxfId="1" text="" percent="0" bottom="0">
      <formula>0</formula>
    </cfRule>
    <cfRule type="cellIs" rank="0" priority="1875" equalAverage="0" operator="lessThanOrEqual" aboveAverage="0" dxfId="0" text="" percent="0" bottom="0">
      <formula>0</formula>
    </cfRule>
  </conditionalFormatting>
  <conditionalFormatting sqref="G630">
    <cfRule type="cellIs" rank="0" priority="1876" equalAverage="0" operator="greaterThan" aboveAverage="0" dxfId="10" text="" percent="0" bottom="0">
      <formula>e{r}</formula>
    </cfRule>
  </conditionalFormatting>
  <conditionalFormatting sqref="H631">
    <cfRule type="cellIs" rank="0" priority="1877" equalAverage="0" operator="greaterThan" aboveAverage="0" dxfId="1" text="" percent="0" bottom="0">
      <formula>0</formula>
    </cfRule>
    <cfRule type="cellIs" rank="0" priority="1878" equalAverage="0" operator="lessThanOrEqual" aboveAverage="0" dxfId="0" text="" percent="0" bottom="0">
      <formula>0</formula>
    </cfRule>
  </conditionalFormatting>
  <conditionalFormatting sqref="G631">
    <cfRule type="cellIs" rank="0" priority="1879" equalAverage="0" operator="greaterThan" aboveAverage="0" dxfId="10" text="" percent="0" bottom="0">
      <formula>e{r}</formula>
    </cfRule>
  </conditionalFormatting>
  <conditionalFormatting sqref="H632">
    <cfRule type="cellIs" rank="0" priority="1880" equalAverage="0" operator="greaterThan" aboveAverage="0" dxfId="1" text="" percent="0" bottom="0">
      <formula>0</formula>
    </cfRule>
    <cfRule type="cellIs" rank="0" priority="1881" equalAverage="0" operator="lessThanOrEqual" aboveAverage="0" dxfId="0" text="" percent="0" bottom="0">
      <formula>0</formula>
    </cfRule>
  </conditionalFormatting>
  <conditionalFormatting sqref="G632">
    <cfRule type="cellIs" rank="0" priority="1882" equalAverage="0" operator="greaterThan" aboveAverage="0" dxfId="10" text="" percent="0" bottom="0">
      <formula>e{r}</formula>
    </cfRule>
  </conditionalFormatting>
  <conditionalFormatting sqref="H633">
    <cfRule type="cellIs" rank="0" priority="1883" equalAverage="0" operator="greaterThan" aboveAverage="0" dxfId="1" text="" percent="0" bottom="0">
      <formula>0</formula>
    </cfRule>
    <cfRule type="cellIs" rank="0" priority="1884" equalAverage="0" operator="lessThanOrEqual" aboveAverage="0" dxfId="0" text="" percent="0" bottom="0">
      <formula>0</formula>
    </cfRule>
  </conditionalFormatting>
  <conditionalFormatting sqref="G633">
    <cfRule type="cellIs" rank="0" priority="1885" equalAverage="0" operator="greaterThan" aboveAverage="0" dxfId="10" text="" percent="0" bottom="0">
      <formula>e{r}</formula>
    </cfRule>
  </conditionalFormatting>
  <conditionalFormatting sqref="H634">
    <cfRule type="cellIs" rank="0" priority="1886" equalAverage="0" operator="greaterThan" aboveAverage="0" dxfId="1" text="" percent="0" bottom="0">
      <formula>0</formula>
    </cfRule>
    <cfRule type="cellIs" rank="0" priority="1887" equalAverage="0" operator="lessThanOrEqual" aboveAverage="0" dxfId="0" text="" percent="0" bottom="0">
      <formula>0</formula>
    </cfRule>
  </conditionalFormatting>
  <conditionalFormatting sqref="G634">
    <cfRule type="cellIs" rank="0" priority="1888" equalAverage="0" operator="greaterThan" aboveAverage="0" dxfId="10" text="" percent="0" bottom="0">
      <formula>e{r}</formula>
    </cfRule>
  </conditionalFormatting>
  <conditionalFormatting sqref="H635">
    <cfRule type="cellIs" rank="0" priority="1889" equalAverage="0" operator="greaterThan" aboveAverage="0" dxfId="1" text="" percent="0" bottom="0">
      <formula>0</formula>
    </cfRule>
    <cfRule type="cellIs" rank="0" priority="1890" equalAverage="0" operator="lessThanOrEqual" aboveAverage="0" dxfId="0" text="" percent="0" bottom="0">
      <formula>0</formula>
    </cfRule>
  </conditionalFormatting>
  <conditionalFormatting sqref="G635">
    <cfRule type="cellIs" rank="0" priority="1891" equalAverage="0" operator="greaterThan" aboveAverage="0" dxfId="10" text="" percent="0" bottom="0">
      <formula>e{r}</formula>
    </cfRule>
  </conditionalFormatting>
  <conditionalFormatting sqref="H636">
    <cfRule type="cellIs" rank="0" priority="1892" equalAverage="0" operator="greaterThan" aboveAverage="0" dxfId="1" text="" percent="0" bottom="0">
      <formula>0</formula>
    </cfRule>
    <cfRule type="cellIs" rank="0" priority="1893" equalAverage="0" operator="lessThanOrEqual" aboveAverage="0" dxfId="0" text="" percent="0" bottom="0">
      <formula>0</formula>
    </cfRule>
  </conditionalFormatting>
  <conditionalFormatting sqref="G636">
    <cfRule type="cellIs" rank="0" priority="1894" equalAverage="0" operator="greaterThan" aboveAverage="0" dxfId="10" text="" percent="0" bottom="0">
      <formula>e{r}</formula>
    </cfRule>
  </conditionalFormatting>
  <conditionalFormatting sqref="H637">
    <cfRule type="cellIs" rank="0" priority="1895" equalAverage="0" operator="greaterThan" aboveAverage="0" dxfId="1" text="" percent="0" bottom="0">
      <formula>0</formula>
    </cfRule>
    <cfRule type="cellIs" rank="0" priority="1896" equalAverage="0" operator="lessThanOrEqual" aboveAverage="0" dxfId="0" text="" percent="0" bottom="0">
      <formula>0</formula>
    </cfRule>
  </conditionalFormatting>
  <conditionalFormatting sqref="G637">
    <cfRule type="cellIs" rank="0" priority="1897" equalAverage="0" operator="greaterThan" aboveAverage="0" dxfId="10" text="" percent="0" bottom="0">
      <formula>e{r}</formula>
    </cfRule>
  </conditionalFormatting>
  <conditionalFormatting sqref="H638">
    <cfRule type="cellIs" rank="0" priority="1898" equalAverage="0" operator="greaterThan" aboveAverage="0" dxfId="1" text="" percent="0" bottom="0">
      <formula>0</formula>
    </cfRule>
    <cfRule type="cellIs" rank="0" priority="1899" equalAverage="0" operator="lessThanOrEqual" aboveAverage="0" dxfId="0" text="" percent="0" bottom="0">
      <formula>0</formula>
    </cfRule>
  </conditionalFormatting>
  <conditionalFormatting sqref="G638">
    <cfRule type="cellIs" rank="0" priority="1900" equalAverage="0" operator="greaterThan" aboveAverage="0" dxfId="10" text="" percent="0" bottom="0">
      <formula>e{r}</formula>
    </cfRule>
  </conditionalFormatting>
  <conditionalFormatting sqref="H639">
    <cfRule type="cellIs" rank="0" priority="1901" equalAverage="0" operator="greaterThan" aboveAverage="0" dxfId="1" text="" percent="0" bottom="0">
      <formula>0</formula>
    </cfRule>
    <cfRule type="cellIs" rank="0" priority="1902" equalAverage="0" operator="lessThanOrEqual" aboveAverage="0" dxfId="0" text="" percent="0" bottom="0">
      <formula>0</formula>
    </cfRule>
  </conditionalFormatting>
  <conditionalFormatting sqref="G639">
    <cfRule type="cellIs" rank="0" priority="1903" equalAverage="0" operator="greaterThan" aboveAverage="0" dxfId="10" text="" percent="0" bottom="0">
      <formula>e{r}</formula>
    </cfRule>
  </conditionalFormatting>
  <conditionalFormatting sqref="H640">
    <cfRule type="cellIs" rank="0" priority="1904" equalAverage="0" operator="greaterThan" aboveAverage="0" dxfId="1" text="" percent="0" bottom="0">
      <formula>0</formula>
    </cfRule>
    <cfRule type="cellIs" rank="0" priority="1905" equalAverage="0" operator="lessThanOrEqual" aboveAverage="0" dxfId="0" text="" percent="0" bottom="0">
      <formula>0</formula>
    </cfRule>
  </conditionalFormatting>
  <conditionalFormatting sqref="G640">
    <cfRule type="cellIs" rank="0" priority="1906" equalAverage="0" operator="greaterThan" aboveAverage="0" dxfId="10" text="" percent="0" bottom="0">
      <formula>e{r}</formula>
    </cfRule>
  </conditionalFormatting>
  <conditionalFormatting sqref="H641">
    <cfRule type="cellIs" rank="0" priority="1907" equalAverage="0" operator="greaterThan" aboveAverage="0" dxfId="1" text="" percent="0" bottom="0">
      <formula>0</formula>
    </cfRule>
    <cfRule type="cellIs" rank="0" priority="1908" equalAverage="0" operator="lessThanOrEqual" aboveAverage="0" dxfId="0" text="" percent="0" bottom="0">
      <formula>0</formula>
    </cfRule>
  </conditionalFormatting>
  <conditionalFormatting sqref="G641">
    <cfRule type="cellIs" rank="0" priority="1909" equalAverage="0" operator="greaterThan" aboveAverage="0" dxfId="10" text="" percent="0" bottom="0">
      <formula>e{r}</formula>
    </cfRule>
  </conditionalFormatting>
  <conditionalFormatting sqref="H642">
    <cfRule type="cellIs" rank="0" priority="1910" equalAverage="0" operator="greaterThan" aboveAverage="0" dxfId="1" text="" percent="0" bottom="0">
      <formula>0</formula>
    </cfRule>
    <cfRule type="cellIs" rank="0" priority="1911" equalAverage="0" operator="lessThanOrEqual" aboveAverage="0" dxfId="0" text="" percent="0" bottom="0">
      <formula>0</formula>
    </cfRule>
  </conditionalFormatting>
  <conditionalFormatting sqref="G642">
    <cfRule type="cellIs" rank="0" priority="1912" equalAverage="0" operator="greaterThan" aboveAverage="0" dxfId="10" text="" percent="0" bottom="0">
      <formula>e{r}</formula>
    </cfRule>
  </conditionalFormatting>
  <conditionalFormatting sqref="H643">
    <cfRule type="cellIs" rank="0" priority="1913" equalAverage="0" operator="greaterThan" aboveAverage="0" dxfId="1" text="" percent="0" bottom="0">
      <formula>0</formula>
    </cfRule>
    <cfRule type="cellIs" rank="0" priority="1914" equalAverage="0" operator="lessThanOrEqual" aboveAverage="0" dxfId="0" text="" percent="0" bottom="0">
      <formula>0</formula>
    </cfRule>
  </conditionalFormatting>
  <conditionalFormatting sqref="G643">
    <cfRule type="cellIs" rank="0" priority="1915" equalAverage="0" operator="greaterThan" aboveAverage="0" dxfId="10" text="" percent="0" bottom="0">
      <formula>e{r}</formula>
    </cfRule>
  </conditionalFormatting>
  <conditionalFormatting sqref="H644">
    <cfRule type="cellIs" rank="0" priority="1916" equalAverage="0" operator="greaterThan" aboveAverage="0" dxfId="1" text="" percent="0" bottom="0">
      <formula>0</formula>
    </cfRule>
    <cfRule type="cellIs" rank="0" priority="1917" equalAverage="0" operator="lessThanOrEqual" aboveAverage="0" dxfId="0" text="" percent="0" bottom="0">
      <formula>0</formula>
    </cfRule>
  </conditionalFormatting>
  <conditionalFormatting sqref="G644">
    <cfRule type="cellIs" rank="0" priority="1918" equalAverage="0" operator="greaterThan" aboveAverage="0" dxfId="10" text="" percent="0" bottom="0">
      <formula>e{r}</formula>
    </cfRule>
  </conditionalFormatting>
  <conditionalFormatting sqref="H645">
    <cfRule type="cellIs" rank="0" priority="1919" equalAverage="0" operator="greaterThan" aboveAverage="0" dxfId="1" text="" percent="0" bottom="0">
      <formula>0</formula>
    </cfRule>
    <cfRule type="cellIs" rank="0" priority="1920" equalAverage="0" operator="lessThanOrEqual" aboveAverage="0" dxfId="0" text="" percent="0" bottom="0">
      <formula>0</formula>
    </cfRule>
  </conditionalFormatting>
  <conditionalFormatting sqref="G645">
    <cfRule type="cellIs" rank="0" priority="1921" equalAverage="0" operator="greaterThan" aboveAverage="0" dxfId="10" text="" percent="0" bottom="0">
      <formula>e{r}</formula>
    </cfRule>
  </conditionalFormatting>
  <conditionalFormatting sqref="H646">
    <cfRule type="cellIs" rank="0" priority="1922" equalAverage="0" operator="greaterThan" aboveAverage="0" dxfId="1" text="" percent="0" bottom="0">
      <formula>0</formula>
    </cfRule>
    <cfRule type="cellIs" rank="0" priority="1923" equalAverage="0" operator="lessThanOrEqual" aboveAverage="0" dxfId="0" text="" percent="0" bottom="0">
      <formula>0</formula>
    </cfRule>
  </conditionalFormatting>
  <conditionalFormatting sqref="G646">
    <cfRule type="cellIs" rank="0" priority="1924" equalAverage="0" operator="greaterThan" aboveAverage="0" dxfId="10" text="" percent="0" bottom="0">
      <formula>e{r}</formula>
    </cfRule>
  </conditionalFormatting>
  <conditionalFormatting sqref="H647">
    <cfRule type="cellIs" rank="0" priority="1925" equalAverage="0" operator="greaterThan" aboveAverage="0" dxfId="1" text="" percent="0" bottom="0">
      <formula>0</formula>
    </cfRule>
    <cfRule type="cellIs" rank="0" priority="1926" equalAverage="0" operator="lessThanOrEqual" aboveAverage="0" dxfId="0" text="" percent="0" bottom="0">
      <formula>0</formula>
    </cfRule>
  </conditionalFormatting>
  <conditionalFormatting sqref="G647">
    <cfRule type="cellIs" rank="0" priority="1927" equalAverage="0" operator="greaterThan" aboveAverage="0" dxfId="10" text="" percent="0" bottom="0">
      <formula>e{r}</formula>
    </cfRule>
  </conditionalFormatting>
  <conditionalFormatting sqref="H648">
    <cfRule type="cellIs" rank="0" priority="1928" equalAverage="0" operator="greaterThan" aboveAverage="0" dxfId="1" text="" percent="0" bottom="0">
      <formula>0</formula>
    </cfRule>
    <cfRule type="cellIs" rank="0" priority="1929" equalAverage="0" operator="lessThanOrEqual" aboveAverage="0" dxfId="0" text="" percent="0" bottom="0">
      <formula>0</formula>
    </cfRule>
  </conditionalFormatting>
  <conditionalFormatting sqref="G648">
    <cfRule type="cellIs" rank="0" priority="1930" equalAverage="0" operator="greaterThan" aboveAverage="0" dxfId="10" text="" percent="0" bottom="0">
      <formula>e{r}</formula>
    </cfRule>
  </conditionalFormatting>
  <conditionalFormatting sqref="H649">
    <cfRule type="cellIs" rank="0" priority="1931" equalAverage="0" operator="greaterThan" aboveAverage="0" dxfId="1" text="" percent="0" bottom="0">
      <formula>0</formula>
    </cfRule>
    <cfRule type="cellIs" rank="0" priority="1932" equalAverage="0" operator="lessThanOrEqual" aboveAverage="0" dxfId="0" text="" percent="0" bottom="0">
      <formula>0</formula>
    </cfRule>
  </conditionalFormatting>
  <conditionalFormatting sqref="G649">
    <cfRule type="cellIs" rank="0" priority="1933" equalAverage="0" operator="greaterThan" aboveAverage="0" dxfId="10" text="" percent="0" bottom="0">
      <formula>e{r}</formula>
    </cfRule>
  </conditionalFormatting>
  <conditionalFormatting sqref="H650">
    <cfRule type="cellIs" rank="0" priority="1934" equalAverage="0" operator="greaterThan" aboveAverage="0" dxfId="1" text="" percent="0" bottom="0">
      <formula>0</formula>
    </cfRule>
    <cfRule type="cellIs" rank="0" priority="1935" equalAverage="0" operator="lessThanOrEqual" aboveAverage="0" dxfId="0" text="" percent="0" bottom="0">
      <formula>0</formula>
    </cfRule>
  </conditionalFormatting>
  <conditionalFormatting sqref="G650">
    <cfRule type="cellIs" rank="0" priority="1936" equalAverage="0" operator="greaterThan" aboveAverage="0" dxfId="10" text="" percent="0" bottom="0">
      <formula>e{r}</formula>
    </cfRule>
  </conditionalFormatting>
  <conditionalFormatting sqref="H651">
    <cfRule type="cellIs" rank="0" priority="1937" equalAverage="0" operator="greaterThan" aboveAverage="0" dxfId="1" text="" percent="0" bottom="0">
      <formula>0</formula>
    </cfRule>
    <cfRule type="cellIs" rank="0" priority="1938" equalAverage="0" operator="lessThanOrEqual" aboveAverage="0" dxfId="0" text="" percent="0" bottom="0">
      <formula>0</formula>
    </cfRule>
  </conditionalFormatting>
  <conditionalFormatting sqref="G651">
    <cfRule type="cellIs" rank="0" priority="1939" equalAverage="0" operator="greaterThan" aboveAverage="0" dxfId="10" text="" percent="0" bottom="0">
      <formula>e{r}</formula>
    </cfRule>
  </conditionalFormatting>
  <conditionalFormatting sqref="H652">
    <cfRule type="cellIs" rank="0" priority="1940" equalAverage="0" operator="greaterThan" aboveAverage="0" dxfId="1" text="" percent="0" bottom="0">
      <formula>0</formula>
    </cfRule>
    <cfRule type="cellIs" rank="0" priority="1941" equalAverage="0" operator="lessThanOrEqual" aboveAverage="0" dxfId="0" text="" percent="0" bottom="0">
      <formula>0</formula>
    </cfRule>
  </conditionalFormatting>
  <conditionalFormatting sqref="G652">
    <cfRule type="cellIs" rank="0" priority="1942" equalAverage="0" operator="greaterThan" aboveAverage="0" dxfId="10" text="" percent="0" bottom="0">
      <formula>e{r}</formula>
    </cfRule>
  </conditionalFormatting>
  <conditionalFormatting sqref="H653">
    <cfRule type="cellIs" rank="0" priority="1943" equalAverage="0" operator="greaterThan" aboveAverage="0" dxfId="1" text="" percent="0" bottom="0">
      <formula>0</formula>
    </cfRule>
    <cfRule type="cellIs" rank="0" priority="1944" equalAverage="0" operator="lessThanOrEqual" aboveAverage="0" dxfId="0" text="" percent="0" bottom="0">
      <formula>0</formula>
    </cfRule>
  </conditionalFormatting>
  <conditionalFormatting sqref="G653">
    <cfRule type="cellIs" rank="0" priority="1945" equalAverage="0" operator="greaterThan" aboveAverage="0" dxfId="10" text="" percent="0" bottom="0">
      <formula>e{r}</formula>
    </cfRule>
  </conditionalFormatting>
  <conditionalFormatting sqref="H654">
    <cfRule type="cellIs" rank="0" priority="1946" equalAverage="0" operator="greaterThan" aboveAverage="0" dxfId="1" text="" percent="0" bottom="0">
      <formula>0</formula>
    </cfRule>
    <cfRule type="cellIs" rank="0" priority="1947" equalAverage="0" operator="lessThanOrEqual" aboveAverage="0" dxfId="0" text="" percent="0" bottom="0">
      <formula>0</formula>
    </cfRule>
  </conditionalFormatting>
  <conditionalFormatting sqref="G654">
    <cfRule type="cellIs" rank="0" priority="1948" equalAverage="0" operator="greaterThan" aboveAverage="0" dxfId="10" text="" percent="0" bottom="0">
      <formula>e{r}</formula>
    </cfRule>
  </conditionalFormatting>
  <conditionalFormatting sqref="H655">
    <cfRule type="cellIs" rank="0" priority="1949" equalAverage="0" operator="greaterThan" aboveAverage="0" dxfId="1" text="" percent="0" bottom="0">
      <formula>0</formula>
    </cfRule>
    <cfRule type="cellIs" rank="0" priority="1950" equalAverage="0" operator="lessThanOrEqual" aboveAverage="0" dxfId="0" text="" percent="0" bottom="0">
      <formula>0</formula>
    </cfRule>
  </conditionalFormatting>
  <conditionalFormatting sqref="G655">
    <cfRule type="cellIs" rank="0" priority="1951" equalAverage="0" operator="greaterThan" aboveAverage="0" dxfId="10" text="" percent="0" bottom="0">
      <formula>e{r}</formula>
    </cfRule>
  </conditionalFormatting>
  <conditionalFormatting sqref="H656">
    <cfRule type="cellIs" rank="0" priority="1952" equalAverage="0" operator="greaterThan" aboveAverage="0" dxfId="1" text="" percent="0" bottom="0">
      <formula>0</formula>
    </cfRule>
    <cfRule type="cellIs" rank="0" priority="1953" equalAverage="0" operator="lessThanOrEqual" aboveAverage="0" dxfId="0" text="" percent="0" bottom="0">
      <formula>0</formula>
    </cfRule>
  </conditionalFormatting>
  <conditionalFormatting sqref="G656">
    <cfRule type="cellIs" rank="0" priority="1954" equalAverage="0" operator="greaterThan" aboveAverage="0" dxfId="10" text="" percent="0" bottom="0">
      <formula>e{r}</formula>
    </cfRule>
  </conditionalFormatting>
  <conditionalFormatting sqref="H657">
    <cfRule type="cellIs" rank="0" priority="1955" equalAverage="0" operator="greaterThan" aboveAverage="0" dxfId="1" text="" percent="0" bottom="0">
      <formula>0</formula>
    </cfRule>
    <cfRule type="cellIs" rank="0" priority="1956" equalAverage="0" operator="lessThanOrEqual" aboveAverage="0" dxfId="0" text="" percent="0" bottom="0">
      <formula>0</formula>
    </cfRule>
  </conditionalFormatting>
  <conditionalFormatting sqref="G657">
    <cfRule type="cellIs" rank="0" priority="1957" equalAverage="0" operator="greaterThan" aboveAverage="0" dxfId="10" text="" percent="0" bottom="0">
      <formula>e{r}</formula>
    </cfRule>
  </conditionalFormatting>
  <conditionalFormatting sqref="H658">
    <cfRule type="cellIs" rank="0" priority="1958" equalAverage="0" operator="greaterThan" aboveAverage="0" dxfId="1" text="" percent="0" bottom="0">
      <formula>0</formula>
    </cfRule>
    <cfRule type="cellIs" rank="0" priority="1959" equalAverage="0" operator="lessThanOrEqual" aboveAverage="0" dxfId="0" text="" percent="0" bottom="0">
      <formula>0</formula>
    </cfRule>
  </conditionalFormatting>
  <conditionalFormatting sqref="G658">
    <cfRule type="cellIs" rank="0" priority="1960" equalAverage="0" operator="greaterThan" aboveAverage="0" dxfId="10" text="" percent="0" bottom="0">
      <formula>e{r}</formula>
    </cfRule>
  </conditionalFormatting>
  <conditionalFormatting sqref="H659">
    <cfRule type="cellIs" rank="0" priority="1961" equalAverage="0" operator="greaterThan" aboveAverage="0" dxfId="1" text="" percent="0" bottom="0">
      <formula>0</formula>
    </cfRule>
    <cfRule type="cellIs" rank="0" priority="1962" equalAverage="0" operator="lessThanOrEqual" aboveAverage="0" dxfId="0" text="" percent="0" bottom="0">
      <formula>0</formula>
    </cfRule>
  </conditionalFormatting>
  <conditionalFormatting sqref="G659">
    <cfRule type="cellIs" rank="0" priority="1963" equalAverage="0" operator="greaterThan" aboveAverage="0" dxfId="10" text="" percent="0" bottom="0">
      <formula>e{r}</formula>
    </cfRule>
  </conditionalFormatting>
  <conditionalFormatting sqref="H660">
    <cfRule type="cellIs" rank="0" priority="1964" equalAverage="0" operator="greaterThan" aboveAverage="0" dxfId="1" text="" percent="0" bottom="0">
      <formula>0</formula>
    </cfRule>
    <cfRule type="cellIs" rank="0" priority="1965" equalAverage="0" operator="lessThanOrEqual" aboveAverage="0" dxfId="0" text="" percent="0" bottom="0">
      <formula>0</formula>
    </cfRule>
  </conditionalFormatting>
  <conditionalFormatting sqref="G660">
    <cfRule type="cellIs" rank="0" priority="1966" equalAverage="0" operator="greaterThan" aboveAverage="0" dxfId="10" text="" percent="0" bottom="0">
      <formula>e{r}</formula>
    </cfRule>
  </conditionalFormatting>
  <conditionalFormatting sqref="H661">
    <cfRule type="cellIs" rank="0" priority="1967" equalAverage="0" operator="greaterThan" aboveAverage="0" dxfId="1" text="" percent="0" bottom="0">
      <formula>0</formula>
    </cfRule>
    <cfRule type="cellIs" rank="0" priority="1968" equalAverage="0" operator="lessThanOrEqual" aboveAverage="0" dxfId="0" text="" percent="0" bottom="0">
      <formula>0</formula>
    </cfRule>
  </conditionalFormatting>
  <conditionalFormatting sqref="G661">
    <cfRule type="cellIs" rank="0" priority="1969" equalAverage="0" operator="greaterThan" aboveAverage="0" dxfId="10" text="" percent="0" bottom="0">
      <formula>e{r}</formula>
    </cfRule>
  </conditionalFormatting>
  <conditionalFormatting sqref="H662">
    <cfRule type="cellIs" rank="0" priority="1970" equalAverage="0" operator="greaterThan" aboveAverage="0" dxfId="1" text="" percent="0" bottom="0">
      <formula>0</formula>
    </cfRule>
    <cfRule type="cellIs" rank="0" priority="1971" equalAverage="0" operator="lessThanOrEqual" aboveAverage="0" dxfId="0" text="" percent="0" bottom="0">
      <formula>0</formula>
    </cfRule>
  </conditionalFormatting>
  <conditionalFormatting sqref="G662">
    <cfRule type="cellIs" rank="0" priority="1972" equalAverage="0" operator="greaterThan" aboveAverage="0" dxfId="10" text="" percent="0" bottom="0">
      <formula>e{r}</formula>
    </cfRule>
  </conditionalFormatting>
  <conditionalFormatting sqref="H663">
    <cfRule type="cellIs" rank="0" priority="1973" equalAverage="0" operator="greaterThan" aboveAverage="0" dxfId="1" text="" percent="0" bottom="0">
      <formula>0</formula>
    </cfRule>
    <cfRule type="cellIs" rank="0" priority="1974" equalAverage="0" operator="lessThanOrEqual" aboveAverage="0" dxfId="0" text="" percent="0" bottom="0">
      <formula>0</formula>
    </cfRule>
  </conditionalFormatting>
  <conditionalFormatting sqref="G663">
    <cfRule type="cellIs" rank="0" priority="1975" equalAverage="0" operator="greaterThan" aboveAverage="0" dxfId="10" text="" percent="0" bottom="0">
      <formula>e{r}</formula>
    </cfRule>
  </conditionalFormatting>
  <conditionalFormatting sqref="H664">
    <cfRule type="cellIs" rank="0" priority="1976" equalAverage="0" operator="greaterThan" aboveAverage="0" dxfId="1" text="" percent="0" bottom="0">
      <formula>0</formula>
    </cfRule>
    <cfRule type="cellIs" rank="0" priority="1977" equalAverage="0" operator="lessThanOrEqual" aboveAverage="0" dxfId="0" text="" percent="0" bottom="0">
      <formula>0</formula>
    </cfRule>
  </conditionalFormatting>
  <conditionalFormatting sqref="G664">
    <cfRule type="cellIs" rank="0" priority="1978" equalAverage="0" operator="greaterThan" aboveAverage="0" dxfId="10" text="" percent="0" bottom="0">
      <formula>e{r}</formula>
    </cfRule>
  </conditionalFormatting>
  <conditionalFormatting sqref="H665">
    <cfRule type="cellIs" rank="0" priority="1979" equalAverage="0" operator="greaterThan" aboveAverage="0" dxfId="1" text="" percent="0" bottom="0">
      <formula>0</formula>
    </cfRule>
    <cfRule type="cellIs" rank="0" priority="1980" equalAverage="0" operator="lessThanOrEqual" aboveAverage="0" dxfId="0" text="" percent="0" bottom="0">
      <formula>0</formula>
    </cfRule>
  </conditionalFormatting>
  <conditionalFormatting sqref="G665">
    <cfRule type="cellIs" rank="0" priority="1981" equalAverage="0" operator="greaterThan" aboveAverage="0" dxfId="10" text="" percent="0" bottom="0">
      <formula>e{r}</formula>
    </cfRule>
  </conditionalFormatting>
  <conditionalFormatting sqref="H666">
    <cfRule type="cellIs" rank="0" priority="1982" equalAverage="0" operator="greaterThan" aboveAverage="0" dxfId="1" text="" percent="0" bottom="0">
      <formula>0</formula>
    </cfRule>
    <cfRule type="cellIs" rank="0" priority="1983" equalAverage="0" operator="lessThanOrEqual" aboveAverage="0" dxfId="0" text="" percent="0" bottom="0">
      <formula>0</formula>
    </cfRule>
  </conditionalFormatting>
  <conditionalFormatting sqref="G666">
    <cfRule type="cellIs" rank="0" priority="1984" equalAverage="0" operator="greaterThan" aboveAverage="0" dxfId="10" text="" percent="0" bottom="0">
      <formula>e{r}</formula>
    </cfRule>
  </conditionalFormatting>
  <conditionalFormatting sqref="H667">
    <cfRule type="cellIs" rank="0" priority="1985" equalAverage="0" operator="greaterThan" aboveAverage="0" dxfId="1" text="" percent="0" bottom="0">
      <formula>0</formula>
    </cfRule>
    <cfRule type="cellIs" rank="0" priority="1986" equalAverage="0" operator="lessThanOrEqual" aboveAverage="0" dxfId="0" text="" percent="0" bottom="0">
      <formula>0</formula>
    </cfRule>
  </conditionalFormatting>
  <conditionalFormatting sqref="G667">
    <cfRule type="cellIs" rank="0" priority="1987" equalAverage="0" operator="greaterThan" aboveAverage="0" dxfId="10" text="" percent="0" bottom="0">
      <formula>e{r}</formula>
    </cfRule>
  </conditionalFormatting>
  <conditionalFormatting sqref="H668">
    <cfRule type="cellIs" rank="0" priority="1988" equalAverage="0" operator="greaterThan" aboveAverage="0" dxfId="1" text="" percent="0" bottom="0">
      <formula>0</formula>
    </cfRule>
    <cfRule type="cellIs" rank="0" priority="1989" equalAverage="0" operator="lessThanOrEqual" aboveAverage="0" dxfId="0" text="" percent="0" bottom="0">
      <formula>0</formula>
    </cfRule>
  </conditionalFormatting>
  <conditionalFormatting sqref="G668">
    <cfRule type="cellIs" rank="0" priority="1990" equalAverage="0" operator="greaterThan" aboveAverage="0" dxfId="10" text="" percent="0" bottom="0">
      <formula>e{r}</formula>
    </cfRule>
  </conditionalFormatting>
  <conditionalFormatting sqref="H669">
    <cfRule type="cellIs" rank="0" priority="1991" equalAverage="0" operator="greaterThan" aboveAverage="0" dxfId="1" text="" percent="0" bottom="0">
      <formula>0</formula>
    </cfRule>
    <cfRule type="cellIs" rank="0" priority="1992" equalAverage="0" operator="lessThanOrEqual" aboveAverage="0" dxfId="0" text="" percent="0" bottom="0">
      <formula>0</formula>
    </cfRule>
  </conditionalFormatting>
  <conditionalFormatting sqref="G669">
    <cfRule type="cellIs" rank="0" priority="1993" equalAverage="0" operator="greaterThan" aboveAverage="0" dxfId="10" text="" percent="0" bottom="0">
      <formula>e{r}</formula>
    </cfRule>
  </conditionalFormatting>
  <conditionalFormatting sqref="H670">
    <cfRule type="cellIs" rank="0" priority="1994" equalAverage="0" operator="greaterThan" aboveAverage="0" dxfId="1" text="" percent="0" bottom="0">
      <formula>0</formula>
    </cfRule>
    <cfRule type="cellIs" rank="0" priority="1995" equalAverage="0" operator="lessThanOrEqual" aboveAverage="0" dxfId="0" text="" percent="0" bottom="0">
      <formula>0</formula>
    </cfRule>
  </conditionalFormatting>
  <conditionalFormatting sqref="G670">
    <cfRule type="cellIs" rank="0" priority="1996" equalAverage="0" operator="greaterThan" aboveAverage="0" dxfId="10" text="" percent="0" bottom="0">
      <formula>e{r}</formula>
    </cfRule>
  </conditionalFormatting>
  <conditionalFormatting sqref="H671">
    <cfRule type="cellIs" rank="0" priority="1997" equalAverage="0" operator="greaterThan" aboveAverage="0" dxfId="1" text="" percent="0" bottom="0">
      <formula>0</formula>
    </cfRule>
    <cfRule type="cellIs" rank="0" priority="1998" equalAverage="0" operator="lessThanOrEqual" aboveAverage="0" dxfId="0" text="" percent="0" bottom="0">
      <formula>0</formula>
    </cfRule>
  </conditionalFormatting>
  <conditionalFormatting sqref="G671">
    <cfRule type="cellIs" rank="0" priority="1999" equalAverage="0" operator="greaterThan" aboveAverage="0" dxfId="10" text="" percent="0" bottom="0">
      <formula>e{r}</formula>
    </cfRule>
  </conditionalFormatting>
  <conditionalFormatting sqref="H672">
    <cfRule type="cellIs" rank="0" priority="2000" equalAverage="0" operator="greaterThan" aboveAverage="0" dxfId="1" text="" percent="0" bottom="0">
      <formula>0</formula>
    </cfRule>
    <cfRule type="cellIs" rank="0" priority="2001" equalAverage="0" operator="lessThanOrEqual" aboveAverage="0" dxfId="0" text="" percent="0" bottom="0">
      <formula>0</formula>
    </cfRule>
  </conditionalFormatting>
  <conditionalFormatting sqref="G672">
    <cfRule type="cellIs" rank="0" priority="2002" equalAverage="0" operator="greaterThan" aboveAverage="0" dxfId="10" text="" percent="0" bottom="0">
      <formula>e{r}</formula>
    </cfRule>
  </conditionalFormatting>
  <conditionalFormatting sqref="H673">
    <cfRule type="cellIs" rank="0" priority="2003" equalAverage="0" operator="greaterThan" aboveAverage="0" dxfId="1" text="" percent="0" bottom="0">
      <formula>0</formula>
    </cfRule>
    <cfRule type="cellIs" rank="0" priority="2004" equalAverage="0" operator="lessThanOrEqual" aboveAverage="0" dxfId="0" text="" percent="0" bottom="0">
      <formula>0</formula>
    </cfRule>
  </conditionalFormatting>
  <conditionalFormatting sqref="G673">
    <cfRule type="cellIs" rank="0" priority="2005" equalAverage="0" operator="greaterThan" aboveAverage="0" dxfId="10" text="" percent="0" bottom="0">
      <formula>e{r}</formula>
    </cfRule>
  </conditionalFormatting>
  <conditionalFormatting sqref="H674">
    <cfRule type="cellIs" rank="0" priority="2006" equalAverage="0" operator="greaterThan" aboveAverage="0" dxfId="1" text="" percent="0" bottom="0">
      <formula>0</formula>
    </cfRule>
    <cfRule type="cellIs" rank="0" priority="2007" equalAverage="0" operator="lessThanOrEqual" aboveAverage="0" dxfId="0" text="" percent="0" bottom="0">
      <formula>0</formula>
    </cfRule>
  </conditionalFormatting>
  <conditionalFormatting sqref="G674">
    <cfRule type="cellIs" rank="0" priority="2008" equalAverage="0" operator="greaterThan" aboveAverage="0" dxfId="10" text="" percent="0" bottom="0">
      <formula>e{r}</formula>
    </cfRule>
  </conditionalFormatting>
  <conditionalFormatting sqref="H675">
    <cfRule type="cellIs" rank="0" priority="2009" equalAverage="0" operator="greaterThan" aboveAverage="0" dxfId="1" text="" percent="0" bottom="0">
      <formula>0</formula>
    </cfRule>
    <cfRule type="cellIs" rank="0" priority="2010" equalAverage="0" operator="lessThanOrEqual" aboveAverage="0" dxfId="0" text="" percent="0" bottom="0">
      <formula>0</formula>
    </cfRule>
  </conditionalFormatting>
  <conditionalFormatting sqref="G675">
    <cfRule type="cellIs" rank="0" priority="2011" equalAverage="0" operator="greaterThan" aboveAverage="0" dxfId="10" text="" percent="0" bottom="0">
      <formula>e{r}</formula>
    </cfRule>
  </conditionalFormatting>
  <conditionalFormatting sqref="H676">
    <cfRule type="cellIs" rank="0" priority="2012" equalAverage="0" operator="greaterThan" aboveAverage="0" dxfId="1" text="" percent="0" bottom="0">
      <formula>0</formula>
    </cfRule>
    <cfRule type="cellIs" rank="0" priority="2013" equalAverage="0" operator="lessThanOrEqual" aboveAverage="0" dxfId="0" text="" percent="0" bottom="0">
      <formula>0</formula>
    </cfRule>
  </conditionalFormatting>
  <conditionalFormatting sqref="G676">
    <cfRule type="cellIs" rank="0" priority="2014" equalAverage="0" operator="greaterThan" aboveAverage="0" dxfId="10" text="" percent="0" bottom="0">
      <formula>e{r}</formula>
    </cfRule>
  </conditionalFormatting>
  <conditionalFormatting sqref="H677">
    <cfRule type="cellIs" rank="0" priority="2015" equalAverage="0" operator="greaterThan" aboveAverage="0" dxfId="1" text="" percent="0" bottom="0">
      <formula>0</formula>
    </cfRule>
    <cfRule type="cellIs" rank="0" priority="2016" equalAverage="0" operator="lessThanOrEqual" aboveAverage="0" dxfId="0" text="" percent="0" bottom="0">
      <formula>0</formula>
    </cfRule>
  </conditionalFormatting>
  <conditionalFormatting sqref="G677">
    <cfRule type="cellIs" rank="0" priority="2017" equalAverage="0" operator="greaterThan" aboveAverage="0" dxfId="10" text="" percent="0" bottom="0">
      <formula>e{r}</formula>
    </cfRule>
  </conditionalFormatting>
  <conditionalFormatting sqref="H678">
    <cfRule type="cellIs" rank="0" priority="2018" equalAverage="0" operator="greaterThan" aboveAverage="0" dxfId="1" text="" percent="0" bottom="0">
      <formula>0</formula>
    </cfRule>
    <cfRule type="cellIs" rank="0" priority="2019" equalAverage="0" operator="lessThanOrEqual" aboveAverage="0" dxfId="0" text="" percent="0" bottom="0">
      <formula>0</formula>
    </cfRule>
  </conditionalFormatting>
  <conditionalFormatting sqref="G678">
    <cfRule type="cellIs" rank="0" priority="2020" equalAverage="0" operator="greaterThan" aboveAverage="0" dxfId="10" text="" percent="0" bottom="0">
      <formula>e{r}</formula>
    </cfRule>
  </conditionalFormatting>
  <conditionalFormatting sqref="H679">
    <cfRule type="cellIs" rank="0" priority="2021" equalAverage="0" operator="greaterThan" aboveAverage="0" dxfId="1" text="" percent="0" bottom="0">
      <formula>0</formula>
    </cfRule>
    <cfRule type="cellIs" rank="0" priority="2022" equalAverage="0" operator="lessThanOrEqual" aboveAverage="0" dxfId="0" text="" percent="0" bottom="0">
      <formula>0</formula>
    </cfRule>
  </conditionalFormatting>
  <conditionalFormatting sqref="G679">
    <cfRule type="cellIs" rank="0" priority="2023" equalAverage="0" operator="greaterThan" aboveAverage="0" dxfId="10" text="" percent="0" bottom="0">
      <formula>e{r}</formula>
    </cfRule>
  </conditionalFormatting>
  <conditionalFormatting sqref="H680">
    <cfRule type="cellIs" rank="0" priority="2024" equalAverage="0" operator="greaterThan" aboveAverage="0" dxfId="1" text="" percent="0" bottom="0">
      <formula>0</formula>
    </cfRule>
    <cfRule type="cellIs" rank="0" priority="2025" equalAverage="0" operator="lessThanOrEqual" aboveAverage="0" dxfId="0" text="" percent="0" bottom="0">
      <formula>0</formula>
    </cfRule>
  </conditionalFormatting>
  <conditionalFormatting sqref="G680">
    <cfRule type="cellIs" rank="0" priority="2026" equalAverage="0" operator="greaterThan" aboveAverage="0" dxfId="10" text="" percent="0" bottom="0">
      <formula>e{r}</formula>
    </cfRule>
  </conditionalFormatting>
  <conditionalFormatting sqref="H681">
    <cfRule type="cellIs" rank="0" priority="2027" equalAverage="0" operator="greaterThan" aboveAverage="0" dxfId="1" text="" percent="0" bottom="0">
      <formula>0</formula>
    </cfRule>
    <cfRule type="cellIs" rank="0" priority="2028" equalAverage="0" operator="lessThanOrEqual" aboveAverage="0" dxfId="0" text="" percent="0" bottom="0">
      <formula>0</formula>
    </cfRule>
  </conditionalFormatting>
  <conditionalFormatting sqref="G681">
    <cfRule type="cellIs" rank="0" priority="2029" equalAverage="0" operator="greaterThan" aboveAverage="0" dxfId="10" text="" percent="0" bottom="0">
      <formula>e{r}</formula>
    </cfRule>
  </conditionalFormatting>
  <conditionalFormatting sqref="H682">
    <cfRule type="cellIs" rank="0" priority="2030" equalAverage="0" operator="greaterThan" aboveAverage="0" dxfId="1" text="" percent="0" bottom="0">
      <formula>0</formula>
    </cfRule>
    <cfRule type="cellIs" rank="0" priority="2031" equalAverage="0" operator="lessThanOrEqual" aboveAverage="0" dxfId="0" text="" percent="0" bottom="0">
      <formula>0</formula>
    </cfRule>
  </conditionalFormatting>
  <conditionalFormatting sqref="G682">
    <cfRule type="cellIs" rank="0" priority="2032" equalAverage="0" operator="greaterThan" aboveAverage="0" dxfId="10" text="" percent="0" bottom="0">
      <formula>e{r}</formula>
    </cfRule>
  </conditionalFormatting>
  <conditionalFormatting sqref="H683">
    <cfRule type="cellIs" rank="0" priority="2033" equalAverage="0" operator="greaterThan" aboveAverage="0" dxfId="1" text="" percent="0" bottom="0">
      <formula>0</formula>
    </cfRule>
    <cfRule type="cellIs" rank="0" priority="2034" equalAverage="0" operator="lessThanOrEqual" aboveAverage="0" dxfId="0" text="" percent="0" bottom="0">
      <formula>0</formula>
    </cfRule>
  </conditionalFormatting>
  <conditionalFormatting sqref="G683">
    <cfRule type="cellIs" rank="0" priority="2035" equalAverage="0" operator="greaterThan" aboveAverage="0" dxfId="10" text="" percent="0" bottom="0">
      <formula>e{r}</formula>
    </cfRule>
  </conditionalFormatting>
  <conditionalFormatting sqref="H684">
    <cfRule type="cellIs" rank="0" priority="2036" equalAverage="0" operator="greaterThan" aboveAverage="0" dxfId="1" text="" percent="0" bottom="0">
      <formula>0</formula>
    </cfRule>
    <cfRule type="cellIs" rank="0" priority="2037" equalAverage="0" operator="lessThanOrEqual" aboveAverage="0" dxfId="0" text="" percent="0" bottom="0">
      <formula>0</formula>
    </cfRule>
  </conditionalFormatting>
  <conditionalFormatting sqref="G684">
    <cfRule type="cellIs" rank="0" priority="2038" equalAverage="0" operator="greaterThan" aboveAverage="0" dxfId="10" text="" percent="0" bottom="0">
      <formula>e{r}</formula>
    </cfRule>
  </conditionalFormatting>
  <conditionalFormatting sqref="H685">
    <cfRule type="cellIs" rank="0" priority="2039" equalAverage="0" operator="greaterThan" aboveAverage="0" dxfId="1" text="" percent="0" bottom="0">
      <formula>0</formula>
    </cfRule>
    <cfRule type="cellIs" rank="0" priority="2040" equalAverage="0" operator="lessThanOrEqual" aboveAverage="0" dxfId="0" text="" percent="0" bottom="0">
      <formula>0</formula>
    </cfRule>
  </conditionalFormatting>
  <conditionalFormatting sqref="G685">
    <cfRule type="cellIs" rank="0" priority="2041" equalAverage="0" operator="greaterThan" aboveAverage="0" dxfId="10" text="" percent="0" bottom="0">
      <formula>e{r}</formula>
    </cfRule>
  </conditionalFormatting>
  <conditionalFormatting sqref="H686">
    <cfRule type="cellIs" rank="0" priority="2042" equalAverage="0" operator="greaterThan" aboveAverage="0" dxfId="1" text="" percent="0" bottom="0">
      <formula>0</formula>
    </cfRule>
    <cfRule type="cellIs" rank="0" priority="2043" equalAverage="0" operator="lessThanOrEqual" aboveAverage="0" dxfId="0" text="" percent="0" bottom="0">
      <formula>0</formula>
    </cfRule>
  </conditionalFormatting>
  <conditionalFormatting sqref="G686">
    <cfRule type="cellIs" rank="0" priority="2044" equalAverage="0" operator="greaterThan" aboveAverage="0" dxfId="10" text="" percent="0" bottom="0">
      <formula>e{r}</formula>
    </cfRule>
  </conditionalFormatting>
  <conditionalFormatting sqref="H687">
    <cfRule type="cellIs" rank="0" priority="2045" equalAverage="0" operator="greaterThan" aboveAverage="0" dxfId="1" text="" percent="0" bottom="0">
      <formula>0</formula>
    </cfRule>
    <cfRule type="cellIs" rank="0" priority="2046" equalAverage="0" operator="lessThanOrEqual" aboveAverage="0" dxfId="0" text="" percent="0" bottom="0">
      <formula>0</formula>
    </cfRule>
  </conditionalFormatting>
  <conditionalFormatting sqref="G687">
    <cfRule type="cellIs" rank="0" priority="2047" equalAverage="0" operator="greaterThan" aboveAverage="0" dxfId="10" text="" percent="0" bottom="0">
      <formula>e{r}</formula>
    </cfRule>
  </conditionalFormatting>
  <conditionalFormatting sqref="H688">
    <cfRule type="cellIs" rank="0" priority="2048" equalAverage="0" operator="greaterThan" aboveAverage="0" dxfId="1" text="" percent="0" bottom="0">
      <formula>0</formula>
    </cfRule>
    <cfRule type="cellIs" rank="0" priority="2049" equalAverage="0" operator="lessThanOrEqual" aboveAverage="0" dxfId="0" text="" percent="0" bottom="0">
      <formula>0</formula>
    </cfRule>
  </conditionalFormatting>
  <conditionalFormatting sqref="G688">
    <cfRule type="cellIs" rank="0" priority="2050" equalAverage="0" operator="greaterThan" aboveAverage="0" dxfId="10" text="" percent="0" bottom="0">
      <formula>e{r}</formula>
    </cfRule>
  </conditionalFormatting>
  <conditionalFormatting sqref="H689">
    <cfRule type="cellIs" rank="0" priority="2051" equalAverage="0" operator="greaterThan" aboveAverage="0" dxfId="1" text="" percent="0" bottom="0">
      <formula>0</formula>
    </cfRule>
    <cfRule type="cellIs" rank="0" priority="2052" equalAverage="0" operator="lessThanOrEqual" aboveAverage="0" dxfId="0" text="" percent="0" bottom="0">
      <formula>0</formula>
    </cfRule>
  </conditionalFormatting>
  <conditionalFormatting sqref="G689">
    <cfRule type="cellIs" rank="0" priority="2053" equalAverage="0" operator="greaterThan" aboveAverage="0" dxfId="10" text="" percent="0" bottom="0">
      <formula>e{r}</formula>
    </cfRule>
  </conditionalFormatting>
  <conditionalFormatting sqref="H690">
    <cfRule type="cellIs" rank="0" priority="2054" equalAverage="0" operator="greaterThan" aboveAverage="0" dxfId="1" text="" percent="0" bottom="0">
      <formula>0</formula>
    </cfRule>
    <cfRule type="cellIs" rank="0" priority="2055" equalAverage="0" operator="lessThanOrEqual" aboveAverage="0" dxfId="0" text="" percent="0" bottom="0">
      <formula>0</formula>
    </cfRule>
  </conditionalFormatting>
  <conditionalFormatting sqref="G690">
    <cfRule type="cellIs" rank="0" priority="2056" equalAverage="0" operator="greaterThan" aboveAverage="0" dxfId="10" text="" percent="0" bottom="0">
      <formula>e{r}</formula>
    </cfRule>
  </conditionalFormatting>
  <conditionalFormatting sqref="H691">
    <cfRule type="cellIs" rank="0" priority="2057" equalAverage="0" operator="greaterThan" aboveAverage="0" dxfId="1" text="" percent="0" bottom="0">
      <formula>0</formula>
    </cfRule>
    <cfRule type="cellIs" rank="0" priority="2058" equalAverage="0" operator="lessThanOrEqual" aboveAverage="0" dxfId="0" text="" percent="0" bottom="0">
      <formula>0</formula>
    </cfRule>
  </conditionalFormatting>
  <conditionalFormatting sqref="G691">
    <cfRule type="cellIs" rank="0" priority="2059" equalAverage="0" operator="greaterThan" aboveAverage="0" dxfId="10" text="" percent="0" bottom="0">
      <formula>e{r}</formula>
    </cfRule>
  </conditionalFormatting>
  <conditionalFormatting sqref="H692">
    <cfRule type="cellIs" rank="0" priority="2060" equalAverage="0" operator="greaterThan" aboveAverage="0" dxfId="1" text="" percent="0" bottom="0">
      <formula>0</formula>
    </cfRule>
    <cfRule type="cellIs" rank="0" priority="2061" equalAverage="0" operator="lessThanOrEqual" aboveAverage="0" dxfId="0" text="" percent="0" bottom="0">
      <formula>0</formula>
    </cfRule>
  </conditionalFormatting>
  <conditionalFormatting sqref="G692">
    <cfRule type="cellIs" rank="0" priority="2062" equalAverage="0" operator="greaterThan" aboveAverage="0" dxfId="10" text="" percent="0" bottom="0">
      <formula>e{r}</formula>
    </cfRule>
  </conditionalFormatting>
  <conditionalFormatting sqref="H693">
    <cfRule type="cellIs" rank="0" priority="2063" equalAverage="0" operator="greaterThan" aboveAverage="0" dxfId="1" text="" percent="0" bottom="0">
      <formula>0</formula>
    </cfRule>
    <cfRule type="cellIs" rank="0" priority="2064" equalAverage="0" operator="lessThanOrEqual" aboveAverage="0" dxfId="0" text="" percent="0" bottom="0">
      <formula>0</formula>
    </cfRule>
  </conditionalFormatting>
  <conditionalFormatting sqref="G693">
    <cfRule type="cellIs" rank="0" priority="2065" equalAverage="0" operator="greaterThan" aboveAverage="0" dxfId="10" text="" percent="0" bottom="0">
      <formula>e{r}</formula>
    </cfRule>
  </conditionalFormatting>
  <conditionalFormatting sqref="H694">
    <cfRule type="cellIs" rank="0" priority="2066" equalAverage="0" operator="greaterThan" aboveAverage="0" dxfId="1" text="" percent="0" bottom="0">
      <formula>0</formula>
    </cfRule>
    <cfRule type="cellIs" rank="0" priority="2067" equalAverage="0" operator="lessThanOrEqual" aboveAverage="0" dxfId="0" text="" percent="0" bottom="0">
      <formula>0</formula>
    </cfRule>
  </conditionalFormatting>
  <conditionalFormatting sqref="G694">
    <cfRule type="cellIs" rank="0" priority="2068" equalAverage="0" operator="greaterThan" aboveAverage="0" dxfId="10" text="" percent="0" bottom="0">
      <formula>e{r}</formula>
    </cfRule>
  </conditionalFormatting>
  <conditionalFormatting sqref="H695">
    <cfRule type="cellIs" rank="0" priority="2069" equalAverage="0" operator="greaterThan" aboveAverage="0" dxfId="1" text="" percent="0" bottom="0">
      <formula>0</formula>
    </cfRule>
    <cfRule type="cellIs" rank="0" priority="2070" equalAverage="0" operator="lessThanOrEqual" aboveAverage="0" dxfId="0" text="" percent="0" bottom="0">
      <formula>0</formula>
    </cfRule>
  </conditionalFormatting>
  <conditionalFormatting sqref="G695">
    <cfRule type="cellIs" rank="0" priority="2071" equalAverage="0" operator="greaterThan" aboveAverage="0" dxfId="10" text="" percent="0" bottom="0">
      <formula>e{r}</formula>
    </cfRule>
  </conditionalFormatting>
  <conditionalFormatting sqref="H696">
    <cfRule type="cellIs" rank="0" priority="2072" equalAverage="0" operator="greaterThan" aboveAverage="0" dxfId="1" text="" percent="0" bottom="0">
      <formula>0</formula>
    </cfRule>
    <cfRule type="cellIs" rank="0" priority="2073" equalAverage="0" operator="lessThanOrEqual" aboveAverage="0" dxfId="0" text="" percent="0" bottom="0">
      <formula>0</formula>
    </cfRule>
  </conditionalFormatting>
  <conditionalFormatting sqref="G696">
    <cfRule type="cellIs" rank="0" priority="2074" equalAverage="0" operator="greaterThan" aboveAverage="0" dxfId="10" text="" percent="0" bottom="0">
      <formula>e{r}</formula>
    </cfRule>
  </conditionalFormatting>
  <conditionalFormatting sqref="H697">
    <cfRule type="cellIs" rank="0" priority="2075" equalAverage="0" operator="greaterThan" aboveAverage="0" dxfId="1" text="" percent="0" bottom="0">
      <formula>0</formula>
    </cfRule>
    <cfRule type="cellIs" rank="0" priority="2076" equalAverage="0" operator="lessThanOrEqual" aboveAverage="0" dxfId="0" text="" percent="0" bottom="0">
      <formula>0</formula>
    </cfRule>
  </conditionalFormatting>
  <conditionalFormatting sqref="G697">
    <cfRule type="cellIs" rank="0" priority="2077" equalAverage="0" operator="greaterThan" aboveAverage="0" dxfId="10" text="" percent="0" bottom="0">
      <formula>e{r}</formula>
    </cfRule>
  </conditionalFormatting>
  <conditionalFormatting sqref="H698">
    <cfRule type="cellIs" rank="0" priority="2078" equalAverage="0" operator="greaterThan" aboveAverage="0" dxfId="1" text="" percent="0" bottom="0">
      <formula>0</formula>
    </cfRule>
    <cfRule type="cellIs" rank="0" priority="2079" equalAverage="0" operator="lessThanOrEqual" aboveAverage="0" dxfId="0" text="" percent="0" bottom="0">
      <formula>0</formula>
    </cfRule>
  </conditionalFormatting>
  <conditionalFormatting sqref="G698">
    <cfRule type="cellIs" rank="0" priority="2080" equalAverage="0" operator="greaterThan" aboveAverage="0" dxfId="10" text="" percent="0" bottom="0">
      <formula>e{r}</formula>
    </cfRule>
  </conditionalFormatting>
  <conditionalFormatting sqref="H699">
    <cfRule type="cellIs" rank="0" priority="2081" equalAverage="0" operator="greaterThan" aboveAverage="0" dxfId="1" text="" percent="0" bottom="0">
      <formula>0</formula>
    </cfRule>
    <cfRule type="cellIs" rank="0" priority="2082" equalAverage="0" operator="lessThanOrEqual" aboveAverage="0" dxfId="0" text="" percent="0" bottom="0">
      <formula>0</formula>
    </cfRule>
  </conditionalFormatting>
  <conditionalFormatting sqref="G699">
    <cfRule type="cellIs" rank="0" priority="2083" equalAverage="0" operator="greaterThan" aboveAverage="0" dxfId="10" text="" percent="0" bottom="0">
      <formula>e{r}</formula>
    </cfRule>
  </conditionalFormatting>
  <conditionalFormatting sqref="H700">
    <cfRule type="cellIs" rank="0" priority="2084" equalAverage="0" operator="greaterThan" aboveAverage="0" dxfId="1" text="" percent="0" bottom="0">
      <formula>0</formula>
    </cfRule>
    <cfRule type="cellIs" rank="0" priority="2085" equalAverage="0" operator="lessThanOrEqual" aboveAverage="0" dxfId="0" text="" percent="0" bottom="0">
      <formula>0</formula>
    </cfRule>
  </conditionalFormatting>
  <conditionalFormatting sqref="G700">
    <cfRule type="cellIs" rank="0" priority="2086" equalAverage="0" operator="greaterThan" aboveAverage="0" dxfId="10" text="" percent="0" bottom="0">
      <formula>e{r}</formula>
    </cfRule>
  </conditionalFormatting>
  <conditionalFormatting sqref="H701">
    <cfRule type="cellIs" rank="0" priority="2087" equalAverage="0" operator="greaterThan" aboveAverage="0" dxfId="1" text="" percent="0" bottom="0">
      <formula>0</formula>
    </cfRule>
    <cfRule type="cellIs" rank="0" priority="2088" equalAverage="0" operator="lessThanOrEqual" aboveAverage="0" dxfId="0" text="" percent="0" bottom="0">
      <formula>0</formula>
    </cfRule>
  </conditionalFormatting>
  <conditionalFormatting sqref="G701">
    <cfRule type="cellIs" rank="0" priority="2089" equalAverage="0" operator="greaterThan" aboveAverage="0" dxfId="10" text="" percent="0" bottom="0">
      <formula>e{r}</formula>
    </cfRule>
  </conditionalFormatting>
  <conditionalFormatting sqref="H702">
    <cfRule type="cellIs" rank="0" priority="2090" equalAverage="0" operator="greaterThan" aboveAverage="0" dxfId="1" text="" percent="0" bottom="0">
      <formula>0</formula>
    </cfRule>
    <cfRule type="cellIs" rank="0" priority="2091" equalAverage="0" operator="lessThanOrEqual" aboveAverage="0" dxfId="0" text="" percent="0" bottom="0">
      <formula>0</formula>
    </cfRule>
  </conditionalFormatting>
  <conditionalFormatting sqref="G702">
    <cfRule type="cellIs" rank="0" priority="2092" equalAverage="0" operator="greaterThan" aboveAverage="0" dxfId="10" text="" percent="0" bottom="0">
      <formula>e{r}</formula>
    </cfRule>
  </conditionalFormatting>
  <conditionalFormatting sqref="H703">
    <cfRule type="cellIs" rank="0" priority="2093" equalAverage="0" operator="greaterThan" aboveAverage="0" dxfId="1" text="" percent="0" bottom="0">
      <formula>0</formula>
    </cfRule>
    <cfRule type="cellIs" rank="0" priority="2094" equalAverage="0" operator="lessThanOrEqual" aboveAverage="0" dxfId="0" text="" percent="0" bottom="0">
      <formula>0</formula>
    </cfRule>
  </conditionalFormatting>
  <conditionalFormatting sqref="G703">
    <cfRule type="cellIs" rank="0" priority="2095" equalAverage="0" operator="greaterThan" aboveAverage="0" dxfId="10" text="" percent="0" bottom="0">
      <formula>e{r}</formula>
    </cfRule>
  </conditionalFormatting>
  <conditionalFormatting sqref="H704">
    <cfRule type="cellIs" rank="0" priority="2096" equalAverage="0" operator="greaterThan" aboveAverage="0" dxfId="1" text="" percent="0" bottom="0">
      <formula>0</formula>
    </cfRule>
    <cfRule type="cellIs" rank="0" priority="2097" equalAverage="0" operator="lessThanOrEqual" aboveAverage="0" dxfId="0" text="" percent="0" bottom="0">
      <formula>0</formula>
    </cfRule>
  </conditionalFormatting>
  <conditionalFormatting sqref="G704">
    <cfRule type="cellIs" rank="0" priority="2098" equalAverage="0" operator="greaterThan" aboveAverage="0" dxfId="10" text="" percent="0" bottom="0">
      <formula>e{r}</formula>
    </cfRule>
  </conditionalFormatting>
  <conditionalFormatting sqref="H705">
    <cfRule type="cellIs" rank="0" priority="2099" equalAverage="0" operator="greaterThan" aboveAverage="0" dxfId="1" text="" percent="0" bottom="0">
      <formula>0</formula>
    </cfRule>
    <cfRule type="cellIs" rank="0" priority="2100" equalAverage="0" operator="lessThanOrEqual" aboveAverage="0" dxfId="0" text="" percent="0" bottom="0">
      <formula>0</formula>
    </cfRule>
  </conditionalFormatting>
  <conditionalFormatting sqref="G705">
    <cfRule type="cellIs" rank="0" priority="2101" equalAverage="0" operator="greaterThan" aboveAverage="0" dxfId="10" text="" percent="0" bottom="0">
      <formula>e{r}</formula>
    </cfRule>
  </conditionalFormatting>
  <conditionalFormatting sqref="H706">
    <cfRule type="cellIs" rank="0" priority="2102" equalAverage="0" operator="greaterThan" aboveAverage="0" dxfId="1" text="" percent="0" bottom="0">
      <formula>0</formula>
    </cfRule>
    <cfRule type="cellIs" rank="0" priority="2103" equalAverage="0" operator="lessThanOrEqual" aboveAverage="0" dxfId="0" text="" percent="0" bottom="0">
      <formula>0</formula>
    </cfRule>
  </conditionalFormatting>
  <conditionalFormatting sqref="G706">
    <cfRule type="cellIs" rank="0" priority="2104" equalAverage="0" operator="greaterThan" aboveAverage="0" dxfId="10" text="" percent="0" bottom="0">
      <formula>e{r}</formula>
    </cfRule>
  </conditionalFormatting>
  <conditionalFormatting sqref="H707">
    <cfRule type="cellIs" rank="0" priority="2105" equalAverage="0" operator="greaterThan" aboveAverage="0" dxfId="1" text="" percent="0" bottom="0">
      <formula>0</formula>
    </cfRule>
    <cfRule type="cellIs" rank="0" priority="2106" equalAverage="0" operator="lessThanOrEqual" aboveAverage="0" dxfId="0" text="" percent="0" bottom="0">
      <formula>0</formula>
    </cfRule>
  </conditionalFormatting>
  <conditionalFormatting sqref="G707">
    <cfRule type="cellIs" rank="0" priority="2107" equalAverage="0" operator="greaterThan" aboveAverage="0" dxfId="10" text="" percent="0" bottom="0">
      <formula>e{r}</formula>
    </cfRule>
  </conditionalFormatting>
  <conditionalFormatting sqref="H708">
    <cfRule type="cellIs" rank="0" priority="2108" equalAverage="0" operator="greaterThan" aboveAverage="0" dxfId="1" text="" percent="0" bottom="0">
      <formula>0</formula>
    </cfRule>
    <cfRule type="cellIs" rank="0" priority="2109" equalAverage="0" operator="lessThanOrEqual" aboveAverage="0" dxfId="0" text="" percent="0" bottom="0">
      <formula>0</formula>
    </cfRule>
  </conditionalFormatting>
  <conditionalFormatting sqref="G708">
    <cfRule type="cellIs" rank="0" priority="2110" equalAverage="0" operator="greaterThan" aboveAverage="0" dxfId="10" text="" percent="0" bottom="0">
      <formula>e{r}</formula>
    </cfRule>
  </conditionalFormatting>
  <conditionalFormatting sqref="H709">
    <cfRule type="cellIs" rank="0" priority="2111" equalAverage="0" operator="greaterThan" aboveAverage="0" dxfId="1" text="" percent="0" bottom="0">
      <formula>0</formula>
    </cfRule>
    <cfRule type="cellIs" rank="0" priority="2112" equalAverage="0" operator="lessThanOrEqual" aboveAverage="0" dxfId="0" text="" percent="0" bottom="0">
      <formula>0</formula>
    </cfRule>
  </conditionalFormatting>
  <conditionalFormatting sqref="G709">
    <cfRule type="cellIs" rank="0" priority="2113" equalAverage="0" operator="greaterThan" aboveAverage="0" dxfId="10" text="" percent="0" bottom="0">
      <formula>e{r}</formula>
    </cfRule>
  </conditionalFormatting>
  <conditionalFormatting sqref="H710">
    <cfRule type="cellIs" rank="0" priority="2114" equalAverage="0" operator="greaterThan" aboveAverage="0" dxfId="1" text="" percent="0" bottom="0">
      <formula>0</formula>
    </cfRule>
    <cfRule type="cellIs" rank="0" priority="2115" equalAverage="0" operator="lessThanOrEqual" aboveAverage="0" dxfId="0" text="" percent="0" bottom="0">
      <formula>0</formula>
    </cfRule>
  </conditionalFormatting>
  <conditionalFormatting sqref="G710">
    <cfRule type="cellIs" rank="0" priority="2116" equalAverage="0" operator="greaterThan" aboveAverage="0" dxfId="10" text="" percent="0" bottom="0">
      <formula>e{r}</formula>
    </cfRule>
  </conditionalFormatting>
  <conditionalFormatting sqref="H711">
    <cfRule type="cellIs" rank="0" priority="2117" equalAverage="0" operator="greaterThan" aboveAverage="0" dxfId="1" text="" percent="0" bottom="0">
      <formula>0</formula>
    </cfRule>
    <cfRule type="cellIs" rank="0" priority="2118" equalAverage="0" operator="lessThanOrEqual" aboveAverage="0" dxfId="0" text="" percent="0" bottom="0">
      <formula>0</formula>
    </cfRule>
  </conditionalFormatting>
  <conditionalFormatting sqref="G711">
    <cfRule type="cellIs" rank="0" priority="2119" equalAverage="0" operator="greaterThan" aboveAverage="0" dxfId="10" text="" percent="0" bottom="0">
      <formula>e{r}</formula>
    </cfRule>
  </conditionalFormatting>
  <conditionalFormatting sqref="H712">
    <cfRule type="cellIs" rank="0" priority="2120" equalAverage="0" operator="greaterThan" aboveAverage="0" dxfId="1" text="" percent="0" bottom="0">
      <formula>0</formula>
    </cfRule>
    <cfRule type="cellIs" rank="0" priority="2121" equalAverage="0" operator="lessThanOrEqual" aboveAverage="0" dxfId="0" text="" percent="0" bottom="0">
      <formula>0</formula>
    </cfRule>
  </conditionalFormatting>
  <conditionalFormatting sqref="G712">
    <cfRule type="cellIs" rank="0" priority="2122" equalAverage="0" operator="greaterThan" aboveAverage="0" dxfId="10" text="" percent="0" bottom="0">
      <formula>e{r}</formula>
    </cfRule>
  </conditionalFormatting>
  <conditionalFormatting sqref="H713">
    <cfRule type="cellIs" rank="0" priority="2123" equalAverage="0" operator="greaterThan" aboveAverage="0" dxfId="1" text="" percent="0" bottom="0">
      <formula>0</formula>
    </cfRule>
    <cfRule type="cellIs" rank="0" priority="2124" equalAverage="0" operator="lessThanOrEqual" aboveAverage="0" dxfId="0" text="" percent="0" bottom="0">
      <formula>0</formula>
    </cfRule>
  </conditionalFormatting>
  <conditionalFormatting sqref="G713">
    <cfRule type="cellIs" rank="0" priority="2125" equalAverage="0" operator="greaterThan" aboveAverage="0" dxfId="10" text="" percent="0" bottom="0">
      <formula>e{r}</formula>
    </cfRule>
  </conditionalFormatting>
  <conditionalFormatting sqref="H714">
    <cfRule type="cellIs" rank="0" priority="2126" equalAverage="0" operator="greaterThan" aboveAverage="0" dxfId="1" text="" percent="0" bottom="0">
      <formula>0</formula>
    </cfRule>
    <cfRule type="cellIs" rank="0" priority="2127" equalAverage="0" operator="lessThanOrEqual" aboveAverage="0" dxfId="0" text="" percent="0" bottom="0">
      <formula>0</formula>
    </cfRule>
  </conditionalFormatting>
  <conditionalFormatting sqref="G714">
    <cfRule type="cellIs" rank="0" priority="2128" equalAverage="0" operator="greaterThan" aboveAverage="0" dxfId="10" text="" percent="0" bottom="0">
      <formula>e{r}</formula>
    </cfRule>
  </conditionalFormatting>
  <conditionalFormatting sqref="H715">
    <cfRule type="cellIs" rank="0" priority="2129" equalAverage="0" operator="greaterThan" aboveAverage="0" dxfId="1" text="" percent="0" bottom="0">
      <formula>0</formula>
    </cfRule>
    <cfRule type="cellIs" rank="0" priority="2130" equalAverage="0" operator="lessThanOrEqual" aboveAverage="0" dxfId="0" text="" percent="0" bottom="0">
      <formula>0</formula>
    </cfRule>
  </conditionalFormatting>
  <conditionalFormatting sqref="G715">
    <cfRule type="cellIs" rank="0" priority="2131" equalAverage="0" operator="greaterThan" aboveAverage="0" dxfId="10" text="" percent="0" bottom="0">
      <formula>e{r}</formula>
    </cfRule>
  </conditionalFormatting>
  <conditionalFormatting sqref="H716">
    <cfRule type="cellIs" rank="0" priority="2132" equalAverage="0" operator="greaterThan" aboveAverage="0" dxfId="1" text="" percent="0" bottom="0">
      <formula>0</formula>
    </cfRule>
    <cfRule type="cellIs" rank="0" priority="2133" equalAverage="0" operator="lessThanOrEqual" aboveAverage="0" dxfId="0" text="" percent="0" bottom="0">
      <formula>0</formula>
    </cfRule>
  </conditionalFormatting>
  <conditionalFormatting sqref="G716">
    <cfRule type="cellIs" rank="0" priority="2134" equalAverage="0" operator="greaterThan" aboveAverage="0" dxfId="10" text="" percent="0" bottom="0">
      <formula>e{r}</formula>
    </cfRule>
  </conditionalFormatting>
  <conditionalFormatting sqref="H717">
    <cfRule type="cellIs" rank="0" priority="2135" equalAverage="0" operator="greaterThan" aboveAverage="0" dxfId="1" text="" percent="0" bottom="0">
      <formula>0</formula>
    </cfRule>
    <cfRule type="cellIs" rank="0" priority="2136" equalAverage="0" operator="lessThanOrEqual" aboveAverage="0" dxfId="0" text="" percent="0" bottom="0">
      <formula>0</formula>
    </cfRule>
  </conditionalFormatting>
  <conditionalFormatting sqref="G717">
    <cfRule type="cellIs" rank="0" priority="2137" equalAverage="0" operator="greaterThan" aboveAverage="0" dxfId="10" text="" percent="0" bottom="0">
      <formula>e{r}</formula>
    </cfRule>
  </conditionalFormatting>
  <conditionalFormatting sqref="H718">
    <cfRule type="cellIs" rank="0" priority="2138" equalAverage="0" operator="greaterThan" aboveAverage="0" dxfId="1" text="" percent="0" bottom="0">
      <formula>0</formula>
    </cfRule>
    <cfRule type="cellIs" rank="0" priority="2139" equalAverage="0" operator="lessThanOrEqual" aboveAverage="0" dxfId="0" text="" percent="0" bottom="0">
      <formula>0</formula>
    </cfRule>
  </conditionalFormatting>
  <conditionalFormatting sqref="G718">
    <cfRule type="cellIs" rank="0" priority="2140" equalAverage="0" operator="greaterThan" aboveAverage="0" dxfId="10" text="" percent="0" bottom="0">
      <formula>e{r}</formula>
    </cfRule>
  </conditionalFormatting>
  <conditionalFormatting sqref="H719">
    <cfRule type="cellIs" rank="0" priority="2141" equalAverage="0" operator="greaterThan" aboveAverage="0" dxfId="1" text="" percent="0" bottom="0">
      <formula>0</formula>
    </cfRule>
    <cfRule type="cellIs" rank="0" priority="2142" equalAverage="0" operator="lessThanOrEqual" aboveAverage="0" dxfId="0" text="" percent="0" bottom="0">
      <formula>0</formula>
    </cfRule>
  </conditionalFormatting>
  <conditionalFormatting sqref="G719">
    <cfRule type="cellIs" rank="0" priority="2143" equalAverage="0" operator="greaterThan" aboveAverage="0" dxfId="10" text="" percent="0" bottom="0">
      <formula>e{r}</formula>
    </cfRule>
  </conditionalFormatting>
  <conditionalFormatting sqref="H720">
    <cfRule type="cellIs" rank="0" priority="2144" equalAverage="0" operator="greaterThan" aboveAverage="0" dxfId="1" text="" percent="0" bottom="0">
      <formula>0</formula>
    </cfRule>
    <cfRule type="cellIs" rank="0" priority="2145" equalAverage="0" operator="lessThanOrEqual" aboveAverage="0" dxfId="0" text="" percent="0" bottom="0">
      <formula>0</formula>
    </cfRule>
  </conditionalFormatting>
  <conditionalFormatting sqref="G720">
    <cfRule type="cellIs" rank="0" priority="2146" equalAverage="0" operator="greaterThan" aboveAverage="0" dxfId="10" text="" percent="0" bottom="0">
      <formula>e{r}</formula>
    </cfRule>
  </conditionalFormatting>
  <conditionalFormatting sqref="H721">
    <cfRule type="cellIs" rank="0" priority="2147" equalAverage="0" operator="greaterThan" aboveAverage="0" dxfId="1" text="" percent="0" bottom="0">
      <formula>0</formula>
    </cfRule>
    <cfRule type="cellIs" rank="0" priority="2148" equalAverage="0" operator="lessThanOrEqual" aboveAverage="0" dxfId="0" text="" percent="0" bottom="0">
      <formula>0</formula>
    </cfRule>
  </conditionalFormatting>
  <conditionalFormatting sqref="G721">
    <cfRule type="cellIs" rank="0" priority="2149" equalAverage="0" operator="greaterThan" aboveAverage="0" dxfId="10" text="" percent="0" bottom="0">
      <formula>e{r}</formula>
    </cfRule>
  </conditionalFormatting>
  <conditionalFormatting sqref="H722">
    <cfRule type="cellIs" rank="0" priority="2150" equalAverage="0" operator="greaterThan" aboveAverage="0" dxfId="1" text="" percent="0" bottom="0">
      <formula>0</formula>
    </cfRule>
    <cfRule type="cellIs" rank="0" priority="2151" equalAverage="0" operator="lessThanOrEqual" aboveAverage="0" dxfId="0" text="" percent="0" bottom="0">
      <formula>0</formula>
    </cfRule>
  </conditionalFormatting>
  <conditionalFormatting sqref="G722">
    <cfRule type="cellIs" rank="0" priority="2152" equalAverage="0" operator="greaterThan" aboveAverage="0" dxfId="10" text="" percent="0" bottom="0">
      <formula>e{r}</formula>
    </cfRule>
  </conditionalFormatting>
  <conditionalFormatting sqref="H723">
    <cfRule type="cellIs" rank="0" priority="2153" equalAverage="0" operator="greaterThan" aboveAverage="0" dxfId="1" text="" percent="0" bottom="0">
      <formula>0</formula>
    </cfRule>
    <cfRule type="cellIs" rank="0" priority="2154" equalAverage="0" operator="lessThanOrEqual" aboveAverage="0" dxfId="0" text="" percent="0" bottom="0">
      <formula>0</formula>
    </cfRule>
  </conditionalFormatting>
  <conditionalFormatting sqref="G723">
    <cfRule type="cellIs" rank="0" priority="2155" equalAverage="0" operator="greaterThan" aboveAverage="0" dxfId="10" text="" percent="0" bottom="0">
      <formula>e{r}</formula>
    </cfRule>
  </conditionalFormatting>
  <conditionalFormatting sqref="H724">
    <cfRule type="cellIs" rank="0" priority="2156" equalAverage="0" operator="greaterThan" aboveAverage="0" dxfId="1" text="" percent="0" bottom="0">
      <formula>0</formula>
    </cfRule>
    <cfRule type="cellIs" rank="0" priority="2157" equalAverage="0" operator="lessThanOrEqual" aboveAverage="0" dxfId="0" text="" percent="0" bottom="0">
      <formula>0</formula>
    </cfRule>
  </conditionalFormatting>
  <conditionalFormatting sqref="G724">
    <cfRule type="cellIs" rank="0" priority="2158" equalAverage="0" operator="greaterThan" aboveAverage="0" dxfId="10" text="" percent="0" bottom="0">
      <formula>e{r}</formula>
    </cfRule>
  </conditionalFormatting>
  <conditionalFormatting sqref="H725">
    <cfRule type="cellIs" rank="0" priority="2159" equalAverage="0" operator="greaterThan" aboveAverage="0" dxfId="1" text="" percent="0" bottom="0">
      <formula>0</formula>
    </cfRule>
    <cfRule type="cellIs" rank="0" priority="2160" equalAverage="0" operator="lessThanOrEqual" aboveAverage="0" dxfId="0" text="" percent="0" bottom="0">
      <formula>0</formula>
    </cfRule>
  </conditionalFormatting>
  <conditionalFormatting sqref="G725">
    <cfRule type="cellIs" rank="0" priority="2161" equalAverage="0" operator="greaterThan" aboveAverage="0" dxfId="10" text="" percent="0" bottom="0">
      <formula>e{r}</formula>
    </cfRule>
  </conditionalFormatting>
  <conditionalFormatting sqref="H726">
    <cfRule type="cellIs" rank="0" priority="2162" equalAverage="0" operator="greaterThan" aboveAverage="0" dxfId="1" text="" percent="0" bottom="0">
      <formula>0</formula>
    </cfRule>
    <cfRule type="cellIs" rank="0" priority="2163" equalAverage="0" operator="lessThanOrEqual" aboveAverage="0" dxfId="0" text="" percent="0" bottom="0">
      <formula>0</formula>
    </cfRule>
  </conditionalFormatting>
  <conditionalFormatting sqref="G726">
    <cfRule type="cellIs" rank="0" priority="2164" equalAverage="0" operator="greaterThan" aboveAverage="0" dxfId="10" text="" percent="0" bottom="0">
      <formula>e{r}</formula>
    </cfRule>
  </conditionalFormatting>
  <conditionalFormatting sqref="H727">
    <cfRule type="cellIs" rank="0" priority="2165" equalAverage="0" operator="greaterThan" aboveAverage="0" dxfId="1" text="" percent="0" bottom="0">
      <formula>0</formula>
    </cfRule>
    <cfRule type="cellIs" rank="0" priority="2166" equalAverage="0" operator="lessThanOrEqual" aboveAverage="0" dxfId="0" text="" percent="0" bottom="0">
      <formula>0</formula>
    </cfRule>
  </conditionalFormatting>
  <conditionalFormatting sqref="G727">
    <cfRule type="cellIs" rank="0" priority="2167" equalAverage="0" operator="greaterThan" aboveAverage="0" dxfId="10" text="" percent="0" bottom="0">
      <formula>e{r}</formula>
    </cfRule>
  </conditionalFormatting>
  <conditionalFormatting sqref="H728">
    <cfRule type="cellIs" rank="0" priority="2168" equalAverage="0" operator="greaterThan" aboveAverage="0" dxfId="1" text="" percent="0" bottom="0">
      <formula>0</formula>
    </cfRule>
    <cfRule type="cellIs" rank="0" priority="2169" equalAverage="0" operator="lessThanOrEqual" aboveAverage="0" dxfId="0" text="" percent="0" bottom="0">
      <formula>0</formula>
    </cfRule>
  </conditionalFormatting>
  <conditionalFormatting sqref="G728">
    <cfRule type="cellIs" rank="0" priority="2170" equalAverage="0" operator="greaterThan" aboveAverage="0" dxfId="10" text="" percent="0" bottom="0">
      <formula>e{r}</formula>
    </cfRule>
  </conditionalFormatting>
  <conditionalFormatting sqref="H729">
    <cfRule type="cellIs" rank="0" priority="2171" equalAverage="0" operator="greaterThan" aboveAverage="0" dxfId="1" text="" percent="0" bottom="0">
      <formula>0</formula>
    </cfRule>
    <cfRule type="cellIs" rank="0" priority="2172" equalAverage="0" operator="lessThanOrEqual" aboveAverage="0" dxfId="0" text="" percent="0" bottom="0">
      <formula>0</formula>
    </cfRule>
  </conditionalFormatting>
  <conditionalFormatting sqref="G729">
    <cfRule type="cellIs" rank="0" priority="2173" equalAverage="0" operator="greaterThan" aboveAverage="0" dxfId="10" text="" percent="0" bottom="0">
      <formula>e{r}</formula>
    </cfRule>
  </conditionalFormatting>
  <conditionalFormatting sqref="H730">
    <cfRule type="cellIs" rank="0" priority="2174" equalAverage="0" operator="greaterThan" aboveAverage="0" dxfId="1" text="" percent="0" bottom="0">
      <formula>0</formula>
    </cfRule>
    <cfRule type="cellIs" rank="0" priority="2175" equalAverage="0" operator="lessThanOrEqual" aboveAverage="0" dxfId="0" text="" percent="0" bottom="0">
      <formula>0</formula>
    </cfRule>
  </conditionalFormatting>
  <conditionalFormatting sqref="G730">
    <cfRule type="cellIs" rank="0" priority="2176" equalAverage="0" operator="greaterThan" aboveAverage="0" dxfId="10" text="" percent="0" bottom="0">
      <formula>e{r}</formula>
    </cfRule>
  </conditionalFormatting>
  <conditionalFormatting sqref="H731">
    <cfRule type="cellIs" rank="0" priority="2177" equalAverage="0" operator="greaterThan" aboveAverage="0" dxfId="1" text="" percent="0" bottom="0">
      <formula>0</formula>
    </cfRule>
    <cfRule type="cellIs" rank="0" priority="2178" equalAverage="0" operator="lessThanOrEqual" aboveAverage="0" dxfId="0" text="" percent="0" bottom="0">
      <formula>0</formula>
    </cfRule>
  </conditionalFormatting>
  <conditionalFormatting sqref="G731">
    <cfRule type="cellIs" rank="0" priority="2179" equalAverage="0" operator="greaterThan" aboveAverage="0" dxfId="10" text="" percent="0" bottom="0">
      <formula>e{r}</formula>
    </cfRule>
  </conditionalFormatting>
  <conditionalFormatting sqref="H732">
    <cfRule type="cellIs" rank="0" priority="2180" equalAverage="0" operator="greaterThan" aboveAverage="0" dxfId="1" text="" percent="0" bottom="0">
      <formula>0</formula>
    </cfRule>
    <cfRule type="cellIs" rank="0" priority="2181" equalAverage="0" operator="lessThanOrEqual" aboveAverage="0" dxfId="0" text="" percent="0" bottom="0">
      <formula>0</formula>
    </cfRule>
  </conditionalFormatting>
  <conditionalFormatting sqref="G732">
    <cfRule type="cellIs" rank="0" priority="2182" equalAverage="0" operator="greaterThan" aboveAverage="0" dxfId="10" text="" percent="0" bottom="0">
      <formula>e{r}</formula>
    </cfRule>
  </conditionalFormatting>
  <conditionalFormatting sqref="H733">
    <cfRule type="cellIs" rank="0" priority="2183" equalAverage="0" operator="greaterThan" aboveAverage="0" dxfId="1" text="" percent="0" bottom="0">
      <formula>0</formula>
    </cfRule>
    <cfRule type="cellIs" rank="0" priority="2184" equalAverage="0" operator="lessThanOrEqual" aboveAverage="0" dxfId="0" text="" percent="0" bottom="0">
      <formula>0</formula>
    </cfRule>
  </conditionalFormatting>
  <conditionalFormatting sqref="G733">
    <cfRule type="cellIs" rank="0" priority="2185" equalAverage="0" operator="greaterThan" aboveAverage="0" dxfId="10" text="" percent="0" bottom="0">
      <formula>e{r}</formula>
    </cfRule>
  </conditionalFormatting>
  <conditionalFormatting sqref="H734">
    <cfRule type="cellIs" rank="0" priority="2186" equalAverage="0" operator="greaterThan" aboveAverage="0" dxfId="1" text="" percent="0" bottom="0">
      <formula>0</formula>
    </cfRule>
    <cfRule type="cellIs" rank="0" priority="2187" equalAverage="0" operator="lessThanOrEqual" aboveAverage="0" dxfId="0" text="" percent="0" bottom="0">
      <formula>0</formula>
    </cfRule>
  </conditionalFormatting>
  <conditionalFormatting sqref="G734">
    <cfRule type="cellIs" rank="0" priority="2188" equalAverage="0" operator="greaterThan" aboveAverage="0" dxfId="10" text="" percent="0" bottom="0">
      <formula>e{r}</formula>
    </cfRule>
  </conditionalFormatting>
  <conditionalFormatting sqref="H735">
    <cfRule type="cellIs" rank="0" priority="2189" equalAverage="0" operator="greaterThan" aboveAverage="0" dxfId="1" text="" percent="0" bottom="0">
      <formula>0</formula>
    </cfRule>
    <cfRule type="cellIs" rank="0" priority="2190" equalAverage="0" operator="lessThanOrEqual" aboveAverage="0" dxfId="0" text="" percent="0" bottom="0">
      <formula>0</formula>
    </cfRule>
  </conditionalFormatting>
  <conditionalFormatting sqref="G735">
    <cfRule type="cellIs" rank="0" priority="2191" equalAverage="0" operator="greaterThan" aboveAverage="0" dxfId="10" text="" percent="0" bottom="0">
      <formula>e{r}</formula>
    </cfRule>
  </conditionalFormatting>
  <conditionalFormatting sqref="H736">
    <cfRule type="cellIs" rank="0" priority="2192" equalAverage="0" operator="greaterThan" aboveAverage="0" dxfId="1" text="" percent="0" bottom="0">
      <formula>0</formula>
    </cfRule>
    <cfRule type="cellIs" rank="0" priority="2193" equalAverage="0" operator="lessThanOrEqual" aboveAverage="0" dxfId="0" text="" percent="0" bottom="0">
      <formula>0</formula>
    </cfRule>
  </conditionalFormatting>
  <conditionalFormatting sqref="G736">
    <cfRule type="cellIs" rank="0" priority="2194" equalAverage="0" operator="greaterThan" aboveAverage="0" dxfId="10" text="" percent="0" bottom="0">
      <formula>e{r}</formula>
    </cfRule>
  </conditionalFormatting>
  <conditionalFormatting sqref="H737">
    <cfRule type="cellIs" rank="0" priority="2195" equalAverage="0" operator="greaterThan" aboveAverage="0" dxfId="1" text="" percent="0" bottom="0">
      <formula>0</formula>
    </cfRule>
    <cfRule type="cellIs" rank="0" priority="2196" equalAverage="0" operator="lessThanOrEqual" aboveAverage="0" dxfId="0" text="" percent="0" bottom="0">
      <formula>0</formula>
    </cfRule>
  </conditionalFormatting>
  <conditionalFormatting sqref="G737">
    <cfRule type="cellIs" rank="0" priority="2197" equalAverage="0" operator="greaterThan" aboveAverage="0" dxfId="10" text="" percent="0" bottom="0">
      <formula>e{r}</formula>
    </cfRule>
  </conditionalFormatting>
  <conditionalFormatting sqref="H738">
    <cfRule type="cellIs" rank="0" priority="2198" equalAverage="0" operator="greaterThan" aboveAverage="0" dxfId="1" text="" percent="0" bottom="0">
      <formula>0</formula>
    </cfRule>
    <cfRule type="cellIs" rank="0" priority="2199" equalAverage="0" operator="lessThanOrEqual" aboveAverage="0" dxfId="0" text="" percent="0" bottom="0">
      <formula>0</formula>
    </cfRule>
  </conditionalFormatting>
  <conditionalFormatting sqref="G738">
    <cfRule type="cellIs" rank="0" priority="2200" equalAverage="0" operator="greaterThan" aboveAverage="0" dxfId="10" text="" percent="0" bottom="0">
      <formula>e{r}</formula>
    </cfRule>
  </conditionalFormatting>
  <conditionalFormatting sqref="H739">
    <cfRule type="cellIs" rank="0" priority="2201" equalAverage="0" operator="greaterThan" aboveAverage="0" dxfId="1" text="" percent="0" bottom="0">
      <formula>0</formula>
    </cfRule>
    <cfRule type="cellIs" rank="0" priority="2202" equalAverage="0" operator="lessThanOrEqual" aboveAverage="0" dxfId="0" text="" percent="0" bottom="0">
      <formula>0</formula>
    </cfRule>
  </conditionalFormatting>
  <conditionalFormatting sqref="G739">
    <cfRule type="cellIs" rank="0" priority="2203" equalAverage="0" operator="greaterThan" aboveAverage="0" dxfId="10" text="" percent="0" bottom="0">
      <formula>e{r}</formula>
    </cfRule>
  </conditionalFormatting>
  <conditionalFormatting sqref="H740">
    <cfRule type="cellIs" rank="0" priority="2204" equalAverage="0" operator="greaterThan" aboveAverage="0" dxfId="1" text="" percent="0" bottom="0">
      <formula>0</formula>
    </cfRule>
    <cfRule type="cellIs" rank="0" priority="2205" equalAverage="0" operator="lessThanOrEqual" aboveAverage="0" dxfId="0" text="" percent="0" bottom="0">
      <formula>0</formula>
    </cfRule>
  </conditionalFormatting>
  <conditionalFormatting sqref="G740">
    <cfRule type="cellIs" rank="0" priority="2206" equalAverage="0" operator="greaterThan" aboveAverage="0" dxfId="10" text="" percent="0" bottom="0">
      <formula>e{r}</formula>
    </cfRule>
  </conditionalFormatting>
  <conditionalFormatting sqref="H741">
    <cfRule type="cellIs" rank="0" priority="2207" equalAverage="0" operator="greaterThan" aboveAverage="0" dxfId="1" text="" percent="0" bottom="0">
      <formula>0</formula>
    </cfRule>
    <cfRule type="cellIs" rank="0" priority="2208" equalAverage="0" operator="lessThanOrEqual" aboveAverage="0" dxfId="0" text="" percent="0" bottom="0">
      <formula>0</formula>
    </cfRule>
  </conditionalFormatting>
  <conditionalFormatting sqref="G741">
    <cfRule type="cellIs" rank="0" priority="2209" equalAverage="0" operator="greaterThan" aboveAverage="0" dxfId="10" text="" percent="0" bottom="0">
      <formula>e{r}</formula>
    </cfRule>
  </conditionalFormatting>
  <conditionalFormatting sqref="H742">
    <cfRule type="cellIs" rank="0" priority="2210" equalAverage="0" operator="greaterThan" aboveAverage="0" dxfId="1" text="" percent="0" bottom="0">
      <formula>0</formula>
    </cfRule>
    <cfRule type="cellIs" rank="0" priority="2211" equalAverage="0" operator="lessThanOrEqual" aboveAverage="0" dxfId="0" text="" percent="0" bottom="0">
      <formula>0</formula>
    </cfRule>
  </conditionalFormatting>
  <conditionalFormatting sqref="G742">
    <cfRule type="cellIs" rank="0" priority="2212" equalAverage="0" operator="greaterThan" aboveAverage="0" dxfId="10" text="" percent="0" bottom="0">
      <formula>e{r}</formula>
    </cfRule>
  </conditionalFormatting>
  <conditionalFormatting sqref="H743">
    <cfRule type="cellIs" rank="0" priority="2213" equalAverage="0" operator="greaterThan" aboveAverage="0" dxfId="1" text="" percent="0" bottom="0">
      <formula>0</formula>
    </cfRule>
    <cfRule type="cellIs" rank="0" priority="2214" equalAverage="0" operator="lessThanOrEqual" aboveAverage="0" dxfId="0" text="" percent="0" bottom="0">
      <formula>0</formula>
    </cfRule>
  </conditionalFormatting>
  <conditionalFormatting sqref="G743">
    <cfRule type="cellIs" rank="0" priority="2215" equalAverage="0" operator="greaterThan" aboveAverage="0" dxfId="10" text="" percent="0" bottom="0">
      <formula>e{r}</formula>
    </cfRule>
  </conditionalFormatting>
  <conditionalFormatting sqref="H744">
    <cfRule type="cellIs" rank="0" priority="2216" equalAverage="0" operator="greaterThan" aboveAverage="0" dxfId="1" text="" percent="0" bottom="0">
      <formula>0</formula>
    </cfRule>
    <cfRule type="cellIs" rank="0" priority="2217" equalAverage="0" operator="lessThanOrEqual" aboveAverage="0" dxfId="0" text="" percent="0" bottom="0">
      <formula>0</formula>
    </cfRule>
  </conditionalFormatting>
  <conditionalFormatting sqref="G744">
    <cfRule type="cellIs" rank="0" priority="2218" equalAverage="0" operator="greaterThan" aboveAverage="0" dxfId="10" text="" percent="0" bottom="0">
      <formula>e{r}</formula>
    </cfRule>
  </conditionalFormatting>
  <conditionalFormatting sqref="H745">
    <cfRule type="cellIs" rank="0" priority="2219" equalAverage="0" operator="greaterThan" aboveAverage="0" dxfId="1" text="" percent="0" bottom="0">
      <formula>0</formula>
    </cfRule>
    <cfRule type="cellIs" rank="0" priority="2220" equalAverage="0" operator="lessThanOrEqual" aboveAverage="0" dxfId="0" text="" percent="0" bottom="0">
      <formula>0</formula>
    </cfRule>
  </conditionalFormatting>
  <conditionalFormatting sqref="G745">
    <cfRule type="cellIs" rank="0" priority="2221" equalAverage="0" operator="greaterThan" aboveAverage="0" dxfId="10" text="" percent="0" bottom="0">
      <formula>e{r}</formula>
    </cfRule>
  </conditionalFormatting>
  <conditionalFormatting sqref="H746">
    <cfRule type="cellIs" rank="0" priority="2222" equalAverage="0" operator="greaterThan" aboveAverage="0" dxfId="1" text="" percent="0" bottom="0">
      <formula>0</formula>
    </cfRule>
    <cfRule type="cellIs" rank="0" priority="2223" equalAverage="0" operator="lessThanOrEqual" aboveAverage="0" dxfId="0" text="" percent="0" bottom="0">
      <formula>0</formula>
    </cfRule>
  </conditionalFormatting>
  <conditionalFormatting sqref="G746">
    <cfRule type="cellIs" rank="0" priority="2224" equalAverage="0" operator="greaterThan" aboveAverage="0" dxfId="10" text="" percent="0" bottom="0">
      <formula>e{r}</formula>
    </cfRule>
  </conditionalFormatting>
  <conditionalFormatting sqref="H747">
    <cfRule type="cellIs" rank="0" priority="2225" equalAverage="0" operator="greaterThan" aboveAverage="0" dxfId="1" text="" percent="0" bottom="0">
      <formula>0</formula>
    </cfRule>
    <cfRule type="cellIs" rank="0" priority="2226" equalAverage="0" operator="lessThanOrEqual" aboveAverage="0" dxfId="0" text="" percent="0" bottom="0">
      <formula>0</formula>
    </cfRule>
  </conditionalFormatting>
  <conditionalFormatting sqref="G747">
    <cfRule type="cellIs" rank="0" priority="2227" equalAverage="0" operator="greaterThan" aboveAverage="0" dxfId="10" text="" percent="0" bottom="0">
      <formula>e{r}</formula>
    </cfRule>
  </conditionalFormatting>
  <conditionalFormatting sqref="H748">
    <cfRule type="cellIs" rank="0" priority="2228" equalAverage="0" operator="greaterThan" aboveAverage="0" dxfId="1" text="" percent="0" bottom="0">
      <formula>0</formula>
    </cfRule>
    <cfRule type="cellIs" rank="0" priority="2229" equalAverage="0" operator="lessThanOrEqual" aboveAverage="0" dxfId="0" text="" percent="0" bottom="0">
      <formula>0</formula>
    </cfRule>
  </conditionalFormatting>
  <conditionalFormatting sqref="G748">
    <cfRule type="cellIs" rank="0" priority="2230" equalAverage="0" operator="greaterThan" aboveAverage="0" dxfId="10" text="" percent="0" bottom="0">
      <formula>e{r}</formula>
    </cfRule>
  </conditionalFormatting>
  <conditionalFormatting sqref="H749">
    <cfRule type="cellIs" rank="0" priority="2231" equalAverage="0" operator="greaterThan" aboveAverage="0" dxfId="1" text="" percent="0" bottom="0">
      <formula>0</formula>
    </cfRule>
    <cfRule type="cellIs" rank="0" priority="2232" equalAverage="0" operator="lessThanOrEqual" aboveAverage="0" dxfId="0" text="" percent="0" bottom="0">
      <formula>0</formula>
    </cfRule>
  </conditionalFormatting>
  <conditionalFormatting sqref="G749">
    <cfRule type="cellIs" rank="0" priority="2233" equalAverage="0" operator="greaterThan" aboveAverage="0" dxfId="10" text="" percent="0" bottom="0">
      <formula>e{r}</formula>
    </cfRule>
  </conditionalFormatting>
  <conditionalFormatting sqref="H750">
    <cfRule type="cellIs" rank="0" priority="2234" equalAverage="0" operator="greaterThan" aboveAverage="0" dxfId="1" text="" percent="0" bottom="0">
      <formula>0</formula>
    </cfRule>
    <cfRule type="cellIs" rank="0" priority="2235" equalAverage="0" operator="lessThanOrEqual" aboveAverage="0" dxfId="0" text="" percent="0" bottom="0">
      <formula>0</formula>
    </cfRule>
  </conditionalFormatting>
  <conditionalFormatting sqref="G750">
    <cfRule type="cellIs" rank="0" priority="2236" equalAverage="0" operator="greaterThan" aboveAverage="0" dxfId="10" text="" percent="0" bottom="0">
      <formula>e{r}</formula>
    </cfRule>
  </conditionalFormatting>
  <conditionalFormatting sqref="H751">
    <cfRule type="cellIs" rank="0" priority="2237" equalAverage="0" operator="greaterThan" aboveAverage="0" dxfId="1" text="" percent="0" bottom="0">
      <formula>0</formula>
    </cfRule>
    <cfRule type="cellIs" rank="0" priority="2238" equalAverage="0" operator="lessThanOrEqual" aboveAverage="0" dxfId="0" text="" percent="0" bottom="0">
      <formula>0</formula>
    </cfRule>
  </conditionalFormatting>
  <conditionalFormatting sqref="G751">
    <cfRule type="cellIs" rank="0" priority="2239" equalAverage="0" operator="greaterThan" aboveAverage="0" dxfId="10" text="" percent="0" bottom="0">
      <formula>e{r}</formula>
    </cfRule>
  </conditionalFormatting>
  <conditionalFormatting sqref="H752">
    <cfRule type="cellIs" rank="0" priority="2240" equalAverage="0" operator="greaterThan" aboveAverage="0" dxfId="1" text="" percent="0" bottom="0">
      <formula>0</formula>
    </cfRule>
    <cfRule type="cellIs" rank="0" priority="2241" equalAverage="0" operator="lessThanOrEqual" aboveAverage="0" dxfId="0" text="" percent="0" bottom="0">
      <formula>0</formula>
    </cfRule>
  </conditionalFormatting>
  <conditionalFormatting sqref="G752">
    <cfRule type="cellIs" rank="0" priority="2242" equalAverage="0" operator="greaterThan" aboveAverage="0" dxfId="10" text="" percent="0" bottom="0">
      <formula>e{r}</formula>
    </cfRule>
  </conditionalFormatting>
  <conditionalFormatting sqref="H753">
    <cfRule type="cellIs" rank="0" priority="2243" equalAverage="0" operator="greaterThan" aboveAverage="0" dxfId="1" text="" percent="0" bottom="0">
      <formula>0</formula>
    </cfRule>
    <cfRule type="cellIs" rank="0" priority="2244" equalAverage="0" operator="lessThanOrEqual" aboveAverage="0" dxfId="0" text="" percent="0" bottom="0">
      <formula>0</formula>
    </cfRule>
  </conditionalFormatting>
  <conditionalFormatting sqref="G753">
    <cfRule type="cellIs" rank="0" priority="2245" equalAverage="0" operator="greaterThan" aboveAverage="0" dxfId="10" text="" percent="0" bottom="0">
      <formula>e{r}</formula>
    </cfRule>
  </conditionalFormatting>
  <conditionalFormatting sqref="H754">
    <cfRule type="cellIs" rank="0" priority="2246" equalAverage="0" operator="greaterThan" aboveAverage="0" dxfId="1" text="" percent="0" bottom="0">
      <formula>0</formula>
    </cfRule>
    <cfRule type="cellIs" rank="0" priority="2247" equalAverage="0" operator="lessThanOrEqual" aboveAverage="0" dxfId="0" text="" percent="0" bottom="0">
      <formula>0</formula>
    </cfRule>
  </conditionalFormatting>
  <conditionalFormatting sqref="G754">
    <cfRule type="cellIs" rank="0" priority="2248" equalAverage="0" operator="greaterThan" aboveAverage="0" dxfId="10" text="" percent="0" bottom="0">
      <formula>e{r}</formula>
    </cfRule>
  </conditionalFormatting>
  <conditionalFormatting sqref="H755">
    <cfRule type="cellIs" rank="0" priority="2249" equalAverage="0" operator="greaterThan" aboveAverage="0" dxfId="1" text="" percent="0" bottom="0">
      <formula>0</formula>
    </cfRule>
    <cfRule type="cellIs" rank="0" priority="2250" equalAverage="0" operator="lessThanOrEqual" aboveAverage="0" dxfId="0" text="" percent="0" bottom="0">
      <formula>0</formula>
    </cfRule>
  </conditionalFormatting>
  <conditionalFormatting sqref="G755">
    <cfRule type="cellIs" rank="0" priority="2251" equalAverage="0" operator="greaterThan" aboveAverage="0" dxfId="10" text="" percent="0" bottom="0">
      <formula>e{r}</formula>
    </cfRule>
  </conditionalFormatting>
  <conditionalFormatting sqref="H756">
    <cfRule type="cellIs" rank="0" priority="2252" equalAverage="0" operator="greaterThan" aboveAverage="0" dxfId="1" text="" percent="0" bottom="0">
      <formula>0</formula>
    </cfRule>
    <cfRule type="cellIs" rank="0" priority="2253" equalAverage="0" operator="lessThanOrEqual" aboveAverage="0" dxfId="0" text="" percent="0" bottom="0">
      <formula>0</formula>
    </cfRule>
  </conditionalFormatting>
  <conditionalFormatting sqref="G756">
    <cfRule type="cellIs" rank="0" priority="2254" equalAverage="0" operator="greaterThan" aboveAverage="0" dxfId="10" text="" percent="0" bottom="0">
      <formula>e{r}</formula>
    </cfRule>
  </conditionalFormatting>
  <conditionalFormatting sqref="H757">
    <cfRule type="cellIs" rank="0" priority="2255" equalAverage="0" operator="greaterThan" aboveAverage="0" dxfId="1" text="" percent="0" bottom="0">
      <formula>0</formula>
    </cfRule>
    <cfRule type="cellIs" rank="0" priority="2256" equalAverage="0" operator="lessThanOrEqual" aboveAverage="0" dxfId="0" text="" percent="0" bottom="0">
      <formula>0</formula>
    </cfRule>
  </conditionalFormatting>
  <conditionalFormatting sqref="G757">
    <cfRule type="cellIs" rank="0" priority="2257" equalAverage="0" operator="greaterThan" aboveAverage="0" dxfId="10" text="" percent="0" bottom="0">
      <formula>e{r}</formula>
    </cfRule>
  </conditionalFormatting>
  <conditionalFormatting sqref="H758">
    <cfRule type="cellIs" rank="0" priority="2258" equalAverage="0" operator="greaterThan" aboveAverage="0" dxfId="1" text="" percent="0" bottom="0">
      <formula>0</formula>
    </cfRule>
    <cfRule type="cellIs" rank="0" priority="2259" equalAverage="0" operator="lessThanOrEqual" aboveAverage="0" dxfId="0" text="" percent="0" bottom="0">
      <formula>0</formula>
    </cfRule>
  </conditionalFormatting>
  <conditionalFormatting sqref="G758">
    <cfRule type="cellIs" rank="0" priority="2260" equalAverage="0" operator="greaterThan" aboveAverage="0" dxfId="10" text="" percent="0" bottom="0">
      <formula>e{r}</formula>
    </cfRule>
  </conditionalFormatting>
  <conditionalFormatting sqref="H759">
    <cfRule type="cellIs" rank="0" priority="2261" equalAverage="0" operator="greaterThan" aboveAverage="0" dxfId="1" text="" percent="0" bottom="0">
      <formula>0</formula>
    </cfRule>
    <cfRule type="cellIs" rank="0" priority="2262" equalAverage="0" operator="lessThanOrEqual" aboveAverage="0" dxfId="0" text="" percent="0" bottom="0">
      <formula>0</formula>
    </cfRule>
  </conditionalFormatting>
  <conditionalFormatting sqref="G759">
    <cfRule type="cellIs" rank="0" priority="2263" equalAverage="0" operator="greaterThan" aboveAverage="0" dxfId="10" text="" percent="0" bottom="0">
      <formula>e{r}</formula>
    </cfRule>
  </conditionalFormatting>
  <conditionalFormatting sqref="H760">
    <cfRule type="cellIs" rank="0" priority="2264" equalAverage="0" operator="greaterThan" aboveAverage="0" dxfId="1" text="" percent="0" bottom="0">
      <formula>0</formula>
    </cfRule>
    <cfRule type="cellIs" rank="0" priority="2265" equalAverage="0" operator="lessThanOrEqual" aboveAverage="0" dxfId="0" text="" percent="0" bottom="0">
      <formula>0</formula>
    </cfRule>
  </conditionalFormatting>
  <conditionalFormatting sqref="G760">
    <cfRule type="cellIs" rank="0" priority="2266" equalAverage="0" operator="greaterThan" aboveAverage="0" dxfId="10" text="" percent="0" bottom="0">
      <formula>e{r}</formula>
    </cfRule>
  </conditionalFormatting>
  <conditionalFormatting sqref="H761">
    <cfRule type="cellIs" rank="0" priority="2267" equalAverage="0" operator="greaterThan" aboveAverage="0" dxfId="1" text="" percent="0" bottom="0">
      <formula>0</formula>
    </cfRule>
    <cfRule type="cellIs" rank="0" priority="2268" equalAverage="0" operator="lessThanOrEqual" aboveAverage="0" dxfId="0" text="" percent="0" bottom="0">
      <formula>0</formula>
    </cfRule>
  </conditionalFormatting>
  <conditionalFormatting sqref="G761">
    <cfRule type="cellIs" rank="0" priority="2269" equalAverage="0" operator="greaterThan" aboveAverage="0" dxfId="10" text="" percent="0" bottom="0">
      <formula>e{r}</formula>
    </cfRule>
  </conditionalFormatting>
  <conditionalFormatting sqref="H762">
    <cfRule type="cellIs" rank="0" priority="2270" equalAverage="0" operator="greaterThan" aboveAverage="0" dxfId="1" text="" percent="0" bottom="0">
      <formula>0</formula>
    </cfRule>
    <cfRule type="cellIs" rank="0" priority="2271" equalAverage="0" operator="lessThanOrEqual" aboveAverage="0" dxfId="0" text="" percent="0" bottom="0">
      <formula>0</formula>
    </cfRule>
  </conditionalFormatting>
  <conditionalFormatting sqref="G762">
    <cfRule type="cellIs" rank="0" priority="2272" equalAverage="0" operator="greaterThan" aboveAverage="0" dxfId="10" text="" percent="0" bottom="0">
      <formula>e{r}</formula>
    </cfRule>
  </conditionalFormatting>
  <conditionalFormatting sqref="H763">
    <cfRule type="cellIs" rank="0" priority="2273" equalAverage="0" operator="greaterThan" aboveAverage="0" dxfId="1" text="" percent="0" bottom="0">
      <formula>0</formula>
    </cfRule>
    <cfRule type="cellIs" rank="0" priority="2274" equalAverage="0" operator="lessThanOrEqual" aboveAverage="0" dxfId="0" text="" percent="0" bottom="0">
      <formula>0</formula>
    </cfRule>
  </conditionalFormatting>
  <conditionalFormatting sqref="G763">
    <cfRule type="cellIs" rank="0" priority="2275" equalAverage="0" operator="greaterThan" aboveAverage="0" dxfId="10" text="" percent="0" bottom="0">
      <formula>e{r}</formula>
    </cfRule>
  </conditionalFormatting>
  <conditionalFormatting sqref="H764">
    <cfRule type="cellIs" rank="0" priority="2276" equalAverage="0" operator="greaterThan" aboveAverage="0" dxfId="1" text="" percent="0" bottom="0">
      <formula>0</formula>
    </cfRule>
    <cfRule type="cellIs" rank="0" priority="2277" equalAverage="0" operator="lessThanOrEqual" aboveAverage="0" dxfId="0" text="" percent="0" bottom="0">
      <formula>0</formula>
    </cfRule>
  </conditionalFormatting>
  <conditionalFormatting sqref="G764">
    <cfRule type="cellIs" rank="0" priority="2278" equalAverage="0" operator="greaterThan" aboveAverage="0" dxfId="10" text="" percent="0" bottom="0">
      <formula>e{r}</formula>
    </cfRule>
  </conditionalFormatting>
  <conditionalFormatting sqref="H765">
    <cfRule type="cellIs" rank="0" priority="2279" equalAverage="0" operator="greaterThan" aboveAverage="0" dxfId="1" text="" percent="0" bottom="0">
      <formula>0</formula>
    </cfRule>
    <cfRule type="cellIs" rank="0" priority="2280" equalAverage="0" operator="lessThanOrEqual" aboveAverage="0" dxfId="0" text="" percent="0" bottom="0">
      <formula>0</formula>
    </cfRule>
  </conditionalFormatting>
  <conditionalFormatting sqref="G765">
    <cfRule type="cellIs" rank="0" priority="2281" equalAverage="0" operator="greaterThan" aboveAverage="0" dxfId="10" text="" percent="0" bottom="0">
      <formula>e{r}</formula>
    </cfRule>
  </conditionalFormatting>
  <conditionalFormatting sqref="H766">
    <cfRule type="cellIs" rank="0" priority="2282" equalAverage="0" operator="greaterThan" aboveAverage="0" dxfId="1" text="" percent="0" bottom="0">
      <formula>0</formula>
    </cfRule>
    <cfRule type="cellIs" rank="0" priority="2283" equalAverage="0" operator="lessThanOrEqual" aboveAverage="0" dxfId="0" text="" percent="0" bottom="0">
      <formula>0</formula>
    </cfRule>
  </conditionalFormatting>
  <conditionalFormatting sqref="G766">
    <cfRule type="cellIs" rank="0" priority="2284" equalAverage="0" operator="greaterThan" aboveAverage="0" dxfId="10" text="" percent="0" bottom="0">
      <formula>e{r}</formula>
    </cfRule>
  </conditionalFormatting>
  <conditionalFormatting sqref="H767">
    <cfRule type="cellIs" rank="0" priority="2285" equalAverage="0" operator="greaterThan" aboveAverage="0" dxfId="1" text="" percent="0" bottom="0">
      <formula>0</formula>
    </cfRule>
    <cfRule type="cellIs" rank="0" priority="2286" equalAverage="0" operator="lessThanOrEqual" aboveAverage="0" dxfId="0" text="" percent="0" bottom="0">
      <formula>0</formula>
    </cfRule>
  </conditionalFormatting>
  <conditionalFormatting sqref="G767">
    <cfRule type="cellIs" rank="0" priority="2287" equalAverage="0" operator="greaterThan" aboveAverage="0" dxfId="10" text="" percent="0" bottom="0">
      <formula>e{r}</formula>
    </cfRule>
  </conditionalFormatting>
  <conditionalFormatting sqref="H768">
    <cfRule type="cellIs" rank="0" priority="2288" equalAverage="0" operator="greaterThan" aboveAverage="0" dxfId="1" text="" percent="0" bottom="0">
      <formula>0</formula>
    </cfRule>
    <cfRule type="cellIs" rank="0" priority="2289" equalAverage="0" operator="lessThanOrEqual" aboveAverage="0" dxfId="0" text="" percent="0" bottom="0">
      <formula>0</formula>
    </cfRule>
  </conditionalFormatting>
  <conditionalFormatting sqref="G768">
    <cfRule type="cellIs" rank="0" priority="2290" equalAverage="0" operator="greaterThan" aboveAverage="0" dxfId="10" text="" percent="0" bottom="0">
      <formula>e{r}</formula>
    </cfRule>
  </conditionalFormatting>
  <conditionalFormatting sqref="H769">
    <cfRule type="cellIs" rank="0" priority="2291" equalAverage="0" operator="greaterThan" aboveAverage="0" dxfId="1" text="" percent="0" bottom="0">
      <formula>0</formula>
    </cfRule>
    <cfRule type="cellIs" rank="0" priority="2292" equalAverage="0" operator="lessThanOrEqual" aboveAverage="0" dxfId="0" text="" percent="0" bottom="0">
      <formula>0</formula>
    </cfRule>
  </conditionalFormatting>
  <conditionalFormatting sqref="G769">
    <cfRule type="cellIs" rank="0" priority="2293" equalAverage="0" operator="greaterThan" aboveAverage="0" dxfId="10" text="" percent="0" bottom="0">
      <formula>e{r}</formula>
    </cfRule>
  </conditionalFormatting>
  <conditionalFormatting sqref="H770">
    <cfRule type="cellIs" rank="0" priority="2294" equalAverage="0" operator="greaterThan" aboveAverage="0" dxfId="1" text="" percent="0" bottom="0">
      <formula>0</formula>
    </cfRule>
    <cfRule type="cellIs" rank="0" priority="2295" equalAverage="0" operator="lessThanOrEqual" aboveAverage="0" dxfId="0" text="" percent="0" bottom="0">
      <formula>0</formula>
    </cfRule>
  </conditionalFormatting>
  <conditionalFormatting sqref="G770">
    <cfRule type="cellIs" rank="0" priority="2296" equalAverage="0" operator="greaterThan" aboveAverage="0" dxfId="10" text="" percent="0" bottom="0">
      <formula>e{r}</formula>
    </cfRule>
  </conditionalFormatting>
  <conditionalFormatting sqref="H771">
    <cfRule type="cellIs" rank="0" priority="2297" equalAverage="0" operator="greaterThan" aboveAverage="0" dxfId="1" text="" percent="0" bottom="0">
      <formula>0</formula>
    </cfRule>
    <cfRule type="cellIs" rank="0" priority="2298" equalAverage="0" operator="lessThanOrEqual" aboveAverage="0" dxfId="0" text="" percent="0" bottom="0">
      <formula>0</formula>
    </cfRule>
  </conditionalFormatting>
  <conditionalFormatting sqref="G771">
    <cfRule type="cellIs" rank="0" priority="2299" equalAverage="0" operator="greaterThan" aboveAverage="0" dxfId="10" text="" percent="0" bottom="0">
      <formula>e{r}</formula>
    </cfRule>
  </conditionalFormatting>
  <conditionalFormatting sqref="H772">
    <cfRule type="cellIs" rank="0" priority="2300" equalAverage="0" operator="greaterThan" aboveAverage="0" dxfId="1" text="" percent="0" bottom="0">
      <formula>0</formula>
    </cfRule>
    <cfRule type="cellIs" rank="0" priority="2301" equalAverage="0" operator="lessThanOrEqual" aboveAverage="0" dxfId="0" text="" percent="0" bottom="0">
      <formula>0</formula>
    </cfRule>
  </conditionalFormatting>
  <conditionalFormatting sqref="G772">
    <cfRule type="cellIs" rank="0" priority="2302" equalAverage="0" operator="greaterThan" aboveAverage="0" dxfId="10" text="" percent="0" bottom="0">
      <formula>e{r}</formula>
    </cfRule>
  </conditionalFormatting>
  <conditionalFormatting sqref="H773">
    <cfRule type="cellIs" rank="0" priority="2303" equalAverage="0" operator="greaterThan" aboveAverage="0" dxfId="1" text="" percent="0" bottom="0">
      <formula>0</formula>
    </cfRule>
    <cfRule type="cellIs" rank="0" priority="2304" equalAverage="0" operator="lessThanOrEqual" aboveAverage="0" dxfId="0" text="" percent="0" bottom="0">
      <formula>0</formula>
    </cfRule>
  </conditionalFormatting>
  <conditionalFormatting sqref="G773">
    <cfRule type="cellIs" rank="0" priority="2305" equalAverage="0" operator="greaterThan" aboveAverage="0" dxfId="10" text="" percent="0" bottom="0">
      <formula>e{r}</formula>
    </cfRule>
  </conditionalFormatting>
  <conditionalFormatting sqref="H774">
    <cfRule type="cellIs" rank="0" priority="2306" equalAverage="0" operator="greaterThan" aboveAverage="0" dxfId="1" text="" percent="0" bottom="0">
      <formula>0</formula>
    </cfRule>
    <cfRule type="cellIs" rank="0" priority="2307" equalAverage="0" operator="lessThanOrEqual" aboveAverage="0" dxfId="0" text="" percent="0" bottom="0">
      <formula>0</formula>
    </cfRule>
  </conditionalFormatting>
  <conditionalFormatting sqref="G774">
    <cfRule type="cellIs" rank="0" priority="2308" equalAverage="0" operator="greaterThan" aboveAverage="0" dxfId="10" text="" percent="0" bottom="0">
      <formula>e{r}</formula>
    </cfRule>
  </conditionalFormatting>
  <conditionalFormatting sqref="H775">
    <cfRule type="cellIs" rank="0" priority="2309" equalAverage="0" operator="greaterThan" aboveAverage="0" dxfId="1" text="" percent="0" bottom="0">
      <formula>0</formula>
    </cfRule>
    <cfRule type="cellIs" rank="0" priority="2310" equalAverage="0" operator="lessThanOrEqual" aboveAverage="0" dxfId="0" text="" percent="0" bottom="0">
      <formula>0</formula>
    </cfRule>
  </conditionalFormatting>
  <conditionalFormatting sqref="G775">
    <cfRule type="cellIs" rank="0" priority="2311" equalAverage="0" operator="greaterThan" aboveAverage="0" dxfId="10" text="" percent="0" bottom="0">
      <formula>e{r}</formula>
    </cfRule>
  </conditionalFormatting>
  <conditionalFormatting sqref="H776">
    <cfRule type="cellIs" rank="0" priority="2312" equalAverage="0" operator="greaterThan" aboveAverage="0" dxfId="1" text="" percent="0" bottom="0">
      <formula>0</formula>
    </cfRule>
    <cfRule type="cellIs" rank="0" priority="2313" equalAverage="0" operator="lessThanOrEqual" aboveAverage="0" dxfId="0" text="" percent="0" bottom="0">
      <formula>0</formula>
    </cfRule>
  </conditionalFormatting>
  <conditionalFormatting sqref="G776">
    <cfRule type="cellIs" rank="0" priority="2314" equalAverage="0" operator="greaterThan" aboveAverage="0" dxfId="10" text="" percent="0" bottom="0">
      <formula>e{r}</formula>
    </cfRule>
  </conditionalFormatting>
  <conditionalFormatting sqref="H777">
    <cfRule type="cellIs" rank="0" priority="2315" equalAverage="0" operator="greaterThan" aboveAverage="0" dxfId="1" text="" percent="0" bottom="0">
      <formula>0</formula>
    </cfRule>
    <cfRule type="cellIs" rank="0" priority="2316" equalAverage="0" operator="lessThanOrEqual" aboveAverage="0" dxfId="0" text="" percent="0" bottom="0">
      <formula>0</formula>
    </cfRule>
  </conditionalFormatting>
  <conditionalFormatting sqref="G777">
    <cfRule type="cellIs" rank="0" priority="2317" equalAverage="0" operator="greaterThan" aboveAverage="0" dxfId="10" text="" percent="0" bottom="0">
      <formula>e{r}</formula>
    </cfRule>
  </conditionalFormatting>
  <conditionalFormatting sqref="H778">
    <cfRule type="cellIs" rank="0" priority="2318" equalAverage="0" operator="greaterThan" aboveAverage="0" dxfId="1" text="" percent="0" bottom="0">
      <formula>0</formula>
    </cfRule>
    <cfRule type="cellIs" rank="0" priority="2319" equalAverage="0" operator="lessThanOrEqual" aboveAverage="0" dxfId="0" text="" percent="0" bottom="0">
      <formula>0</formula>
    </cfRule>
  </conditionalFormatting>
  <conditionalFormatting sqref="G778">
    <cfRule type="cellIs" rank="0" priority="2320" equalAverage="0" operator="greaterThan" aboveAverage="0" dxfId="10" text="" percent="0" bottom="0">
      <formula>e{r}</formula>
    </cfRule>
  </conditionalFormatting>
  <conditionalFormatting sqref="H779">
    <cfRule type="cellIs" rank="0" priority="2321" equalAverage="0" operator="greaterThan" aboveAverage="0" dxfId="1" text="" percent="0" bottom="0">
      <formula>0</formula>
    </cfRule>
    <cfRule type="cellIs" rank="0" priority="2322" equalAverage="0" operator="lessThanOrEqual" aboveAverage="0" dxfId="0" text="" percent="0" bottom="0">
      <formula>0</formula>
    </cfRule>
  </conditionalFormatting>
  <conditionalFormatting sqref="G779">
    <cfRule type="cellIs" rank="0" priority="2323" equalAverage="0" operator="greaterThan" aboveAverage="0" dxfId="10" text="" percent="0" bottom="0">
      <formula>e{r}</formula>
    </cfRule>
  </conditionalFormatting>
  <conditionalFormatting sqref="H780">
    <cfRule type="cellIs" rank="0" priority="2324" equalAverage="0" operator="greaterThan" aboveAverage="0" dxfId="1" text="" percent="0" bottom="0">
      <formula>0</formula>
    </cfRule>
    <cfRule type="cellIs" rank="0" priority="2325" equalAverage="0" operator="lessThanOrEqual" aboveAverage="0" dxfId="0" text="" percent="0" bottom="0">
      <formula>0</formula>
    </cfRule>
  </conditionalFormatting>
  <conditionalFormatting sqref="G780">
    <cfRule type="cellIs" rank="0" priority="2326" equalAverage="0" operator="greaterThan" aboveAverage="0" dxfId="10" text="" percent="0" bottom="0">
      <formula>e{r}</formula>
    </cfRule>
  </conditionalFormatting>
  <conditionalFormatting sqref="H781">
    <cfRule type="cellIs" rank="0" priority="2327" equalAverage="0" operator="greaterThan" aboveAverage="0" dxfId="1" text="" percent="0" bottom="0">
      <formula>0</formula>
    </cfRule>
    <cfRule type="cellIs" rank="0" priority="2328" equalAverage="0" operator="lessThanOrEqual" aboveAverage="0" dxfId="0" text="" percent="0" bottom="0">
      <formula>0</formula>
    </cfRule>
  </conditionalFormatting>
  <conditionalFormatting sqref="G781">
    <cfRule type="cellIs" rank="0" priority="2329" equalAverage="0" operator="greaterThan" aboveAverage="0" dxfId="10" text="" percent="0" bottom="0">
      <formula>e{r}</formula>
    </cfRule>
  </conditionalFormatting>
  <conditionalFormatting sqref="H782">
    <cfRule type="cellIs" rank="0" priority="2330" equalAverage="0" operator="greaterThan" aboveAverage="0" dxfId="1" text="" percent="0" bottom="0">
      <formula>0</formula>
    </cfRule>
    <cfRule type="cellIs" rank="0" priority="2331" equalAverage="0" operator="lessThanOrEqual" aboveAverage="0" dxfId="0" text="" percent="0" bottom="0">
      <formula>0</formula>
    </cfRule>
  </conditionalFormatting>
  <conditionalFormatting sqref="G782">
    <cfRule type="cellIs" rank="0" priority="2332" equalAverage="0" operator="greaterThan" aboveAverage="0" dxfId="10" text="" percent="0" bottom="0">
      <formula>e{r}</formula>
    </cfRule>
  </conditionalFormatting>
  <conditionalFormatting sqref="H783">
    <cfRule type="cellIs" rank="0" priority="2333" equalAverage="0" operator="greaterThan" aboveAverage="0" dxfId="1" text="" percent="0" bottom="0">
      <formula>0</formula>
    </cfRule>
    <cfRule type="cellIs" rank="0" priority="2334" equalAverage="0" operator="lessThanOrEqual" aboveAverage="0" dxfId="0" text="" percent="0" bottom="0">
      <formula>0</formula>
    </cfRule>
  </conditionalFormatting>
  <conditionalFormatting sqref="G783">
    <cfRule type="cellIs" rank="0" priority="2335" equalAverage="0" operator="greaterThan" aboveAverage="0" dxfId="10" text="" percent="0" bottom="0">
      <formula>e{r}</formula>
    </cfRule>
  </conditionalFormatting>
  <conditionalFormatting sqref="H784">
    <cfRule type="cellIs" rank="0" priority="2336" equalAverage="0" operator="greaterThan" aboveAverage="0" dxfId="1" text="" percent="0" bottom="0">
      <formula>0</formula>
    </cfRule>
    <cfRule type="cellIs" rank="0" priority="2337" equalAverage="0" operator="lessThanOrEqual" aboveAverage="0" dxfId="0" text="" percent="0" bottom="0">
      <formula>0</formula>
    </cfRule>
  </conditionalFormatting>
  <conditionalFormatting sqref="G784">
    <cfRule type="cellIs" rank="0" priority="2338" equalAverage="0" operator="greaterThan" aboveAverage="0" dxfId="10" text="" percent="0" bottom="0">
      <formula>e{r}</formula>
    </cfRule>
  </conditionalFormatting>
  <conditionalFormatting sqref="H785">
    <cfRule type="cellIs" rank="0" priority="2339" equalAverage="0" operator="greaterThan" aboveAverage="0" dxfId="1" text="" percent="0" bottom="0">
      <formula>0</formula>
    </cfRule>
    <cfRule type="cellIs" rank="0" priority="2340" equalAverage="0" operator="lessThanOrEqual" aboveAverage="0" dxfId="0" text="" percent="0" bottom="0">
      <formula>0</formula>
    </cfRule>
  </conditionalFormatting>
  <conditionalFormatting sqref="G785">
    <cfRule type="cellIs" rank="0" priority="2341" equalAverage="0" operator="greaterThan" aboveAverage="0" dxfId="10" text="" percent="0" bottom="0">
      <formula>e{r}</formula>
    </cfRule>
  </conditionalFormatting>
  <conditionalFormatting sqref="H786">
    <cfRule type="cellIs" rank="0" priority="2342" equalAverage="0" operator="greaterThan" aboveAverage="0" dxfId="1" text="" percent="0" bottom="0">
      <formula>0</formula>
    </cfRule>
    <cfRule type="cellIs" rank="0" priority="2343" equalAverage="0" operator="lessThanOrEqual" aboveAverage="0" dxfId="0" text="" percent="0" bottom="0">
      <formula>0</formula>
    </cfRule>
  </conditionalFormatting>
  <conditionalFormatting sqref="G786">
    <cfRule type="cellIs" rank="0" priority="2344" equalAverage="0" operator="greaterThan" aboveAverage="0" dxfId="10" text="" percent="0" bottom="0">
      <formula>e{r}</formula>
    </cfRule>
  </conditionalFormatting>
  <conditionalFormatting sqref="H787">
    <cfRule type="cellIs" rank="0" priority="2345" equalAverage="0" operator="greaterThan" aboveAverage="0" dxfId="1" text="" percent="0" bottom="0">
      <formula>0</formula>
    </cfRule>
    <cfRule type="cellIs" rank="0" priority="2346" equalAverage="0" operator="lessThanOrEqual" aboveAverage="0" dxfId="0" text="" percent="0" bottom="0">
      <formula>0</formula>
    </cfRule>
  </conditionalFormatting>
  <conditionalFormatting sqref="G787">
    <cfRule type="cellIs" rank="0" priority="2347" equalAverage="0" operator="greaterThan" aboveAverage="0" dxfId="10" text="" percent="0" bottom="0">
      <formula>e{r}</formula>
    </cfRule>
  </conditionalFormatting>
  <conditionalFormatting sqref="H788">
    <cfRule type="cellIs" rank="0" priority="2348" equalAverage="0" operator="greaterThan" aboveAverage="0" dxfId="1" text="" percent="0" bottom="0">
      <formula>0</formula>
    </cfRule>
    <cfRule type="cellIs" rank="0" priority="2349" equalAverage="0" operator="lessThanOrEqual" aboveAverage="0" dxfId="0" text="" percent="0" bottom="0">
      <formula>0</formula>
    </cfRule>
  </conditionalFormatting>
  <conditionalFormatting sqref="G788">
    <cfRule type="cellIs" rank="0" priority="2350" equalAverage="0" operator="greaterThan" aboveAverage="0" dxfId="10" text="" percent="0" bottom="0">
      <formula>e{r}</formula>
    </cfRule>
  </conditionalFormatting>
  <conditionalFormatting sqref="H789">
    <cfRule type="cellIs" rank="0" priority="2351" equalAverage="0" operator="greaterThan" aboveAverage="0" dxfId="1" text="" percent="0" bottom="0">
      <formula>0</formula>
    </cfRule>
    <cfRule type="cellIs" rank="0" priority="2352" equalAverage="0" operator="lessThanOrEqual" aboveAverage="0" dxfId="0" text="" percent="0" bottom="0">
      <formula>0</formula>
    </cfRule>
  </conditionalFormatting>
  <conditionalFormatting sqref="G789">
    <cfRule type="cellIs" rank="0" priority="2353" equalAverage="0" operator="greaterThan" aboveAverage="0" dxfId="10" text="" percent="0" bottom="0">
      <formula>e{r}</formula>
    </cfRule>
  </conditionalFormatting>
  <conditionalFormatting sqref="H790">
    <cfRule type="cellIs" rank="0" priority="2354" equalAverage="0" operator="greaterThan" aboveAverage="0" dxfId="1" text="" percent="0" bottom="0">
      <formula>0</formula>
    </cfRule>
    <cfRule type="cellIs" rank="0" priority="2355" equalAverage="0" operator="lessThanOrEqual" aboveAverage="0" dxfId="0" text="" percent="0" bottom="0">
      <formula>0</formula>
    </cfRule>
  </conditionalFormatting>
  <conditionalFormatting sqref="G790">
    <cfRule type="cellIs" rank="0" priority="2356" equalAverage="0" operator="greaterThan" aboveAverage="0" dxfId="10" text="" percent="0" bottom="0">
      <formula>e{r}</formula>
    </cfRule>
  </conditionalFormatting>
  <conditionalFormatting sqref="H791">
    <cfRule type="cellIs" rank="0" priority="2357" equalAverage="0" operator="greaterThan" aboveAverage="0" dxfId="1" text="" percent="0" bottom="0">
      <formula>0</formula>
    </cfRule>
    <cfRule type="cellIs" rank="0" priority="2358" equalAverage="0" operator="lessThanOrEqual" aboveAverage="0" dxfId="0" text="" percent="0" bottom="0">
      <formula>0</formula>
    </cfRule>
  </conditionalFormatting>
  <conditionalFormatting sqref="G791">
    <cfRule type="cellIs" rank="0" priority="2359" equalAverage="0" operator="greaterThan" aboveAverage="0" dxfId="10" text="" percent="0" bottom="0">
      <formula>e{r}</formula>
    </cfRule>
  </conditionalFormatting>
  <conditionalFormatting sqref="H792">
    <cfRule type="cellIs" rank="0" priority="2360" equalAverage="0" operator="greaterThan" aboveAverage="0" dxfId="1" text="" percent="0" bottom="0">
      <formula>0</formula>
    </cfRule>
    <cfRule type="cellIs" rank="0" priority="2361" equalAverage="0" operator="lessThanOrEqual" aboveAverage="0" dxfId="0" text="" percent="0" bottom="0">
      <formula>0</formula>
    </cfRule>
  </conditionalFormatting>
  <conditionalFormatting sqref="G792">
    <cfRule type="cellIs" rank="0" priority="2362" equalAverage="0" operator="greaterThan" aboveAverage="0" dxfId="10" text="" percent="0" bottom="0">
      <formula>e{r}</formula>
    </cfRule>
  </conditionalFormatting>
  <conditionalFormatting sqref="H793">
    <cfRule type="cellIs" rank="0" priority="2363" equalAverage="0" operator="greaterThan" aboveAverage="0" dxfId="1" text="" percent="0" bottom="0">
      <formula>0</formula>
    </cfRule>
    <cfRule type="cellIs" rank="0" priority="2364" equalAverage="0" operator="lessThanOrEqual" aboveAverage="0" dxfId="0" text="" percent="0" bottom="0">
      <formula>0</formula>
    </cfRule>
  </conditionalFormatting>
  <conditionalFormatting sqref="G793">
    <cfRule type="cellIs" rank="0" priority="2365" equalAverage="0" operator="greaterThan" aboveAverage="0" dxfId="10" text="" percent="0" bottom="0">
      <formula>e{r}</formula>
    </cfRule>
  </conditionalFormatting>
  <conditionalFormatting sqref="H794">
    <cfRule type="cellIs" rank="0" priority="2366" equalAverage="0" operator="greaterThan" aboveAverage="0" dxfId="1" text="" percent="0" bottom="0">
      <formula>0</formula>
    </cfRule>
    <cfRule type="cellIs" rank="0" priority="2367" equalAverage="0" operator="lessThanOrEqual" aboveAverage="0" dxfId="0" text="" percent="0" bottom="0">
      <formula>0</formula>
    </cfRule>
  </conditionalFormatting>
  <conditionalFormatting sqref="G794">
    <cfRule type="cellIs" rank="0" priority="2368" equalAverage="0" operator="greaterThan" aboveAverage="0" dxfId="10" text="" percent="0" bottom="0">
      <formula>e{r}</formula>
    </cfRule>
  </conditionalFormatting>
  <conditionalFormatting sqref="H795">
    <cfRule type="cellIs" rank="0" priority="2369" equalAverage="0" operator="greaterThan" aboveAverage="0" dxfId="1" text="" percent="0" bottom="0">
      <formula>0</formula>
    </cfRule>
    <cfRule type="cellIs" rank="0" priority="2370" equalAverage="0" operator="lessThanOrEqual" aboveAverage="0" dxfId="0" text="" percent="0" bottom="0">
      <formula>0</formula>
    </cfRule>
  </conditionalFormatting>
  <conditionalFormatting sqref="G795">
    <cfRule type="cellIs" rank="0" priority="2371" equalAverage="0" operator="greaterThan" aboveAverage="0" dxfId="10" text="" percent="0" bottom="0">
      <formula>e{r}</formula>
    </cfRule>
  </conditionalFormatting>
  <conditionalFormatting sqref="H796">
    <cfRule type="cellIs" rank="0" priority="2372" equalAverage="0" operator="greaterThan" aboveAverage="0" dxfId="1" text="" percent="0" bottom="0">
      <formula>0</formula>
    </cfRule>
    <cfRule type="cellIs" rank="0" priority="2373" equalAverage="0" operator="lessThanOrEqual" aboveAverage="0" dxfId="0" text="" percent="0" bottom="0">
      <formula>0</formula>
    </cfRule>
  </conditionalFormatting>
  <conditionalFormatting sqref="G796">
    <cfRule type="cellIs" rank="0" priority="2374" equalAverage="0" operator="greaterThan" aboveAverage="0" dxfId="10" text="" percent="0" bottom="0">
      <formula>e{r}</formula>
    </cfRule>
  </conditionalFormatting>
  <conditionalFormatting sqref="H797">
    <cfRule type="cellIs" rank="0" priority="2375" equalAverage="0" operator="greaterThan" aboveAverage="0" dxfId="1" text="" percent="0" bottom="0">
      <formula>0</formula>
    </cfRule>
    <cfRule type="cellIs" rank="0" priority="2376" equalAverage="0" operator="lessThanOrEqual" aboveAverage="0" dxfId="0" text="" percent="0" bottom="0">
      <formula>0</formula>
    </cfRule>
  </conditionalFormatting>
  <conditionalFormatting sqref="G797">
    <cfRule type="cellIs" rank="0" priority="2377" equalAverage="0" operator="greaterThan" aboveAverage="0" dxfId="10" text="" percent="0" bottom="0">
      <formula>e{r}</formula>
    </cfRule>
  </conditionalFormatting>
  <conditionalFormatting sqref="H798">
    <cfRule type="cellIs" rank="0" priority="2378" equalAverage="0" operator="greaterThan" aboveAverage="0" dxfId="1" text="" percent="0" bottom="0">
      <formula>0</formula>
    </cfRule>
    <cfRule type="cellIs" rank="0" priority="2379" equalAverage="0" operator="lessThanOrEqual" aboveAverage="0" dxfId="0" text="" percent="0" bottom="0">
      <formula>0</formula>
    </cfRule>
  </conditionalFormatting>
  <conditionalFormatting sqref="G798">
    <cfRule type="cellIs" rank="0" priority="2380" equalAverage="0" operator="greaterThan" aboveAverage="0" dxfId="10" text="" percent="0" bottom="0">
      <formula>e{r}</formula>
    </cfRule>
  </conditionalFormatting>
  <conditionalFormatting sqref="H799">
    <cfRule type="cellIs" rank="0" priority="2381" equalAverage="0" operator="greaterThan" aboveAverage="0" dxfId="1" text="" percent="0" bottom="0">
      <formula>0</formula>
    </cfRule>
    <cfRule type="cellIs" rank="0" priority="2382" equalAverage="0" operator="lessThanOrEqual" aboveAverage="0" dxfId="0" text="" percent="0" bottom="0">
      <formula>0</formula>
    </cfRule>
  </conditionalFormatting>
  <conditionalFormatting sqref="G799">
    <cfRule type="cellIs" rank="0" priority="2383" equalAverage="0" operator="greaterThan" aboveAverage="0" dxfId="10" text="" percent="0" bottom="0">
      <formula>e{r}</formula>
    </cfRule>
  </conditionalFormatting>
  <conditionalFormatting sqref="H800">
    <cfRule type="cellIs" rank="0" priority="2384" equalAverage="0" operator="greaterThan" aboveAverage="0" dxfId="1" text="" percent="0" bottom="0">
      <formula>0</formula>
    </cfRule>
    <cfRule type="cellIs" rank="0" priority="2385" equalAverage="0" operator="lessThanOrEqual" aboveAverage="0" dxfId="0" text="" percent="0" bottom="0">
      <formula>0</formula>
    </cfRule>
  </conditionalFormatting>
  <conditionalFormatting sqref="G800">
    <cfRule type="cellIs" rank="0" priority="2386" equalAverage="0" operator="greaterThan" aboveAverage="0" dxfId="10" text="" percent="0" bottom="0">
      <formula>e{r}</formula>
    </cfRule>
  </conditionalFormatting>
  <conditionalFormatting sqref="H801">
    <cfRule type="cellIs" rank="0" priority="2387" equalAverage="0" operator="greaterThan" aboveAverage="0" dxfId="1" text="" percent="0" bottom="0">
      <formula>0</formula>
    </cfRule>
    <cfRule type="cellIs" rank="0" priority="2388" equalAverage="0" operator="lessThanOrEqual" aboveAverage="0" dxfId="0" text="" percent="0" bottom="0">
      <formula>0</formula>
    </cfRule>
  </conditionalFormatting>
  <conditionalFormatting sqref="G801">
    <cfRule type="cellIs" rank="0" priority="2389" equalAverage="0" operator="greaterThan" aboveAverage="0" dxfId="10" text="" percent="0" bottom="0">
      <formula>e{r}</formula>
    </cfRule>
  </conditionalFormatting>
  <conditionalFormatting sqref="H802">
    <cfRule type="cellIs" rank="0" priority="2390" equalAverage="0" operator="greaterThan" aboveAverage="0" dxfId="1" text="" percent="0" bottom="0">
      <formula>0</formula>
    </cfRule>
    <cfRule type="cellIs" rank="0" priority="2391" equalAverage="0" operator="lessThanOrEqual" aboveAverage="0" dxfId="0" text="" percent="0" bottom="0">
      <formula>0</formula>
    </cfRule>
  </conditionalFormatting>
  <conditionalFormatting sqref="G802">
    <cfRule type="cellIs" rank="0" priority="2392" equalAverage="0" operator="greaterThan" aboveAverage="0" dxfId="10" text="" percent="0" bottom="0">
      <formula>e{r}</formula>
    </cfRule>
  </conditionalFormatting>
  <conditionalFormatting sqref="H803">
    <cfRule type="cellIs" rank="0" priority="2393" equalAverage="0" operator="greaterThan" aboveAverage="0" dxfId="1" text="" percent="0" bottom="0">
      <formula>0</formula>
    </cfRule>
    <cfRule type="cellIs" rank="0" priority="2394" equalAverage="0" operator="lessThanOrEqual" aboveAverage="0" dxfId="0" text="" percent="0" bottom="0">
      <formula>0</formula>
    </cfRule>
  </conditionalFormatting>
  <conditionalFormatting sqref="G803">
    <cfRule type="cellIs" rank="0" priority="2395" equalAverage="0" operator="greaterThan" aboveAverage="0" dxfId="10" text="" percent="0" bottom="0">
      <formula>e{r}</formula>
    </cfRule>
  </conditionalFormatting>
  <conditionalFormatting sqref="H804">
    <cfRule type="cellIs" rank="0" priority="2396" equalAverage="0" operator="greaterThan" aboveAverage="0" dxfId="1" text="" percent="0" bottom="0">
      <formula>0</formula>
    </cfRule>
    <cfRule type="cellIs" rank="0" priority="2397" equalAverage="0" operator="lessThanOrEqual" aboveAverage="0" dxfId="0" text="" percent="0" bottom="0">
      <formula>0</formula>
    </cfRule>
  </conditionalFormatting>
  <conditionalFormatting sqref="G804">
    <cfRule type="cellIs" rank="0" priority="2398" equalAverage="0" operator="greaterThan" aboveAverage="0" dxfId="10" text="" percent="0" bottom="0">
      <formula>e{r}</formula>
    </cfRule>
  </conditionalFormatting>
  <conditionalFormatting sqref="H805">
    <cfRule type="cellIs" rank="0" priority="2399" equalAverage="0" operator="greaterThan" aboveAverage="0" dxfId="1" text="" percent="0" bottom="0">
      <formula>0</formula>
    </cfRule>
    <cfRule type="cellIs" rank="0" priority="2400" equalAverage="0" operator="lessThanOrEqual" aboveAverage="0" dxfId="0" text="" percent="0" bottom="0">
      <formula>0</formula>
    </cfRule>
  </conditionalFormatting>
  <conditionalFormatting sqref="G805">
    <cfRule type="cellIs" rank="0" priority="2401" equalAverage="0" operator="greaterThan" aboveAverage="0" dxfId="10" text="" percent="0" bottom="0">
      <formula>e{r}</formula>
    </cfRule>
  </conditionalFormatting>
  <conditionalFormatting sqref="H806">
    <cfRule type="cellIs" rank="0" priority="2402" equalAverage="0" operator="greaterThan" aboveAverage="0" dxfId="1" text="" percent="0" bottom="0">
      <formula>0</formula>
    </cfRule>
    <cfRule type="cellIs" rank="0" priority="2403" equalAverage="0" operator="lessThanOrEqual" aboveAverage="0" dxfId="0" text="" percent="0" bottom="0">
      <formula>0</formula>
    </cfRule>
  </conditionalFormatting>
  <conditionalFormatting sqref="G806">
    <cfRule type="cellIs" rank="0" priority="2404" equalAverage="0" operator="greaterThan" aboveAverage="0" dxfId="10" text="" percent="0" bottom="0">
      <formula>e{r}</formula>
    </cfRule>
  </conditionalFormatting>
  <conditionalFormatting sqref="H807">
    <cfRule type="cellIs" rank="0" priority="2405" equalAverage="0" operator="greaterThan" aboveAverage="0" dxfId="1" text="" percent="0" bottom="0">
      <formula>0</formula>
    </cfRule>
    <cfRule type="cellIs" rank="0" priority="2406" equalAverage="0" operator="lessThanOrEqual" aboveAverage="0" dxfId="0" text="" percent="0" bottom="0">
      <formula>0</formula>
    </cfRule>
  </conditionalFormatting>
  <conditionalFormatting sqref="G807">
    <cfRule type="cellIs" rank="0" priority="2407" equalAverage="0" operator="greaterThan" aboveAverage="0" dxfId="10" text="" percent="0" bottom="0">
      <formula>e{r}</formula>
    </cfRule>
  </conditionalFormatting>
  <conditionalFormatting sqref="H808">
    <cfRule type="cellIs" rank="0" priority="2408" equalAverage="0" operator="greaterThan" aboveAverage="0" dxfId="1" text="" percent="0" bottom="0">
      <formula>0</formula>
    </cfRule>
    <cfRule type="cellIs" rank="0" priority="2409" equalAverage="0" operator="lessThanOrEqual" aboveAverage="0" dxfId="0" text="" percent="0" bottom="0">
      <formula>0</formula>
    </cfRule>
  </conditionalFormatting>
  <conditionalFormatting sqref="G808">
    <cfRule type="cellIs" rank="0" priority="2410" equalAverage="0" operator="greaterThan" aboveAverage="0" dxfId="10" text="" percent="0" bottom="0">
      <formula>e{r}</formula>
    </cfRule>
  </conditionalFormatting>
  <conditionalFormatting sqref="H809">
    <cfRule type="cellIs" rank="0" priority="2411" equalAverage="0" operator="greaterThan" aboveAverage="0" dxfId="1" text="" percent="0" bottom="0">
      <formula>0</formula>
    </cfRule>
    <cfRule type="cellIs" rank="0" priority="2412" equalAverage="0" operator="lessThanOrEqual" aboveAverage="0" dxfId="0" text="" percent="0" bottom="0">
      <formula>0</formula>
    </cfRule>
  </conditionalFormatting>
  <conditionalFormatting sqref="G809">
    <cfRule type="cellIs" rank="0" priority="2413" equalAverage="0" operator="greaterThan" aboveAverage="0" dxfId="10" text="" percent="0" bottom="0">
      <formula>e{r}</formula>
    </cfRule>
  </conditionalFormatting>
  <conditionalFormatting sqref="H810">
    <cfRule type="cellIs" rank="0" priority="2414" equalAverage="0" operator="greaterThan" aboveAverage="0" dxfId="1" text="" percent="0" bottom="0">
      <formula>0</formula>
    </cfRule>
    <cfRule type="cellIs" rank="0" priority="2415" equalAverage="0" operator="lessThanOrEqual" aboveAverage="0" dxfId="0" text="" percent="0" bottom="0">
      <formula>0</formula>
    </cfRule>
  </conditionalFormatting>
  <conditionalFormatting sqref="G810">
    <cfRule type="cellIs" rank="0" priority="2416" equalAverage="0" operator="greaterThan" aboveAverage="0" dxfId="10" text="" percent="0" bottom="0">
      <formula>e{r}</formula>
    </cfRule>
  </conditionalFormatting>
  <conditionalFormatting sqref="H811">
    <cfRule type="cellIs" rank="0" priority="2417" equalAverage="0" operator="greaterThan" aboveAverage="0" dxfId="1" text="" percent="0" bottom="0">
      <formula>0</formula>
    </cfRule>
    <cfRule type="cellIs" rank="0" priority="2418" equalAverage="0" operator="lessThanOrEqual" aboveAverage="0" dxfId="0" text="" percent="0" bottom="0">
      <formula>0</formula>
    </cfRule>
  </conditionalFormatting>
  <conditionalFormatting sqref="G811">
    <cfRule type="cellIs" rank="0" priority="2419" equalAverage="0" operator="greaterThan" aboveAverage="0" dxfId="10" text="" percent="0" bottom="0">
      <formula>e{r}</formula>
    </cfRule>
  </conditionalFormatting>
  <conditionalFormatting sqref="H812">
    <cfRule type="cellIs" rank="0" priority="2420" equalAverage="0" operator="greaterThan" aboveAverage="0" dxfId="1" text="" percent="0" bottom="0">
      <formula>0</formula>
    </cfRule>
    <cfRule type="cellIs" rank="0" priority="2421" equalAverage="0" operator="lessThanOrEqual" aboveAverage="0" dxfId="0" text="" percent="0" bottom="0">
      <formula>0</formula>
    </cfRule>
  </conditionalFormatting>
  <conditionalFormatting sqref="G812">
    <cfRule type="cellIs" rank="0" priority="2422" equalAverage="0" operator="greaterThan" aboveAverage="0" dxfId="10" text="" percent="0" bottom="0">
      <formula>e{r}</formula>
    </cfRule>
  </conditionalFormatting>
  <conditionalFormatting sqref="H813">
    <cfRule type="cellIs" rank="0" priority="2423" equalAverage="0" operator="greaterThan" aboveAverage="0" dxfId="1" text="" percent="0" bottom="0">
      <formula>0</formula>
    </cfRule>
    <cfRule type="cellIs" rank="0" priority="2424" equalAverage="0" operator="lessThanOrEqual" aboveAverage="0" dxfId="0" text="" percent="0" bottom="0">
      <formula>0</formula>
    </cfRule>
  </conditionalFormatting>
  <conditionalFormatting sqref="G813">
    <cfRule type="cellIs" rank="0" priority="2425" equalAverage="0" operator="greaterThan" aboveAverage="0" dxfId="10" text="" percent="0" bottom="0">
      <formula>e{r}</formula>
    </cfRule>
  </conditionalFormatting>
  <conditionalFormatting sqref="H814">
    <cfRule type="cellIs" rank="0" priority="2426" equalAverage="0" operator="greaterThan" aboveAverage="0" dxfId="1" text="" percent="0" bottom="0">
      <formula>0</formula>
    </cfRule>
    <cfRule type="cellIs" rank="0" priority="2427" equalAverage="0" operator="lessThanOrEqual" aboveAverage="0" dxfId="0" text="" percent="0" bottom="0">
      <formula>0</formula>
    </cfRule>
  </conditionalFormatting>
  <conditionalFormatting sqref="G814">
    <cfRule type="cellIs" rank="0" priority="2428" equalAverage="0" operator="greaterThan" aboveAverage="0" dxfId="10" text="" percent="0" bottom="0">
      <formula>e{r}</formula>
    </cfRule>
  </conditionalFormatting>
  <conditionalFormatting sqref="H815">
    <cfRule type="cellIs" rank="0" priority="2429" equalAverage="0" operator="greaterThan" aboveAverage="0" dxfId="1" text="" percent="0" bottom="0">
      <formula>0</formula>
    </cfRule>
    <cfRule type="cellIs" rank="0" priority="2430" equalAverage="0" operator="lessThanOrEqual" aboveAverage="0" dxfId="0" text="" percent="0" bottom="0">
      <formula>0</formula>
    </cfRule>
  </conditionalFormatting>
  <conditionalFormatting sqref="G815">
    <cfRule type="cellIs" rank="0" priority="2431" equalAverage="0" operator="greaterThan" aboveAverage="0" dxfId="10" text="" percent="0" bottom="0">
      <formula>e{r}</formula>
    </cfRule>
  </conditionalFormatting>
  <conditionalFormatting sqref="H816">
    <cfRule type="cellIs" rank="0" priority="2432" equalAverage="0" operator="greaterThan" aboveAverage="0" dxfId="1" text="" percent="0" bottom="0">
      <formula>0</formula>
    </cfRule>
    <cfRule type="cellIs" rank="0" priority="2433" equalAverage="0" operator="lessThanOrEqual" aboveAverage="0" dxfId="0" text="" percent="0" bottom="0">
      <formula>0</formula>
    </cfRule>
  </conditionalFormatting>
  <conditionalFormatting sqref="G816">
    <cfRule type="cellIs" rank="0" priority="2434" equalAverage="0" operator="greaterThan" aboveAverage="0" dxfId="10" text="" percent="0" bottom="0">
      <formula>e{r}</formula>
    </cfRule>
  </conditionalFormatting>
  <conditionalFormatting sqref="H817">
    <cfRule type="cellIs" rank="0" priority="2435" equalAverage="0" operator="greaterThan" aboveAverage="0" dxfId="1" text="" percent="0" bottom="0">
      <formula>0</formula>
    </cfRule>
    <cfRule type="cellIs" rank="0" priority="2436" equalAverage="0" operator="lessThanOrEqual" aboveAverage="0" dxfId="0" text="" percent="0" bottom="0">
      <formula>0</formula>
    </cfRule>
  </conditionalFormatting>
  <conditionalFormatting sqref="G817">
    <cfRule type="cellIs" rank="0" priority="2437" equalAverage="0" operator="greaterThan" aboveAverage="0" dxfId="10" text="" percent="0" bottom="0">
      <formula>e{r}</formula>
    </cfRule>
  </conditionalFormatting>
  <conditionalFormatting sqref="H818">
    <cfRule type="cellIs" rank="0" priority="2438" equalAverage="0" operator="greaterThan" aboveAverage="0" dxfId="1" text="" percent="0" bottom="0">
      <formula>0</formula>
    </cfRule>
    <cfRule type="cellIs" rank="0" priority="2439" equalAverage="0" operator="lessThanOrEqual" aboveAverage="0" dxfId="0" text="" percent="0" bottom="0">
      <formula>0</formula>
    </cfRule>
  </conditionalFormatting>
  <conditionalFormatting sqref="G818">
    <cfRule type="cellIs" rank="0" priority="2440" equalAverage="0" operator="greaterThan" aboveAverage="0" dxfId="10" text="" percent="0" bottom="0">
      <formula>e{r}</formula>
    </cfRule>
  </conditionalFormatting>
  <conditionalFormatting sqref="H819">
    <cfRule type="cellIs" rank="0" priority="2441" equalAverage="0" operator="greaterThan" aboveAverage="0" dxfId="1" text="" percent="0" bottom="0">
      <formula>0</formula>
    </cfRule>
    <cfRule type="cellIs" rank="0" priority="2442" equalAverage="0" operator="lessThanOrEqual" aboveAverage="0" dxfId="0" text="" percent="0" bottom="0">
      <formula>0</formula>
    </cfRule>
  </conditionalFormatting>
  <conditionalFormatting sqref="G819">
    <cfRule type="cellIs" rank="0" priority="2443" equalAverage="0" operator="greaterThan" aboveAverage="0" dxfId="10" text="" percent="0" bottom="0">
      <formula>e{r}</formula>
    </cfRule>
  </conditionalFormatting>
  <conditionalFormatting sqref="H820">
    <cfRule type="cellIs" rank="0" priority="2444" equalAverage="0" operator="greaterThan" aboveAverage="0" dxfId="1" text="" percent="0" bottom="0">
      <formula>0</formula>
    </cfRule>
    <cfRule type="cellIs" rank="0" priority="2445" equalAverage="0" operator="lessThanOrEqual" aboveAverage="0" dxfId="0" text="" percent="0" bottom="0">
      <formula>0</formula>
    </cfRule>
  </conditionalFormatting>
  <conditionalFormatting sqref="G820">
    <cfRule type="cellIs" rank="0" priority="2446" equalAverage="0" operator="greaterThan" aboveAverage="0" dxfId="10" text="" percent="0" bottom="0">
      <formula>e{r}</formula>
    </cfRule>
  </conditionalFormatting>
  <conditionalFormatting sqref="H821">
    <cfRule type="cellIs" rank="0" priority="2447" equalAverage="0" operator="greaterThan" aboveAverage="0" dxfId="1" text="" percent="0" bottom="0">
      <formula>0</formula>
    </cfRule>
    <cfRule type="cellIs" rank="0" priority="2448" equalAverage="0" operator="lessThanOrEqual" aboveAverage="0" dxfId="0" text="" percent="0" bottom="0">
      <formula>0</formula>
    </cfRule>
  </conditionalFormatting>
  <conditionalFormatting sqref="G821">
    <cfRule type="cellIs" rank="0" priority="2449" equalAverage="0" operator="greaterThan" aboveAverage="0" dxfId="10" text="" percent="0" bottom="0">
      <formula>e{r}</formula>
    </cfRule>
  </conditionalFormatting>
  <conditionalFormatting sqref="H822">
    <cfRule type="cellIs" rank="0" priority="2450" equalAverage="0" operator="greaterThan" aboveAverage="0" dxfId="1" text="" percent="0" bottom="0">
      <formula>0</formula>
    </cfRule>
    <cfRule type="cellIs" rank="0" priority="2451" equalAverage="0" operator="lessThanOrEqual" aboveAverage="0" dxfId="0" text="" percent="0" bottom="0">
      <formula>0</formula>
    </cfRule>
  </conditionalFormatting>
  <conditionalFormatting sqref="G822">
    <cfRule type="cellIs" rank="0" priority="2452" equalAverage="0" operator="greaterThan" aboveAverage="0" dxfId="10" text="" percent="0" bottom="0">
      <formula>e{r}</formula>
    </cfRule>
  </conditionalFormatting>
  <conditionalFormatting sqref="H823">
    <cfRule type="cellIs" rank="0" priority="2453" equalAverage="0" operator="greaterThan" aboveAverage="0" dxfId="1" text="" percent="0" bottom="0">
      <formula>0</formula>
    </cfRule>
    <cfRule type="cellIs" rank="0" priority="2454" equalAverage="0" operator="lessThanOrEqual" aboveAverage="0" dxfId="0" text="" percent="0" bottom="0">
      <formula>0</formula>
    </cfRule>
  </conditionalFormatting>
  <conditionalFormatting sqref="G823">
    <cfRule type="cellIs" rank="0" priority="2455" equalAverage="0" operator="greaterThan" aboveAverage="0" dxfId="10" text="" percent="0" bottom="0">
      <formula>e{r}</formula>
    </cfRule>
  </conditionalFormatting>
  <conditionalFormatting sqref="H824">
    <cfRule type="cellIs" rank="0" priority="2456" equalAverage="0" operator="greaterThan" aboveAverage="0" dxfId="1" text="" percent="0" bottom="0">
      <formula>0</formula>
    </cfRule>
    <cfRule type="cellIs" rank="0" priority="2457" equalAverage="0" operator="lessThanOrEqual" aboveAverage="0" dxfId="0" text="" percent="0" bottom="0">
      <formula>0</formula>
    </cfRule>
  </conditionalFormatting>
  <conditionalFormatting sqref="G824">
    <cfRule type="cellIs" rank="0" priority="2458" equalAverage="0" operator="greaterThan" aboveAverage="0" dxfId="10" text="" percent="0" bottom="0">
      <formula>e{r}</formula>
    </cfRule>
  </conditionalFormatting>
  <conditionalFormatting sqref="H825">
    <cfRule type="cellIs" rank="0" priority="2459" equalAverage="0" operator="greaterThan" aboveAverage="0" dxfId="1" text="" percent="0" bottom="0">
      <formula>0</formula>
    </cfRule>
    <cfRule type="cellIs" rank="0" priority="2460" equalAverage="0" operator="lessThanOrEqual" aboveAverage="0" dxfId="0" text="" percent="0" bottom="0">
      <formula>0</formula>
    </cfRule>
  </conditionalFormatting>
  <conditionalFormatting sqref="G825">
    <cfRule type="cellIs" rank="0" priority="2461" equalAverage="0" operator="greaterThan" aboveAverage="0" dxfId="10" text="" percent="0" bottom="0">
      <formula>e{r}</formula>
    </cfRule>
  </conditionalFormatting>
  <conditionalFormatting sqref="H826">
    <cfRule type="cellIs" rank="0" priority="2462" equalAverage="0" operator="greaterThan" aboveAverage="0" dxfId="1" text="" percent="0" bottom="0">
      <formula>0</formula>
    </cfRule>
    <cfRule type="cellIs" rank="0" priority="2463" equalAverage="0" operator="lessThanOrEqual" aboveAverage="0" dxfId="0" text="" percent="0" bottom="0">
      <formula>0</formula>
    </cfRule>
  </conditionalFormatting>
  <conditionalFormatting sqref="G826">
    <cfRule type="cellIs" rank="0" priority="2464" equalAverage="0" operator="greaterThan" aboveAverage="0" dxfId="10" text="" percent="0" bottom="0">
      <formula>e{r}</formula>
    </cfRule>
  </conditionalFormatting>
  <conditionalFormatting sqref="H827">
    <cfRule type="cellIs" rank="0" priority="2465" equalAverage="0" operator="greaterThan" aboveAverage="0" dxfId="1" text="" percent="0" bottom="0">
      <formula>0</formula>
    </cfRule>
    <cfRule type="cellIs" rank="0" priority="2466" equalAverage="0" operator="lessThanOrEqual" aboveAverage="0" dxfId="0" text="" percent="0" bottom="0">
      <formula>0</formula>
    </cfRule>
  </conditionalFormatting>
  <conditionalFormatting sqref="G827">
    <cfRule type="cellIs" rank="0" priority="2467" equalAverage="0" operator="greaterThan" aboveAverage="0" dxfId="10" text="" percent="0" bottom="0">
      <formula>e{r}</formula>
    </cfRule>
  </conditionalFormatting>
  <conditionalFormatting sqref="H828">
    <cfRule type="cellIs" rank="0" priority="2468" equalAverage="0" operator="greaterThan" aboveAverage="0" dxfId="1" text="" percent="0" bottom="0">
      <formula>0</formula>
    </cfRule>
    <cfRule type="cellIs" rank="0" priority="2469" equalAverage="0" operator="lessThanOrEqual" aboveAverage="0" dxfId="0" text="" percent="0" bottom="0">
      <formula>0</formula>
    </cfRule>
  </conditionalFormatting>
  <conditionalFormatting sqref="G828">
    <cfRule type="cellIs" rank="0" priority="2470" equalAverage="0" operator="greaterThan" aboveAverage="0" dxfId="10" text="" percent="0" bottom="0">
      <formula>e{r}</formula>
    </cfRule>
  </conditionalFormatting>
  <conditionalFormatting sqref="H829">
    <cfRule type="cellIs" rank="0" priority="2471" equalAverage="0" operator="greaterThan" aboveAverage="0" dxfId="1" text="" percent="0" bottom="0">
      <formula>0</formula>
    </cfRule>
    <cfRule type="cellIs" rank="0" priority="2472" equalAverage="0" operator="lessThanOrEqual" aboveAverage="0" dxfId="0" text="" percent="0" bottom="0">
      <formula>0</formula>
    </cfRule>
  </conditionalFormatting>
  <conditionalFormatting sqref="G829">
    <cfRule type="cellIs" rank="0" priority="2473" equalAverage="0" operator="greaterThan" aboveAverage="0" dxfId="10" text="" percent="0" bottom="0">
      <formula>e{r}</formula>
    </cfRule>
  </conditionalFormatting>
  <conditionalFormatting sqref="H830">
    <cfRule type="cellIs" rank="0" priority="2474" equalAverage="0" operator="greaterThan" aboveAverage="0" dxfId="1" text="" percent="0" bottom="0">
      <formula>0</formula>
    </cfRule>
    <cfRule type="cellIs" rank="0" priority="2475" equalAverage="0" operator="lessThanOrEqual" aboveAverage="0" dxfId="0" text="" percent="0" bottom="0">
      <formula>0</formula>
    </cfRule>
  </conditionalFormatting>
  <conditionalFormatting sqref="G830">
    <cfRule type="cellIs" rank="0" priority="2476" equalAverage="0" operator="greaterThan" aboveAverage="0" dxfId="10" text="" percent="0" bottom="0">
      <formula>e{r}</formula>
    </cfRule>
  </conditionalFormatting>
  <conditionalFormatting sqref="H831">
    <cfRule type="cellIs" rank="0" priority="2477" equalAverage="0" operator="greaterThan" aboveAverage="0" dxfId="1" text="" percent="0" bottom="0">
      <formula>0</formula>
    </cfRule>
    <cfRule type="cellIs" rank="0" priority="2478" equalAverage="0" operator="lessThanOrEqual" aboveAverage="0" dxfId="0" text="" percent="0" bottom="0">
      <formula>0</formula>
    </cfRule>
  </conditionalFormatting>
  <conditionalFormatting sqref="G831">
    <cfRule type="cellIs" rank="0" priority="2479" equalAverage="0" operator="greaterThan" aboveAverage="0" dxfId="10" text="" percent="0" bottom="0">
      <formula>e{r}</formula>
    </cfRule>
  </conditionalFormatting>
  <conditionalFormatting sqref="H832">
    <cfRule type="cellIs" rank="0" priority="2480" equalAverage="0" operator="greaterThan" aboveAverage="0" dxfId="1" text="" percent="0" bottom="0">
      <formula>0</formula>
    </cfRule>
    <cfRule type="cellIs" rank="0" priority="2481" equalAverage="0" operator="lessThanOrEqual" aboveAverage="0" dxfId="0" text="" percent="0" bottom="0">
      <formula>0</formula>
    </cfRule>
  </conditionalFormatting>
  <conditionalFormatting sqref="G832">
    <cfRule type="cellIs" rank="0" priority="2482" equalAverage="0" operator="greaterThan" aboveAverage="0" dxfId="10" text="" percent="0" bottom="0">
      <formula>e{r}</formula>
    </cfRule>
  </conditionalFormatting>
  <conditionalFormatting sqref="H833">
    <cfRule type="cellIs" rank="0" priority="2483" equalAverage="0" operator="greaterThan" aboveAverage="0" dxfId="1" text="" percent="0" bottom="0">
      <formula>0</formula>
    </cfRule>
    <cfRule type="cellIs" rank="0" priority="2484" equalAverage="0" operator="lessThanOrEqual" aboveAverage="0" dxfId="0" text="" percent="0" bottom="0">
      <formula>0</formula>
    </cfRule>
  </conditionalFormatting>
  <conditionalFormatting sqref="G833">
    <cfRule type="cellIs" rank="0" priority="2485" equalAverage="0" operator="greaterThan" aboveAverage="0" dxfId="10" text="" percent="0" bottom="0">
      <formula>e{r}</formula>
    </cfRule>
  </conditionalFormatting>
  <conditionalFormatting sqref="H834">
    <cfRule type="cellIs" rank="0" priority="2486" equalAverage="0" operator="greaterThan" aboveAverage="0" dxfId="1" text="" percent="0" bottom="0">
      <formula>0</formula>
    </cfRule>
    <cfRule type="cellIs" rank="0" priority="2487" equalAverage="0" operator="lessThanOrEqual" aboveAverage="0" dxfId="0" text="" percent="0" bottom="0">
      <formula>0</formula>
    </cfRule>
  </conditionalFormatting>
  <conditionalFormatting sqref="G834">
    <cfRule type="cellIs" rank="0" priority="2488" equalAverage="0" operator="greaterThan" aboveAverage="0" dxfId="10" text="" percent="0" bottom="0">
      <formula>e{r}</formula>
    </cfRule>
  </conditionalFormatting>
  <conditionalFormatting sqref="H835">
    <cfRule type="cellIs" rank="0" priority="2489" equalAverage="0" operator="greaterThan" aboveAverage="0" dxfId="1" text="" percent="0" bottom="0">
      <formula>0</formula>
    </cfRule>
    <cfRule type="cellIs" rank="0" priority="2490" equalAverage="0" operator="lessThanOrEqual" aboveAverage="0" dxfId="0" text="" percent="0" bottom="0">
      <formula>0</formula>
    </cfRule>
  </conditionalFormatting>
  <conditionalFormatting sqref="G835">
    <cfRule type="cellIs" rank="0" priority="2491" equalAverage="0" operator="greaterThan" aboveAverage="0" dxfId="10" text="" percent="0" bottom="0">
      <formula>e{r}</formula>
    </cfRule>
  </conditionalFormatting>
  <conditionalFormatting sqref="H836">
    <cfRule type="cellIs" rank="0" priority="2492" equalAverage="0" operator="greaterThan" aboveAverage="0" dxfId="1" text="" percent="0" bottom="0">
      <formula>0</formula>
    </cfRule>
    <cfRule type="cellIs" rank="0" priority="2493" equalAverage="0" operator="lessThanOrEqual" aboveAverage="0" dxfId="0" text="" percent="0" bottom="0">
      <formula>0</formula>
    </cfRule>
  </conditionalFormatting>
  <conditionalFormatting sqref="G836">
    <cfRule type="cellIs" rank="0" priority="2494" equalAverage="0" operator="greaterThan" aboveAverage="0" dxfId="10" text="" percent="0" bottom="0">
      <formula>e{r}</formula>
    </cfRule>
  </conditionalFormatting>
  <conditionalFormatting sqref="H837">
    <cfRule type="cellIs" rank="0" priority="2495" equalAverage="0" operator="greaterThan" aboveAverage="0" dxfId="1" text="" percent="0" bottom="0">
      <formula>0</formula>
    </cfRule>
    <cfRule type="cellIs" rank="0" priority="2496" equalAverage="0" operator="lessThanOrEqual" aboveAverage="0" dxfId="0" text="" percent="0" bottom="0">
      <formula>0</formula>
    </cfRule>
  </conditionalFormatting>
  <conditionalFormatting sqref="G837">
    <cfRule type="cellIs" rank="0" priority="2497" equalAverage="0" operator="greaterThan" aboveAverage="0" dxfId="10" text="" percent="0" bottom="0">
      <formula>e{r}</formula>
    </cfRule>
  </conditionalFormatting>
  <conditionalFormatting sqref="H838">
    <cfRule type="cellIs" rank="0" priority="2498" equalAverage="0" operator="greaterThan" aboveAverage="0" dxfId="1" text="" percent="0" bottom="0">
      <formula>0</formula>
    </cfRule>
    <cfRule type="cellIs" rank="0" priority="2499" equalAverage="0" operator="lessThanOrEqual" aboveAverage="0" dxfId="0" text="" percent="0" bottom="0">
      <formula>0</formula>
    </cfRule>
  </conditionalFormatting>
  <conditionalFormatting sqref="G838">
    <cfRule type="cellIs" rank="0" priority="2500" equalAverage="0" operator="greaterThan" aboveAverage="0" dxfId="10" text="" percent="0" bottom="0">
      <formula>e{r}</formula>
    </cfRule>
  </conditionalFormatting>
  <conditionalFormatting sqref="H839">
    <cfRule type="cellIs" rank="0" priority="2501" equalAverage="0" operator="greaterThan" aboveAverage="0" dxfId="1" text="" percent="0" bottom="0">
      <formula>0</formula>
    </cfRule>
    <cfRule type="cellIs" rank="0" priority="2502" equalAverage="0" operator="lessThanOrEqual" aboveAverage="0" dxfId="0" text="" percent="0" bottom="0">
      <formula>0</formula>
    </cfRule>
  </conditionalFormatting>
  <conditionalFormatting sqref="G839">
    <cfRule type="cellIs" rank="0" priority="2503" equalAverage="0" operator="greaterThan" aboveAverage="0" dxfId="10" text="" percent="0" bottom="0">
      <formula>e{r}</formula>
    </cfRule>
  </conditionalFormatting>
  <conditionalFormatting sqref="H840">
    <cfRule type="cellIs" rank="0" priority="2504" equalAverage="0" operator="greaterThan" aboveAverage="0" dxfId="1" text="" percent="0" bottom="0">
      <formula>0</formula>
    </cfRule>
    <cfRule type="cellIs" rank="0" priority="2505" equalAverage="0" operator="lessThanOrEqual" aboveAverage="0" dxfId="0" text="" percent="0" bottom="0">
      <formula>0</formula>
    </cfRule>
  </conditionalFormatting>
  <conditionalFormatting sqref="G840">
    <cfRule type="cellIs" rank="0" priority="2506" equalAverage="0" operator="greaterThan" aboveAverage="0" dxfId="10" text="" percent="0" bottom="0">
      <formula>e{r}</formula>
    </cfRule>
  </conditionalFormatting>
  <conditionalFormatting sqref="H841">
    <cfRule type="cellIs" rank="0" priority="2507" equalAverage="0" operator="greaterThan" aboveAverage="0" dxfId="1" text="" percent="0" bottom="0">
      <formula>0</formula>
    </cfRule>
    <cfRule type="cellIs" rank="0" priority="2508" equalAverage="0" operator="lessThanOrEqual" aboveAverage="0" dxfId="0" text="" percent="0" bottom="0">
      <formula>0</formula>
    </cfRule>
  </conditionalFormatting>
  <conditionalFormatting sqref="G841">
    <cfRule type="cellIs" rank="0" priority="2509" equalAverage="0" operator="greaterThan" aboveAverage="0" dxfId="10" text="" percent="0" bottom="0">
      <formula>e{r}</formula>
    </cfRule>
  </conditionalFormatting>
  <conditionalFormatting sqref="H842">
    <cfRule type="cellIs" rank="0" priority="2510" equalAverage="0" operator="greaterThan" aboveAverage="0" dxfId="1" text="" percent="0" bottom="0">
      <formula>0</formula>
    </cfRule>
    <cfRule type="cellIs" rank="0" priority="2511" equalAverage="0" operator="lessThanOrEqual" aboveAverage="0" dxfId="0" text="" percent="0" bottom="0">
      <formula>0</formula>
    </cfRule>
  </conditionalFormatting>
  <conditionalFormatting sqref="G842">
    <cfRule type="cellIs" rank="0" priority="2512" equalAverage="0" operator="greaterThan" aboveAverage="0" dxfId="10" text="" percent="0" bottom="0">
      <formula>e{r}</formula>
    </cfRule>
  </conditionalFormatting>
  <conditionalFormatting sqref="H843">
    <cfRule type="cellIs" rank="0" priority="2513" equalAverage="0" operator="greaterThan" aboveAverage="0" dxfId="1" text="" percent="0" bottom="0">
      <formula>0</formula>
    </cfRule>
    <cfRule type="cellIs" rank="0" priority="2514" equalAverage="0" operator="lessThanOrEqual" aboveAverage="0" dxfId="0" text="" percent="0" bottom="0">
      <formula>0</formula>
    </cfRule>
  </conditionalFormatting>
  <conditionalFormatting sqref="G843">
    <cfRule type="cellIs" rank="0" priority="2515" equalAverage="0" operator="greaterThan" aboveAverage="0" dxfId="10" text="" percent="0" bottom="0">
      <formula>e{r}</formula>
    </cfRule>
  </conditionalFormatting>
  <conditionalFormatting sqref="H844">
    <cfRule type="cellIs" rank="0" priority="2516" equalAverage="0" operator="greaterThan" aboveAverage="0" dxfId="1" text="" percent="0" bottom="0">
      <formula>0</formula>
    </cfRule>
    <cfRule type="cellIs" rank="0" priority="2517" equalAverage="0" operator="lessThanOrEqual" aboveAverage="0" dxfId="0" text="" percent="0" bottom="0">
      <formula>0</formula>
    </cfRule>
  </conditionalFormatting>
  <conditionalFormatting sqref="G844">
    <cfRule type="cellIs" rank="0" priority="2518" equalAverage="0" operator="greaterThan" aboveAverage="0" dxfId="10" text="" percent="0" bottom="0">
      <formula>e{r}</formula>
    </cfRule>
  </conditionalFormatting>
  <conditionalFormatting sqref="H845">
    <cfRule type="cellIs" rank="0" priority="2519" equalAverage="0" operator="greaterThan" aboveAverage="0" dxfId="1" text="" percent="0" bottom="0">
      <formula>0</formula>
    </cfRule>
    <cfRule type="cellIs" rank="0" priority="2520" equalAverage="0" operator="lessThanOrEqual" aboveAverage="0" dxfId="0" text="" percent="0" bottom="0">
      <formula>0</formula>
    </cfRule>
  </conditionalFormatting>
  <conditionalFormatting sqref="G845">
    <cfRule type="cellIs" rank="0" priority="2521" equalAverage="0" operator="greaterThan" aboveAverage="0" dxfId="10" text="" percent="0" bottom="0">
      <formula>e{r}</formula>
    </cfRule>
  </conditionalFormatting>
  <conditionalFormatting sqref="H846">
    <cfRule type="cellIs" rank="0" priority="2522" equalAverage="0" operator="greaterThan" aboveAverage="0" dxfId="1" text="" percent="0" bottom="0">
      <formula>0</formula>
    </cfRule>
    <cfRule type="cellIs" rank="0" priority="2523" equalAverage="0" operator="lessThanOrEqual" aboveAverage="0" dxfId="0" text="" percent="0" bottom="0">
      <formula>0</formula>
    </cfRule>
  </conditionalFormatting>
  <conditionalFormatting sqref="G846">
    <cfRule type="cellIs" rank="0" priority="2524" equalAverage="0" operator="greaterThan" aboveAverage="0" dxfId="10" text="" percent="0" bottom="0">
      <formula>e{r}</formula>
    </cfRule>
  </conditionalFormatting>
  <conditionalFormatting sqref="H847">
    <cfRule type="cellIs" rank="0" priority="2525" equalAverage="0" operator="greaterThan" aboveAverage="0" dxfId="1" text="" percent="0" bottom="0">
      <formula>0</formula>
    </cfRule>
    <cfRule type="cellIs" rank="0" priority="2526" equalAverage="0" operator="lessThanOrEqual" aboveAverage="0" dxfId="0" text="" percent="0" bottom="0">
      <formula>0</formula>
    </cfRule>
  </conditionalFormatting>
  <conditionalFormatting sqref="G847">
    <cfRule type="cellIs" rank="0" priority="2527" equalAverage="0" operator="greaterThan" aboveAverage="0" dxfId="10" text="" percent="0" bottom="0">
      <formula>e{r}</formula>
    </cfRule>
  </conditionalFormatting>
  <conditionalFormatting sqref="H848">
    <cfRule type="cellIs" rank="0" priority="2528" equalAverage="0" operator="greaterThan" aboveAverage="0" dxfId="1" text="" percent="0" bottom="0">
      <formula>0</formula>
    </cfRule>
    <cfRule type="cellIs" rank="0" priority="2529" equalAverage="0" operator="lessThanOrEqual" aboveAverage="0" dxfId="0" text="" percent="0" bottom="0">
      <formula>0</formula>
    </cfRule>
  </conditionalFormatting>
  <conditionalFormatting sqref="G848">
    <cfRule type="cellIs" rank="0" priority="2530" equalAverage="0" operator="greaterThan" aboveAverage="0" dxfId="10" text="" percent="0" bottom="0">
      <formula>e{r}</formula>
    </cfRule>
  </conditionalFormatting>
  <conditionalFormatting sqref="H849">
    <cfRule type="cellIs" rank="0" priority="2531" equalAverage="0" operator="greaterThan" aboveAverage="0" dxfId="1" text="" percent="0" bottom="0">
      <formula>0</formula>
    </cfRule>
    <cfRule type="cellIs" rank="0" priority="2532" equalAverage="0" operator="lessThanOrEqual" aboveAverage="0" dxfId="0" text="" percent="0" bottom="0">
      <formula>0</formula>
    </cfRule>
  </conditionalFormatting>
  <conditionalFormatting sqref="G849">
    <cfRule type="cellIs" rank="0" priority="2533" equalAverage="0" operator="greaterThan" aboveAverage="0" dxfId="10" text="" percent="0" bottom="0">
      <formula>e{r}</formula>
    </cfRule>
  </conditionalFormatting>
  <conditionalFormatting sqref="H850">
    <cfRule type="cellIs" rank="0" priority="2534" equalAverage="0" operator="greaterThan" aboveAverage="0" dxfId="1" text="" percent="0" bottom="0">
      <formula>0</formula>
    </cfRule>
    <cfRule type="cellIs" rank="0" priority="2535" equalAverage="0" operator="lessThanOrEqual" aboveAverage="0" dxfId="0" text="" percent="0" bottom="0">
      <formula>0</formula>
    </cfRule>
  </conditionalFormatting>
  <conditionalFormatting sqref="G850">
    <cfRule type="cellIs" rank="0" priority="2536" equalAverage="0" operator="greaterThan" aboveAverage="0" dxfId="10" text="" percent="0" bottom="0">
      <formula>e{r}</formula>
    </cfRule>
  </conditionalFormatting>
  <conditionalFormatting sqref="H851">
    <cfRule type="cellIs" rank="0" priority="2537" equalAverage="0" operator="greaterThan" aboveAverage="0" dxfId="1" text="" percent="0" bottom="0">
      <formula>0</formula>
    </cfRule>
    <cfRule type="cellIs" rank="0" priority="2538" equalAverage="0" operator="lessThanOrEqual" aboveAverage="0" dxfId="0" text="" percent="0" bottom="0">
      <formula>0</formula>
    </cfRule>
  </conditionalFormatting>
  <conditionalFormatting sqref="G851">
    <cfRule type="cellIs" rank="0" priority="2539" equalAverage="0" operator="greaterThan" aboveAverage="0" dxfId="10" text="" percent="0" bottom="0">
      <formula>e{r}</formula>
    </cfRule>
  </conditionalFormatting>
  <conditionalFormatting sqref="H852">
    <cfRule type="cellIs" rank="0" priority="2540" equalAverage="0" operator="greaterThan" aboveAverage="0" dxfId="1" text="" percent="0" bottom="0">
      <formula>0</formula>
    </cfRule>
    <cfRule type="cellIs" rank="0" priority="2541" equalAverage="0" operator="lessThanOrEqual" aboveAverage="0" dxfId="0" text="" percent="0" bottom="0">
      <formula>0</formula>
    </cfRule>
  </conditionalFormatting>
  <conditionalFormatting sqref="G852">
    <cfRule type="cellIs" rank="0" priority="2542" equalAverage="0" operator="greaterThan" aboveAverage="0" dxfId="10" text="" percent="0" bottom="0">
      <formula>e{r}</formula>
    </cfRule>
  </conditionalFormatting>
  <conditionalFormatting sqref="H853">
    <cfRule type="cellIs" rank="0" priority="2543" equalAverage="0" operator="greaterThan" aboveAverage="0" dxfId="1" text="" percent="0" bottom="0">
      <formula>0</formula>
    </cfRule>
    <cfRule type="cellIs" rank="0" priority="2544" equalAverage="0" operator="lessThanOrEqual" aboveAverage="0" dxfId="0" text="" percent="0" bottom="0">
      <formula>0</formula>
    </cfRule>
  </conditionalFormatting>
  <conditionalFormatting sqref="G853">
    <cfRule type="cellIs" rank="0" priority="2545" equalAverage="0" operator="greaterThan" aboveAverage="0" dxfId="10" text="" percent="0" bottom="0">
      <formula>e{r}</formula>
    </cfRule>
  </conditionalFormatting>
  <conditionalFormatting sqref="H854">
    <cfRule type="cellIs" rank="0" priority="2546" equalAverage="0" operator="greaterThan" aboveAverage="0" dxfId="1" text="" percent="0" bottom="0">
      <formula>0</formula>
    </cfRule>
    <cfRule type="cellIs" rank="0" priority="2547" equalAverage="0" operator="lessThanOrEqual" aboveAverage="0" dxfId="0" text="" percent="0" bottom="0">
      <formula>0</formula>
    </cfRule>
  </conditionalFormatting>
  <conditionalFormatting sqref="G854">
    <cfRule type="cellIs" rank="0" priority="2548" equalAverage="0" operator="greaterThan" aboveAverage="0" dxfId="10" text="" percent="0" bottom="0">
      <formula>e{r}</formula>
    </cfRule>
  </conditionalFormatting>
  <conditionalFormatting sqref="H855">
    <cfRule type="cellIs" rank="0" priority="2549" equalAverage="0" operator="greaterThan" aboveAverage="0" dxfId="1" text="" percent="0" bottom="0">
      <formula>0</formula>
    </cfRule>
    <cfRule type="cellIs" rank="0" priority="2550" equalAverage="0" operator="lessThanOrEqual" aboveAverage="0" dxfId="0" text="" percent="0" bottom="0">
      <formula>0</formula>
    </cfRule>
  </conditionalFormatting>
  <conditionalFormatting sqref="G855">
    <cfRule type="cellIs" rank="0" priority="2551" equalAverage="0" operator="greaterThan" aboveAverage="0" dxfId="10" text="" percent="0" bottom="0">
      <formula>e{r}</formula>
    </cfRule>
  </conditionalFormatting>
  <conditionalFormatting sqref="H856">
    <cfRule type="cellIs" rank="0" priority="2552" equalAverage="0" operator="greaterThan" aboveAverage="0" dxfId="1" text="" percent="0" bottom="0">
      <formula>0</formula>
    </cfRule>
    <cfRule type="cellIs" rank="0" priority="2553" equalAverage="0" operator="lessThanOrEqual" aboveAverage="0" dxfId="0" text="" percent="0" bottom="0">
      <formula>0</formula>
    </cfRule>
  </conditionalFormatting>
  <conditionalFormatting sqref="G856">
    <cfRule type="cellIs" rank="0" priority="2554" equalAverage="0" operator="greaterThan" aboveAverage="0" dxfId="10" text="" percent="0" bottom="0">
      <formula>e{r}</formula>
    </cfRule>
  </conditionalFormatting>
  <conditionalFormatting sqref="H857">
    <cfRule type="cellIs" rank="0" priority="2555" equalAverage="0" operator="greaterThan" aboveAverage="0" dxfId="1" text="" percent="0" bottom="0">
      <formula>0</formula>
    </cfRule>
    <cfRule type="cellIs" rank="0" priority="2556" equalAverage="0" operator="lessThanOrEqual" aboveAverage="0" dxfId="0" text="" percent="0" bottom="0">
      <formula>0</formula>
    </cfRule>
  </conditionalFormatting>
  <conditionalFormatting sqref="G857">
    <cfRule type="cellIs" rank="0" priority="2557" equalAverage="0" operator="greaterThan" aboveAverage="0" dxfId="10" text="" percent="0" bottom="0">
      <formula>e{r}</formula>
    </cfRule>
  </conditionalFormatting>
  <conditionalFormatting sqref="H858">
    <cfRule type="cellIs" rank="0" priority="2558" equalAverage="0" operator="greaterThan" aboveAverage="0" dxfId="1" text="" percent="0" bottom="0">
      <formula>0</formula>
    </cfRule>
    <cfRule type="cellIs" rank="0" priority="2559" equalAverage="0" operator="lessThanOrEqual" aboveAverage="0" dxfId="0" text="" percent="0" bottom="0">
      <formula>0</formula>
    </cfRule>
  </conditionalFormatting>
  <conditionalFormatting sqref="G858">
    <cfRule type="cellIs" rank="0" priority="2560" equalAverage="0" operator="greaterThan" aboveAverage="0" dxfId="10" text="" percent="0" bottom="0">
      <formula>e{r}</formula>
    </cfRule>
  </conditionalFormatting>
  <conditionalFormatting sqref="H859">
    <cfRule type="cellIs" rank="0" priority="2561" equalAverage="0" operator="greaterThan" aboveAverage="0" dxfId="1" text="" percent="0" bottom="0">
      <formula>0</formula>
    </cfRule>
    <cfRule type="cellIs" rank="0" priority="2562" equalAverage="0" operator="lessThanOrEqual" aboveAverage="0" dxfId="0" text="" percent="0" bottom="0">
      <formula>0</formula>
    </cfRule>
  </conditionalFormatting>
  <conditionalFormatting sqref="G859">
    <cfRule type="cellIs" rank="0" priority="2563" equalAverage="0" operator="greaterThan" aboveAverage="0" dxfId="10" text="" percent="0" bottom="0">
      <formula>e{r}</formula>
    </cfRule>
  </conditionalFormatting>
  <conditionalFormatting sqref="H860">
    <cfRule type="cellIs" rank="0" priority="2564" equalAverage="0" operator="greaterThan" aboveAverage="0" dxfId="1" text="" percent="0" bottom="0">
      <formula>0</formula>
    </cfRule>
    <cfRule type="cellIs" rank="0" priority="2565" equalAverage="0" operator="lessThanOrEqual" aboveAverage="0" dxfId="0" text="" percent="0" bottom="0">
      <formula>0</formula>
    </cfRule>
  </conditionalFormatting>
  <conditionalFormatting sqref="G860">
    <cfRule type="cellIs" rank="0" priority="2566" equalAverage="0" operator="greaterThan" aboveAverage="0" dxfId="10" text="" percent="0" bottom="0">
      <formula>e{r}</formula>
    </cfRule>
  </conditionalFormatting>
  <conditionalFormatting sqref="H861">
    <cfRule type="cellIs" rank="0" priority="2567" equalAverage="0" operator="greaterThan" aboveAverage="0" dxfId="1" text="" percent="0" bottom="0">
      <formula>0</formula>
    </cfRule>
    <cfRule type="cellIs" rank="0" priority="2568" equalAverage="0" operator="lessThanOrEqual" aboveAverage="0" dxfId="0" text="" percent="0" bottom="0">
      <formula>0</formula>
    </cfRule>
  </conditionalFormatting>
  <conditionalFormatting sqref="G861">
    <cfRule type="cellIs" rank="0" priority="2569" equalAverage="0" operator="greaterThan" aboveAverage="0" dxfId="10" text="" percent="0" bottom="0">
      <formula>e{r}</formula>
    </cfRule>
  </conditionalFormatting>
  <conditionalFormatting sqref="H862">
    <cfRule type="cellIs" rank="0" priority="2570" equalAverage="0" operator="greaterThan" aboveAverage="0" dxfId="1" text="" percent="0" bottom="0">
      <formula>0</formula>
    </cfRule>
    <cfRule type="cellIs" rank="0" priority="2571" equalAverage="0" operator="lessThanOrEqual" aboveAverage="0" dxfId="0" text="" percent="0" bottom="0">
      <formula>0</formula>
    </cfRule>
  </conditionalFormatting>
  <conditionalFormatting sqref="G862">
    <cfRule type="cellIs" rank="0" priority="2572" equalAverage="0" operator="greaterThan" aboveAverage="0" dxfId="10" text="" percent="0" bottom="0">
      <formula>e{r}</formula>
    </cfRule>
  </conditionalFormatting>
  <conditionalFormatting sqref="H863">
    <cfRule type="cellIs" rank="0" priority="2573" equalAverage="0" operator="greaterThan" aboveAverage="0" dxfId="1" text="" percent="0" bottom="0">
      <formula>0</formula>
    </cfRule>
    <cfRule type="cellIs" rank="0" priority="2574" equalAverage="0" operator="lessThanOrEqual" aboveAverage="0" dxfId="0" text="" percent="0" bottom="0">
      <formula>0</formula>
    </cfRule>
  </conditionalFormatting>
  <conditionalFormatting sqref="G863">
    <cfRule type="cellIs" rank="0" priority="2575" equalAverage="0" operator="greaterThan" aboveAverage="0" dxfId="10" text="" percent="0" bottom="0">
      <formula>e{r}</formula>
    </cfRule>
  </conditionalFormatting>
  <conditionalFormatting sqref="H864">
    <cfRule type="cellIs" rank="0" priority="2576" equalAverage="0" operator="greaterThan" aboveAverage="0" dxfId="1" text="" percent="0" bottom="0">
      <formula>0</formula>
    </cfRule>
    <cfRule type="cellIs" rank="0" priority="2577" equalAverage="0" operator="lessThanOrEqual" aboveAverage="0" dxfId="0" text="" percent="0" bottom="0">
      <formula>0</formula>
    </cfRule>
  </conditionalFormatting>
  <conditionalFormatting sqref="G864">
    <cfRule type="cellIs" rank="0" priority="2578" equalAverage="0" operator="greaterThan" aboveAverage="0" dxfId="10" text="" percent="0" bottom="0">
      <formula>e{r}</formula>
    </cfRule>
  </conditionalFormatting>
  <conditionalFormatting sqref="H865">
    <cfRule type="cellIs" rank="0" priority="2579" equalAverage="0" operator="greaterThan" aboveAverage="0" dxfId="1" text="" percent="0" bottom="0">
      <formula>0</formula>
    </cfRule>
    <cfRule type="cellIs" rank="0" priority="2580" equalAverage="0" operator="lessThanOrEqual" aboveAverage="0" dxfId="0" text="" percent="0" bottom="0">
      <formula>0</formula>
    </cfRule>
  </conditionalFormatting>
  <conditionalFormatting sqref="G865">
    <cfRule type="cellIs" rank="0" priority="2581" equalAverage="0" operator="greaterThan" aboveAverage="0" dxfId="10" text="" percent="0" bottom="0">
      <formula>e{r}</formula>
    </cfRule>
  </conditionalFormatting>
  <conditionalFormatting sqref="H866">
    <cfRule type="cellIs" rank="0" priority="2582" equalAverage="0" operator="greaterThan" aboveAverage="0" dxfId="1" text="" percent="0" bottom="0">
      <formula>0</formula>
    </cfRule>
    <cfRule type="cellIs" rank="0" priority="2583" equalAverage="0" operator="lessThanOrEqual" aboveAverage="0" dxfId="0" text="" percent="0" bottom="0">
      <formula>0</formula>
    </cfRule>
  </conditionalFormatting>
  <conditionalFormatting sqref="G866">
    <cfRule type="cellIs" rank="0" priority="2584" equalAverage="0" operator="greaterThan" aboveAverage="0" dxfId="10" text="" percent="0" bottom="0">
      <formula>e{r}</formula>
    </cfRule>
  </conditionalFormatting>
  <conditionalFormatting sqref="H867">
    <cfRule type="cellIs" rank="0" priority="2585" equalAverage="0" operator="greaterThan" aboveAverage="0" dxfId="1" text="" percent="0" bottom="0">
      <formula>0</formula>
    </cfRule>
    <cfRule type="cellIs" rank="0" priority="2586" equalAverage="0" operator="lessThanOrEqual" aboveAverage="0" dxfId="0" text="" percent="0" bottom="0">
      <formula>0</formula>
    </cfRule>
  </conditionalFormatting>
  <conditionalFormatting sqref="G867">
    <cfRule type="cellIs" rank="0" priority="2587" equalAverage="0" operator="greaterThan" aboveAverage="0" dxfId="10" text="" percent="0" bottom="0">
      <formula>e{r}</formula>
    </cfRule>
  </conditionalFormatting>
  <conditionalFormatting sqref="H868">
    <cfRule type="cellIs" rank="0" priority="2588" equalAverage="0" operator="greaterThan" aboveAverage="0" dxfId="1" text="" percent="0" bottom="0">
      <formula>0</formula>
    </cfRule>
    <cfRule type="cellIs" rank="0" priority="2589" equalAverage="0" operator="lessThanOrEqual" aboveAverage="0" dxfId="0" text="" percent="0" bottom="0">
      <formula>0</formula>
    </cfRule>
  </conditionalFormatting>
  <conditionalFormatting sqref="G868">
    <cfRule type="cellIs" rank="0" priority="2590" equalAverage="0" operator="greaterThan" aboveAverage="0" dxfId="10" text="" percent="0" bottom="0">
      <formula>e{r}</formula>
    </cfRule>
  </conditionalFormatting>
  <conditionalFormatting sqref="H869">
    <cfRule type="cellIs" rank="0" priority="2591" equalAverage="0" operator="greaterThan" aboveAverage="0" dxfId="1" text="" percent="0" bottom="0">
      <formula>0</formula>
    </cfRule>
    <cfRule type="cellIs" rank="0" priority="2592" equalAverage="0" operator="lessThanOrEqual" aboveAverage="0" dxfId="0" text="" percent="0" bottom="0">
      <formula>0</formula>
    </cfRule>
  </conditionalFormatting>
  <conditionalFormatting sqref="G869">
    <cfRule type="cellIs" rank="0" priority="2593" equalAverage="0" operator="greaterThan" aboveAverage="0" dxfId="10" text="" percent="0" bottom="0">
      <formula>e{r}</formula>
    </cfRule>
  </conditionalFormatting>
  <conditionalFormatting sqref="H870">
    <cfRule type="cellIs" rank="0" priority="2594" equalAverage="0" operator="greaterThan" aboveAverage="0" dxfId="1" text="" percent="0" bottom="0">
      <formula>0</formula>
    </cfRule>
    <cfRule type="cellIs" rank="0" priority="2595" equalAverage="0" operator="lessThanOrEqual" aboveAverage="0" dxfId="0" text="" percent="0" bottom="0">
      <formula>0</formula>
    </cfRule>
  </conditionalFormatting>
  <conditionalFormatting sqref="G870">
    <cfRule type="cellIs" rank="0" priority="2596" equalAverage="0" operator="greaterThan" aboveAverage="0" dxfId="10" text="" percent="0" bottom="0">
      <formula>e{r}</formula>
    </cfRule>
  </conditionalFormatting>
  <conditionalFormatting sqref="H871">
    <cfRule type="cellIs" rank="0" priority="2597" equalAverage="0" operator="greaterThan" aboveAverage="0" dxfId="1" text="" percent="0" bottom="0">
      <formula>0</formula>
    </cfRule>
    <cfRule type="cellIs" rank="0" priority="2598" equalAverage="0" operator="lessThanOrEqual" aboveAverage="0" dxfId="0" text="" percent="0" bottom="0">
      <formula>0</formula>
    </cfRule>
  </conditionalFormatting>
  <conditionalFormatting sqref="G871">
    <cfRule type="cellIs" rank="0" priority="2599" equalAverage="0" operator="greaterThan" aboveAverage="0" dxfId="10" text="" percent="0" bottom="0">
      <formula>e{r}</formula>
    </cfRule>
  </conditionalFormatting>
  <conditionalFormatting sqref="H872">
    <cfRule type="cellIs" rank="0" priority="2600" equalAverage="0" operator="greaterThan" aboveAverage="0" dxfId="1" text="" percent="0" bottom="0">
      <formula>0</formula>
    </cfRule>
    <cfRule type="cellIs" rank="0" priority="2601" equalAverage="0" operator="lessThanOrEqual" aboveAverage="0" dxfId="0" text="" percent="0" bottom="0">
      <formula>0</formula>
    </cfRule>
  </conditionalFormatting>
  <conditionalFormatting sqref="G872">
    <cfRule type="cellIs" rank="0" priority="2602" equalAverage="0" operator="greaterThan" aboveAverage="0" dxfId="10" text="" percent="0" bottom="0">
      <formula>e{r}</formula>
    </cfRule>
  </conditionalFormatting>
  <conditionalFormatting sqref="H873">
    <cfRule type="cellIs" rank="0" priority="2603" equalAverage="0" operator="greaterThan" aboveAverage="0" dxfId="1" text="" percent="0" bottom="0">
      <formula>0</formula>
    </cfRule>
    <cfRule type="cellIs" rank="0" priority="2604" equalAverage="0" operator="lessThanOrEqual" aboveAverage="0" dxfId="0" text="" percent="0" bottom="0">
      <formula>0</formula>
    </cfRule>
  </conditionalFormatting>
  <conditionalFormatting sqref="G873">
    <cfRule type="cellIs" rank="0" priority="2605" equalAverage="0" operator="greaterThan" aboveAverage="0" dxfId="10" text="" percent="0" bottom="0">
      <formula>e{r}</formula>
    </cfRule>
  </conditionalFormatting>
  <conditionalFormatting sqref="H874">
    <cfRule type="cellIs" rank="0" priority="2606" equalAverage="0" operator="greaterThan" aboveAverage="0" dxfId="1" text="" percent="0" bottom="0">
      <formula>0</formula>
    </cfRule>
    <cfRule type="cellIs" rank="0" priority="2607" equalAverage="0" operator="lessThanOrEqual" aboveAverage="0" dxfId="0" text="" percent="0" bottom="0">
      <formula>0</formula>
    </cfRule>
  </conditionalFormatting>
  <conditionalFormatting sqref="G874">
    <cfRule type="cellIs" rank="0" priority="2608" equalAverage="0" operator="greaterThan" aboveAverage="0" dxfId="10" text="" percent="0" bottom="0">
      <formula>e{r}</formula>
    </cfRule>
  </conditionalFormatting>
  <conditionalFormatting sqref="H875">
    <cfRule type="cellIs" rank="0" priority="2609" equalAverage="0" operator="greaterThan" aboveAverage="0" dxfId="1" text="" percent="0" bottom="0">
      <formula>0</formula>
    </cfRule>
    <cfRule type="cellIs" rank="0" priority="2610" equalAverage="0" operator="lessThanOrEqual" aboveAverage="0" dxfId="0" text="" percent="0" bottom="0">
      <formula>0</formula>
    </cfRule>
  </conditionalFormatting>
  <conditionalFormatting sqref="G875">
    <cfRule type="cellIs" rank="0" priority="2611" equalAverage="0" operator="greaterThan" aboveAverage="0" dxfId="10" text="" percent="0" bottom="0">
      <formula>e{r}</formula>
    </cfRule>
  </conditionalFormatting>
  <conditionalFormatting sqref="H876">
    <cfRule type="cellIs" rank="0" priority="2612" equalAverage="0" operator="greaterThan" aboveAverage="0" dxfId="1" text="" percent="0" bottom="0">
      <formula>0</formula>
    </cfRule>
    <cfRule type="cellIs" rank="0" priority="2613" equalAverage="0" operator="lessThanOrEqual" aboveAverage="0" dxfId="0" text="" percent="0" bottom="0">
      <formula>0</formula>
    </cfRule>
  </conditionalFormatting>
  <conditionalFormatting sqref="G876">
    <cfRule type="cellIs" rank="0" priority="2614" equalAverage="0" operator="greaterThan" aboveAverage="0" dxfId="10" text="" percent="0" bottom="0">
      <formula>e{r}</formula>
    </cfRule>
  </conditionalFormatting>
  <conditionalFormatting sqref="H877">
    <cfRule type="cellIs" rank="0" priority="2615" equalAverage="0" operator="greaterThan" aboveAverage="0" dxfId="1" text="" percent="0" bottom="0">
      <formula>0</formula>
    </cfRule>
    <cfRule type="cellIs" rank="0" priority="2616" equalAverage="0" operator="lessThanOrEqual" aboveAverage="0" dxfId="0" text="" percent="0" bottom="0">
      <formula>0</formula>
    </cfRule>
  </conditionalFormatting>
  <conditionalFormatting sqref="G877">
    <cfRule type="cellIs" rank="0" priority="2617" equalAverage="0" operator="greaterThan" aboveAverage="0" dxfId="10" text="" percent="0" bottom="0">
      <formula>e{r}</formula>
    </cfRule>
  </conditionalFormatting>
  <conditionalFormatting sqref="H878">
    <cfRule type="cellIs" rank="0" priority="2618" equalAverage="0" operator="greaterThan" aboveAverage="0" dxfId="1" text="" percent="0" bottom="0">
      <formula>0</formula>
    </cfRule>
    <cfRule type="cellIs" rank="0" priority="2619" equalAverage="0" operator="lessThanOrEqual" aboveAverage="0" dxfId="0" text="" percent="0" bottom="0">
      <formula>0</formula>
    </cfRule>
  </conditionalFormatting>
  <conditionalFormatting sqref="G878">
    <cfRule type="cellIs" rank="0" priority="2620" equalAverage="0" operator="greaterThan" aboveAverage="0" dxfId="10" text="" percent="0" bottom="0">
      <formula>e{r}</formula>
    </cfRule>
  </conditionalFormatting>
  <conditionalFormatting sqref="H879">
    <cfRule type="cellIs" rank="0" priority="2621" equalAverage="0" operator="greaterThan" aboveAverage="0" dxfId="1" text="" percent="0" bottom="0">
      <formula>0</formula>
    </cfRule>
    <cfRule type="cellIs" rank="0" priority="2622" equalAverage="0" operator="lessThanOrEqual" aboveAverage="0" dxfId="0" text="" percent="0" bottom="0">
      <formula>0</formula>
    </cfRule>
  </conditionalFormatting>
  <conditionalFormatting sqref="G879">
    <cfRule type="cellIs" rank="0" priority="2623" equalAverage="0" operator="greaterThan" aboveAverage="0" dxfId="10" text="" percent="0" bottom="0">
      <formula>e{r}</formula>
    </cfRule>
  </conditionalFormatting>
  <conditionalFormatting sqref="H880">
    <cfRule type="cellIs" rank="0" priority="2624" equalAverage="0" operator="greaterThan" aboveAverage="0" dxfId="1" text="" percent="0" bottom="0">
      <formula>0</formula>
    </cfRule>
    <cfRule type="cellIs" rank="0" priority="2625" equalAverage="0" operator="lessThanOrEqual" aboveAverage="0" dxfId="0" text="" percent="0" bottom="0">
      <formula>0</formula>
    </cfRule>
  </conditionalFormatting>
  <conditionalFormatting sqref="G880">
    <cfRule type="cellIs" rank="0" priority="2626" equalAverage="0" operator="greaterThan" aboveAverage="0" dxfId="10" text="" percent="0" bottom="0">
      <formula>e{r}</formula>
    </cfRule>
  </conditionalFormatting>
  <conditionalFormatting sqref="H881">
    <cfRule type="cellIs" rank="0" priority="2627" equalAverage="0" operator="greaterThan" aboveAverage="0" dxfId="1" text="" percent="0" bottom="0">
      <formula>0</formula>
    </cfRule>
    <cfRule type="cellIs" rank="0" priority="2628" equalAverage="0" operator="lessThanOrEqual" aboveAverage="0" dxfId="0" text="" percent="0" bottom="0">
      <formula>0</formula>
    </cfRule>
  </conditionalFormatting>
  <conditionalFormatting sqref="G881">
    <cfRule type="cellIs" rank="0" priority="2629" equalAverage="0" operator="greaterThan" aboveAverage="0" dxfId="10" text="" percent="0" bottom="0">
      <formula>e{r}</formula>
    </cfRule>
  </conditionalFormatting>
  <conditionalFormatting sqref="H882">
    <cfRule type="cellIs" rank="0" priority="2630" equalAverage="0" operator="greaterThan" aboveAverage="0" dxfId="1" text="" percent="0" bottom="0">
      <formula>0</formula>
    </cfRule>
    <cfRule type="cellIs" rank="0" priority="2631" equalAverage="0" operator="lessThanOrEqual" aboveAverage="0" dxfId="0" text="" percent="0" bottom="0">
      <formula>0</formula>
    </cfRule>
  </conditionalFormatting>
  <conditionalFormatting sqref="G882">
    <cfRule type="cellIs" rank="0" priority="2632" equalAverage="0" operator="greaterThan" aboveAverage="0" dxfId="10" text="" percent="0" bottom="0">
      <formula>e{r}</formula>
    </cfRule>
  </conditionalFormatting>
  <conditionalFormatting sqref="H883">
    <cfRule type="cellIs" rank="0" priority="2633" equalAverage="0" operator="greaterThan" aboveAverage="0" dxfId="1" text="" percent="0" bottom="0">
      <formula>0</formula>
    </cfRule>
    <cfRule type="cellIs" rank="0" priority="2634" equalAverage="0" operator="lessThanOrEqual" aboveAverage="0" dxfId="0" text="" percent="0" bottom="0">
      <formula>0</formula>
    </cfRule>
  </conditionalFormatting>
  <conditionalFormatting sqref="G883">
    <cfRule type="cellIs" rank="0" priority="2635" equalAverage="0" operator="greaterThan" aboveAverage="0" dxfId="10" text="" percent="0" bottom="0">
      <formula>e{r}</formula>
    </cfRule>
  </conditionalFormatting>
  <conditionalFormatting sqref="H884">
    <cfRule type="cellIs" rank="0" priority="2636" equalAverage="0" operator="greaterThan" aboveAverage="0" dxfId="1" text="" percent="0" bottom="0">
      <formula>0</formula>
    </cfRule>
    <cfRule type="cellIs" rank="0" priority="2637" equalAverage="0" operator="lessThanOrEqual" aboveAverage="0" dxfId="0" text="" percent="0" bottom="0">
      <formula>0</formula>
    </cfRule>
  </conditionalFormatting>
  <conditionalFormatting sqref="G884">
    <cfRule type="cellIs" rank="0" priority="2638" equalAverage="0" operator="greaterThan" aboveAverage="0" dxfId="10" text="" percent="0" bottom="0">
      <formula>e{r}</formula>
    </cfRule>
  </conditionalFormatting>
  <conditionalFormatting sqref="H885">
    <cfRule type="cellIs" rank="0" priority="2639" equalAverage="0" operator="greaterThan" aboveAverage="0" dxfId="1" text="" percent="0" bottom="0">
      <formula>0</formula>
    </cfRule>
    <cfRule type="cellIs" rank="0" priority="2640" equalAverage="0" operator="lessThanOrEqual" aboveAverage="0" dxfId="0" text="" percent="0" bottom="0">
      <formula>0</formula>
    </cfRule>
  </conditionalFormatting>
  <conditionalFormatting sqref="G885">
    <cfRule type="cellIs" rank="0" priority="2641" equalAverage="0" operator="greaterThan" aboveAverage="0" dxfId="10" text="" percent="0" bottom="0">
      <formula>e{r}</formula>
    </cfRule>
  </conditionalFormatting>
  <conditionalFormatting sqref="H886">
    <cfRule type="cellIs" rank="0" priority="2642" equalAverage="0" operator="greaterThan" aboveAverage="0" dxfId="1" text="" percent="0" bottom="0">
      <formula>0</formula>
    </cfRule>
    <cfRule type="cellIs" rank="0" priority="2643" equalAverage="0" operator="lessThanOrEqual" aboveAverage="0" dxfId="0" text="" percent="0" bottom="0">
      <formula>0</formula>
    </cfRule>
  </conditionalFormatting>
  <conditionalFormatting sqref="G886">
    <cfRule type="cellIs" rank="0" priority="2644" equalAverage="0" operator="greaterThan" aboveAverage="0" dxfId="10" text="" percent="0" bottom="0">
      <formula>e{r}</formula>
    </cfRule>
  </conditionalFormatting>
  <conditionalFormatting sqref="H887">
    <cfRule type="cellIs" rank="0" priority="2645" equalAverage="0" operator="greaterThan" aboveAverage="0" dxfId="1" text="" percent="0" bottom="0">
      <formula>0</formula>
    </cfRule>
    <cfRule type="cellIs" rank="0" priority="2646" equalAverage="0" operator="lessThanOrEqual" aboveAverage="0" dxfId="0" text="" percent="0" bottom="0">
      <formula>0</formula>
    </cfRule>
  </conditionalFormatting>
  <conditionalFormatting sqref="G887">
    <cfRule type="cellIs" rank="0" priority="2647" equalAverage="0" operator="greaterThan" aboveAverage="0" dxfId="10" text="" percent="0" bottom="0">
      <formula>e{r}</formula>
    </cfRule>
  </conditionalFormatting>
  <conditionalFormatting sqref="H888">
    <cfRule type="cellIs" rank="0" priority="2648" equalAverage="0" operator="greaterThan" aboveAverage="0" dxfId="1" text="" percent="0" bottom="0">
      <formula>0</formula>
    </cfRule>
    <cfRule type="cellIs" rank="0" priority="2649" equalAverage="0" operator="lessThanOrEqual" aboveAverage="0" dxfId="0" text="" percent="0" bottom="0">
      <formula>0</formula>
    </cfRule>
  </conditionalFormatting>
  <conditionalFormatting sqref="G888">
    <cfRule type="cellIs" rank="0" priority="2650" equalAverage="0" operator="greaterThan" aboveAverage="0" dxfId="10" text="" percent="0" bottom="0">
      <formula>e{r}</formula>
    </cfRule>
  </conditionalFormatting>
  <conditionalFormatting sqref="H889">
    <cfRule type="cellIs" rank="0" priority="2651" equalAverage="0" operator="greaterThan" aboveAverage="0" dxfId="1" text="" percent="0" bottom="0">
      <formula>0</formula>
    </cfRule>
    <cfRule type="cellIs" rank="0" priority="2652" equalAverage="0" operator="lessThanOrEqual" aboveAverage="0" dxfId="0" text="" percent="0" bottom="0">
      <formula>0</formula>
    </cfRule>
  </conditionalFormatting>
  <conditionalFormatting sqref="G889">
    <cfRule type="cellIs" rank="0" priority="2653" equalAverage="0" operator="greaterThan" aboveAverage="0" dxfId="10" text="" percent="0" bottom="0">
      <formula>e{r}</formula>
    </cfRule>
  </conditionalFormatting>
  <conditionalFormatting sqref="H890">
    <cfRule type="cellIs" rank="0" priority="2654" equalAverage="0" operator="greaterThan" aboveAverage="0" dxfId="1" text="" percent="0" bottom="0">
      <formula>0</formula>
    </cfRule>
    <cfRule type="cellIs" rank="0" priority="2655" equalAverage="0" operator="lessThanOrEqual" aboveAverage="0" dxfId="0" text="" percent="0" bottom="0">
      <formula>0</formula>
    </cfRule>
  </conditionalFormatting>
  <conditionalFormatting sqref="G890">
    <cfRule type="cellIs" rank="0" priority="2656" equalAverage="0" operator="greaterThan" aboveAverage="0" dxfId="10" text="" percent="0" bottom="0">
      <formula>e{r}</formula>
    </cfRule>
  </conditionalFormatting>
  <conditionalFormatting sqref="H891">
    <cfRule type="cellIs" rank="0" priority="2657" equalAverage="0" operator="greaterThan" aboveAverage="0" dxfId="1" text="" percent="0" bottom="0">
      <formula>0</formula>
    </cfRule>
    <cfRule type="cellIs" rank="0" priority="2658" equalAverage="0" operator="lessThanOrEqual" aboveAverage="0" dxfId="0" text="" percent="0" bottom="0">
      <formula>0</formula>
    </cfRule>
  </conditionalFormatting>
  <conditionalFormatting sqref="G891">
    <cfRule type="cellIs" rank="0" priority="2659" equalAverage="0" operator="greaterThan" aboveAverage="0" dxfId="10" text="" percent="0" bottom="0">
      <formula>e{r}</formula>
    </cfRule>
  </conditionalFormatting>
  <conditionalFormatting sqref="H892">
    <cfRule type="cellIs" rank="0" priority="2660" equalAverage="0" operator="greaterThan" aboveAverage="0" dxfId="1" text="" percent="0" bottom="0">
      <formula>0</formula>
    </cfRule>
    <cfRule type="cellIs" rank="0" priority="2661" equalAverage="0" operator="lessThanOrEqual" aboveAverage="0" dxfId="0" text="" percent="0" bottom="0">
      <formula>0</formula>
    </cfRule>
  </conditionalFormatting>
  <conditionalFormatting sqref="G892">
    <cfRule type="cellIs" rank="0" priority="2662" equalAverage="0" operator="greaterThan" aboveAverage="0" dxfId="10" text="" percent="0" bottom="0">
      <formula>e{r}</formula>
    </cfRule>
  </conditionalFormatting>
  <conditionalFormatting sqref="H893">
    <cfRule type="cellIs" rank="0" priority="2663" equalAverage="0" operator="greaterThan" aboveAverage="0" dxfId="1" text="" percent="0" bottom="0">
      <formula>0</formula>
    </cfRule>
    <cfRule type="cellIs" rank="0" priority="2664" equalAverage="0" operator="lessThanOrEqual" aboveAverage="0" dxfId="0" text="" percent="0" bottom="0">
      <formula>0</formula>
    </cfRule>
  </conditionalFormatting>
  <conditionalFormatting sqref="G893">
    <cfRule type="cellIs" rank="0" priority="2665" equalAverage="0" operator="greaterThan" aboveAverage="0" dxfId="10" text="" percent="0" bottom="0">
      <formula>e{r}</formula>
    </cfRule>
  </conditionalFormatting>
  <conditionalFormatting sqref="H894">
    <cfRule type="cellIs" rank="0" priority="2666" equalAverage="0" operator="greaterThan" aboveAverage="0" dxfId="1" text="" percent="0" bottom="0">
      <formula>0</formula>
    </cfRule>
    <cfRule type="cellIs" rank="0" priority="2667" equalAverage="0" operator="lessThanOrEqual" aboveAverage="0" dxfId="0" text="" percent="0" bottom="0">
      <formula>0</formula>
    </cfRule>
  </conditionalFormatting>
  <conditionalFormatting sqref="G894">
    <cfRule type="cellIs" rank="0" priority="2668" equalAverage="0" operator="greaterThan" aboveAverage="0" dxfId="10" text="" percent="0" bottom="0">
      <formula>e{r}</formula>
    </cfRule>
  </conditionalFormatting>
  <conditionalFormatting sqref="H895">
    <cfRule type="cellIs" rank="0" priority="2669" equalAverage="0" operator="greaterThan" aboveAverage="0" dxfId="1" text="" percent="0" bottom="0">
      <formula>0</formula>
    </cfRule>
    <cfRule type="cellIs" rank="0" priority="2670" equalAverage="0" operator="lessThanOrEqual" aboveAverage="0" dxfId="0" text="" percent="0" bottom="0">
      <formula>0</formula>
    </cfRule>
  </conditionalFormatting>
  <conditionalFormatting sqref="G895">
    <cfRule type="cellIs" rank="0" priority="2671" equalAverage="0" operator="greaterThan" aboveAverage="0" dxfId="10" text="" percent="0" bottom="0">
      <formula>e{r}</formula>
    </cfRule>
  </conditionalFormatting>
  <conditionalFormatting sqref="H896">
    <cfRule type="cellIs" rank="0" priority="2672" equalAverage="0" operator="greaterThan" aboveAverage="0" dxfId="1" text="" percent="0" bottom="0">
      <formula>0</formula>
    </cfRule>
    <cfRule type="cellIs" rank="0" priority="2673" equalAverage="0" operator="lessThanOrEqual" aboveAverage="0" dxfId="0" text="" percent="0" bottom="0">
      <formula>0</formula>
    </cfRule>
  </conditionalFormatting>
  <conditionalFormatting sqref="G896">
    <cfRule type="cellIs" rank="0" priority="2674" equalAverage="0" operator="greaterThan" aboveAverage="0" dxfId="10" text="" percent="0" bottom="0">
      <formula>e{r}</formula>
    </cfRule>
  </conditionalFormatting>
  <conditionalFormatting sqref="H897">
    <cfRule type="cellIs" rank="0" priority="2675" equalAverage="0" operator="greaterThan" aboveAverage="0" dxfId="1" text="" percent="0" bottom="0">
      <formula>0</formula>
    </cfRule>
    <cfRule type="cellIs" rank="0" priority="2676" equalAverage="0" operator="lessThanOrEqual" aboveAverage="0" dxfId="0" text="" percent="0" bottom="0">
      <formula>0</formula>
    </cfRule>
  </conditionalFormatting>
  <conditionalFormatting sqref="G897">
    <cfRule type="cellIs" rank="0" priority="2677" equalAverage="0" operator="greaterThan" aboveAverage="0" dxfId="10" text="" percent="0" bottom="0">
      <formula>e{r}</formula>
    </cfRule>
  </conditionalFormatting>
  <conditionalFormatting sqref="H898">
    <cfRule type="cellIs" rank="0" priority="2678" equalAverage="0" operator="greaterThan" aboveAverage="0" dxfId="1" text="" percent="0" bottom="0">
      <formula>0</formula>
    </cfRule>
    <cfRule type="cellIs" rank="0" priority="2679" equalAverage="0" operator="lessThanOrEqual" aboveAverage="0" dxfId="0" text="" percent="0" bottom="0">
      <formula>0</formula>
    </cfRule>
  </conditionalFormatting>
  <conditionalFormatting sqref="G898">
    <cfRule type="cellIs" rank="0" priority="2680" equalAverage="0" operator="greaterThan" aboveAverage="0" dxfId="10" text="" percent="0" bottom="0">
      <formula>e{r}</formula>
    </cfRule>
  </conditionalFormatting>
  <conditionalFormatting sqref="H899">
    <cfRule type="cellIs" rank="0" priority="2681" equalAverage="0" operator="greaterThan" aboveAverage="0" dxfId="1" text="" percent="0" bottom="0">
      <formula>0</formula>
    </cfRule>
    <cfRule type="cellIs" rank="0" priority="2682" equalAverage="0" operator="lessThanOrEqual" aboveAverage="0" dxfId="0" text="" percent="0" bottom="0">
      <formula>0</formula>
    </cfRule>
  </conditionalFormatting>
  <conditionalFormatting sqref="G899">
    <cfRule type="cellIs" rank="0" priority="2683" equalAverage="0" operator="greaterThan" aboveAverage="0" dxfId="10" text="" percent="0" bottom="0">
      <formula>e{r}</formula>
    </cfRule>
  </conditionalFormatting>
  <conditionalFormatting sqref="H900">
    <cfRule type="cellIs" rank="0" priority="2684" equalAverage="0" operator="greaterThan" aboveAverage="0" dxfId="1" text="" percent="0" bottom="0">
      <formula>0</formula>
    </cfRule>
    <cfRule type="cellIs" rank="0" priority="2685" equalAverage="0" operator="lessThanOrEqual" aboveAverage="0" dxfId="0" text="" percent="0" bottom="0">
      <formula>0</formula>
    </cfRule>
  </conditionalFormatting>
  <conditionalFormatting sqref="G900">
    <cfRule type="cellIs" rank="0" priority="2686" equalAverage="0" operator="greaterThan" aboveAverage="0" dxfId="10" text="" percent="0" bottom="0">
      <formula>e{r}</formula>
    </cfRule>
  </conditionalFormatting>
  <conditionalFormatting sqref="H901">
    <cfRule type="cellIs" rank="0" priority="2687" equalAverage="0" operator="greaterThan" aboveAverage="0" dxfId="1" text="" percent="0" bottom="0">
      <formula>0</formula>
    </cfRule>
    <cfRule type="cellIs" rank="0" priority="2688" equalAverage="0" operator="lessThanOrEqual" aboveAverage="0" dxfId="0" text="" percent="0" bottom="0">
      <formula>0</formula>
    </cfRule>
  </conditionalFormatting>
  <conditionalFormatting sqref="G901">
    <cfRule type="cellIs" rank="0" priority="2689" equalAverage="0" operator="greaterThan" aboveAverage="0" dxfId="10" text="" percent="0" bottom="0">
      <formula>e{r}</formula>
    </cfRule>
  </conditionalFormatting>
  <conditionalFormatting sqref="H902">
    <cfRule type="cellIs" rank="0" priority="2690" equalAverage="0" operator="greaterThan" aboveAverage="0" dxfId="1" text="" percent="0" bottom="0">
      <formula>0</formula>
    </cfRule>
    <cfRule type="cellIs" rank="0" priority="2691" equalAverage="0" operator="lessThanOrEqual" aboveAverage="0" dxfId="0" text="" percent="0" bottom="0">
      <formula>0</formula>
    </cfRule>
  </conditionalFormatting>
  <conditionalFormatting sqref="G902">
    <cfRule type="cellIs" rank="0" priority="2692" equalAverage="0" operator="greaterThan" aboveAverage="0" dxfId="10" text="" percent="0" bottom="0">
      <formula>e{r}</formula>
    </cfRule>
  </conditionalFormatting>
  <conditionalFormatting sqref="H903">
    <cfRule type="cellIs" rank="0" priority="2693" equalAverage="0" operator="greaterThan" aboveAverage="0" dxfId="1" text="" percent="0" bottom="0">
      <formula>0</formula>
    </cfRule>
    <cfRule type="cellIs" rank="0" priority="2694" equalAverage="0" operator="lessThanOrEqual" aboveAverage="0" dxfId="0" text="" percent="0" bottom="0">
      <formula>0</formula>
    </cfRule>
  </conditionalFormatting>
  <conditionalFormatting sqref="G903">
    <cfRule type="cellIs" rank="0" priority="2695" equalAverage="0" operator="greaterThan" aboveAverage="0" dxfId="10" text="" percent="0" bottom="0">
      <formula>e{r}</formula>
    </cfRule>
  </conditionalFormatting>
  <conditionalFormatting sqref="H904">
    <cfRule type="cellIs" rank="0" priority="2696" equalAverage="0" operator="greaterThan" aboveAverage="0" dxfId="1" text="" percent="0" bottom="0">
      <formula>0</formula>
    </cfRule>
    <cfRule type="cellIs" rank="0" priority="2697" equalAverage="0" operator="lessThanOrEqual" aboveAverage="0" dxfId="0" text="" percent="0" bottom="0">
      <formula>0</formula>
    </cfRule>
  </conditionalFormatting>
  <conditionalFormatting sqref="G904">
    <cfRule type="cellIs" rank="0" priority="2698" equalAverage="0" operator="greaterThan" aboveAverage="0" dxfId="10" text="" percent="0" bottom="0">
      <formula>e{r}</formula>
    </cfRule>
  </conditionalFormatting>
  <conditionalFormatting sqref="H905">
    <cfRule type="cellIs" rank="0" priority="2699" equalAverage="0" operator="greaterThan" aboveAverage="0" dxfId="1" text="" percent="0" bottom="0">
      <formula>0</formula>
    </cfRule>
    <cfRule type="cellIs" rank="0" priority="2700" equalAverage="0" operator="lessThanOrEqual" aboveAverage="0" dxfId="0" text="" percent="0" bottom="0">
      <formula>0</formula>
    </cfRule>
  </conditionalFormatting>
  <conditionalFormatting sqref="G905">
    <cfRule type="cellIs" rank="0" priority="2701" equalAverage="0" operator="greaterThan" aboveAverage="0" dxfId="10" text="" percent="0" bottom="0">
      <formula>e{r}</formula>
    </cfRule>
  </conditionalFormatting>
  <conditionalFormatting sqref="H906">
    <cfRule type="cellIs" rank="0" priority="2702" equalAverage="0" operator="greaterThan" aboveAverage="0" dxfId="1" text="" percent="0" bottom="0">
      <formula>0</formula>
    </cfRule>
    <cfRule type="cellIs" rank="0" priority="2703" equalAverage="0" operator="lessThanOrEqual" aboveAverage="0" dxfId="0" text="" percent="0" bottom="0">
      <formula>0</formula>
    </cfRule>
  </conditionalFormatting>
  <conditionalFormatting sqref="G906">
    <cfRule type="cellIs" rank="0" priority="2704" equalAverage="0" operator="greaterThan" aboveAverage="0" dxfId="10" text="" percent="0" bottom="0">
      <formula>e{r}</formula>
    </cfRule>
  </conditionalFormatting>
  <conditionalFormatting sqref="H907">
    <cfRule type="cellIs" rank="0" priority="2705" equalAverage="0" operator="greaterThan" aboveAverage="0" dxfId="1" text="" percent="0" bottom="0">
      <formula>0</formula>
    </cfRule>
    <cfRule type="cellIs" rank="0" priority="2706" equalAverage="0" operator="lessThanOrEqual" aboveAverage="0" dxfId="0" text="" percent="0" bottom="0">
      <formula>0</formula>
    </cfRule>
  </conditionalFormatting>
  <conditionalFormatting sqref="G907">
    <cfRule type="cellIs" rank="0" priority="2707" equalAverage="0" operator="greaterThan" aboveAverage="0" dxfId="10" text="" percent="0" bottom="0">
      <formula>e{r}</formula>
    </cfRule>
  </conditionalFormatting>
  <conditionalFormatting sqref="H908">
    <cfRule type="cellIs" rank="0" priority="2708" equalAverage="0" operator="greaterThan" aboveAverage="0" dxfId="1" text="" percent="0" bottom="0">
      <formula>0</formula>
    </cfRule>
    <cfRule type="cellIs" rank="0" priority="2709" equalAverage="0" operator="lessThanOrEqual" aboveAverage="0" dxfId="0" text="" percent="0" bottom="0">
      <formula>0</formula>
    </cfRule>
  </conditionalFormatting>
  <conditionalFormatting sqref="G908">
    <cfRule type="cellIs" rank="0" priority="2710" equalAverage="0" operator="greaterThan" aboveAverage="0" dxfId="10" text="" percent="0" bottom="0">
      <formula>e{r}</formula>
    </cfRule>
  </conditionalFormatting>
  <conditionalFormatting sqref="H909">
    <cfRule type="cellIs" rank="0" priority="2711" equalAverage="0" operator="greaterThan" aboveAverage="0" dxfId="1" text="" percent="0" bottom="0">
      <formula>0</formula>
    </cfRule>
    <cfRule type="cellIs" rank="0" priority="2712" equalAverage="0" operator="lessThanOrEqual" aboveAverage="0" dxfId="0" text="" percent="0" bottom="0">
      <formula>0</formula>
    </cfRule>
  </conditionalFormatting>
  <conditionalFormatting sqref="G909">
    <cfRule type="cellIs" rank="0" priority="2713" equalAverage="0" operator="greaterThan" aboveAverage="0" dxfId="10" text="" percent="0" bottom="0">
      <formula>e{r}</formula>
    </cfRule>
  </conditionalFormatting>
  <conditionalFormatting sqref="H910">
    <cfRule type="cellIs" rank="0" priority="2714" equalAverage="0" operator="greaterThan" aboveAverage="0" dxfId="1" text="" percent="0" bottom="0">
      <formula>0</formula>
    </cfRule>
    <cfRule type="cellIs" rank="0" priority="2715" equalAverage="0" operator="lessThanOrEqual" aboveAverage="0" dxfId="0" text="" percent="0" bottom="0">
      <formula>0</formula>
    </cfRule>
  </conditionalFormatting>
  <conditionalFormatting sqref="G910">
    <cfRule type="cellIs" rank="0" priority="2716" equalAverage="0" operator="greaterThan" aboveAverage="0" dxfId="10" text="" percent="0" bottom="0">
      <formula>e{r}</formula>
    </cfRule>
  </conditionalFormatting>
  <conditionalFormatting sqref="H911">
    <cfRule type="cellIs" rank="0" priority="2717" equalAverage="0" operator="greaterThan" aboveAverage="0" dxfId="1" text="" percent="0" bottom="0">
      <formula>0</formula>
    </cfRule>
    <cfRule type="cellIs" rank="0" priority="2718" equalAverage="0" operator="lessThanOrEqual" aboveAverage="0" dxfId="0" text="" percent="0" bottom="0">
      <formula>0</formula>
    </cfRule>
  </conditionalFormatting>
  <conditionalFormatting sqref="G911">
    <cfRule type="cellIs" rank="0" priority="2719" equalAverage="0" operator="greaterThan" aboveAverage="0" dxfId="10" text="" percent="0" bottom="0">
      <formula>e{r}</formula>
    </cfRule>
  </conditionalFormatting>
  <conditionalFormatting sqref="H912">
    <cfRule type="cellIs" rank="0" priority="2720" equalAverage="0" operator="greaterThan" aboveAverage="0" dxfId="1" text="" percent="0" bottom="0">
      <formula>0</formula>
    </cfRule>
    <cfRule type="cellIs" rank="0" priority="2721" equalAverage="0" operator="lessThanOrEqual" aboveAverage="0" dxfId="0" text="" percent="0" bottom="0">
      <formula>0</formula>
    </cfRule>
  </conditionalFormatting>
  <conditionalFormatting sqref="G912">
    <cfRule type="cellIs" rank="0" priority="2722" equalAverage="0" operator="greaterThan" aboveAverage="0" dxfId="10" text="" percent="0" bottom="0">
      <formula>e{r}</formula>
    </cfRule>
  </conditionalFormatting>
  <conditionalFormatting sqref="H913">
    <cfRule type="cellIs" rank="0" priority="2723" equalAverage="0" operator="greaterThan" aboveAverage="0" dxfId="1" text="" percent="0" bottom="0">
      <formula>0</formula>
    </cfRule>
    <cfRule type="cellIs" rank="0" priority="2724" equalAverage="0" operator="lessThanOrEqual" aboveAverage="0" dxfId="0" text="" percent="0" bottom="0">
      <formula>0</formula>
    </cfRule>
  </conditionalFormatting>
  <conditionalFormatting sqref="G913">
    <cfRule type="cellIs" rank="0" priority="2725" equalAverage="0" operator="greaterThan" aboveAverage="0" dxfId="10" text="" percent="0" bottom="0">
      <formula>e{r}</formula>
    </cfRule>
  </conditionalFormatting>
  <conditionalFormatting sqref="H914">
    <cfRule type="cellIs" rank="0" priority="2726" equalAverage="0" operator="greaterThan" aboveAverage="0" dxfId="1" text="" percent="0" bottom="0">
      <formula>0</formula>
    </cfRule>
    <cfRule type="cellIs" rank="0" priority="2727" equalAverage="0" operator="lessThanOrEqual" aboveAverage="0" dxfId="0" text="" percent="0" bottom="0">
      <formula>0</formula>
    </cfRule>
  </conditionalFormatting>
  <conditionalFormatting sqref="G914">
    <cfRule type="cellIs" rank="0" priority="2728" equalAverage="0" operator="greaterThan" aboveAverage="0" dxfId="10" text="" percent="0" bottom="0">
      <formula>e{r}</formula>
    </cfRule>
  </conditionalFormatting>
  <conditionalFormatting sqref="H915">
    <cfRule type="cellIs" rank="0" priority="2729" equalAverage="0" operator="greaterThan" aboveAverage="0" dxfId="1" text="" percent="0" bottom="0">
      <formula>0</formula>
    </cfRule>
    <cfRule type="cellIs" rank="0" priority="2730" equalAverage="0" operator="lessThanOrEqual" aboveAverage="0" dxfId="0" text="" percent="0" bottom="0">
      <formula>0</formula>
    </cfRule>
  </conditionalFormatting>
  <conditionalFormatting sqref="G915">
    <cfRule type="cellIs" rank="0" priority="2731" equalAverage="0" operator="greaterThan" aboveAverage="0" dxfId="10" text="" percent="0" bottom="0">
      <formula>e{r}</formula>
    </cfRule>
  </conditionalFormatting>
  <conditionalFormatting sqref="H916">
    <cfRule type="cellIs" rank="0" priority="2732" equalAverage="0" operator="greaterThan" aboveAverage="0" dxfId="1" text="" percent="0" bottom="0">
      <formula>0</formula>
    </cfRule>
    <cfRule type="cellIs" rank="0" priority="2733" equalAverage="0" operator="lessThanOrEqual" aboveAverage="0" dxfId="0" text="" percent="0" bottom="0">
      <formula>0</formula>
    </cfRule>
  </conditionalFormatting>
  <conditionalFormatting sqref="G916">
    <cfRule type="cellIs" rank="0" priority="2734" equalAverage="0" operator="greaterThan" aboveAverage="0" dxfId="10" text="" percent="0" bottom="0">
      <formula>e{r}</formula>
    </cfRule>
  </conditionalFormatting>
  <conditionalFormatting sqref="H917">
    <cfRule type="cellIs" rank="0" priority="2735" equalAverage="0" operator="greaterThan" aboveAverage="0" dxfId="1" text="" percent="0" bottom="0">
      <formula>0</formula>
    </cfRule>
    <cfRule type="cellIs" rank="0" priority="2736" equalAverage="0" operator="lessThanOrEqual" aboveAverage="0" dxfId="0" text="" percent="0" bottom="0">
      <formula>0</formula>
    </cfRule>
  </conditionalFormatting>
  <conditionalFormatting sqref="G917">
    <cfRule type="cellIs" rank="0" priority="2737" equalAverage="0" operator="greaterThan" aboveAverage="0" dxfId="10" text="" percent="0" bottom="0">
      <formula>e{r}</formula>
    </cfRule>
  </conditionalFormatting>
  <conditionalFormatting sqref="H918">
    <cfRule type="cellIs" rank="0" priority="2738" equalAverage="0" operator="greaterThan" aboveAverage="0" dxfId="1" text="" percent="0" bottom="0">
      <formula>0</formula>
    </cfRule>
    <cfRule type="cellIs" rank="0" priority="2739" equalAverage="0" operator="lessThanOrEqual" aboveAverage="0" dxfId="0" text="" percent="0" bottom="0">
      <formula>0</formula>
    </cfRule>
  </conditionalFormatting>
  <conditionalFormatting sqref="G918">
    <cfRule type="cellIs" rank="0" priority="2740" equalAverage="0" operator="greaterThan" aboveAverage="0" dxfId="10" text="" percent="0" bottom="0">
      <formula>e{r}</formula>
    </cfRule>
  </conditionalFormatting>
  <conditionalFormatting sqref="H919">
    <cfRule type="cellIs" rank="0" priority="2741" equalAverage="0" operator="greaterThan" aboveAverage="0" dxfId="1" text="" percent="0" bottom="0">
      <formula>0</formula>
    </cfRule>
    <cfRule type="cellIs" rank="0" priority="2742" equalAverage="0" operator="lessThanOrEqual" aboveAverage="0" dxfId="0" text="" percent="0" bottom="0">
      <formula>0</formula>
    </cfRule>
  </conditionalFormatting>
  <conditionalFormatting sqref="G919">
    <cfRule type="cellIs" rank="0" priority="2743" equalAverage="0" operator="greaterThan" aboveAverage="0" dxfId="10" text="" percent="0" bottom="0">
      <formula>e{r}</formula>
    </cfRule>
  </conditionalFormatting>
  <conditionalFormatting sqref="H920">
    <cfRule type="cellIs" rank="0" priority="2744" equalAverage="0" operator="greaterThan" aboveAverage="0" dxfId="1" text="" percent="0" bottom="0">
      <formula>0</formula>
    </cfRule>
    <cfRule type="cellIs" rank="0" priority="2745" equalAverage="0" operator="lessThanOrEqual" aboveAverage="0" dxfId="0" text="" percent="0" bottom="0">
      <formula>0</formula>
    </cfRule>
  </conditionalFormatting>
  <conditionalFormatting sqref="G920">
    <cfRule type="cellIs" rank="0" priority="2746" equalAverage="0" operator="greaterThan" aboveAverage="0" dxfId="10" text="" percent="0" bottom="0">
      <formula>e{r}</formula>
    </cfRule>
  </conditionalFormatting>
  <conditionalFormatting sqref="H921">
    <cfRule type="cellIs" rank="0" priority="2747" equalAverage="0" operator="greaterThan" aboveAverage="0" dxfId="1" text="" percent="0" bottom="0">
      <formula>0</formula>
    </cfRule>
    <cfRule type="cellIs" rank="0" priority="2748" equalAverage="0" operator="lessThanOrEqual" aboveAverage="0" dxfId="0" text="" percent="0" bottom="0">
      <formula>0</formula>
    </cfRule>
  </conditionalFormatting>
  <conditionalFormatting sqref="G921">
    <cfRule type="cellIs" rank="0" priority="2749" equalAverage="0" operator="greaterThan" aboveAverage="0" dxfId="10" text="" percent="0" bottom="0">
      <formula>e{r}</formula>
    </cfRule>
  </conditionalFormatting>
  <conditionalFormatting sqref="H922">
    <cfRule type="cellIs" rank="0" priority="2750" equalAverage="0" operator="greaterThan" aboveAverage="0" dxfId="1" text="" percent="0" bottom="0">
      <formula>0</formula>
    </cfRule>
    <cfRule type="cellIs" rank="0" priority="2751" equalAverage="0" operator="lessThanOrEqual" aboveAverage="0" dxfId="0" text="" percent="0" bottom="0">
      <formula>0</formula>
    </cfRule>
  </conditionalFormatting>
  <conditionalFormatting sqref="G922">
    <cfRule type="cellIs" rank="0" priority="2752" equalAverage="0" operator="greaterThan" aboveAverage="0" dxfId="10" text="" percent="0" bottom="0">
      <formula>e{r}</formula>
    </cfRule>
  </conditionalFormatting>
  <conditionalFormatting sqref="H923">
    <cfRule type="cellIs" rank="0" priority="2753" equalAverage="0" operator="greaterThan" aboveAverage="0" dxfId="1" text="" percent="0" bottom="0">
      <formula>0</formula>
    </cfRule>
    <cfRule type="cellIs" rank="0" priority="2754" equalAverage="0" operator="lessThanOrEqual" aboveAverage="0" dxfId="0" text="" percent="0" bottom="0">
      <formula>0</formula>
    </cfRule>
  </conditionalFormatting>
  <conditionalFormatting sqref="G923">
    <cfRule type="cellIs" rank="0" priority="2755" equalAverage="0" operator="greaterThan" aboveAverage="0" dxfId="10" text="" percent="0" bottom="0">
      <formula>e{r}</formula>
    </cfRule>
  </conditionalFormatting>
  <conditionalFormatting sqref="H924">
    <cfRule type="cellIs" rank="0" priority="2756" equalAverage="0" operator="greaterThan" aboveAverage="0" dxfId="1" text="" percent="0" bottom="0">
      <formula>0</formula>
    </cfRule>
    <cfRule type="cellIs" rank="0" priority="2757" equalAverage="0" operator="lessThanOrEqual" aboveAverage="0" dxfId="0" text="" percent="0" bottom="0">
      <formula>0</formula>
    </cfRule>
  </conditionalFormatting>
  <conditionalFormatting sqref="G924">
    <cfRule type="cellIs" rank="0" priority="2758" equalAverage="0" operator="greaterThan" aboveAverage="0" dxfId="10" text="" percent="0" bottom="0">
      <formula>e{r}</formula>
    </cfRule>
  </conditionalFormatting>
  <conditionalFormatting sqref="H925">
    <cfRule type="cellIs" rank="0" priority="2759" equalAverage="0" operator="greaterThan" aboveAverage="0" dxfId="1" text="" percent="0" bottom="0">
      <formula>0</formula>
    </cfRule>
    <cfRule type="cellIs" rank="0" priority="2760" equalAverage="0" operator="lessThanOrEqual" aboveAverage="0" dxfId="0" text="" percent="0" bottom="0">
      <formula>0</formula>
    </cfRule>
  </conditionalFormatting>
  <conditionalFormatting sqref="G925">
    <cfRule type="cellIs" rank="0" priority="2761" equalAverage="0" operator="greaterThan" aboveAverage="0" dxfId="10" text="" percent="0" bottom="0">
      <formula>e{r}</formula>
    </cfRule>
  </conditionalFormatting>
  <conditionalFormatting sqref="H926">
    <cfRule type="cellIs" rank="0" priority="2762" equalAverage="0" operator="greaterThan" aboveAverage="0" dxfId="1" text="" percent="0" bottom="0">
      <formula>0</formula>
    </cfRule>
    <cfRule type="cellIs" rank="0" priority="2763" equalAverage="0" operator="lessThanOrEqual" aboveAverage="0" dxfId="0" text="" percent="0" bottom="0">
      <formula>0</formula>
    </cfRule>
  </conditionalFormatting>
  <conditionalFormatting sqref="G926">
    <cfRule type="cellIs" rank="0" priority="2764" equalAverage="0" operator="greaterThan" aboveAverage="0" dxfId="10" text="" percent="0" bottom="0">
      <formula>e{r}</formula>
    </cfRule>
  </conditionalFormatting>
  <conditionalFormatting sqref="H927">
    <cfRule type="cellIs" rank="0" priority="2765" equalAverage="0" operator="greaterThan" aboveAverage="0" dxfId="1" text="" percent="0" bottom="0">
      <formula>0</formula>
    </cfRule>
    <cfRule type="cellIs" rank="0" priority="2766" equalAverage="0" operator="lessThanOrEqual" aboveAverage="0" dxfId="0" text="" percent="0" bottom="0">
      <formula>0</formula>
    </cfRule>
  </conditionalFormatting>
  <conditionalFormatting sqref="G927">
    <cfRule type="cellIs" rank="0" priority="2767" equalAverage="0" operator="greaterThan" aboveAverage="0" dxfId="10" text="" percent="0" bottom="0">
      <formula>e{r}</formula>
    </cfRule>
  </conditionalFormatting>
  <conditionalFormatting sqref="H928">
    <cfRule type="cellIs" rank="0" priority="2768" equalAverage="0" operator="greaterThan" aboveAverage="0" dxfId="1" text="" percent="0" bottom="0">
      <formula>0</formula>
    </cfRule>
    <cfRule type="cellIs" rank="0" priority="2769" equalAverage="0" operator="lessThanOrEqual" aboveAverage="0" dxfId="0" text="" percent="0" bottom="0">
      <formula>0</formula>
    </cfRule>
  </conditionalFormatting>
  <conditionalFormatting sqref="G928">
    <cfRule type="cellIs" rank="0" priority="2770" equalAverage="0" operator="greaterThan" aboveAverage="0" dxfId="10" text="" percent="0" bottom="0">
      <formula>e{r}</formula>
    </cfRule>
  </conditionalFormatting>
  <conditionalFormatting sqref="H929">
    <cfRule type="cellIs" rank="0" priority="2771" equalAverage="0" operator="greaterThan" aboveAverage="0" dxfId="1" text="" percent="0" bottom="0">
      <formula>0</formula>
    </cfRule>
    <cfRule type="cellIs" rank="0" priority="2772" equalAverage="0" operator="lessThanOrEqual" aboveAverage="0" dxfId="0" text="" percent="0" bottom="0">
      <formula>0</formula>
    </cfRule>
  </conditionalFormatting>
  <conditionalFormatting sqref="G929">
    <cfRule type="cellIs" rank="0" priority="2773" equalAverage="0" operator="greaterThan" aboveAverage="0" dxfId="10" text="" percent="0" bottom="0">
      <formula>e{r}</formula>
    </cfRule>
  </conditionalFormatting>
  <conditionalFormatting sqref="H930">
    <cfRule type="cellIs" rank="0" priority="2774" equalAverage="0" operator="greaterThan" aboveAverage="0" dxfId="1" text="" percent="0" bottom="0">
      <formula>0</formula>
    </cfRule>
    <cfRule type="cellIs" rank="0" priority="2775" equalAverage="0" operator="lessThanOrEqual" aboveAverage="0" dxfId="0" text="" percent="0" bottom="0">
      <formula>0</formula>
    </cfRule>
  </conditionalFormatting>
  <conditionalFormatting sqref="G930">
    <cfRule type="cellIs" rank="0" priority="2776" equalAverage="0" operator="greaterThan" aboveAverage="0" dxfId="10" text="" percent="0" bottom="0">
      <formula>e{r}</formula>
    </cfRule>
  </conditionalFormatting>
  <conditionalFormatting sqref="H931">
    <cfRule type="cellIs" rank="0" priority="2777" equalAverage="0" operator="greaterThan" aboveAverage="0" dxfId="1" text="" percent="0" bottom="0">
      <formula>0</formula>
    </cfRule>
    <cfRule type="cellIs" rank="0" priority="2778" equalAverage="0" operator="lessThanOrEqual" aboveAverage="0" dxfId="0" text="" percent="0" bottom="0">
      <formula>0</formula>
    </cfRule>
  </conditionalFormatting>
  <conditionalFormatting sqref="G931">
    <cfRule type="cellIs" rank="0" priority="2779" equalAverage="0" operator="greaterThan" aboveAverage="0" dxfId="10" text="" percent="0" bottom="0">
      <formula>e{r}</formula>
    </cfRule>
  </conditionalFormatting>
  <conditionalFormatting sqref="H932">
    <cfRule type="cellIs" rank="0" priority="2780" equalAverage="0" operator="greaterThan" aboveAverage="0" dxfId="1" text="" percent="0" bottom="0">
      <formula>0</formula>
    </cfRule>
    <cfRule type="cellIs" rank="0" priority="2781" equalAverage="0" operator="lessThanOrEqual" aboveAverage="0" dxfId="0" text="" percent="0" bottom="0">
      <formula>0</formula>
    </cfRule>
  </conditionalFormatting>
  <conditionalFormatting sqref="G932">
    <cfRule type="cellIs" rank="0" priority="2782" equalAverage="0" operator="greaterThan" aboveAverage="0" dxfId="10" text="" percent="0" bottom="0">
      <formula>e{r}</formula>
    </cfRule>
  </conditionalFormatting>
  <conditionalFormatting sqref="H933">
    <cfRule type="cellIs" rank="0" priority="2783" equalAverage="0" operator="greaterThan" aboveAverage="0" dxfId="1" text="" percent="0" bottom="0">
      <formula>0</formula>
    </cfRule>
    <cfRule type="cellIs" rank="0" priority="2784" equalAverage="0" operator="lessThanOrEqual" aboveAverage="0" dxfId="0" text="" percent="0" bottom="0">
      <formula>0</formula>
    </cfRule>
  </conditionalFormatting>
  <conditionalFormatting sqref="G933">
    <cfRule type="cellIs" rank="0" priority="2785" equalAverage="0" operator="greaterThan" aboveAverage="0" dxfId="10" text="" percent="0" bottom="0">
      <formula>e{r}</formula>
    </cfRule>
  </conditionalFormatting>
  <conditionalFormatting sqref="H934">
    <cfRule type="cellIs" rank="0" priority="2786" equalAverage="0" operator="greaterThan" aboveAverage="0" dxfId="1" text="" percent="0" bottom="0">
      <formula>0</formula>
    </cfRule>
    <cfRule type="cellIs" rank="0" priority="2787" equalAverage="0" operator="lessThanOrEqual" aboveAverage="0" dxfId="0" text="" percent="0" bottom="0">
      <formula>0</formula>
    </cfRule>
  </conditionalFormatting>
  <conditionalFormatting sqref="G934">
    <cfRule type="cellIs" rank="0" priority="2788" equalAverage="0" operator="greaterThan" aboveAverage="0" dxfId="10" text="" percent="0" bottom="0">
      <formula>e{r}</formula>
    </cfRule>
  </conditionalFormatting>
  <conditionalFormatting sqref="H935">
    <cfRule type="cellIs" rank="0" priority="2789" equalAverage="0" operator="greaterThan" aboveAverage="0" dxfId="1" text="" percent="0" bottom="0">
      <formula>0</formula>
    </cfRule>
    <cfRule type="cellIs" rank="0" priority="2790" equalAverage="0" operator="lessThanOrEqual" aboveAverage="0" dxfId="0" text="" percent="0" bottom="0">
      <formula>0</formula>
    </cfRule>
  </conditionalFormatting>
  <conditionalFormatting sqref="G935">
    <cfRule type="cellIs" rank="0" priority="2791" equalAverage="0" operator="greaterThan" aboveAverage="0" dxfId="10" text="" percent="0" bottom="0">
      <formula>e{r}</formula>
    </cfRule>
  </conditionalFormatting>
  <conditionalFormatting sqref="H936">
    <cfRule type="cellIs" rank="0" priority="2792" equalAverage="0" operator="greaterThan" aboveAverage="0" dxfId="1" text="" percent="0" bottom="0">
      <formula>0</formula>
    </cfRule>
    <cfRule type="cellIs" rank="0" priority="2793" equalAverage="0" operator="lessThanOrEqual" aboveAverage="0" dxfId="0" text="" percent="0" bottom="0">
      <formula>0</formula>
    </cfRule>
  </conditionalFormatting>
  <conditionalFormatting sqref="G936">
    <cfRule type="cellIs" rank="0" priority="2794" equalAverage="0" operator="greaterThan" aboveAverage="0" dxfId="10" text="" percent="0" bottom="0">
      <formula>e{r}</formula>
    </cfRule>
  </conditionalFormatting>
  <conditionalFormatting sqref="H937">
    <cfRule type="cellIs" rank="0" priority="2795" equalAverage="0" operator="greaterThan" aboveAverage="0" dxfId="1" text="" percent="0" bottom="0">
      <formula>0</formula>
    </cfRule>
    <cfRule type="cellIs" rank="0" priority="2796" equalAverage="0" operator="lessThanOrEqual" aboveAverage="0" dxfId="0" text="" percent="0" bottom="0">
      <formula>0</formula>
    </cfRule>
  </conditionalFormatting>
  <conditionalFormatting sqref="G937">
    <cfRule type="cellIs" rank="0" priority="2797" equalAverage="0" operator="greaterThan" aboveAverage="0" dxfId="10" text="" percent="0" bottom="0">
      <formula>e{r}</formula>
    </cfRule>
  </conditionalFormatting>
  <conditionalFormatting sqref="H938">
    <cfRule type="cellIs" rank="0" priority="2798" equalAverage="0" operator="greaterThan" aboveAverage="0" dxfId="1" text="" percent="0" bottom="0">
      <formula>0</formula>
    </cfRule>
    <cfRule type="cellIs" rank="0" priority="2799" equalAverage="0" operator="lessThanOrEqual" aboveAverage="0" dxfId="0" text="" percent="0" bottom="0">
      <formula>0</formula>
    </cfRule>
  </conditionalFormatting>
  <conditionalFormatting sqref="G938">
    <cfRule type="cellIs" rank="0" priority="2800" equalAverage="0" operator="greaterThan" aboveAverage="0" dxfId="10" text="" percent="0" bottom="0">
      <formula>e{r}</formula>
    </cfRule>
  </conditionalFormatting>
  <conditionalFormatting sqref="H939">
    <cfRule type="cellIs" rank="0" priority="2801" equalAverage="0" operator="greaterThan" aboveAverage="0" dxfId="1" text="" percent="0" bottom="0">
      <formula>0</formula>
    </cfRule>
    <cfRule type="cellIs" rank="0" priority="2802" equalAverage="0" operator="lessThanOrEqual" aboveAverage="0" dxfId="0" text="" percent="0" bottom="0">
      <formula>0</formula>
    </cfRule>
  </conditionalFormatting>
  <conditionalFormatting sqref="G939">
    <cfRule type="cellIs" rank="0" priority="2803" equalAverage="0" operator="greaterThan" aboveAverage="0" dxfId="10" text="" percent="0" bottom="0">
      <formula>e{r}</formula>
    </cfRule>
  </conditionalFormatting>
  <conditionalFormatting sqref="H940">
    <cfRule type="cellIs" rank="0" priority="2804" equalAverage="0" operator="greaterThan" aboveAverage="0" dxfId="1" text="" percent="0" bottom="0">
      <formula>0</formula>
    </cfRule>
    <cfRule type="cellIs" rank="0" priority="2805" equalAverage="0" operator="lessThanOrEqual" aboveAverage="0" dxfId="0" text="" percent="0" bottom="0">
      <formula>0</formula>
    </cfRule>
  </conditionalFormatting>
  <conditionalFormatting sqref="G940">
    <cfRule type="cellIs" rank="0" priority="2806" equalAverage="0" operator="greaterThan" aboveAverage="0" dxfId="10" text="" percent="0" bottom="0">
      <formula>e{r}</formula>
    </cfRule>
  </conditionalFormatting>
  <conditionalFormatting sqref="H941">
    <cfRule type="cellIs" rank="0" priority="2807" equalAverage="0" operator="greaterThan" aboveAverage="0" dxfId="1" text="" percent="0" bottom="0">
      <formula>0</formula>
    </cfRule>
    <cfRule type="cellIs" rank="0" priority="2808" equalAverage="0" operator="lessThanOrEqual" aboveAverage="0" dxfId="0" text="" percent="0" bottom="0">
      <formula>0</formula>
    </cfRule>
  </conditionalFormatting>
  <conditionalFormatting sqref="G941">
    <cfRule type="cellIs" rank="0" priority="2809" equalAverage="0" operator="greaterThan" aboveAverage="0" dxfId="10" text="" percent="0" bottom="0">
      <formula>e{r}</formula>
    </cfRule>
  </conditionalFormatting>
  <conditionalFormatting sqref="H942">
    <cfRule type="cellIs" rank="0" priority="2810" equalAverage="0" operator="greaterThan" aboveAverage="0" dxfId="1" text="" percent="0" bottom="0">
      <formula>0</formula>
    </cfRule>
    <cfRule type="cellIs" rank="0" priority="2811" equalAverage="0" operator="lessThanOrEqual" aboveAverage="0" dxfId="0" text="" percent="0" bottom="0">
      <formula>0</formula>
    </cfRule>
  </conditionalFormatting>
  <conditionalFormatting sqref="G942">
    <cfRule type="cellIs" rank="0" priority="2812" equalAverage="0" operator="greaterThan" aboveAverage="0" dxfId="10" text="" percent="0" bottom="0">
      <formula>e{r}</formula>
    </cfRule>
  </conditionalFormatting>
  <conditionalFormatting sqref="H943">
    <cfRule type="cellIs" rank="0" priority="2813" equalAverage="0" operator="greaterThan" aboveAverage="0" dxfId="1" text="" percent="0" bottom="0">
      <formula>0</formula>
    </cfRule>
    <cfRule type="cellIs" rank="0" priority="2814" equalAverage="0" operator="lessThanOrEqual" aboveAverage="0" dxfId="0" text="" percent="0" bottom="0">
      <formula>0</formula>
    </cfRule>
  </conditionalFormatting>
  <conditionalFormatting sqref="G943">
    <cfRule type="cellIs" rank="0" priority="2815" equalAverage="0" operator="greaterThan" aboveAverage="0" dxfId="10" text="" percent="0" bottom="0">
      <formula>e{r}</formula>
    </cfRule>
  </conditionalFormatting>
  <conditionalFormatting sqref="H944">
    <cfRule type="cellIs" rank="0" priority="2816" equalAverage="0" operator="greaterThan" aboveAverage="0" dxfId="1" text="" percent="0" bottom="0">
      <formula>0</formula>
    </cfRule>
    <cfRule type="cellIs" rank="0" priority="2817" equalAverage="0" operator="lessThanOrEqual" aboveAverage="0" dxfId="0" text="" percent="0" bottom="0">
      <formula>0</formula>
    </cfRule>
  </conditionalFormatting>
  <conditionalFormatting sqref="G944">
    <cfRule type="cellIs" rank="0" priority="2818" equalAverage="0" operator="greaterThan" aboveAverage="0" dxfId="10" text="" percent="0" bottom="0">
      <formula>e{r}</formula>
    </cfRule>
  </conditionalFormatting>
  <conditionalFormatting sqref="H945">
    <cfRule type="cellIs" rank="0" priority="2819" equalAverage="0" operator="greaterThan" aboveAverage="0" dxfId="1" text="" percent="0" bottom="0">
      <formula>0</formula>
    </cfRule>
    <cfRule type="cellIs" rank="0" priority="2820" equalAverage="0" operator="lessThanOrEqual" aboveAverage="0" dxfId="0" text="" percent="0" bottom="0">
      <formula>0</formula>
    </cfRule>
  </conditionalFormatting>
  <conditionalFormatting sqref="G945">
    <cfRule type="cellIs" rank="0" priority="2821" equalAverage="0" operator="greaterThan" aboveAverage="0" dxfId="10" text="" percent="0" bottom="0">
      <formula>e{r}</formula>
    </cfRule>
  </conditionalFormatting>
  <conditionalFormatting sqref="H946">
    <cfRule type="cellIs" rank="0" priority="2822" equalAverage="0" operator="greaterThan" aboveAverage="0" dxfId="1" text="" percent="0" bottom="0">
      <formula>0</formula>
    </cfRule>
    <cfRule type="cellIs" rank="0" priority="2823" equalAverage="0" operator="lessThanOrEqual" aboveAverage="0" dxfId="0" text="" percent="0" bottom="0">
      <formula>0</formula>
    </cfRule>
  </conditionalFormatting>
  <conditionalFormatting sqref="G946">
    <cfRule type="cellIs" rank="0" priority="2824" equalAverage="0" operator="greaterThan" aboveAverage="0" dxfId="10" text="" percent="0" bottom="0">
      <formula>e{r}</formula>
    </cfRule>
  </conditionalFormatting>
  <conditionalFormatting sqref="H947">
    <cfRule type="cellIs" rank="0" priority="2825" equalAverage="0" operator="greaterThan" aboveAverage="0" dxfId="1" text="" percent="0" bottom="0">
      <formula>0</formula>
    </cfRule>
    <cfRule type="cellIs" rank="0" priority="2826" equalAverage="0" operator="lessThanOrEqual" aboveAverage="0" dxfId="0" text="" percent="0" bottom="0">
      <formula>0</formula>
    </cfRule>
  </conditionalFormatting>
  <conditionalFormatting sqref="G947">
    <cfRule type="cellIs" rank="0" priority="2827" equalAverage="0" operator="greaterThan" aboveAverage="0" dxfId="10" text="" percent="0" bottom="0">
      <formula>e{r}</formula>
    </cfRule>
  </conditionalFormatting>
  <conditionalFormatting sqref="H948">
    <cfRule type="cellIs" rank="0" priority="2828" equalAverage="0" operator="greaterThan" aboveAverage="0" dxfId="1" text="" percent="0" bottom="0">
      <formula>0</formula>
    </cfRule>
    <cfRule type="cellIs" rank="0" priority="2829" equalAverage="0" operator="lessThanOrEqual" aboveAverage="0" dxfId="0" text="" percent="0" bottom="0">
      <formula>0</formula>
    </cfRule>
  </conditionalFormatting>
  <conditionalFormatting sqref="G948">
    <cfRule type="cellIs" rank="0" priority="2830" equalAverage="0" operator="greaterThan" aboveAverage="0" dxfId="10" text="" percent="0" bottom="0">
      <formula>e{r}</formula>
    </cfRule>
  </conditionalFormatting>
  <conditionalFormatting sqref="H949">
    <cfRule type="cellIs" rank="0" priority="2831" equalAverage="0" operator="greaterThan" aboveAverage="0" dxfId="1" text="" percent="0" bottom="0">
      <formula>0</formula>
    </cfRule>
    <cfRule type="cellIs" rank="0" priority="2832" equalAverage="0" operator="lessThanOrEqual" aboveAverage="0" dxfId="0" text="" percent="0" bottom="0">
      <formula>0</formula>
    </cfRule>
  </conditionalFormatting>
  <conditionalFormatting sqref="G949">
    <cfRule type="cellIs" rank="0" priority="2833" equalAverage="0" operator="greaterThan" aboveAverage="0" dxfId="10" text="" percent="0" bottom="0">
      <formula>e{r}</formula>
    </cfRule>
  </conditionalFormatting>
  <conditionalFormatting sqref="H950">
    <cfRule type="cellIs" rank="0" priority="2834" equalAverage="0" operator="greaterThan" aboveAverage="0" dxfId="1" text="" percent="0" bottom="0">
      <formula>0</formula>
    </cfRule>
    <cfRule type="cellIs" rank="0" priority="2835" equalAverage="0" operator="lessThanOrEqual" aboveAverage="0" dxfId="0" text="" percent="0" bottom="0">
      <formula>0</formula>
    </cfRule>
  </conditionalFormatting>
  <conditionalFormatting sqref="G950">
    <cfRule type="cellIs" rank="0" priority="2836" equalAverage="0" operator="greaterThan" aboveAverage="0" dxfId="10" text="" percent="0" bottom="0">
      <formula>e{r}</formula>
    </cfRule>
  </conditionalFormatting>
  <conditionalFormatting sqref="H951">
    <cfRule type="cellIs" rank="0" priority="2837" equalAverage="0" operator="greaterThan" aboveAverage="0" dxfId="1" text="" percent="0" bottom="0">
      <formula>0</formula>
    </cfRule>
    <cfRule type="cellIs" rank="0" priority="2838" equalAverage="0" operator="lessThanOrEqual" aboveAverage="0" dxfId="0" text="" percent="0" bottom="0">
      <formula>0</formula>
    </cfRule>
  </conditionalFormatting>
  <conditionalFormatting sqref="G951">
    <cfRule type="cellIs" rank="0" priority="2839" equalAverage="0" operator="greaterThan" aboveAverage="0" dxfId="10" text="" percent="0" bottom="0">
      <formula>e{r}</formula>
    </cfRule>
  </conditionalFormatting>
  <conditionalFormatting sqref="H952">
    <cfRule type="cellIs" rank="0" priority="2840" equalAverage="0" operator="greaterThan" aboveAverage="0" dxfId="1" text="" percent="0" bottom="0">
      <formula>0</formula>
    </cfRule>
    <cfRule type="cellIs" rank="0" priority="2841" equalAverage="0" operator="lessThanOrEqual" aboveAverage="0" dxfId="0" text="" percent="0" bottom="0">
      <formula>0</formula>
    </cfRule>
  </conditionalFormatting>
  <conditionalFormatting sqref="G952">
    <cfRule type="cellIs" rank="0" priority="2842" equalAverage="0" operator="greaterThan" aboveAverage="0" dxfId="10" text="" percent="0" bottom="0">
      <formula>e{r}</formula>
    </cfRule>
  </conditionalFormatting>
  <conditionalFormatting sqref="H953">
    <cfRule type="cellIs" rank="0" priority="2843" equalAverage="0" operator="greaterThan" aboveAverage="0" dxfId="1" text="" percent="0" bottom="0">
      <formula>0</formula>
    </cfRule>
    <cfRule type="cellIs" rank="0" priority="2844" equalAverage="0" operator="lessThanOrEqual" aboveAverage="0" dxfId="0" text="" percent="0" bottom="0">
      <formula>0</formula>
    </cfRule>
  </conditionalFormatting>
  <conditionalFormatting sqref="G953">
    <cfRule type="cellIs" rank="0" priority="2845" equalAverage="0" operator="greaterThan" aboveAverage="0" dxfId="10" text="" percent="0" bottom="0">
      <formula>e{r}</formula>
    </cfRule>
  </conditionalFormatting>
  <conditionalFormatting sqref="H954">
    <cfRule type="cellIs" rank="0" priority="2846" equalAverage="0" operator="greaterThan" aboveAverage="0" dxfId="1" text="" percent="0" bottom="0">
      <formula>0</formula>
    </cfRule>
    <cfRule type="cellIs" rank="0" priority="2847" equalAverage="0" operator="lessThanOrEqual" aboveAverage="0" dxfId="0" text="" percent="0" bottom="0">
      <formula>0</formula>
    </cfRule>
  </conditionalFormatting>
  <conditionalFormatting sqref="G954">
    <cfRule type="cellIs" rank="0" priority="2848" equalAverage="0" operator="greaterThan" aboveAverage="0" dxfId="10" text="" percent="0" bottom="0">
      <formula>e{r}</formula>
    </cfRule>
  </conditionalFormatting>
  <conditionalFormatting sqref="H955">
    <cfRule type="cellIs" rank="0" priority="2849" equalAverage="0" operator="greaterThan" aboveAverage="0" dxfId="1" text="" percent="0" bottom="0">
      <formula>0</formula>
    </cfRule>
    <cfRule type="cellIs" rank="0" priority="2850" equalAverage="0" operator="lessThanOrEqual" aboveAverage="0" dxfId="0" text="" percent="0" bottom="0">
      <formula>0</formula>
    </cfRule>
  </conditionalFormatting>
  <conditionalFormatting sqref="G955">
    <cfRule type="cellIs" rank="0" priority="2851" equalAverage="0" operator="greaterThan" aboveAverage="0" dxfId="10" text="" percent="0" bottom="0">
      <formula>e{r}</formula>
    </cfRule>
  </conditionalFormatting>
  <conditionalFormatting sqref="H956">
    <cfRule type="cellIs" rank="0" priority="2852" equalAverage="0" operator="greaterThan" aboveAverage="0" dxfId="1" text="" percent="0" bottom="0">
      <formula>0</formula>
    </cfRule>
    <cfRule type="cellIs" rank="0" priority="2853" equalAverage="0" operator="lessThanOrEqual" aboveAverage="0" dxfId="0" text="" percent="0" bottom="0">
      <formula>0</formula>
    </cfRule>
  </conditionalFormatting>
  <conditionalFormatting sqref="G956">
    <cfRule type="cellIs" rank="0" priority="2854" equalAverage="0" operator="greaterThan" aboveAverage="0" dxfId="10" text="" percent="0" bottom="0">
      <formula>e{r}</formula>
    </cfRule>
  </conditionalFormatting>
  <conditionalFormatting sqref="H957">
    <cfRule type="cellIs" rank="0" priority="2855" equalAverage="0" operator="greaterThan" aboveAverage="0" dxfId="1" text="" percent="0" bottom="0">
      <formula>0</formula>
    </cfRule>
    <cfRule type="cellIs" rank="0" priority="2856" equalAverage="0" operator="lessThanOrEqual" aboveAverage="0" dxfId="0" text="" percent="0" bottom="0">
      <formula>0</formula>
    </cfRule>
  </conditionalFormatting>
  <conditionalFormatting sqref="G957">
    <cfRule type="cellIs" rank="0" priority="2857" equalAverage="0" operator="greaterThan" aboveAverage="0" dxfId="10" text="" percent="0" bottom="0">
      <formula>e{r}</formula>
    </cfRule>
  </conditionalFormatting>
  <conditionalFormatting sqref="H958">
    <cfRule type="cellIs" rank="0" priority="2858" equalAverage="0" operator="greaterThan" aboveAverage="0" dxfId="1" text="" percent="0" bottom="0">
      <formula>0</formula>
    </cfRule>
    <cfRule type="cellIs" rank="0" priority="2859" equalAverage="0" operator="lessThanOrEqual" aboveAverage="0" dxfId="0" text="" percent="0" bottom="0">
      <formula>0</formula>
    </cfRule>
  </conditionalFormatting>
  <conditionalFormatting sqref="G958">
    <cfRule type="cellIs" rank="0" priority="2860" equalAverage="0" operator="greaterThan" aboveAverage="0" dxfId="10" text="" percent="0" bottom="0">
      <formula>e{r}</formula>
    </cfRule>
  </conditionalFormatting>
  <conditionalFormatting sqref="H959">
    <cfRule type="cellIs" rank="0" priority="2861" equalAverage="0" operator="greaterThan" aboveAverage="0" dxfId="1" text="" percent="0" bottom="0">
      <formula>0</formula>
    </cfRule>
    <cfRule type="cellIs" rank="0" priority="2862" equalAverage="0" operator="lessThanOrEqual" aboveAverage="0" dxfId="0" text="" percent="0" bottom="0">
      <formula>0</formula>
    </cfRule>
  </conditionalFormatting>
  <conditionalFormatting sqref="G959">
    <cfRule type="cellIs" rank="0" priority="2863" equalAverage="0" operator="greaterThan" aboveAverage="0" dxfId="10" text="" percent="0" bottom="0">
      <formula>e{r}</formula>
    </cfRule>
  </conditionalFormatting>
  <conditionalFormatting sqref="H960">
    <cfRule type="cellIs" rank="0" priority="2864" equalAverage="0" operator="greaterThan" aboveAverage="0" dxfId="1" text="" percent="0" bottom="0">
      <formula>0</formula>
    </cfRule>
    <cfRule type="cellIs" rank="0" priority="2865" equalAverage="0" operator="lessThanOrEqual" aboveAverage="0" dxfId="0" text="" percent="0" bottom="0">
      <formula>0</formula>
    </cfRule>
  </conditionalFormatting>
  <conditionalFormatting sqref="G960">
    <cfRule type="cellIs" rank="0" priority="2866" equalAverage="0" operator="greaterThan" aboveAverage="0" dxfId="10" text="" percent="0" bottom="0">
      <formula>e{r}</formula>
    </cfRule>
  </conditionalFormatting>
  <conditionalFormatting sqref="H961">
    <cfRule type="cellIs" rank="0" priority="2867" equalAverage="0" operator="greaterThan" aboveAverage="0" dxfId="1" text="" percent="0" bottom="0">
      <formula>0</formula>
    </cfRule>
    <cfRule type="cellIs" rank="0" priority="2868" equalAverage="0" operator="lessThanOrEqual" aboveAverage="0" dxfId="0" text="" percent="0" bottom="0">
      <formula>0</formula>
    </cfRule>
  </conditionalFormatting>
  <conditionalFormatting sqref="G961">
    <cfRule type="cellIs" rank="0" priority="2869" equalAverage="0" operator="greaterThan" aboveAverage="0" dxfId="10" text="" percent="0" bottom="0">
      <formula>e{r}</formula>
    </cfRule>
  </conditionalFormatting>
  <conditionalFormatting sqref="H962">
    <cfRule type="cellIs" rank="0" priority="2870" equalAverage="0" operator="greaterThan" aboveAverage="0" dxfId="1" text="" percent="0" bottom="0">
      <formula>0</formula>
    </cfRule>
    <cfRule type="cellIs" rank="0" priority="2871" equalAverage="0" operator="lessThanOrEqual" aboveAverage="0" dxfId="0" text="" percent="0" bottom="0">
      <formula>0</formula>
    </cfRule>
  </conditionalFormatting>
  <conditionalFormatting sqref="G962">
    <cfRule type="cellIs" rank="0" priority="2872" equalAverage="0" operator="greaterThan" aboveAverage="0" dxfId="10" text="" percent="0" bottom="0">
      <formula>e{r}</formula>
    </cfRule>
  </conditionalFormatting>
  <conditionalFormatting sqref="H963">
    <cfRule type="cellIs" rank="0" priority="2873" equalAverage="0" operator="greaterThan" aboveAverage="0" dxfId="1" text="" percent="0" bottom="0">
      <formula>0</formula>
    </cfRule>
    <cfRule type="cellIs" rank="0" priority="2874" equalAverage="0" operator="lessThanOrEqual" aboveAverage="0" dxfId="0" text="" percent="0" bottom="0">
      <formula>0</formula>
    </cfRule>
  </conditionalFormatting>
  <conditionalFormatting sqref="G963">
    <cfRule type="cellIs" rank="0" priority="2875" equalAverage="0" operator="greaterThan" aboveAverage="0" dxfId="10" text="" percent="0" bottom="0">
      <formula>e{r}</formula>
    </cfRule>
  </conditionalFormatting>
  <conditionalFormatting sqref="H964">
    <cfRule type="cellIs" rank="0" priority="2876" equalAverage="0" operator="greaterThan" aboveAverage="0" dxfId="1" text="" percent="0" bottom="0">
      <formula>0</formula>
    </cfRule>
    <cfRule type="cellIs" rank="0" priority="2877" equalAverage="0" operator="lessThanOrEqual" aboveAverage="0" dxfId="0" text="" percent="0" bottom="0">
      <formula>0</formula>
    </cfRule>
  </conditionalFormatting>
  <conditionalFormatting sqref="G964">
    <cfRule type="cellIs" rank="0" priority="2878" equalAverage="0" operator="greaterThan" aboveAverage="0" dxfId="10" text="" percent="0" bottom="0">
      <formula>e{r}</formula>
    </cfRule>
  </conditionalFormatting>
  <conditionalFormatting sqref="H965">
    <cfRule type="cellIs" rank="0" priority="2879" equalAverage="0" operator="greaterThan" aboveAverage="0" dxfId="1" text="" percent="0" bottom="0">
      <formula>0</formula>
    </cfRule>
    <cfRule type="cellIs" rank="0" priority="2880" equalAverage="0" operator="lessThanOrEqual" aboveAverage="0" dxfId="0" text="" percent="0" bottom="0">
      <formula>0</formula>
    </cfRule>
  </conditionalFormatting>
  <conditionalFormatting sqref="G965">
    <cfRule type="cellIs" rank="0" priority="2881" equalAverage="0" operator="greaterThan" aboveAverage="0" dxfId="10" text="" percent="0" bottom="0">
      <formula>e{r}</formula>
    </cfRule>
  </conditionalFormatting>
  <conditionalFormatting sqref="H966">
    <cfRule type="cellIs" rank="0" priority="2882" equalAverage="0" operator="greaterThan" aboveAverage="0" dxfId="1" text="" percent="0" bottom="0">
      <formula>0</formula>
    </cfRule>
    <cfRule type="cellIs" rank="0" priority="2883" equalAverage="0" operator="lessThanOrEqual" aboveAverage="0" dxfId="0" text="" percent="0" bottom="0">
      <formula>0</formula>
    </cfRule>
  </conditionalFormatting>
  <conditionalFormatting sqref="G966">
    <cfRule type="cellIs" rank="0" priority="2884" equalAverage="0" operator="greaterThan" aboveAverage="0" dxfId="10" text="" percent="0" bottom="0">
      <formula>e{r}</formula>
    </cfRule>
  </conditionalFormatting>
  <conditionalFormatting sqref="H967">
    <cfRule type="cellIs" rank="0" priority="2885" equalAverage="0" operator="greaterThan" aboveAverage="0" dxfId="1" text="" percent="0" bottom="0">
      <formula>0</formula>
    </cfRule>
    <cfRule type="cellIs" rank="0" priority="2886" equalAverage="0" operator="lessThanOrEqual" aboveAverage="0" dxfId="0" text="" percent="0" bottom="0">
      <formula>0</formula>
    </cfRule>
  </conditionalFormatting>
  <conditionalFormatting sqref="G967">
    <cfRule type="cellIs" rank="0" priority="2887" equalAverage="0" operator="greaterThan" aboveAverage="0" dxfId="10" text="" percent="0" bottom="0">
      <formula>e{r}</formula>
    </cfRule>
  </conditionalFormatting>
  <conditionalFormatting sqref="H968">
    <cfRule type="cellIs" rank="0" priority="2888" equalAverage="0" operator="greaterThan" aboveAverage="0" dxfId="1" text="" percent="0" bottom="0">
      <formula>0</formula>
    </cfRule>
    <cfRule type="cellIs" rank="0" priority="2889" equalAverage="0" operator="lessThanOrEqual" aboveAverage="0" dxfId="0" text="" percent="0" bottom="0">
      <formula>0</formula>
    </cfRule>
  </conditionalFormatting>
  <conditionalFormatting sqref="G968">
    <cfRule type="cellIs" rank="0" priority="2890" equalAverage="0" operator="greaterThan" aboveAverage="0" dxfId="10" text="" percent="0" bottom="0">
      <formula>e{r}</formula>
    </cfRule>
  </conditionalFormatting>
  <conditionalFormatting sqref="H969">
    <cfRule type="cellIs" rank="0" priority="2891" equalAverage="0" operator="greaterThan" aboveAverage="0" dxfId="1" text="" percent="0" bottom="0">
      <formula>0</formula>
    </cfRule>
    <cfRule type="cellIs" rank="0" priority="2892" equalAverage="0" operator="lessThanOrEqual" aboveAverage="0" dxfId="0" text="" percent="0" bottom="0">
      <formula>0</formula>
    </cfRule>
  </conditionalFormatting>
  <conditionalFormatting sqref="G969">
    <cfRule type="cellIs" rank="0" priority="2893" equalAverage="0" operator="greaterThan" aboveAverage="0" dxfId="10" text="" percent="0" bottom="0">
      <formula>e{r}</formula>
    </cfRule>
  </conditionalFormatting>
  <conditionalFormatting sqref="H970">
    <cfRule type="cellIs" rank="0" priority="2894" equalAverage="0" operator="greaterThan" aboveAverage="0" dxfId="1" text="" percent="0" bottom="0">
      <formula>0</formula>
    </cfRule>
    <cfRule type="cellIs" rank="0" priority="2895" equalAverage="0" operator="lessThanOrEqual" aboveAverage="0" dxfId="0" text="" percent="0" bottom="0">
      <formula>0</formula>
    </cfRule>
  </conditionalFormatting>
  <conditionalFormatting sqref="G970">
    <cfRule type="cellIs" rank="0" priority="2896" equalAverage="0" operator="greaterThan" aboveAverage="0" dxfId="10" text="" percent="0" bottom="0">
      <formula>e{r}</formula>
    </cfRule>
  </conditionalFormatting>
  <conditionalFormatting sqref="H971">
    <cfRule type="cellIs" rank="0" priority="2897" equalAverage="0" operator="greaterThan" aboveAverage="0" dxfId="1" text="" percent="0" bottom="0">
      <formula>0</formula>
    </cfRule>
    <cfRule type="cellIs" rank="0" priority="2898" equalAverage="0" operator="lessThanOrEqual" aboveAverage="0" dxfId="0" text="" percent="0" bottom="0">
      <formula>0</formula>
    </cfRule>
  </conditionalFormatting>
  <conditionalFormatting sqref="G971">
    <cfRule type="cellIs" rank="0" priority="2899" equalAverage="0" operator="greaterThan" aboveAverage="0" dxfId="10" text="" percent="0" bottom="0">
      <formula>e{r}</formula>
    </cfRule>
  </conditionalFormatting>
  <conditionalFormatting sqref="H972">
    <cfRule type="cellIs" rank="0" priority="2900" equalAverage="0" operator="greaterThan" aboveAverage="0" dxfId="1" text="" percent="0" bottom="0">
      <formula>0</formula>
    </cfRule>
    <cfRule type="cellIs" rank="0" priority="2901" equalAverage="0" operator="lessThanOrEqual" aboveAverage="0" dxfId="0" text="" percent="0" bottom="0">
      <formula>0</formula>
    </cfRule>
  </conditionalFormatting>
  <conditionalFormatting sqref="G972">
    <cfRule type="cellIs" rank="0" priority="2902" equalAverage="0" operator="greaterThan" aboveAverage="0" dxfId="10" text="" percent="0" bottom="0">
      <formula>e{r}</formula>
    </cfRule>
  </conditionalFormatting>
  <conditionalFormatting sqref="H973">
    <cfRule type="cellIs" rank="0" priority="2903" equalAverage="0" operator="greaterThan" aboveAverage="0" dxfId="1" text="" percent="0" bottom="0">
      <formula>0</formula>
    </cfRule>
    <cfRule type="cellIs" rank="0" priority="2904" equalAverage="0" operator="lessThanOrEqual" aboveAverage="0" dxfId="0" text="" percent="0" bottom="0">
      <formula>0</formula>
    </cfRule>
  </conditionalFormatting>
  <conditionalFormatting sqref="G973">
    <cfRule type="cellIs" rank="0" priority="2905" equalAverage="0" operator="greaterThan" aboveAverage="0" dxfId="10" text="" percent="0" bottom="0">
      <formula>e{r}</formula>
    </cfRule>
  </conditionalFormatting>
  <conditionalFormatting sqref="H974">
    <cfRule type="cellIs" rank="0" priority="2906" equalAverage="0" operator="greaterThan" aboveAverage="0" dxfId="1" text="" percent="0" bottom="0">
      <formula>0</formula>
    </cfRule>
    <cfRule type="cellIs" rank="0" priority="2907" equalAverage="0" operator="lessThanOrEqual" aboveAverage="0" dxfId="0" text="" percent="0" bottom="0">
      <formula>0</formula>
    </cfRule>
  </conditionalFormatting>
  <conditionalFormatting sqref="G974">
    <cfRule type="cellIs" rank="0" priority="2908" equalAverage="0" operator="greaterThan" aboveAverage="0" dxfId="10" text="" percent="0" bottom="0">
      <formula>e{r}</formula>
    </cfRule>
  </conditionalFormatting>
  <conditionalFormatting sqref="H975">
    <cfRule type="cellIs" rank="0" priority="2909" equalAverage="0" operator="greaterThan" aboveAverage="0" dxfId="1" text="" percent="0" bottom="0">
      <formula>0</formula>
    </cfRule>
    <cfRule type="cellIs" rank="0" priority="2910" equalAverage="0" operator="lessThanOrEqual" aboveAverage="0" dxfId="0" text="" percent="0" bottom="0">
      <formula>0</formula>
    </cfRule>
  </conditionalFormatting>
  <conditionalFormatting sqref="G975">
    <cfRule type="cellIs" rank="0" priority="2911" equalAverage="0" operator="greaterThan" aboveAverage="0" dxfId="10" text="" percent="0" bottom="0">
      <formula>e{r}</formula>
    </cfRule>
  </conditionalFormatting>
  <conditionalFormatting sqref="H976">
    <cfRule type="cellIs" rank="0" priority="2912" equalAverage="0" operator="greaterThan" aboveAverage="0" dxfId="1" text="" percent="0" bottom="0">
      <formula>0</formula>
    </cfRule>
    <cfRule type="cellIs" rank="0" priority="2913" equalAverage="0" operator="lessThanOrEqual" aboveAverage="0" dxfId="0" text="" percent="0" bottom="0">
      <formula>0</formula>
    </cfRule>
  </conditionalFormatting>
  <conditionalFormatting sqref="G976">
    <cfRule type="cellIs" rank="0" priority="2914" equalAverage="0" operator="greaterThan" aboveAverage="0" dxfId="10" text="" percent="0" bottom="0">
      <formula>e{r}</formula>
    </cfRule>
  </conditionalFormatting>
  <conditionalFormatting sqref="H977">
    <cfRule type="cellIs" rank="0" priority="2915" equalAverage="0" operator="greaterThan" aboveAverage="0" dxfId="1" text="" percent="0" bottom="0">
      <formula>0</formula>
    </cfRule>
    <cfRule type="cellIs" rank="0" priority="2916" equalAverage="0" operator="lessThanOrEqual" aboveAverage="0" dxfId="0" text="" percent="0" bottom="0">
      <formula>0</formula>
    </cfRule>
  </conditionalFormatting>
  <conditionalFormatting sqref="G977">
    <cfRule type="cellIs" rank="0" priority="2917" equalAverage="0" operator="greaterThan" aboveAverage="0" dxfId="10" text="" percent="0" bottom="0">
      <formula>e{r}</formula>
    </cfRule>
  </conditionalFormatting>
  <conditionalFormatting sqref="H978">
    <cfRule type="cellIs" rank="0" priority="2918" equalAverage="0" operator="greaterThan" aboveAverage="0" dxfId="1" text="" percent="0" bottom="0">
      <formula>0</formula>
    </cfRule>
    <cfRule type="cellIs" rank="0" priority="2919" equalAverage="0" operator="lessThanOrEqual" aboveAverage="0" dxfId="0" text="" percent="0" bottom="0">
      <formula>0</formula>
    </cfRule>
  </conditionalFormatting>
  <conditionalFormatting sqref="G978">
    <cfRule type="cellIs" rank="0" priority="2920" equalAverage="0" operator="greaterThan" aboveAverage="0" dxfId="10" text="" percent="0" bottom="0">
      <formula>e{r}</formula>
    </cfRule>
  </conditionalFormatting>
  <conditionalFormatting sqref="H979">
    <cfRule type="cellIs" rank="0" priority="2921" equalAverage="0" operator="greaterThan" aboveAverage="0" dxfId="1" text="" percent="0" bottom="0">
      <formula>0</formula>
    </cfRule>
    <cfRule type="cellIs" rank="0" priority="2922" equalAverage="0" operator="lessThanOrEqual" aboveAverage="0" dxfId="0" text="" percent="0" bottom="0">
      <formula>0</formula>
    </cfRule>
  </conditionalFormatting>
  <conditionalFormatting sqref="G979">
    <cfRule type="cellIs" rank="0" priority="2923" equalAverage="0" operator="greaterThan" aboveAverage="0" dxfId="10" text="" percent="0" bottom="0">
      <formula>e{r}</formula>
    </cfRule>
  </conditionalFormatting>
  <conditionalFormatting sqref="H980">
    <cfRule type="cellIs" rank="0" priority="2924" equalAverage="0" operator="greaterThan" aboveAverage="0" dxfId="1" text="" percent="0" bottom="0">
      <formula>0</formula>
    </cfRule>
    <cfRule type="cellIs" rank="0" priority="2925" equalAverage="0" operator="lessThanOrEqual" aboveAverage="0" dxfId="0" text="" percent="0" bottom="0">
      <formula>0</formula>
    </cfRule>
  </conditionalFormatting>
  <conditionalFormatting sqref="G980">
    <cfRule type="cellIs" rank="0" priority="2926" equalAverage="0" operator="greaterThan" aboveAverage="0" dxfId="10" text="" percent="0" bottom="0">
      <formula>e{r}</formula>
    </cfRule>
  </conditionalFormatting>
  <conditionalFormatting sqref="H981">
    <cfRule type="cellIs" rank="0" priority="2927" equalAverage="0" operator="greaterThan" aboveAverage="0" dxfId="1" text="" percent="0" bottom="0">
      <formula>0</formula>
    </cfRule>
    <cfRule type="cellIs" rank="0" priority="2928" equalAverage="0" operator="lessThanOrEqual" aboveAverage="0" dxfId="0" text="" percent="0" bottom="0">
      <formula>0</formula>
    </cfRule>
  </conditionalFormatting>
  <conditionalFormatting sqref="G981">
    <cfRule type="cellIs" rank="0" priority="2929" equalAverage="0" operator="greaterThan" aboveAverage="0" dxfId="10" text="" percent="0" bottom="0">
      <formula>e{r}</formula>
    </cfRule>
  </conditionalFormatting>
  <conditionalFormatting sqref="H982">
    <cfRule type="cellIs" rank="0" priority="2930" equalAverage="0" operator="greaterThan" aboveAverage="0" dxfId="1" text="" percent="0" bottom="0">
      <formula>0</formula>
    </cfRule>
    <cfRule type="cellIs" rank="0" priority="2931" equalAverage="0" operator="lessThanOrEqual" aboveAverage="0" dxfId="0" text="" percent="0" bottom="0">
      <formula>0</formula>
    </cfRule>
  </conditionalFormatting>
  <conditionalFormatting sqref="G982">
    <cfRule type="cellIs" rank="0" priority="2932" equalAverage="0" operator="greaterThan" aboveAverage="0" dxfId="10" text="" percent="0" bottom="0">
      <formula>e{r}</formula>
    </cfRule>
  </conditionalFormatting>
  <conditionalFormatting sqref="H983">
    <cfRule type="cellIs" rank="0" priority="2933" equalAverage="0" operator="greaterThan" aboveAverage="0" dxfId="1" text="" percent="0" bottom="0">
      <formula>0</formula>
    </cfRule>
    <cfRule type="cellIs" rank="0" priority="2934" equalAverage="0" operator="lessThanOrEqual" aboveAverage="0" dxfId="0" text="" percent="0" bottom="0">
      <formula>0</formula>
    </cfRule>
  </conditionalFormatting>
  <conditionalFormatting sqref="G983">
    <cfRule type="cellIs" rank="0" priority="2935" equalAverage="0" operator="greaterThan" aboveAverage="0" dxfId="10" text="" percent="0" bottom="0">
      <formula>e{r}</formula>
    </cfRule>
  </conditionalFormatting>
  <conditionalFormatting sqref="H984">
    <cfRule type="cellIs" rank="0" priority="2936" equalAverage="0" operator="greaterThan" aboveAverage="0" dxfId="1" text="" percent="0" bottom="0">
      <formula>0</formula>
    </cfRule>
    <cfRule type="cellIs" rank="0" priority="2937" equalAverage="0" operator="lessThanOrEqual" aboveAverage="0" dxfId="0" text="" percent="0" bottom="0">
      <formula>0</formula>
    </cfRule>
  </conditionalFormatting>
  <conditionalFormatting sqref="G984">
    <cfRule type="cellIs" rank="0" priority="2938" equalAverage="0" operator="greaterThan" aboveAverage="0" dxfId="10" text="" percent="0" bottom="0">
      <formula>e{r}</formula>
    </cfRule>
  </conditionalFormatting>
  <conditionalFormatting sqref="H985">
    <cfRule type="cellIs" rank="0" priority="2939" equalAverage="0" operator="greaterThan" aboveAverage="0" dxfId="1" text="" percent="0" bottom="0">
      <formula>0</formula>
    </cfRule>
    <cfRule type="cellIs" rank="0" priority="2940" equalAverage="0" operator="lessThanOrEqual" aboveAverage="0" dxfId="0" text="" percent="0" bottom="0">
      <formula>0</formula>
    </cfRule>
  </conditionalFormatting>
  <conditionalFormatting sqref="G985">
    <cfRule type="cellIs" rank="0" priority="2941" equalAverage="0" operator="greaterThan" aboveAverage="0" dxfId="10" text="" percent="0" bottom="0">
      <formula>e{r}</formula>
    </cfRule>
  </conditionalFormatting>
  <conditionalFormatting sqref="H986">
    <cfRule type="cellIs" rank="0" priority="2942" equalAverage="0" operator="greaterThan" aboveAverage="0" dxfId="1" text="" percent="0" bottom="0">
      <formula>0</formula>
    </cfRule>
    <cfRule type="cellIs" rank="0" priority="2943" equalAverage="0" operator="lessThanOrEqual" aboveAverage="0" dxfId="0" text="" percent="0" bottom="0">
      <formula>0</formula>
    </cfRule>
  </conditionalFormatting>
  <conditionalFormatting sqref="G986">
    <cfRule type="cellIs" rank="0" priority="2944" equalAverage="0" operator="greaterThan" aboveAverage="0" dxfId="10" text="" percent="0" bottom="0">
      <formula>e{r}</formula>
    </cfRule>
  </conditionalFormatting>
  <conditionalFormatting sqref="H987">
    <cfRule type="cellIs" rank="0" priority="2945" equalAverage="0" operator="greaterThan" aboveAverage="0" dxfId="1" text="" percent="0" bottom="0">
      <formula>0</formula>
    </cfRule>
    <cfRule type="cellIs" rank="0" priority="2946" equalAverage="0" operator="lessThanOrEqual" aboveAverage="0" dxfId="0" text="" percent="0" bottom="0">
      <formula>0</formula>
    </cfRule>
  </conditionalFormatting>
  <conditionalFormatting sqref="G987">
    <cfRule type="cellIs" rank="0" priority="2947" equalAverage="0" operator="greaterThan" aboveAverage="0" dxfId="10" text="" percent="0" bottom="0">
      <formula>e{r}</formula>
    </cfRule>
  </conditionalFormatting>
  <conditionalFormatting sqref="H988">
    <cfRule type="cellIs" rank="0" priority="2948" equalAverage="0" operator="greaterThan" aboveAverage="0" dxfId="1" text="" percent="0" bottom="0">
      <formula>0</formula>
    </cfRule>
    <cfRule type="cellIs" rank="0" priority="2949" equalAverage="0" operator="lessThanOrEqual" aboveAverage="0" dxfId="0" text="" percent="0" bottom="0">
      <formula>0</formula>
    </cfRule>
  </conditionalFormatting>
  <conditionalFormatting sqref="G988">
    <cfRule type="cellIs" rank="0" priority="2950" equalAverage="0" operator="greaterThan" aboveAverage="0" dxfId="10" text="" percent="0" bottom="0">
      <formula>e{r}</formula>
    </cfRule>
  </conditionalFormatting>
  <conditionalFormatting sqref="H989">
    <cfRule type="cellIs" rank="0" priority="2951" equalAverage="0" operator="greaterThan" aboveAverage="0" dxfId="1" text="" percent="0" bottom="0">
      <formula>0</formula>
    </cfRule>
    <cfRule type="cellIs" rank="0" priority="2952" equalAverage="0" operator="lessThanOrEqual" aboveAverage="0" dxfId="0" text="" percent="0" bottom="0">
      <formula>0</formula>
    </cfRule>
  </conditionalFormatting>
  <conditionalFormatting sqref="G989">
    <cfRule type="cellIs" rank="0" priority="2953" equalAverage="0" operator="greaterThan" aboveAverage="0" dxfId="10" text="" percent="0" bottom="0">
      <formula>e{r}</formula>
    </cfRule>
  </conditionalFormatting>
  <conditionalFormatting sqref="H990">
    <cfRule type="cellIs" rank="0" priority="2954" equalAverage="0" operator="greaterThan" aboveAverage="0" dxfId="1" text="" percent="0" bottom="0">
      <formula>0</formula>
    </cfRule>
    <cfRule type="cellIs" rank="0" priority="2955" equalAverage="0" operator="lessThanOrEqual" aboveAverage="0" dxfId="0" text="" percent="0" bottom="0">
      <formula>0</formula>
    </cfRule>
  </conditionalFormatting>
  <conditionalFormatting sqref="G990">
    <cfRule type="cellIs" rank="0" priority="2956" equalAverage="0" operator="greaterThan" aboveAverage="0" dxfId="10" text="" percent="0" bottom="0">
      <formula>e{r}</formula>
    </cfRule>
  </conditionalFormatting>
  <conditionalFormatting sqref="H991">
    <cfRule type="cellIs" rank="0" priority="2957" equalAverage="0" operator="greaterThan" aboveAverage="0" dxfId="1" text="" percent="0" bottom="0">
      <formula>0</formula>
    </cfRule>
    <cfRule type="cellIs" rank="0" priority="2958" equalAverage="0" operator="lessThanOrEqual" aboveAverage="0" dxfId="0" text="" percent="0" bottom="0">
      <formula>0</formula>
    </cfRule>
  </conditionalFormatting>
  <conditionalFormatting sqref="G991">
    <cfRule type="cellIs" rank="0" priority="2959" equalAverage="0" operator="greaterThan" aboveAverage="0" dxfId="10" text="" percent="0" bottom="0">
      <formula>e{r}</formula>
    </cfRule>
  </conditionalFormatting>
  <conditionalFormatting sqref="H992">
    <cfRule type="cellIs" rank="0" priority="2960" equalAverage="0" operator="greaterThan" aboveAverage="0" dxfId="1" text="" percent="0" bottom="0">
      <formula>0</formula>
    </cfRule>
    <cfRule type="cellIs" rank="0" priority="2961" equalAverage="0" operator="lessThanOrEqual" aboveAverage="0" dxfId="0" text="" percent="0" bottom="0">
      <formula>0</formula>
    </cfRule>
  </conditionalFormatting>
  <conditionalFormatting sqref="G992">
    <cfRule type="cellIs" rank="0" priority="2962" equalAverage="0" operator="greaterThan" aboveAverage="0" dxfId="10" text="" percent="0" bottom="0">
      <formula>e{r}</formula>
    </cfRule>
  </conditionalFormatting>
  <conditionalFormatting sqref="H993">
    <cfRule type="cellIs" rank="0" priority="2963" equalAverage="0" operator="greaterThan" aboveAverage="0" dxfId="1" text="" percent="0" bottom="0">
      <formula>0</formula>
    </cfRule>
    <cfRule type="cellIs" rank="0" priority="2964" equalAverage="0" operator="lessThanOrEqual" aboveAverage="0" dxfId="0" text="" percent="0" bottom="0">
      <formula>0</formula>
    </cfRule>
  </conditionalFormatting>
  <conditionalFormatting sqref="G993">
    <cfRule type="cellIs" rank="0" priority="2965" equalAverage="0" operator="greaterThan" aboveAverage="0" dxfId="10" text="" percent="0" bottom="0">
      <formula>e{r}</formula>
    </cfRule>
  </conditionalFormatting>
  <conditionalFormatting sqref="H994">
    <cfRule type="cellIs" rank="0" priority="2966" equalAverage="0" operator="greaterThan" aboveAverage="0" dxfId="1" text="" percent="0" bottom="0">
      <formula>0</formula>
    </cfRule>
    <cfRule type="cellIs" rank="0" priority="2967" equalAverage="0" operator="lessThanOrEqual" aboveAverage="0" dxfId="0" text="" percent="0" bottom="0">
      <formula>0</formula>
    </cfRule>
  </conditionalFormatting>
  <conditionalFormatting sqref="G994">
    <cfRule type="cellIs" rank="0" priority="2968" equalAverage="0" operator="greaterThan" aboveAverage="0" dxfId="10" text="" percent="0" bottom="0">
      <formula>e{r}</formula>
    </cfRule>
  </conditionalFormatting>
  <conditionalFormatting sqref="H995">
    <cfRule type="cellIs" rank="0" priority="2969" equalAverage="0" operator="greaterThan" aboveAverage="0" dxfId="1" text="" percent="0" bottom="0">
      <formula>0</formula>
    </cfRule>
    <cfRule type="cellIs" rank="0" priority="2970" equalAverage="0" operator="lessThanOrEqual" aboveAverage="0" dxfId="0" text="" percent="0" bottom="0">
      <formula>0</formula>
    </cfRule>
  </conditionalFormatting>
  <conditionalFormatting sqref="G995">
    <cfRule type="cellIs" rank="0" priority="2971" equalAverage="0" operator="greaterThan" aboveAverage="0" dxfId="10" text="" percent="0" bottom="0">
      <formula>e{r}</formula>
    </cfRule>
  </conditionalFormatting>
  <conditionalFormatting sqref="H996">
    <cfRule type="cellIs" rank="0" priority="2972" equalAverage="0" operator="greaterThan" aboveAverage="0" dxfId="1" text="" percent="0" bottom="0">
      <formula>0</formula>
    </cfRule>
    <cfRule type="cellIs" rank="0" priority="2973" equalAverage="0" operator="lessThanOrEqual" aboveAverage="0" dxfId="0" text="" percent="0" bottom="0">
      <formula>0</formula>
    </cfRule>
  </conditionalFormatting>
  <conditionalFormatting sqref="G996">
    <cfRule type="cellIs" rank="0" priority="2974" equalAverage="0" operator="greaterThan" aboveAverage="0" dxfId="10" text="" percent="0" bottom="0">
      <formula>e{r}</formula>
    </cfRule>
  </conditionalFormatting>
  <conditionalFormatting sqref="H997">
    <cfRule type="cellIs" rank="0" priority="2975" equalAverage="0" operator="greaterThan" aboveAverage="0" dxfId="1" text="" percent="0" bottom="0">
      <formula>0</formula>
    </cfRule>
    <cfRule type="cellIs" rank="0" priority="2976" equalAverage="0" operator="lessThanOrEqual" aboveAverage="0" dxfId="0" text="" percent="0" bottom="0">
      <formula>0</formula>
    </cfRule>
  </conditionalFormatting>
  <conditionalFormatting sqref="G997">
    <cfRule type="cellIs" rank="0" priority="2977" equalAverage="0" operator="greaterThan" aboveAverage="0" dxfId="10" text="" percent="0" bottom="0">
      <formula>e{r}</formula>
    </cfRule>
  </conditionalFormatting>
  <conditionalFormatting sqref="H998">
    <cfRule type="cellIs" rank="0" priority="2978" equalAverage="0" operator="greaterThan" aboveAverage="0" dxfId="1" text="" percent="0" bottom="0">
      <formula>0</formula>
    </cfRule>
    <cfRule type="cellIs" rank="0" priority="2979" equalAverage="0" operator="lessThanOrEqual" aboveAverage="0" dxfId="0" text="" percent="0" bottom="0">
      <formula>0</formula>
    </cfRule>
  </conditionalFormatting>
  <conditionalFormatting sqref="G998">
    <cfRule type="cellIs" rank="0" priority="2980" equalAverage="0" operator="greaterThan" aboveAverage="0" dxfId="10" text="" percent="0" bottom="0">
      <formula>e{r}</formula>
    </cfRule>
  </conditionalFormatting>
  <conditionalFormatting sqref="H999">
    <cfRule type="cellIs" rank="0" priority="2981" equalAverage="0" operator="greaterThan" aboveAverage="0" dxfId="1" text="" percent="0" bottom="0">
      <formula>0</formula>
    </cfRule>
    <cfRule type="cellIs" rank="0" priority="2982" equalAverage="0" operator="lessThanOrEqual" aboveAverage="0" dxfId="0" text="" percent="0" bottom="0">
      <formula>0</formula>
    </cfRule>
  </conditionalFormatting>
  <conditionalFormatting sqref="G999">
    <cfRule type="cellIs" rank="0" priority="2983" equalAverage="0" operator="greaterThan" aboveAverage="0" dxfId="10" text="" percent="0" bottom="0">
      <formula>e{r}</formula>
    </cfRule>
  </conditionalFormatting>
  <conditionalFormatting sqref="H1000">
    <cfRule type="cellIs" rank="0" priority="2984" equalAverage="0" operator="greaterThan" aboveAverage="0" dxfId="1" text="" percent="0" bottom="0">
      <formula>0</formula>
    </cfRule>
    <cfRule type="cellIs" rank="0" priority="2985" equalAverage="0" operator="lessThanOrEqual" aboveAverage="0" dxfId="0" text="" percent="0" bottom="0">
      <formula>0</formula>
    </cfRule>
  </conditionalFormatting>
  <conditionalFormatting sqref="G1000">
    <cfRule type="cellIs" rank="0" priority="2986" equalAverage="0" operator="greaterThan" aboveAverage="0" dxfId="10" text="" percent="0" bottom="0">
      <formula>e{r}</formula>
    </cfRule>
  </conditionalFormatting>
  <conditionalFormatting sqref="H1001">
    <cfRule type="cellIs" rank="0" priority="2987" equalAverage="0" operator="greaterThan" aboveAverage="0" dxfId="1" text="" percent="0" bottom="0">
      <formula>0</formula>
    </cfRule>
    <cfRule type="cellIs" rank="0" priority="2988" equalAverage="0" operator="lessThanOrEqual" aboveAverage="0" dxfId="0" text="" percent="0" bottom="0">
      <formula>0</formula>
    </cfRule>
  </conditionalFormatting>
  <conditionalFormatting sqref="G1001">
    <cfRule type="cellIs" rank="0" priority="2989" equalAverage="0" operator="greaterThan" aboveAverage="0" dxfId="10" text="" percent="0" bottom="0">
      <formula>e{r}</formula>
    </cfRule>
  </conditionalFormatting>
  <conditionalFormatting sqref="H1002">
    <cfRule type="cellIs" rank="0" priority="2990" equalAverage="0" operator="greaterThan" aboveAverage="0" dxfId="1" text="" percent="0" bottom="0">
      <formula>0</formula>
    </cfRule>
    <cfRule type="cellIs" rank="0" priority="2991" equalAverage="0" operator="lessThanOrEqual" aboveAverage="0" dxfId="0" text="" percent="0" bottom="0">
      <formula>0</formula>
    </cfRule>
  </conditionalFormatting>
  <conditionalFormatting sqref="G1002">
    <cfRule type="cellIs" rank="0" priority="2992" equalAverage="0" operator="greaterThan" aboveAverage="0" dxfId="10" text="" percent="0" bottom="0">
      <formula>e{r}</formula>
    </cfRule>
  </conditionalFormatting>
  <conditionalFormatting sqref="H1003">
    <cfRule type="cellIs" rank="0" priority="2993" equalAverage="0" operator="greaterThan" aboveAverage="0" dxfId="1" text="" percent="0" bottom="0">
      <formula>0</formula>
    </cfRule>
    <cfRule type="cellIs" rank="0" priority="2994" equalAverage="0" operator="lessThanOrEqual" aboveAverage="0" dxfId="0" text="" percent="0" bottom="0">
      <formula>0</formula>
    </cfRule>
  </conditionalFormatting>
  <conditionalFormatting sqref="G1003">
    <cfRule type="cellIs" rank="0" priority="2995" equalAverage="0" operator="greaterThan" aboveAverage="0" dxfId="10" text="" percent="0" bottom="0">
      <formula>e{r}</formula>
    </cfRule>
  </conditionalFormatting>
  <dataValidations count="3">
    <dataValidation sqref="C6:C1004" showDropDown="0" showInputMessage="1" showErrorMessage="1" allowBlank="1" errorTitle="Geçersiz miktar" error="Miktar 1'den büyük olmalı." promptTitle="Hakediş Miktarı" prompt="Bu kalemde hakedilen miktar." type="whole" errorStyle="stop" operator="greaterThan">
      <formula1>1</formula1>
      <formula2>0</formula2>
    </dataValidation>
    <dataValidation sqref="D6:D1004" showDropDown="0" showInputMessage="1" showErrorMessage="1" allowBlank="1" errorTitle="Geçersiz tutar" error="Birim fiyat 0,01 ₺'den büyük olmalı." promptTitle="Sözleşme Birim Fiyatı (₺)" prompt="Sözleşmedeki birim fiyat." type="decimal" errorStyle="stop" operator="greaterThan">
      <formula1>0.01</formula1>
      <formula2>0</formula2>
    </dataValidation>
    <dataValidation sqref="F6:F1004" showDropDown="0" showInputMessage="1" showErrorMessage="1" allowBlank="1" errorTitle="Geçersiz tutar" error="Birim fiyat 0,01 ₺'den büyük olmalı." promptTitle="Piyasa Birim Fiyatı (₺)" prompt="Hakediş dönemindeki piyasa birim fiyatı." type="decimal" errorStyle="stop" operator="greaterThan">
      <formula1>0.01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109" min="1" max="1"/>
    <col width="12" customWidth="1" style="109" min="2" max="2"/>
    <col width="16.5" customWidth="1" style="109" min="3" max="5"/>
    <col width="17.5" customWidth="1" style="83" min="4" max="4"/>
    <col width="17.5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ENDEKS KAYITLARI — HAKEDİŞ FİYAT FARKI VE HAK KAYBI CETVELİ</t>
        </is>
      </c>
    </row>
    <row r="2"/>
    <row r="3" ht="22" customHeight="1" s="83">
      <c r="A3" s="315" t="inlineStr">
        <is>
          <t>Endeks Kayıtları (Temel ve Dönem)</t>
        </is>
      </c>
    </row>
    <row r="4"/>
    <row r="5" ht="30" customHeight="1" s="83">
      <c r="A5" s="129" t="inlineStr">
        <is>
          <t>Endeks Adı</t>
        </is>
      </c>
      <c r="B5" s="129" t="inlineStr">
        <is>
          <t>Ağırlık</t>
        </is>
      </c>
      <c r="C5" s="129" t="inlineStr">
        <is>
          <t>Temel Endeks</t>
        </is>
      </c>
      <c r="D5" s="129" t="inlineStr">
        <is>
          <t>Dönem Endeksi</t>
        </is>
      </c>
      <c r="E5" s="129" t="inlineStr">
        <is>
          <t>Değişim Oranı</t>
        </is>
      </c>
    </row>
    <row r="6" ht="15" customHeight="1" s="83">
      <c r="A6" s="130" t="inlineStr">
        <is>
          <t>İşçilik</t>
        </is>
      </c>
      <c r="B6" s="138" t="n">
        <v>0.35</v>
      </c>
      <c r="C6" s="131" t="n">
        <v>420</v>
      </c>
      <c r="D6" s="131" t="n">
        <v>448</v>
      </c>
      <c r="E6" s="139">
        <f>IF(OR($C6="",$C6=0),0,($D6-$C6)/$C6)</f>
        <v/>
      </c>
    </row>
    <row r="7" ht="15" customHeight="1" s="83">
      <c r="A7" s="130" t="inlineStr">
        <is>
          <t>Malzeme</t>
        </is>
      </c>
      <c r="B7" s="138" t="n">
        <v>0.35</v>
      </c>
      <c r="C7" s="131" t="n">
        <v>380</v>
      </c>
      <c r="D7" s="131" t="n">
        <v>415</v>
      </c>
      <c r="E7" s="139">
        <f>IF(OR($C7="",$C7=0),0,($D7-$C7)/$C7)</f>
        <v/>
      </c>
    </row>
    <row r="8" ht="15" customHeight="1" s="83">
      <c r="A8" s="130" t="inlineStr">
        <is>
          <t>Makine</t>
        </is>
      </c>
      <c r="B8" s="138" t="n">
        <v>0.1</v>
      </c>
      <c r="C8" s="131" t="n">
        <v>300</v>
      </c>
      <c r="D8" s="131" t="n">
        <v>312</v>
      </c>
      <c r="E8" s="139">
        <f>IF(OR($C8="",$C8=0),0,($D8-$C8)/$C8)</f>
        <v/>
      </c>
    </row>
    <row r="9" ht="15" customHeight="1" s="83">
      <c r="A9" s="130" t="inlineStr">
        <is>
          <t>Genel Gider</t>
        </is>
      </c>
      <c r="B9" s="138" t="n">
        <v>0.1</v>
      </c>
      <c r="C9" s="131" t="n">
        <v>260</v>
      </c>
      <c r="D9" s="131" t="n">
        <v>275</v>
      </c>
      <c r="E9" s="139">
        <f>IF(OR($C9="",$C9=0),0,($D9-$C9)/$C9)</f>
        <v/>
      </c>
    </row>
    <row r="10" ht="15" customHeight="1" s="83">
      <c r="A10" s="130" t="inlineStr">
        <is>
          <t>Nakliye</t>
        </is>
      </c>
      <c r="B10" s="138" t="n">
        <v>0.05</v>
      </c>
      <c r="C10" s="131" t="n">
        <v>240</v>
      </c>
      <c r="D10" s="131" t="n">
        <v>258</v>
      </c>
      <c r="E10" s="139">
        <f>IF(OR($C10="",$C10=0),0,($D10-$C10)/$C10)</f>
        <v/>
      </c>
    </row>
    <row r="11" ht="15" customHeight="1" s="83">
      <c r="A11" s="130" t="inlineStr">
        <is>
          <t>Yakıt</t>
        </is>
      </c>
      <c r="B11" s="138" t="n">
        <v>0.05</v>
      </c>
      <c r="C11" s="131" t="n">
        <v>320</v>
      </c>
      <c r="D11" s="131" t="n">
        <v>345</v>
      </c>
      <c r="E11" s="139">
        <f>IF(OR($C11="",$C11=0),0,($D11-$C11)/$C11)</f>
        <v/>
      </c>
    </row>
    <row r="12" ht="15" customHeight="1" s="83">
      <c r="A12" s="135" t="n"/>
      <c r="B12" s="135" t="n"/>
      <c r="C12" s="135" t="n"/>
      <c r="D12" s="135" t="n"/>
      <c r="E12" s="140" t="n"/>
    </row>
    <row r="13" ht="15" customHeight="1" s="83">
      <c r="A13" s="135" t="n"/>
      <c r="B13" s="135" t="n"/>
      <c r="C13" s="135" t="n"/>
      <c r="D13" s="135" t="n"/>
      <c r="E13" s="140" t="n"/>
    </row>
    <row r="14" ht="15" customHeight="1" s="83">
      <c r="A14" s="135" t="n"/>
      <c r="B14" s="135" t="n"/>
      <c r="C14" s="135" t="n"/>
      <c r="D14" s="135" t="n"/>
      <c r="E14" s="140" t="n"/>
    </row>
    <row r="15" ht="15" customHeight="1" s="83">
      <c r="A15" s="135" t="n"/>
      <c r="B15" s="135" t="n"/>
      <c r="C15" s="135" t="n"/>
      <c r="D15" s="135" t="n"/>
      <c r="E15" s="140" t="n"/>
    </row>
    <row r="16" ht="15" customHeight="1" s="83">
      <c r="A16" s="135" t="n"/>
      <c r="B16" s="135" t="n"/>
      <c r="C16" s="135" t="n"/>
      <c r="D16" s="135" t="n"/>
      <c r="E16" s="140" t="n"/>
    </row>
    <row r="17" ht="15" customHeight="1" s="83">
      <c r="A17" s="135" t="n"/>
      <c r="B17" s="135" t="n"/>
      <c r="C17" s="135" t="n"/>
      <c r="D17" s="135" t="n"/>
      <c r="E17" s="140" t="n"/>
    </row>
    <row r="18" ht="15" customHeight="1" s="83">
      <c r="A18" s="135" t="n"/>
      <c r="B18" s="135" t="n"/>
      <c r="C18" s="135" t="n"/>
      <c r="D18" s="135" t="n"/>
      <c r="E18" s="140" t="n"/>
    </row>
    <row r="19" ht="15" customHeight="1" s="83">
      <c r="A19" s="135" t="n"/>
      <c r="B19" s="135" t="n"/>
      <c r="C19" s="135" t="n"/>
      <c r="D19" s="135" t="n"/>
      <c r="E19" s="140" t="n"/>
    </row>
    <row r="20" ht="15" customHeight="1" s="83">
      <c r="A20" s="135" t="n"/>
      <c r="B20" s="135" t="n"/>
      <c r="C20" s="135" t="n"/>
      <c r="D20" s="135" t="n"/>
      <c r="E20" s="140" t="n"/>
    </row>
    <row r="21" ht="15" customHeight="1" s="83">
      <c r="A21" s="135" t="n"/>
      <c r="B21" s="135" t="n"/>
      <c r="C21" s="135" t="n"/>
      <c r="D21" s="135" t="n"/>
      <c r="E21" s="140" t="n"/>
    </row>
    <row r="22" ht="15" customHeight="1" s="83">
      <c r="A22" s="135" t="n"/>
      <c r="B22" s="135" t="n"/>
      <c r="C22" s="135" t="n"/>
      <c r="D22" s="135" t="n"/>
      <c r="E22" s="140" t="n"/>
    </row>
    <row r="23" ht="15" customHeight="1" s="83">
      <c r="A23" s="135" t="n"/>
      <c r="B23" s="135" t="n"/>
      <c r="C23" s="135" t="n"/>
      <c r="D23" s="135" t="n"/>
      <c r="E23" s="140" t="n"/>
    </row>
    <row r="24" ht="15" customHeight="1" s="83">
      <c r="A24" s="135" t="n"/>
      <c r="B24" s="135" t="n"/>
      <c r="C24" s="135" t="n"/>
      <c r="D24" s="135" t="n"/>
      <c r="E24" s="140" t="n"/>
    </row>
    <row r="25" ht="15" customHeight="1" s="83">
      <c r="A25" s="135" t="n"/>
      <c r="B25" s="135" t="n"/>
      <c r="C25" s="135" t="n"/>
      <c r="D25" s="135" t="n"/>
      <c r="E25" s="140" t="n"/>
    </row>
    <row r="26" ht="15" customHeight="1" s="83">
      <c r="A26" s="135" t="n"/>
      <c r="B26" s="135" t="n"/>
      <c r="C26" s="135" t="n"/>
      <c r="D26" s="135" t="n"/>
      <c r="E26" s="140" t="n"/>
    </row>
    <row r="27" ht="15" customHeight="1" s="83">
      <c r="A27" s="135" t="n"/>
      <c r="B27" s="135" t="n"/>
      <c r="C27" s="135" t="n"/>
      <c r="D27" s="135" t="n"/>
      <c r="E27" s="140" t="n"/>
    </row>
    <row r="28" ht="15" customHeight="1" s="83">
      <c r="A28" s="135" t="n"/>
      <c r="B28" s="135" t="n"/>
      <c r="C28" s="135" t="n"/>
      <c r="D28" s="135" t="n"/>
      <c r="E28" s="140" t="n"/>
    </row>
    <row r="29" ht="15" customHeight="1" s="83">
      <c r="A29" s="135" t="n"/>
      <c r="B29" s="135" t="n"/>
      <c r="C29" s="135" t="n"/>
      <c r="D29" s="135" t="n"/>
      <c r="E29" s="140" t="n"/>
    </row>
    <row r="30" ht="15" customHeight="1" s="83">
      <c r="A30" s="135" t="n"/>
      <c r="B30" s="135" t="n"/>
      <c r="C30" s="135" t="n"/>
      <c r="D30" s="135" t="n"/>
      <c r="E30" s="140" t="n"/>
    </row>
    <row r="31" ht="15" customHeight="1" s="83">
      <c r="A31" s="135" t="n"/>
      <c r="B31" s="135" t="n"/>
      <c r="C31" s="135" t="n"/>
      <c r="D31" s="135" t="n"/>
      <c r="E31" s="140" t="n"/>
    </row>
    <row r="32" ht="15" customHeight="1" s="83">
      <c r="A32" s="135" t="n"/>
      <c r="B32" s="135" t="n"/>
      <c r="C32" s="135" t="n"/>
      <c r="D32" s="135" t="n"/>
      <c r="E32" s="140" t="n"/>
    </row>
    <row r="33" ht="15" customHeight="1" s="83">
      <c r="A33" s="135" t="n"/>
      <c r="B33" s="135" t="n"/>
      <c r="C33" s="135" t="n"/>
      <c r="D33" s="135" t="n"/>
      <c r="E33" s="140" t="n"/>
    </row>
    <row r="34" ht="15" customHeight="1" s="83">
      <c r="A34" s="135" t="n"/>
      <c r="B34" s="135" t="n"/>
      <c r="C34" s="135" t="n"/>
      <c r="D34" s="135" t="n"/>
      <c r="E34" s="140" t="n"/>
    </row>
    <row r="35" ht="15" customHeight="1" s="83">
      <c r="A35" s="135" t="n"/>
      <c r="B35" s="135" t="n"/>
      <c r="C35" s="135" t="n"/>
      <c r="D35" s="135" t="n"/>
      <c r="E35" s="140" t="n"/>
    </row>
    <row r="36" ht="15" customHeight="1" s="83">
      <c r="A36" s="135" t="n"/>
      <c r="B36" s="135" t="n"/>
      <c r="C36" s="135" t="n"/>
      <c r="D36" s="135" t="n"/>
      <c r="E36" s="140" t="n"/>
    </row>
    <row r="37" ht="15" customHeight="1" s="83">
      <c r="A37" s="135" t="n"/>
      <c r="B37" s="135" t="n"/>
      <c r="C37" s="135" t="n"/>
      <c r="D37" s="135" t="n"/>
      <c r="E37" s="140" t="n"/>
    </row>
    <row r="38" ht="15" customHeight="1" s="83">
      <c r="A38" s="135" t="n"/>
      <c r="B38" s="135" t="n"/>
      <c r="C38" s="135" t="n"/>
      <c r="D38" s="135" t="n"/>
      <c r="E38" s="140" t="n"/>
    </row>
    <row r="39" ht="15" customHeight="1" s="83">
      <c r="A39" s="135" t="n"/>
      <c r="B39" s="135" t="n"/>
      <c r="C39" s="135" t="n"/>
      <c r="D39" s="135" t="n"/>
      <c r="E39" s="140" t="n"/>
    </row>
    <row r="40" ht="15" customHeight="1" s="83">
      <c r="A40" s="135" t="n"/>
      <c r="B40" s="135" t="n"/>
      <c r="C40" s="135" t="n"/>
      <c r="D40" s="135" t="n"/>
      <c r="E40" s="140" t="n"/>
    </row>
    <row r="41" ht="15" customHeight="1" s="83">
      <c r="A41" s="135" t="n"/>
      <c r="B41" s="135" t="n"/>
      <c r="C41" s="135" t="n"/>
      <c r="D41" s="135" t="n"/>
      <c r="E41" s="140" t="n"/>
    </row>
    <row r="42" ht="15" customHeight="1" s="83">
      <c r="A42" s="135" t="n"/>
      <c r="B42" s="135" t="n"/>
      <c r="C42" s="135" t="n"/>
      <c r="D42" s="135" t="n"/>
      <c r="E42" s="140" t="n"/>
    </row>
    <row r="43" ht="15" customHeight="1" s="83">
      <c r="A43" s="135" t="n"/>
      <c r="B43" s="135" t="n"/>
      <c r="C43" s="135" t="n"/>
      <c r="D43" s="135" t="n"/>
      <c r="E43" s="140" t="n"/>
    </row>
    <row r="44" ht="15" customHeight="1" s="83">
      <c r="A44" s="135" t="n"/>
      <c r="B44" s="135" t="n"/>
      <c r="C44" s="135" t="n"/>
      <c r="D44" s="135" t="n"/>
      <c r="E44" s="140" t="n"/>
    </row>
    <row r="45" ht="15" customHeight="1" s="83">
      <c r="A45" s="135" t="n"/>
      <c r="B45" s="135" t="n"/>
      <c r="C45" s="135" t="n"/>
      <c r="D45" s="135" t="n"/>
      <c r="E45" s="140" t="n"/>
    </row>
    <row r="46" ht="15" customHeight="1" s="83">
      <c r="A46" s="135" t="n"/>
      <c r="B46" s="135" t="n"/>
      <c r="C46" s="135" t="n"/>
      <c r="D46" s="135" t="n"/>
      <c r="E46" s="140" t="n"/>
    </row>
    <row r="47" ht="15" customHeight="1" s="83">
      <c r="A47" s="135" t="n"/>
      <c r="B47" s="135" t="n"/>
      <c r="C47" s="135" t="n"/>
      <c r="D47" s="135" t="n"/>
      <c r="E47" s="140" t="n"/>
    </row>
    <row r="48" ht="15" customHeight="1" s="83">
      <c r="A48" s="135" t="n"/>
      <c r="B48" s="135" t="n"/>
      <c r="C48" s="135" t="n"/>
      <c r="D48" s="135" t="n"/>
      <c r="E48" s="140" t="n"/>
    </row>
    <row r="49" ht="15" customHeight="1" s="83">
      <c r="A49" s="135" t="n"/>
      <c r="B49" s="135" t="n"/>
      <c r="C49" s="135" t="n"/>
      <c r="D49" s="135" t="n"/>
      <c r="E49" s="140" t="n"/>
    </row>
    <row r="50" ht="15" customHeight="1" s="83">
      <c r="A50" s="135" t="n"/>
      <c r="B50" s="135" t="n"/>
      <c r="C50" s="135" t="n"/>
      <c r="D50" s="135" t="n"/>
      <c r="E50" s="140" t="n"/>
    </row>
    <row r="51" ht="15" customHeight="1" s="83">
      <c r="A51" s="135" t="n"/>
      <c r="B51" s="135" t="n"/>
      <c r="C51" s="135" t="n"/>
      <c r="D51" s="135" t="n"/>
      <c r="E51" s="140" t="n"/>
    </row>
    <row r="52" ht="15" customHeight="1" s="83">
      <c r="A52" s="135" t="n"/>
      <c r="B52" s="135" t="n"/>
      <c r="C52" s="135" t="n"/>
      <c r="D52" s="135" t="n"/>
      <c r="E52" s="140" t="n"/>
    </row>
    <row r="53" ht="15" customHeight="1" s="83">
      <c r="A53" s="135" t="n"/>
      <c r="B53" s="135" t="n"/>
      <c r="C53" s="135" t="n"/>
      <c r="D53" s="135" t="n"/>
      <c r="E53" s="140" t="n"/>
    </row>
    <row r="54" ht="15" customHeight="1" s="83">
      <c r="A54" s="135" t="n"/>
      <c r="B54" s="135" t="n"/>
      <c r="C54" s="135" t="n"/>
      <c r="D54" s="135" t="n"/>
      <c r="E54" s="140" t="n"/>
    </row>
    <row r="55" ht="15" customHeight="1" s="83">
      <c r="A55" s="135" t="n"/>
      <c r="B55" s="135" t="n"/>
      <c r="C55" s="135" t="n"/>
      <c r="D55" s="135" t="n"/>
      <c r="E55" s="140" t="n"/>
    </row>
    <row r="56" ht="15" customHeight="1" s="83">
      <c r="A56" s="135" t="n"/>
      <c r="B56" s="135" t="n"/>
      <c r="C56" s="135" t="n"/>
      <c r="D56" s="135" t="n"/>
      <c r="E56" s="140" t="n"/>
    </row>
    <row r="57" ht="15" customHeight="1" s="83">
      <c r="A57" s="135" t="n"/>
      <c r="B57" s="135" t="n"/>
      <c r="C57" s="135" t="n"/>
      <c r="D57" s="135" t="n"/>
      <c r="E57" s="140" t="n"/>
    </row>
    <row r="58" ht="15" customHeight="1" s="83">
      <c r="A58" s="135" t="n"/>
      <c r="B58" s="135" t="n"/>
      <c r="C58" s="135" t="n"/>
      <c r="D58" s="135" t="n"/>
      <c r="E58" s="140" t="n"/>
    </row>
    <row r="59" ht="15" customHeight="1" s="83">
      <c r="A59" s="135" t="n"/>
      <c r="B59" s="135" t="n"/>
      <c r="C59" s="135" t="n"/>
      <c r="D59" s="135" t="n"/>
      <c r="E59" s="140" t="n"/>
    </row>
    <row r="60" ht="15" customHeight="1" s="83">
      <c r="A60" s="135" t="n"/>
      <c r="B60" s="135" t="n"/>
      <c r="C60" s="135" t="n"/>
      <c r="D60" s="135" t="n"/>
      <c r="E60" s="140" t="n"/>
    </row>
    <row r="61" ht="15" customHeight="1" s="83">
      <c r="A61" s="135" t="n"/>
      <c r="B61" s="135" t="n"/>
      <c r="C61" s="135" t="n"/>
      <c r="D61" s="135" t="n"/>
      <c r="E61" s="140" t="n"/>
    </row>
    <row r="62" ht="15" customHeight="1" s="83">
      <c r="A62" s="135" t="n"/>
      <c r="B62" s="135" t="n"/>
      <c r="C62" s="135" t="n"/>
      <c r="D62" s="135" t="n"/>
      <c r="E62" s="140" t="n"/>
    </row>
    <row r="63" ht="15" customHeight="1" s="83">
      <c r="A63" s="135" t="n"/>
      <c r="B63" s="135" t="n"/>
      <c r="C63" s="135" t="n"/>
      <c r="D63" s="135" t="n"/>
      <c r="E63" s="140" t="n"/>
    </row>
    <row r="64" ht="15" customHeight="1" s="83">
      <c r="A64" s="135" t="n"/>
      <c r="B64" s="135" t="n"/>
      <c r="C64" s="135" t="n"/>
      <c r="D64" s="135" t="n"/>
      <c r="E64" s="140" t="n"/>
    </row>
    <row r="65" ht="15" customHeight="1" s="83">
      <c r="A65" s="135" t="n"/>
      <c r="B65" s="135" t="n"/>
      <c r="C65" s="135" t="n"/>
      <c r="D65" s="135" t="n"/>
      <c r="E65" s="140" t="n"/>
    </row>
    <row r="66" ht="15" customHeight="1" s="83">
      <c r="A66" s="135" t="n"/>
      <c r="B66" s="135" t="n"/>
      <c r="C66" s="135" t="n"/>
      <c r="D66" s="135" t="n"/>
      <c r="E66" s="140" t="n"/>
    </row>
    <row r="67" ht="15" customHeight="1" s="83">
      <c r="A67" s="135" t="n"/>
      <c r="B67" s="135" t="n"/>
      <c r="C67" s="135" t="n"/>
      <c r="D67" s="135" t="n"/>
      <c r="E67" s="140" t="n"/>
    </row>
    <row r="68" ht="15" customHeight="1" s="83">
      <c r="A68" s="135" t="n"/>
      <c r="B68" s="135" t="n"/>
      <c r="C68" s="135" t="n"/>
      <c r="D68" s="135" t="n"/>
      <c r="E68" s="140" t="n"/>
    </row>
    <row r="69" ht="15" customHeight="1" s="83">
      <c r="A69" s="135" t="n"/>
      <c r="B69" s="135" t="n"/>
      <c r="C69" s="135" t="n"/>
      <c r="D69" s="135" t="n"/>
      <c r="E69" s="140" t="n"/>
    </row>
    <row r="70" ht="15" customHeight="1" s="83">
      <c r="A70" s="135" t="n"/>
      <c r="B70" s="135" t="n"/>
      <c r="C70" s="135" t="n"/>
      <c r="D70" s="135" t="n"/>
      <c r="E70" s="140" t="n"/>
    </row>
    <row r="71" ht="15" customHeight="1" s="83">
      <c r="A71" s="135" t="n"/>
      <c r="B71" s="135" t="n"/>
      <c r="C71" s="135" t="n"/>
      <c r="D71" s="135" t="n"/>
      <c r="E71" s="140" t="n"/>
    </row>
    <row r="72" ht="15" customHeight="1" s="83">
      <c r="A72" s="135" t="n"/>
      <c r="B72" s="135" t="n"/>
      <c r="C72" s="135" t="n"/>
      <c r="D72" s="135" t="n"/>
      <c r="E72" s="140" t="n"/>
    </row>
    <row r="73" ht="15" customHeight="1" s="83">
      <c r="A73" s="135" t="n"/>
      <c r="B73" s="135" t="n"/>
      <c r="C73" s="135" t="n"/>
      <c r="D73" s="135" t="n"/>
      <c r="E73" s="140" t="n"/>
    </row>
    <row r="74" ht="15" customHeight="1" s="83">
      <c r="A74" s="135" t="n"/>
      <c r="B74" s="135" t="n"/>
      <c r="C74" s="135" t="n"/>
      <c r="D74" s="135" t="n"/>
      <c r="E74" s="140" t="n"/>
    </row>
    <row r="75" ht="15" customHeight="1" s="83">
      <c r="A75" s="135" t="n"/>
      <c r="B75" s="135" t="n"/>
      <c r="C75" s="135" t="n"/>
      <c r="D75" s="135" t="n"/>
      <c r="E75" s="140" t="n"/>
    </row>
    <row r="76" ht="15" customHeight="1" s="83">
      <c r="A76" s="135" t="n"/>
      <c r="B76" s="135" t="n"/>
      <c r="C76" s="135" t="n"/>
      <c r="D76" s="135" t="n"/>
      <c r="E76" s="140" t="n"/>
    </row>
    <row r="77" ht="15" customHeight="1" s="83">
      <c r="A77" s="135" t="n"/>
      <c r="B77" s="135" t="n"/>
      <c r="C77" s="135" t="n"/>
      <c r="D77" s="135" t="n"/>
      <c r="E77" s="140" t="n"/>
    </row>
    <row r="78" ht="15" customHeight="1" s="83">
      <c r="A78" s="135" t="n"/>
      <c r="B78" s="135" t="n"/>
      <c r="C78" s="135" t="n"/>
      <c r="D78" s="135" t="n"/>
      <c r="E78" s="140" t="n"/>
    </row>
    <row r="79" ht="15" customHeight="1" s="83">
      <c r="A79" s="135" t="n"/>
      <c r="B79" s="135" t="n"/>
      <c r="C79" s="135" t="n"/>
      <c r="D79" s="135" t="n"/>
      <c r="E79" s="140" t="n"/>
    </row>
    <row r="80" ht="15" customHeight="1" s="83">
      <c r="A80" s="135" t="n"/>
      <c r="B80" s="135" t="n"/>
      <c r="C80" s="135" t="n"/>
      <c r="D80" s="135" t="n"/>
      <c r="E80" s="140" t="n"/>
    </row>
    <row r="81" ht="15" customHeight="1" s="83">
      <c r="A81" s="135" t="n"/>
      <c r="B81" s="135" t="n"/>
      <c r="C81" s="135" t="n"/>
      <c r="D81" s="135" t="n"/>
      <c r="E81" s="140" t="n"/>
    </row>
    <row r="82" ht="15" customHeight="1" s="83">
      <c r="A82" s="135" t="n"/>
      <c r="B82" s="135" t="n"/>
      <c r="C82" s="135" t="n"/>
      <c r="D82" s="135" t="n"/>
      <c r="E82" s="140" t="n"/>
    </row>
    <row r="83" ht="15" customHeight="1" s="83">
      <c r="A83" s="135" t="n"/>
      <c r="B83" s="135" t="n"/>
      <c r="C83" s="135" t="n"/>
      <c r="D83" s="135" t="n"/>
      <c r="E83" s="140" t="n"/>
    </row>
    <row r="84" ht="15" customHeight="1" s="83">
      <c r="A84" s="135" t="n"/>
      <c r="B84" s="135" t="n"/>
      <c r="C84" s="135" t="n"/>
      <c r="D84" s="135" t="n"/>
      <c r="E84" s="140" t="n"/>
    </row>
    <row r="85" ht="15" customHeight="1" s="83">
      <c r="A85" s="135" t="n"/>
      <c r="B85" s="135" t="n"/>
      <c r="C85" s="135" t="n"/>
      <c r="D85" s="135" t="n"/>
      <c r="E85" s="140" t="n"/>
    </row>
    <row r="86" ht="15" customHeight="1" s="83">
      <c r="A86" s="135" t="n"/>
      <c r="B86" s="135" t="n"/>
      <c r="C86" s="135" t="n"/>
      <c r="D86" s="135" t="n"/>
      <c r="E86" s="140" t="n"/>
    </row>
    <row r="87" ht="15" customHeight="1" s="83">
      <c r="A87" s="135" t="n"/>
      <c r="B87" s="135" t="n"/>
      <c r="C87" s="135" t="n"/>
      <c r="D87" s="135" t="n"/>
      <c r="E87" s="140" t="n"/>
    </row>
    <row r="88" ht="15" customHeight="1" s="83">
      <c r="A88" s="135" t="n"/>
      <c r="B88" s="135" t="n"/>
      <c r="C88" s="135" t="n"/>
      <c r="D88" s="135" t="n"/>
      <c r="E88" s="140" t="n"/>
    </row>
    <row r="89" ht="15" customHeight="1" s="83">
      <c r="A89" s="135" t="n"/>
      <c r="B89" s="135" t="n"/>
      <c r="C89" s="135" t="n"/>
      <c r="D89" s="135" t="n"/>
      <c r="E89" s="140" t="n"/>
    </row>
    <row r="90" ht="15" customHeight="1" s="83">
      <c r="A90" s="135" t="n"/>
      <c r="B90" s="135" t="n"/>
      <c r="C90" s="135" t="n"/>
      <c r="D90" s="135" t="n"/>
      <c r="E90" s="140" t="n"/>
    </row>
    <row r="91" ht="15" customHeight="1" s="83">
      <c r="A91" s="135" t="n"/>
      <c r="B91" s="135" t="n"/>
      <c r="C91" s="135" t="n"/>
      <c r="D91" s="135" t="n"/>
      <c r="E91" s="140" t="n"/>
    </row>
    <row r="92" ht="15" customHeight="1" s="83">
      <c r="A92" s="135" t="n"/>
      <c r="B92" s="135" t="n"/>
      <c r="C92" s="135" t="n"/>
      <c r="D92" s="135" t="n"/>
      <c r="E92" s="140" t="n"/>
    </row>
    <row r="93" ht="15" customHeight="1" s="83">
      <c r="A93" s="135" t="n"/>
      <c r="B93" s="135" t="n"/>
      <c r="C93" s="135" t="n"/>
      <c r="D93" s="135" t="n"/>
      <c r="E93" s="140" t="n"/>
    </row>
    <row r="94" ht="15" customHeight="1" s="83">
      <c r="A94" s="135" t="n"/>
      <c r="B94" s="135" t="n"/>
      <c r="C94" s="135" t="n"/>
      <c r="D94" s="135" t="n"/>
      <c r="E94" s="140" t="n"/>
    </row>
    <row r="95" ht="15" customHeight="1" s="83">
      <c r="A95" s="135" t="n"/>
      <c r="B95" s="135" t="n"/>
      <c r="C95" s="135" t="n"/>
      <c r="D95" s="135" t="n"/>
      <c r="E95" s="140" t="n"/>
    </row>
    <row r="96" ht="15" customHeight="1" s="83">
      <c r="A96" s="135" t="n"/>
      <c r="B96" s="135" t="n"/>
      <c r="C96" s="135" t="n"/>
      <c r="D96" s="135" t="n"/>
      <c r="E96" s="140" t="n"/>
    </row>
    <row r="97" ht="15" customHeight="1" s="83">
      <c r="A97" s="135" t="n"/>
      <c r="B97" s="135" t="n"/>
      <c r="C97" s="135" t="n"/>
      <c r="D97" s="135" t="n"/>
      <c r="E97" s="140" t="n"/>
    </row>
    <row r="98" ht="15" customHeight="1" s="83">
      <c r="A98" s="135" t="n"/>
      <c r="B98" s="135" t="n"/>
      <c r="C98" s="135" t="n"/>
      <c r="D98" s="135" t="n"/>
      <c r="E98" s="140" t="n"/>
    </row>
    <row r="99" ht="15" customHeight="1" s="83">
      <c r="A99" s="135" t="n"/>
      <c r="B99" s="135" t="n"/>
      <c r="C99" s="135" t="n"/>
      <c r="D99" s="135" t="n"/>
      <c r="E99" s="140" t="n"/>
    </row>
    <row r="100" ht="15" customHeight="1" s="83">
      <c r="A100" s="135" t="n"/>
      <c r="B100" s="135" t="n"/>
      <c r="C100" s="135" t="n"/>
      <c r="D100" s="135" t="n"/>
      <c r="E100" s="140" t="n"/>
    </row>
    <row r="101" ht="15" customHeight="1" s="83">
      <c r="A101" s="135" t="n"/>
      <c r="B101" s="135" t="n"/>
      <c r="C101" s="135" t="n"/>
      <c r="D101" s="135" t="n"/>
      <c r="E101" s="140" t="n"/>
    </row>
    <row r="102" ht="15" customHeight="1" s="83">
      <c r="A102" s="135" t="n"/>
      <c r="B102" s="135" t="n"/>
      <c r="C102" s="135" t="n"/>
      <c r="D102" s="135" t="n"/>
      <c r="E102" s="140" t="n"/>
    </row>
    <row r="103" ht="15" customHeight="1" s="83">
      <c r="A103" s="135" t="n"/>
      <c r="B103" s="135" t="n"/>
      <c r="C103" s="135" t="n"/>
      <c r="D103" s="135" t="n"/>
      <c r="E103" s="140" t="n"/>
    </row>
    <row r="104" ht="15" customHeight="1" s="83">
      <c r="A104" s="135" t="n"/>
      <c r="B104" s="135" t="n"/>
      <c r="C104" s="135" t="n"/>
      <c r="D104" s="135" t="n"/>
      <c r="E104" s="140" t="n"/>
    </row>
    <row r="105" ht="15" customHeight="1" s="83">
      <c r="A105" s="135" t="n"/>
      <c r="B105" s="135" t="n"/>
      <c r="C105" s="135" t="n"/>
      <c r="D105" s="135" t="n"/>
      <c r="E105" s="140" t="n"/>
    </row>
    <row r="106" ht="15" customHeight="1" s="83">
      <c r="A106" s="135" t="n"/>
      <c r="B106" s="135" t="n"/>
      <c r="C106" s="135" t="n"/>
      <c r="D106" s="135" t="n"/>
      <c r="E106" s="140" t="n"/>
    </row>
    <row r="107" ht="15" customHeight="1" s="83">
      <c r="A107" s="135" t="n"/>
      <c r="B107" s="135" t="n"/>
      <c r="C107" s="135" t="n"/>
      <c r="D107" s="135" t="n"/>
      <c r="E107" s="140" t="n"/>
    </row>
    <row r="108" ht="15" customHeight="1" s="83">
      <c r="A108" s="135" t="n"/>
      <c r="B108" s="135" t="n"/>
      <c r="C108" s="135" t="n"/>
      <c r="D108" s="135" t="n"/>
      <c r="E108" s="140" t="n"/>
    </row>
    <row r="109" ht="15" customHeight="1" s="83">
      <c r="A109" s="135" t="n"/>
      <c r="B109" s="135" t="n"/>
      <c r="C109" s="135" t="n"/>
      <c r="D109" s="135" t="n"/>
      <c r="E109" s="140" t="n"/>
    </row>
    <row r="110" ht="15" customHeight="1" s="83">
      <c r="A110" s="135" t="n"/>
      <c r="B110" s="135" t="n"/>
      <c r="C110" s="135" t="n"/>
      <c r="D110" s="135" t="n"/>
      <c r="E110" s="140" t="n"/>
    </row>
    <row r="111" ht="15" customHeight="1" s="83">
      <c r="A111" s="135" t="n"/>
      <c r="B111" s="135" t="n"/>
      <c r="C111" s="135" t="n"/>
      <c r="D111" s="135" t="n"/>
      <c r="E111" s="140" t="n"/>
    </row>
    <row r="112" ht="15" customHeight="1" s="83">
      <c r="A112" s="135" t="n"/>
      <c r="B112" s="135" t="n"/>
      <c r="C112" s="135" t="n"/>
      <c r="D112" s="135" t="n"/>
      <c r="E112" s="140" t="n"/>
    </row>
    <row r="113" ht="15" customHeight="1" s="83">
      <c r="A113" s="135" t="n"/>
      <c r="B113" s="135" t="n"/>
      <c r="C113" s="135" t="n"/>
      <c r="D113" s="135" t="n"/>
      <c r="E113" s="140" t="n"/>
    </row>
    <row r="114" ht="15" customHeight="1" s="83">
      <c r="A114" s="135" t="n"/>
      <c r="B114" s="135" t="n"/>
      <c r="C114" s="135" t="n"/>
      <c r="D114" s="135" t="n"/>
      <c r="E114" s="140" t="n"/>
    </row>
    <row r="115" ht="15" customHeight="1" s="83">
      <c r="A115" s="135" t="n"/>
      <c r="B115" s="135" t="n"/>
      <c r="C115" s="135" t="n"/>
      <c r="D115" s="135" t="n"/>
      <c r="E115" s="140" t="n"/>
    </row>
    <row r="116" ht="15" customHeight="1" s="83">
      <c r="A116" s="135" t="n"/>
      <c r="B116" s="135" t="n"/>
      <c r="C116" s="135" t="n"/>
      <c r="D116" s="135" t="n"/>
      <c r="E116" s="140" t="n"/>
    </row>
    <row r="117" ht="15" customHeight="1" s="83">
      <c r="A117" s="135" t="n"/>
      <c r="B117" s="135" t="n"/>
      <c r="C117" s="135" t="n"/>
      <c r="D117" s="135" t="n"/>
      <c r="E117" s="140" t="n"/>
    </row>
    <row r="118" ht="15" customHeight="1" s="83">
      <c r="A118" s="135" t="n"/>
      <c r="B118" s="135" t="n"/>
      <c r="C118" s="135" t="n"/>
      <c r="D118" s="135" t="n"/>
      <c r="E118" s="140" t="n"/>
    </row>
    <row r="119" ht="15" customHeight="1" s="83">
      <c r="A119" s="135" t="n"/>
      <c r="B119" s="135" t="n"/>
      <c r="C119" s="135" t="n"/>
      <c r="D119" s="135" t="n"/>
      <c r="E119" s="140" t="n"/>
    </row>
    <row r="120" ht="15" customHeight="1" s="83">
      <c r="A120" s="135" t="n"/>
      <c r="B120" s="135" t="n"/>
      <c r="C120" s="135" t="n"/>
      <c r="D120" s="135" t="n"/>
      <c r="E120" s="140" t="n"/>
    </row>
    <row r="121" ht="15" customHeight="1" s="83">
      <c r="A121" s="135" t="n"/>
      <c r="B121" s="135" t="n"/>
      <c r="C121" s="135" t="n"/>
      <c r="D121" s="135" t="n"/>
      <c r="E121" s="140" t="n"/>
    </row>
    <row r="122" ht="15" customHeight="1" s="83">
      <c r="A122" s="135" t="n"/>
      <c r="B122" s="135" t="n"/>
      <c r="C122" s="135" t="n"/>
      <c r="D122" s="135" t="n"/>
      <c r="E122" s="140" t="n"/>
    </row>
    <row r="123" ht="15" customHeight="1" s="83">
      <c r="A123" s="135" t="n"/>
      <c r="B123" s="135" t="n"/>
      <c r="C123" s="135" t="n"/>
      <c r="D123" s="135" t="n"/>
      <c r="E123" s="140" t="n"/>
    </row>
    <row r="124" ht="15" customHeight="1" s="83">
      <c r="A124" s="135" t="n"/>
      <c r="B124" s="135" t="n"/>
      <c r="C124" s="135" t="n"/>
      <c r="D124" s="135" t="n"/>
      <c r="E124" s="140" t="n"/>
    </row>
    <row r="125" ht="15" customHeight="1" s="83">
      <c r="A125" s="135" t="n"/>
      <c r="B125" s="135" t="n"/>
      <c r="C125" s="135" t="n"/>
      <c r="D125" s="135" t="n"/>
      <c r="E125" s="140" t="n"/>
    </row>
    <row r="126" ht="15" customHeight="1" s="83">
      <c r="A126" s="135" t="n"/>
      <c r="B126" s="135" t="n"/>
      <c r="C126" s="135" t="n"/>
      <c r="D126" s="135" t="n"/>
      <c r="E126" s="140" t="n"/>
    </row>
    <row r="127" ht="15" customHeight="1" s="83">
      <c r="A127" s="135" t="n"/>
      <c r="B127" s="135" t="n"/>
      <c r="C127" s="135" t="n"/>
      <c r="D127" s="135" t="n"/>
      <c r="E127" s="140" t="n"/>
    </row>
    <row r="128" ht="15" customHeight="1" s="83">
      <c r="A128" s="135" t="n"/>
      <c r="B128" s="135" t="n"/>
      <c r="C128" s="135" t="n"/>
      <c r="D128" s="135" t="n"/>
      <c r="E128" s="140" t="n"/>
    </row>
    <row r="129" ht="15" customHeight="1" s="83">
      <c r="A129" s="135" t="n"/>
      <c r="B129" s="135" t="n"/>
      <c r="C129" s="135" t="n"/>
      <c r="D129" s="135" t="n"/>
      <c r="E129" s="140" t="n"/>
    </row>
    <row r="130" ht="15" customHeight="1" s="83">
      <c r="A130" s="135" t="n"/>
      <c r="B130" s="135" t="n"/>
      <c r="C130" s="135" t="n"/>
      <c r="D130" s="135" t="n"/>
      <c r="E130" s="140" t="n"/>
    </row>
    <row r="131" ht="15" customHeight="1" s="83">
      <c r="A131" s="135" t="n"/>
      <c r="B131" s="135" t="n"/>
      <c r="C131" s="135" t="n"/>
      <c r="D131" s="135" t="n"/>
      <c r="E131" s="140" t="n"/>
    </row>
    <row r="132" ht="15" customHeight="1" s="83">
      <c r="A132" s="135" t="n"/>
      <c r="B132" s="135" t="n"/>
      <c r="C132" s="135" t="n"/>
      <c r="D132" s="135" t="n"/>
      <c r="E132" s="140" t="n"/>
    </row>
    <row r="133" ht="15" customHeight="1" s="83">
      <c r="A133" s="135" t="n"/>
      <c r="B133" s="135" t="n"/>
      <c r="C133" s="135" t="n"/>
      <c r="D133" s="135" t="n"/>
      <c r="E133" s="140" t="n"/>
    </row>
    <row r="134" ht="15" customHeight="1" s="83">
      <c r="A134" s="135" t="n"/>
      <c r="B134" s="135" t="n"/>
      <c r="C134" s="135" t="n"/>
      <c r="D134" s="135" t="n"/>
      <c r="E134" s="140" t="n"/>
    </row>
    <row r="135" ht="15" customHeight="1" s="83">
      <c r="A135" s="135" t="n"/>
      <c r="B135" s="135" t="n"/>
      <c r="C135" s="135" t="n"/>
      <c r="D135" s="135" t="n"/>
      <c r="E135" s="140" t="n"/>
    </row>
    <row r="136" ht="15" customHeight="1" s="83">
      <c r="A136" s="135" t="n"/>
      <c r="B136" s="135" t="n"/>
      <c r="C136" s="135" t="n"/>
      <c r="D136" s="135" t="n"/>
      <c r="E136" s="140" t="n"/>
    </row>
    <row r="137" ht="15" customHeight="1" s="83">
      <c r="A137" s="135" t="n"/>
      <c r="B137" s="135" t="n"/>
      <c r="C137" s="135" t="n"/>
      <c r="D137" s="135" t="n"/>
      <c r="E137" s="140" t="n"/>
    </row>
    <row r="138" ht="15" customHeight="1" s="83">
      <c r="A138" s="135" t="n"/>
      <c r="B138" s="135" t="n"/>
      <c r="C138" s="135" t="n"/>
      <c r="D138" s="135" t="n"/>
      <c r="E138" s="140" t="n"/>
    </row>
    <row r="139" ht="15" customHeight="1" s="83">
      <c r="A139" s="135" t="n"/>
      <c r="B139" s="135" t="n"/>
      <c r="C139" s="135" t="n"/>
      <c r="D139" s="135" t="n"/>
      <c r="E139" s="140" t="n"/>
    </row>
    <row r="140" ht="15" customHeight="1" s="83">
      <c r="A140" s="135" t="n"/>
      <c r="B140" s="135" t="n"/>
      <c r="C140" s="135" t="n"/>
      <c r="D140" s="135" t="n"/>
      <c r="E140" s="140" t="n"/>
    </row>
    <row r="141" ht="15" customHeight="1" s="83">
      <c r="A141" s="135" t="n"/>
      <c r="B141" s="135" t="n"/>
      <c r="C141" s="135" t="n"/>
      <c r="D141" s="135" t="n"/>
      <c r="E141" s="140" t="n"/>
    </row>
    <row r="142" ht="15" customHeight="1" s="83">
      <c r="A142" s="135" t="n"/>
      <c r="B142" s="135" t="n"/>
      <c r="C142" s="135" t="n"/>
      <c r="D142" s="135" t="n"/>
      <c r="E142" s="140" t="n"/>
    </row>
    <row r="143" ht="15" customHeight="1" s="83">
      <c r="A143" s="135" t="n"/>
      <c r="B143" s="135" t="n"/>
      <c r="C143" s="135" t="n"/>
      <c r="D143" s="135" t="n"/>
      <c r="E143" s="140" t="n"/>
    </row>
    <row r="144" ht="15" customHeight="1" s="83">
      <c r="A144" s="135" t="n"/>
      <c r="B144" s="135" t="n"/>
      <c r="C144" s="135" t="n"/>
      <c r="D144" s="135" t="n"/>
      <c r="E144" s="140" t="n"/>
    </row>
    <row r="145" ht="15" customHeight="1" s="83">
      <c r="A145" s="135" t="n"/>
      <c r="B145" s="135" t="n"/>
      <c r="C145" s="135" t="n"/>
      <c r="D145" s="135" t="n"/>
      <c r="E145" s="140" t="n"/>
    </row>
    <row r="146" ht="15" customHeight="1" s="83">
      <c r="A146" s="135" t="n"/>
      <c r="B146" s="135" t="n"/>
      <c r="C146" s="135" t="n"/>
      <c r="D146" s="135" t="n"/>
      <c r="E146" s="140" t="n"/>
    </row>
    <row r="147" ht="15" customHeight="1" s="83">
      <c r="A147" s="135" t="n"/>
      <c r="B147" s="135" t="n"/>
      <c r="C147" s="135" t="n"/>
      <c r="D147" s="135" t="n"/>
      <c r="E147" s="140" t="n"/>
    </row>
    <row r="148" ht="15" customHeight="1" s="83">
      <c r="A148" s="135" t="n"/>
      <c r="B148" s="135" t="n"/>
      <c r="C148" s="135" t="n"/>
      <c r="D148" s="135" t="n"/>
      <c r="E148" s="140" t="n"/>
    </row>
    <row r="149" ht="15" customHeight="1" s="83">
      <c r="A149" s="135" t="n"/>
      <c r="B149" s="135" t="n"/>
      <c r="C149" s="135" t="n"/>
      <c r="D149" s="135" t="n"/>
      <c r="E149" s="140" t="n"/>
    </row>
    <row r="150" ht="15" customHeight="1" s="83">
      <c r="A150" s="135" t="n"/>
      <c r="B150" s="135" t="n"/>
      <c r="C150" s="135" t="n"/>
      <c r="D150" s="135" t="n"/>
      <c r="E150" s="140" t="n"/>
    </row>
    <row r="151" ht="15" customHeight="1" s="83">
      <c r="A151" s="135" t="n"/>
      <c r="B151" s="135" t="n"/>
      <c r="C151" s="135" t="n"/>
      <c r="D151" s="135" t="n"/>
      <c r="E151" s="140" t="n"/>
    </row>
    <row r="152" ht="15" customHeight="1" s="83">
      <c r="A152" s="135" t="n"/>
      <c r="B152" s="135" t="n"/>
      <c r="C152" s="135" t="n"/>
      <c r="D152" s="135" t="n"/>
      <c r="E152" s="140" t="n"/>
    </row>
    <row r="153" ht="15" customHeight="1" s="83">
      <c r="A153" s="135" t="n"/>
      <c r="B153" s="135" t="n"/>
      <c r="C153" s="135" t="n"/>
      <c r="D153" s="135" t="n"/>
      <c r="E153" s="140" t="n"/>
    </row>
    <row r="154" ht="15" customHeight="1" s="83">
      <c r="A154" s="135" t="n"/>
      <c r="B154" s="135" t="n"/>
      <c r="C154" s="135" t="n"/>
      <c r="D154" s="135" t="n"/>
      <c r="E154" s="140" t="n"/>
    </row>
    <row r="155" ht="15" customHeight="1" s="83">
      <c r="A155" s="135" t="n"/>
      <c r="B155" s="135" t="n"/>
      <c r="C155" s="135" t="n"/>
      <c r="D155" s="135" t="n"/>
      <c r="E155" s="140" t="n"/>
    </row>
    <row r="156" ht="15" customHeight="1" s="83">
      <c r="A156" s="135" t="n"/>
      <c r="B156" s="135" t="n"/>
      <c r="C156" s="135" t="n"/>
      <c r="D156" s="135" t="n"/>
      <c r="E156" s="140" t="n"/>
    </row>
    <row r="157" ht="15" customHeight="1" s="83">
      <c r="A157" s="135" t="n"/>
      <c r="B157" s="135" t="n"/>
      <c r="C157" s="135" t="n"/>
      <c r="D157" s="135" t="n"/>
      <c r="E157" s="140" t="n"/>
    </row>
    <row r="158" ht="15" customHeight="1" s="83">
      <c r="A158" s="135" t="n"/>
      <c r="B158" s="135" t="n"/>
      <c r="C158" s="135" t="n"/>
      <c r="D158" s="135" t="n"/>
      <c r="E158" s="140" t="n"/>
    </row>
    <row r="159" ht="15" customHeight="1" s="83">
      <c r="A159" s="135" t="n"/>
      <c r="B159" s="135" t="n"/>
      <c r="C159" s="135" t="n"/>
      <c r="D159" s="135" t="n"/>
      <c r="E159" s="140" t="n"/>
    </row>
    <row r="160" ht="15" customHeight="1" s="83">
      <c r="A160" s="135" t="n"/>
      <c r="B160" s="135" t="n"/>
      <c r="C160" s="135" t="n"/>
      <c r="D160" s="135" t="n"/>
      <c r="E160" s="140" t="n"/>
    </row>
    <row r="161" ht="15" customHeight="1" s="83">
      <c r="A161" s="135" t="n"/>
      <c r="B161" s="135" t="n"/>
      <c r="C161" s="135" t="n"/>
      <c r="D161" s="135" t="n"/>
      <c r="E161" s="140" t="n"/>
    </row>
    <row r="162" ht="15" customHeight="1" s="83">
      <c r="A162" s="135" t="n"/>
      <c r="B162" s="135" t="n"/>
      <c r="C162" s="135" t="n"/>
      <c r="D162" s="135" t="n"/>
      <c r="E162" s="140" t="n"/>
    </row>
    <row r="163" ht="15" customHeight="1" s="83">
      <c r="A163" s="135" t="n"/>
      <c r="B163" s="135" t="n"/>
      <c r="C163" s="135" t="n"/>
      <c r="D163" s="135" t="n"/>
      <c r="E163" s="140" t="n"/>
    </row>
    <row r="164" ht="15" customHeight="1" s="83">
      <c r="A164" s="135" t="n"/>
      <c r="B164" s="135" t="n"/>
      <c r="C164" s="135" t="n"/>
      <c r="D164" s="135" t="n"/>
      <c r="E164" s="140" t="n"/>
    </row>
    <row r="165" ht="15" customHeight="1" s="83">
      <c r="A165" s="135" t="n"/>
      <c r="B165" s="135" t="n"/>
      <c r="C165" s="135" t="n"/>
      <c r="D165" s="135" t="n"/>
      <c r="E165" s="140" t="n"/>
    </row>
    <row r="166" ht="15" customHeight="1" s="83">
      <c r="A166" s="135" t="n"/>
      <c r="B166" s="135" t="n"/>
      <c r="C166" s="135" t="n"/>
      <c r="D166" s="135" t="n"/>
      <c r="E166" s="140" t="n"/>
    </row>
    <row r="167" ht="15" customHeight="1" s="83">
      <c r="A167" s="135" t="n"/>
      <c r="B167" s="135" t="n"/>
      <c r="C167" s="135" t="n"/>
      <c r="D167" s="135" t="n"/>
      <c r="E167" s="140" t="n"/>
    </row>
    <row r="168" ht="15" customHeight="1" s="83">
      <c r="A168" s="135" t="n"/>
      <c r="B168" s="135" t="n"/>
      <c r="C168" s="135" t="n"/>
      <c r="D168" s="135" t="n"/>
      <c r="E168" s="140" t="n"/>
    </row>
    <row r="169" ht="15" customHeight="1" s="83">
      <c r="A169" s="135" t="n"/>
      <c r="B169" s="135" t="n"/>
      <c r="C169" s="135" t="n"/>
      <c r="D169" s="135" t="n"/>
      <c r="E169" s="140" t="n"/>
    </row>
    <row r="170" ht="15" customHeight="1" s="83">
      <c r="A170" s="135" t="n"/>
      <c r="B170" s="135" t="n"/>
      <c r="C170" s="135" t="n"/>
      <c r="D170" s="135" t="n"/>
      <c r="E170" s="140" t="n"/>
    </row>
    <row r="171" ht="15" customHeight="1" s="83">
      <c r="A171" s="135" t="n"/>
      <c r="B171" s="135" t="n"/>
      <c r="C171" s="135" t="n"/>
      <c r="D171" s="135" t="n"/>
      <c r="E171" s="140" t="n"/>
    </row>
    <row r="172" ht="15" customHeight="1" s="83">
      <c r="A172" s="135" t="n"/>
      <c r="B172" s="135" t="n"/>
      <c r="C172" s="135" t="n"/>
      <c r="D172" s="135" t="n"/>
      <c r="E172" s="140" t="n"/>
    </row>
    <row r="173" ht="15" customHeight="1" s="83">
      <c r="A173" s="135" t="n"/>
      <c r="B173" s="135" t="n"/>
      <c r="C173" s="135" t="n"/>
      <c r="D173" s="135" t="n"/>
      <c r="E173" s="140" t="n"/>
    </row>
    <row r="174" ht="15" customHeight="1" s="83">
      <c r="A174" s="135" t="n"/>
      <c r="B174" s="135" t="n"/>
      <c r="C174" s="135" t="n"/>
      <c r="D174" s="135" t="n"/>
      <c r="E174" s="140" t="n"/>
    </row>
    <row r="175" ht="15" customHeight="1" s="83">
      <c r="A175" s="135" t="n"/>
      <c r="B175" s="135" t="n"/>
      <c r="C175" s="135" t="n"/>
      <c r="D175" s="135" t="n"/>
      <c r="E175" s="140" t="n"/>
    </row>
    <row r="176" ht="15" customHeight="1" s="83">
      <c r="A176" s="135" t="n"/>
      <c r="B176" s="135" t="n"/>
      <c r="C176" s="135" t="n"/>
      <c r="D176" s="135" t="n"/>
      <c r="E176" s="140" t="n"/>
    </row>
    <row r="177" ht="15" customHeight="1" s="83">
      <c r="A177" s="135" t="n"/>
      <c r="B177" s="135" t="n"/>
      <c r="C177" s="135" t="n"/>
      <c r="D177" s="135" t="n"/>
      <c r="E177" s="140" t="n"/>
    </row>
    <row r="178" ht="15" customHeight="1" s="83">
      <c r="A178" s="135" t="n"/>
      <c r="B178" s="135" t="n"/>
      <c r="C178" s="135" t="n"/>
      <c r="D178" s="135" t="n"/>
      <c r="E178" s="140" t="n"/>
    </row>
    <row r="179" ht="15" customHeight="1" s="83">
      <c r="A179" s="135" t="n"/>
      <c r="B179" s="135" t="n"/>
      <c r="C179" s="135" t="n"/>
      <c r="D179" s="135" t="n"/>
      <c r="E179" s="140" t="n"/>
    </row>
    <row r="180" ht="15" customHeight="1" s="83">
      <c r="A180" s="135" t="n"/>
      <c r="B180" s="135" t="n"/>
      <c r="C180" s="135" t="n"/>
      <c r="D180" s="135" t="n"/>
      <c r="E180" s="140" t="n"/>
    </row>
    <row r="181" ht="15" customHeight="1" s="83">
      <c r="A181" s="135" t="n"/>
      <c r="B181" s="135" t="n"/>
      <c r="C181" s="135" t="n"/>
      <c r="D181" s="135" t="n"/>
      <c r="E181" s="140" t="n"/>
    </row>
    <row r="182" ht="15" customHeight="1" s="83">
      <c r="A182" s="135" t="n"/>
      <c r="B182" s="135" t="n"/>
      <c r="C182" s="135" t="n"/>
      <c r="D182" s="135" t="n"/>
      <c r="E182" s="140" t="n"/>
    </row>
    <row r="183" ht="15" customHeight="1" s="83">
      <c r="A183" s="135" t="n"/>
      <c r="B183" s="135" t="n"/>
      <c r="C183" s="135" t="n"/>
      <c r="D183" s="135" t="n"/>
      <c r="E183" s="140" t="n"/>
    </row>
    <row r="184" ht="15" customHeight="1" s="83">
      <c r="A184" s="135" t="n"/>
      <c r="B184" s="135" t="n"/>
      <c r="C184" s="135" t="n"/>
      <c r="D184" s="135" t="n"/>
      <c r="E184" s="140" t="n"/>
    </row>
    <row r="185" ht="15" customHeight="1" s="83">
      <c r="A185" s="135" t="n"/>
      <c r="B185" s="135" t="n"/>
      <c r="C185" s="135" t="n"/>
      <c r="D185" s="135" t="n"/>
      <c r="E185" s="140" t="n"/>
    </row>
    <row r="186" ht="15" customHeight="1" s="83">
      <c r="A186" s="135" t="n"/>
      <c r="B186" s="135" t="n"/>
      <c r="C186" s="135" t="n"/>
      <c r="D186" s="135" t="n"/>
      <c r="E186" s="140" t="n"/>
    </row>
    <row r="187" ht="15" customHeight="1" s="83">
      <c r="A187" s="135" t="n"/>
      <c r="B187" s="135" t="n"/>
      <c r="C187" s="135" t="n"/>
      <c r="D187" s="135" t="n"/>
      <c r="E187" s="140" t="n"/>
    </row>
    <row r="188" ht="15" customHeight="1" s="83">
      <c r="A188" s="135" t="n"/>
      <c r="B188" s="135" t="n"/>
      <c r="C188" s="135" t="n"/>
      <c r="D188" s="135" t="n"/>
      <c r="E188" s="140" t="n"/>
    </row>
    <row r="189" ht="15" customHeight="1" s="83">
      <c r="A189" s="135" t="n"/>
      <c r="B189" s="135" t="n"/>
      <c r="C189" s="135" t="n"/>
      <c r="D189" s="135" t="n"/>
      <c r="E189" s="140" t="n"/>
    </row>
    <row r="190" ht="15" customHeight="1" s="83">
      <c r="A190" s="135" t="n"/>
      <c r="B190" s="135" t="n"/>
      <c r="C190" s="135" t="n"/>
      <c r="D190" s="135" t="n"/>
      <c r="E190" s="140" t="n"/>
    </row>
    <row r="191" ht="15" customHeight="1" s="83">
      <c r="A191" s="135" t="n"/>
      <c r="B191" s="135" t="n"/>
      <c r="C191" s="135" t="n"/>
      <c r="D191" s="135" t="n"/>
      <c r="E191" s="140" t="n"/>
    </row>
    <row r="192" ht="15" customHeight="1" s="83">
      <c r="A192" s="135" t="n"/>
      <c r="B192" s="135" t="n"/>
      <c r="C192" s="135" t="n"/>
      <c r="D192" s="135" t="n"/>
      <c r="E192" s="140" t="n"/>
    </row>
    <row r="193" ht="15" customHeight="1" s="83">
      <c r="A193" s="135" t="n"/>
      <c r="B193" s="135" t="n"/>
      <c r="C193" s="135" t="n"/>
      <c r="D193" s="135" t="n"/>
      <c r="E193" s="140" t="n"/>
    </row>
    <row r="194" ht="15" customHeight="1" s="83">
      <c r="A194" s="135" t="n"/>
      <c r="B194" s="135" t="n"/>
      <c r="C194" s="135" t="n"/>
      <c r="D194" s="135" t="n"/>
      <c r="E194" s="140" t="n"/>
    </row>
    <row r="195" ht="15" customHeight="1" s="83">
      <c r="A195" s="135" t="n"/>
      <c r="B195" s="135" t="n"/>
      <c r="C195" s="135" t="n"/>
      <c r="D195" s="135" t="n"/>
      <c r="E195" s="140" t="n"/>
    </row>
    <row r="196" ht="15" customHeight="1" s="83">
      <c r="A196" s="135" t="n"/>
      <c r="B196" s="135" t="n"/>
      <c r="C196" s="135" t="n"/>
      <c r="D196" s="135" t="n"/>
      <c r="E196" s="140" t="n"/>
    </row>
    <row r="197" ht="15" customHeight="1" s="83">
      <c r="A197" s="135" t="n"/>
      <c r="B197" s="135" t="n"/>
      <c r="C197" s="135" t="n"/>
      <c r="D197" s="135" t="n"/>
      <c r="E197" s="140" t="n"/>
    </row>
    <row r="198" ht="15" customHeight="1" s="83">
      <c r="A198" s="135" t="n"/>
      <c r="B198" s="135" t="n"/>
      <c r="C198" s="135" t="n"/>
      <c r="D198" s="135" t="n"/>
      <c r="E198" s="140" t="n"/>
    </row>
    <row r="199" ht="15" customHeight="1" s="83">
      <c r="A199" s="135" t="n"/>
      <c r="B199" s="135" t="n"/>
      <c r="C199" s="135" t="n"/>
      <c r="D199" s="135" t="n"/>
      <c r="E199" s="140" t="n"/>
    </row>
    <row r="200" ht="15" customHeight="1" s="83">
      <c r="A200" s="135" t="n"/>
      <c r="B200" s="135" t="n"/>
      <c r="C200" s="135" t="n"/>
      <c r="D200" s="135" t="n"/>
      <c r="E200" s="140" t="n"/>
    </row>
    <row r="201" ht="15" customHeight="1" s="83">
      <c r="A201" s="135" t="n"/>
      <c r="B201" s="135" t="n"/>
      <c r="C201" s="135" t="n"/>
      <c r="D201" s="135" t="n"/>
      <c r="E201" s="140" t="n"/>
    </row>
    <row r="202" ht="15" customHeight="1" s="83">
      <c r="A202" s="135" t="n"/>
      <c r="B202" s="135" t="n"/>
      <c r="C202" s="135" t="n"/>
      <c r="D202" s="135" t="n"/>
      <c r="E202" s="140" t="n"/>
    </row>
    <row r="203" ht="15" customHeight="1" s="83">
      <c r="A203" s="135" t="n"/>
      <c r="B203" s="135" t="n"/>
      <c r="C203" s="135" t="n"/>
      <c r="D203" s="135" t="n"/>
      <c r="E203" s="140" t="n"/>
    </row>
    <row r="204" ht="15" customHeight="1" s="83">
      <c r="A204" s="135" t="n"/>
      <c r="B204" s="135" t="n"/>
      <c r="C204" s="135" t="n"/>
      <c r="D204" s="135" t="n"/>
      <c r="E204" s="140" t="n"/>
    </row>
    <row r="205" ht="15" customHeight="1" s="83">
      <c r="A205" s="135" t="n"/>
      <c r="B205" s="135" t="n"/>
      <c r="C205" s="135" t="n"/>
      <c r="D205" s="135" t="n"/>
      <c r="E205" s="140" t="n"/>
    </row>
    <row r="206" ht="15" customHeight="1" s="83">
      <c r="A206" s="135" t="n"/>
      <c r="B206" s="135" t="n"/>
      <c r="C206" s="135" t="n"/>
      <c r="D206" s="135" t="n"/>
      <c r="E206" s="140" t="n"/>
    </row>
    <row r="207" ht="15" customHeight="1" s="83">
      <c r="A207" s="135" t="n"/>
      <c r="B207" s="135" t="n"/>
      <c r="C207" s="135" t="n"/>
      <c r="D207" s="135" t="n"/>
      <c r="E207" s="140" t="n"/>
    </row>
    <row r="208" ht="15" customHeight="1" s="83">
      <c r="A208" s="135" t="n"/>
      <c r="B208" s="135" t="n"/>
      <c r="C208" s="135" t="n"/>
      <c r="D208" s="135" t="n"/>
      <c r="E208" s="140" t="n"/>
    </row>
    <row r="209" ht="15" customHeight="1" s="83">
      <c r="A209" s="135" t="n"/>
      <c r="B209" s="135" t="n"/>
      <c r="C209" s="135" t="n"/>
      <c r="D209" s="135" t="n"/>
      <c r="E209" s="140" t="n"/>
    </row>
    <row r="210" ht="15" customHeight="1" s="83">
      <c r="A210" s="135" t="n"/>
      <c r="B210" s="135" t="n"/>
      <c r="C210" s="135" t="n"/>
      <c r="D210" s="135" t="n"/>
      <c r="E210" s="140" t="n"/>
    </row>
    <row r="211" ht="15" customHeight="1" s="83">
      <c r="A211" s="135" t="n"/>
      <c r="B211" s="135" t="n"/>
      <c r="C211" s="135" t="n"/>
      <c r="D211" s="135" t="n"/>
      <c r="E211" s="140" t="n"/>
    </row>
    <row r="212" ht="15" customHeight="1" s="83">
      <c r="A212" s="135" t="n"/>
      <c r="B212" s="135" t="n"/>
      <c r="C212" s="135" t="n"/>
      <c r="D212" s="135" t="n"/>
      <c r="E212" s="140" t="n"/>
    </row>
    <row r="213" ht="15" customHeight="1" s="83">
      <c r="A213" s="135" t="n"/>
      <c r="B213" s="135" t="n"/>
      <c r="C213" s="135" t="n"/>
      <c r="D213" s="135" t="n"/>
      <c r="E213" s="140" t="n"/>
    </row>
    <row r="214" ht="15" customHeight="1" s="83">
      <c r="A214" s="135" t="n"/>
      <c r="B214" s="135" t="n"/>
      <c r="C214" s="135" t="n"/>
      <c r="D214" s="135" t="n"/>
      <c r="E214" s="140" t="n"/>
    </row>
    <row r="215" ht="15" customHeight="1" s="83">
      <c r="A215" s="135" t="n"/>
      <c r="B215" s="135" t="n"/>
      <c r="C215" s="135" t="n"/>
      <c r="D215" s="135" t="n"/>
      <c r="E215" s="140" t="n"/>
    </row>
    <row r="216" ht="15" customHeight="1" s="83">
      <c r="A216" s="135" t="n"/>
      <c r="B216" s="135" t="n"/>
      <c r="C216" s="135" t="n"/>
      <c r="D216" s="135" t="n"/>
      <c r="E216" s="140" t="n"/>
    </row>
    <row r="217" ht="15" customHeight="1" s="83">
      <c r="A217" s="135" t="n"/>
      <c r="B217" s="135" t="n"/>
      <c r="C217" s="135" t="n"/>
      <c r="D217" s="135" t="n"/>
      <c r="E217" s="140" t="n"/>
    </row>
    <row r="218" ht="15" customHeight="1" s="83">
      <c r="A218" s="135" t="n"/>
      <c r="B218" s="135" t="n"/>
      <c r="C218" s="135" t="n"/>
      <c r="D218" s="135" t="n"/>
      <c r="E218" s="140" t="n"/>
    </row>
    <row r="219" ht="15" customHeight="1" s="83">
      <c r="A219" s="135" t="n"/>
      <c r="B219" s="135" t="n"/>
      <c r="C219" s="135" t="n"/>
      <c r="D219" s="135" t="n"/>
      <c r="E219" s="140" t="n"/>
    </row>
    <row r="220" ht="15" customHeight="1" s="83">
      <c r="A220" s="135" t="n"/>
      <c r="B220" s="135" t="n"/>
      <c r="C220" s="135" t="n"/>
      <c r="D220" s="135" t="n"/>
      <c r="E220" s="140" t="n"/>
    </row>
    <row r="221" ht="15" customHeight="1" s="83">
      <c r="A221" s="135" t="n"/>
      <c r="B221" s="135" t="n"/>
      <c r="C221" s="135" t="n"/>
      <c r="D221" s="135" t="n"/>
      <c r="E221" s="140" t="n"/>
    </row>
    <row r="222" ht="15" customHeight="1" s="83">
      <c r="A222" s="135" t="n"/>
      <c r="B222" s="135" t="n"/>
      <c r="C222" s="135" t="n"/>
      <c r="D222" s="135" t="n"/>
      <c r="E222" s="140" t="n"/>
    </row>
    <row r="223" ht="15" customHeight="1" s="83">
      <c r="A223" s="135" t="n"/>
      <c r="B223" s="135" t="n"/>
      <c r="C223" s="135" t="n"/>
      <c r="D223" s="135" t="n"/>
      <c r="E223" s="140" t="n"/>
    </row>
    <row r="224" ht="15" customHeight="1" s="83">
      <c r="A224" s="135" t="n"/>
      <c r="B224" s="135" t="n"/>
      <c r="C224" s="135" t="n"/>
      <c r="D224" s="135" t="n"/>
      <c r="E224" s="140" t="n"/>
    </row>
    <row r="225" ht="15" customHeight="1" s="83">
      <c r="A225" s="135" t="n"/>
      <c r="B225" s="135" t="n"/>
      <c r="C225" s="135" t="n"/>
      <c r="D225" s="135" t="n"/>
      <c r="E225" s="140" t="n"/>
    </row>
    <row r="226" ht="15" customHeight="1" s="83">
      <c r="A226" s="135" t="n"/>
      <c r="B226" s="135" t="n"/>
      <c r="C226" s="135" t="n"/>
      <c r="D226" s="135" t="n"/>
      <c r="E226" s="140" t="n"/>
    </row>
    <row r="227" ht="15" customHeight="1" s="83">
      <c r="A227" s="135" t="n"/>
      <c r="B227" s="135" t="n"/>
      <c r="C227" s="135" t="n"/>
      <c r="D227" s="135" t="n"/>
      <c r="E227" s="140" t="n"/>
    </row>
    <row r="228" ht="15" customHeight="1" s="83">
      <c r="A228" s="135" t="n"/>
      <c r="B228" s="135" t="n"/>
      <c r="C228" s="135" t="n"/>
      <c r="D228" s="135" t="n"/>
      <c r="E228" s="140" t="n"/>
    </row>
    <row r="229" ht="15" customHeight="1" s="83">
      <c r="A229" s="135" t="n"/>
      <c r="B229" s="135" t="n"/>
      <c r="C229" s="135" t="n"/>
      <c r="D229" s="135" t="n"/>
      <c r="E229" s="140" t="n"/>
    </row>
    <row r="230" ht="15" customHeight="1" s="83">
      <c r="A230" s="135" t="n"/>
      <c r="B230" s="135" t="n"/>
      <c r="C230" s="135" t="n"/>
      <c r="D230" s="135" t="n"/>
      <c r="E230" s="140" t="n"/>
    </row>
    <row r="231" ht="15" customHeight="1" s="83">
      <c r="A231" s="135" t="n"/>
      <c r="B231" s="135" t="n"/>
      <c r="C231" s="135" t="n"/>
      <c r="D231" s="135" t="n"/>
      <c r="E231" s="140" t="n"/>
    </row>
    <row r="232" ht="15" customHeight="1" s="83">
      <c r="A232" s="135" t="n"/>
      <c r="B232" s="135" t="n"/>
      <c r="C232" s="135" t="n"/>
      <c r="D232" s="135" t="n"/>
      <c r="E232" s="140" t="n"/>
    </row>
    <row r="233" ht="15" customHeight="1" s="83">
      <c r="A233" s="135" t="n"/>
      <c r="B233" s="135" t="n"/>
      <c r="C233" s="135" t="n"/>
      <c r="D233" s="135" t="n"/>
      <c r="E233" s="140" t="n"/>
    </row>
    <row r="234" ht="15" customHeight="1" s="83">
      <c r="A234" s="135" t="n"/>
      <c r="B234" s="135" t="n"/>
      <c r="C234" s="135" t="n"/>
      <c r="D234" s="135" t="n"/>
      <c r="E234" s="140" t="n"/>
    </row>
    <row r="235" ht="15" customHeight="1" s="83">
      <c r="A235" s="135" t="n"/>
      <c r="B235" s="135" t="n"/>
      <c r="C235" s="135" t="n"/>
      <c r="D235" s="135" t="n"/>
      <c r="E235" s="140" t="n"/>
    </row>
    <row r="236" ht="15" customHeight="1" s="83">
      <c r="A236" s="135" t="n"/>
      <c r="B236" s="135" t="n"/>
      <c r="C236" s="135" t="n"/>
      <c r="D236" s="135" t="n"/>
      <c r="E236" s="140" t="n"/>
    </row>
    <row r="237" ht="15" customHeight="1" s="83">
      <c r="A237" s="135" t="n"/>
      <c r="B237" s="135" t="n"/>
      <c r="C237" s="135" t="n"/>
      <c r="D237" s="135" t="n"/>
      <c r="E237" s="140" t="n"/>
    </row>
    <row r="238" ht="15" customHeight="1" s="83">
      <c r="A238" s="135" t="n"/>
      <c r="B238" s="135" t="n"/>
      <c r="C238" s="135" t="n"/>
      <c r="D238" s="135" t="n"/>
      <c r="E238" s="140" t="n"/>
    </row>
    <row r="239" ht="15" customHeight="1" s="83">
      <c r="A239" s="135" t="n"/>
      <c r="B239" s="135" t="n"/>
      <c r="C239" s="135" t="n"/>
      <c r="D239" s="135" t="n"/>
      <c r="E239" s="140" t="n"/>
    </row>
    <row r="240" ht="15" customHeight="1" s="83">
      <c r="A240" s="135" t="n"/>
      <c r="B240" s="135" t="n"/>
      <c r="C240" s="135" t="n"/>
      <c r="D240" s="135" t="n"/>
      <c r="E240" s="140" t="n"/>
    </row>
    <row r="241" ht="15" customHeight="1" s="83">
      <c r="A241" s="135" t="n"/>
      <c r="B241" s="135" t="n"/>
      <c r="C241" s="135" t="n"/>
      <c r="D241" s="135" t="n"/>
      <c r="E241" s="140" t="n"/>
    </row>
    <row r="242" ht="15" customHeight="1" s="83">
      <c r="A242" s="135" t="n"/>
      <c r="B242" s="135" t="n"/>
      <c r="C242" s="135" t="n"/>
      <c r="D242" s="135" t="n"/>
      <c r="E242" s="140" t="n"/>
    </row>
    <row r="243" ht="15" customHeight="1" s="83">
      <c r="A243" s="135" t="n"/>
      <c r="B243" s="135" t="n"/>
      <c r="C243" s="135" t="n"/>
      <c r="D243" s="135" t="n"/>
      <c r="E243" s="140" t="n"/>
    </row>
    <row r="244" ht="15" customHeight="1" s="83">
      <c r="A244" s="135" t="n"/>
      <c r="B244" s="135" t="n"/>
      <c r="C244" s="135" t="n"/>
      <c r="D244" s="135" t="n"/>
      <c r="E244" s="140" t="n"/>
    </row>
    <row r="245" ht="15" customHeight="1" s="83">
      <c r="A245" s="135" t="n"/>
      <c r="B245" s="135" t="n"/>
      <c r="C245" s="135" t="n"/>
      <c r="D245" s="135" t="n"/>
      <c r="E245" s="140" t="n"/>
    </row>
    <row r="246" ht="15" customHeight="1" s="83">
      <c r="A246" s="135" t="n"/>
      <c r="B246" s="135" t="n"/>
      <c r="C246" s="135" t="n"/>
      <c r="D246" s="135" t="n"/>
      <c r="E246" s="140" t="n"/>
    </row>
    <row r="247" ht="15" customHeight="1" s="83">
      <c r="A247" s="135" t="n"/>
      <c r="B247" s="135" t="n"/>
      <c r="C247" s="135" t="n"/>
      <c r="D247" s="135" t="n"/>
      <c r="E247" s="140" t="n"/>
    </row>
    <row r="248" ht="15" customHeight="1" s="83">
      <c r="A248" s="135" t="n"/>
      <c r="B248" s="135" t="n"/>
      <c r="C248" s="135" t="n"/>
      <c r="D248" s="135" t="n"/>
      <c r="E248" s="140" t="n"/>
    </row>
    <row r="249" ht="15" customHeight="1" s="83">
      <c r="A249" s="135" t="n"/>
      <c r="B249" s="135" t="n"/>
      <c r="C249" s="135" t="n"/>
      <c r="D249" s="135" t="n"/>
      <c r="E249" s="140" t="n"/>
    </row>
    <row r="250" ht="15" customHeight="1" s="83">
      <c r="A250" s="135" t="n"/>
      <c r="B250" s="135" t="n"/>
      <c r="C250" s="135" t="n"/>
      <c r="D250" s="135" t="n"/>
      <c r="E250" s="140" t="n"/>
    </row>
    <row r="251" ht="15" customHeight="1" s="83">
      <c r="A251" s="135" t="n"/>
      <c r="B251" s="135" t="n"/>
      <c r="C251" s="135" t="n"/>
      <c r="D251" s="135" t="n"/>
      <c r="E251" s="140" t="n"/>
    </row>
    <row r="252" ht="15" customHeight="1" s="83">
      <c r="A252" s="135" t="n"/>
      <c r="B252" s="135" t="n"/>
      <c r="C252" s="135" t="n"/>
      <c r="D252" s="135" t="n"/>
      <c r="E252" s="140" t="n"/>
    </row>
    <row r="253" ht="15" customHeight="1" s="83">
      <c r="A253" s="135" t="n"/>
      <c r="B253" s="135" t="n"/>
      <c r="C253" s="135" t="n"/>
      <c r="D253" s="135" t="n"/>
      <c r="E253" s="140" t="n"/>
    </row>
    <row r="254" ht="15" customHeight="1" s="83">
      <c r="A254" s="135" t="n"/>
      <c r="B254" s="135" t="n"/>
      <c r="C254" s="135" t="n"/>
      <c r="D254" s="135" t="n"/>
      <c r="E254" s="140" t="n"/>
    </row>
    <row r="255" ht="15" customHeight="1" s="83">
      <c r="A255" s="135" t="n"/>
      <c r="B255" s="135" t="n"/>
      <c r="C255" s="135" t="n"/>
      <c r="D255" s="135" t="n"/>
      <c r="E255" s="140" t="n"/>
    </row>
    <row r="256" ht="15" customHeight="1" s="83">
      <c r="A256" s="135" t="n"/>
      <c r="B256" s="135" t="n"/>
      <c r="C256" s="135" t="n"/>
      <c r="D256" s="135" t="n"/>
      <c r="E256" s="140" t="n"/>
    </row>
    <row r="257" ht="15" customHeight="1" s="83">
      <c r="A257" s="135" t="n"/>
      <c r="B257" s="135" t="n"/>
      <c r="C257" s="135" t="n"/>
      <c r="D257" s="135" t="n"/>
      <c r="E257" s="140" t="n"/>
    </row>
    <row r="258" ht="15" customHeight="1" s="83">
      <c r="A258" s="135" t="n"/>
      <c r="B258" s="135" t="n"/>
      <c r="C258" s="135" t="n"/>
      <c r="D258" s="135" t="n"/>
      <c r="E258" s="140" t="n"/>
    </row>
    <row r="259" ht="15" customHeight="1" s="83">
      <c r="A259" s="135" t="n"/>
      <c r="B259" s="135" t="n"/>
      <c r="C259" s="135" t="n"/>
      <c r="D259" s="135" t="n"/>
      <c r="E259" s="140" t="n"/>
    </row>
    <row r="260" ht="15" customHeight="1" s="83">
      <c r="A260" s="135" t="n"/>
      <c r="B260" s="135" t="n"/>
      <c r="C260" s="135" t="n"/>
      <c r="D260" s="135" t="n"/>
      <c r="E260" s="140" t="n"/>
    </row>
    <row r="261" ht="15" customHeight="1" s="83">
      <c r="A261" s="135" t="n"/>
      <c r="B261" s="135" t="n"/>
      <c r="C261" s="135" t="n"/>
      <c r="D261" s="135" t="n"/>
      <c r="E261" s="140" t="n"/>
    </row>
    <row r="262" ht="15" customHeight="1" s="83">
      <c r="A262" s="135" t="n"/>
      <c r="B262" s="135" t="n"/>
      <c r="C262" s="135" t="n"/>
      <c r="D262" s="135" t="n"/>
      <c r="E262" s="140" t="n"/>
    </row>
    <row r="263" ht="15" customHeight="1" s="83">
      <c r="A263" s="135" t="n"/>
      <c r="B263" s="135" t="n"/>
      <c r="C263" s="135" t="n"/>
      <c r="D263" s="135" t="n"/>
      <c r="E263" s="140" t="n"/>
    </row>
    <row r="264" ht="15" customHeight="1" s="83">
      <c r="A264" s="135" t="n"/>
      <c r="B264" s="135" t="n"/>
      <c r="C264" s="135" t="n"/>
      <c r="D264" s="135" t="n"/>
      <c r="E264" s="140" t="n"/>
    </row>
    <row r="265" ht="15" customHeight="1" s="83">
      <c r="A265" s="135" t="n"/>
      <c r="B265" s="135" t="n"/>
      <c r="C265" s="135" t="n"/>
      <c r="D265" s="135" t="n"/>
      <c r="E265" s="140" t="n"/>
    </row>
    <row r="266" ht="15" customHeight="1" s="83">
      <c r="A266" s="135" t="n"/>
      <c r="B266" s="135" t="n"/>
      <c r="C266" s="135" t="n"/>
      <c r="D266" s="135" t="n"/>
      <c r="E266" s="140" t="n"/>
    </row>
    <row r="267" ht="15" customHeight="1" s="83">
      <c r="A267" s="135" t="n"/>
      <c r="B267" s="135" t="n"/>
      <c r="C267" s="135" t="n"/>
      <c r="D267" s="135" t="n"/>
      <c r="E267" s="140" t="n"/>
    </row>
    <row r="268" ht="15" customHeight="1" s="83">
      <c r="A268" s="135" t="n"/>
      <c r="B268" s="135" t="n"/>
      <c r="C268" s="135" t="n"/>
      <c r="D268" s="135" t="n"/>
      <c r="E268" s="140" t="n"/>
    </row>
    <row r="269" ht="15" customHeight="1" s="83">
      <c r="A269" s="135" t="n"/>
      <c r="B269" s="135" t="n"/>
      <c r="C269" s="135" t="n"/>
      <c r="D269" s="135" t="n"/>
      <c r="E269" s="140" t="n"/>
    </row>
    <row r="270" ht="15" customHeight="1" s="83">
      <c r="A270" s="135" t="n"/>
      <c r="B270" s="135" t="n"/>
      <c r="C270" s="135" t="n"/>
      <c r="D270" s="135" t="n"/>
      <c r="E270" s="140" t="n"/>
    </row>
    <row r="271" ht="15" customHeight="1" s="83">
      <c r="A271" s="135" t="n"/>
      <c r="B271" s="135" t="n"/>
      <c r="C271" s="135" t="n"/>
      <c r="D271" s="135" t="n"/>
      <c r="E271" s="140" t="n"/>
    </row>
    <row r="272" ht="15" customHeight="1" s="83">
      <c r="A272" s="135" t="n"/>
      <c r="B272" s="135" t="n"/>
      <c r="C272" s="135" t="n"/>
      <c r="D272" s="135" t="n"/>
      <c r="E272" s="140" t="n"/>
    </row>
    <row r="273" ht="15" customHeight="1" s="83">
      <c r="A273" s="135" t="n"/>
      <c r="B273" s="135" t="n"/>
      <c r="C273" s="135" t="n"/>
      <c r="D273" s="135" t="n"/>
      <c r="E273" s="140" t="n"/>
    </row>
    <row r="274" ht="15" customHeight="1" s="83">
      <c r="A274" s="135" t="n"/>
      <c r="B274" s="135" t="n"/>
      <c r="C274" s="135" t="n"/>
      <c r="D274" s="135" t="n"/>
      <c r="E274" s="140" t="n"/>
    </row>
    <row r="275" ht="15" customHeight="1" s="83">
      <c r="A275" s="135" t="n"/>
      <c r="B275" s="135" t="n"/>
      <c r="C275" s="135" t="n"/>
      <c r="D275" s="135" t="n"/>
      <c r="E275" s="140" t="n"/>
    </row>
    <row r="276" ht="15" customHeight="1" s="83">
      <c r="A276" s="135" t="n"/>
      <c r="B276" s="135" t="n"/>
      <c r="C276" s="135" t="n"/>
      <c r="D276" s="135" t="n"/>
      <c r="E276" s="140" t="n"/>
    </row>
    <row r="277" ht="15" customHeight="1" s="83">
      <c r="A277" s="135" t="n"/>
      <c r="B277" s="135" t="n"/>
      <c r="C277" s="135" t="n"/>
      <c r="D277" s="135" t="n"/>
      <c r="E277" s="140" t="n"/>
    </row>
    <row r="278" ht="15" customHeight="1" s="83">
      <c r="A278" s="135" t="n"/>
      <c r="B278" s="135" t="n"/>
      <c r="C278" s="135" t="n"/>
      <c r="D278" s="135" t="n"/>
      <c r="E278" s="140" t="n"/>
    </row>
    <row r="279" ht="15" customHeight="1" s="83">
      <c r="A279" s="135" t="n"/>
      <c r="B279" s="135" t="n"/>
      <c r="C279" s="135" t="n"/>
      <c r="D279" s="135" t="n"/>
      <c r="E279" s="140" t="n"/>
    </row>
    <row r="280" ht="15" customHeight="1" s="83">
      <c r="A280" s="135" t="n"/>
      <c r="B280" s="135" t="n"/>
      <c r="C280" s="135" t="n"/>
      <c r="D280" s="135" t="n"/>
      <c r="E280" s="140" t="n"/>
    </row>
    <row r="281" ht="15" customHeight="1" s="83">
      <c r="A281" s="135" t="n"/>
      <c r="B281" s="135" t="n"/>
      <c r="C281" s="135" t="n"/>
      <c r="D281" s="135" t="n"/>
      <c r="E281" s="140" t="n"/>
    </row>
    <row r="282" ht="15" customHeight="1" s="83">
      <c r="A282" s="135" t="n"/>
      <c r="B282" s="135" t="n"/>
      <c r="C282" s="135" t="n"/>
      <c r="D282" s="135" t="n"/>
      <c r="E282" s="140" t="n"/>
    </row>
    <row r="283" ht="15" customHeight="1" s="83">
      <c r="A283" s="135" t="n"/>
      <c r="B283" s="135" t="n"/>
      <c r="C283" s="135" t="n"/>
      <c r="D283" s="135" t="n"/>
      <c r="E283" s="140" t="n"/>
    </row>
    <row r="284" ht="15" customHeight="1" s="83">
      <c r="A284" s="135" t="n"/>
      <c r="B284" s="135" t="n"/>
      <c r="C284" s="135" t="n"/>
      <c r="D284" s="135" t="n"/>
      <c r="E284" s="140" t="n"/>
    </row>
    <row r="285" ht="15" customHeight="1" s="83">
      <c r="A285" s="135" t="n"/>
      <c r="B285" s="135" t="n"/>
      <c r="C285" s="135" t="n"/>
      <c r="D285" s="135" t="n"/>
      <c r="E285" s="140" t="n"/>
    </row>
    <row r="286" ht="15" customHeight="1" s="83">
      <c r="A286" s="135" t="n"/>
      <c r="B286" s="135" t="n"/>
      <c r="C286" s="135" t="n"/>
      <c r="D286" s="135" t="n"/>
      <c r="E286" s="140" t="n"/>
    </row>
    <row r="287" ht="15" customHeight="1" s="83">
      <c r="A287" s="135" t="n"/>
      <c r="B287" s="135" t="n"/>
      <c r="C287" s="135" t="n"/>
      <c r="D287" s="135" t="n"/>
      <c r="E287" s="140" t="n"/>
    </row>
    <row r="288" ht="15" customHeight="1" s="83">
      <c r="A288" s="135" t="n"/>
      <c r="B288" s="135" t="n"/>
      <c r="C288" s="135" t="n"/>
      <c r="D288" s="135" t="n"/>
      <c r="E288" s="140" t="n"/>
    </row>
    <row r="289" ht="15" customHeight="1" s="83">
      <c r="A289" s="135" t="n"/>
      <c r="B289" s="135" t="n"/>
      <c r="C289" s="135" t="n"/>
      <c r="D289" s="135" t="n"/>
      <c r="E289" s="140" t="n"/>
    </row>
    <row r="290" ht="15" customHeight="1" s="83">
      <c r="A290" s="135" t="n"/>
      <c r="B290" s="135" t="n"/>
      <c r="C290" s="135" t="n"/>
      <c r="D290" s="135" t="n"/>
      <c r="E290" s="140" t="n"/>
    </row>
    <row r="291" ht="15" customHeight="1" s="83">
      <c r="A291" s="135" t="n"/>
      <c r="B291" s="135" t="n"/>
      <c r="C291" s="135" t="n"/>
      <c r="D291" s="135" t="n"/>
      <c r="E291" s="140" t="n"/>
    </row>
    <row r="292" ht="15" customHeight="1" s="83">
      <c r="A292" s="135" t="n"/>
      <c r="B292" s="135" t="n"/>
      <c r="C292" s="135" t="n"/>
      <c r="D292" s="135" t="n"/>
      <c r="E292" s="140" t="n"/>
    </row>
    <row r="293" ht="15" customHeight="1" s="83">
      <c r="A293" s="135" t="n"/>
      <c r="B293" s="135" t="n"/>
      <c r="C293" s="135" t="n"/>
      <c r="D293" s="135" t="n"/>
      <c r="E293" s="140" t="n"/>
    </row>
    <row r="294" ht="15" customHeight="1" s="83">
      <c r="A294" s="135" t="n"/>
      <c r="B294" s="135" t="n"/>
      <c r="C294" s="135" t="n"/>
      <c r="D294" s="135" t="n"/>
      <c r="E294" s="140" t="n"/>
    </row>
    <row r="295" ht="15" customHeight="1" s="83">
      <c r="A295" s="135" t="n"/>
      <c r="B295" s="135" t="n"/>
      <c r="C295" s="135" t="n"/>
      <c r="D295" s="135" t="n"/>
      <c r="E295" s="140" t="n"/>
    </row>
    <row r="296" ht="15" customHeight="1" s="83">
      <c r="A296" s="135" t="n"/>
      <c r="B296" s="135" t="n"/>
      <c r="C296" s="135" t="n"/>
      <c r="D296" s="135" t="n"/>
      <c r="E296" s="140" t="n"/>
    </row>
    <row r="297" ht="15" customHeight="1" s="83">
      <c r="A297" s="135" t="n"/>
      <c r="B297" s="135" t="n"/>
      <c r="C297" s="135" t="n"/>
      <c r="D297" s="135" t="n"/>
      <c r="E297" s="140" t="n"/>
    </row>
    <row r="298" ht="15" customHeight="1" s="83">
      <c r="A298" s="135" t="n"/>
      <c r="B298" s="135" t="n"/>
      <c r="C298" s="135" t="n"/>
      <c r="D298" s="135" t="n"/>
      <c r="E298" s="140" t="n"/>
    </row>
    <row r="299" ht="15" customHeight="1" s="83">
      <c r="A299" s="135" t="n"/>
      <c r="B299" s="135" t="n"/>
      <c r="C299" s="135" t="n"/>
      <c r="D299" s="135" t="n"/>
      <c r="E299" s="140" t="n"/>
    </row>
    <row r="300" ht="15" customHeight="1" s="83">
      <c r="A300" s="135" t="n"/>
      <c r="B300" s="135" t="n"/>
      <c r="C300" s="135" t="n"/>
      <c r="D300" s="135" t="n"/>
      <c r="E300" s="140" t="n"/>
    </row>
    <row r="301" ht="15" customHeight="1" s="83">
      <c r="A301" s="135" t="n"/>
      <c r="B301" s="135" t="n"/>
      <c r="C301" s="135" t="n"/>
      <c r="D301" s="135" t="n"/>
      <c r="E301" s="140" t="n"/>
    </row>
    <row r="302" ht="15" customHeight="1" s="83">
      <c r="A302" s="135" t="n"/>
      <c r="B302" s="135" t="n"/>
      <c r="C302" s="135" t="n"/>
      <c r="D302" s="135" t="n"/>
      <c r="E302" s="140" t="n"/>
    </row>
    <row r="303" ht="15" customHeight="1" s="83">
      <c r="A303" s="135" t="n"/>
      <c r="B303" s="135" t="n"/>
      <c r="C303" s="135" t="n"/>
      <c r="D303" s="135" t="n"/>
      <c r="E303" s="140" t="n"/>
    </row>
    <row r="304" ht="15" customHeight="1" s="83">
      <c r="A304" s="135" t="n"/>
      <c r="B304" s="135" t="n"/>
      <c r="C304" s="135" t="n"/>
      <c r="D304" s="135" t="n"/>
      <c r="E304" s="140" t="n"/>
    </row>
    <row r="305" ht="15" customHeight="1" s="83">
      <c r="A305" s="135" t="n"/>
      <c r="B305" s="135" t="n"/>
      <c r="C305" s="135" t="n"/>
      <c r="D305" s="135" t="n"/>
      <c r="E305" s="140" t="n"/>
    </row>
    <row r="306" ht="15" customHeight="1" s="83">
      <c r="A306" s="135" t="n"/>
      <c r="B306" s="135" t="n"/>
      <c r="C306" s="135" t="n"/>
      <c r="D306" s="135" t="n"/>
      <c r="E306" s="140" t="n"/>
    </row>
    <row r="307" ht="15" customHeight="1" s="83">
      <c r="A307" s="135" t="n"/>
      <c r="B307" s="135" t="n"/>
      <c r="C307" s="135" t="n"/>
      <c r="D307" s="135" t="n"/>
      <c r="E307" s="140" t="n"/>
    </row>
    <row r="308" ht="15" customHeight="1" s="83">
      <c r="A308" s="135" t="n"/>
      <c r="B308" s="135" t="n"/>
      <c r="C308" s="135" t="n"/>
      <c r="D308" s="135" t="n"/>
      <c r="E308" s="140" t="n"/>
    </row>
    <row r="309" ht="15" customHeight="1" s="83">
      <c r="A309" s="135" t="n"/>
      <c r="B309" s="135" t="n"/>
      <c r="C309" s="135" t="n"/>
      <c r="D309" s="135" t="n"/>
      <c r="E309" s="140" t="n"/>
    </row>
    <row r="310" ht="15" customHeight="1" s="83">
      <c r="A310" s="135" t="n"/>
      <c r="B310" s="135" t="n"/>
      <c r="C310" s="135" t="n"/>
      <c r="D310" s="135" t="n"/>
      <c r="E310" s="140" t="n"/>
    </row>
    <row r="311" ht="15" customHeight="1" s="83">
      <c r="A311" s="135" t="n"/>
      <c r="B311" s="135" t="n"/>
      <c r="C311" s="135" t="n"/>
      <c r="D311" s="135" t="n"/>
      <c r="E311" s="140" t="n"/>
    </row>
    <row r="312" ht="15" customHeight="1" s="83">
      <c r="A312" s="135" t="n"/>
      <c r="B312" s="135" t="n"/>
      <c r="C312" s="135" t="n"/>
      <c r="D312" s="135" t="n"/>
      <c r="E312" s="140" t="n"/>
    </row>
    <row r="313" ht="15" customHeight="1" s="83">
      <c r="A313" s="135" t="n"/>
      <c r="B313" s="135" t="n"/>
      <c r="C313" s="135" t="n"/>
      <c r="D313" s="135" t="n"/>
      <c r="E313" s="140" t="n"/>
    </row>
    <row r="314" ht="15" customHeight="1" s="83">
      <c r="A314" s="135" t="n"/>
      <c r="B314" s="135" t="n"/>
      <c r="C314" s="135" t="n"/>
      <c r="D314" s="135" t="n"/>
      <c r="E314" s="140" t="n"/>
    </row>
    <row r="315" ht="15" customHeight="1" s="83">
      <c r="A315" s="135" t="n"/>
      <c r="B315" s="135" t="n"/>
      <c r="C315" s="135" t="n"/>
      <c r="D315" s="135" t="n"/>
      <c r="E315" s="140" t="n"/>
    </row>
    <row r="316" ht="15" customHeight="1" s="83">
      <c r="A316" s="135" t="n"/>
      <c r="B316" s="135" t="n"/>
      <c r="C316" s="135" t="n"/>
      <c r="D316" s="135" t="n"/>
      <c r="E316" s="140" t="n"/>
    </row>
    <row r="317" ht="15" customHeight="1" s="83">
      <c r="A317" s="135" t="n"/>
      <c r="B317" s="135" t="n"/>
      <c r="C317" s="135" t="n"/>
      <c r="D317" s="135" t="n"/>
      <c r="E317" s="140" t="n"/>
    </row>
    <row r="318" ht="15" customHeight="1" s="83">
      <c r="A318" s="135" t="n"/>
      <c r="B318" s="135" t="n"/>
      <c r="C318" s="135" t="n"/>
      <c r="D318" s="135" t="n"/>
      <c r="E318" s="140" t="n"/>
    </row>
    <row r="319" ht="15" customHeight="1" s="83">
      <c r="A319" s="135" t="n"/>
      <c r="B319" s="135" t="n"/>
      <c r="C319" s="135" t="n"/>
      <c r="D319" s="135" t="n"/>
      <c r="E319" s="140" t="n"/>
    </row>
    <row r="320" ht="15" customHeight="1" s="83">
      <c r="A320" s="135" t="n"/>
      <c r="B320" s="135" t="n"/>
      <c r="C320" s="135" t="n"/>
      <c r="D320" s="135" t="n"/>
      <c r="E320" s="140" t="n"/>
    </row>
    <row r="321" ht="15" customHeight="1" s="83">
      <c r="A321" s="135" t="n"/>
      <c r="B321" s="135" t="n"/>
      <c r="C321" s="135" t="n"/>
      <c r="D321" s="135" t="n"/>
      <c r="E321" s="140" t="n"/>
    </row>
    <row r="322" ht="15" customHeight="1" s="83">
      <c r="A322" s="135" t="n"/>
      <c r="B322" s="135" t="n"/>
      <c r="C322" s="135" t="n"/>
      <c r="D322" s="135" t="n"/>
      <c r="E322" s="140" t="n"/>
    </row>
    <row r="323" ht="15" customHeight="1" s="83">
      <c r="A323" s="135" t="n"/>
      <c r="B323" s="135" t="n"/>
      <c r="C323" s="135" t="n"/>
      <c r="D323" s="135" t="n"/>
      <c r="E323" s="140" t="n"/>
    </row>
    <row r="324" ht="15" customHeight="1" s="83">
      <c r="A324" s="135" t="n"/>
      <c r="B324" s="135" t="n"/>
      <c r="C324" s="135" t="n"/>
      <c r="D324" s="135" t="n"/>
      <c r="E324" s="140" t="n"/>
    </row>
    <row r="325" ht="15" customHeight="1" s="83">
      <c r="A325" s="135" t="n"/>
      <c r="B325" s="135" t="n"/>
      <c r="C325" s="135" t="n"/>
      <c r="D325" s="135" t="n"/>
      <c r="E325" s="140" t="n"/>
    </row>
    <row r="326" ht="15" customHeight="1" s="83">
      <c r="A326" s="135" t="n"/>
      <c r="B326" s="135" t="n"/>
      <c r="C326" s="135" t="n"/>
      <c r="D326" s="135" t="n"/>
      <c r="E326" s="140" t="n"/>
    </row>
    <row r="327" ht="15" customHeight="1" s="83">
      <c r="A327" s="135" t="n"/>
      <c r="B327" s="135" t="n"/>
      <c r="C327" s="135" t="n"/>
      <c r="D327" s="135" t="n"/>
      <c r="E327" s="140" t="n"/>
    </row>
    <row r="328" ht="15" customHeight="1" s="83">
      <c r="A328" s="135" t="n"/>
      <c r="B328" s="135" t="n"/>
      <c r="C328" s="135" t="n"/>
      <c r="D328" s="135" t="n"/>
      <c r="E328" s="140" t="n"/>
    </row>
    <row r="329" ht="15" customHeight="1" s="83">
      <c r="A329" s="135" t="n"/>
      <c r="B329" s="135" t="n"/>
      <c r="C329" s="135" t="n"/>
      <c r="D329" s="135" t="n"/>
      <c r="E329" s="140" t="n"/>
    </row>
    <row r="330" ht="15" customHeight="1" s="83">
      <c r="A330" s="135" t="n"/>
      <c r="B330" s="135" t="n"/>
      <c r="C330" s="135" t="n"/>
      <c r="D330" s="135" t="n"/>
      <c r="E330" s="140" t="n"/>
    </row>
    <row r="331" ht="15" customHeight="1" s="83">
      <c r="A331" s="135" t="n"/>
      <c r="B331" s="135" t="n"/>
      <c r="C331" s="135" t="n"/>
      <c r="D331" s="135" t="n"/>
      <c r="E331" s="140" t="n"/>
    </row>
    <row r="332" ht="15" customHeight="1" s="83">
      <c r="A332" s="135" t="n"/>
      <c r="B332" s="135" t="n"/>
      <c r="C332" s="135" t="n"/>
      <c r="D332" s="135" t="n"/>
      <c r="E332" s="140" t="n"/>
    </row>
    <row r="333" ht="15" customHeight="1" s="83">
      <c r="A333" s="135" t="n"/>
      <c r="B333" s="135" t="n"/>
      <c r="C333" s="135" t="n"/>
      <c r="D333" s="135" t="n"/>
      <c r="E333" s="140" t="n"/>
    </row>
    <row r="334" ht="15" customHeight="1" s="83">
      <c r="A334" s="135" t="n"/>
      <c r="B334" s="135" t="n"/>
      <c r="C334" s="135" t="n"/>
      <c r="D334" s="135" t="n"/>
      <c r="E334" s="140" t="n"/>
    </row>
    <row r="335" ht="15" customHeight="1" s="83">
      <c r="A335" s="135" t="n"/>
      <c r="B335" s="135" t="n"/>
      <c r="C335" s="135" t="n"/>
      <c r="D335" s="135" t="n"/>
      <c r="E335" s="140" t="n"/>
    </row>
    <row r="336" ht="15" customHeight="1" s="83">
      <c r="A336" s="135" t="n"/>
      <c r="B336" s="135" t="n"/>
      <c r="C336" s="135" t="n"/>
      <c r="D336" s="135" t="n"/>
      <c r="E336" s="140" t="n"/>
    </row>
    <row r="337" ht="15" customHeight="1" s="83">
      <c r="A337" s="135" t="n"/>
      <c r="B337" s="135" t="n"/>
      <c r="C337" s="135" t="n"/>
      <c r="D337" s="135" t="n"/>
      <c r="E337" s="140" t="n"/>
    </row>
    <row r="338" ht="15" customHeight="1" s="83">
      <c r="A338" s="135" t="n"/>
      <c r="B338" s="135" t="n"/>
      <c r="C338" s="135" t="n"/>
      <c r="D338" s="135" t="n"/>
      <c r="E338" s="140" t="n"/>
    </row>
    <row r="339" ht="15" customHeight="1" s="83">
      <c r="A339" s="135" t="n"/>
      <c r="B339" s="135" t="n"/>
      <c r="C339" s="135" t="n"/>
      <c r="D339" s="135" t="n"/>
      <c r="E339" s="140" t="n"/>
    </row>
    <row r="340" ht="15" customHeight="1" s="83">
      <c r="A340" s="135" t="n"/>
      <c r="B340" s="135" t="n"/>
      <c r="C340" s="135" t="n"/>
      <c r="D340" s="135" t="n"/>
      <c r="E340" s="140" t="n"/>
    </row>
    <row r="341" ht="15" customHeight="1" s="83">
      <c r="A341" s="135" t="n"/>
      <c r="B341" s="135" t="n"/>
      <c r="C341" s="135" t="n"/>
      <c r="D341" s="135" t="n"/>
      <c r="E341" s="140" t="n"/>
    </row>
    <row r="342" ht="15" customHeight="1" s="83">
      <c r="A342" s="135" t="n"/>
      <c r="B342" s="135" t="n"/>
      <c r="C342" s="135" t="n"/>
      <c r="D342" s="135" t="n"/>
      <c r="E342" s="140" t="n"/>
    </row>
    <row r="343" ht="15" customHeight="1" s="83">
      <c r="A343" s="135" t="n"/>
      <c r="B343" s="135" t="n"/>
      <c r="C343" s="135" t="n"/>
      <c r="D343" s="135" t="n"/>
      <c r="E343" s="140" t="n"/>
    </row>
    <row r="344" ht="15" customHeight="1" s="83">
      <c r="A344" s="135" t="n"/>
      <c r="B344" s="135" t="n"/>
      <c r="C344" s="135" t="n"/>
      <c r="D344" s="135" t="n"/>
      <c r="E344" s="140" t="n"/>
    </row>
    <row r="345" ht="15" customHeight="1" s="83">
      <c r="A345" s="135" t="n"/>
      <c r="B345" s="135" t="n"/>
      <c r="C345" s="135" t="n"/>
      <c r="D345" s="135" t="n"/>
      <c r="E345" s="140" t="n"/>
    </row>
    <row r="346" ht="15" customHeight="1" s="83">
      <c r="A346" s="135" t="n"/>
      <c r="B346" s="135" t="n"/>
      <c r="C346" s="135" t="n"/>
      <c r="D346" s="135" t="n"/>
      <c r="E346" s="140" t="n"/>
    </row>
    <row r="347" ht="15" customHeight="1" s="83">
      <c r="A347" s="135" t="n"/>
      <c r="B347" s="135" t="n"/>
      <c r="C347" s="135" t="n"/>
      <c r="D347" s="135" t="n"/>
      <c r="E347" s="140" t="n"/>
    </row>
    <row r="348" ht="15" customHeight="1" s="83">
      <c r="A348" s="135" t="n"/>
      <c r="B348" s="135" t="n"/>
      <c r="C348" s="135" t="n"/>
      <c r="D348" s="135" t="n"/>
      <c r="E348" s="140" t="n"/>
    </row>
    <row r="349" ht="15" customHeight="1" s="83">
      <c r="A349" s="135" t="n"/>
      <c r="B349" s="135" t="n"/>
      <c r="C349" s="135" t="n"/>
      <c r="D349" s="135" t="n"/>
      <c r="E349" s="140" t="n"/>
    </row>
    <row r="350" ht="15" customHeight="1" s="83">
      <c r="A350" s="135" t="n"/>
      <c r="B350" s="135" t="n"/>
      <c r="C350" s="135" t="n"/>
      <c r="D350" s="135" t="n"/>
      <c r="E350" s="140" t="n"/>
    </row>
    <row r="351" ht="15" customHeight="1" s="83">
      <c r="A351" s="135" t="n"/>
      <c r="B351" s="135" t="n"/>
      <c r="C351" s="135" t="n"/>
      <c r="D351" s="135" t="n"/>
      <c r="E351" s="140" t="n"/>
    </row>
    <row r="352" ht="15" customHeight="1" s="83">
      <c r="A352" s="135" t="n"/>
      <c r="B352" s="135" t="n"/>
      <c r="C352" s="135" t="n"/>
      <c r="D352" s="135" t="n"/>
      <c r="E352" s="140" t="n"/>
    </row>
    <row r="353" ht="15" customHeight="1" s="83">
      <c r="A353" s="135" t="n"/>
      <c r="B353" s="135" t="n"/>
      <c r="C353" s="135" t="n"/>
      <c r="D353" s="135" t="n"/>
      <c r="E353" s="140" t="n"/>
    </row>
    <row r="354" ht="15" customHeight="1" s="83">
      <c r="A354" s="135" t="n"/>
      <c r="B354" s="135" t="n"/>
      <c r="C354" s="135" t="n"/>
      <c r="D354" s="135" t="n"/>
      <c r="E354" s="140" t="n"/>
    </row>
    <row r="355" ht="15" customHeight="1" s="83">
      <c r="A355" s="135" t="n"/>
      <c r="B355" s="135" t="n"/>
      <c r="C355" s="135" t="n"/>
      <c r="D355" s="135" t="n"/>
      <c r="E355" s="140" t="n"/>
    </row>
    <row r="356" ht="15" customHeight="1" s="83">
      <c r="A356" s="135" t="n"/>
      <c r="B356" s="135" t="n"/>
      <c r="C356" s="135" t="n"/>
      <c r="D356" s="135" t="n"/>
      <c r="E356" s="140" t="n"/>
    </row>
    <row r="357" ht="15" customHeight="1" s="83">
      <c r="A357" s="135" t="n"/>
      <c r="B357" s="135" t="n"/>
      <c r="C357" s="135" t="n"/>
      <c r="D357" s="135" t="n"/>
      <c r="E357" s="140" t="n"/>
    </row>
    <row r="358" ht="15" customHeight="1" s="83">
      <c r="A358" s="135" t="n"/>
      <c r="B358" s="135" t="n"/>
      <c r="C358" s="135" t="n"/>
      <c r="D358" s="135" t="n"/>
      <c r="E358" s="140" t="n"/>
    </row>
    <row r="359" ht="15" customHeight="1" s="83">
      <c r="A359" s="135" t="n"/>
      <c r="B359" s="135" t="n"/>
      <c r="C359" s="135" t="n"/>
      <c r="D359" s="135" t="n"/>
      <c r="E359" s="140" t="n"/>
    </row>
    <row r="360" ht="15" customHeight="1" s="83">
      <c r="A360" s="135" t="n"/>
      <c r="B360" s="135" t="n"/>
      <c r="C360" s="135" t="n"/>
      <c r="D360" s="135" t="n"/>
      <c r="E360" s="140" t="n"/>
    </row>
    <row r="361" ht="15" customHeight="1" s="83">
      <c r="A361" s="135" t="n"/>
      <c r="B361" s="135" t="n"/>
      <c r="C361" s="135" t="n"/>
      <c r="D361" s="135" t="n"/>
      <c r="E361" s="140" t="n"/>
    </row>
    <row r="362" ht="15" customHeight="1" s="83">
      <c r="A362" s="135" t="n"/>
      <c r="B362" s="135" t="n"/>
      <c r="C362" s="135" t="n"/>
      <c r="D362" s="135" t="n"/>
      <c r="E362" s="140" t="n"/>
    </row>
    <row r="363" ht="15" customHeight="1" s="83">
      <c r="A363" s="135" t="n"/>
      <c r="B363" s="135" t="n"/>
      <c r="C363" s="135" t="n"/>
      <c r="D363" s="135" t="n"/>
      <c r="E363" s="140" t="n"/>
    </row>
    <row r="364" ht="15" customHeight="1" s="83">
      <c r="A364" s="135" t="n"/>
      <c r="B364" s="135" t="n"/>
      <c r="C364" s="135" t="n"/>
      <c r="D364" s="135" t="n"/>
      <c r="E364" s="140" t="n"/>
    </row>
    <row r="365" ht="15" customHeight="1" s="83">
      <c r="A365" s="135" t="n"/>
      <c r="B365" s="135" t="n"/>
      <c r="C365" s="135" t="n"/>
      <c r="D365" s="135" t="n"/>
      <c r="E365" s="140" t="n"/>
    </row>
    <row r="366" ht="15" customHeight="1" s="83">
      <c r="A366" s="135" t="n"/>
      <c r="B366" s="135" t="n"/>
      <c r="C366" s="135" t="n"/>
      <c r="D366" s="135" t="n"/>
      <c r="E366" s="140" t="n"/>
    </row>
    <row r="367" ht="15" customHeight="1" s="83">
      <c r="A367" s="135" t="n"/>
      <c r="B367" s="135" t="n"/>
      <c r="C367" s="135" t="n"/>
      <c r="D367" s="135" t="n"/>
      <c r="E367" s="140" t="n"/>
    </row>
    <row r="368" ht="15" customHeight="1" s="83">
      <c r="A368" s="135" t="n"/>
      <c r="B368" s="135" t="n"/>
      <c r="C368" s="135" t="n"/>
      <c r="D368" s="135" t="n"/>
      <c r="E368" s="140" t="n"/>
    </row>
    <row r="369" ht="15" customHeight="1" s="83">
      <c r="A369" s="135" t="n"/>
      <c r="B369" s="135" t="n"/>
      <c r="C369" s="135" t="n"/>
      <c r="D369" s="135" t="n"/>
      <c r="E369" s="140" t="n"/>
    </row>
    <row r="370" ht="15" customHeight="1" s="83">
      <c r="A370" s="135" t="n"/>
      <c r="B370" s="135" t="n"/>
      <c r="C370" s="135" t="n"/>
      <c r="D370" s="135" t="n"/>
      <c r="E370" s="140" t="n"/>
    </row>
    <row r="371" ht="15" customHeight="1" s="83">
      <c r="A371" s="135" t="n"/>
      <c r="B371" s="135" t="n"/>
      <c r="C371" s="135" t="n"/>
      <c r="D371" s="135" t="n"/>
      <c r="E371" s="140" t="n"/>
    </row>
    <row r="372" ht="15" customHeight="1" s="83">
      <c r="A372" s="135" t="n"/>
      <c r="B372" s="135" t="n"/>
      <c r="C372" s="135" t="n"/>
      <c r="D372" s="135" t="n"/>
      <c r="E372" s="140" t="n"/>
    </row>
    <row r="373" ht="15" customHeight="1" s="83">
      <c r="A373" s="135" t="n"/>
      <c r="B373" s="135" t="n"/>
      <c r="C373" s="135" t="n"/>
      <c r="D373" s="135" t="n"/>
      <c r="E373" s="140" t="n"/>
    </row>
    <row r="374" ht="15" customHeight="1" s="83">
      <c r="A374" s="135" t="n"/>
      <c r="B374" s="135" t="n"/>
      <c r="C374" s="135" t="n"/>
      <c r="D374" s="135" t="n"/>
      <c r="E374" s="140" t="n"/>
    </row>
    <row r="375" ht="15" customHeight="1" s="83">
      <c r="A375" s="135" t="n"/>
      <c r="B375" s="135" t="n"/>
      <c r="C375" s="135" t="n"/>
      <c r="D375" s="135" t="n"/>
      <c r="E375" s="140" t="n"/>
    </row>
    <row r="376" ht="15" customHeight="1" s="83">
      <c r="A376" s="135" t="n"/>
      <c r="B376" s="135" t="n"/>
      <c r="C376" s="135" t="n"/>
      <c r="D376" s="135" t="n"/>
      <c r="E376" s="140" t="n"/>
    </row>
    <row r="377" ht="15" customHeight="1" s="83">
      <c r="A377" s="135" t="n"/>
      <c r="B377" s="135" t="n"/>
      <c r="C377" s="135" t="n"/>
      <c r="D377" s="135" t="n"/>
      <c r="E377" s="140" t="n"/>
    </row>
    <row r="378" ht="15" customHeight="1" s="83">
      <c r="A378" s="135" t="n"/>
      <c r="B378" s="135" t="n"/>
      <c r="C378" s="135" t="n"/>
      <c r="D378" s="135" t="n"/>
      <c r="E378" s="140" t="n"/>
    </row>
    <row r="379" ht="15" customHeight="1" s="83">
      <c r="A379" s="135" t="n"/>
      <c r="B379" s="135" t="n"/>
      <c r="C379" s="135" t="n"/>
      <c r="D379" s="135" t="n"/>
      <c r="E379" s="140" t="n"/>
    </row>
    <row r="380" ht="15" customHeight="1" s="83">
      <c r="A380" s="135" t="n"/>
      <c r="B380" s="135" t="n"/>
      <c r="C380" s="135" t="n"/>
      <c r="D380" s="135" t="n"/>
      <c r="E380" s="140" t="n"/>
    </row>
    <row r="381" ht="15" customHeight="1" s="83">
      <c r="A381" s="135" t="n"/>
      <c r="B381" s="135" t="n"/>
      <c r="C381" s="135" t="n"/>
      <c r="D381" s="135" t="n"/>
      <c r="E381" s="140" t="n"/>
    </row>
    <row r="382" ht="15" customHeight="1" s="83">
      <c r="A382" s="135" t="n"/>
      <c r="B382" s="135" t="n"/>
      <c r="C382" s="135" t="n"/>
      <c r="D382" s="135" t="n"/>
      <c r="E382" s="140" t="n"/>
    </row>
    <row r="383" ht="15" customHeight="1" s="83">
      <c r="A383" s="135" t="n"/>
      <c r="B383" s="135" t="n"/>
      <c r="C383" s="135" t="n"/>
      <c r="D383" s="135" t="n"/>
      <c r="E383" s="140" t="n"/>
    </row>
    <row r="384" ht="15" customHeight="1" s="83">
      <c r="A384" s="135" t="n"/>
      <c r="B384" s="135" t="n"/>
      <c r="C384" s="135" t="n"/>
      <c r="D384" s="135" t="n"/>
      <c r="E384" s="140" t="n"/>
    </row>
    <row r="385" ht="15" customHeight="1" s="83">
      <c r="A385" s="135" t="n"/>
      <c r="B385" s="135" t="n"/>
      <c r="C385" s="135" t="n"/>
      <c r="D385" s="135" t="n"/>
      <c r="E385" s="140" t="n"/>
    </row>
    <row r="386" ht="15" customHeight="1" s="83">
      <c r="A386" s="135" t="n"/>
      <c r="B386" s="135" t="n"/>
      <c r="C386" s="135" t="n"/>
      <c r="D386" s="135" t="n"/>
      <c r="E386" s="140" t="n"/>
    </row>
    <row r="387" ht="15" customHeight="1" s="83">
      <c r="A387" s="135" t="n"/>
      <c r="B387" s="135" t="n"/>
      <c r="C387" s="135" t="n"/>
      <c r="D387" s="135" t="n"/>
      <c r="E387" s="140" t="n"/>
    </row>
    <row r="388" ht="15" customHeight="1" s="83">
      <c r="A388" s="135" t="n"/>
      <c r="B388" s="135" t="n"/>
      <c r="C388" s="135" t="n"/>
      <c r="D388" s="135" t="n"/>
      <c r="E388" s="140" t="n"/>
    </row>
    <row r="389" ht="15" customHeight="1" s="83">
      <c r="A389" s="135" t="n"/>
      <c r="B389" s="135" t="n"/>
      <c r="C389" s="135" t="n"/>
      <c r="D389" s="135" t="n"/>
      <c r="E389" s="140" t="n"/>
    </row>
    <row r="390" ht="15" customHeight="1" s="83">
      <c r="A390" s="135" t="n"/>
      <c r="B390" s="135" t="n"/>
      <c r="C390" s="135" t="n"/>
      <c r="D390" s="135" t="n"/>
      <c r="E390" s="140" t="n"/>
    </row>
    <row r="391" ht="15" customHeight="1" s="83">
      <c r="A391" s="135" t="n"/>
      <c r="B391" s="135" t="n"/>
      <c r="C391" s="135" t="n"/>
      <c r="D391" s="135" t="n"/>
      <c r="E391" s="140" t="n"/>
    </row>
    <row r="392" ht="15" customHeight="1" s="83">
      <c r="A392" s="135" t="n"/>
      <c r="B392" s="135" t="n"/>
      <c r="C392" s="135" t="n"/>
      <c r="D392" s="135" t="n"/>
      <c r="E392" s="140" t="n"/>
    </row>
    <row r="393" ht="15" customHeight="1" s="83">
      <c r="A393" s="135" t="n"/>
      <c r="B393" s="135" t="n"/>
      <c r="C393" s="135" t="n"/>
      <c r="D393" s="135" t="n"/>
      <c r="E393" s="140" t="n"/>
    </row>
    <row r="394" ht="15" customHeight="1" s="83">
      <c r="A394" s="135" t="n"/>
      <c r="B394" s="135" t="n"/>
      <c r="C394" s="135" t="n"/>
      <c r="D394" s="135" t="n"/>
      <c r="E394" s="140" t="n"/>
    </row>
    <row r="395" ht="15" customHeight="1" s="83">
      <c r="A395" s="135" t="n"/>
      <c r="B395" s="135" t="n"/>
      <c r="C395" s="135" t="n"/>
      <c r="D395" s="135" t="n"/>
      <c r="E395" s="140" t="n"/>
    </row>
    <row r="396" ht="15" customHeight="1" s="83">
      <c r="A396" s="135" t="n"/>
      <c r="B396" s="135" t="n"/>
      <c r="C396" s="135" t="n"/>
      <c r="D396" s="135" t="n"/>
      <c r="E396" s="140" t="n"/>
    </row>
    <row r="397" ht="15" customHeight="1" s="83">
      <c r="A397" s="135" t="n"/>
      <c r="B397" s="135" t="n"/>
      <c r="C397" s="135" t="n"/>
      <c r="D397" s="135" t="n"/>
      <c r="E397" s="140" t="n"/>
    </row>
    <row r="398" ht="15" customHeight="1" s="83">
      <c r="A398" s="135" t="n"/>
      <c r="B398" s="135" t="n"/>
      <c r="C398" s="135" t="n"/>
      <c r="D398" s="135" t="n"/>
      <c r="E398" s="140" t="n"/>
    </row>
    <row r="399" ht="15" customHeight="1" s="83">
      <c r="A399" s="135" t="n"/>
      <c r="B399" s="135" t="n"/>
      <c r="C399" s="135" t="n"/>
      <c r="D399" s="135" t="n"/>
      <c r="E399" s="140" t="n"/>
    </row>
    <row r="400" ht="15" customHeight="1" s="83">
      <c r="A400" s="135" t="n"/>
      <c r="B400" s="135" t="n"/>
      <c r="C400" s="135" t="n"/>
      <c r="D400" s="135" t="n"/>
      <c r="E400" s="140" t="n"/>
    </row>
    <row r="401" ht="15" customHeight="1" s="83">
      <c r="A401" s="135" t="n"/>
      <c r="B401" s="135" t="n"/>
      <c r="C401" s="135" t="n"/>
      <c r="D401" s="135" t="n"/>
      <c r="E401" s="140" t="n"/>
    </row>
    <row r="402" ht="15" customHeight="1" s="83">
      <c r="A402" s="135" t="n"/>
      <c r="B402" s="135" t="n"/>
      <c r="C402" s="135" t="n"/>
      <c r="D402" s="135" t="n"/>
      <c r="E402" s="140" t="n"/>
    </row>
    <row r="403" ht="15" customHeight="1" s="83">
      <c r="A403" s="135" t="n"/>
      <c r="B403" s="135" t="n"/>
      <c r="C403" s="135" t="n"/>
      <c r="D403" s="135" t="n"/>
      <c r="E403" s="140" t="n"/>
    </row>
    <row r="404" ht="15" customHeight="1" s="83">
      <c r="A404" s="135" t="n"/>
      <c r="B404" s="135" t="n"/>
      <c r="C404" s="135" t="n"/>
      <c r="D404" s="135" t="n"/>
      <c r="E404" s="140" t="n"/>
    </row>
    <row r="405" ht="15" customHeight="1" s="83">
      <c r="A405" s="135" t="n"/>
      <c r="B405" s="135" t="n"/>
      <c r="C405" s="135" t="n"/>
      <c r="D405" s="135" t="n"/>
      <c r="E405" s="140" t="n"/>
    </row>
    <row r="406" ht="15" customHeight="1" s="83">
      <c r="A406" s="135" t="n"/>
      <c r="B406" s="135" t="n"/>
      <c r="C406" s="135" t="n"/>
      <c r="D406" s="135" t="n"/>
      <c r="E406" s="140" t="n"/>
    </row>
    <row r="407" ht="15" customHeight="1" s="83">
      <c r="A407" s="135" t="n"/>
      <c r="B407" s="135" t="n"/>
      <c r="C407" s="135" t="n"/>
      <c r="D407" s="135" t="n"/>
      <c r="E407" s="140" t="n"/>
    </row>
    <row r="408" ht="15" customHeight="1" s="83">
      <c r="A408" s="135" t="n"/>
      <c r="B408" s="135" t="n"/>
      <c r="C408" s="135" t="n"/>
      <c r="D408" s="135" t="n"/>
      <c r="E408" s="140" t="n"/>
    </row>
    <row r="409" ht="15" customHeight="1" s="83">
      <c r="A409" s="135" t="n"/>
      <c r="B409" s="135" t="n"/>
      <c r="C409" s="135" t="n"/>
      <c r="D409" s="135" t="n"/>
      <c r="E409" s="140" t="n"/>
    </row>
    <row r="410" ht="15" customHeight="1" s="83">
      <c r="A410" s="135" t="n"/>
      <c r="B410" s="135" t="n"/>
      <c r="C410" s="135" t="n"/>
      <c r="D410" s="135" t="n"/>
      <c r="E410" s="140" t="n"/>
    </row>
    <row r="411" ht="15" customHeight="1" s="83">
      <c r="A411" s="135" t="n"/>
      <c r="B411" s="135" t="n"/>
      <c r="C411" s="135" t="n"/>
      <c r="D411" s="135" t="n"/>
      <c r="E411" s="140" t="n"/>
    </row>
    <row r="412" ht="15" customHeight="1" s="83">
      <c r="A412" s="135" t="n"/>
      <c r="B412" s="135" t="n"/>
      <c r="C412" s="135" t="n"/>
      <c r="D412" s="135" t="n"/>
      <c r="E412" s="140" t="n"/>
    </row>
    <row r="413" ht="15" customHeight="1" s="83">
      <c r="A413" s="135" t="n"/>
      <c r="B413" s="135" t="n"/>
      <c r="C413" s="135" t="n"/>
      <c r="D413" s="135" t="n"/>
      <c r="E413" s="140" t="n"/>
    </row>
    <row r="414" ht="15" customHeight="1" s="83">
      <c r="A414" s="135" t="n"/>
      <c r="B414" s="135" t="n"/>
      <c r="C414" s="135" t="n"/>
      <c r="D414" s="135" t="n"/>
      <c r="E414" s="140" t="n"/>
    </row>
    <row r="415" ht="15" customHeight="1" s="83">
      <c r="A415" s="135" t="n"/>
      <c r="B415" s="135" t="n"/>
      <c r="C415" s="135" t="n"/>
      <c r="D415" s="135" t="n"/>
      <c r="E415" s="140" t="n"/>
    </row>
    <row r="416" ht="15" customHeight="1" s="83">
      <c r="A416" s="135" t="n"/>
      <c r="B416" s="135" t="n"/>
      <c r="C416" s="135" t="n"/>
      <c r="D416" s="135" t="n"/>
      <c r="E416" s="140" t="n"/>
    </row>
    <row r="417" ht="15" customHeight="1" s="83">
      <c r="A417" s="135" t="n"/>
      <c r="B417" s="135" t="n"/>
      <c r="C417" s="135" t="n"/>
      <c r="D417" s="135" t="n"/>
      <c r="E417" s="140" t="n"/>
    </row>
    <row r="418" ht="15" customHeight="1" s="83">
      <c r="A418" s="135" t="n"/>
      <c r="B418" s="135" t="n"/>
      <c r="C418" s="135" t="n"/>
      <c r="D418" s="135" t="n"/>
      <c r="E418" s="140" t="n"/>
    </row>
    <row r="419" ht="15" customHeight="1" s="83">
      <c r="A419" s="135" t="n"/>
      <c r="B419" s="135" t="n"/>
      <c r="C419" s="135" t="n"/>
      <c r="D419" s="135" t="n"/>
      <c r="E419" s="140" t="n"/>
    </row>
    <row r="420" ht="15" customHeight="1" s="83">
      <c r="A420" s="135" t="n"/>
      <c r="B420" s="135" t="n"/>
      <c r="C420" s="135" t="n"/>
      <c r="D420" s="135" t="n"/>
      <c r="E420" s="140" t="n"/>
    </row>
    <row r="421" ht="15" customHeight="1" s="83">
      <c r="A421" s="135" t="n"/>
      <c r="B421" s="135" t="n"/>
      <c r="C421" s="135" t="n"/>
      <c r="D421" s="135" t="n"/>
      <c r="E421" s="140" t="n"/>
    </row>
    <row r="422" ht="15" customHeight="1" s="83">
      <c r="A422" s="135" t="n"/>
      <c r="B422" s="135" t="n"/>
      <c r="C422" s="135" t="n"/>
      <c r="D422" s="135" t="n"/>
      <c r="E422" s="140" t="n"/>
    </row>
    <row r="423" ht="15" customHeight="1" s="83">
      <c r="A423" s="135" t="n"/>
      <c r="B423" s="135" t="n"/>
      <c r="C423" s="135" t="n"/>
      <c r="D423" s="135" t="n"/>
      <c r="E423" s="140" t="n"/>
    </row>
    <row r="424" ht="15" customHeight="1" s="83">
      <c r="A424" s="135" t="n"/>
      <c r="B424" s="135" t="n"/>
      <c r="C424" s="135" t="n"/>
      <c r="D424" s="135" t="n"/>
      <c r="E424" s="140" t="n"/>
    </row>
    <row r="425" ht="15" customHeight="1" s="83">
      <c r="A425" s="135" t="n"/>
      <c r="B425" s="135" t="n"/>
      <c r="C425" s="135" t="n"/>
      <c r="D425" s="135" t="n"/>
      <c r="E425" s="140" t="n"/>
    </row>
    <row r="426" ht="15" customHeight="1" s="83">
      <c r="A426" s="135" t="n"/>
      <c r="B426" s="135" t="n"/>
      <c r="C426" s="135" t="n"/>
      <c r="D426" s="135" t="n"/>
      <c r="E426" s="140" t="n"/>
    </row>
    <row r="427" ht="15" customHeight="1" s="83">
      <c r="A427" s="135" t="n"/>
      <c r="B427" s="135" t="n"/>
      <c r="C427" s="135" t="n"/>
      <c r="D427" s="135" t="n"/>
      <c r="E427" s="140" t="n"/>
    </row>
    <row r="428" ht="15" customHeight="1" s="83">
      <c r="A428" s="135" t="n"/>
      <c r="B428" s="135" t="n"/>
      <c r="C428" s="135" t="n"/>
      <c r="D428" s="135" t="n"/>
      <c r="E428" s="140" t="n"/>
    </row>
    <row r="429" ht="15" customHeight="1" s="83">
      <c r="A429" s="135" t="n"/>
      <c r="B429" s="135" t="n"/>
      <c r="C429" s="135" t="n"/>
      <c r="D429" s="135" t="n"/>
      <c r="E429" s="140" t="n"/>
    </row>
    <row r="430" ht="15" customHeight="1" s="83">
      <c r="A430" s="135" t="n"/>
      <c r="B430" s="135" t="n"/>
      <c r="C430" s="135" t="n"/>
      <c r="D430" s="135" t="n"/>
      <c r="E430" s="140" t="n"/>
    </row>
    <row r="431" ht="15" customHeight="1" s="83">
      <c r="A431" s="135" t="n"/>
      <c r="B431" s="135" t="n"/>
      <c r="C431" s="135" t="n"/>
      <c r="D431" s="135" t="n"/>
      <c r="E431" s="140" t="n"/>
    </row>
    <row r="432" ht="15" customHeight="1" s="83">
      <c r="A432" s="135" t="n"/>
      <c r="B432" s="135" t="n"/>
      <c r="C432" s="135" t="n"/>
      <c r="D432" s="135" t="n"/>
      <c r="E432" s="140" t="n"/>
    </row>
    <row r="433" ht="15" customHeight="1" s="83">
      <c r="A433" s="135" t="n"/>
      <c r="B433" s="135" t="n"/>
      <c r="C433" s="135" t="n"/>
      <c r="D433" s="135" t="n"/>
      <c r="E433" s="140" t="n"/>
    </row>
    <row r="434" ht="15" customHeight="1" s="83">
      <c r="A434" s="135" t="n"/>
      <c r="B434" s="135" t="n"/>
      <c r="C434" s="135" t="n"/>
      <c r="D434" s="135" t="n"/>
      <c r="E434" s="140" t="n"/>
    </row>
    <row r="435" ht="15" customHeight="1" s="83">
      <c r="A435" s="135" t="n"/>
      <c r="B435" s="135" t="n"/>
      <c r="C435" s="135" t="n"/>
      <c r="D435" s="135" t="n"/>
      <c r="E435" s="140" t="n"/>
    </row>
    <row r="436" ht="15" customHeight="1" s="83">
      <c r="A436" s="135" t="n"/>
      <c r="B436" s="135" t="n"/>
      <c r="C436" s="135" t="n"/>
      <c r="D436" s="135" t="n"/>
      <c r="E436" s="140" t="n"/>
    </row>
    <row r="437" ht="15" customHeight="1" s="83">
      <c r="A437" s="135" t="n"/>
      <c r="B437" s="135" t="n"/>
      <c r="C437" s="135" t="n"/>
      <c r="D437" s="135" t="n"/>
      <c r="E437" s="140" t="n"/>
    </row>
    <row r="438" ht="15" customHeight="1" s="83">
      <c r="A438" s="135" t="n"/>
      <c r="B438" s="135" t="n"/>
      <c r="C438" s="135" t="n"/>
      <c r="D438" s="135" t="n"/>
      <c r="E438" s="140" t="n"/>
    </row>
    <row r="439" ht="15" customHeight="1" s="83">
      <c r="A439" s="135" t="n"/>
      <c r="B439" s="135" t="n"/>
      <c r="C439" s="135" t="n"/>
      <c r="D439" s="135" t="n"/>
      <c r="E439" s="140" t="n"/>
    </row>
    <row r="440" ht="15" customHeight="1" s="83">
      <c r="A440" s="135" t="n"/>
      <c r="B440" s="135" t="n"/>
      <c r="C440" s="135" t="n"/>
      <c r="D440" s="135" t="n"/>
      <c r="E440" s="140" t="n"/>
    </row>
    <row r="441" ht="15" customHeight="1" s="83">
      <c r="A441" s="135" t="n"/>
      <c r="B441" s="135" t="n"/>
      <c r="C441" s="135" t="n"/>
      <c r="D441" s="135" t="n"/>
      <c r="E441" s="140" t="n"/>
    </row>
    <row r="442" ht="15" customHeight="1" s="83">
      <c r="A442" s="135" t="n"/>
      <c r="B442" s="135" t="n"/>
      <c r="C442" s="135" t="n"/>
      <c r="D442" s="135" t="n"/>
      <c r="E442" s="140" t="n"/>
    </row>
    <row r="443" ht="15" customHeight="1" s="83">
      <c r="A443" s="135" t="n"/>
      <c r="B443" s="135" t="n"/>
      <c r="C443" s="135" t="n"/>
      <c r="D443" s="135" t="n"/>
      <c r="E443" s="140" t="n"/>
    </row>
    <row r="444" ht="15" customHeight="1" s="83">
      <c r="A444" s="135" t="n"/>
      <c r="B444" s="135" t="n"/>
      <c r="C444" s="135" t="n"/>
      <c r="D444" s="135" t="n"/>
      <c r="E444" s="140" t="n"/>
    </row>
    <row r="445" ht="15" customHeight="1" s="83">
      <c r="A445" s="135" t="n"/>
      <c r="B445" s="135" t="n"/>
      <c r="C445" s="135" t="n"/>
      <c r="D445" s="135" t="n"/>
      <c r="E445" s="140" t="n"/>
    </row>
    <row r="446" ht="15" customHeight="1" s="83">
      <c r="A446" s="135" t="n"/>
      <c r="B446" s="135" t="n"/>
      <c r="C446" s="135" t="n"/>
      <c r="D446" s="135" t="n"/>
      <c r="E446" s="140" t="n"/>
    </row>
    <row r="447" ht="15" customHeight="1" s="83">
      <c r="A447" s="135" t="n"/>
      <c r="B447" s="135" t="n"/>
      <c r="C447" s="135" t="n"/>
      <c r="D447" s="135" t="n"/>
      <c r="E447" s="140" t="n"/>
    </row>
    <row r="448" ht="15" customHeight="1" s="83">
      <c r="A448" s="135" t="n"/>
      <c r="B448" s="135" t="n"/>
      <c r="C448" s="135" t="n"/>
      <c r="D448" s="135" t="n"/>
      <c r="E448" s="140" t="n"/>
    </row>
    <row r="449" ht="15" customHeight="1" s="83">
      <c r="A449" s="135" t="n"/>
      <c r="B449" s="135" t="n"/>
      <c r="C449" s="135" t="n"/>
      <c r="D449" s="135" t="n"/>
      <c r="E449" s="140" t="n"/>
    </row>
    <row r="450" ht="15" customHeight="1" s="83">
      <c r="A450" s="135" t="n"/>
      <c r="B450" s="135" t="n"/>
      <c r="C450" s="135" t="n"/>
      <c r="D450" s="135" t="n"/>
      <c r="E450" s="140" t="n"/>
    </row>
    <row r="451" ht="15" customHeight="1" s="83">
      <c r="A451" s="135" t="n"/>
      <c r="B451" s="135" t="n"/>
      <c r="C451" s="135" t="n"/>
      <c r="D451" s="135" t="n"/>
      <c r="E451" s="140" t="n"/>
    </row>
    <row r="452" ht="15" customHeight="1" s="83">
      <c r="A452" s="135" t="n"/>
      <c r="B452" s="135" t="n"/>
      <c r="C452" s="135" t="n"/>
      <c r="D452" s="135" t="n"/>
      <c r="E452" s="140" t="n"/>
    </row>
    <row r="453" ht="15" customHeight="1" s="83">
      <c r="A453" s="135" t="n"/>
      <c r="B453" s="135" t="n"/>
      <c r="C453" s="135" t="n"/>
      <c r="D453" s="135" t="n"/>
      <c r="E453" s="140" t="n"/>
    </row>
    <row r="454" ht="15" customHeight="1" s="83">
      <c r="A454" s="135" t="n"/>
      <c r="B454" s="135" t="n"/>
      <c r="C454" s="135" t="n"/>
      <c r="D454" s="135" t="n"/>
      <c r="E454" s="140" t="n"/>
    </row>
    <row r="455" ht="15" customHeight="1" s="83">
      <c r="A455" s="135" t="n"/>
      <c r="B455" s="135" t="n"/>
      <c r="C455" s="135" t="n"/>
      <c r="D455" s="135" t="n"/>
      <c r="E455" s="140" t="n"/>
    </row>
    <row r="456" ht="15" customHeight="1" s="83">
      <c r="A456" s="135" t="n"/>
      <c r="B456" s="135" t="n"/>
      <c r="C456" s="135" t="n"/>
      <c r="D456" s="135" t="n"/>
      <c r="E456" s="140" t="n"/>
    </row>
    <row r="457" ht="15" customHeight="1" s="83">
      <c r="A457" s="135" t="n"/>
      <c r="B457" s="135" t="n"/>
      <c r="C457" s="135" t="n"/>
      <c r="D457" s="135" t="n"/>
      <c r="E457" s="140" t="n"/>
    </row>
    <row r="458" ht="15" customHeight="1" s="83">
      <c r="A458" s="135" t="n"/>
      <c r="B458" s="135" t="n"/>
      <c r="C458" s="135" t="n"/>
      <c r="D458" s="135" t="n"/>
      <c r="E458" s="140" t="n"/>
    </row>
    <row r="459" ht="15" customHeight="1" s="83">
      <c r="A459" s="135" t="n"/>
      <c r="B459" s="135" t="n"/>
      <c r="C459" s="135" t="n"/>
      <c r="D459" s="135" t="n"/>
      <c r="E459" s="140" t="n"/>
    </row>
    <row r="460" ht="15" customHeight="1" s="83">
      <c r="A460" s="135" t="n"/>
      <c r="B460" s="135" t="n"/>
      <c r="C460" s="135" t="n"/>
      <c r="D460" s="135" t="n"/>
      <c r="E460" s="140" t="n"/>
    </row>
    <row r="461" ht="15" customHeight="1" s="83">
      <c r="A461" s="135" t="n"/>
      <c r="B461" s="135" t="n"/>
      <c r="C461" s="135" t="n"/>
      <c r="D461" s="135" t="n"/>
      <c r="E461" s="140" t="n"/>
    </row>
    <row r="462" ht="15" customHeight="1" s="83">
      <c r="A462" s="135" t="n"/>
      <c r="B462" s="135" t="n"/>
      <c r="C462" s="135" t="n"/>
      <c r="D462" s="135" t="n"/>
      <c r="E462" s="140" t="n"/>
    </row>
    <row r="463" ht="15" customHeight="1" s="83">
      <c r="A463" s="135" t="n"/>
      <c r="B463" s="135" t="n"/>
      <c r="C463" s="135" t="n"/>
      <c r="D463" s="135" t="n"/>
      <c r="E463" s="140" t="n"/>
    </row>
    <row r="464" ht="15" customHeight="1" s="83">
      <c r="A464" s="135" t="n"/>
      <c r="B464" s="135" t="n"/>
      <c r="C464" s="135" t="n"/>
      <c r="D464" s="135" t="n"/>
      <c r="E464" s="140" t="n"/>
    </row>
    <row r="465" ht="15" customHeight="1" s="83">
      <c r="A465" s="135" t="n"/>
      <c r="B465" s="135" t="n"/>
      <c r="C465" s="135" t="n"/>
      <c r="D465" s="135" t="n"/>
      <c r="E465" s="140" t="n"/>
    </row>
    <row r="466" ht="15" customHeight="1" s="83">
      <c r="A466" s="135" t="n"/>
      <c r="B466" s="135" t="n"/>
      <c r="C466" s="135" t="n"/>
      <c r="D466" s="135" t="n"/>
      <c r="E466" s="140" t="n"/>
    </row>
    <row r="467" ht="15" customHeight="1" s="83">
      <c r="A467" s="135" t="n"/>
      <c r="B467" s="135" t="n"/>
      <c r="C467" s="135" t="n"/>
      <c r="D467" s="135" t="n"/>
      <c r="E467" s="140" t="n"/>
    </row>
    <row r="468" ht="15" customHeight="1" s="83">
      <c r="A468" s="135" t="n"/>
      <c r="B468" s="135" t="n"/>
      <c r="C468" s="135" t="n"/>
      <c r="D468" s="135" t="n"/>
      <c r="E468" s="140" t="n"/>
    </row>
    <row r="469" ht="15" customHeight="1" s="83">
      <c r="A469" s="135" t="n"/>
      <c r="B469" s="135" t="n"/>
      <c r="C469" s="135" t="n"/>
      <c r="D469" s="135" t="n"/>
      <c r="E469" s="140" t="n"/>
    </row>
    <row r="470" ht="15" customHeight="1" s="83">
      <c r="A470" s="135" t="n"/>
      <c r="B470" s="135" t="n"/>
      <c r="C470" s="135" t="n"/>
      <c r="D470" s="135" t="n"/>
      <c r="E470" s="140" t="n"/>
    </row>
    <row r="471" ht="15" customHeight="1" s="83">
      <c r="A471" s="135" t="n"/>
      <c r="B471" s="135" t="n"/>
      <c r="C471" s="135" t="n"/>
      <c r="D471" s="135" t="n"/>
      <c r="E471" s="140" t="n"/>
    </row>
    <row r="472" ht="15" customHeight="1" s="83">
      <c r="A472" s="135" t="n"/>
      <c r="B472" s="135" t="n"/>
      <c r="C472" s="135" t="n"/>
      <c r="D472" s="135" t="n"/>
      <c r="E472" s="140" t="n"/>
    </row>
    <row r="473" ht="15" customHeight="1" s="83">
      <c r="A473" s="135" t="n"/>
      <c r="B473" s="135" t="n"/>
      <c r="C473" s="135" t="n"/>
      <c r="D473" s="135" t="n"/>
      <c r="E473" s="140" t="n"/>
    </row>
    <row r="474" ht="15" customHeight="1" s="83">
      <c r="A474" s="135" t="n"/>
      <c r="B474" s="135" t="n"/>
      <c r="C474" s="135" t="n"/>
      <c r="D474" s="135" t="n"/>
      <c r="E474" s="140" t="n"/>
    </row>
    <row r="475" ht="15" customHeight="1" s="83">
      <c r="A475" s="135" t="n"/>
      <c r="B475" s="135" t="n"/>
      <c r="C475" s="135" t="n"/>
      <c r="D475" s="135" t="n"/>
      <c r="E475" s="140" t="n"/>
    </row>
    <row r="476" ht="15" customHeight="1" s="83">
      <c r="A476" s="135" t="n"/>
      <c r="B476" s="135" t="n"/>
      <c r="C476" s="135" t="n"/>
      <c r="D476" s="135" t="n"/>
      <c r="E476" s="140" t="n"/>
    </row>
    <row r="477" ht="15" customHeight="1" s="83">
      <c r="A477" s="135" t="n"/>
      <c r="B477" s="135" t="n"/>
      <c r="C477" s="135" t="n"/>
      <c r="D477" s="135" t="n"/>
      <c r="E477" s="140" t="n"/>
    </row>
    <row r="478" ht="15" customHeight="1" s="83">
      <c r="A478" s="135" t="n"/>
      <c r="B478" s="135" t="n"/>
      <c r="C478" s="135" t="n"/>
      <c r="D478" s="135" t="n"/>
      <c r="E478" s="140" t="n"/>
    </row>
    <row r="479" ht="15" customHeight="1" s="83">
      <c r="A479" s="135" t="n"/>
      <c r="B479" s="135" t="n"/>
      <c r="C479" s="135" t="n"/>
      <c r="D479" s="135" t="n"/>
      <c r="E479" s="140" t="n"/>
    </row>
    <row r="480" ht="15" customHeight="1" s="83">
      <c r="A480" s="135" t="n"/>
      <c r="B480" s="135" t="n"/>
      <c r="C480" s="135" t="n"/>
      <c r="D480" s="135" t="n"/>
      <c r="E480" s="140" t="n"/>
    </row>
    <row r="481" ht="15" customHeight="1" s="83">
      <c r="A481" s="135" t="n"/>
      <c r="B481" s="135" t="n"/>
      <c r="C481" s="135" t="n"/>
      <c r="D481" s="135" t="n"/>
      <c r="E481" s="140" t="n"/>
    </row>
    <row r="482" ht="15" customHeight="1" s="83">
      <c r="A482" s="135" t="n"/>
      <c r="B482" s="135" t="n"/>
      <c r="C482" s="135" t="n"/>
      <c r="D482" s="135" t="n"/>
      <c r="E482" s="140" t="n"/>
    </row>
    <row r="483" ht="15" customHeight="1" s="83">
      <c r="A483" s="135" t="n"/>
      <c r="B483" s="135" t="n"/>
      <c r="C483" s="135" t="n"/>
      <c r="D483" s="135" t="n"/>
      <c r="E483" s="140" t="n"/>
    </row>
    <row r="484" ht="15" customHeight="1" s="83">
      <c r="A484" s="135" t="n"/>
      <c r="B484" s="135" t="n"/>
      <c r="C484" s="135" t="n"/>
      <c r="D484" s="135" t="n"/>
      <c r="E484" s="140" t="n"/>
    </row>
    <row r="485" ht="15" customHeight="1" s="83">
      <c r="A485" s="135" t="n"/>
      <c r="B485" s="135" t="n"/>
      <c r="C485" s="135" t="n"/>
      <c r="D485" s="135" t="n"/>
      <c r="E485" s="140" t="n"/>
    </row>
    <row r="486" ht="15" customHeight="1" s="83">
      <c r="A486" s="135" t="n"/>
      <c r="B486" s="135" t="n"/>
      <c r="C486" s="135" t="n"/>
      <c r="D486" s="135" t="n"/>
      <c r="E486" s="140" t="n"/>
    </row>
    <row r="487" ht="15" customHeight="1" s="83">
      <c r="A487" s="135" t="n"/>
      <c r="B487" s="135" t="n"/>
      <c r="C487" s="135" t="n"/>
      <c r="D487" s="135" t="n"/>
      <c r="E487" s="140" t="n"/>
    </row>
    <row r="488" ht="15" customHeight="1" s="83">
      <c r="A488" s="135" t="n"/>
      <c r="B488" s="135" t="n"/>
      <c r="C488" s="135" t="n"/>
      <c r="D488" s="135" t="n"/>
      <c r="E488" s="140" t="n"/>
    </row>
    <row r="489" ht="15" customHeight="1" s="83">
      <c r="A489" s="135" t="n"/>
      <c r="B489" s="135" t="n"/>
      <c r="C489" s="135" t="n"/>
      <c r="D489" s="135" t="n"/>
      <c r="E489" s="140" t="n"/>
    </row>
    <row r="490" ht="15" customHeight="1" s="83">
      <c r="A490" s="135" t="n"/>
      <c r="B490" s="135" t="n"/>
      <c r="C490" s="135" t="n"/>
      <c r="D490" s="135" t="n"/>
      <c r="E490" s="140" t="n"/>
    </row>
    <row r="491" ht="15" customHeight="1" s="83">
      <c r="A491" s="135" t="n"/>
      <c r="B491" s="135" t="n"/>
      <c r="C491" s="135" t="n"/>
      <c r="D491" s="135" t="n"/>
      <c r="E491" s="140" t="n"/>
    </row>
    <row r="492" ht="15" customHeight="1" s="83">
      <c r="A492" s="135" t="n"/>
      <c r="B492" s="135" t="n"/>
      <c r="C492" s="135" t="n"/>
      <c r="D492" s="135" t="n"/>
      <c r="E492" s="140" t="n"/>
    </row>
    <row r="493" ht="15" customHeight="1" s="83">
      <c r="A493" s="135" t="n"/>
      <c r="B493" s="135" t="n"/>
      <c r="C493" s="135" t="n"/>
      <c r="D493" s="135" t="n"/>
      <c r="E493" s="140" t="n"/>
    </row>
    <row r="494" ht="15" customHeight="1" s="83">
      <c r="A494" s="135" t="n"/>
      <c r="B494" s="135" t="n"/>
      <c r="C494" s="135" t="n"/>
      <c r="D494" s="135" t="n"/>
      <c r="E494" s="140" t="n"/>
    </row>
    <row r="495" ht="15" customHeight="1" s="83">
      <c r="A495" s="135" t="n"/>
      <c r="B495" s="135" t="n"/>
      <c r="C495" s="135" t="n"/>
      <c r="D495" s="135" t="n"/>
      <c r="E495" s="140" t="n"/>
    </row>
    <row r="496" ht="15" customHeight="1" s="83">
      <c r="A496" s="135" t="n"/>
      <c r="B496" s="135" t="n"/>
      <c r="C496" s="135" t="n"/>
      <c r="D496" s="135" t="n"/>
      <c r="E496" s="140" t="n"/>
    </row>
    <row r="497" ht="15" customHeight="1" s="83">
      <c r="A497" s="135" t="n"/>
      <c r="B497" s="135" t="n"/>
      <c r="C497" s="135" t="n"/>
      <c r="D497" s="135" t="n"/>
      <c r="E497" s="140" t="n"/>
    </row>
    <row r="498" ht="15" customHeight="1" s="83">
      <c r="A498" s="135" t="n"/>
      <c r="B498" s="135" t="n"/>
      <c r="C498" s="135" t="n"/>
      <c r="D498" s="135" t="n"/>
      <c r="E498" s="140" t="n"/>
    </row>
    <row r="499" ht="15" customHeight="1" s="83">
      <c r="A499" s="135" t="n"/>
      <c r="B499" s="135" t="n"/>
      <c r="C499" s="135" t="n"/>
      <c r="D499" s="135" t="n"/>
      <c r="E499" s="140" t="n"/>
    </row>
    <row r="500" ht="15" customHeight="1" s="83">
      <c r="A500" s="135" t="n"/>
      <c r="B500" s="135" t="n"/>
      <c r="C500" s="135" t="n"/>
      <c r="D500" s="135" t="n"/>
      <c r="E500" s="140" t="n"/>
    </row>
    <row r="501" ht="15" customHeight="1" s="83">
      <c r="A501" s="135" t="n"/>
      <c r="B501" s="135" t="n"/>
      <c r="C501" s="135" t="n"/>
      <c r="D501" s="135" t="n"/>
      <c r="E501" s="140" t="n"/>
    </row>
    <row r="502" ht="15" customHeight="1" s="83">
      <c r="A502" s="135" t="n"/>
      <c r="B502" s="135" t="n"/>
      <c r="C502" s="135" t="n"/>
      <c r="D502" s="135" t="n"/>
      <c r="E502" s="140" t="n"/>
    </row>
    <row r="503" ht="15" customHeight="1" s="83">
      <c r="A503" s="135" t="n"/>
      <c r="B503" s="135" t="n"/>
      <c r="C503" s="135" t="n"/>
      <c r="D503" s="135" t="n"/>
      <c r="E503" s="140" t="n"/>
    </row>
    <row r="504" ht="15" customHeight="1" s="83">
      <c r="A504" s="135" t="n"/>
      <c r="B504" s="135" t="n"/>
      <c r="C504" s="135" t="n"/>
      <c r="D504" s="135" t="n"/>
      <c r="E504" s="140" t="n"/>
    </row>
    <row r="505" ht="15" customHeight="1" s="83">
      <c r="A505" s="135" t="n"/>
      <c r="B505" s="135" t="n"/>
      <c r="C505" s="135" t="n"/>
      <c r="D505" s="135" t="n"/>
      <c r="E505" s="140" t="n"/>
    </row>
    <row r="506" ht="15" customHeight="1" s="83">
      <c r="A506" s="135" t="n"/>
      <c r="B506" s="135" t="n"/>
      <c r="C506" s="135" t="n"/>
      <c r="D506" s="135" t="n"/>
      <c r="E506" s="140" t="n"/>
    </row>
    <row r="507" ht="15" customHeight="1" s="83">
      <c r="A507" s="135" t="n"/>
      <c r="B507" s="135" t="n"/>
      <c r="C507" s="135" t="n"/>
      <c r="D507" s="135" t="n"/>
      <c r="E507" s="140" t="n"/>
    </row>
    <row r="508" ht="15" customHeight="1" s="83">
      <c r="A508" s="135" t="n"/>
      <c r="B508" s="135" t="n"/>
      <c r="C508" s="135" t="n"/>
      <c r="D508" s="135" t="n"/>
      <c r="E508" s="140" t="n"/>
    </row>
    <row r="509" ht="15" customHeight="1" s="83">
      <c r="A509" s="135" t="n"/>
      <c r="B509" s="135" t="n"/>
      <c r="C509" s="135" t="n"/>
      <c r="D509" s="135" t="n"/>
      <c r="E509" s="140" t="n"/>
    </row>
    <row r="510" ht="15" customHeight="1" s="83">
      <c r="A510" s="135" t="n"/>
      <c r="B510" s="135" t="n"/>
      <c r="C510" s="135" t="n"/>
      <c r="D510" s="135" t="n"/>
      <c r="E510" s="140" t="n"/>
    </row>
    <row r="511" ht="15" customHeight="1" s="83">
      <c r="A511" s="135" t="n"/>
      <c r="B511" s="135" t="n"/>
      <c r="C511" s="135" t="n"/>
      <c r="D511" s="135" t="n"/>
      <c r="E511" s="140" t="n"/>
    </row>
    <row r="512" ht="15" customHeight="1" s="83">
      <c r="A512" s="135" t="n"/>
      <c r="B512" s="135" t="n"/>
      <c r="C512" s="135" t="n"/>
      <c r="D512" s="135" t="n"/>
      <c r="E512" s="140" t="n"/>
    </row>
    <row r="513" ht="15" customHeight="1" s="83">
      <c r="A513" s="135" t="n"/>
      <c r="B513" s="135" t="n"/>
      <c r="C513" s="135" t="n"/>
      <c r="D513" s="135" t="n"/>
      <c r="E513" s="140" t="n"/>
    </row>
    <row r="514" ht="15" customHeight="1" s="83">
      <c r="A514" s="135" t="n"/>
      <c r="B514" s="135" t="n"/>
      <c r="C514" s="135" t="n"/>
      <c r="D514" s="135" t="n"/>
      <c r="E514" s="140" t="n"/>
    </row>
    <row r="515" ht="15" customHeight="1" s="83">
      <c r="A515" s="135" t="n"/>
      <c r="B515" s="135" t="n"/>
      <c r="C515" s="135" t="n"/>
      <c r="D515" s="135" t="n"/>
      <c r="E515" s="140" t="n"/>
    </row>
    <row r="516" ht="15" customHeight="1" s="83">
      <c r="A516" s="135" t="n"/>
      <c r="B516" s="135" t="n"/>
      <c r="C516" s="135" t="n"/>
      <c r="D516" s="135" t="n"/>
      <c r="E516" s="140" t="n"/>
    </row>
    <row r="517" ht="15" customHeight="1" s="83">
      <c r="A517" s="135" t="n"/>
      <c r="B517" s="135" t="n"/>
      <c r="C517" s="135" t="n"/>
      <c r="D517" s="135" t="n"/>
      <c r="E517" s="140" t="n"/>
    </row>
    <row r="518" ht="15" customHeight="1" s="83">
      <c r="A518" s="135" t="n"/>
      <c r="B518" s="135" t="n"/>
      <c r="C518" s="135" t="n"/>
      <c r="D518" s="135" t="n"/>
      <c r="E518" s="140" t="n"/>
    </row>
    <row r="519" ht="15" customHeight="1" s="83">
      <c r="A519" s="135" t="n"/>
      <c r="B519" s="135" t="n"/>
      <c r="C519" s="135" t="n"/>
      <c r="D519" s="135" t="n"/>
      <c r="E519" s="140" t="n"/>
    </row>
    <row r="520" ht="15" customHeight="1" s="83">
      <c r="A520" s="135" t="n"/>
      <c r="B520" s="135" t="n"/>
      <c r="C520" s="135" t="n"/>
      <c r="D520" s="135" t="n"/>
      <c r="E520" s="140" t="n"/>
    </row>
    <row r="521" ht="15" customHeight="1" s="83">
      <c r="A521" s="135" t="n"/>
      <c r="B521" s="135" t="n"/>
      <c r="C521" s="135" t="n"/>
      <c r="D521" s="135" t="n"/>
      <c r="E521" s="140" t="n"/>
    </row>
    <row r="522" ht="15" customHeight="1" s="83">
      <c r="A522" s="135" t="n"/>
      <c r="B522" s="135" t="n"/>
      <c r="C522" s="135" t="n"/>
      <c r="D522" s="135" t="n"/>
      <c r="E522" s="140" t="n"/>
    </row>
    <row r="523" ht="15" customHeight="1" s="83">
      <c r="A523" s="135" t="n"/>
      <c r="B523" s="135" t="n"/>
      <c r="C523" s="135" t="n"/>
      <c r="D523" s="135" t="n"/>
      <c r="E523" s="140" t="n"/>
    </row>
    <row r="524" ht="15" customHeight="1" s="83">
      <c r="A524" s="135" t="n"/>
      <c r="B524" s="135" t="n"/>
      <c r="C524" s="135" t="n"/>
      <c r="D524" s="135" t="n"/>
      <c r="E524" s="140" t="n"/>
    </row>
    <row r="525" ht="15" customHeight="1" s="83">
      <c r="A525" s="135" t="n"/>
      <c r="B525" s="135" t="n"/>
      <c r="C525" s="135" t="n"/>
      <c r="D525" s="135" t="n"/>
      <c r="E525" s="140" t="n"/>
    </row>
    <row r="526" ht="15" customHeight="1" s="83">
      <c r="A526" s="135" t="n"/>
      <c r="B526" s="135" t="n"/>
      <c r="C526" s="135" t="n"/>
      <c r="D526" s="135" t="n"/>
      <c r="E526" s="140" t="n"/>
    </row>
    <row r="527" ht="15" customHeight="1" s="83">
      <c r="A527" s="135" t="n"/>
      <c r="B527" s="135" t="n"/>
      <c r="C527" s="135" t="n"/>
      <c r="D527" s="135" t="n"/>
      <c r="E527" s="140" t="n"/>
    </row>
    <row r="528" ht="15" customHeight="1" s="83">
      <c r="A528" s="135" t="n"/>
      <c r="B528" s="135" t="n"/>
      <c r="C528" s="135" t="n"/>
      <c r="D528" s="135" t="n"/>
      <c r="E528" s="140" t="n"/>
    </row>
    <row r="529" ht="15" customHeight="1" s="83">
      <c r="A529" s="135" t="n"/>
      <c r="B529" s="135" t="n"/>
      <c r="C529" s="135" t="n"/>
      <c r="D529" s="135" t="n"/>
      <c r="E529" s="140" t="n"/>
    </row>
    <row r="530" ht="15" customHeight="1" s="83">
      <c r="A530" s="135" t="n"/>
      <c r="B530" s="135" t="n"/>
      <c r="C530" s="135" t="n"/>
      <c r="D530" s="135" t="n"/>
      <c r="E530" s="140" t="n"/>
    </row>
    <row r="531" ht="15" customHeight="1" s="83">
      <c r="A531" s="135" t="n"/>
      <c r="B531" s="135" t="n"/>
      <c r="C531" s="135" t="n"/>
      <c r="D531" s="135" t="n"/>
      <c r="E531" s="140" t="n"/>
    </row>
    <row r="532" ht="15" customHeight="1" s="83">
      <c r="A532" s="135" t="n"/>
      <c r="B532" s="135" t="n"/>
      <c r="C532" s="135" t="n"/>
      <c r="D532" s="135" t="n"/>
      <c r="E532" s="140" t="n"/>
    </row>
    <row r="533" ht="15" customHeight="1" s="83">
      <c r="A533" s="135" t="n"/>
      <c r="B533" s="135" t="n"/>
      <c r="C533" s="135" t="n"/>
      <c r="D533" s="135" t="n"/>
      <c r="E533" s="140" t="n"/>
    </row>
    <row r="534" ht="15" customHeight="1" s="83">
      <c r="A534" s="135" t="n"/>
      <c r="B534" s="135" t="n"/>
      <c r="C534" s="135" t="n"/>
      <c r="D534" s="135" t="n"/>
      <c r="E534" s="140" t="n"/>
    </row>
    <row r="535" ht="15" customHeight="1" s="83">
      <c r="A535" s="135" t="n"/>
      <c r="B535" s="135" t="n"/>
      <c r="C535" s="135" t="n"/>
      <c r="D535" s="135" t="n"/>
      <c r="E535" s="140" t="n"/>
    </row>
    <row r="536" ht="15" customHeight="1" s="83">
      <c r="A536" s="135" t="n"/>
      <c r="B536" s="135" t="n"/>
      <c r="C536" s="135" t="n"/>
      <c r="D536" s="135" t="n"/>
      <c r="E536" s="140" t="n"/>
    </row>
    <row r="537" ht="15" customHeight="1" s="83">
      <c r="A537" s="135" t="n"/>
      <c r="B537" s="135" t="n"/>
      <c r="C537" s="135" t="n"/>
      <c r="D537" s="135" t="n"/>
      <c r="E537" s="140" t="n"/>
    </row>
    <row r="538" ht="15" customHeight="1" s="83">
      <c r="A538" s="135" t="n"/>
      <c r="B538" s="135" t="n"/>
      <c r="C538" s="135" t="n"/>
      <c r="D538" s="135" t="n"/>
      <c r="E538" s="140" t="n"/>
    </row>
    <row r="539" ht="15" customHeight="1" s="83">
      <c r="A539" s="135" t="n"/>
      <c r="B539" s="135" t="n"/>
      <c r="C539" s="135" t="n"/>
      <c r="D539" s="135" t="n"/>
      <c r="E539" s="140" t="n"/>
    </row>
    <row r="540" ht="15" customHeight="1" s="83">
      <c r="A540" s="135" t="n"/>
      <c r="B540" s="135" t="n"/>
      <c r="C540" s="135" t="n"/>
      <c r="D540" s="135" t="n"/>
      <c r="E540" s="140" t="n"/>
    </row>
    <row r="541" ht="15" customHeight="1" s="83">
      <c r="A541" s="135" t="n"/>
      <c r="B541" s="135" t="n"/>
      <c r="C541" s="135" t="n"/>
      <c r="D541" s="135" t="n"/>
      <c r="E541" s="140" t="n"/>
    </row>
    <row r="542" ht="15" customHeight="1" s="83">
      <c r="A542" s="135" t="n"/>
      <c r="B542" s="135" t="n"/>
      <c r="C542" s="135" t="n"/>
      <c r="D542" s="135" t="n"/>
      <c r="E542" s="140" t="n"/>
    </row>
    <row r="543" ht="15" customHeight="1" s="83">
      <c r="A543" s="135" t="n"/>
      <c r="B543" s="135" t="n"/>
      <c r="C543" s="135" t="n"/>
      <c r="D543" s="135" t="n"/>
      <c r="E543" s="140" t="n"/>
    </row>
    <row r="544" ht="15" customHeight="1" s="83">
      <c r="A544" s="135" t="n"/>
      <c r="B544" s="135" t="n"/>
      <c r="C544" s="135" t="n"/>
      <c r="D544" s="135" t="n"/>
      <c r="E544" s="140" t="n"/>
    </row>
    <row r="545" ht="15" customHeight="1" s="83">
      <c r="A545" s="135" t="n"/>
      <c r="B545" s="135" t="n"/>
      <c r="C545" s="135" t="n"/>
      <c r="D545" s="135" t="n"/>
      <c r="E545" s="140" t="n"/>
    </row>
    <row r="546" ht="15" customHeight="1" s="83">
      <c r="A546" s="135" t="n"/>
      <c r="B546" s="135" t="n"/>
      <c r="C546" s="135" t="n"/>
      <c r="D546" s="135" t="n"/>
      <c r="E546" s="140" t="n"/>
    </row>
    <row r="547" ht="15" customHeight="1" s="83">
      <c r="A547" s="135" t="n"/>
      <c r="B547" s="135" t="n"/>
      <c r="C547" s="135" t="n"/>
      <c r="D547" s="135" t="n"/>
      <c r="E547" s="140" t="n"/>
    </row>
    <row r="548" ht="15" customHeight="1" s="83">
      <c r="A548" s="135" t="n"/>
      <c r="B548" s="135" t="n"/>
      <c r="C548" s="135" t="n"/>
      <c r="D548" s="135" t="n"/>
      <c r="E548" s="140" t="n"/>
    </row>
    <row r="549" ht="15" customHeight="1" s="83">
      <c r="A549" s="135" t="n"/>
      <c r="B549" s="135" t="n"/>
      <c r="C549" s="135" t="n"/>
      <c r="D549" s="135" t="n"/>
      <c r="E549" s="140" t="n"/>
    </row>
    <row r="550" ht="15" customHeight="1" s="83">
      <c r="A550" s="135" t="n"/>
      <c r="B550" s="135" t="n"/>
      <c r="C550" s="135" t="n"/>
      <c r="D550" s="135" t="n"/>
      <c r="E550" s="140" t="n"/>
    </row>
    <row r="551" ht="15" customHeight="1" s="83">
      <c r="A551" s="135" t="n"/>
      <c r="B551" s="135" t="n"/>
      <c r="C551" s="135" t="n"/>
      <c r="D551" s="135" t="n"/>
      <c r="E551" s="140" t="n"/>
    </row>
    <row r="552" ht="15" customHeight="1" s="83">
      <c r="A552" s="135" t="n"/>
      <c r="B552" s="135" t="n"/>
      <c r="C552" s="135" t="n"/>
      <c r="D552" s="135" t="n"/>
      <c r="E552" s="140" t="n"/>
    </row>
    <row r="553" ht="15" customHeight="1" s="83">
      <c r="A553" s="135" t="n"/>
      <c r="B553" s="135" t="n"/>
      <c r="C553" s="135" t="n"/>
      <c r="D553" s="135" t="n"/>
      <c r="E553" s="140" t="n"/>
    </row>
    <row r="554" ht="15" customHeight="1" s="83">
      <c r="A554" s="135" t="n"/>
      <c r="B554" s="135" t="n"/>
      <c r="C554" s="135" t="n"/>
      <c r="D554" s="135" t="n"/>
      <c r="E554" s="140" t="n"/>
    </row>
    <row r="555" ht="15" customHeight="1" s="83">
      <c r="A555" s="135" t="n"/>
      <c r="B555" s="135" t="n"/>
      <c r="C555" s="135" t="n"/>
      <c r="D555" s="135" t="n"/>
      <c r="E555" s="140" t="n"/>
    </row>
    <row r="556" ht="15" customHeight="1" s="83">
      <c r="A556" s="135" t="n"/>
      <c r="B556" s="135" t="n"/>
      <c r="C556" s="135" t="n"/>
      <c r="D556" s="135" t="n"/>
      <c r="E556" s="140" t="n"/>
    </row>
    <row r="557" ht="15" customHeight="1" s="83">
      <c r="A557" s="135" t="n"/>
      <c r="B557" s="135" t="n"/>
      <c r="C557" s="135" t="n"/>
      <c r="D557" s="135" t="n"/>
      <c r="E557" s="140" t="n"/>
    </row>
    <row r="558" ht="15" customHeight="1" s="83">
      <c r="A558" s="135" t="n"/>
      <c r="B558" s="135" t="n"/>
      <c r="C558" s="135" t="n"/>
      <c r="D558" s="135" t="n"/>
      <c r="E558" s="140" t="n"/>
    </row>
    <row r="559" ht="15" customHeight="1" s="83">
      <c r="A559" s="135" t="n"/>
      <c r="B559" s="135" t="n"/>
      <c r="C559" s="135" t="n"/>
      <c r="D559" s="135" t="n"/>
      <c r="E559" s="140" t="n"/>
    </row>
    <row r="560" ht="15" customHeight="1" s="83">
      <c r="A560" s="135" t="n"/>
      <c r="B560" s="135" t="n"/>
      <c r="C560" s="135" t="n"/>
      <c r="D560" s="135" t="n"/>
      <c r="E560" s="140" t="n"/>
    </row>
    <row r="561" ht="15" customHeight="1" s="83">
      <c r="A561" s="135" t="n"/>
      <c r="B561" s="135" t="n"/>
      <c r="C561" s="135" t="n"/>
      <c r="D561" s="135" t="n"/>
      <c r="E561" s="140" t="n"/>
    </row>
    <row r="562" ht="15" customHeight="1" s="83">
      <c r="A562" s="135" t="n"/>
      <c r="B562" s="135" t="n"/>
      <c r="C562" s="135" t="n"/>
      <c r="D562" s="135" t="n"/>
      <c r="E562" s="140" t="n"/>
    </row>
    <row r="563" ht="15" customHeight="1" s="83">
      <c r="A563" s="135" t="n"/>
      <c r="B563" s="135" t="n"/>
      <c r="C563" s="135" t="n"/>
      <c r="D563" s="135" t="n"/>
      <c r="E563" s="140" t="n"/>
    </row>
    <row r="564" ht="15" customHeight="1" s="83">
      <c r="A564" s="135" t="n"/>
      <c r="B564" s="135" t="n"/>
      <c r="C564" s="135" t="n"/>
      <c r="D564" s="135" t="n"/>
      <c r="E564" s="140" t="n"/>
    </row>
    <row r="565" ht="15" customHeight="1" s="83">
      <c r="A565" s="135" t="n"/>
      <c r="B565" s="135" t="n"/>
      <c r="C565" s="135" t="n"/>
      <c r="D565" s="135" t="n"/>
      <c r="E565" s="140" t="n"/>
    </row>
    <row r="566" ht="15" customHeight="1" s="83">
      <c r="A566" s="135" t="n"/>
      <c r="B566" s="135" t="n"/>
      <c r="C566" s="135" t="n"/>
      <c r="D566" s="135" t="n"/>
      <c r="E566" s="140" t="n"/>
    </row>
    <row r="567" ht="15" customHeight="1" s="83">
      <c r="A567" s="135" t="n"/>
      <c r="B567" s="135" t="n"/>
      <c r="C567" s="135" t="n"/>
      <c r="D567" s="135" t="n"/>
      <c r="E567" s="140" t="n"/>
    </row>
    <row r="568" ht="15" customHeight="1" s="83">
      <c r="A568" s="135" t="n"/>
      <c r="B568" s="135" t="n"/>
      <c r="C568" s="135" t="n"/>
      <c r="D568" s="135" t="n"/>
      <c r="E568" s="140" t="n"/>
    </row>
    <row r="569" ht="15" customHeight="1" s="83">
      <c r="A569" s="135" t="n"/>
      <c r="B569" s="135" t="n"/>
      <c r="C569" s="135" t="n"/>
      <c r="D569" s="135" t="n"/>
      <c r="E569" s="140" t="n"/>
    </row>
    <row r="570" ht="15" customHeight="1" s="83">
      <c r="A570" s="135" t="n"/>
      <c r="B570" s="135" t="n"/>
      <c r="C570" s="135" t="n"/>
      <c r="D570" s="135" t="n"/>
      <c r="E570" s="140" t="n"/>
    </row>
    <row r="571" ht="15" customHeight="1" s="83">
      <c r="A571" s="135" t="n"/>
      <c r="B571" s="135" t="n"/>
      <c r="C571" s="135" t="n"/>
      <c r="D571" s="135" t="n"/>
      <c r="E571" s="140" t="n"/>
    </row>
    <row r="572" ht="15" customHeight="1" s="83">
      <c r="A572" s="135" t="n"/>
      <c r="B572" s="135" t="n"/>
      <c r="C572" s="135" t="n"/>
      <c r="D572" s="135" t="n"/>
      <c r="E572" s="140" t="n"/>
    </row>
    <row r="573" ht="15" customHeight="1" s="83">
      <c r="A573" s="135" t="n"/>
      <c r="B573" s="135" t="n"/>
      <c r="C573" s="135" t="n"/>
      <c r="D573" s="135" t="n"/>
      <c r="E573" s="140" t="n"/>
    </row>
    <row r="574" ht="15" customHeight="1" s="83">
      <c r="A574" s="135" t="n"/>
      <c r="B574" s="135" t="n"/>
      <c r="C574" s="135" t="n"/>
      <c r="D574" s="135" t="n"/>
      <c r="E574" s="140" t="n"/>
    </row>
    <row r="575" ht="15" customHeight="1" s="83">
      <c r="A575" s="135" t="n"/>
      <c r="B575" s="135" t="n"/>
      <c r="C575" s="135" t="n"/>
      <c r="D575" s="135" t="n"/>
      <c r="E575" s="140" t="n"/>
    </row>
    <row r="576" ht="15" customHeight="1" s="83">
      <c r="A576" s="135" t="n"/>
      <c r="B576" s="135" t="n"/>
      <c r="C576" s="135" t="n"/>
      <c r="D576" s="135" t="n"/>
      <c r="E576" s="140" t="n"/>
    </row>
    <row r="577" ht="15" customHeight="1" s="83">
      <c r="A577" s="135" t="n"/>
      <c r="B577" s="135" t="n"/>
      <c r="C577" s="135" t="n"/>
      <c r="D577" s="135" t="n"/>
      <c r="E577" s="140" t="n"/>
    </row>
    <row r="578" ht="15" customHeight="1" s="83">
      <c r="A578" s="135" t="n"/>
      <c r="B578" s="135" t="n"/>
      <c r="C578" s="135" t="n"/>
      <c r="D578" s="135" t="n"/>
      <c r="E578" s="140" t="n"/>
    </row>
    <row r="579" ht="15" customHeight="1" s="83">
      <c r="A579" s="135" t="n"/>
      <c r="B579" s="135" t="n"/>
      <c r="C579" s="135" t="n"/>
      <c r="D579" s="135" t="n"/>
      <c r="E579" s="140" t="n"/>
    </row>
    <row r="580" ht="15" customHeight="1" s="83">
      <c r="A580" s="135" t="n"/>
      <c r="B580" s="135" t="n"/>
      <c r="C580" s="135" t="n"/>
      <c r="D580" s="135" t="n"/>
      <c r="E580" s="140" t="n"/>
    </row>
    <row r="581" ht="15" customHeight="1" s="83">
      <c r="A581" s="135" t="n"/>
      <c r="B581" s="135" t="n"/>
      <c r="C581" s="135" t="n"/>
      <c r="D581" s="135" t="n"/>
      <c r="E581" s="140" t="n"/>
    </row>
    <row r="582" ht="15" customHeight="1" s="83">
      <c r="A582" s="135" t="n"/>
      <c r="B582" s="135" t="n"/>
      <c r="C582" s="135" t="n"/>
      <c r="D582" s="135" t="n"/>
      <c r="E582" s="140" t="n"/>
    </row>
    <row r="583" ht="15" customHeight="1" s="83">
      <c r="A583" s="135" t="n"/>
      <c r="B583" s="135" t="n"/>
      <c r="C583" s="135" t="n"/>
      <c r="D583" s="135" t="n"/>
      <c r="E583" s="140" t="n"/>
    </row>
    <row r="584" ht="15" customHeight="1" s="83">
      <c r="A584" s="135" t="n"/>
      <c r="B584" s="135" t="n"/>
      <c r="C584" s="135" t="n"/>
      <c r="D584" s="135" t="n"/>
      <c r="E584" s="140" t="n"/>
    </row>
    <row r="585" ht="15" customHeight="1" s="83">
      <c r="A585" s="135" t="n"/>
      <c r="B585" s="135" t="n"/>
      <c r="C585" s="135" t="n"/>
      <c r="D585" s="135" t="n"/>
      <c r="E585" s="140" t="n"/>
    </row>
    <row r="586" ht="15" customHeight="1" s="83">
      <c r="A586" s="135" t="n"/>
      <c r="B586" s="135" t="n"/>
      <c r="C586" s="135" t="n"/>
      <c r="D586" s="135" t="n"/>
      <c r="E586" s="140" t="n"/>
    </row>
    <row r="587" ht="15" customHeight="1" s="83">
      <c r="A587" s="135" t="n"/>
      <c r="B587" s="135" t="n"/>
      <c r="C587" s="135" t="n"/>
      <c r="D587" s="135" t="n"/>
      <c r="E587" s="140" t="n"/>
    </row>
    <row r="588" ht="15" customHeight="1" s="83">
      <c r="A588" s="135" t="n"/>
      <c r="B588" s="135" t="n"/>
      <c r="C588" s="135" t="n"/>
      <c r="D588" s="135" t="n"/>
      <c r="E588" s="140" t="n"/>
    </row>
    <row r="589" ht="15" customHeight="1" s="83">
      <c r="A589" s="135" t="n"/>
      <c r="B589" s="135" t="n"/>
      <c r="C589" s="135" t="n"/>
      <c r="D589" s="135" t="n"/>
      <c r="E589" s="140" t="n"/>
    </row>
    <row r="590" ht="15" customHeight="1" s="83">
      <c r="A590" s="135" t="n"/>
      <c r="B590" s="135" t="n"/>
      <c r="C590" s="135" t="n"/>
      <c r="D590" s="135" t="n"/>
      <c r="E590" s="140" t="n"/>
    </row>
    <row r="591" ht="15" customHeight="1" s="83">
      <c r="A591" s="135" t="n"/>
      <c r="B591" s="135" t="n"/>
      <c r="C591" s="135" t="n"/>
      <c r="D591" s="135" t="n"/>
      <c r="E591" s="140" t="n"/>
    </row>
    <row r="592" ht="15" customHeight="1" s="83">
      <c r="A592" s="135" t="n"/>
      <c r="B592" s="135" t="n"/>
      <c r="C592" s="135" t="n"/>
      <c r="D592" s="135" t="n"/>
      <c r="E592" s="140" t="n"/>
    </row>
    <row r="593" ht="15" customHeight="1" s="83">
      <c r="A593" s="135" t="n"/>
      <c r="B593" s="135" t="n"/>
      <c r="C593" s="135" t="n"/>
      <c r="D593" s="135" t="n"/>
      <c r="E593" s="140" t="n"/>
    </row>
    <row r="594" ht="15" customHeight="1" s="83">
      <c r="A594" s="135" t="n"/>
      <c r="B594" s="135" t="n"/>
      <c r="C594" s="135" t="n"/>
      <c r="D594" s="135" t="n"/>
      <c r="E594" s="140" t="n"/>
    </row>
    <row r="595" ht="15" customHeight="1" s="83">
      <c r="A595" s="135" t="n"/>
      <c r="B595" s="135" t="n"/>
      <c r="C595" s="135" t="n"/>
      <c r="D595" s="135" t="n"/>
      <c r="E595" s="140" t="n"/>
    </row>
    <row r="596" ht="15" customHeight="1" s="83">
      <c r="A596" s="135" t="n"/>
      <c r="B596" s="135" t="n"/>
      <c r="C596" s="135" t="n"/>
      <c r="D596" s="135" t="n"/>
      <c r="E596" s="140" t="n"/>
    </row>
    <row r="597" ht="15" customHeight="1" s="83">
      <c r="A597" s="135" t="n"/>
      <c r="B597" s="135" t="n"/>
      <c r="C597" s="135" t="n"/>
      <c r="D597" s="135" t="n"/>
      <c r="E597" s="140" t="n"/>
    </row>
    <row r="598" ht="15" customHeight="1" s="83">
      <c r="A598" s="135" t="n"/>
      <c r="B598" s="135" t="n"/>
      <c r="C598" s="135" t="n"/>
      <c r="D598" s="135" t="n"/>
      <c r="E598" s="140" t="n"/>
    </row>
    <row r="599" ht="15" customHeight="1" s="83">
      <c r="A599" s="135" t="n"/>
      <c r="B599" s="135" t="n"/>
      <c r="C599" s="135" t="n"/>
      <c r="D599" s="135" t="n"/>
      <c r="E599" s="140" t="n"/>
    </row>
    <row r="600" ht="15" customHeight="1" s="83">
      <c r="A600" s="135" t="n"/>
      <c r="B600" s="135" t="n"/>
      <c r="C600" s="135" t="n"/>
      <c r="D600" s="135" t="n"/>
      <c r="E600" s="140" t="n"/>
    </row>
    <row r="601" ht="15" customHeight="1" s="83">
      <c r="A601" s="135" t="n"/>
      <c r="B601" s="135" t="n"/>
      <c r="C601" s="135" t="n"/>
      <c r="D601" s="135" t="n"/>
      <c r="E601" s="140" t="n"/>
    </row>
    <row r="602" ht="15" customHeight="1" s="83">
      <c r="A602" s="135" t="n"/>
      <c r="B602" s="135" t="n"/>
      <c r="C602" s="135" t="n"/>
      <c r="D602" s="135" t="n"/>
      <c r="E602" s="140" t="n"/>
    </row>
    <row r="603" ht="15" customHeight="1" s="83">
      <c r="A603" s="135" t="n"/>
      <c r="B603" s="135" t="n"/>
      <c r="C603" s="135" t="n"/>
      <c r="D603" s="135" t="n"/>
      <c r="E603" s="140" t="n"/>
    </row>
    <row r="604" ht="15" customHeight="1" s="83">
      <c r="A604" s="135" t="n"/>
      <c r="B604" s="135" t="n"/>
      <c r="C604" s="135" t="n"/>
      <c r="D604" s="135" t="n"/>
      <c r="E604" s="140" t="n"/>
    </row>
    <row r="605" ht="15" customHeight="1" s="83">
      <c r="A605" s="135" t="n"/>
      <c r="B605" s="135" t="n"/>
      <c r="C605" s="135" t="n"/>
      <c r="D605" s="135" t="n"/>
      <c r="E605" s="140" t="n"/>
    </row>
    <row r="606" ht="15" customHeight="1" s="83">
      <c r="A606" s="135" t="n"/>
      <c r="B606" s="135" t="n"/>
      <c r="C606" s="135" t="n"/>
      <c r="D606" s="135" t="n"/>
      <c r="E606" s="140" t="n"/>
    </row>
    <row r="607" ht="15" customHeight="1" s="83">
      <c r="A607" s="135" t="n"/>
      <c r="B607" s="135" t="n"/>
      <c r="C607" s="135" t="n"/>
      <c r="D607" s="135" t="n"/>
      <c r="E607" s="140" t="n"/>
    </row>
    <row r="608" ht="15" customHeight="1" s="83">
      <c r="A608" s="135" t="n"/>
      <c r="B608" s="135" t="n"/>
      <c r="C608" s="135" t="n"/>
      <c r="D608" s="135" t="n"/>
      <c r="E608" s="140" t="n"/>
    </row>
    <row r="609" ht="15" customHeight="1" s="83">
      <c r="A609" s="135" t="n"/>
      <c r="B609" s="135" t="n"/>
      <c r="C609" s="135" t="n"/>
      <c r="D609" s="135" t="n"/>
      <c r="E609" s="140" t="n"/>
    </row>
    <row r="610" ht="15" customHeight="1" s="83">
      <c r="A610" s="135" t="n"/>
      <c r="B610" s="135" t="n"/>
      <c r="C610" s="135" t="n"/>
      <c r="D610" s="135" t="n"/>
      <c r="E610" s="140" t="n"/>
    </row>
    <row r="611" ht="15" customHeight="1" s="83">
      <c r="A611" s="135" t="n"/>
      <c r="B611" s="135" t="n"/>
      <c r="C611" s="135" t="n"/>
      <c r="D611" s="135" t="n"/>
      <c r="E611" s="140" t="n"/>
    </row>
    <row r="612" ht="15" customHeight="1" s="83">
      <c r="A612" s="135" t="n"/>
      <c r="B612" s="135" t="n"/>
      <c r="C612" s="135" t="n"/>
      <c r="D612" s="135" t="n"/>
      <c r="E612" s="140" t="n"/>
    </row>
    <row r="613" ht="15" customHeight="1" s="83">
      <c r="A613" s="135" t="n"/>
      <c r="B613" s="135" t="n"/>
      <c r="C613" s="135" t="n"/>
      <c r="D613" s="135" t="n"/>
      <c r="E613" s="140" t="n"/>
    </row>
    <row r="614" ht="15" customHeight="1" s="83">
      <c r="A614" s="135" t="n"/>
      <c r="B614" s="135" t="n"/>
      <c r="C614" s="135" t="n"/>
      <c r="D614" s="135" t="n"/>
      <c r="E614" s="140" t="n"/>
    </row>
    <row r="615" ht="15" customHeight="1" s="83">
      <c r="A615" s="135" t="n"/>
      <c r="B615" s="135" t="n"/>
      <c r="C615" s="135" t="n"/>
      <c r="D615" s="135" t="n"/>
      <c r="E615" s="140" t="n"/>
    </row>
    <row r="616" ht="15" customHeight="1" s="83">
      <c r="A616" s="135" t="n"/>
      <c r="B616" s="135" t="n"/>
      <c r="C616" s="135" t="n"/>
      <c r="D616" s="135" t="n"/>
      <c r="E616" s="140" t="n"/>
    </row>
    <row r="617" ht="15" customHeight="1" s="83">
      <c r="A617" s="135" t="n"/>
      <c r="B617" s="135" t="n"/>
      <c r="C617" s="135" t="n"/>
      <c r="D617" s="135" t="n"/>
      <c r="E617" s="140" t="n"/>
    </row>
    <row r="618" ht="15" customHeight="1" s="83">
      <c r="A618" s="135" t="n"/>
      <c r="B618" s="135" t="n"/>
      <c r="C618" s="135" t="n"/>
      <c r="D618" s="135" t="n"/>
      <c r="E618" s="140" t="n"/>
    </row>
    <row r="619" ht="15" customHeight="1" s="83">
      <c r="A619" s="135" t="n"/>
      <c r="B619" s="135" t="n"/>
      <c r="C619" s="135" t="n"/>
      <c r="D619" s="135" t="n"/>
      <c r="E619" s="140" t="n"/>
    </row>
    <row r="620" ht="15" customHeight="1" s="83">
      <c r="A620" s="135" t="n"/>
      <c r="B620" s="135" t="n"/>
      <c r="C620" s="135" t="n"/>
      <c r="D620" s="135" t="n"/>
      <c r="E620" s="140" t="n"/>
    </row>
    <row r="621" ht="15" customHeight="1" s="83">
      <c r="A621" s="135" t="n"/>
      <c r="B621" s="135" t="n"/>
      <c r="C621" s="135" t="n"/>
      <c r="D621" s="135" t="n"/>
      <c r="E621" s="140" t="n"/>
    </row>
    <row r="622" ht="15" customHeight="1" s="83">
      <c r="A622" s="135" t="n"/>
      <c r="B622" s="135" t="n"/>
      <c r="C622" s="135" t="n"/>
      <c r="D622" s="135" t="n"/>
      <c r="E622" s="140" t="n"/>
    </row>
    <row r="623" ht="15" customHeight="1" s="83">
      <c r="A623" s="135" t="n"/>
      <c r="B623" s="135" t="n"/>
      <c r="C623" s="135" t="n"/>
      <c r="D623" s="135" t="n"/>
      <c r="E623" s="140" t="n"/>
    </row>
    <row r="624" ht="15" customHeight="1" s="83">
      <c r="A624" s="135" t="n"/>
      <c r="B624" s="135" t="n"/>
      <c r="C624" s="135" t="n"/>
      <c r="D624" s="135" t="n"/>
      <c r="E624" s="140" t="n"/>
    </row>
    <row r="625" ht="15" customHeight="1" s="83">
      <c r="A625" s="135" t="n"/>
      <c r="B625" s="135" t="n"/>
      <c r="C625" s="135" t="n"/>
      <c r="D625" s="135" t="n"/>
      <c r="E625" s="140" t="n"/>
    </row>
    <row r="626" ht="15" customHeight="1" s="83">
      <c r="A626" s="135" t="n"/>
      <c r="B626" s="135" t="n"/>
      <c r="C626" s="135" t="n"/>
      <c r="D626" s="135" t="n"/>
      <c r="E626" s="140" t="n"/>
    </row>
    <row r="627" ht="15" customHeight="1" s="83">
      <c r="A627" s="135" t="n"/>
      <c r="B627" s="135" t="n"/>
      <c r="C627" s="135" t="n"/>
      <c r="D627" s="135" t="n"/>
      <c r="E627" s="140" t="n"/>
    </row>
    <row r="628" ht="15" customHeight="1" s="83">
      <c r="A628" s="135" t="n"/>
      <c r="B628" s="135" t="n"/>
      <c r="C628" s="135" t="n"/>
      <c r="D628" s="135" t="n"/>
      <c r="E628" s="140" t="n"/>
    </row>
    <row r="629" ht="15" customHeight="1" s="83">
      <c r="A629" s="135" t="n"/>
      <c r="B629" s="135" t="n"/>
      <c r="C629" s="135" t="n"/>
      <c r="D629" s="135" t="n"/>
      <c r="E629" s="140" t="n"/>
    </row>
    <row r="630" ht="15" customHeight="1" s="83">
      <c r="A630" s="135" t="n"/>
      <c r="B630" s="135" t="n"/>
      <c r="C630" s="135" t="n"/>
      <c r="D630" s="135" t="n"/>
      <c r="E630" s="140" t="n"/>
    </row>
    <row r="631" ht="15" customHeight="1" s="83">
      <c r="A631" s="135" t="n"/>
      <c r="B631" s="135" t="n"/>
      <c r="C631" s="135" t="n"/>
      <c r="D631" s="135" t="n"/>
      <c r="E631" s="140" t="n"/>
    </row>
    <row r="632" ht="15" customHeight="1" s="83">
      <c r="A632" s="135" t="n"/>
      <c r="B632" s="135" t="n"/>
      <c r="C632" s="135" t="n"/>
      <c r="D632" s="135" t="n"/>
      <c r="E632" s="140" t="n"/>
    </row>
    <row r="633" ht="15" customHeight="1" s="83">
      <c r="A633" s="135" t="n"/>
      <c r="B633" s="135" t="n"/>
      <c r="C633" s="135" t="n"/>
      <c r="D633" s="135" t="n"/>
      <c r="E633" s="140" t="n"/>
    </row>
    <row r="634" ht="15" customHeight="1" s="83">
      <c r="A634" s="135" t="n"/>
      <c r="B634" s="135" t="n"/>
      <c r="C634" s="135" t="n"/>
      <c r="D634" s="135" t="n"/>
      <c r="E634" s="140" t="n"/>
    </row>
    <row r="635" ht="15" customHeight="1" s="83">
      <c r="A635" s="135" t="n"/>
      <c r="B635" s="135" t="n"/>
      <c r="C635" s="135" t="n"/>
      <c r="D635" s="135" t="n"/>
      <c r="E635" s="140" t="n"/>
    </row>
    <row r="636" ht="15" customHeight="1" s="83">
      <c r="A636" s="135" t="n"/>
      <c r="B636" s="135" t="n"/>
      <c r="C636" s="135" t="n"/>
      <c r="D636" s="135" t="n"/>
      <c r="E636" s="140" t="n"/>
    </row>
    <row r="637" ht="15" customHeight="1" s="83">
      <c r="A637" s="135" t="n"/>
      <c r="B637" s="135" t="n"/>
      <c r="C637" s="135" t="n"/>
      <c r="D637" s="135" t="n"/>
      <c r="E637" s="140" t="n"/>
    </row>
    <row r="638" ht="15" customHeight="1" s="83">
      <c r="A638" s="135" t="n"/>
      <c r="B638" s="135" t="n"/>
      <c r="C638" s="135" t="n"/>
      <c r="D638" s="135" t="n"/>
      <c r="E638" s="140" t="n"/>
    </row>
    <row r="639" ht="15" customHeight="1" s="83">
      <c r="A639" s="135" t="n"/>
      <c r="B639" s="135" t="n"/>
      <c r="C639" s="135" t="n"/>
      <c r="D639" s="135" t="n"/>
      <c r="E639" s="140" t="n"/>
    </row>
    <row r="640" ht="15" customHeight="1" s="83">
      <c r="A640" s="135" t="n"/>
      <c r="B640" s="135" t="n"/>
      <c r="C640" s="135" t="n"/>
      <c r="D640" s="135" t="n"/>
      <c r="E640" s="140" t="n"/>
    </row>
    <row r="641" ht="15" customHeight="1" s="83">
      <c r="A641" s="135" t="n"/>
      <c r="B641" s="135" t="n"/>
      <c r="C641" s="135" t="n"/>
      <c r="D641" s="135" t="n"/>
      <c r="E641" s="140" t="n"/>
    </row>
    <row r="642" ht="15" customHeight="1" s="83">
      <c r="A642" s="135" t="n"/>
      <c r="B642" s="135" t="n"/>
      <c r="C642" s="135" t="n"/>
      <c r="D642" s="135" t="n"/>
      <c r="E642" s="140" t="n"/>
    </row>
    <row r="643" ht="15" customHeight="1" s="83">
      <c r="A643" s="135" t="n"/>
      <c r="B643" s="135" t="n"/>
      <c r="C643" s="135" t="n"/>
      <c r="D643" s="135" t="n"/>
      <c r="E643" s="140" t="n"/>
    </row>
    <row r="644" ht="15" customHeight="1" s="83">
      <c r="A644" s="135" t="n"/>
      <c r="B644" s="135" t="n"/>
      <c r="C644" s="135" t="n"/>
      <c r="D644" s="135" t="n"/>
      <c r="E644" s="140" t="n"/>
    </row>
    <row r="645" ht="15" customHeight="1" s="83">
      <c r="A645" s="135" t="n"/>
      <c r="B645" s="135" t="n"/>
      <c r="C645" s="135" t="n"/>
      <c r="D645" s="135" t="n"/>
      <c r="E645" s="140" t="n"/>
    </row>
    <row r="646" ht="15" customHeight="1" s="83">
      <c r="A646" s="135" t="n"/>
      <c r="B646" s="135" t="n"/>
      <c r="C646" s="135" t="n"/>
      <c r="D646" s="135" t="n"/>
      <c r="E646" s="140" t="n"/>
    </row>
    <row r="647" ht="15" customHeight="1" s="83">
      <c r="A647" s="135" t="n"/>
      <c r="B647" s="135" t="n"/>
      <c r="C647" s="135" t="n"/>
      <c r="D647" s="135" t="n"/>
      <c r="E647" s="140" t="n"/>
    </row>
    <row r="648" ht="15" customHeight="1" s="83">
      <c r="A648" s="135" t="n"/>
      <c r="B648" s="135" t="n"/>
      <c r="C648" s="135" t="n"/>
      <c r="D648" s="135" t="n"/>
      <c r="E648" s="140" t="n"/>
    </row>
    <row r="649" ht="15" customHeight="1" s="83">
      <c r="A649" s="135" t="n"/>
      <c r="B649" s="135" t="n"/>
      <c r="C649" s="135" t="n"/>
      <c r="D649" s="135" t="n"/>
      <c r="E649" s="140" t="n"/>
    </row>
    <row r="650" ht="15" customHeight="1" s="83">
      <c r="A650" s="135" t="n"/>
      <c r="B650" s="135" t="n"/>
      <c r="C650" s="135" t="n"/>
      <c r="D650" s="135" t="n"/>
      <c r="E650" s="140" t="n"/>
    </row>
    <row r="651" ht="15" customHeight="1" s="83">
      <c r="A651" s="135" t="n"/>
      <c r="B651" s="135" t="n"/>
      <c r="C651" s="135" t="n"/>
      <c r="D651" s="135" t="n"/>
      <c r="E651" s="140" t="n"/>
    </row>
    <row r="652" ht="15" customHeight="1" s="83">
      <c r="A652" s="135" t="n"/>
      <c r="B652" s="135" t="n"/>
      <c r="C652" s="135" t="n"/>
      <c r="D652" s="135" t="n"/>
      <c r="E652" s="140" t="n"/>
    </row>
    <row r="653" ht="15" customHeight="1" s="83">
      <c r="A653" s="135" t="n"/>
      <c r="B653" s="135" t="n"/>
      <c r="C653" s="135" t="n"/>
      <c r="D653" s="135" t="n"/>
      <c r="E653" s="140" t="n"/>
    </row>
    <row r="654" ht="15" customHeight="1" s="83">
      <c r="A654" s="135" t="n"/>
      <c r="B654" s="135" t="n"/>
      <c r="C654" s="135" t="n"/>
      <c r="D654" s="135" t="n"/>
      <c r="E654" s="140" t="n"/>
    </row>
    <row r="655" ht="15" customHeight="1" s="83">
      <c r="A655" s="135" t="n"/>
      <c r="B655" s="135" t="n"/>
      <c r="C655" s="135" t="n"/>
      <c r="D655" s="135" t="n"/>
      <c r="E655" s="140" t="n"/>
    </row>
    <row r="656" ht="15" customHeight="1" s="83">
      <c r="A656" s="135" t="n"/>
      <c r="B656" s="135" t="n"/>
      <c r="C656" s="135" t="n"/>
      <c r="D656" s="135" t="n"/>
      <c r="E656" s="140" t="n"/>
    </row>
    <row r="657" ht="15" customHeight="1" s="83">
      <c r="A657" s="135" t="n"/>
      <c r="B657" s="135" t="n"/>
      <c r="C657" s="135" t="n"/>
      <c r="D657" s="135" t="n"/>
      <c r="E657" s="140" t="n"/>
    </row>
    <row r="658" ht="15" customHeight="1" s="83">
      <c r="A658" s="135" t="n"/>
      <c r="B658" s="135" t="n"/>
      <c r="C658" s="135" t="n"/>
      <c r="D658" s="135" t="n"/>
      <c r="E658" s="140" t="n"/>
    </row>
    <row r="659" ht="15" customHeight="1" s="83">
      <c r="A659" s="135" t="n"/>
      <c r="B659" s="135" t="n"/>
      <c r="C659" s="135" t="n"/>
      <c r="D659" s="135" t="n"/>
      <c r="E659" s="140" t="n"/>
    </row>
    <row r="660" ht="15" customHeight="1" s="83">
      <c r="A660" s="135" t="n"/>
      <c r="B660" s="135" t="n"/>
      <c r="C660" s="135" t="n"/>
      <c r="D660" s="135" t="n"/>
      <c r="E660" s="140" t="n"/>
    </row>
    <row r="661" ht="15" customHeight="1" s="83">
      <c r="A661" s="135" t="n"/>
      <c r="B661" s="135" t="n"/>
      <c r="C661" s="135" t="n"/>
      <c r="D661" s="135" t="n"/>
      <c r="E661" s="140" t="n"/>
    </row>
    <row r="662" ht="15" customHeight="1" s="83">
      <c r="A662" s="135" t="n"/>
      <c r="B662" s="135" t="n"/>
      <c r="C662" s="135" t="n"/>
      <c r="D662" s="135" t="n"/>
      <c r="E662" s="140" t="n"/>
    </row>
    <row r="663" ht="15" customHeight="1" s="83">
      <c r="A663" s="135" t="n"/>
      <c r="B663" s="135" t="n"/>
      <c r="C663" s="135" t="n"/>
      <c r="D663" s="135" t="n"/>
      <c r="E663" s="140" t="n"/>
    </row>
    <row r="664" ht="15" customHeight="1" s="83">
      <c r="A664" s="135" t="n"/>
      <c r="B664" s="135" t="n"/>
      <c r="C664" s="135" t="n"/>
      <c r="D664" s="135" t="n"/>
      <c r="E664" s="140" t="n"/>
    </row>
    <row r="665" ht="15" customHeight="1" s="83">
      <c r="A665" s="135" t="n"/>
      <c r="B665" s="135" t="n"/>
      <c r="C665" s="135" t="n"/>
      <c r="D665" s="135" t="n"/>
      <c r="E665" s="140" t="n"/>
    </row>
    <row r="666" ht="15" customHeight="1" s="83">
      <c r="A666" s="135" t="n"/>
      <c r="B666" s="135" t="n"/>
      <c r="C666" s="135" t="n"/>
      <c r="D666" s="135" t="n"/>
      <c r="E666" s="140" t="n"/>
    </row>
    <row r="667" ht="15" customHeight="1" s="83">
      <c r="A667" s="135" t="n"/>
      <c r="B667" s="135" t="n"/>
      <c r="C667" s="135" t="n"/>
      <c r="D667" s="135" t="n"/>
      <c r="E667" s="140" t="n"/>
    </row>
    <row r="668" ht="15" customHeight="1" s="83">
      <c r="A668" s="135" t="n"/>
      <c r="B668" s="135" t="n"/>
      <c r="C668" s="135" t="n"/>
      <c r="D668" s="135" t="n"/>
      <c r="E668" s="140" t="n"/>
    </row>
    <row r="669" ht="15" customHeight="1" s="83">
      <c r="A669" s="135" t="n"/>
      <c r="B669" s="135" t="n"/>
      <c r="C669" s="135" t="n"/>
      <c r="D669" s="135" t="n"/>
      <c r="E669" s="140" t="n"/>
    </row>
    <row r="670" ht="15" customHeight="1" s="83">
      <c r="A670" s="135" t="n"/>
      <c r="B670" s="135" t="n"/>
      <c r="C670" s="135" t="n"/>
      <c r="D670" s="135" t="n"/>
      <c r="E670" s="140" t="n"/>
    </row>
    <row r="671" ht="15" customHeight="1" s="83">
      <c r="A671" s="135" t="n"/>
      <c r="B671" s="135" t="n"/>
      <c r="C671" s="135" t="n"/>
      <c r="D671" s="135" t="n"/>
      <c r="E671" s="140" t="n"/>
    </row>
    <row r="672" ht="15" customHeight="1" s="83">
      <c r="A672" s="135" t="n"/>
      <c r="B672" s="135" t="n"/>
      <c r="C672" s="135" t="n"/>
      <c r="D672" s="135" t="n"/>
      <c r="E672" s="140" t="n"/>
    </row>
    <row r="673" ht="15" customHeight="1" s="83">
      <c r="A673" s="135" t="n"/>
      <c r="B673" s="135" t="n"/>
      <c r="C673" s="135" t="n"/>
      <c r="D673" s="135" t="n"/>
      <c r="E673" s="140" t="n"/>
    </row>
    <row r="674" ht="15" customHeight="1" s="83">
      <c r="A674" s="135" t="n"/>
      <c r="B674" s="135" t="n"/>
      <c r="C674" s="135" t="n"/>
      <c r="D674" s="135" t="n"/>
      <c r="E674" s="140" t="n"/>
    </row>
    <row r="675" ht="15" customHeight="1" s="83">
      <c r="A675" s="135" t="n"/>
      <c r="B675" s="135" t="n"/>
      <c r="C675" s="135" t="n"/>
      <c r="D675" s="135" t="n"/>
      <c r="E675" s="140" t="n"/>
    </row>
    <row r="676" ht="15" customHeight="1" s="83">
      <c r="A676" s="135" t="n"/>
      <c r="B676" s="135" t="n"/>
      <c r="C676" s="135" t="n"/>
      <c r="D676" s="135" t="n"/>
      <c r="E676" s="140" t="n"/>
    </row>
    <row r="677" ht="15" customHeight="1" s="83">
      <c r="A677" s="135" t="n"/>
      <c r="B677" s="135" t="n"/>
      <c r="C677" s="135" t="n"/>
      <c r="D677" s="135" t="n"/>
      <c r="E677" s="140" t="n"/>
    </row>
    <row r="678" ht="15" customHeight="1" s="83">
      <c r="A678" s="135" t="n"/>
      <c r="B678" s="135" t="n"/>
      <c r="C678" s="135" t="n"/>
      <c r="D678" s="135" t="n"/>
      <c r="E678" s="140" t="n"/>
    </row>
    <row r="679" ht="15" customHeight="1" s="83">
      <c r="A679" s="135" t="n"/>
      <c r="B679" s="135" t="n"/>
      <c r="C679" s="135" t="n"/>
      <c r="D679" s="135" t="n"/>
      <c r="E679" s="140" t="n"/>
    </row>
    <row r="680" ht="15" customHeight="1" s="83">
      <c r="A680" s="135" t="n"/>
      <c r="B680" s="135" t="n"/>
      <c r="C680" s="135" t="n"/>
      <c r="D680" s="135" t="n"/>
      <c r="E680" s="140" t="n"/>
    </row>
    <row r="681" ht="15" customHeight="1" s="83">
      <c r="A681" s="135" t="n"/>
      <c r="B681" s="135" t="n"/>
      <c r="C681" s="135" t="n"/>
      <c r="D681" s="135" t="n"/>
      <c r="E681" s="140" t="n"/>
    </row>
    <row r="682" ht="15" customHeight="1" s="83">
      <c r="A682" s="135" t="n"/>
      <c r="B682" s="135" t="n"/>
      <c r="C682" s="135" t="n"/>
      <c r="D682" s="135" t="n"/>
      <c r="E682" s="140" t="n"/>
    </row>
    <row r="683" ht="15" customHeight="1" s="83">
      <c r="A683" s="135" t="n"/>
      <c r="B683" s="135" t="n"/>
      <c r="C683" s="135" t="n"/>
      <c r="D683" s="135" t="n"/>
      <c r="E683" s="140" t="n"/>
    </row>
    <row r="684" ht="15" customHeight="1" s="83">
      <c r="A684" s="135" t="n"/>
      <c r="B684" s="135" t="n"/>
      <c r="C684" s="135" t="n"/>
      <c r="D684" s="135" t="n"/>
      <c r="E684" s="140" t="n"/>
    </row>
    <row r="685" ht="15" customHeight="1" s="83">
      <c r="A685" s="135" t="n"/>
      <c r="B685" s="135" t="n"/>
      <c r="C685" s="135" t="n"/>
      <c r="D685" s="135" t="n"/>
      <c r="E685" s="140" t="n"/>
    </row>
    <row r="686" ht="15" customHeight="1" s="83">
      <c r="A686" s="135" t="n"/>
      <c r="B686" s="135" t="n"/>
      <c r="C686" s="135" t="n"/>
      <c r="D686" s="135" t="n"/>
      <c r="E686" s="140" t="n"/>
    </row>
    <row r="687" ht="15" customHeight="1" s="83">
      <c r="A687" s="135" t="n"/>
      <c r="B687" s="135" t="n"/>
      <c r="C687" s="135" t="n"/>
      <c r="D687" s="135" t="n"/>
      <c r="E687" s="140" t="n"/>
    </row>
    <row r="688" ht="15" customHeight="1" s="83">
      <c r="A688" s="135" t="n"/>
      <c r="B688" s="135" t="n"/>
      <c r="C688" s="135" t="n"/>
      <c r="D688" s="135" t="n"/>
      <c r="E688" s="140" t="n"/>
    </row>
    <row r="689" ht="15" customHeight="1" s="83">
      <c r="A689" s="135" t="n"/>
      <c r="B689" s="135" t="n"/>
      <c r="C689" s="135" t="n"/>
      <c r="D689" s="135" t="n"/>
      <c r="E689" s="140" t="n"/>
    </row>
    <row r="690" ht="15" customHeight="1" s="83">
      <c r="A690" s="135" t="n"/>
      <c r="B690" s="135" t="n"/>
      <c r="C690" s="135" t="n"/>
      <c r="D690" s="135" t="n"/>
      <c r="E690" s="140" t="n"/>
    </row>
    <row r="691" ht="15" customHeight="1" s="83">
      <c r="A691" s="135" t="n"/>
      <c r="B691" s="135" t="n"/>
      <c r="C691" s="135" t="n"/>
      <c r="D691" s="135" t="n"/>
      <c r="E691" s="140" t="n"/>
    </row>
    <row r="692" ht="15" customHeight="1" s="83">
      <c r="A692" s="135" t="n"/>
      <c r="B692" s="135" t="n"/>
      <c r="C692" s="135" t="n"/>
      <c r="D692" s="135" t="n"/>
      <c r="E692" s="140" t="n"/>
    </row>
    <row r="693" ht="15" customHeight="1" s="83">
      <c r="A693" s="135" t="n"/>
      <c r="B693" s="135" t="n"/>
      <c r="C693" s="135" t="n"/>
      <c r="D693" s="135" t="n"/>
      <c r="E693" s="140" t="n"/>
    </row>
    <row r="694" ht="15" customHeight="1" s="83">
      <c r="A694" s="135" t="n"/>
      <c r="B694" s="135" t="n"/>
      <c r="C694" s="135" t="n"/>
      <c r="D694" s="135" t="n"/>
      <c r="E694" s="140" t="n"/>
    </row>
    <row r="695" ht="15" customHeight="1" s="83">
      <c r="A695" s="135" t="n"/>
      <c r="B695" s="135" t="n"/>
      <c r="C695" s="135" t="n"/>
      <c r="D695" s="135" t="n"/>
      <c r="E695" s="140" t="n"/>
    </row>
    <row r="696" ht="15" customHeight="1" s="83">
      <c r="A696" s="135" t="n"/>
      <c r="B696" s="135" t="n"/>
      <c r="C696" s="135" t="n"/>
      <c r="D696" s="135" t="n"/>
      <c r="E696" s="140" t="n"/>
    </row>
    <row r="697" ht="15" customHeight="1" s="83">
      <c r="A697" s="135" t="n"/>
      <c r="B697" s="135" t="n"/>
      <c r="C697" s="135" t="n"/>
      <c r="D697" s="135" t="n"/>
      <c r="E697" s="140" t="n"/>
    </row>
    <row r="698" ht="15" customHeight="1" s="83">
      <c r="A698" s="135" t="n"/>
      <c r="B698" s="135" t="n"/>
      <c r="C698" s="135" t="n"/>
      <c r="D698" s="135" t="n"/>
      <c r="E698" s="140" t="n"/>
    </row>
    <row r="699" ht="15" customHeight="1" s="83">
      <c r="A699" s="135" t="n"/>
      <c r="B699" s="135" t="n"/>
      <c r="C699" s="135" t="n"/>
      <c r="D699" s="135" t="n"/>
      <c r="E699" s="140" t="n"/>
    </row>
    <row r="700" ht="15" customHeight="1" s="83">
      <c r="A700" s="135" t="n"/>
      <c r="B700" s="135" t="n"/>
      <c r="C700" s="135" t="n"/>
      <c r="D700" s="135" t="n"/>
      <c r="E700" s="140" t="n"/>
    </row>
    <row r="701" ht="15" customHeight="1" s="83">
      <c r="A701" s="135" t="n"/>
      <c r="B701" s="135" t="n"/>
      <c r="C701" s="135" t="n"/>
      <c r="D701" s="135" t="n"/>
      <c r="E701" s="140" t="n"/>
    </row>
    <row r="702" ht="15" customHeight="1" s="83">
      <c r="A702" s="135" t="n"/>
      <c r="B702" s="135" t="n"/>
      <c r="C702" s="135" t="n"/>
      <c r="D702" s="135" t="n"/>
      <c r="E702" s="140" t="n"/>
    </row>
    <row r="703" ht="15" customHeight="1" s="83">
      <c r="A703" s="135" t="n"/>
      <c r="B703" s="135" t="n"/>
      <c r="C703" s="135" t="n"/>
      <c r="D703" s="135" t="n"/>
      <c r="E703" s="140" t="n"/>
    </row>
    <row r="704" ht="15" customHeight="1" s="83">
      <c r="A704" s="135" t="n"/>
      <c r="B704" s="135" t="n"/>
      <c r="C704" s="135" t="n"/>
      <c r="D704" s="135" t="n"/>
      <c r="E704" s="140" t="n"/>
    </row>
    <row r="705" ht="15" customHeight="1" s="83">
      <c r="A705" s="135" t="n"/>
      <c r="B705" s="135" t="n"/>
      <c r="C705" s="135" t="n"/>
      <c r="D705" s="135" t="n"/>
      <c r="E705" s="140" t="n"/>
    </row>
    <row r="706" ht="15" customHeight="1" s="83">
      <c r="A706" s="135" t="n"/>
      <c r="B706" s="135" t="n"/>
      <c r="C706" s="135" t="n"/>
      <c r="D706" s="135" t="n"/>
      <c r="E706" s="140" t="n"/>
    </row>
    <row r="707" ht="15" customHeight="1" s="83">
      <c r="A707" s="135" t="n"/>
      <c r="B707" s="135" t="n"/>
      <c r="C707" s="135" t="n"/>
      <c r="D707" s="135" t="n"/>
      <c r="E707" s="140" t="n"/>
    </row>
    <row r="708" ht="15" customHeight="1" s="83">
      <c r="A708" s="135" t="n"/>
      <c r="B708" s="135" t="n"/>
      <c r="C708" s="135" t="n"/>
      <c r="D708" s="135" t="n"/>
      <c r="E708" s="140" t="n"/>
    </row>
    <row r="709" ht="15" customHeight="1" s="83">
      <c r="A709" s="135" t="n"/>
      <c r="B709" s="135" t="n"/>
      <c r="C709" s="135" t="n"/>
      <c r="D709" s="135" t="n"/>
      <c r="E709" s="140" t="n"/>
    </row>
    <row r="710" ht="15" customHeight="1" s="83">
      <c r="A710" s="135" t="n"/>
      <c r="B710" s="135" t="n"/>
      <c r="C710" s="135" t="n"/>
      <c r="D710" s="135" t="n"/>
      <c r="E710" s="140" t="n"/>
    </row>
    <row r="711" ht="15" customHeight="1" s="83">
      <c r="A711" s="135" t="n"/>
      <c r="B711" s="135" t="n"/>
      <c r="C711" s="135" t="n"/>
      <c r="D711" s="135" t="n"/>
      <c r="E711" s="140" t="n"/>
    </row>
    <row r="712" ht="15" customHeight="1" s="83">
      <c r="A712" s="135" t="n"/>
      <c r="B712" s="135" t="n"/>
      <c r="C712" s="135" t="n"/>
      <c r="D712" s="135" t="n"/>
      <c r="E712" s="140" t="n"/>
    </row>
    <row r="713" ht="15" customHeight="1" s="83">
      <c r="A713" s="135" t="n"/>
      <c r="B713" s="135" t="n"/>
      <c r="C713" s="135" t="n"/>
      <c r="D713" s="135" t="n"/>
      <c r="E713" s="140" t="n"/>
    </row>
    <row r="714" ht="15" customHeight="1" s="83">
      <c r="A714" s="135" t="n"/>
      <c r="B714" s="135" t="n"/>
      <c r="C714" s="135" t="n"/>
      <c r="D714" s="135" t="n"/>
      <c r="E714" s="140" t="n"/>
    </row>
    <row r="715" ht="15" customHeight="1" s="83">
      <c r="A715" s="135" t="n"/>
      <c r="B715" s="135" t="n"/>
      <c r="C715" s="135" t="n"/>
      <c r="D715" s="135" t="n"/>
      <c r="E715" s="140" t="n"/>
    </row>
    <row r="716" ht="15" customHeight="1" s="83">
      <c r="A716" s="135" t="n"/>
      <c r="B716" s="135" t="n"/>
      <c r="C716" s="135" t="n"/>
      <c r="D716" s="135" t="n"/>
      <c r="E716" s="140" t="n"/>
    </row>
    <row r="717" ht="15" customHeight="1" s="83">
      <c r="A717" s="135" t="n"/>
      <c r="B717" s="135" t="n"/>
      <c r="C717" s="135" t="n"/>
      <c r="D717" s="135" t="n"/>
      <c r="E717" s="140" t="n"/>
    </row>
    <row r="718" ht="15" customHeight="1" s="83">
      <c r="A718" s="135" t="n"/>
      <c r="B718" s="135" t="n"/>
      <c r="C718" s="135" t="n"/>
      <c r="D718" s="135" t="n"/>
      <c r="E718" s="140" t="n"/>
    </row>
    <row r="719" ht="15" customHeight="1" s="83">
      <c r="A719" s="135" t="n"/>
      <c r="B719" s="135" t="n"/>
      <c r="C719" s="135" t="n"/>
      <c r="D719" s="135" t="n"/>
      <c r="E719" s="140" t="n"/>
    </row>
    <row r="720" ht="15" customHeight="1" s="83">
      <c r="A720" s="135" t="n"/>
      <c r="B720" s="135" t="n"/>
      <c r="C720" s="135" t="n"/>
      <c r="D720" s="135" t="n"/>
      <c r="E720" s="140" t="n"/>
    </row>
    <row r="721" ht="15" customHeight="1" s="83">
      <c r="A721" s="135" t="n"/>
      <c r="B721" s="135" t="n"/>
      <c r="C721" s="135" t="n"/>
      <c r="D721" s="135" t="n"/>
      <c r="E721" s="140" t="n"/>
    </row>
    <row r="722" ht="15" customHeight="1" s="83">
      <c r="A722" s="135" t="n"/>
      <c r="B722" s="135" t="n"/>
      <c r="C722" s="135" t="n"/>
      <c r="D722" s="135" t="n"/>
      <c r="E722" s="140" t="n"/>
    </row>
    <row r="723" ht="15" customHeight="1" s="83">
      <c r="A723" s="135" t="n"/>
      <c r="B723" s="135" t="n"/>
      <c r="C723" s="135" t="n"/>
      <c r="D723" s="135" t="n"/>
      <c r="E723" s="140" t="n"/>
    </row>
    <row r="724" ht="15" customHeight="1" s="83">
      <c r="A724" s="135" t="n"/>
      <c r="B724" s="135" t="n"/>
      <c r="C724" s="135" t="n"/>
      <c r="D724" s="135" t="n"/>
      <c r="E724" s="140" t="n"/>
    </row>
    <row r="725" ht="15" customHeight="1" s="83">
      <c r="A725" s="135" t="n"/>
      <c r="B725" s="135" t="n"/>
      <c r="C725" s="135" t="n"/>
      <c r="D725" s="135" t="n"/>
      <c r="E725" s="140" t="n"/>
    </row>
    <row r="726" ht="15" customHeight="1" s="83">
      <c r="A726" s="135" t="n"/>
      <c r="B726" s="135" t="n"/>
      <c r="C726" s="135" t="n"/>
      <c r="D726" s="135" t="n"/>
      <c r="E726" s="140" t="n"/>
    </row>
    <row r="727" ht="15" customHeight="1" s="83">
      <c r="A727" s="135" t="n"/>
      <c r="B727" s="135" t="n"/>
      <c r="C727" s="135" t="n"/>
      <c r="D727" s="135" t="n"/>
      <c r="E727" s="140" t="n"/>
    </row>
    <row r="728" ht="15" customHeight="1" s="83">
      <c r="A728" s="135" t="n"/>
      <c r="B728" s="135" t="n"/>
      <c r="C728" s="135" t="n"/>
      <c r="D728" s="135" t="n"/>
      <c r="E728" s="140" t="n"/>
    </row>
    <row r="729" ht="15" customHeight="1" s="83">
      <c r="A729" s="135" t="n"/>
      <c r="B729" s="135" t="n"/>
      <c r="C729" s="135" t="n"/>
      <c r="D729" s="135" t="n"/>
      <c r="E729" s="140" t="n"/>
    </row>
    <row r="730" ht="15" customHeight="1" s="83">
      <c r="A730" s="135" t="n"/>
      <c r="B730" s="135" t="n"/>
      <c r="C730" s="135" t="n"/>
      <c r="D730" s="135" t="n"/>
      <c r="E730" s="140" t="n"/>
    </row>
    <row r="731" ht="15" customHeight="1" s="83">
      <c r="A731" s="135" t="n"/>
      <c r="B731" s="135" t="n"/>
      <c r="C731" s="135" t="n"/>
      <c r="D731" s="135" t="n"/>
      <c r="E731" s="140" t="n"/>
    </row>
    <row r="732" ht="15" customHeight="1" s="83">
      <c r="A732" s="135" t="n"/>
      <c r="B732" s="135" t="n"/>
      <c r="C732" s="135" t="n"/>
      <c r="D732" s="135" t="n"/>
      <c r="E732" s="140" t="n"/>
    </row>
    <row r="733" ht="15" customHeight="1" s="83">
      <c r="A733" s="135" t="n"/>
      <c r="B733" s="135" t="n"/>
      <c r="C733" s="135" t="n"/>
      <c r="D733" s="135" t="n"/>
      <c r="E733" s="140" t="n"/>
    </row>
    <row r="734" ht="15" customHeight="1" s="83">
      <c r="A734" s="135" t="n"/>
      <c r="B734" s="135" t="n"/>
      <c r="C734" s="135" t="n"/>
      <c r="D734" s="135" t="n"/>
      <c r="E734" s="140" t="n"/>
    </row>
    <row r="735" ht="15" customHeight="1" s="83">
      <c r="A735" s="135" t="n"/>
      <c r="B735" s="135" t="n"/>
      <c r="C735" s="135" t="n"/>
      <c r="D735" s="135" t="n"/>
      <c r="E735" s="140" t="n"/>
    </row>
    <row r="736" ht="15" customHeight="1" s="83">
      <c r="A736" s="135" t="n"/>
      <c r="B736" s="135" t="n"/>
      <c r="C736" s="135" t="n"/>
      <c r="D736" s="135" t="n"/>
      <c r="E736" s="140" t="n"/>
    </row>
    <row r="737" ht="15" customHeight="1" s="83">
      <c r="A737" s="135" t="n"/>
      <c r="B737" s="135" t="n"/>
      <c r="C737" s="135" t="n"/>
      <c r="D737" s="135" t="n"/>
      <c r="E737" s="140" t="n"/>
    </row>
    <row r="738" ht="15" customHeight="1" s="83">
      <c r="A738" s="135" t="n"/>
      <c r="B738" s="135" t="n"/>
      <c r="C738" s="135" t="n"/>
      <c r="D738" s="135" t="n"/>
      <c r="E738" s="140" t="n"/>
    </row>
    <row r="739" ht="15" customHeight="1" s="83">
      <c r="A739" s="135" t="n"/>
      <c r="B739" s="135" t="n"/>
      <c r="C739" s="135" t="n"/>
      <c r="D739" s="135" t="n"/>
      <c r="E739" s="140" t="n"/>
    </row>
    <row r="740" ht="15" customHeight="1" s="83">
      <c r="A740" s="135" t="n"/>
      <c r="B740" s="135" t="n"/>
      <c r="C740" s="135" t="n"/>
      <c r="D740" s="135" t="n"/>
      <c r="E740" s="140" t="n"/>
    </row>
    <row r="741" ht="15" customHeight="1" s="83">
      <c r="A741" s="135" t="n"/>
      <c r="B741" s="135" t="n"/>
      <c r="C741" s="135" t="n"/>
      <c r="D741" s="135" t="n"/>
      <c r="E741" s="140" t="n"/>
    </row>
    <row r="742" ht="15" customHeight="1" s="83">
      <c r="A742" s="135" t="n"/>
      <c r="B742" s="135" t="n"/>
      <c r="C742" s="135" t="n"/>
      <c r="D742" s="135" t="n"/>
      <c r="E742" s="140" t="n"/>
    </row>
    <row r="743" ht="15" customHeight="1" s="83">
      <c r="A743" s="135" t="n"/>
      <c r="B743" s="135" t="n"/>
      <c r="C743" s="135" t="n"/>
      <c r="D743" s="135" t="n"/>
      <c r="E743" s="140" t="n"/>
    </row>
    <row r="744" ht="15" customHeight="1" s="83">
      <c r="A744" s="135" t="n"/>
      <c r="B744" s="135" t="n"/>
      <c r="C744" s="135" t="n"/>
      <c r="D744" s="135" t="n"/>
      <c r="E744" s="140" t="n"/>
    </row>
    <row r="745" ht="15" customHeight="1" s="83">
      <c r="A745" s="135" t="n"/>
      <c r="B745" s="135" t="n"/>
      <c r="C745" s="135" t="n"/>
      <c r="D745" s="135" t="n"/>
      <c r="E745" s="140" t="n"/>
    </row>
    <row r="746" ht="15" customHeight="1" s="83">
      <c r="A746" s="135" t="n"/>
      <c r="B746" s="135" t="n"/>
      <c r="C746" s="135" t="n"/>
      <c r="D746" s="135" t="n"/>
      <c r="E746" s="140" t="n"/>
    </row>
    <row r="747" ht="15" customHeight="1" s="83">
      <c r="A747" s="135" t="n"/>
      <c r="B747" s="135" t="n"/>
      <c r="C747" s="135" t="n"/>
      <c r="D747" s="135" t="n"/>
      <c r="E747" s="140" t="n"/>
    </row>
    <row r="748" ht="15" customHeight="1" s="83">
      <c r="A748" s="135" t="n"/>
      <c r="B748" s="135" t="n"/>
      <c r="C748" s="135" t="n"/>
      <c r="D748" s="135" t="n"/>
      <c r="E748" s="140" t="n"/>
    </row>
    <row r="749" ht="15" customHeight="1" s="83">
      <c r="A749" s="135" t="n"/>
      <c r="B749" s="135" t="n"/>
      <c r="C749" s="135" t="n"/>
      <c r="D749" s="135" t="n"/>
      <c r="E749" s="140" t="n"/>
    </row>
    <row r="750" ht="15" customHeight="1" s="83">
      <c r="A750" s="135" t="n"/>
      <c r="B750" s="135" t="n"/>
      <c r="C750" s="135" t="n"/>
      <c r="D750" s="135" t="n"/>
      <c r="E750" s="140" t="n"/>
    </row>
    <row r="751" ht="15" customHeight="1" s="83">
      <c r="A751" s="135" t="n"/>
      <c r="B751" s="135" t="n"/>
      <c r="C751" s="135" t="n"/>
      <c r="D751" s="135" t="n"/>
      <c r="E751" s="140" t="n"/>
    </row>
    <row r="752" ht="15" customHeight="1" s="83">
      <c r="A752" s="135" t="n"/>
      <c r="B752" s="135" t="n"/>
      <c r="C752" s="135" t="n"/>
      <c r="D752" s="135" t="n"/>
      <c r="E752" s="140" t="n"/>
    </row>
    <row r="753" ht="15" customHeight="1" s="83">
      <c r="A753" s="135" t="n"/>
      <c r="B753" s="135" t="n"/>
      <c r="C753" s="135" t="n"/>
      <c r="D753" s="135" t="n"/>
      <c r="E753" s="140" t="n"/>
    </row>
    <row r="754" ht="15" customHeight="1" s="83">
      <c r="A754" s="135" t="n"/>
      <c r="B754" s="135" t="n"/>
      <c r="C754" s="135" t="n"/>
      <c r="D754" s="135" t="n"/>
      <c r="E754" s="140" t="n"/>
    </row>
    <row r="755" ht="15" customHeight="1" s="83">
      <c r="A755" s="135" t="n"/>
      <c r="B755" s="135" t="n"/>
      <c r="C755" s="135" t="n"/>
      <c r="D755" s="135" t="n"/>
      <c r="E755" s="140" t="n"/>
    </row>
    <row r="756" ht="15" customHeight="1" s="83">
      <c r="A756" s="135" t="n"/>
      <c r="B756" s="135" t="n"/>
      <c r="C756" s="135" t="n"/>
      <c r="D756" s="135" t="n"/>
      <c r="E756" s="140" t="n"/>
    </row>
    <row r="757" ht="15" customHeight="1" s="83">
      <c r="A757" s="135" t="n"/>
      <c r="B757" s="135" t="n"/>
      <c r="C757" s="135" t="n"/>
      <c r="D757" s="135" t="n"/>
      <c r="E757" s="140" t="n"/>
    </row>
    <row r="758" ht="15" customHeight="1" s="83">
      <c r="A758" s="135" t="n"/>
      <c r="B758" s="135" t="n"/>
      <c r="C758" s="135" t="n"/>
      <c r="D758" s="135" t="n"/>
      <c r="E758" s="140" t="n"/>
    </row>
    <row r="759" ht="15" customHeight="1" s="83">
      <c r="A759" s="135" t="n"/>
      <c r="B759" s="135" t="n"/>
      <c r="C759" s="135" t="n"/>
      <c r="D759" s="135" t="n"/>
      <c r="E759" s="140" t="n"/>
    </row>
    <row r="760" ht="15" customHeight="1" s="83">
      <c r="A760" s="135" t="n"/>
      <c r="B760" s="135" t="n"/>
      <c r="C760" s="135" t="n"/>
      <c r="D760" s="135" t="n"/>
      <c r="E760" s="140" t="n"/>
    </row>
    <row r="761" ht="15" customHeight="1" s="83">
      <c r="A761" s="135" t="n"/>
      <c r="B761" s="135" t="n"/>
      <c r="C761" s="135" t="n"/>
      <c r="D761" s="135" t="n"/>
      <c r="E761" s="140" t="n"/>
    </row>
    <row r="762" ht="15" customHeight="1" s="83">
      <c r="A762" s="135" t="n"/>
      <c r="B762" s="135" t="n"/>
      <c r="C762" s="135" t="n"/>
      <c r="D762" s="135" t="n"/>
      <c r="E762" s="140" t="n"/>
    </row>
    <row r="763" ht="15" customHeight="1" s="83">
      <c r="A763" s="135" t="n"/>
      <c r="B763" s="135" t="n"/>
      <c r="C763" s="135" t="n"/>
      <c r="D763" s="135" t="n"/>
      <c r="E763" s="140" t="n"/>
    </row>
    <row r="764" ht="15" customHeight="1" s="83">
      <c r="A764" s="135" t="n"/>
      <c r="B764" s="135" t="n"/>
      <c r="C764" s="135" t="n"/>
      <c r="D764" s="135" t="n"/>
      <c r="E764" s="140" t="n"/>
    </row>
    <row r="765" ht="15" customHeight="1" s="83">
      <c r="A765" s="135" t="n"/>
      <c r="B765" s="135" t="n"/>
      <c r="C765" s="135" t="n"/>
      <c r="D765" s="135" t="n"/>
      <c r="E765" s="140" t="n"/>
    </row>
    <row r="766" ht="15" customHeight="1" s="83">
      <c r="A766" s="135" t="n"/>
      <c r="B766" s="135" t="n"/>
      <c r="C766" s="135" t="n"/>
      <c r="D766" s="135" t="n"/>
      <c r="E766" s="140" t="n"/>
    </row>
    <row r="767" ht="15" customHeight="1" s="83">
      <c r="A767" s="135" t="n"/>
      <c r="B767" s="135" t="n"/>
      <c r="C767" s="135" t="n"/>
      <c r="D767" s="135" t="n"/>
      <c r="E767" s="140" t="n"/>
    </row>
    <row r="768" ht="15" customHeight="1" s="83">
      <c r="A768" s="135" t="n"/>
      <c r="B768" s="135" t="n"/>
      <c r="C768" s="135" t="n"/>
      <c r="D768" s="135" t="n"/>
      <c r="E768" s="140" t="n"/>
    </row>
    <row r="769" ht="15" customHeight="1" s="83">
      <c r="A769" s="135" t="n"/>
      <c r="B769" s="135" t="n"/>
      <c r="C769" s="135" t="n"/>
      <c r="D769" s="135" t="n"/>
      <c r="E769" s="140" t="n"/>
    </row>
    <row r="770" ht="15" customHeight="1" s="83">
      <c r="A770" s="135" t="n"/>
      <c r="B770" s="135" t="n"/>
      <c r="C770" s="135" t="n"/>
      <c r="D770" s="135" t="n"/>
      <c r="E770" s="140" t="n"/>
    </row>
    <row r="771" ht="15" customHeight="1" s="83">
      <c r="A771" s="135" t="n"/>
      <c r="B771" s="135" t="n"/>
      <c r="C771" s="135" t="n"/>
      <c r="D771" s="135" t="n"/>
      <c r="E771" s="140" t="n"/>
    </row>
    <row r="772" ht="15" customHeight="1" s="83">
      <c r="A772" s="135" t="n"/>
      <c r="B772" s="135" t="n"/>
      <c r="C772" s="135" t="n"/>
      <c r="D772" s="135" t="n"/>
      <c r="E772" s="140" t="n"/>
    </row>
    <row r="773" ht="15" customHeight="1" s="83">
      <c r="A773" s="135" t="n"/>
      <c r="B773" s="135" t="n"/>
      <c r="C773" s="135" t="n"/>
      <c r="D773" s="135" t="n"/>
      <c r="E773" s="140" t="n"/>
    </row>
    <row r="774" ht="15" customHeight="1" s="83">
      <c r="A774" s="135" t="n"/>
      <c r="B774" s="135" t="n"/>
      <c r="C774" s="135" t="n"/>
      <c r="D774" s="135" t="n"/>
      <c r="E774" s="140" t="n"/>
    </row>
    <row r="775" ht="15" customHeight="1" s="83">
      <c r="A775" s="135" t="n"/>
      <c r="B775" s="135" t="n"/>
      <c r="C775" s="135" t="n"/>
      <c r="D775" s="135" t="n"/>
      <c r="E775" s="140" t="n"/>
    </row>
    <row r="776" ht="15" customHeight="1" s="83">
      <c r="A776" s="135" t="n"/>
      <c r="B776" s="135" t="n"/>
      <c r="C776" s="135" t="n"/>
      <c r="D776" s="135" t="n"/>
      <c r="E776" s="140" t="n"/>
    </row>
    <row r="777" ht="15" customHeight="1" s="83">
      <c r="A777" s="135" t="n"/>
      <c r="B777" s="135" t="n"/>
      <c r="C777" s="135" t="n"/>
      <c r="D777" s="135" t="n"/>
      <c r="E777" s="140" t="n"/>
    </row>
    <row r="778" ht="15" customHeight="1" s="83">
      <c r="A778" s="135" t="n"/>
      <c r="B778" s="135" t="n"/>
      <c r="C778" s="135" t="n"/>
      <c r="D778" s="135" t="n"/>
      <c r="E778" s="140" t="n"/>
    </row>
    <row r="779" ht="15" customHeight="1" s="83">
      <c r="A779" s="135" t="n"/>
      <c r="B779" s="135" t="n"/>
      <c r="C779" s="135" t="n"/>
      <c r="D779" s="135" t="n"/>
      <c r="E779" s="140" t="n"/>
    </row>
    <row r="780" ht="15" customHeight="1" s="83">
      <c r="A780" s="135" t="n"/>
      <c r="B780" s="135" t="n"/>
      <c r="C780" s="135" t="n"/>
      <c r="D780" s="135" t="n"/>
      <c r="E780" s="140" t="n"/>
    </row>
    <row r="781" ht="15" customHeight="1" s="83">
      <c r="A781" s="135" t="n"/>
      <c r="B781" s="135" t="n"/>
      <c r="C781" s="135" t="n"/>
      <c r="D781" s="135" t="n"/>
      <c r="E781" s="140" t="n"/>
    </row>
    <row r="782" ht="15" customHeight="1" s="83">
      <c r="A782" s="135" t="n"/>
      <c r="B782" s="135" t="n"/>
      <c r="C782" s="135" t="n"/>
      <c r="D782" s="135" t="n"/>
      <c r="E782" s="140" t="n"/>
    </row>
    <row r="783" ht="15" customHeight="1" s="83">
      <c r="A783" s="135" t="n"/>
      <c r="B783" s="135" t="n"/>
      <c r="C783" s="135" t="n"/>
      <c r="D783" s="135" t="n"/>
      <c r="E783" s="140" t="n"/>
    </row>
    <row r="784" ht="15" customHeight="1" s="83">
      <c r="A784" s="135" t="n"/>
      <c r="B784" s="135" t="n"/>
      <c r="C784" s="135" t="n"/>
      <c r="D784" s="135" t="n"/>
      <c r="E784" s="140" t="n"/>
    </row>
    <row r="785" ht="15" customHeight="1" s="83">
      <c r="A785" s="135" t="n"/>
      <c r="B785" s="135" t="n"/>
      <c r="C785" s="135" t="n"/>
      <c r="D785" s="135" t="n"/>
      <c r="E785" s="140" t="n"/>
    </row>
    <row r="786" ht="15" customHeight="1" s="83">
      <c r="A786" s="135" t="n"/>
      <c r="B786" s="135" t="n"/>
      <c r="C786" s="135" t="n"/>
      <c r="D786" s="135" t="n"/>
      <c r="E786" s="140" t="n"/>
    </row>
    <row r="787" ht="15" customHeight="1" s="83">
      <c r="A787" s="135" t="n"/>
      <c r="B787" s="135" t="n"/>
      <c r="C787" s="135" t="n"/>
      <c r="D787" s="135" t="n"/>
      <c r="E787" s="140" t="n"/>
    </row>
    <row r="788" ht="15" customHeight="1" s="83">
      <c r="A788" s="135" t="n"/>
      <c r="B788" s="135" t="n"/>
      <c r="C788" s="135" t="n"/>
      <c r="D788" s="135" t="n"/>
      <c r="E788" s="140" t="n"/>
    </row>
    <row r="789" ht="15" customHeight="1" s="83">
      <c r="A789" s="135" t="n"/>
      <c r="B789" s="135" t="n"/>
      <c r="C789" s="135" t="n"/>
      <c r="D789" s="135" t="n"/>
      <c r="E789" s="140" t="n"/>
    </row>
    <row r="790" ht="15" customHeight="1" s="83">
      <c r="A790" s="135" t="n"/>
      <c r="B790" s="135" t="n"/>
      <c r="C790" s="135" t="n"/>
      <c r="D790" s="135" t="n"/>
      <c r="E790" s="140" t="n"/>
    </row>
    <row r="791" ht="15" customHeight="1" s="83">
      <c r="A791" s="135" t="n"/>
      <c r="B791" s="135" t="n"/>
      <c r="C791" s="135" t="n"/>
      <c r="D791" s="135" t="n"/>
      <c r="E791" s="140" t="n"/>
    </row>
    <row r="792" ht="15" customHeight="1" s="83">
      <c r="A792" s="135" t="n"/>
      <c r="B792" s="135" t="n"/>
      <c r="C792" s="135" t="n"/>
      <c r="D792" s="135" t="n"/>
      <c r="E792" s="140" t="n"/>
    </row>
    <row r="793" ht="15" customHeight="1" s="83">
      <c r="A793" s="135" t="n"/>
      <c r="B793" s="135" t="n"/>
      <c r="C793" s="135" t="n"/>
      <c r="D793" s="135" t="n"/>
      <c r="E793" s="140" t="n"/>
    </row>
    <row r="794" ht="15" customHeight="1" s="83">
      <c r="A794" s="135" t="n"/>
      <c r="B794" s="135" t="n"/>
      <c r="C794" s="135" t="n"/>
      <c r="D794" s="135" t="n"/>
      <c r="E794" s="140" t="n"/>
    </row>
    <row r="795" ht="15" customHeight="1" s="83">
      <c r="A795" s="135" t="n"/>
      <c r="B795" s="135" t="n"/>
      <c r="C795" s="135" t="n"/>
      <c r="D795" s="135" t="n"/>
      <c r="E795" s="140" t="n"/>
    </row>
    <row r="796" ht="15" customHeight="1" s="83">
      <c r="A796" s="135" t="n"/>
      <c r="B796" s="135" t="n"/>
      <c r="C796" s="135" t="n"/>
      <c r="D796" s="135" t="n"/>
      <c r="E796" s="140" t="n"/>
    </row>
    <row r="797" ht="15" customHeight="1" s="83">
      <c r="A797" s="135" t="n"/>
      <c r="B797" s="135" t="n"/>
      <c r="C797" s="135" t="n"/>
      <c r="D797" s="135" t="n"/>
      <c r="E797" s="140" t="n"/>
    </row>
    <row r="798" ht="15" customHeight="1" s="83">
      <c r="A798" s="135" t="n"/>
      <c r="B798" s="135" t="n"/>
      <c r="C798" s="135" t="n"/>
      <c r="D798" s="135" t="n"/>
      <c r="E798" s="140" t="n"/>
    </row>
    <row r="799" ht="15" customHeight="1" s="83">
      <c r="A799" s="135" t="n"/>
      <c r="B799" s="135" t="n"/>
      <c r="C799" s="135" t="n"/>
      <c r="D799" s="135" t="n"/>
      <c r="E799" s="140" t="n"/>
    </row>
    <row r="800" ht="15" customHeight="1" s="83">
      <c r="A800" s="135" t="n"/>
      <c r="B800" s="135" t="n"/>
      <c r="C800" s="135" t="n"/>
      <c r="D800" s="135" t="n"/>
      <c r="E800" s="140" t="n"/>
    </row>
    <row r="801" ht="15" customHeight="1" s="83">
      <c r="A801" s="135" t="n"/>
      <c r="B801" s="135" t="n"/>
      <c r="C801" s="135" t="n"/>
      <c r="D801" s="135" t="n"/>
      <c r="E801" s="140" t="n"/>
    </row>
    <row r="802" ht="15" customHeight="1" s="83">
      <c r="A802" s="135" t="n"/>
      <c r="B802" s="135" t="n"/>
      <c r="C802" s="135" t="n"/>
      <c r="D802" s="135" t="n"/>
      <c r="E802" s="140" t="n"/>
    </row>
    <row r="803" ht="15" customHeight="1" s="83">
      <c r="A803" s="135" t="n"/>
      <c r="B803" s="135" t="n"/>
      <c r="C803" s="135" t="n"/>
      <c r="D803" s="135" t="n"/>
      <c r="E803" s="140" t="n"/>
    </row>
    <row r="804" ht="15" customHeight="1" s="83">
      <c r="A804" s="135" t="n"/>
      <c r="B804" s="135" t="n"/>
      <c r="C804" s="135" t="n"/>
      <c r="D804" s="135" t="n"/>
      <c r="E804" s="140" t="n"/>
    </row>
    <row r="805" ht="15" customHeight="1" s="83">
      <c r="A805" s="135" t="n"/>
      <c r="B805" s="135" t="n"/>
      <c r="C805" s="135" t="n"/>
      <c r="D805" s="135" t="n"/>
      <c r="E805" s="140" t="n"/>
    </row>
    <row r="806" ht="15" customHeight="1" s="83">
      <c r="A806" s="135" t="n"/>
      <c r="B806" s="135" t="n"/>
      <c r="C806" s="135" t="n"/>
      <c r="D806" s="135" t="n"/>
      <c r="E806" s="140" t="n"/>
    </row>
    <row r="807" ht="15" customHeight="1" s="83">
      <c r="A807" s="135" t="n"/>
      <c r="B807" s="135" t="n"/>
      <c r="C807" s="135" t="n"/>
      <c r="D807" s="135" t="n"/>
      <c r="E807" s="140" t="n"/>
    </row>
    <row r="808" ht="15" customHeight="1" s="83">
      <c r="A808" s="135" t="n"/>
      <c r="B808" s="135" t="n"/>
      <c r="C808" s="135" t="n"/>
      <c r="D808" s="135" t="n"/>
      <c r="E808" s="140" t="n"/>
    </row>
    <row r="809" ht="15" customHeight="1" s="83">
      <c r="A809" s="135" t="n"/>
      <c r="B809" s="135" t="n"/>
      <c r="C809" s="135" t="n"/>
      <c r="D809" s="135" t="n"/>
      <c r="E809" s="140" t="n"/>
    </row>
    <row r="810" ht="15" customHeight="1" s="83">
      <c r="A810" s="135" t="n"/>
      <c r="B810" s="135" t="n"/>
      <c r="C810" s="135" t="n"/>
      <c r="D810" s="135" t="n"/>
      <c r="E810" s="140" t="n"/>
    </row>
    <row r="811" ht="15" customHeight="1" s="83">
      <c r="A811" s="135" t="n"/>
      <c r="B811" s="135" t="n"/>
      <c r="C811" s="135" t="n"/>
      <c r="D811" s="135" t="n"/>
      <c r="E811" s="140" t="n"/>
    </row>
    <row r="812" ht="15" customHeight="1" s="83">
      <c r="A812" s="135" t="n"/>
      <c r="B812" s="135" t="n"/>
      <c r="C812" s="135" t="n"/>
      <c r="D812" s="135" t="n"/>
      <c r="E812" s="140" t="n"/>
    </row>
    <row r="813" ht="15" customHeight="1" s="83">
      <c r="A813" s="135" t="n"/>
      <c r="B813" s="135" t="n"/>
      <c r="C813" s="135" t="n"/>
      <c r="D813" s="135" t="n"/>
      <c r="E813" s="140" t="n"/>
    </row>
    <row r="814" ht="15" customHeight="1" s="83">
      <c r="A814" s="135" t="n"/>
      <c r="B814" s="135" t="n"/>
      <c r="C814" s="135" t="n"/>
      <c r="D814" s="135" t="n"/>
      <c r="E814" s="140" t="n"/>
    </row>
    <row r="815" ht="15" customHeight="1" s="83">
      <c r="A815" s="135" t="n"/>
      <c r="B815" s="135" t="n"/>
      <c r="C815" s="135" t="n"/>
      <c r="D815" s="135" t="n"/>
      <c r="E815" s="140" t="n"/>
    </row>
    <row r="816" ht="15" customHeight="1" s="83">
      <c r="A816" s="135" t="n"/>
      <c r="B816" s="135" t="n"/>
      <c r="C816" s="135" t="n"/>
      <c r="D816" s="135" t="n"/>
      <c r="E816" s="140" t="n"/>
    </row>
    <row r="817" ht="15" customHeight="1" s="83">
      <c r="A817" s="135" t="n"/>
      <c r="B817" s="135" t="n"/>
      <c r="C817" s="135" t="n"/>
      <c r="D817" s="135" t="n"/>
      <c r="E817" s="140" t="n"/>
    </row>
    <row r="818" ht="15" customHeight="1" s="83">
      <c r="A818" s="135" t="n"/>
      <c r="B818" s="135" t="n"/>
      <c r="C818" s="135" t="n"/>
      <c r="D818" s="135" t="n"/>
      <c r="E818" s="140" t="n"/>
    </row>
    <row r="819" ht="15" customHeight="1" s="83">
      <c r="A819" s="135" t="n"/>
      <c r="B819" s="135" t="n"/>
      <c r="C819" s="135" t="n"/>
      <c r="D819" s="135" t="n"/>
      <c r="E819" s="140" t="n"/>
    </row>
    <row r="820" ht="15" customHeight="1" s="83">
      <c r="A820" s="135" t="n"/>
      <c r="B820" s="135" t="n"/>
      <c r="C820" s="135" t="n"/>
      <c r="D820" s="135" t="n"/>
      <c r="E820" s="140" t="n"/>
    </row>
    <row r="821" ht="15" customHeight="1" s="83">
      <c r="A821" s="135" t="n"/>
      <c r="B821" s="135" t="n"/>
      <c r="C821" s="135" t="n"/>
      <c r="D821" s="135" t="n"/>
      <c r="E821" s="140" t="n"/>
    </row>
    <row r="822" ht="15" customHeight="1" s="83">
      <c r="A822" s="135" t="n"/>
      <c r="B822" s="135" t="n"/>
      <c r="C822" s="135" t="n"/>
      <c r="D822" s="135" t="n"/>
      <c r="E822" s="140" t="n"/>
    </row>
    <row r="823" ht="15" customHeight="1" s="83">
      <c r="A823" s="135" t="n"/>
      <c r="B823" s="135" t="n"/>
      <c r="C823" s="135" t="n"/>
      <c r="D823" s="135" t="n"/>
      <c r="E823" s="140" t="n"/>
    </row>
    <row r="824" ht="15" customHeight="1" s="83">
      <c r="A824" s="135" t="n"/>
      <c r="B824" s="135" t="n"/>
      <c r="C824" s="135" t="n"/>
      <c r="D824" s="135" t="n"/>
      <c r="E824" s="140" t="n"/>
    </row>
    <row r="825" ht="15" customHeight="1" s="83">
      <c r="A825" s="135" t="n"/>
      <c r="B825" s="135" t="n"/>
      <c r="C825" s="135" t="n"/>
      <c r="D825" s="135" t="n"/>
      <c r="E825" s="140" t="n"/>
    </row>
    <row r="826" ht="15" customHeight="1" s="83">
      <c r="A826" s="135" t="n"/>
      <c r="B826" s="135" t="n"/>
      <c r="C826" s="135" t="n"/>
      <c r="D826" s="135" t="n"/>
      <c r="E826" s="140" t="n"/>
    </row>
    <row r="827" ht="15" customHeight="1" s="83">
      <c r="A827" s="135" t="n"/>
      <c r="B827" s="135" t="n"/>
      <c r="C827" s="135" t="n"/>
      <c r="D827" s="135" t="n"/>
      <c r="E827" s="140" t="n"/>
    </row>
    <row r="828" ht="15" customHeight="1" s="83">
      <c r="A828" s="135" t="n"/>
      <c r="B828" s="135" t="n"/>
      <c r="C828" s="135" t="n"/>
      <c r="D828" s="135" t="n"/>
      <c r="E828" s="140" t="n"/>
    </row>
    <row r="829" ht="15" customHeight="1" s="83">
      <c r="A829" s="135" t="n"/>
      <c r="B829" s="135" t="n"/>
      <c r="C829" s="135" t="n"/>
      <c r="D829" s="135" t="n"/>
      <c r="E829" s="140" t="n"/>
    </row>
    <row r="830" ht="15" customHeight="1" s="83">
      <c r="A830" s="135" t="n"/>
      <c r="B830" s="135" t="n"/>
      <c r="C830" s="135" t="n"/>
      <c r="D830" s="135" t="n"/>
      <c r="E830" s="140" t="n"/>
    </row>
    <row r="831" ht="15" customHeight="1" s="83">
      <c r="A831" s="135" t="n"/>
      <c r="B831" s="135" t="n"/>
      <c r="C831" s="135" t="n"/>
      <c r="D831" s="135" t="n"/>
      <c r="E831" s="140" t="n"/>
    </row>
    <row r="832" ht="15" customHeight="1" s="83">
      <c r="A832" s="135" t="n"/>
      <c r="B832" s="135" t="n"/>
      <c r="C832" s="135" t="n"/>
      <c r="D832" s="135" t="n"/>
      <c r="E832" s="140" t="n"/>
    </row>
    <row r="833" ht="15" customHeight="1" s="83">
      <c r="A833" s="135" t="n"/>
      <c r="B833" s="135" t="n"/>
      <c r="C833" s="135" t="n"/>
      <c r="D833" s="135" t="n"/>
      <c r="E833" s="140" t="n"/>
    </row>
    <row r="834" ht="15" customHeight="1" s="83">
      <c r="A834" s="135" t="n"/>
      <c r="B834" s="135" t="n"/>
      <c r="C834" s="135" t="n"/>
      <c r="D834" s="135" t="n"/>
      <c r="E834" s="140" t="n"/>
    </row>
    <row r="835" ht="15" customHeight="1" s="83">
      <c r="A835" s="135" t="n"/>
      <c r="B835" s="135" t="n"/>
      <c r="C835" s="135" t="n"/>
      <c r="D835" s="135" t="n"/>
      <c r="E835" s="140" t="n"/>
    </row>
    <row r="836" ht="15" customHeight="1" s="83">
      <c r="A836" s="135" t="n"/>
      <c r="B836" s="135" t="n"/>
      <c r="C836" s="135" t="n"/>
      <c r="D836" s="135" t="n"/>
      <c r="E836" s="140" t="n"/>
    </row>
    <row r="837" ht="15" customHeight="1" s="83">
      <c r="A837" s="135" t="n"/>
      <c r="B837" s="135" t="n"/>
      <c r="C837" s="135" t="n"/>
      <c r="D837" s="135" t="n"/>
      <c r="E837" s="140" t="n"/>
    </row>
    <row r="838" ht="15" customHeight="1" s="83">
      <c r="A838" s="135" t="n"/>
      <c r="B838" s="135" t="n"/>
      <c r="C838" s="135" t="n"/>
      <c r="D838" s="135" t="n"/>
      <c r="E838" s="140" t="n"/>
    </row>
    <row r="839" ht="15" customHeight="1" s="83">
      <c r="A839" s="135" t="n"/>
      <c r="B839" s="135" t="n"/>
      <c r="C839" s="135" t="n"/>
      <c r="D839" s="135" t="n"/>
      <c r="E839" s="140" t="n"/>
    </row>
    <row r="840" ht="15" customHeight="1" s="83">
      <c r="A840" s="135" t="n"/>
      <c r="B840" s="135" t="n"/>
      <c r="C840" s="135" t="n"/>
      <c r="D840" s="135" t="n"/>
      <c r="E840" s="140" t="n"/>
    </row>
    <row r="841" ht="15" customHeight="1" s="83">
      <c r="A841" s="135" t="n"/>
      <c r="B841" s="135" t="n"/>
      <c r="C841" s="135" t="n"/>
      <c r="D841" s="135" t="n"/>
      <c r="E841" s="140" t="n"/>
    </row>
    <row r="842" ht="15" customHeight="1" s="83">
      <c r="A842" s="135" t="n"/>
      <c r="B842" s="135" t="n"/>
      <c r="C842" s="135" t="n"/>
      <c r="D842" s="135" t="n"/>
      <c r="E842" s="140" t="n"/>
    </row>
    <row r="843" ht="15" customHeight="1" s="83">
      <c r="A843" s="135" t="n"/>
      <c r="B843" s="135" t="n"/>
      <c r="C843" s="135" t="n"/>
      <c r="D843" s="135" t="n"/>
      <c r="E843" s="140" t="n"/>
    </row>
    <row r="844" ht="15" customHeight="1" s="83">
      <c r="A844" s="135" t="n"/>
      <c r="B844" s="135" t="n"/>
      <c r="C844" s="135" t="n"/>
      <c r="D844" s="135" t="n"/>
      <c r="E844" s="140" t="n"/>
    </row>
    <row r="845" ht="15" customHeight="1" s="83">
      <c r="A845" s="135" t="n"/>
      <c r="B845" s="135" t="n"/>
      <c r="C845" s="135" t="n"/>
      <c r="D845" s="135" t="n"/>
      <c r="E845" s="140" t="n"/>
    </row>
    <row r="846" ht="15" customHeight="1" s="83">
      <c r="A846" s="135" t="n"/>
      <c r="B846" s="135" t="n"/>
      <c r="C846" s="135" t="n"/>
      <c r="D846" s="135" t="n"/>
      <c r="E846" s="140" t="n"/>
    </row>
    <row r="847" ht="15" customHeight="1" s="83">
      <c r="A847" s="135" t="n"/>
      <c r="B847" s="135" t="n"/>
      <c r="C847" s="135" t="n"/>
      <c r="D847" s="135" t="n"/>
      <c r="E847" s="140" t="n"/>
    </row>
    <row r="848" ht="15" customHeight="1" s="83">
      <c r="A848" s="135" t="n"/>
      <c r="B848" s="135" t="n"/>
      <c r="C848" s="135" t="n"/>
      <c r="D848" s="135" t="n"/>
      <c r="E848" s="140" t="n"/>
    </row>
    <row r="849" ht="15" customHeight="1" s="83">
      <c r="A849" s="135" t="n"/>
      <c r="B849" s="135" t="n"/>
      <c r="C849" s="135" t="n"/>
      <c r="D849" s="135" t="n"/>
      <c r="E849" s="140" t="n"/>
    </row>
    <row r="850" ht="15" customHeight="1" s="83">
      <c r="A850" s="135" t="n"/>
      <c r="B850" s="135" t="n"/>
      <c r="C850" s="135" t="n"/>
      <c r="D850" s="135" t="n"/>
      <c r="E850" s="140" t="n"/>
    </row>
    <row r="851" ht="15" customHeight="1" s="83">
      <c r="A851" s="135" t="n"/>
      <c r="B851" s="135" t="n"/>
      <c r="C851" s="135" t="n"/>
      <c r="D851" s="135" t="n"/>
      <c r="E851" s="140" t="n"/>
    </row>
    <row r="852" ht="15" customHeight="1" s="83">
      <c r="A852" s="135" t="n"/>
      <c r="B852" s="135" t="n"/>
      <c r="C852" s="135" t="n"/>
      <c r="D852" s="135" t="n"/>
      <c r="E852" s="140" t="n"/>
    </row>
    <row r="853" ht="15" customHeight="1" s="83">
      <c r="A853" s="135" t="n"/>
      <c r="B853" s="135" t="n"/>
      <c r="C853" s="135" t="n"/>
      <c r="D853" s="135" t="n"/>
      <c r="E853" s="140" t="n"/>
    </row>
    <row r="854" ht="15" customHeight="1" s="83">
      <c r="A854" s="135" t="n"/>
      <c r="B854" s="135" t="n"/>
      <c r="C854" s="135" t="n"/>
      <c r="D854" s="135" t="n"/>
      <c r="E854" s="140" t="n"/>
    </row>
    <row r="855" ht="15" customHeight="1" s="83">
      <c r="A855" s="135" t="n"/>
      <c r="B855" s="135" t="n"/>
      <c r="C855" s="135" t="n"/>
      <c r="D855" s="135" t="n"/>
      <c r="E855" s="140" t="n"/>
    </row>
    <row r="856" ht="15" customHeight="1" s="83">
      <c r="A856" s="135" t="n"/>
      <c r="B856" s="135" t="n"/>
      <c r="C856" s="135" t="n"/>
      <c r="D856" s="135" t="n"/>
      <c r="E856" s="140" t="n"/>
    </row>
    <row r="857" ht="15" customHeight="1" s="83">
      <c r="A857" s="135" t="n"/>
      <c r="B857" s="135" t="n"/>
      <c r="C857" s="135" t="n"/>
      <c r="D857" s="135" t="n"/>
      <c r="E857" s="140" t="n"/>
    </row>
    <row r="858" ht="15" customHeight="1" s="83">
      <c r="A858" s="135" t="n"/>
      <c r="B858" s="135" t="n"/>
      <c r="C858" s="135" t="n"/>
      <c r="D858" s="135" t="n"/>
      <c r="E858" s="140" t="n"/>
    </row>
    <row r="859" ht="15" customHeight="1" s="83">
      <c r="A859" s="135" t="n"/>
      <c r="B859" s="135" t="n"/>
      <c r="C859" s="135" t="n"/>
      <c r="D859" s="135" t="n"/>
      <c r="E859" s="140" t="n"/>
    </row>
    <row r="860" ht="15" customHeight="1" s="83">
      <c r="A860" s="135" t="n"/>
      <c r="B860" s="135" t="n"/>
      <c r="C860" s="135" t="n"/>
      <c r="D860" s="135" t="n"/>
      <c r="E860" s="140" t="n"/>
    </row>
    <row r="861" ht="15" customHeight="1" s="83">
      <c r="A861" s="135" t="n"/>
      <c r="B861" s="135" t="n"/>
      <c r="C861" s="135" t="n"/>
      <c r="D861" s="135" t="n"/>
      <c r="E861" s="140" t="n"/>
    </row>
    <row r="862" ht="15" customHeight="1" s="83">
      <c r="A862" s="135" t="n"/>
      <c r="B862" s="135" t="n"/>
      <c r="C862" s="135" t="n"/>
      <c r="D862" s="135" t="n"/>
      <c r="E862" s="140" t="n"/>
    </row>
    <row r="863" ht="15" customHeight="1" s="83">
      <c r="A863" s="135" t="n"/>
      <c r="B863" s="135" t="n"/>
      <c r="C863" s="135" t="n"/>
      <c r="D863" s="135" t="n"/>
      <c r="E863" s="140" t="n"/>
    </row>
    <row r="864" ht="15" customHeight="1" s="83">
      <c r="A864" s="135" t="n"/>
      <c r="B864" s="135" t="n"/>
      <c r="C864" s="135" t="n"/>
      <c r="D864" s="135" t="n"/>
      <c r="E864" s="140" t="n"/>
    </row>
    <row r="865" ht="15" customHeight="1" s="83">
      <c r="A865" s="135" t="n"/>
      <c r="B865" s="135" t="n"/>
      <c r="C865" s="135" t="n"/>
      <c r="D865" s="135" t="n"/>
      <c r="E865" s="140" t="n"/>
    </row>
    <row r="866" ht="15" customHeight="1" s="83">
      <c r="A866" s="135" t="n"/>
      <c r="B866" s="135" t="n"/>
      <c r="C866" s="135" t="n"/>
      <c r="D866" s="135" t="n"/>
      <c r="E866" s="140" t="n"/>
    </row>
    <row r="867" ht="15" customHeight="1" s="83">
      <c r="A867" s="135" t="n"/>
      <c r="B867" s="135" t="n"/>
      <c r="C867" s="135" t="n"/>
      <c r="D867" s="135" t="n"/>
      <c r="E867" s="140" t="n"/>
    </row>
    <row r="868" ht="15" customHeight="1" s="83">
      <c r="A868" s="135" t="n"/>
      <c r="B868" s="135" t="n"/>
      <c r="C868" s="135" t="n"/>
      <c r="D868" s="135" t="n"/>
      <c r="E868" s="140" t="n"/>
    </row>
    <row r="869" ht="15" customHeight="1" s="83">
      <c r="A869" s="135" t="n"/>
      <c r="B869" s="135" t="n"/>
      <c r="C869" s="135" t="n"/>
      <c r="D869" s="135" t="n"/>
      <c r="E869" s="140" t="n"/>
    </row>
    <row r="870" ht="15" customHeight="1" s="83">
      <c r="A870" s="135" t="n"/>
      <c r="B870" s="135" t="n"/>
      <c r="C870" s="135" t="n"/>
      <c r="D870" s="135" t="n"/>
      <c r="E870" s="140" t="n"/>
    </row>
    <row r="871" ht="15" customHeight="1" s="83">
      <c r="A871" s="135" t="n"/>
      <c r="B871" s="135" t="n"/>
      <c r="C871" s="135" t="n"/>
      <c r="D871" s="135" t="n"/>
      <c r="E871" s="140" t="n"/>
    </row>
    <row r="872" ht="15" customHeight="1" s="83">
      <c r="A872" s="135" t="n"/>
      <c r="B872" s="135" t="n"/>
      <c r="C872" s="135" t="n"/>
      <c r="D872" s="135" t="n"/>
      <c r="E872" s="140" t="n"/>
    </row>
    <row r="873" ht="15" customHeight="1" s="83">
      <c r="A873" s="135" t="n"/>
      <c r="B873" s="135" t="n"/>
      <c r="C873" s="135" t="n"/>
      <c r="D873" s="135" t="n"/>
      <c r="E873" s="140" t="n"/>
    </row>
    <row r="874" ht="15" customHeight="1" s="83">
      <c r="A874" s="135" t="n"/>
      <c r="B874" s="135" t="n"/>
      <c r="C874" s="135" t="n"/>
      <c r="D874" s="135" t="n"/>
      <c r="E874" s="140" t="n"/>
    </row>
    <row r="875" ht="15" customHeight="1" s="83">
      <c r="A875" s="135" t="n"/>
      <c r="B875" s="135" t="n"/>
      <c r="C875" s="135" t="n"/>
      <c r="D875" s="135" t="n"/>
      <c r="E875" s="140" t="n"/>
    </row>
    <row r="876" ht="15" customHeight="1" s="83">
      <c r="A876" s="135" t="n"/>
      <c r="B876" s="135" t="n"/>
      <c r="C876" s="135" t="n"/>
      <c r="D876" s="135" t="n"/>
      <c r="E876" s="140" t="n"/>
    </row>
    <row r="877" ht="15" customHeight="1" s="83">
      <c r="A877" s="135" t="n"/>
      <c r="B877" s="135" t="n"/>
      <c r="C877" s="135" t="n"/>
      <c r="D877" s="135" t="n"/>
      <c r="E877" s="140" t="n"/>
    </row>
    <row r="878" ht="15" customHeight="1" s="83">
      <c r="A878" s="135" t="n"/>
      <c r="B878" s="135" t="n"/>
      <c r="C878" s="135" t="n"/>
      <c r="D878" s="135" t="n"/>
      <c r="E878" s="140" t="n"/>
    </row>
    <row r="879" ht="15" customHeight="1" s="83">
      <c r="A879" s="135" t="n"/>
      <c r="B879" s="135" t="n"/>
      <c r="C879" s="135" t="n"/>
      <c r="D879" s="135" t="n"/>
      <c r="E879" s="140" t="n"/>
    </row>
    <row r="880" ht="15" customHeight="1" s="83">
      <c r="A880" s="135" t="n"/>
      <c r="B880" s="135" t="n"/>
      <c r="C880" s="135" t="n"/>
      <c r="D880" s="135" t="n"/>
      <c r="E880" s="140" t="n"/>
    </row>
    <row r="881" ht="15" customHeight="1" s="83">
      <c r="A881" s="135" t="n"/>
      <c r="B881" s="135" t="n"/>
      <c r="C881" s="135" t="n"/>
      <c r="D881" s="135" t="n"/>
      <c r="E881" s="140" t="n"/>
    </row>
    <row r="882" ht="15" customHeight="1" s="83">
      <c r="A882" s="135" t="n"/>
      <c r="B882" s="135" t="n"/>
      <c r="C882" s="135" t="n"/>
      <c r="D882" s="135" t="n"/>
      <c r="E882" s="140" t="n"/>
    </row>
    <row r="883" ht="15" customHeight="1" s="83">
      <c r="A883" s="135" t="n"/>
      <c r="B883" s="135" t="n"/>
      <c r="C883" s="135" t="n"/>
      <c r="D883" s="135" t="n"/>
      <c r="E883" s="140" t="n"/>
    </row>
    <row r="884" ht="15" customHeight="1" s="83">
      <c r="A884" s="135" t="n"/>
      <c r="B884" s="135" t="n"/>
      <c r="C884" s="135" t="n"/>
      <c r="D884" s="135" t="n"/>
      <c r="E884" s="140" t="n"/>
    </row>
    <row r="885" ht="15" customHeight="1" s="83">
      <c r="A885" s="135" t="n"/>
      <c r="B885" s="135" t="n"/>
      <c r="C885" s="135" t="n"/>
      <c r="D885" s="135" t="n"/>
      <c r="E885" s="140" t="n"/>
    </row>
    <row r="886" ht="15" customHeight="1" s="83">
      <c r="A886" s="135" t="n"/>
      <c r="B886" s="135" t="n"/>
      <c r="C886" s="135" t="n"/>
      <c r="D886" s="135" t="n"/>
      <c r="E886" s="140" t="n"/>
    </row>
    <row r="887" ht="15" customHeight="1" s="83">
      <c r="A887" s="135" t="n"/>
      <c r="B887" s="135" t="n"/>
      <c r="C887" s="135" t="n"/>
      <c r="D887" s="135" t="n"/>
      <c r="E887" s="140" t="n"/>
    </row>
    <row r="888" ht="15" customHeight="1" s="83">
      <c r="A888" s="135" t="n"/>
      <c r="B888" s="135" t="n"/>
      <c r="C888" s="135" t="n"/>
      <c r="D888" s="135" t="n"/>
      <c r="E888" s="140" t="n"/>
    </row>
    <row r="889" ht="15" customHeight="1" s="83">
      <c r="A889" s="135" t="n"/>
      <c r="B889" s="135" t="n"/>
      <c r="C889" s="135" t="n"/>
      <c r="D889" s="135" t="n"/>
      <c r="E889" s="140" t="n"/>
    </row>
    <row r="890" ht="15" customHeight="1" s="83">
      <c r="A890" s="135" t="n"/>
      <c r="B890" s="135" t="n"/>
      <c r="C890" s="135" t="n"/>
      <c r="D890" s="135" t="n"/>
      <c r="E890" s="140" t="n"/>
    </row>
    <row r="891" ht="15" customHeight="1" s="83">
      <c r="A891" s="135" t="n"/>
      <c r="B891" s="135" t="n"/>
      <c r="C891" s="135" t="n"/>
      <c r="D891" s="135" t="n"/>
      <c r="E891" s="140" t="n"/>
    </row>
    <row r="892" ht="15" customHeight="1" s="83">
      <c r="A892" s="135" t="n"/>
      <c r="B892" s="135" t="n"/>
      <c r="C892" s="135" t="n"/>
      <c r="D892" s="135" t="n"/>
      <c r="E892" s="140" t="n"/>
    </row>
    <row r="893" ht="15" customHeight="1" s="83">
      <c r="A893" s="135" t="n"/>
      <c r="B893" s="135" t="n"/>
      <c r="C893" s="135" t="n"/>
      <c r="D893" s="135" t="n"/>
      <c r="E893" s="140" t="n"/>
    </row>
    <row r="894" ht="15" customHeight="1" s="83">
      <c r="A894" s="135" t="n"/>
      <c r="B894" s="135" t="n"/>
      <c r="C894" s="135" t="n"/>
      <c r="D894" s="135" t="n"/>
      <c r="E894" s="140" t="n"/>
    </row>
    <row r="895" ht="15" customHeight="1" s="83">
      <c r="A895" s="135" t="n"/>
      <c r="B895" s="135" t="n"/>
      <c r="C895" s="135" t="n"/>
      <c r="D895" s="135" t="n"/>
      <c r="E895" s="140" t="n"/>
    </row>
    <row r="896" ht="15" customHeight="1" s="83">
      <c r="A896" s="135" t="n"/>
      <c r="B896" s="135" t="n"/>
      <c r="C896" s="135" t="n"/>
      <c r="D896" s="135" t="n"/>
      <c r="E896" s="140" t="n"/>
    </row>
    <row r="897" ht="15" customHeight="1" s="83">
      <c r="A897" s="135" t="n"/>
      <c r="B897" s="135" t="n"/>
      <c r="C897" s="135" t="n"/>
      <c r="D897" s="135" t="n"/>
      <c r="E897" s="140" t="n"/>
    </row>
    <row r="898" ht="15" customHeight="1" s="83">
      <c r="A898" s="135" t="n"/>
      <c r="B898" s="135" t="n"/>
      <c r="C898" s="135" t="n"/>
      <c r="D898" s="135" t="n"/>
      <c r="E898" s="140" t="n"/>
    </row>
    <row r="899" ht="15" customHeight="1" s="83">
      <c r="A899" s="135" t="n"/>
      <c r="B899" s="135" t="n"/>
      <c r="C899" s="135" t="n"/>
      <c r="D899" s="135" t="n"/>
      <c r="E899" s="140" t="n"/>
    </row>
    <row r="900" ht="15" customHeight="1" s="83">
      <c r="A900" s="135" t="n"/>
      <c r="B900" s="135" t="n"/>
      <c r="C900" s="135" t="n"/>
      <c r="D900" s="135" t="n"/>
      <c r="E900" s="140" t="n"/>
    </row>
    <row r="901" ht="15" customHeight="1" s="83">
      <c r="A901" s="135" t="n"/>
      <c r="B901" s="135" t="n"/>
      <c r="C901" s="135" t="n"/>
      <c r="D901" s="135" t="n"/>
      <c r="E901" s="140" t="n"/>
    </row>
    <row r="902" ht="15" customHeight="1" s="83">
      <c r="A902" s="135" t="n"/>
      <c r="B902" s="135" t="n"/>
      <c r="C902" s="135" t="n"/>
      <c r="D902" s="135" t="n"/>
      <c r="E902" s="140" t="n"/>
    </row>
    <row r="903" ht="15" customHeight="1" s="83">
      <c r="A903" s="135" t="n"/>
      <c r="B903" s="135" t="n"/>
      <c r="C903" s="135" t="n"/>
      <c r="D903" s="135" t="n"/>
      <c r="E903" s="140" t="n"/>
    </row>
    <row r="904" ht="15" customHeight="1" s="83">
      <c r="A904" s="135" t="n"/>
      <c r="B904" s="135" t="n"/>
      <c r="C904" s="135" t="n"/>
      <c r="D904" s="135" t="n"/>
      <c r="E904" s="140" t="n"/>
    </row>
    <row r="905" ht="15" customHeight="1" s="83">
      <c r="A905" s="135" t="n"/>
      <c r="B905" s="135" t="n"/>
      <c r="C905" s="135" t="n"/>
      <c r="D905" s="135" t="n"/>
      <c r="E905" s="140" t="n"/>
    </row>
    <row r="906" ht="15" customHeight="1" s="83">
      <c r="A906" s="135" t="n"/>
      <c r="B906" s="135" t="n"/>
      <c r="C906" s="135" t="n"/>
      <c r="D906" s="135" t="n"/>
      <c r="E906" s="140" t="n"/>
    </row>
    <row r="907" ht="15" customHeight="1" s="83">
      <c r="A907" s="135" t="n"/>
      <c r="B907" s="135" t="n"/>
      <c r="C907" s="135" t="n"/>
      <c r="D907" s="135" t="n"/>
      <c r="E907" s="140" t="n"/>
    </row>
    <row r="908" ht="15" customHeight="1" s="83">
      <c r="A908" s="135" t="n"/>
      <c r="B908" s="135" t="n"/>
      <c r="C908" s="135" t="n"/>
      <c r="D908" s="135" t="n"/>
      <c r="E908" s="140" t="n"/>
    </row>
    <row r="909" ht="15" customHeight="1" s="83">
      <c r="A909" s="135" t="n"/>
      <c r="B909" s="135" t="n"/>
      <c r="C909" s="135" t="n"/>
      <c r="D909" s="135" t="n"/>
      <c r="E909" s="140" t="n"/>
    </row>
    <row r="910" ht="15" customHeight="1" s="83">
      <c r="A910" s="135" t="n"/>
      <c r="B910" s="135" t="n"/>
      <c r="C910" s="135" t="n"/>
      <c r="D910" s="135" t="n"/>
      <c r="E910" s="140" t="n"/>
    </row>
    <row r="911" ht="15" customHeight="1" s="83">
      <c r="A911" s="135" t="n"/>
      <c r="B911" s="135" t="n"/>
      <c r="C911" s="135" t="n"/>
      <c r="D911" s="135" t="n"/>
      <c r="E911" s="140" t="n"/>
    </row>
    <row r="912" ht="15" customHeight="1" s="83">
      <c r="A912" s="135" t="n"/>
      <c r="B912" s="135" t="n"/>
      <c r="C912" s="135" t="n"/>
      <c r="D912" s="135" t="n"/>
      <c r="E912" s="140" t="n"/>
    </row>
    <row r="913" ht="15" customHeight="1" s="83">
      <c r="A913" s="135" t="n"/>
      <c r="B913" s="135" t="n"/>
      <c r="C913" s="135" t="n"/>
      <c r="D913" s="135" t="n"/>
      <c r="E913" s="140" t="n"/>
    </row>
    <row r="914" ht="15" customHeight="1" s="83">
      <c r="A914" s="135" t="n"/>
      <c r="B914" s="135" t="n"/>
      <c r="C914" s="135" t="n"/>
      <c r="D914" s="135" t="n"/>
      <c r="E914" s="140" t="n"/>
    </row>
    <row r="915" ht="15" customHeight="1" s="83">
      <c r="A915" s="135" t="n"/>
      <c r="B915" s="135" t="n"/>
      <c r="C915" s="135" t="n"/>
      <c r="D915" s="135" t="n"/>
      <c r="E915" s="140" t="n"/>
    </row>
    <row r="916" ht="15" customHeight="1" s="83">
      <c r="A916" s="135" t="n"/>
      <c r="B916" s="135" t="n"/>
      <c r="C916" s="135" t="n"/>
      <c r="D916" s="135" t="n"/>
      <c r="E916" s="140" t="n"/>
    </row>
    <row r="917" ht="15" customHeight="1" s="83">
      <c r="A917" s="135" t="n"/>
      <c r="B917" s="135" t="n"/>
      <c r="C917" s="135" t="n"/>
      <c r="D917" s="135" t="n"/>
      <c r="E917" s="140" t="n"/>
    </row>
    <row r="918" ht="15" customHeight="1" s="83">
      <c r="A918" s="135" t="n"/>
      <c r="B918" s="135" t="n"/>
      <c r="C918" s="135" t="n"/>
      <c r="D918" s="135" t="n"/>
      <c r="E918" s="140" t="n"/>
    </row>
    <row r="919" ht="15" customHeight="1" s="83">
      <c r="A919" s="135" t="n"/>
      <c r="B919" s="135" t="n"/>
      <c r="C919" s="135" t="n"/>
      <c r="D919" s="135" t="n"/>
      <c r="E919" s="140" t="n"/>
    </row>
    <row r="920" ht="15" customHeight="1" s="83">
      <c r="A920" s="135" t="n"/>
      <c r="B920" s="135" t="n"/>
      <c r="C920" s="135" t="n"/>
      <c r="D920" s="135" t="n"/>
      <c r="E920" s="140" t="n"/>
    </row>
    <row r="921" ht="15" customHeight="1" s="83">
      <c r="A921" s="135" t="n"/>
      <c r="B921" s="135" t="n"/>
      <c r="C921" s="135" t="n"/>
      <c r="D921" s="135" t="n"/>
      <c r="E921" s="140" t="n"/>
    </row>
    <row r="922" ht="15" customHeight="1" s="83">
      <c r="A922" s="135" t="n"/>
      <c r="B922" s="135" t="n"/>
      <c r="C922" s="135" t="n"/>
      <c r="D922" s="135" t="n"/>
      <c r="E922" s="140" t="n"/>
    </row>
    <row r="923" ht="15" customHeight="1" s="83">
      <c r="A923" s="135" t="n"/>
      <c r="B923" s="135" t="n"/>
      <c r="C923" s="135" t="n"/>
      <c r="D923" s="135" t="n"/>
      <c r="E923" s="140" t="n"/>
    </row>
    <row r="924" ht="15" customHeight="1" s="83">
      <c r="A924" s="135" t="n"/>
      <c r="B924" s="135" t="n"/>
      <c r="C924" s="135" t="n"/>
      <c r="D924" s="135" t="n"/>
      <c r="E924" s="140" t="n"/>
    </row>
    <row r="925" ht="15" customHeight="1" s="83">
      <c r="A925" s="135" t="n"/>
      <c r="B925" s="135" t="n"/>
      <c r="C925" s="135" t="n"/>
      <c r="D925" s="135" t="n"/>
      <c r="E925" s="140" t="n"/>
    </row>
    <row r="926" ht="15" customHeight="1" s="83">
      <c r="A926" s="135" t="n"/>
      <c r="B926" s="135" t="n"/>
      <c r="C926" s="135" t="n"/>
      <c r="D926" s="135" t="n"/>
      <c r="E926" s="140" t="n"/>
    </row>
    <row r="927" ht="15" customHeight="1" s="83">
      <c r="A927" s="135" t="n"/>
      <c r="B927" s="135" t="n"/>
      <c r="C927" s="135" t="n"/>
      <c r="D927" s="135" t="n"/>
      <c r="E927" s="140" t="n"/>
    </row>
    <row r="928" ht="15" customHeight="1" s="83">
      <c r="A928" s="135" t="n"/>
      <c r="B928" s="135" t="n"/>
      <c r="C928" s="135" t="n"/>
      <c r="D928" s="135" t="n"/>
      <c r="E928" s="140" t="n"/>
    </row>
    <row r="929" ht="15" customHeight="1" s="83">
      <c r="A929" s="135" t="n"/>
      <c r="B929" s="135" t="n"/>
      <c r="C929" s="135" t="n"/>
      <c r="D929" s="135" t="n"/>
      <c r="E929" s="140" t="n"/>
    </row>
    <row r="930" ht="15" customHeight="1" s="83">
      <c r="A930" s="135" t="n"/>
      <c r="B930" s="135" t="n"/>
      <c r="C930" s="135" t="n"/>
      <c r="D930" s="135" t="n"/>
      <c r="E930" s="140" t="n"/>
    </row>
    <row r="931" ht="15" customHeight="1" s="83">
      <c r="A931" s="135" t="n"/>
      <c r="B931" s="135" t="n"/>
      <c r="C931" s="135" t="n"/>
      <c r="D931" s="135" t="n"/>
      <c r="E931" s="140" t="n"/>
    </row>
    <row r="932" ht="15" customHeight="1" s="83">
      <c r="A932" s="135" t="n"/>
      <c r="B932" s="135" t="n"/>
      <c r="C932" s="135" t="n"/>
      <c r="D932" s="135" t="n"/>
      <c r="E932" s="140" t="n"/>
    </row>
    <row r="933" ht="15" customHeight="1" s="83">
      <c r="A933" s="135" t="n"/>
      <c r="B933" s="135" t="n"/>
      <c r="C933" s="135" t="n"/>
      <c r="D933" s="135" t="n"/>
      <c r="E933" s="140" t="n"/>
    </row>
    <row r="934" ht="15" customHeight="1" s="83">
      <c r="A934" s="135" t="n"/>
      <c r="B934" s="135" t="n"/>
      <c r="C934" s="135" t="n"/>
      <c r="D934" s="135" t="n"/>
      <c r="E934" s="140" t="n"/>
    </row>
    <row r="935" ht="15" customHeight="1" s="83">
      <c r="A935" s="135" t="n"/>
      <c r="B935" s="135" t="n"/>
      <c r="C935" s="135" t="n"/>
      <c r="D935" s="135" t="n"/>
      <c r="E935" s="140" t="n"/>
    </row>
    <row r="936" ht="15" customHeight="1" s="83">
      <c r="A936" s="135" t="n"/>
      <c r="B936" s="135" t="n"/>
      <c r="C936" s="135" t="n"/>
      <c r="D936" s="135" t="n"/>
      <c r="E936" s="140" t="n"/>
    </row>
    <row r="937" ht="15" customHeight="1" s="83">
      <c r="A937" s="135" t="n"/>
      <c r="B937" s="135" t="n"/>
      <c r="C937" s="135" t="n"/>
      <c r="D937" s="135" t="n"/>
      <c r="E937" s="140" t="n"/>
    </row>
    <row r="938" ht="15" customHeight="1" s="83">
      <c r="A938" s="135" t="n"/>
      <c r="B938" s="135" t="n"/>
      <c r="C938" s="135" t="n"/>
      <c r="D938" s="135" t="n"/>
      <c r="E938" s="140" t="n"/>
    </row>
    <row r="939" ht="15" customHeight="1" s="83">
      <c r="A939" s="135" t="n"/>
      <c r="B939" s="135" t="n"/>
      <c r="C939" s="135" t="n"/>
      <c r="D939" s="135" t="n"/>
      <c r="E939" s="140" t="n"/>
    </row>
    <row r="940" ht="15" customHeight="1" s="83">
      <c r="A940" s="135" t="n"/>
      <c r="B940" s="135" t="n"/>
      <c r="C940" s="135" t="n"/>
      <c r="D940" s="135" t="n"/>
      <c r="E940" s="140" t="n"/>
    </row>
    <row r="941" ht="15" customHeight="1" s="83">
      <c r="A941" s="135" t="n"/>
      <c r="B941" s="135" t="n"/>
      <c r="C941" s="135" t="n"/>
      <c r="D941" s="135" t="n"/>
      <c r="E941" s="140" t="n"/>
    </row>
    <row r="942" ht="15" customHeight="1" s="83">
      <c r="A942" s="135" t="n"/>
      <c r="B942" s="135" t="n"/>
      <c r="C942" s="135" t="n"/>
      <c r="D942" s="135" t="n"/>
      <c r="E942" s="140" t="n"/>
    </row>
    <row r="943" ht="15" customHeight="1" s="83">
      <c r="A943" s="135" t="n"/>
      <c r="B943" s="135" t="n"/>
      <c r="C943" s="135" t="n"/>
      <c r="D943" s="135" t="n"/>
      <c r="E943" s="140" t="n"/>
    </row>
    <row r="944" ht="15" customHeight="1" s="83">
      <c r="A944" s="135" t="n"/>
      <c r="B944" s="135" t="n"/>
      <c r="C944" s="135" t="n"/>
      <c r="D944" s="135" t="n"/>
      <c r="E944" s="140" t="n"/>
    </row>
    <row r="945" ht="15" customHeight="1" s="83">
      <c r="A945" s="135" t="n"/>
      <c r="B945" s="135" t="n"/>
      <c r="C945" s="135" t="n"/>
      <c r="D945" s="135" t="n"/>
      <c r="E945" s="140" t="n"/>
    </row>
    <row r="946" ht="15" customHeight="1" s="83">
      <c r="A946" s="135" t="n"/>
      <c r="B946" s="135" t="n"/>
      <c r="C946" s="135" t="n"/>
      <c r="D946" s="135" t="n"/>
      <c r="E946" s="140" t="n"/>
    </row>
    <row r="947" ht="15" customHeight="1" s="83">
      <c r="A947" s="135" t="n"/>
      <c r="B947" s="135" t="n"/>
      <c r="C947" s="135" t="n"/>
      <c r="D947" s="135" t="n"/>
      <c r="E947" s="140" t="n"/>
    </row>
    <row r="948" ht="15" customHeight="1" s="83">
      <c r="A948" s="135" t="n"/>
      <c r="B948" s="135" t="n"/>
      <c r="C948" s="135" t="n"/>
      <c r="D948" s="135" t="n"/>
      <c r="E948" s="140" t="n"/>
    </row>
    <row r="949" ht="15" customHeight="1" s="83">
      <c r="A949" s="135" t="n"/>
      <c r="B949" s="135" t="n"/>
      <c r="C949" s="135" t="n"/>
      <c r="D949" s="135" t="n"/>
      <c r="E949" s="140" t="n"/>
    </row>
    <row r="950" ht="15" customHeight="1" s="83">
      <c r="A950" s="135" t="n"/>
      <c r="B950" s="135" t="n"/>
      <c r="C950" s="135" t="n"/>
      <c r="D950" s="135" t="n"/>
      <c r="E950" s="140" t="n"/>
    </row>
    <row r="951" ht="15" customHeight="1" s="83">
      <c r="A951" s="135" t="n"/>
      <c r="B951" s="135" t="n"/>
      <c r="C951" s="135" t="n"/>
      <c r="D951" s="135" t="n"/>
      <c r="E951" s="140" t="n"/>
    </row>
    <row r="952" ht="15" customHeight="1" s="83">
      <c r="A952" s="135" t="n"/>
      <c r="B952" s="135" t="n"/>
      <c r="C952" s="135" t="n"/>
      <c r="D952" s="135" t="n"/>
      <c r="E952" s="140" t="n"/>
    </row>
    <row r="953" ht="15" customHeight="1" s="83">
      <c r="A953" s="135" t="n"/>
      <c r="B953" s="135" t="n"/>
      <c r="C953" s="135" t="n"/>
      <c r="D953" s="135" t="n"/>
      <c r="E953" s="140" t="n"/>
    </row>
    <row r="954" ht="15" customHeight="1" s="83">
      <c r="A954" s="135" t="n"/>
      <c r="B954" s="135" t="n"/>
      <c r="C954" s="135" t="n"/>
      <c r="D954" s="135" t="n"/>
      <c r="E954" s="140" t="n"/>
    </row>
    <row r="955" ht="15" customHeight="1" s="83">
      <c r="A955" s="135" t="n"/>
      <c r="B955" s="135" t="n"/>
      <c r="C955" s="135" t="n"/>
      <c r="D955" s="135" t="n"/>
      <c r="E955" s="140" t="n"/>
    </row>
    <row r="956" ht="15" customHeight="1" s="83">
      <c r="A956" s="135" t="n"/>
      <c r="B956" s="135" t="n"/>
      <c r="C956" s="135" t="n"/>
      <c r="D956" s="135" t="n"/>
      <c r="E956" s="140" t="n"/>
    </row>
    <row r="957" ht="15" customHeight="1" s="83">
      <c r="A957" s="135" t="n"/>
      <c r="B957" s="135" t="n"/>
      <c r="C957" s="135" t="n"/>
      <c r="D957" s="135" t="n"/>
      <c r="E957" s="140" t="n"/>
    </row>
    <row r="958" ht="15" customHeight="1" s="83">
      <c r="A958" s="135" t="n"/>
      <c r="B958" s="135" t="n"/>
      <c r="C958" s="135" t="n"/>
      <c r="D958" s="135" t="n"/>
      <c r="E958" s="140" t="n"/>
    </row>
    <row r="959" ht="15" customHeight="1" s="83">
      <c r="A959" s="135" t="n"/>
      <c r="B959" s="135" t="n"/>
      <c r="C959" s="135" t="n"/>
      <c r="D959" s="135" t="n"/>
      <c r="E959" s="140" t="n"/>
    </row>
    <row r="960" ht="15" customHeight="1" s="83">
      <c r="A960" s="135" t="n"/>
      <c r="B960" s="135" t="n"/>
      <c r="C960" s="135" t="n"/>
      <c r="D960" s="135" t="n"/>
      <c r="E960" s="140" t="n"/>
    </row>
    <row r="961" ht="15" customHeight="1" s="83">
      <c r="A961" s="135" t="n"/>
      <c r="B961" s="135" t="n"/>
      <c r="C961" s="135" t="n"/>
      <c r="D961" s="135" t="n"/>
      <c r="E961" s="140" t="n"/>
    </row>
    <row r="962" ht="15" customHeight="1" s="83">
      <c r="A962" s="135" t="n"/>
      <c r="B962" s="135" t="n"/>
      <c r="C962" s="135" t="n"/>
      <c r="D962" s="135" t="n"/>
      <c r="E962" s="140" t="n"/>
    </row>
    <row r="963" ht="15" customHeight="1" s="83">
      <c r="A963" s="135" t="n"/>
      <c r="B963" s="135" t="n"/>
      <c r="C963" s="135" t="n"/>
      <c r="D963" s="135" t="n"/>
      <c r="E963" s="140" t="n"/>
    </row>
    <row r="964" ht="15" customHeight="1" s="83">
      <c r="A964" s="135" t="n"/>
      <c r="B964" s="135" t="n"/>
      <c r="C964" s="135" t="n"/>
      <c r="D964" s="135" t="n"/>
      <c r="E964" s="140" t="n"/>
    </row>
    <row r="965" ht="15" customHeight="1" s="83">
      <c r="A965" s="135" t="n"/>
      <c r="B965" s="135" t="n"/>
      <c r="C965" s="135" t="n"/>
      <c r="D965" s="135" t="n"/>
      <c r="E965" s="140" t="n"/>
    </row>
    <row r="966" ht="15" customHeight="1" s="83">
      <c r="A966" s="135" t="n"/>
      <c r="B966" s="135" t="n"/>
      <c r="C966" s="135" t="n"/>
      <c r="D966" s="135" t="n"/>
      <c r="E966" s="140" t="n"/>
    </row>
    <row r="967" ht="15" customHeight="1" s="83">
      <c r="A967" s="135" t="n"/>
      <c r="B967" s="135" t="n"/>
      <c r="C967" s="135" t="n"/>
      <c r="D967" s="135" t="n"/>
      <c r="E967" s="140" t="n"/>
    </row>
    <row r="968" ht="15" customHeight="1" s="83">
      <c r="A968" s="135" t="n"/>
      <c r="B968" s="135" t="n"/>
      <c r="C968" s="135" t="n"/>
      <c r="D968" s="135" t="n"/>
      <c r="E968" s="140" t="n"/>
    </row>
    <row r="969" ht="15" customHeight="1" s="83">
      <c r="A969" s="135" t="n"/>
      <c r="B969" s="135" t="n"/>
      <c r="C969" s="135" t="n"/>
      <c r="D969" s="135" t="n"/>
      <c r="E969" s="140" t="n"/>
    </row>
    <row r="970" ht="15" customHeight="1" s="83">
      <c r="A970" s="135" t="n"/>
      <c r="B970" s="135" t="n"/>
      <c r="C970" s="135" t="n"/>
      <c r="D970" s="135" t="n"/>
      <c r="E970" s="140" t="n"/>
    </row>
    <row r="971" ht="15" customHeight="1" s="83">
      <c r="A971" s="135" t="n"/>
      <c r="B971" s="135" t="n"/>
      <c r="C971" s="135" t="n"/>
      <c r="D971" s="135" t="n"/>
      <c r="E971" s="140" t="n"/>
    </row>
    <row r="972" ht="15" customHeight="1" s="83">
      <c r="A972" s="135" t="n"/>
      <c r="B972" s="135" t="n"/>
      <c r="C972" s="135" t="n"/>
      <c r="D972" s="135" t="n"/>
      <c r="E972" s="140" t="n"/>
    </row>
    <row r="973" ht="15" customHeight="1" s="83">
      <c r="A973" s="135" t="n"/>
      <c r="B973" s="135" t="n"/>
      <c r="C973" s="135" t="n"/>
      <c r="D973" s="135" t="n"/>
      <c r="E973" s="140" t="n"/>
    </row>
    <row r="974" ht="15" customHeight="1" s="83">
      <c r="A974" s="135" t="n"/>
      <c r="B974" s="135" t="n"/>
      <c r="C974" s="135" t="n"/>
      <c r="D974" s="135" t="n"/>
      <c r="E974" s="140" t="n"/>
    </row>
    <row r="975" ht="15" customHeight="1" s="83">
      <c r="A975" s="135" t="n"/>
      <c r="B975" s="135" t="n"/>
      <c r="C975" s="135" t="n"/>
      <c r="D975" s="135" t="n"/>
      <c r="E975" s="140" t="n"/>
    </row>
    <row r="976" ht="15" customHeight="1" s="83">
      <c r="A976" s="135" t="n"/>
      <c r="B976" s="135" t="n"/>
      <c r="C976" s="135" t="n"/>
      <c r="D976" s="135" t="n"/>
      <c r="E976" s="140" t="n"/>
    </row>
    <row r="977" ht="15" customHeight="1" s="83">
      <c r="A977" s="135" t="n"/>
      <c r="B977" s="135" t="n"/>
      <c r="C977" s="135" t="n"/>
      <c r="D977" s="135" t="n"/>
      <c r="E977" s="140" t="n"/>
    </row>
    <row r="978" ht="15" customHeight="1" s="83">
      <c r="A978" s="135" t="n"/>
      <c r="B978" s="135" t="n"/>
      <c r="C978" s="135" t="n"/>
      <c r="D978" s="135" t="n"/>
      <c r="E978" s="140" t="n"/>
    </row>
    <row r="979" ht="15" customHeight="1" s="83">
      <c r="A979" s="135" t="n"/>
      <c r="B979" s="135" t="n"/>
      <c r="C979" s="135" t="n"/>
      <c r="D979" s="135" t="n"/>
      <c r="E979" s="140" t="n"/>
    </row>
    <row r="980" ht="15" customHeight="1" s="83">
      <c r="A980" s="135" t="n"/>
      <c r="B980" s="135" t="n"/>
      <c r="C980" s="135" t="n"/>
      <c r="D980" s="135" t="n"/>
      <c r="E980" s="140" t="n"/>
    </row>
    <row r="981" ht="15" customHeight="1" s="83">
      <c r="A981" s="135" t="n"/>
      <c r="B981" s="135" t="n"/>
      <c r="C981" s="135" t="n"/>
      <c r="D981" s="135" t="n"/>
      <c r="E981" s="140" t="n"/>
    </row>
    <row r="982" ht="15" customHeight="1" s="83">
      <c r="A982" s="135" t="n"/>
      <c r="B982" s="135" t="n"/>
      <c r="C982" s="135" t="n"/>
      <c r="D982" s="135" t="n"/>
      <c r="E982" s="140" t="n"/>
    </row>
    <row r="983" ht="15" customHeight="1" s="83">
      <c r="A983" s="135" t="n"/>
      <c r="B983" s="135" t="n"/>
      <c r="C983" s="135" t="n"/>
      <c r="D983" s="135" t="n"/>
      <c r="E983" s="140" t="n"/>
    </row>
    <row r="984" ht="15" customHeight="1" s="83">
      <c r="A984" s="135" t="n"/>
      <c r="B984" s="135" t="n"/>
      <c r="C984" s="135" t="n"/>
      <c r="D984" s="135" t="n"/>
      <c r="E984" s="140" t="n"/>
    </row>
    <row r="985" ht="15" customHeight="1" s="83">
      <c r="A985" s="135" t="n"/>
      <c r="B985" s="135" t="n"/>
      <c r="C985" s="135" t="n"/>
      <c r="D985" s="135" t="n"/>
      <c r="E985" s="140" t="n"/>
    </row>
    <row r="986" ht="15" customHeight="1" s="83">
      <c r="A986" s="135" t="n"/>
      <c r="B986" s="135" t="n"/>
      <c r="C986" s="135" t="n"/>
      <c r="D986" s="135" t="n"/>
      <c r="E986" s="140" t="n"/>
    </row>
    <row r="987" ht="15" customHeight="1" s="83">
      <c r="A987" s="135" t="n"/>
      <c r="B987" s="135" t="n"/>
      <c r="C987" s="135" t="n"/>
      <c r="D987" s="135" t="n"/>
      <c r="E987" s="140" t="n"/>
    </row>
    <row r="988" ht="15" customHeight="1" s="83">
      <c r="A988" s="135" t="n"/>
      <c r="B988" s="135" t="n"/>
      <c r="C988" s="135" t="n"/>
      <c r="D988" s="135" t="n"/>
      <c r="E988" s="140" t="n"/>
    </row>
    <row r="989" ht="15" customHeight="1" s="83">
      <c r="A989" s="135" t="n"/>
      <c r="B989" s="135" t="n"/>
      <c r="C989" s="135" t="n"/>
      <c r="D989" s="135" t="n"/>
      <c r="E989" s="140" t="n"/>
    </row>
    <row r="990" ht="15" customHeight="1" s="83">
      <c r="A990" s="135" t="n"/>
      <c r="B990" s="135" t="n"/>
      <c r="C990" s="135" t="n"/>
      <c r="D990" s="135" t="n"/>
      <c r="E990" s="140" t="n"/>
    </row>
    <row r="991" ht="15" customHeight="1" s="83">
      <c r="A991" s="135" t="n"/>
      <c r="B991" s="135" t="n"/>
      <c r="C991" s="135" t="n"/>
      <c r="D991" s="135" t="n"/>
      <c r="E991" s="140" t="n"/>
    </row>
    <row r="992" ht="15" customHeight="1" s="83">
      <c r="A992" s="135" t="n"/>
      <c r="B992" s="135" t="n"/>
      <c r="C992" s="135" t="n"/>
      <c r="D992" s="135" t="n"/>
      <c r="E992" s="140" t="n"/>
    </row>
    <row r="993" ht="15" customHeight="1" s="83">
      <c r="A993" s="135" t="n"/>
      <c r="B993" s="135" t="n"/>
      <c r="C993" s="135" t="n"/>
      <c r="D993" s="135" t="n"/>
      <c r="E993" s="140" t="n"/>
    </row>
    <row r="994" ht="15" customHeight="1" s="83">
      <c r="A994" s="135" t="n"/>
      <c r="B994" s="135" t="n"/>
      <c r="C994" s="135" t="n"/>
      <c r="D994" s="135" t="n"/>
      <c r="E994" s="140" t="n"/>
    </row>
    <row r="995" ht="15" customHeight="1" s="83">
      <c r="A995" s="135" t="n"/>
      <c r="B995" s="135" t="n"/>
      <c r="C995" s="135" t="n"/>
      <c r="D995" s="135" t="n"/>
      <c r="E995" s="140" t="n"/>
    </row>
    <row r="996" ht="15" customHeight="1" s="83">
      <c r="A996" s="135" t="n"/>
      <c r="B996" s="135" t="n"/>
      <c r="C996" s="135" t="n"/>
      <c r="D996" s="135" t="n"/>
      <c r="E996" s="140" t="n"/>
    </row>
    <row r="997" ht="15" customHeight="1" s="83">
      <c r="A997" s="135" t="n"/>
      <c r="B997" s="135" t="n"/>
      <c r="C997" s="135" t="n"/>
      <c r="D997" s="135" t="n"/>
      <c r="E997" s="140" t="n"/>
    </row>
    <row r="998" ht="15" customHeight="1" s="83">
      <c r="A998" s="135" t="n"/>
      <c r="B998" s="135" t="n"/>
      <c r="C998" s="135" t="n"/>
      <c r="D998" s="135" t="n"/>
      <c r="E998" s="140" t="n"/>
    </row>
    <row r="999" ht="15" customHeight="1" s="83">
      <c r="A999" s="135" t="n"/>
      <c r="B999" s="135" t="n"/>
      <c r="C999" s="135" t="n"/>
      <c r="D999" s="135" t="n"/>
      <c r="E999" s="140" t="n"/>
    </row>
    <row r="1000" ht="15" customHeight="1" s="83">
      <c r="A1000" s="135" t="n"/>
      <c r="B1000" s="135" t="n"/>
      <c r="C1000" s="135" t="n"/>
      <c r="D1000" s="135" t="n"/>
      <c r="E1000" s="140" t="n"/>
    </row>
    <row r="1001" ht="15" customHeight="1" s="83">
      <c r="A1001" s="135" t="n"/>
      <c r="B1001" s="135" t="n"/>
      <c r="C1001" s="135" t="n"/>
      <c r="D1001" s="135" t="n"/>
      <c r="E1001" s="140" t="n"/>
    </row>
    <row r="1002" ht="15" customHeight="1" s="83">
      <c r="A1002" s="135" t="n"/>
      <c r="B1002" s="135" t="n"/>
      <c r="C1002" s="135" t="n"/>
      <c r="D1002" s="135" t="n"/>
      <c r="E1002" s="140" t="n"/>
    </row>
    <row r="1003" ht="15" customHeight="1" s="83">
      <c r="A1003" s="135" t="n"/>
      <c r="B1003" s="135" t="n"/>
      <c r="C1003" s="135" t="n"/>
      <c r="D1003" s="135" t="n"/>
      <c r="E1003" s="140" t="n"/>
    </row>
    <row r="1004" ht="15" customHeight="1" s="83">
      <c r="A1004" s="135" t="n"/>
      <c r="B1004" s="135" t="n"/>
      <c r="C1004" s="135" t="n"/>
      <c r="D1004" s="135" t="n"/>
    </row>
    <row r="1005"/>
    <row r="1006" ht="19.5" customHeight="1" s="83">
      <c r="A1006" s="120" t="inlineStr">
        <is>
          <t>İşçilik, malzeme ve makine endeksleri ile ağırlıkları; değişim oranı otomatiktir.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E6">
    <cfRule type="cellIs" rank="0" priority="2" equalAverage="0" operator="greaterThan" aboveAverage="0" dxfId="0" text="" percent="0" bottom="0">
      <formula>0</formula>
    </cfRule>
    <cfRule type="cellIs" rank="0" priority="3" equalAverage="0" operator="lessThan" aboveAverage="0" dxfId="1" text="" percent="0" bottom="0">
      <formula>0</formula>
    </cfRule>
  </conditionalFormatting>
  <conditionalFormatting sqref="E7">
    <cfRule type="cellIs" rank="0" priority="4" equalAverage="0" operator="greaterThan" aboveAverage="0" dxfId="0" text="" percent="0" bottom="0">
      <formula>0</formula>
    </cfRule>
    <cfRule type="cellIs" rank="0" priority="5" equalAverage="0" operator="lessThan" aboveAverage="0" dxfId="1" text="" percent="0" bottom="0">
      <formula>0</formula>
    </cfRule>
  </conditionalFormatting>
  <conditionalFormatting sqref="E8">
    <cfRule type="cellIs" rank="0" priority="6" equalAverage="0" operator="greaterThan" aboveAverage="0" dxfId="0" text="" percent="0" bottom="0">
      <formula>0</formula>
    </cfRule>
    <cfRule type="cellIs" rank="0" priority="7" equalAverage="0" operator="lessThan" aboveAverage="0" dxfId="1" text="" percent="0" bottom="0">
      <formula>0</formula>
    </cfRule>
  </conditionalFormatting>
  <conditionalFormatting sqref="E9">
    <cfRule type="cellIs" rank="0" priority="8" equalAverage="0" operator="greaterThan" aboveAverage="0" dxfId="0" text="" percent="0" bottom="0">
      <formula>0</formula>
    </cfRule>
    <cfRule type="cellIs" rank="0" priority="9" equalAverage="0" operator="lessThan" aboveAverage="0" dxfId="1" text="" percent="0" bottom="0">
      <formula>0</formula>
    </cfRule>
  </conditionalFormatting>
  <conditionalFormatting sqref="E10">
    <cfRule type="cellIs" rank="0" priority="10" equalAverage="0" operator="greaterThan" aboveAverage="0" dxfId="0" text="" percent="0" bottom="0">
      <formula>0</formula>
    </cfRule>
    <cfRule type="cellIs" rank="0" priority="11" equalAverage="0" operator="lessThan" aboveAverage="0" dxfId="1" text="" percent="0" bottom="0">
      <formula>0</formula>
    </cfRule>
  </conditionalFormatting>
  <conditionalFormatting sqref="E11">
    <cfRule type="cellIs" rank="0" priority="12" equalAverage="0" operator="greaterThan" aboveAverage="0" dxfId="0" text="" percent="0" bottom="0">
      <formula>0</formula>
    </cfRule>
    <cfRule type="cellIs" rank="0" priority="13" equalAverage="0" operator="lessThan" aboveAverage="0" dxfId="1" text="" percent="0" bottom="0">
      <formula>0</formula>
    </cfRule>
  </conditionalFormatting>
  <conditionalFormatting sqref="E12">
    <cfRule type="cellIs" rank="0" priority="14" equalAverage="0" operator="greaterThan" aboveAverage="0" dxfId="0" text="" percent="0" bottom="0">
      <formula>0</formula>
    </cfRule>
    <cfRule type="cellIs" rank="0" priority="15" equalAverage="0" operator="lessThan" aboveAverage="0" dxfId="1" text="" percent="0" bottom="0">
      <formula>0</formula>
    </cfRule>
  </conditionalFormatting>
  <conditionalFormatting sqref="E13">
    <cfRule type="cellIs" rank="0" priority="16" equalAverage="0" operator="greaterThan" aboveAverage="0" dxfId="0" text="" percent="0" bottom="0">
      <formula>0</formula>
    </cfRule>
    <cfRule type="cellIs" rank="0" priority="17" equalAverage="0" operator="lessThan" aboveAverage="0" dxfId="1" text="" percent="0" bottom="0">
      <formula>0</formula>
    </cfRule>
  </conditionalFormatting>
  <conditionalFormatting sqref="E14">
    <cfRule type="cellIs" rank="0" priority="18" equalAverage="0" operator="greaterThan" aboveAverage="0" dxfId="0" text="" percent="0" bottom="0">
      <formula>0</formula>
    </cfRule>
    <cfRule type="cellIs" rank="0" priority="19" equalAverage="0" operator="lessThan" aboveAverage="0" dxfId="1" text="" percent="0" bottom="0">
      <formula>0</formula>
    </cfRule>
  </conditionalFormatting>
  <conditionalFormatting sqref="E15">
    <cfRule type="cellIs" rank="0" priority="20" equalAverage="0" operator="greaterThan" aboveAverage="0" dxfId="0" text="" percent="0" bottom="0">
      <formula>0</formula>
    </cfRule>
    <cfRule type="cellIs" rank="0" priority="21" equalAverage="0" operator="lessThan" aboveAverage="0" dxfId="1" text="" percent="0" bottom="0">
      <formula>0</formula>
    </cfRule>
  </conditionalFormatting>
  <conditionalFormatting sqref="E16">
    <cfRule type="cellIs" rank="0" priority="22" equalAverage="0" operator="greaterThan" aboveAverage="0" dxfId="0" text="" percent="0" bottom="0">
      <formula>0</formula>
    </cfRule>
    <cfRule type="cellIs" rank="0" priority="23" equalAverage="0" operator="lessThan" aboveAverage="0" dxfId="1" text="" percent="0" bottom="0">
      <formula>0</formula>
    </cfRule>
  </conditionalFormatting>
  <conditionalFormatting sqref="E17">
    <cfRule type="cellIs" rank="0" priority="24" equalAverage="0" operator="greaterThan" aboveAverage="0" dxfId="0" text="" percent="0" bottom="0">
      <formula>0</formula>
    </cfRule>
    <cfRule type="cellIs" rank="0" priority="25" equalAverage="0" operator="lessThan" aboveAverage="0" dxfId="1" text="" percent="0" bottom="0">
      <formula>0</formula>
    </cfRule>
  </conditionalFormatting>
  <conditionalFormatting sqref="E18">
    <cfRule type="cellIs" rank="0" priority="26" equalAverage="0" operator="greaterThan" aboveAverage="0" dxfId="0" text="" percent="0" bottom="0">
      <formula>0</formula>
    </cfRule>
    <cfRule type="cellIs" rank="0" priority="27" equalAverage="0" operator="lessThan" aboveAverage="0" dxfId="1" text="" percent="0" bottom="0">
      <formula>0</formula>
    </cfRule>
  </conditionalFormatting>
  <conditionalFormatting sqref="E19">
    <cfRule type="cellIs" rank="0" priority="28" equalAverage="0" operator="greaterThan" aboveAverage="0" dxfId="0" text="" percent="0" bottom="0">
      <formula>0</formula>
    </cfRule>
    <cfRule type="cellIs" rank="0" priority="29" equalAverage="0" operator="lessThan" aboveAverage="0" dxfId="1" text="" percent="0" bottom="0">
      <formula>0</formula>
    </cfRule>
  </conditionalFormatting>
  <conditionalFormatting sqref="E20">
    <cfRule type="cellIs" rank="0" priority="30" equalAverage="0" operator="greaterThan" aboveAverage="0" dxfId="0" text="" percent="0" bottom="0">
      <formula>0</formula>
    </cfRule>
    <cfRule type="cellIs" rank="0" priority="31" equalAverage="0" operator="lessThan" aboveAverage="0" dxfId="1" text="" percent="0" bottom="0">
      <formula>0</formula>
    </cfRule>
  </conditionalFormatting>
  <conditionalFormatting sqref="E21">
    <cfRule type="cellIs" rank="0" priority="32" equalAverage="0" operator="greaterThan" aboveAverage="0" dxfId="0" text="" percent="0" bottom="0">
      <formula>0</formula>
    </cfRule>
    <cfRule type="cellIs" rank="0" priority="33" equalAverage="0" operator="lessThan" aboveAverage="0" dxfId="1" text="" percent="0" bottom="0">
      <formula>0</formula>
    </cfRule>
  </conditionalFormatting>
  <conditionalFormatting sqref="E22">
    <cfRule type="cellIs" rank="0" priority="34" equalAverage="0" operator="greaterThan" aboveAverage="0" dxfId="0" text="" percent="0" bottom="0">
      <formula>0</formula>
    </cfRule>
    <cfRule type="cellIs" rank="0" priority="35" equalAverage="0" operator="lessThan" aboveAverage="0" dxfId="1" text="" percent="0" bottom="0">
      <formula>0</formula>
    </cfRule>
  </conditionalFormatting>
  <conditionalFormatting sqref="E23">
    <cfRule type="cellIs" rank="0" priority="36" equalAverage="0" operator="greaterThan" aboveAverage="0" dxfId="0" text="" percent="0" bottom="0">
      <formula>0</formula>
    </cfRule>
    <cfRule type="cellIs" rank="0" priority="37" equalAverage="0" operator="lessThan" aboveAverage="0" dxfId="1" text="" percent="0" bottom="0">
      <formula>0</formula>
    </cfRule>
  </conditionalFormatting>
  <conditionalFormatting sqref="E24">
    <cfRule type="cellIs" rank="0" priority="38" equalAverage="0" operator="greaterThan" aboveAverage="0" dxfId="0" text="" percent="0" bottom="0">
      <formula>0</formula>
    </cfRule>
    <cfRule type="cellIs" rank="0" priority="39" equalAverage="0" operator="lessThan" aboveAverage="0" dxfId="1" text="" percent="0" bottom="0">
      <formula>0</formula>
    </cfRule>
  </conditionalFormatting>
  <conditionalFormatting sqref="E25">
    <cfRule type="cellIs" rank="0" priority="40" equalAverage="0" operator="greaterThan" aboveAverage="0" dxfId="0" text="" percent="0" bottom="0">
      <formula>0</formula>
    </cfRule>
    <cfRule type="cellIs" rank="0" priority="41" equalAverage="0" operator="lessThan" aboveAverage="0" dxfId="1" text="" percent="0" bottom="0">
      <formula>0</formula>
    </cfRule>
  </conditionalFormatting>
  <conditionalFormatting sqref="E26">
    <cfRule type="cellIs" rank="0" priority="42" equalAverage="0" operator="greaterThan" aboveAverage="0" dxfId="0" text="" percent="0" bottom="0">
      <formula>0</formula>
    </cfRule>
    <cfRule type="cellIs" rank="0" priority="43" equalAverage="0" operator="lessThan" aboveAverage="0" dxfId="1" text="" percent="0" bottom="0">
      <formula>0</formula>
    </cfRule>
  </conditionalFormatting>
  <conditionalFormatting sqref="E27">
    <cfRule type="cellIs" rank="0" priority="44" equalAverage="0" operator="greaterThan" aboveAverage="0" dxfId="0" text="" percent="0" bottom="0">
      <formula>0</formula>
    </cfRule>
    <cfRule type="cellIs" rank="0" priority="45" equalAverage="0" operator="lessThan" aboveAverage="0" dxfId="1" text="" percent="0" bottom="0">
      <formula>0</formula>
    </cfRule>
  </conditionalFormatting>
  <conditionalFormatting sqref="E28">
    <cfRule type="cellIs" rank="0" priority="46" equalAverage="0" operator="greaterThan" aboveAverage="0" dxfId="0" text="" percent="0" bottom="0">
      <formula>0</formula>
    </cfRule>
    <cfRule type="cellIs" rank="0" priority="47" equalAverage="0" operator="lessThan" aboveAverage="0" dxfId="1" text="" percent="0" bottom="0">
      <formula>0</formula>
    </cfRule>
  </conditionalFormatting>
  <conditionalFormatting sqref="E29">
    <cfRule type="cellIs" rank="0" priority="48" equalAverage="0" operator="greaterThan" aboveAverage="0" dxfId="0" text="" percent="0" bottom="0">
      <formula>0</formula>
    </cfRule>
    <cfRule type="cellIs" rank="0" priority="49" equalAverage="0" operator="lessThan" aboveAverage="0" dxfId="1" text="" percent="0" bottom="0">
      <formula>0</formula>
    </cfRule>
  </conditionalFormatting>
  <conditionalFormatting sqref="E30">
    <cfRule type="cellIs" rank="0" priority="50" equalAverage="0" operator="greaterThan" aboveAverage="0" dxfId="0" text="" percent="0" bottom="0">
      <formula>0</formula>
    </cfRule>
    <cfRule type="cellIs" rank="0" priority="51" equalAverage="0" operator="lessThan" aboveAverage="0" dxfId="1" text="" percent="0" bottom="0">
      <formula>0</formula>
    </cfRule>
  </conditionalFormatting>
  <conditionalFormatting sqref="E31">
    <cfRule type="cellIs" rank="0" priority="52" equalAverage="0" operator="greaterThan" aboveAverage="0" dxfId="0" text="" percent="0" bottom="0">
      <formula>0</formula>
    </cfRule>
    <cfRule type="cellIs" rank="0" priority="53" equalAverage="0" operator="lessThan" aboveAverage="0" dxfId="1" text="" percent="0" bottom="0">
      <formula>0</formula>
    </cfRule>
  </conditionalFormatting>
  <conditionalFormatting sqref="E32">
    <cfRule type="cellIs" rank="0" priority="54" equalAverage="0" operator="greaterThan" aboveAverage="0" dxfId="0" text="" percent="0" bottom="0">
      <formula>0</formula>
    </cfRule>
    <cfRule type="cellIs" rank="0" priority="55" equalAverage="0" operator="lessThan" aboveAverage="0" dxfId="1" text="" percent="0" bottom="0">
      <formula>0</formula>
    </cfRule>
  </conditionalFormatting>
  <conditionalFormatting sqref="E33">
    <cfRule type="cellIs" rank="0" priority="56" equalAverage="0" operator="greaterThan" aboveAverage="0" dxfId="0" text="" percent="0" bottom="0">
      <formula>0</formula>
    </cfRule>
    <cfRule type="cellIs" rank="0" priority="57" equalAverage="0" operator="lessThan" aboveAverage="0" dxfId="1" text="" percent="0" bottom="0">
      <formula>0</formula>
    </cfRule>
  </conditionalFormatting>
  <conditionalFormatting sqref="E34">
    <cfRule type="cellIs" rank="0" priority="58" equalAverage="0" operator="greaterThan" aboveAverage="0" dxfId="0" text="" percent="0" bottom="0">
      <formula>0</formula>
    </cfRule>
    <cfRule type="cellIs" rank="0" priority="59" equalAverage="0" operator="lessThan" aboveAverage="0" dxfId="1" text="" percent="0" bottom="0">
      <formula>0</formula>
    </cfRule>
  </conditionalFormatting>
  <conditionalFormatting sqref="E35">
    <cfRule type="cellIs" rank="0" priority="60" equalAverage="0" operator="greaterThan" aboveAverage="0" dxfId="0" text="" percent="0" bottom="0">
      <formula>0</formula>
    </cfRule>
    <cfRule type="cellIs" rank="0" priority="61" equalAverage="0" operator="lessThan" aboveAverage="0" dxfId="1" text="" percent="0" bottom="0">
      <formula>0</formula>
    </cfRule>
  </conditionalFormatting>
  <conditionalFormatting sqref="E36">
    <cfRule type="cellIs" rank="0" priority="62" equalAverage="0" operator="greaterThan" aboveAverage="0" dxfId="0" text="" percent="0" bottom="0">
      <formula>0</formula>
    </cfRule>
    <cfRule type="cellIs" rank="0" priority="63" equalAverage="0" operator="lessThan" aboveAverage="0" dxfId="1" text="" percent="0" bottom="0">
      <formula>0</formula>
    </cfRule>
  </conditionalFormatting>
  <conditionalFormatting sqref="E37">
    <cfRule type="cellIs" rank="0" priority="64" equalAverage="0" operator="greaterThan" aboveAverage="0" dxfId="0" text="" percent="0" bottom="0">
      <formula>0</formula>
    </cfRule>
    <cfRule type="cellIs" rank="0" priority="65" equalAverage="0" operator="lessThan" aboveAverage="0" dxfId="1" text="" percent="0" bottom="0">
      <formula>0</formula>
    </cfRule>
  </conditionalFormatting>
  <conditionalFormatting sqref="E38">
    <cfRule type="cellIs" rank="0" priority="66" equalAverage="0" operator="greaterThan" aboveAverage="0" dxfId="0" text="" percent="0" bottom="0">
      <formula>0</formula>
    </cfRule>
    <cfRule type="cellIs" rank="0" priority="67" equalAverage="0" operator="lessThan" aboveAverage="0" dxfId="1" text="" percent="0" bottom="0">
      <formula>0</formula>
    </cfRule>
  </conditionalFormatting>
  <conditionalFormatting sqref="E39">
    <cfRule type="cellIs" rank="0" priority="68" equalAverage="0" operator="greaterThan" aboveAverage="0" dxfId="0" text="" percent="0" bottom="0">
      <formula>0</formula>
    </cfRule>
    <cfRule type="cellIs" rank="0" priority="69" equalAverage="0" operator="lessThan" aboveAverage="0" dxfId="1" text="" percent="0" bottom="0">
      <formula>0</formula>
    </cfRule>
  </conditionalFormatting>
  <conditionalFormatting sqref="E40">
    <cfRule type="cellIs" rank="0" priority="70" equalAverage="0" operator="greaterThan" aboveAverage="0" dxfId="0" text="" percent="0" bottom="0">
      <formula>0</formula>
    </cfRule>
    <cfRule type="cellIs" rank="0" priority="71" equalAverage="0" operator="lessThan" aboveAverage="0" dxfId="1" text="" percent="0" bottom="0">
      <formula>0</formula>
    </cfRule>
  </conditionalFormatting>
  <conditionalFormatting sqref="E41">
    <cfRule type="cellIs" rank="0" priority="72" equalAverage="0" operator="greaterThan" aboveAverage="0" dxfId="0" text="" percent="0" bottom="0">
      <formula>0</formula>
    </cfRule>
    <cfRule type="cellIs" rank="0" priority="73" equalAverage="0" operator="lessThan" aboveAverage="0" dxfId="1" text="" percent="0" bottom="0">
      <formula>0</formula>
    </cfRule>
  </conditionalFormatting>
  <conditionalFormatting sqref="E42">
    <cfRule type="cellIs" rank="0" priority="74" equalAverage="0" operator="greaterThan" aboveAverage="0" dxfId="0" text="" percent="0" bottom="0">
      <formula>0</formula>
    </cfRule>
    <cfRule type="cellIs" rank="0" priority="75" equalAverage="0" operator="lessThan" aboveAverage="0" dxfId="1" text="" percent="0" bottom="0">
      <formula>0</formula>
    </cfRule>
  </conditionalFormatting>
  <conditionalFormatting sqref="E43">
    <cfRule type="cellIs" rank="0" priority="76" equalAverage="0" operator="greaterThan" aboveAverage="0" dxfId="0" text="" percent="0" bottom="0">
      <formula>0</formula>
    </cfRule>
    <cfRule type="cellIs" rank="0" priority="77" equalAverage="0" operator="lessThan" aboveAverage="0" dxfId="1" text="" percent="0" bottom="0">
      <formula>0</formula>
    </cfRule>
  </conditionalFormatting>
  <conditionalFormatting sqref="E44">
    <cfRule type="cellIs" rank="0" priority="78" equalAverage="0" operator="greaterThan" aboveAverage="0" dxfId="0" text="" percent="0" bottom="0">
      <formula>0</formula>
    </cfRule>
    <cfRule type="cellIs" rank="0" priority="79" equalAverage="0" operator="lessThan" aboveAverage="0" dxfId="1" text="" percent="0" bottom="0">
      <formula>0</formula>
    </cfRule>
  </conditionalFormatting>
  <conditionalFormatting sqref="E45">
    <cfRule type="cellIs" rank="0" priority="80" equalAverage="0" operator="greaterThan" aboveAverage="0" dxfId="0" text="" percent="0" bottom="0">
      <formula>0</formula>
    </cfRule>
    <cfRule type="cellIs" rank="0" priority="81" equalAverage="0" operator="lessThan" aboveAverage="0" dxfId="1" text="" percent="0" bottom="0">
      <formula>0</formula>
    </cfRule>
  </conditionalFormatting>
  <conditionalFormatting sqref="E46">
    <cfRule type="cellIs" rank="0" priority="82" equalAverage="0" operator="greaterThan" aboveAverage="0" dxfId="0" text="" percent="0" bottom="0">
      <formula>0</formula>
    </cfRule>
    <cfRule type="cellIs" rank="0" priority="83" equalAverage="0" operator="lessThan" aboveAverage="0" dxfId="1" text="" percent="0" bottom="0">
      <formula>0</formula>
    </cfRule>
  </conditionalFormatting>
  <conditionalFormatting sqref="E47">
    <cfRule type="cellIs" rank="0" priority="84" equalAverage="0" operator="greaterThan" aboveAverage="0" dxfId="0" text="" percent="0" bottom="0">
      <formula>0</formula>
    </cfRule>
    <cfRule type="cellIs" rank="0" priority="85" equalAverage="0" operator="lessThan" aboveAverage="0" dxfId="1" text="" percent="0" bottom="0">
      <formula>0</formula>
    </cfRule>
  </conditionalFormatting>
  <conditionalFormatting sqref="E48">
    <cfRule type="cellIs" rank="0" priority="86" equalAverage="0" operator="greaterThan" aboveAverage="0" dxfId="0" text="" percent="0" bottom="0">
      <formula>0</formula>
    </cfRule>
    <cfRule type="cellIs" rank="0" priority="87" equalAverage="0" operator="lessThan" aboveAverage="0" dxfId="1" text="" percent="0" bottom="0">
      <formula>0</formula>
    </cfRule>
  </conditionalFormatting>
  <conditionalFormatting sqref="E49">
    <cfRule type="cellIs" rank="0" priority="88" equalAverage="0" operator="greaterThan" aboveAverage="0" dxfId="0" text="" percent="0" bottom="0">
      <formula>0</formula>
    </cfRule>
    <cfRule type="cellIs" rank="0" priority="89" equalAverage="0" operator="lessThan" aboveAverage="0" dxfId="1" text="" percent="0" bottom="0">
      <formula>0</formula>
    </cfRule>
  </conditionalFormatting>
  <conditionalFormatting sqref="E50">
    <cfRule type="cellIs" rank="0" priority="90" equalAverage="0" operator="greaterThan" aboveAverage="0" dxfId="0" text="" percent="0" bottom="0">
      <formula>0</formula>
    </cfRule>
    <cfRule type="cellIs" rank="0" priority="91" equalAverage="0" operator="lessThan" aboveAverage="0" dxfId="1" text="" percent="0" bottom="0">
      <formula>0</formula>
    </cfRule>
  </conditionalFormatting>
  <conditionalFormatting sqref="E51">
    <cfRule type="cellIs" rank="0" priority="92" equalAverage="0" operator="greaterThan" aboveAverage="0" dxfId="0" text="" percent="0" bottom="0">
      <formula>0</formula>
    </cfRule>
    <cfRule type="cellIs" rank="0" priority="93" equalAverage="0" operator="lessThan" aboveAverage="0" dxfId="1" text="" percent="0" bottom="0">
      <formula>0</formula>
    </cfRule>
  </conditionalFormatting>
  <conditionalFormatting sqref="E52">
    <cfRule type="cellIs" rank="0" priority="94" equalAverage="0" operator="greaterThan" aboveAverage="0" dxfId="0" text="" percent="0" bottom="0">
      <formula>0</formula>
    </cfRule>
    <cfRule type="cellIs" rank="0" priority="95" equalAverage="0" operator="lessThan" aboveAverage="0" dxfId="1" text="" percent="0" bottom="0">
      <formula>0</formula>
    </cfRule>
  </conditionalFormatting>
  <conditionalFormatting sqref="E53">
    <cfRule type="cellIs" rank="0" priority="96" equalAverage="0" operator="greaterThan" aboveAverage="0" dxfId="0" text="" percent="0" bottom="0">
      <formula>0</formula>
    </cfRule>
    <cfRule type="cellIs" rank="0" priority="97" equalAverage="0" operator="lessThan" aboveAverage="0" dxfId="1" text="" percent="0" bottom="0">
      <formula>0</formula>
    </cfRule>
  </conditionalFormatting>
  <conditionalFormatting sqref="E54">
    <cfRule type="cellIs" rank="0" priority="98" equalAverage="0" operator="greaterThan" aboveAverage="0" dxfId="0" text="" percent="0" bottom="0">
      <formula>0</formula>
    </cfRule>
    <cfRule type="cellIs" rank="0" priority="99" equalAverage="0" operator="lessThan" aboveAverage="0" dxfId="1" text="" percent="0" bottom="0">
      <formula>0</formula>
    </cfRule>
  </conditionalFormatting>
  <conditionalFormatting sqref="E55">
    <cfRule type="cellIs" rank="0" priority="100" equalAverage="0" operator="greaterThan" aboveAverage="0" dxfId="0" text="" percent="0" bottom="0">
      <formula>0</formula>
    </cfRule>
    <cfRule type="cellIs" rank="0" priority="101" equalAverage="0" operator="lessThan" aboveAverage="0" dxfId="1" text="" percent="0" bottom="0">
      <formula>0</formula>
    </cfRule>
  </conditionalFormatting>
  <conditionalFormatting sqref="E56">
    <cfRule type="cellIs" rank="0" priority="102" equalAverage="0" operator="greaterThan" aboveAverage="0" dxfId="0" text="" percent="0" bottom="0">
      <formula>0</formula>
    </cfRule>
    <cfRule type="cellIs" rank="0" priority="103" equalAverage="0" operator="lessThan" aboveAverage="0" dxfId="1" text="" percent="0" bottom="0">
      <formula>0</formula>
    </cfRule>
  </conditionalFormatting>
  <conditionalFormatting sqref="E57">
    <cfRule type="cellIs" rank="0" priority="104" equalAverage="0" operator="greaterThan" aboveAverage="0" dxfId="0" text="" percent="0" bottom="0">
      <formula>0</formula>
    </cfRule>
    <cfRule type="cellIs" rank="0" priority="105" equalAverage="0" operator="lessThan" aboveAverage="0" dxfId="1" text="" percent="0" bottom="0">
      <formula>0</formula>
    </cfRule>
  </conditionalFormatting>
  <conditionalFormatting sqref="E58">
    <cfRule type="cellIs" rank="0" priority="106" equalAverage="0" operator="greaterThan" aboveAverage="0" dxfId="0" text="" percent="0" bottom="0">
      <formula>0</formula>
    </cfRule>
    <cfRule type="cellIs" rank="0" priority="107" equalAverage="0" operator="lessThan" aboveAverage="0" dxfId="1" text="" percent="0" bottom="0">
      <formula>0</formula>
    </cfRule>
  </conditionalFormatting>
  <conditionalFormatting sqref="E59">
    <cfRule type="cellIs" rank="0" priority="108" equalAverage="0" operator="greaterThan" aboveAverage="0" dxfId="0" text="" percent="0" bottom="0">
      <formula>0</formula>
    </cfRule>
    <cfRule type="cellIs" rank="0" priority="109" equalAverage="0" operator="lessThan" aboveAverage="0" dxfId="1" text="" percent="0" bottom="0">
      <formula>0</formula>
    </cfRule>
  </conditionalFormatting>
  <conditionalFormatting sqref="E60">
    <cfRule type="cellIs" rank="0" priority="110" equalAverage="0" operator="greaterThan" aboveAverage="0" dxfId="0" text="" percent="0" bottom="0">
      <formula>0</formula>
    </cfRule>
    <cfRule type="cellIs" rank="0" priority="111" equalAverage="0" operator="lessThan" aboveAverage="0" dxfId="1" text="" percent="0" bottom="0">
      <formula>0</formula>
    </cfRule>
  </conditionalFormatting>
  <conditionalFormatting sqref="E61">
    <cfRule type="cellIs" rank="0" priority="112" equalAverage="0" operator="greaterThan" aboveAverage="0" dxfId="0" text="" percent="0" bottom="0">
      <formula>0</formula>
    </cfRule>
    <cfRule type="cellIs" rank="0" priority="113" equalAverage="0" operator="lessThan" aboveAverage="0" dxfId="1" text="" percent="0" bottom="0">
      <formula>0</formula>
    </cfRule>
  </conditionalFormatting>
  <conditionalFormatting sqref="E62">
    <cfRule type="cellIs" rank="0" priority="114" equalAverage="0" operator="greaterThan" aboveAverage="0" dxfId="0" text="" percent="0" bottom="0">
      <formula>0</formula>
    </cfRule>
    <cfRule type="cellIs" rank="0" priority="115" equalAverage="0" operator="lessThan" aboveAverage="0" dxfId="1" text="" percent="0" bottom="0">
      <formula>0</formula>
    </cfRule>
  </conditionalFormatting>
  <conditionalFormatting sqref="E63">
    <cfRule type="cellIs" rank="0" priority="116" equalAverage="0" operator="greaterThan" aboveAverage="0" dxfId="0" text="" percent="0" bottom="0">
      <formula>0</formula>
    </cfRule>
    <cfRule type="cellIs" rank="0" priority="117" equalAverage="0" operator="lessThan" aboveAverage="0" dxfId="1" text="" percent="0" bottom="0">
      <formula>0</formula>
    </cfRule>
  </conditionalFormatting>
  <conditionalFormatting sqref="E64">
    <cfRule type="cellIs" rank="0" priority="118" equalAverage="0" operator="greaterThan" aboveAverage="0" dxfId="0" text="" percent="0" bottom="0">
      <formula>0</formula>
    </cfRule>
    <cfRule type="cellIs" rank="0" priority="119" equalAverage="0" operator="lessThan" aboveAverage="0" dxfId="1" text="" percent="0" bottom="0">
      <formula>0</formula>
    </cfRule>
  </conditionalFormatting>
  <conditionalFormatting sqref="E65">
    <cfRule type="cellIs" rank="0" priority="120" equalAverage="0" operator="greaterThan" aboveAverage="0" dxfId="0" text="" percent="0" bottom="0">
      <formula>0</formula>
    </cfRule>
    <cfRule type="cellIs" rank="0" priority="121" equalAverage="0" operator="lessThan" aboveAverage="0" dxfId="1" text="" percent="0" bottom="0">
      <formula>0</formula>
    </cfRule>
  </conditionalFormatting>
  <conditionalFormatting sqref="E66">
    <cfRule type="cellIs" rank="0" priority="122" equalAverage="0" operator="greaterThan" aboveAverage="0" dxfId="0" text="" percent="0" bottom="0">
      <formula>0</formula>
    </cfRule>
    <cfRule type="cellIs" rank="0" priority="123" equalAverage="0" operator="lessThan" aboveAverage="0" dxfId="1" text="" percent="0" bottom="0">
      <formula>0</formula>
    </cfRule>
  </conditionalFormatting>
  <conditionalFormatting sqref="E67">
    <cfRule type="cellIs" rank="0" priority="124" equalAverage="0" operator="greaterThan" aboveAverage="0" dxfId="0" text="" percent="0" bottom="0">
      <formula>0</formula>
    </cfRule>
    <cfRule type="cellIs" rank="0" priority="125" equalAverage="0" operator="lessThan" aboveAverage="0" dxfId="1" text="" percent="0" bottom="0">
      <formula>0</formula>
    </cfRule>
  </conditionalFormatting>
  <conditionalFormatting sqref="E68">
    <cfRule type="cellIs" rank="0" priority="126" equalAverage="0" operator="greaterThan" aboveAverage="0" dxfId="0" text="" percent="0" bottom="0">
      <formula>0</formula>
    </cfRule>
    <cfRule type="cellIs" rank="0" priority="127" equalAverage="0" operator="lessThan" aboveAverage="0" dxfId="1" text="" percent="0" bottom="0">
      <formula>0</formula>
    </cfRule>
  </conditionalFormatting>
  <conditionalFormatting sqref="E69">
    <cfRule type="cellIs" rank="0" priority="128" equalAverage="0" operator="greaterThan" aboveAverage="0" dxfId="0" text="" percent="0" bottom="0">
      <formula>0</formula>
    </cfRule>
    <cfRule type="cellIs" rank="0" priority="129" equalAverage="0" operator="lessThan" aboveAverage="0" dxfId="1" text="" percent="0" bottom="0">
      <formula>0</formula>
    </cfRule>
  </conditionalFormatting>
  <conditionalFormatting sqref="E70">
    <cfRule type="cellIs" rank="0" priority="130" equalAverage="0" operator="greaterThan" aboveAverage="0" dxfId="0" text="" percent="0" bottom="0">
      <formula>0</formula>
    </cfRule>
    <cfRule type="cellIs" rank="0" priority="131" equalAverage="0" operator="lessThan" aboveAverage="0" dxfId="1" text="" percent="0" bottom="0">
      <formula>0</formula>
    </cfRule>
  </conditionalFormatting>
  <conditionalFormatting sqref="E71">
    <cfRule type="cellIs" rank="0" priority="132" equalAverage="0" operator="greaterThan" aboveAverage="0" dxfId="0" text="" percent="0" bottom="0">
      <formula>0</formula>
    </cfRule>
    <cfRule type="cellIs" rank="0" priority="133" equalAverage="0" operator="lessThan" aboveAverage="0" dxfId="1" text="" percent="0" bottom="0">
      <formula>0</formula>
    </cfRule>
  </conditionalFormatting>
  <conditionalFormatting sqref="E72">
    <cfRule type="cellIs" rank="0" priority="134" equalAverage="0" operator="greaterThan" aboveAverage="0" dxfId="0" text="" percent="0" bottom="0">
      <formula>0</formula>
    </cfRule>
    <cfRule type="cellIs" rank="0" priority="135" equalAverage="0" operator="lessThan" aboveAverage="0" dxfId="1" text="" percent="0" bottom="0">
      <formula>0</formula>
    </cfRule>
  </conditionalFormatting>
  <conditionalFormatting sqref="E73">
    <cfRule type="cellIs" rank="0" priority="136" equalAverage="0" operator="greaterThan" aboveAverage="0" dxfId="0" text="" percent="0" bottom="0">
      <formula>0</formula>
    </cfRule>
    <cfRule type="cellIs" rank="0" priority="137" equalAverage="0" operator="lessThan" aboveAverage="0" dxfId="1" text="" percent="0" bottom="0">
      <formula>0</formula>
    </cfRule>
  </conditionalFormatting>
  <conditionalFormatting sqref="E74">
    <cfRule type="cellIs" rank="0" priority="138" equalAverage="0" operator="greaterThan" aboveAverage="0" dxfId="0" text="" percent="0" bottom="0">
      <formula>0</formula>
    </cfRule>
    <cfRule type="cellIs" rank="0" priority="139" equalAverage="0" operator="lessThan" aboveAverage="0" dxfId="1" text="" percent="0" bottom="0">
      <formula>0</formula>
    </cfRule>
  </conditionalFormatting>
  <conditionalFormatting sqref="E75">
    <cfRule type="cellIs" rank="0" priority="140" equalAverage="0" operator="greaterThan" aboveAverage="0" dxfId="0" text="" percent="0" bottom="0">
      <formula>0</formula>
    </cfRule>
    <cfRule type="cellIs" rank="0" priority="141" equalAverage="0" operator="lessThan" aboveAverage="0" dxfId="1" text="" percent="0" bottom="0">
      <formula>0</formula>
    </cfRule>
  </conditionalFormatting>
  <conditionalFormatting sqref="E76">
    <cfRule type="cellIs" rank="0" priority="142" equalAverage="0" operator="greaterThan" aboveAverage="0" dxfId="0" text="" percent="0" bottom="0">
      <formula>0</formula>
    </cfRule>
    <cfRule type="cellIs" rank="0" priority="143" equalAverage="0" operator="lessThan" aboveAverage="0" dxfId="1" text="" percent="0" bottom="0">
      <formula>0</formula>
    </cfRule>
  </conditionalFormatting>
  <conditionalFormatting sqref="E77">
    <cfRule type="cellIs" rank="0" priority="144" equalAverage="0" operator="greaterThan" aboveAverage="0" dxfId="0" text="" percent="0" bottom="0">
      <formula>0</formula>
    </cfRule>
    <cfRule type="cellIs" rank="0" priority="145" equalAverage="0" operator="lessThan" aboveAverage="0" dxfId="1" text="" percent="0" bottom="0">
      <formula>0</formula>
    </cfRule>
  </conditionalFormatting>
  <conditionalFormatting sqref="E78">
    <cfRule type="cellIs" rank="0" priority="146" equalAverage="0" operator="greaterThan" aboveAverage="0" dxfId="0" text="" percent="0" bottom="0">
      <formula>0</formula>
    </cfRule>
    <cfRule type="cellIs" rank="0" priority="147" equalAverage="0" operator="lessThan" aboveAverage="0" dxfId="1" text="" percent="0" bottom="0">
      <formula>0</formula>
    </cfRule>
  </conditionalFormatting>
  <conditionalFormatting sqref="E79">
    <cfRule type="cellIs" rank="0" priority="148" equalAverage="0" operator="greaterThan" aboveAverage="0" dxfId="0" text="" percent="0" bottom="0">
      <formula>0</formula>
    </cfRule>
    <cfRule type="cellIs" rank="0" priority="149" equalAverage="0" operator="lessThan" aboveAverage="0" dxfId="1" text="" percent="0" bottom="0">
      <formula>0</formula>
    </cfRule>
  </conditionalFormatting>
  <conditionalFormatting sqref="E80">
    <cfRule type="cellIs" rank="0" priority="150" equalAverage="0" operator="greaterThan" aboveAverage="0" dxfId="0" text="" percent="0" bottom="0">
      <formula>0</formula>
    </cfRule>
    <cfRule type="cellIs" rank="0" priority="151" equalAverage="0" operator="lessThan" aboveAverage="0" dxfId="1" text="" percent="0" bottom="0">
      <formula>0</formula>
    </cfRule>
  </conditionalFormatting>
  <conditionalFormatting sqref="E81">
    <cfRule type="cellIs" rank="0" priority="152" equalAverage="0" operator="greaterThan" aboveAverage="0" dxfId="0" text="" percent="0" bottom="0">
      <formula>0</formula>
    </cfRule>
    <cfRule type="cellIs" rank="0" priority="153" equalAverage="0" operator="lessThan" aboveAverage="0" dxfId="1" text="" percent="0" bottom="0">
      <formula>0</formula>
    </cfRule>
  </conditionalFormatting>
  <conditionalFormatting sqref="E82">
    <cfRule type="cellIs" rank="0" priority="154" equalAverage="0" operator="greaterThan" aboveAverage="0" dxfId="0" text="" percent="0" bottom="0">
      <formula>0</formula>
    </cfRule>
    <cfRule type="cellIs" rank="0" priority="155" equalAverage="0" operator="lessThan" aboveAverage="0" dxfId="1" text="" percent="0" bottom="0">
      <formula>0</formula>
    </cfRule>
  </conditionalFormatting>
  <conditionalFormatting sqref="E83">
    <cfRule type="cellIs" rank="0" priority="156" equalAverage="0" operator="greaterThan" aboveAverage="0" dxfId="0" text="" percent="0" bottom="0">
      <formula>0</formula>
    </cfRule>
    <cfRule type="cellIs" rank="0" priority="157" equalAverage="0" operator="lessThan" aboveAverage="0" dxfId="1" text="" percent="0" bottom="0">
      <formula>0</formula>
    </cfRule>
  </conditionalFormatting>
  <conditionalFormatting sqref="E84">
    <cfRule type="cellIs" rank="0" priority="158" equalAverage="0" operator="greaterThan" aboveAverage="0" dxfId="0" text="" percent="0" bottom="0">
      <formula>0</formula>
    </cfRule>
    <cfRule type="cellIs" rank="0" priority="159" equalAverage="0" operator="lessThan" aboveAverage="0" dxfId="1" text="" percent="0" bottom="0">
      <formula>0</formula>
    </cfRule>
  </conditionalFormatting>
  <conditionalFormatting sqref="E85">
    <cfRule type="cellIs" rank="0" priority="160" equalAverage="0" operator="greaterThan" aboveAverage="0" dxfId="0" text="" percent="0" bottom="0">
      <formula>0</formula>
    </cfRule>
    <cfRule type="cellIs" rank="0" priority="161" equalAverage="0" operator="lessThan" aboveAverage="0" dxfId="1" text="" percent="0" bottom="0">
      <formula>0</formula>
    </cfRule>
  </conditionalFormatting>
  <conditionalFormatting sqref="E86">
    <cfRule type="cellIs" rank="0" priority="162" equalAverage="0" operator="greaterThan" aboveAverage="0" dxfId="0" text="" percent="0" bottom="0">
      <formula>0</formula>
    </cfRule>
    <cfRule type="cellIs" rank="0" priority="163" equalAverage="0" operator="lessThan" aboveAverage="0" dxfId="1" text="" percent="0" bottom="0">
      <formula>0</formula>
    </cfRule>
  </conditionalFormatting>
  <conditionalFormatting sqref="E87">
    <cfRule type="cellIs" rank="0" priority="164" equalAverage="0" operator="greaterThan" aboveAverage="0" dxfId="0" text="" percent="0" bottom="0">
      <formula>0</formula>
    </cfRule>
    <cfRule type="cellIs" rank="0" priority="165" equalAverage="0" operator="lessThan" aboveAverage="0" dxfId="1" text="" percent="0" bottom="0">
      <formula>0</formula>
    </cfRule>
  </conditionalFormatting>
  <conditionalFormatting sqref="E88">
    <cfRule type="cellIs" rank="0" priority="166" equalAverage="0" operator="greaterThan" aboveAverage="0" dxfId="0" text="" percent="0" bottom="0">
      <formula>0</formula>
    </cfRule>
    <cfRule type="cellIs" rank="0" priority="167" equalAverage="0" operator="lessThan" aboveAverage="0" dxfId="1" text="" percent="0" bottom="0">
      <formula>0</formula>
    </cfRule>
  </conditionalFormatting>
  <conditionalFormatting sqref="E89">
    <cfRule type="cellIs" rank="0" priority="168" equalAverage="0" operator="greaterThan" aboveAverage="0" dxfId="0" text="" percent="0" bottom="0">
      <formula>0</formula>
    </cfRule>
    <cfRule type="cellIs" rank="0" priority="169" equalAverage="0" operator="lessThan" aboveAverage="0" dxfId="1" text="" percent="0" bottom="0">
      <formula>0</formula>
    </cfRule>
  </conditionalFormatting>
  <conditionalFormatting sqref="E90">
    <cfRule type="cellIs" rank="0" priority="170" equalAverage="0" operator="greaterThan" aboveAverage="0" dxfId="0" text="" percent="0" bottom="0">
      <formula>0</formula>
    </cfRule>
    <cfRule type="cellIs" rank="0" priority="171" equalAverage="0" operator="lessThan" aboveAverage="0" dxfId="1" text="" percent="0" bottom="0">
      <formula>0</formula>
    </cfRule>
  </conditionalFormatting>
  <conditionalFormatting sqref="E91">
    <cfRule type="cellIs" rank="0" priority="172" equalAverage="0" operator="greaterThan" aboveAverage="0" dxfId="0" text="" percent="0" bottom="0">
      <formula>0</formula>
    </cfRule>
    <cfRule type="cellIs" rank="0" priority="173" equalAverage="0" operator="lessThan" aboveAverage="0" dxfId="1" text="" percent="0" bottom="0">
      <formula>0</formula>
    </cfRule>
  </conditionalFormatting>
  <conditionalFormatting sqref="E92">
    <cfRule type="cellIs" rank="0" priority="174" equalAverage="0" operator="greaterThan" aboveAverage="0" dxfId="0" text="" percent="0" bottom="0">
      <formula>0</formula>
    </cfRule>
    <cfRule type="cellIs" rank="0" priority="175" equalAverage="0" operator="lessThan" aboveAverage="0" dxfId="1" text="" percent="0" bottom="0">
      <formula>0</formula>
    </cfRule>
  </conditionalFormatting>
  <conditionalFormatting sqref="E93">
    <cfRule type="cellIs" rank="0" priority="176" equalAverage="0" operator="greaterThan" aboveAverage="0" dxfId="0" text="" percent="0" bottom="0">
      <formula>0</formula>
    </cfRule>
    <cfRule type="cellIs" rank="0" priority="177" equalAverage="0" operator="lessThan" aboveAverage="0" dxfId="1" text="" percent="0" bottom="0">
      <formula>0</formula>
    </cfRule>
  </conditionalFormatting>
  <conditionalFormatting sqref="E94">
    <cfRule type="cellIs" rank="0" priority="178" equalAverage="0" operator="greaterThan" aboveAverage="0" dxfId="0" text="" percent="0" bottom="0">
      <formula>0</formula>
    </cfRule>
    <cfRule type="cellIs" rank="0" priority="179" equalAverage="0" operator="lessThan" aboveAverage="0" dxfId="1" text="" percent="0" bottom="0">
      <formula>0</formula>
    </cfRule>
  </conditionalFormatting>
  <conditionalFormatting sqref="E95">
    <cfRule type="cellIs" rank="0" priority="180" equalAverage="0" operator="greaterThan" aboveAverage="0" dxfId="0" text="" percent="0" bottom="0">
      <formula>0</formula>
    </cfRule>
    <cfRule type="cellIs" rank="0" priority="181" equalAverage="0" operator="lessThan" aboveAverage="0" dxfId="1" text="" percent="0" bottom="0">
      <formula>0</formula>
    </cfRule>
  </conditionalFormatting>
  <conditionalFormatting sqref="E96">
    <cfRule type="cellIs" rank="0" priority="182" equalAverage="0" operator="greaterThan" aboveAverage="0" dxfId="0" text="" percent="0" bottom="0">
      <formula>0</formula>
    </cfRule>
    <cfRule type="cellIs" rank="0" priority="183" equalAverage="0" operator="lessThan" aboveAverage="0" dxfId="1" text="" percent="0" bottom="0">
      <formula>0</formula>
    </cfRule>
  </conditionalFormatting>
  <conditionalFormatting sqref="E97">
    <cfRule type="cellIs" rank="0" priority="184" equalAverage="0" operator="greaterThan" aboveAverage="0" dxfId="0" text="" percent="0" bottom="0">
      <formula>0</formula>
    </cfRule>
    <cfRule type="cellIs" rank="0" priority="185" equalAverage="0" operator="lessThan" aboveAverage="0" dxfId="1" text="" percent="0" bottom="0">
      <formula>0</formula>
    </cfRule>
  </conditionalFormatting>
  <conditionalFormatting sqref="E98">
    <cfRule type="cellIs" rank="0" priority="186" equalAverage="0" operator="greaterThan" aboveAverage="0" dxfId="0" text="" percent="0" bottom="0">
      <formula>0</formula>
    </cfRule>
    <cfRule type="cellIs" rank="0" priority="187" equalAverage="0" operator="lessThan" aboveAverage="0" dxfId="1" text="" percent="0" bottom="0">
      <formula>0</formula>
    </cfRule>
  </conditionalFormatting>
  <conditionalFormatting sqref="E99">
    <cfRule type="cellIs" rank="0" priority="188" equalAverage="0" operator="greaterThan" aboveAverage="0" dxfId="0" text="" percent="0" bottom="0">
      <formula>0</formula>
    </cfRule>
    <cfRule type="cellIs" rank="0" priority="189" equalAverage="0" operator="lessThan" aboveAverage="0" dxfId="1" text="" percent="0" bottom="0">
      <formula>0</formula>
    </cfRule>
  </conditionalFormatting>
  <conditionalFormatting sqref="E100">
    <cfRule type="cellIs" rank="0" priority="190" equalAverage="0" operator="greaterThan" aboveAverage="0" dxfId="0" text="" percent="0" bottom="0">
      <formula>0</formula>
    </cfRule>
    <cfRule type="cellIs" rank="0" priority="191" equalAverage="0" operator="lessThan" aboveAverage="0" dxfId="1" text="" percent="0" bottom="0">
      <formula>0</formula>
    </cfRule>
  </conditionalFormatting>
  <conditionalFormatting sqref="E101">
    <cfRule type="cellIs" rank="0" priority="192" equalAverage="0" operator="greaterThan" aboveAverage="0" dxfId="0" text="" percent="0" bottom="0">
      <formula>0</formula>
    </cfRule>
    <cfRule type="cellIs" rank="0" priority="193" equalAverage="0" operator="lessThan" aboveAverage="0" dxfId="1" text="" percent="0" bottom="0">
      <formula>0</formula>
    </cfRule>
  </conditionalFormatting>
  <conditionalFormatting sqref="E102">
    <cfRule type="cellIs" rank="0" priority="194" equalAverage="0" operator="greaterThan" aboveAverage="0" dxfId="0" text="" percent="0" bottom="0">
      <formula>0</formula>
    </cfRule>
    <cfRule type="cellIs" rank="0" priority="195" equalAverage="0" operator="lessThan" aboveAverage="0" dxfId="1" text="" percent="0" bottom="0">
      <formula>0</formula>
    </cfRule>
  </conditionalFormatting>
  <conditionalFormatting sqref="E103">
    <cfRule type="cellIs" rank="0" priority="196" equalAverage="0" operator="greaterThan" aboveAverage="0" dxfId="0" text="" percent="0" bottom="0">
      <formula>0</formula>
    </cfRule>
    <cfRule type="cellIs" rank="0" priority="197" equalAverage="0" operator="lessThan" aboveAverage="0" dxfId="1" text="" percent="0" bottom="0">
      <formula>0</formula>
    </cfRule>
  </conditionalFormatting>
  <conditionalFormatting sqref="E104">
    <cfRule type="cellIs" rank="0" priority="198" equalAverage="0" operator="greaterThan" aboveAverage="0" dxfId="0" text="" percent="0" bottom="0">
      <formula>0</formula>
    </cfRule>
    <cfRule type="cellIs" rank="0" priority="199" equalAverage="0" operator="lessThan" aboveAverage="0" dxfId="1" text="" percent="0" bottom="0">
      <formula>0</formula>
    </cfRule>
  </conditionalFormatting>
  <conditionalFormatting sqref="E105">
    <cfRule type="cellIs" rank="0" priority="200" equalAverage="0" operator="greaterThan" aboveAverage="0" dxfId="0" text="" percent="0" bottom="0">
      <formula>0</formula>
    </cfRule>
    <cfRule type="cellIs" rank="0" priority="201" equalAverage="0" operator="lessThan" aboveAverage="0" dxfId="1" text="" percent="0" bottom="0">
      <formula>0</formula>
    </cfRule>
  </conditionalFormatting>
  <conditionalFormatting sqref="E106">
    <cfRule type="cellIs" rank="0" priority="202" equalAverage="0" operator="greaterThan" aboveAverage="0" dxfId="0" text="" percent="0" bottom="0">
      <formula>0</formula>
    </cfRule>
    <cfRule type="cellIs" rank="0" priority="203" equalAverage="0" operator="lessThan" aboveAverage="0" dxfId="1" text="" percent="0" bottom="0">
      <formula>0</formula>
    </cfRule>
  </conditionalFormatting>
  <conditionalFormatting sqref="E107">
    <cfRule type="cellIs" rank="0" priority="204" equalAverage="0" operator="greaterThan" aboveAverage="0" dxfId="0" text="" percent="0" bottom="0">
      <formula>0</formula>
    </cfRule>
    <cfRule type="cellIs" rank="0" priority="205" equalAverage="0" operator="lessThan" aboveAverage="0" dxfId="1" text="" percent="0" bottom="0">
      <formula>0</formula>
    </cfRule>
  </conditionalFormatting>
  <conditionalFormatting sqref="E108">
    <cfRule type="cellIs" rank="0" priority="206" equalAverage="0" operator="greaterThan" aboveAverage="0" dxfId="0" text="" percent="0" bottom="0">
      <formula>0</formula>
    </cfRule>
    <cfRule type="cellIs" rank="0" priority="207" equalAverage="0" operator="lessThan" aboveAverage="0" dxfId="1" text="" percent="0" bottom="0">
      <formula>0</formula>
    </cfRule>
  </conditionalFormatting>
  <conditionalFormatting sqref="E109">
    <cfRule type="cellIs" rank="0" priority="208" equalAverage="0" operator="greaterThan" aboveAverage="0" dxfId="0" text="" percent="0" bottom="0">
      <formula>0</formula>
    </cfRule>
    <cfRule type="cellIs" rank="0" priority="209" equalAverage="0" operator="lessThan" aboveAverage="0" dxfId="1" text="" percent="0" bottom="0">
      <formula>0</formula>
    </cfRule>
  </conditionalFormatting>
  <conditionalFormatting sqref="E110">
    <cfRule type="cellIs" rank="0" priority="210" equalAverage="0" operator="greaterThan" aboveAverage="0" dxfId="0" text="" percent="0" bottom="0">
      <formula>0</formula>
    </cfRule>
    <cfRule type="cellIs" rank="0" priority="211" equalAverage="0" operator="lessThan" aboveAverage="0" dxfId="1" text="" percent="0" bottom="0">
      <formula>0</formula>
    </cfRule>
  </conditionalFormatting>
  <conditionalFormatting sqref="E111">
    <cfRule type="cellIs" rank="0" priority="212" equalAverage="0" operator="greaterThan" aboveAverage="0" dxfId="0" text="" percent="0" bottom="0">
      <formula>0</formula>
    </cfRule>
    <cfRule type="cellIs" rank="0" priority="213" equalAverage="0" operator="lessThan" aboveAverage="0" dxfId="1" text="" percent="0" bottom="0">
      <formula>0</formula>
    </cfRule>
  </conditionalFormatting>
  <conditionalFormatting sqref="E112">
    <cfRule type="cellIs" rank="0" priority="214" equalAverage="0" operator="greaterThan" aboveAverage="0" dxfId="0" text="" percent="0" bottom="0">
      <formula>0</formula>
    </cfRule>
    <cfRule type="cellIs" rank="0" priority="215" equalAverage="0" operator="lessThan" aboveAverage="0" dxfId="1" text="" percent="0" bottom="0">
      <formula>0</formula>
    </cfRule>
  </conditionalFormatting>
  <conditionalFormatting sqref="E113">
    <cfRule type="cellIs" rank="0" priority="216" equalAverage="0" operator="greaterThan" aboveAverage="0" dxfId="0" text="" percent="0" bottom="0">
      <formula>0</formula>
    </cfRule>
    <cfRule type="cellIs" rank="0" priority="217" equalAverage="0" operator="lessThan" aboveAverage="0" dxfId="1" text="" percent="0" bottom="0">
      <formula>0</formula>
    </cfRule>
  </conditionalFormatting>
  <conditionalFormatting sqref="E114">
    <cfRule type="cellIs" rank="0" priority="218" equalAverage="0" operator="greaterThan" aboveAverage="0" dxfId="0" text="" percent="0" bottom="0">
      <formula>0</formula>
    </cfRule>
    <cfRule type="cellIs" rank="0" priority="219" equalAverage="0" operator="lessThan" aboveAverage="0" dxfId="1" text="" percent="0" bottom="0">
      <formula>0</formula>
    </cfRule>
  </conditionalFormatting>
  <conditionalFormatting sqref="E115">
    <cfRule type="cellIs" rank="0" priority="220" equalAverage="0" operator="greaterThan" aboveAverage="0" dxfId="0" text="" percent="0" bottom="0">
      <formula>0</formula>
    </cfRule>
    <cfRule type="cellIs" rank="0" priority="221" equalAverage="0" operator="lessThan" aboveAverage="0" dxfId="1" text="" percent="0" bottom="0">
      <formula>0</formula>
    </cfRule>
  </conditionalFormatting>
  <conditionalFormatting sqref="E116">
    <cfRule type="cellIs" rank="0" priority="222" equalAverage="0" operator="greaterThan" aboveAverage="0" dxfId="0" text="" percent="0" bottom="0">
      <formula>0</formula>
    </cfRule>
    <cfRule type="cellIs" rank="0" priority="223" equalAverage="0" operator="lessThan" aboveAverage="0" dxfId="1" text="" percent="0" bottom="0">
      <formula>0</formula>
    </cfRule>
  </conditionalFormatting>
  <conditionalFormatting sqref="E117">
    <cfRule type="cellIs" rank="0" priority="224" equalAverage="0" operator="greaterThan" aboveAverage="0" dxfId="0" text="" percent="0" bottom="0">
      <formula>0</formula>
    </cfRule>
    <cfRule type="cellIs" rank="0" priority="225" equalAverage="0" operator="lessThan" aboveAverage="0" dxfId="1" text="" percent="0" bottom="0">
      <formula>0</formula>
    </cfRule>
  </conditionalFormatting>
  <conditionalFormatting sqref="E118">
    <cfRule type="cellIs" rank="0" priority="226" equalAverage="0" operator="greaterThan" aboveAverage="0" dxfId="0" text="" percent="0" bottom="0">
      <formula>0</formula>
    </cfRule>
    <cfRule type="cellIs" rank="0" priority="227" equalAverage="0" operator="lessThan" aboveAverage="0" dxfId="1" text="" percent="0" bottom="0">
      <formula>0</formula>
    </cfRule>
  </conditionalFormatting>
  <conditionalFormatting sqref="E119">
    <cfRule type="cellIs" rank="0" priority="228" equalAverage="0" operator="greaterThan" aboveAverage="0" dxfId="0" text="" percent="0" bottom="0">
      <formula>0</formula>
    </cfRule>
    <cfRule type="cellIs" rank="0" priority="229" equalAverage="0" operator="lessThan" aboveAverage="0" dxfId="1" text="" percent="0" bottom="0">
      <formula>0</formula>
    </cfRule>
  </conditionalFormatting>
  <conditionalFormatting sqref="E120">
    <cfRule type="cellIs" rank="0" priority="230" equalAverage="0" operator="greaterThan" aboveAverage="0" dxfId="0" text="" percent="0" bottom="0">
      <formula>0</formula>
    </cfRule>
    <cfRule type="cellIs" rank="0" priority="231" equalAverage="0" operator="lessThan" aboveAverage="0" dxfId="1" text="" percent="0" bottom="0">
      <formula>0</formula>
    </cfRule>
  </conditionalFormatting>
  <conditionalFormatting sqref="E121">
    <cfRule type="cellIs" rank="0" priority="232" equalAverage="0" operator="greaterThan" aboveAverage="0" dxfId="0" text="" percent="0" bottom="0">
      <formula>0</formula>
    </cfRule>
    <cfRule type="cellIs" rank="0" priority="233" equalAverage="0" operator="lessThan" aboveAverage="0" dxfId="1" text="" percent="0" bottom="0">
      <formula>0</formula>
    </cfRule>
  </conditionalFormatting>
  <conditionalFormatting sqref="E122">
    <cfRule type="cellIs" rank="0" priority="234" equalAverage="0" operator="greaterThan" aboveAverage="0" dxfId="0" text="" percent="0" bottom="0">
      <formula>0</formula>
    </cfRule>
    <cfRule type="cellIs" rank="0" priority="235" equalAverage="0" operator="lessThan" aboveAverage="0" dxfId="1" text="" percent="0" bottom="0">
      <formula>0</formula>
    </cfRule>
  </conditionalFormatting>
  <conditionalFormatting sqref="E123">
    <cfRule type="cellIs" rank="0" priority="236" equalAverage="0" operator="greaterThan" aboveAverage="0" dxfId="0" text="" percent="0" bottom="0">
      <formula>0</formula>
    </cfRule>
    <cfRule type="cellIs" rank="0" priority="237" equalAverage="0" operator="lessThan" aboveAverage="0" dxfId="1" text="" percent="0" bottom="0">
      <formula>0</formula>
    </cfRule>
  </conditionalFormatting>
  <conditionalFormatting sqref="E124">
    <cfRule type="cellIs" rank="0" priority="238" equalAverage="0" operator="greaterThan" aboveAverage="0" dxfId="0" text="" percent="0" bottom="0">
      <formula>0</formula>
    </cfRule>
    <cfRule type="cellIs" rank="0" priority="239" equalAverage="0" operator="lessThan" aboveAverage="0" dxfId="1" text="" percent="0" bottom="0">
      <formula>0</formula>
    </cfRule>
  </conditionalFormatting>
  <conditionalFormatting sqref="E125">
    <cfRule type="cellIs" rank="0" priority="240" equalAverage="0" operator="greaterThan" aboveAverage="0" dxfId="0" text="" percent="0" bottom="0">
      <formula>0</formula>
    </cfRule>
    <cfRule type="cellIs" rank="0" priority="241" equalAverage="0" operator="lessThan" aboveAverage="0" dxfId="1" text="" percent="0" bottom="0">
      <formula>0</formula>
    </cfRule>
  </conditionalFormatting>
  <conditionalFormatting sqref="E126">
    <cfRule type="cellIs" rank="0" priority="242" equalAverage="0" operator="greaterThan" aboveAverage="0" dxfId="0" text="" percent="0" bottom="0">
      <formula>0</formula>
    </cfRule>
    <cfRule type="cellIs" rank="0" priority="243" equalAverage="0" operator="lessThan" aboveAverage="0" dxfId="1" text="" percent="0" bottom="0">
      <formula>0</formula>
    </cfRule>
  </conditionalFormatting>
  <conditionalFormatting sqref="E127">
    <cfRule type="cellIs" rank="0" priority="244" equalAverage="0" operator="greaterThan" aboveAverage="0" dxfId="0" text="" percent="0" bottom="0">
      <formula>0</formula>
    </cfRule>
    <cfRule type="cellIs" rank="0" priority="245" equalAverage="0" operator="lessThan" aboveAverage="0" dxfId="1" text="" percent="0" bottom="0">
      <formula>0</formula>
    </cfRule>
  </conditionalFormatting>
  <conditionalFormatting sqref="E128">
    <cfRule type="cellIs" rank="0" priority="246" equalAverage="0" operator="greaterThan" aboveAverage="0" dxfId="0" text="" percent="0" bottom="0">
      <formula>0</formula>
    </cfRule>
    <cfRule type="cellIs" rank="0" priority="247" equalAverage="0" operator="lessThan" aboveAverage="0" dxfId="1" text="" percent="0" bottom="0">
      <formula>0</formula>
    </cfRule>
  </conditionalFormatting>
  <conditionalFormatting sqref="E129">
    <cfRule type="cellIs" rank="0" priority="248" equalAverage="0" operator="greaterThan" aboveAverage="0" dxfId="0" text="" percent="0" bottom="0">
      <formula>0</formula>
    </cfRule>
    <cfRule type="cellIs" rank="0" priority="249" equalAverage="0" operator="lessThan" aboveAverage="0" dxfId="1" text="" percent="0" bottom="0">
      <formula>0</formula>
    </cfRule>
  </conditionalFormatting>
  <conditionalFormatting sqref="E130">
    <cfRule type="cellIs" rank="0" priority="250" equalAverage="0" operator="greaterThan" aboveAverage="0" dxfId="0" text="" percent="0" bottom="0">
      <formula>0</formula>
    </cfRule>
    <cfRule type="cellIs" rank="0" priority="251" equalAverage="0" operator="lessThan" aboveAverage="0" dxfId="1" text="" percent="0" bottom="0">
      <formula>0</formula>
    </cfRule>
  </conditionalFormatting>
  <conditionalFormatting sqref="E131">
    <cfRule type="cellIs" rank="0" priority="252" equalAverage="0" operator="greaterThan" aboveAverage="0" dxfId="0" text="" percent="0" bottom="0">
      <formula>0</formula>
    </cfRule>
    <cfRule type="cellIs" rank="0" priority="253" equalAverage="0" operator="lessThan" aboveAverage="0" dxfId="1" text="" percent="0" bottom="0">
      <formula>0</formula>
    </cfRule>
  </conditionalFormatting>
  <conditionalFormatting sqref="E132">
    <cfRule type="cellIs" rank="0" priority="254" equalAverage="0" operator="greaterThan" aboveAverage="0" dxfId="0" text="" percent="0" bottom="0">
      <formula>0</formula>
    </cfRule>
    <cfRule type="cellIs" rank="0" priority="255" equalAverage="0" operator="lessThan" aboveAverage="0" dxfId="1" text="" percent="0" bottom="0">
      <formula>0</formula>
    </cfRule>
  </conditionalFormatting>
  <conditionalFormatting sqref="E133">
    <cfRule type="cellIs" rank="0" priority="256" equalAverage="0" operator="greaterThan" aboveAverage="0" dxfId="0" text="" percent="0" bottom="0">
      <formula>0</formula>
    </cfRule>
    <cfRule type="cellIs" rank="0" priority="257" equalAverage="0" operator="lessThan" aboveAverage="0" dxfId="1" text="" percent="0" bottom="0">
      <formula>0</formula>
    </cfRule>
  </conditionalFormatting>
  <conditionalFormatting sqref="E134">
    <cfRule type="cellIs" rank="0" priority="258" equalAverage="0" operator="greaterThan" aboveAverage="0" dxfId="0" text="" percent="0" bottom="0">
      <formula>0</formula>
    </cfRule>
    <cfRule type="cellIs" rank="0" priority="259" equalAverage="0" operator="lessThan" aboveAverage="0" dxfId="1" text="" percent="0" bottom="0">
      <formula>0</formula>
    </cfRule>
  </conditionalFormatting>
  <conditionalFormatting sqref="E135">
    <cfRule type="cellIs" rank="0" priority="260" equalAverage="0" operator="greaterThan" aboveAverage="0" dxfId="0" text="" percent="0" bottom="0">
      <formula>0</formula>
    </cfRule>
    <cfRule type="cellIs" rank="0" priority="261" equalAverage="0" operator="lessThan" aboveAverage="0" dxfId="1" text="" percent="0" bottom="0">
      <formula>0</formula>
    </cfRule>
  </conditionalFormatting>
  <conditionalFormatting sqref="E136">
    <cfRule type="cellIs" rank="0" priority="262" equalAverage="0" operator="greaterThan" aboveAverage="0" dxfId="0" text="" percent="0" bottom="0">
      <formula>0</formula>
    </cfRule>
    <cfRule type="cellIs" rank="0" priority="263" equalAverage="0" operator="lessThan" aboveAverage="0" dxfId="1" text="" percent="0" bottom="0">
      <formula>0</formula>
    </cfRule>
  </conditionalFormatting>
  <conditionalFormatting sqref="E137">
    <cfRule type="cellIs" rank="0" priority="264" equalAverage="0" operator="greaterThan" aboveAverage="0" dxfId="0" text="" percent="0" bottom="0">
      <formula>0</formula>
    </cfRule>
    <cfRule type="cellIs" rank="0" priority="265" equalAverage="0" operator="lessThan" aboveAverage="0" dxfId="1" text="" percent="0" bottom="0">
      <formula>0</formula>
    </cfRule>
  </conditionalFormatting>
  <conditionalFormatting sqref="E138">
    <cfRule type="cellIs" rank="0" priority="266" equalAverage="0" operator="greaterThan" aboveAverage="0" dxfId="0" text="" percent="0" bottom="0">
      <formula>0</formula>
    </cfRule>
    <cfRule type="cellIs" rank="0" priority="267" equalAverage="0" operator="lessThan" aboveAverage="0" dxfId="1" text="" percent="0" bottom="0">
      <formula>0</formula>
    </cfRule>
  </conditionalFormatting>
  <conditionalFormatting sqref="E139">
    <cfRule type="cellIs" rank="0" priority="268" equalAverage="0" operator="greaterThan" aboveAverage="0" dxfId="0" text="" percent="0" bottom="0">
      <formula>0</formula>
    </cfRule>
    <cfRule type="cellIs" rank="0" priority="269" equalAverage="0" operator="lessThan" aboveAverage="0" dxfId="1" text="" percent="0" bottom="0">
      <formula>0</formula>
    </cfRule>
  </conditionalFormatting>
  <conditionalFormatting sqref="E140">
    <cfRule type="cellIs" rank="0" priority="270" equalAverage="0" operator="greaterThan" aboveAverage="0" dxfId="0" text="" percent="0" bottom="0">
      <formula>0</formula>
    </cfRule>
    <cfRule type="cellIs" rank="0" priority="271" equalAverage="0" operator="lessThan" aboveAverage="0" dxfId="1" text="" percent="0" bottom="0">
      <formula>0</formula>
    </cfRule>
  </conditionalFormatting>
  <conditionalFormatting sqref="E141">
    <cfRule type="cellIs" rank="0" priority="272" equalAverage="0" operator="greaterThan" aboveAverage="0" dxfId="0" text="" percent="0" bottom="0">
      <formula>0</formula>
    </cfRule>
    <cfRule type="cellIs" rank="0" priority="273" equalAverage="0" operator="lessThan" aboveAverage="0" dxfId="1" text="" percent="0" bottom="0">
      <formula>0</formula>
    </cfRule>
  </conditionalFormatting>
  <conditionalFormatting sqref="E142">
    <cfRule type="cellIs" rank="0" priority="274" equalAverage="0" operator="greaterThan" aboveAverage="0" dxfId="0" text="" percent="0" bottom="0">
      <formula>0</formula>
    </cfRule>
    <cfRule type="cellIs" rank="0" priority="275" equalAverage="0" operator="lessThan" aboveAverage="0" dxfId="1" text="" percent="0" bottom="0">
      <formula>0</formula>
    </cfRule>
  </conditionalFormatting>
  <conditionalFormatting sqref="E143">
    <cfRule type="cellIs" rank="0" priority="276" equalAverage="0" operator="greaterThan" aboveAverage="0" dxfId="0" text="" percent="0" bottom="0">
      <formula>0</formula>
    </cfRule>
    <cfRule type="cellIs" rank="0" priority="277" equalAverage="0" operator="lessThan" aboveAverage="0" dxfId="1" text="" percent="0" bottom="0">
      <formula>0</formula>
    </cfRule>
  </conditionalFormatting>
  <conditionalFormatting sqref="E144">
    <cfRule type="cellIs" rank="0" priority="278" equalAverage="0" operator="greaterThan" aboveAverage="0" dxfId="0" text="" percent="0" bottom="0">
      <formula>0</formula>
    </cfRule>
    <cfRule type="cellIs" rank="0" priority="279" equalAverage="0" operator="lessThan" aboveAverage="0" dxfId="1" text="" percent="0" bottom="0">
      <formula>0</formula>
    </cfRule>
  </conditionalFormatting>
  <conditionalFormatting sqref="E145">
    <cfRule type="cellIs" rank="0" priority="280" equalAverage="0" operator="greaterThan" aboveAverage="0" dxfId="0" text="" percent="0" bottom="0">
      <formula>0</formula>
    </cfRule>
    <cfRule type="cellIs" rank="0" priority="281" equalAverage="0" operator="lessThan" aboveAverage="0" dxfId="1" text="" percent="0" bottom="0">
      <formula>0</formula>
    </cfRule>
  </conditionalFormatting>
  <conditionalFormatting sqref="E146">
    <cfRule type="cellIs" rank="0" priority="282" equalAverage="0" operator="greaterThan" aboveAverage="0" dxfId="0" text="" percent="0" bottom="0">
      <formula>0</formula>
    </cfRule>
    <cfRule type="cellIs" rank="0" priority="283" equalAverage="0" operator="lessThan" aboveAverage="0" dxfId="1" text="" percent="0" bottom="0">
      <formula>0</formula>
    </cfRule>
  </conditionalFormatting>
  <conditionalFormatting sqref="E147">
    <cfRule type="cellIs" rank="0" priority="284" equalAverage="0" operator="greaterThan" aboveAverage="0" dxfId="0" text="" percent="0" bottom="0">
      <formula>0</formula>
    </cfRule>
    <cfRule type="cellIs" rank="0" priority="285" equalAverage="0" operator="lessThan" aboveAverage="0" dxfId="1" text="" percent="0" bottom="0">
      <formula>0</formula>
    </cfRule>
  </conditionalFormatting>
  <conditionalFormatting sqref="E148">
    <cfRule type="cellIs" rank="0" priority="286" equalAverage="0" operator="greaterThan" aboveAverage="0" dxfId="0" text="" percent="0" bottom="0">
      <formula>0</formula>
    </cfRule>
    <cfRule type="cellIs" rank="0" priority="287" equalAverage="0" operator="lessThan" aboveAverage="0" dxfId="1" text="" percent="0" bottom="0">
      <formula>0</formula>
    </cfRule>
  </conditionalFormatting>
  <conditionalFormatting sqref="E149">
    <cfRule type="cellIs" rank="0" priority="288" equalAverage="0" operator="greaterThan" aboveAverage="0" dxfId="0" text="" percent="0" bottom="0">
      <formula>0</formula>
    </cfRule>
    <cfRule type="cellIs" rank="0" priority="289" equalAverage="0" operator="lessThan" aboveAverage="0" dxfId="1" text="" percent="0" bottom="0">
      <formula>0</formula>
    </cfRule>
  </conditionalFormatting>
  <conditionalFormatting sqref="E150">
    <cfRule type="cellIs" rank="0" priority="290" equalAverage="0" operator="greaterThan" aboveAverage="0" dxfId="0" text="" percent="0" bottom="0">
      <formula>0</formula>
    </cfRule>
    <cfRule type="cellIs" rank="0" priority="291" equalAverage="0" operator="lessThan" aboveAverage="0" dxfId="1" text="" percent="0" bottom="0">
      <formula>0</formula>
    </cfRule>
  </conditionalFormatting>
  <conditionalFormatting sqref="E151">
    <cfRule type="cellIs" rank="0" priority="292" equalAverage="0" operator="greaterThan" aboveAverage="0" dxfId="0" text="" percent="0" bottom="0">
      <formula>0</formula>
    </cfRule>
    <cfRule type="cellIs" rank="0" priority="293" equalAverage="0" operator="lessThan" aboveAverage="0" dxfId="1" text="" percent="0" bottom="0">
      <formula>0</formula>
    </cfRule>
  </conditionalFormatting>
  <conditionalFormatting sqref="E152">
    <cfRule type="cellIs" rank="0" priority="294" equalAverage="0" operator="greaterThan" aboveAverage="0" dxfId="0" text="" percent="0" bottom="0">
      <formula>0</formula>
    </cfRule>
    <cfRule type="cellIs" rank="0" priority="295" equalAverage="0" operator="lessThan" aboveAverage="0" dxfId="1" text="" percent="0" bottom="0">
      <formula>0</formula>
    </cfRule>
  </conditionalFormatting>
  <conditionalFormatting sqref="E153">
    <cfRule type="cellIs" rank="0" priority="296" equalAverage="0" operator="greaterThan" aboveAverage="0" dxfId="0" text="" percent="0" bottom="0">
      <formula>0</formula>
    </cfRule>
    <cfRule type="cellIs" rank="0" priority="297" equalAverage="0" operator="lessThan" aboveAverage="0" dxfId="1" text="" percent="0" bottom="0">
      <formula>0</formula>
    </cfRule>
  </conditionalFormatting>
  <conditionalFormatting sqref="E154">
    <cfRule type="cellIs" rank="0" priority="298" equalAverage="0" operator="greaterThan" aboveAverage="0" dxfId="0" text="" percent="0" bottom="0">
      <formula>0</formula>
    </cfRule>
    <cfRule type="cellIs" rank="0" priority="299" equalAverage="0" operator="lessThan" aboveAverage="0" dxfId="1" text="" percent="0" bottom="0">
      <formula>0</formula>
    </cfRule>
  </conditionalFormatting>
  <conditionalFormatting sqref="E155">
    <cfRule type="cellIs" rank="0" priority="300" equalAverage="0" operator="greaterThan" aboveAverage="0" dxfId="0" text="" percent="0" bottom="0">
      <formula>0</formula>
    </cfRule>
    <cfRule type="cellIs" rank="0" priority="301" equalAverage="0" operator="lessThan" aboveAverage="0" dxfId="1" text="" percent="0" bottom="0">
      <formula>0</formula>
    </cfRule>
  </conditionalFormatting>
  <conditionalFormatting sqref="E156">
    <cfRule type="cellIs" rank="0" priority="302" equalAverage="0" operator="greaterThan" aboveAverage="0" dxfId="0" text="" percent="0" bottom="0">
      <formula>0</formula>
    </cfRule>
    <cfRule type="cellIs" rank="0" priority="303" equalAverage="0" operator="lessThan" aboveAverage="0" dxfId="1" text="" percent="0" bottom="0">
      <formula>0</formula>
    </cfRule>
  </conditionalFormatting>
  <conditionalFormatting sqref="E157">
    <cfRule type="cellIs" rank="0" priority="304" equalAverage="0" operator="greaterThan" aboveAverage="0" dxfId="0" text="" percent="0" bottom="0">
      <formula>0</formula>
    </cfRule>
    <cfRule type="cellIs" rank="0" priority="305" equalAverage="0" operator="lessThan" aboveAverage="0" dxfId="1" text="" percent="0" bottom="0">
      <formula>0</formula>
    </cfRule>
  </conditionalFormatting>
  <conditionalFormatting sqref="E158">
    <cfRule type="cellIs" rank="0" priority="306" equalAverage="0" operator="greaterThan" aboveAverage="0" dxfId="0" text="" percent="0" bottom="0">
      <formula>0</formula>
    </cfRule>
    <cfRule type="cellIs" rank="0" priority="307" equalAverage="0" operator="lessThan" aboveAverage="0" dxfId="1" text="" percent="0" bottom="0">
      <formula>0</formula>
    </cfRule>
  </conditionalFormatting>
  <conditionalFormatting sqref="E159">
    <cfRule type="cellIs" rank="0" priority="308" equalAverage="0" operator="greaterThan" aboveAverage="0" dxfId="0" text="" percent="0" bottom="0">
      <formula>0</formula>
    </cfRule>
    <cfRule type="cellIs" rank="0" priority="309" equalAverage="0" operator="lessThan" aboveAverage="0" dxfId="1" text="" percent="0" bottom="0">
      <formula>0</formula>
    </cfRule>
  </conditionalFormatting>
  <conditionalFormatting sqref="E160">
    <cfRule type="cellIs" rank="0" priority="310" equalAverage="0" operator="greaterThan" aboveAverage="0" dxfId="0" text="" percent="0" bottom="0">
      <formula>0</formula>
    </cfRule>
    <cfRule type="cellIs" rank="0" priority="311" equalAverage="0" operator="lessThan" aboveAverage="0" dxfId="1" text="" percent="0" bottom="0">
      <formula>0</formula>
    </cfRule>
  </conditionalFormatting>
  <conditionalFormatting sqref="E161">
    <cfRule type="cellIs" rank="0" priority="312" equalAverage="0" operator="greaterThan" aboveAverage="0" dxfId="0" text="" percent="0" bottom="0">
      <formula>0</formula>
    </cfRule>
    <cfRule type="cellIs" rank="0" priority="313" equalAverage="0" operator="lessThan" aboveAverage="0" dxfId="1" text="" percent="0" bottom="0">
      <formula>0</formula>
    </cfRule>
  </conditionalFormatting>
  <conditionalFormatting sqref="E162">
    <cfRule type="cellIs" rank="0" priority="314" equalAverage="0" operator="greaterThan" aboveAverage="0" dxfId="0" text="" percent="0" bottom="0">
      <formula>0</formula>
    </cfRule>
    <cfRule type="cellIs" rank="0" priority="315" equalAverage="0" operator="lessThan" aboveAverage="0" dxfId="1" text="" percent="0" bottom="0">
      <formula>0</formula>
    </cfRule>
  </conditionalFormatting>
  <conditionalFormatting sqref="E163">
    <cfRule type="cellIs" rank="0" priority="316" equalAverage="0" operator="greaterThan" aboveAverage="0" dxfId="0" text="" percent="0" bottom="0">
      <formula>0</formula>
    </cfRule>
    <cfRule type="cellIs" rank="0" priority="317" equalAverage="0" operator="lessThan" aboveAverage="0" dxfId="1" text="" percent="0" bottom="0">
      <formula>0</formula>
    </cfRule>
  </conditionalFormatting>
  <conditionalFormatting sqref="E164">
    <cfRule type="cellIs" rank="0" priority="318" equalAverage="0" operator="greaterThan" aboveAverage="0" dxfId="0" text="" percent="0" bottom="0">
      <formula>0</formula>
    </cfRule>
    <cfRule type="cellIs" rank="0" priority="319" equalAverage="0" operator="lessThan" aboveAverage="0" dxfId="1" text="" percent="0" bottom="0">
      <formula>0</formula>
    </cfRule>
  </conditionalFormatting>
  <conditionalFormatting sqref="E165">
    <cfRule type="cellIs" rank="0" priority="320" equalAverage="0" operator="greaterThan" aboveAverage="0" dxfId="0" text="" percent="0" bottom="0">
      <formula>0</formula>
    </cfRule>
    <cfRule type="cellIs" rank="0" priority="321" equalAverage="0" operator="lessThan" aboveAverage="0" dxfId="1" text="" percent="0" bottom="0">
      <formula>0</formula>
    </cfRule>
  </conditionalFormatting>
  <conditionalFormatting sqref="E166">
    <cfRule type="cellIs" rank="0" priority="322" equalAverage="0" operator="greaterThan" aboveAverage="0" dxfId="0" text="" percent="0" bottom="0">
      <formula>0</formula>
    </cfRule>
    <cfRule type="cellIs" rank="0" priority="323" equalAverage="0" operator="lessThan" aboveAverage="0" dxfId="1" text="" percent="0" bottom="0">
      <formula>0</formula>
    </cfRule>
  </conditionalFormatting>
  <conditionalFormatting sqref="E167">
    <cfRule type="cellIs" rank="0" priority="324" equalAverage="0" operator="greaterThan" aboveAverage="0" dxfId="0" text="" percent="0" bottom="0">
      <formula>0</formula>
    </cfRule>
    <cfRule type="cellIs" rank="0" priority="325" equalAverage="0" operator="lessThan" aboveAverage="0" dxfId="1" text="" percent="0" bottom="0">
      <formula>0</formula>
    </cfRule>
  </conditionalFormatting>
  <conditionalFormatting sqref="E168">
    <cfRule type="cellIs" rank="0" priority="326" equalAverage="0" operator="greaterThan" aboveAverage="0" dxfId="0" text="" percent="0" bottom="0">
      <formula>0</formula>
    </cfRule>
    <cfRule type="cellIs" rank="0" priority="327" equalAverage="0" operator="lessThan" aboveAverage="0" dxfId="1" text="" percent="0" bottom="0">
      <formula>0</formula>
    </cfRule>
  </conditionalFormatting>
  <conditionalFormatting sqref="E169">
    <cfRule type="cellIs" rank="0" priority="328" equalAverage="0" operator="greaterThan" aboveAverage="0" dxfId="0" text="" percent="0" bottom="0">
      <formula>0</formula>
    </cfRule>
    <cfRule type="cellIs" rank="0" priority="329" equalAverage="0" operator="lessThan" aboveAverage="0" dxfId="1" text="" percent="0" bottom="0">
      <formula>0</formula>
    </cfRule>
  </conditionalFormatting>
  <conditionalFormatting sqref="E170">
    <cfRule type="cellIs" rank="0" priority="330" equalAverage="0" operator="greaterThan" aboveAverage="0" dxfId="0" text="" percent="0" bottom="0">
      <formula>0</formula>
    </cfRule>
    <cfRule type="cellIs" rank="0" priority="331" equalAverage="0" operator="lessThan" aboveAverage="0" dxfId="1" text="" percent="0" bottom="0">
      <formula>0</formula>
    </cfRule>
  </conditionalFormatting>
  <conditionalFormatting sqref="E171">
    <cfRule type="cellIs" rank="0" priority="332" equalAverage="0" operator="greaterThan" aboveAverage="0" dxfId="0" text="" percent="0" bottom="0">
      <formula>0</formula>
    </cfRule>
    <cfRule type="cellIs" rank="0" priority="333" equalAverage="0" operator="lessThan" aboveAverage="0" dxfId="1" text="" percent="0" bottom="0">
      <formula>0</formula>
    </cfRule>
  </conditionalFormatting>
  <conditionalFormatting sqref="E172">
    <cfRule type="cellIs" rank="0" priority="334" equalAverage="0" operator="greaterThan" aboveAverage="0" dxfId="0" text="" percent="0" bottom="0">
      <formula>0</formula>
    </cfRule>
    <cfRule type="cellIs" rank="0" priority="335" equalAverage="0" operator="lessThan" aboveAverage="0" dxfId="1" text="" percent="0" bottom="0">
      <formula>0</formula>
    </cfRule>
  </conditionalFormatting>
  <conditionalFormatting sqref="E173">
    <cfRule type="cellIs" rank="0" priority="336" equalAverage="0" operator="greaterThan" aboveAverage="0" dxfId="0" text="" percent="0" bottom="0">
      <formula>0</formula>
    </cfRule>
    <cfRule type="cellIs" rank="0" priority="337" equalAverage="0" operator="lessThan" aboveAverage="0" dxfId="1" text="" percent="0" bottom="0">
      <formula>0</formula>
    </cfRule>
  </conditionalFormatting>
  <conditionalFormatting sqref="E174">
    <cfRule type="cellIs" rank="0" priority="338" equalAverage="0" operator="greaterThan" aboveAverage="0" dxfId="0" text="" percent="0" bottom="0">
      <formula>0</formula>
    </cfRule>
    <cfRule type="cellIs" rank="0" priority="339" equalAverage="0" operator="lessThan" aboveAverage="0" dxfId="1" text="" percent="0" bottom="0">
      <formula>0</formula>
    </cfRule>
  </conditionalFormatting>
  <conditionalFormatting sqref="E175">
    <cfRule type="cellIs" rank="0" priority="340" equalAverage="0" operator="greaterThan" aboveAverage="0" dxfId="0" text="" percent="0" bottom="0">
      <formula>0</formula>
    </cfRule>
    <cfRule type="cellIs" rank="0" priority="341" equalAverage="0" operator="lessThan" aboveAverage="0" dxfId="1" text="" percent="0" bottom="0">
      <formula>0</formula>
    </cfRule>
  </conditionalFormatting>
  <conditionalFormatting sqref="E176">
    <cfRule type="cellIs" rank="0" priority="342" equalAverage="0" operator="greaterThan" aboveAverage="0" dxfId="0" text="" percent="0" bottom="0">
      <formula>0</formula>
    </cfRule>
    <cfRule type="cellIs" rank="0" priority="343" equalAverage="0" operator="lessThan" aboveAverage="0" dxfId="1" text="" percent="0" bottom="0">
      <formula>0</formula>
    </cfRule>
  </conditionalFormatting>
  <conditionalFormatting sqref="E177">
    <cfRule type="cellIs" rank="0" priority="344" equalAverage="0" operator="greaterThan" aboveAverage="0" dxfId="0" text="" percent="0" bottom="0">
      <formula>0</formula>
    </cfRule>
    <cfRule type="cellIs" rank="0" priority="345" equalAverage="0" operator="lessThan" aboveAverage="0" dxfId="1" text="" percent="0" bottom="0">
      <formula>0</formula>
    </cfRule>
  </conditionalFormatting>
  <conditionalFormatting sqref="E178">
    <cfRule type="cellIs" rank="0" priority="346" equalAverage="0" operator="greaterThan" aboveAverage="0" dxfId="0" text="" percent="0" bottom="0">
      <formula>0</formula>
    </cfRule>
    <cfRule type="cellIs" rank="0" priority="347" equalAverage="0" operator="lessThan" aboveAverage="0" dxfId="1" text="" percent="0" bottom="0">
      <formula>0</formula>
    </cfRule>
  </conditionalFormatting>
  <conditionalFormatting sqref="E179">
    <cfRule type="cellIs" rank="0" priority="348" equalAverage="0" operator="greaterThan" aboveAverage="0" dxfId="0" text="" percent="0" bottom="0">
      <formula>0</formula>
    </cfRule>
    <cfRule type="cellIs" rank="0" priority="349" equalAverage="0" operator="lessThan" aboveAverage="0" dxfId="1" text="" percent="0" bottom="0">
      <formula>0</formula>
    </cfRule>
  </conditionalFormatting>
  <conditionalFormatting sqref="E180">
    <cfRule type="cellIs" rank="0" priority="350" equalAverage="0" operator="greaterThan" aboveAverage="0" dxfId="0" text="" percent="0" bottom="0">
      <formula>0</formula>
    </cfRule>
    <cfRule type="cellIs" rank="0" priority="351" equalAverage="0" operator="lessThan" aboveAverage="0" dxfId="1" text="" percent="0" bottom="0">
      <formula>0</formula>
    </cfRule>
  </conditionalFormatting>
  <conditionalFormatting sqref="E181">
    <cfRule type="cellIs" rank="0" priority="352" equalAverage="0" operator="greaterThan" aboveAverage="0" dxfId="0" text="" percent="0" bottom="0">
      <formula>0</formula>
    </cfRule>
    <cfRule type="cellIs" rank="0" priority="353" equalAverage="0" operator="lessThan" aboveAverage="0" dxfId="1" text="" percent="0" bottom="0">
      <formula>0</formula>
    </cfRule>
  </conditionalFormatting>
  <conditionalFormatting sqref="E182">
    <cfRule type="cellIs" rank="0" priority="354" equalAverage="0" operator="greaterThan" aboveAverage="0" dxfId="0" text="" percent="0" bottom="0">
      <formula>0</formula>
    </cfRule>
    <cfRule type="cellIs" rank="0" priority="355" equalAverage="0" operator="lessThan" aboveAverage="0" dxfId="1" text="" percent="0" bottom="0">
      <formula>0</formula>
    </cfRule>
  </conditionalFormatting>
  <conditionalFormatting sqref="E183">
    <cfRule type="cellIs" rank="0" priority="356" equalAverage="0" operator="greaterThan" aboveAverage="0" dxfId="0" text="" percent="0" bottom="0">
      <formula>0</formula>
    </cfRule>
    <cfRule type="cellIs" rank="0" priority="357" equalAverage="0" operator="lessThan" aboveAverage="0" dxfId="1" text="" percent="0" bottom="0">
      <formula>0</formula>
    </cfRule>
  </conditionalFormatting>
  <conditionalFormatting sqref="E184">
    <cfRule type="cellIs" rank="0" priority="358" equalAverage="0" operator="greaterThan" aboveAverage="0" dxfId="0" text="" percent="0" bottom="0">
      <formula>0</formula>
    </cfRule>
    <cfRule type="cellIs" rank="0" priority="359" equalAverage="0" operator="lessThan" aboveAverage="0" dxfId="1" text="" percent="0" bottom="0">
      <formula>0</formula>
    </cfRule>
  </conditionalFormatting>
  <conditionalFormatting sqref="E185">
    <cfRule type="cellIs" rank="0" priority="360" equalAverage="0" operator="greaterThan" aboveAverage="0" dxfId="0" text="" percent="0" bottom="0">
      <formula>0</formula>
    </cfRule>
    <cfRule type="cellIs" rank="0" priority="361" equalAverage="0" operator="lessThan" aboveAverage="0" dxfId="1" text="" percent="0" bottom="0">
      <formula>0</formula>
    </cfRule>
  </conditionalFormatting>
  <conditionalFormatting sqref="E186">
    <cfRule type="cellIs" rank="0" priority="362" equalAverage="0" operator="greaterThan" aboveAverage="0" dxfId="0" text="" percent="0" bottom="0">
      <formula>0</formula>
    </cfRule>
    <cfRule type="cellIs" rank="0" priority="363" equalAverage="0" operator="lessThan" aboveAverage="0" dxfId="1" text="" percent="0" bottom="0">
      <formula>0</formula>
    </cfRule>
  </conditionalFormatting>
  <conditionalFormatting sqref="E187">
    <cfRule type="cellIs" rank="0" priority="364" equalAverage="0" operator="greaterThan" aboveAverage="0" dxfId="0" text="" percent="0" bottom="0">
      <formula>0</formula>
    </cfRule>
    <cfRule type="cellIs" rank="0" priority="365" equalAverage="0" operator="lessThan" aboveAverage="0" dxfId="1" text="" percent="0" bottom="0">
      <formula>0</formula>
    </cfRule>
  </conditionalFormatting>
  <conditionalFormatting sqref="E188">
    <cfRule type="cellIs" rank="0" priority="366" equalAverage="0" operator="greaterThan" aboveAverage="0" dxfId="0" text="" percent="0" bottom="0">
      <formula>0</formula>
    </cfRule>
    <cfRule type="cellIs" rank="0" priority="367" equalAverage="0" operator="lessThan" aboveAverage="0" dxfId="1" text="" percent="0" bottom="0">
      <formula>0</formula>
    </cfRule>
  </conditionalFormatting>
  <conditionalFormatting sqref="E189">
    <cfRule type="cellIs" rank="0" priority="368" equalAverage="0" operator="greaterThan" aboveAverage="0" dxfId="0" text="" percent="0" bottom="0">
      <formula>0</formula>
    </cfRule>
    <cfRule type="cellIs" rank="0" priority="369" equalAverage="0" operator="lessThan" aboveAverage="0" dxfId="1" text="" percent="0" bottom="0">
      <formula>0</formula>
    </cfRule>
  </conditionalFormatting>
  <conditionalFormatting sqref="E190">
    <cfRule type="cellIs" rank="0" priority="370" equalAverage="0" operator="greaterThan" aboveAverage="0" dxfId="0" text="" percent="0" bottom="0">
      <formula>0</formula>
    </cfRule>
    <cfRule type="cellIs" rank="0" priority="371" equalAverage="0" operator="lessThan" aboveAverage="0" dxfId="1" text="" percent="0" bottom="0">
      <formula>0</formula>
    </cfRule>
  </conditionalFormatting>
  <conditionalFormatting sqref="E191">
    <cfRule type="cellIs" rank="0" priority="372" equalAverage="0" operator="greaterThan" aboveAverage="0" dxfId="0" text="" percent="0" bottom="0">
      <formula>0</formula>
    </cfRule>
    <cfRule type="cellIs" rank="0" priority="373" equalAverage="0" operator="lessThan" aboveAverage="0" dxfId="1" text="" percent="0" bottom="0">
      <formula>0</formula>
    </cfRule>
  </conditionalFormatting>
  <conditionalFormatting sqref="E192">
    <cfRule type="cellIs" rank="0" priority="374" equalAverage="0" operator="greaterThan" aboveAverage="0" dxfId="0" text="" percent="0" bottom="0">
      <formula>0</formula>
    </cfRule>
    <cfRule type="cellIs" rank="0" priority="375" equalAverage="0" operator="lessThan" aboveAverage="0" dxfId="1" text="" percent="0" bottom="0">
      <formula>0</formula>
    </cfRule>
  </conditionalFormatting>
  <conditionalFormatting sqref="E193">
    <cfRule type="cellIs" rank="0" priority="376" equalAverage="0" operator="greaterThan" aboveAverage="0" dxfId="0" text="" percent="0" bottom="0">
      <formula>0</formula>
    </cfRule>
    <cfRule type="cellIs" rank="0" priority="377" equalAverage="0" operator="lessThan" aboveAverage="0" dxfId="1" text="" percent="0" bottom="0">
      <formula>0</formula>
    </cfRule>
  </conditionalFormatting>
  <conditionalFormatting sqref="E194">
    <cfRule type="cellIs" rank="0" priority="378" equalAverage="0" operator="greaterThan" aboveAverage="0" dxfId="0" text="" percent="0" bottom="0">
      <formula>0</formula>
    </cfRule>
    <cfRule type="cellIs" rank="0" priority="379" equalAverage="0" operator="lessThan" aboveAverage="0" dxfId="1" text="" percent="0" bottom="0">
      <formula>0</formula>
    </cfRule>
  </conditionalFormatting>
  <conditionalFormatting sqref="E195">
    <cfRule type="cellIs" rank="0" priority="380" equalAverage="0" operator="greaterThan" aboveAverage="0" dxfId="0" text="" percent="0" bottom="0">
      <formula>0</formula>
    </cfRule>
    <cfRule type="cellIs" rank="0" priority="381" equalAverage="0" operator="lessThan" aboveAverage="0" dxfId="1" text="" percent="0" bottom="0">
      <formula>0</formula>
    </cfRule>
  </conditionalFormatting>
  <conditionalFormatting sqref="E196">
    <cfRule type="cellIs" rank="0" priority="382" equalAverage="0" operator="greaterThan" aboveAverage="0" dxfId="0" text="" percent="0" bottom="0">
      <formula>0</formula>
    </cfRule>
    <cfRule type="cellIs" rank="0" priority="383" equalAverage="0" operator="lessThan" aboveAverage="0" dxfId="1" text="" percent="0" bottom="0">
      <formula>0</formula>
    </cfRule>
  </conditionalFormatting>
  <conditionalFormatting sqref="E197">
    <cfRule type="cellIs" rank="0" priority="384" equalAverage="0" operator="greaterThan" aboveAverage="0" dxfId="0" text="" percent="0" bottom="0">
      <formula>0</formula>
    </cfRule>
    <cfRule type="cellIs" rank="0" priority="385" equalAverage="0" operator="lessThan" aboveAverage="0" dxfId="1" text="" percent="0" bottom="0">
      <formula>0</formula>
    </cfRule>
  </conditionalFormatting>
  <conditionalFormatting sqref="E198">
    <cfRule type="cellIs" rank="0" priority="386" equalAverage="0" operator="greaterThan" aboveAverage="0" dxfId="0" text="" percent="0" bottom="0">
      <formula>0</formula>
    </cfRule>
    <cfRule type="cellIs" rank="0" priority="387" equalAverage="0" operator="lessThan" aboveAverage="0" dxfId="1" text="" percent="0" bottom="0">
      <formula>0</formula>
    </cfRule>
  </conditionalFormatting>
  <conditionalFormatting sqref="E199">
    <cfRule type="cellIs" rank="0" priority="388" equalAverage="0" operator="greaterThan" aboveAverage="0" dxfId="0" text="" percent="0" bottom="0">
      <formula>0</formula>
    </cfRule>
    <cfRule type="cellIs" rank="0" priority="389" equalAverage="0" operator="lessThan" aboveAverage="0" dxfId="1" text="" percent="0" bottom="0">
      <formula>0</formula>
    </cfRule>
  </conditionalFormatting>
  <conditionalFormatting sqref="E200">
    <cfRule type="cellIs" rank="0" priority="390" equalAverage="0" operator="greaterThan" aboveAverage="0" dxfId="0" text="" percent="0" bottom="0">
      <formula>0</formula>
    </cfRule>
    <cfRule type="cellIs" rank="0" priority="391" equalAverage="0" operator="lessThan" aboveAverage="0" dxfId="1" text="" percent="0" bottom="0">
      <formula>0</formula>
    </cfRule>
  </conditionalFormatting>
  <conditionalFormatting sqref="E201">
    <cfRule type="cellIs" rank="0" priority="392" equalAverage="0" operator="greaterThan" aboveAverage="0" dxfId="0" text="" percent="0" bottom="0">
      <formula>0</formula>
    </cfRule>
    <cfRule type="cellIs" rank="0" priority="393" equalAverage="0" operator="lessThan" aboveAverage="0" dxfId="1" text="" percent="0" bottom="0">
      <formula>0</formula>
    </cfRule>
  </conditionalFormatting>
  <conditionalFormatting sqref="E202">
    <cfRule type="cellIs" rank="0" priority="394" equalAverage="0" operator="greaterThan" aboveAverage="0" dxfId="0" text="" percent="0" bottom="0">
      <formula>0</formula>
    </cfRule>
    <cfRule type="cellIs" rank="0" priority="395" equalAverage="0" operator="lessThan" aboveAverage="0" dxfId="1" text="" percent="0" bottom="0">
      <formula>0</formula>
    </cfRule>
  </conditionalFormatting>
  <conditionalFormatting sqref="E203">
    <cfRule type="cellIs" rank="0" priority="396" equalAverage="0" operator="greaterThan" aboveAverage="0" dxfId="0" text="" percent="0" bottom="0">
      <formula>0</formula>
    </cfRule>
    <cfRule type="cellIs" rank="0" priority="397" equalAverage="0" operator="lessThan" aboveAverage="0" dxfId="1" text="" percent="0" bottom="0">
      <formula>0</formula>
    </cfRule>
  </conditionalFormatting>
  <conditionalFormatting sqref="E204">
    <cfRule type="cellIs" rank="0" priority="398" equalAverage="0" operator="greaterThan" aboveAverage="0" dxfId="0" text="" percent="0" bottom="0">
      <formula>0</formula>
    </cfRule>
    <cfRule type="cellIs" rank="0" priority="399" equalAverage="0" operator="lessThan" aboveAverage="0" dxfId="1" text="" percent="0" bottom="0">
      <formula>0</formula>
    </cfRule>
  </conditionalFormatting>
  <conditionalFormatting sqref="E205">
    <cfRule type="cellIs" rank="0" priority="400" equalAverage="0" operator="greaterThan" aboveAverage="0" dxfId="0" text="" percent="0" bottom="0">
      <formula>0</formula>
    </cfRule>
    <cfRule type="cellIs" rank="0" priority="401" equalAverage="0" operator="lessThan" aboveAverage="0" dxfId="1" text="" percent="0" bottom="0">
      <formula>0</formula>
    </cfRule>
  </conditionalFormatting>
  <conditionalFormatting sqref="E206">
    <cfRule type="cellIs" rank="0" priority="402" equalAverage="0" operator="greaterThan" aboveAverage="0" dxfId="0" text="" percent="0" bottom="0">
      <formula>0</formula>
    </cfRule>
    <cfRule type="cellIs" rank="0" priority="403" equalAverage="0" operator="lessThan" aboveAverage="0" dxfId="1" text="" percent="0" bottom="0">
      <formula>0</formula>
    </cfRule>
  </conditionalFormatting>
  <conditionalFormatting sqref="E207">
    <cfRule type="cellIs" rank="0" priority="404" equalAverage="0" operator="greaterThan" aboveAverage="0" dxfId="0" text="" percent="0" bottom="0">
      <formula>0</formula>
    </cfRule>
    <cfRule type="cellIs" rank="0" priority="405" equalAverage="0" operator="lessThan" aboveAverage="0" dxfId="1" text="" percent="0" bottom="0">
      <formula>0</formula>
    </cfRule>
  </conditionalFormatting>
  <conditionalFormatting sqref="E208">
    <cfRule type="cellIs" rank="0" priority="406" equalAverage="0" operator="greaterThan" aboveAverage="0" dxfId="0" text="" percent="0" bottom="0">
      <formula>0</formula>
    </cfRule>
    <cfRule type="cellIs" rank="0" priority="407" equalAverage="0" operator="lessThan" aboveAverage="0" dxfId="1" text="" percent="0" bottom="0">
      <formula>0</formula>
    </cfRule>
  </conditionalFormatting>
  <conditionalFormatting sqref="E209">
    <cfRule type="cellIs" rank="0" priority="408" equalAverage="0" operator="greaterThan" aboveAverage="0" dxfId="0" text="" percent="0" bottom="0">
      <formula>0</formula>
    </cfRule>
    <cfRule type="cellIs" rank="0" priority="409" equalAverage="0" operator="lessThan" aboveAverage="0" dxfId="1" text="" percent="0" bottom="0">
      <formula>0</formula>
    </cfRule>
  </conditionalFormatting>
  <conditionalFormatting sqref="E210">
    <cfRule type="cellIs" rank="0" priority="410" equalAverage="0" operator="greaterThan" aboveAverage="0" dxfId="0" text="" percent="0" bottom="0">
      <formula>0</formula>
    </cfRule>
    <cfRule type="cellIs" rank="0" priority="411" equalAverage="0" operator="lessThan" aboveAverage="0" dxfId="1" text="" percent="0" bottom="0">
      <formula>0</formula>
    </cfRule>
  </conditionalFormatting>
  <conditionalFormatting sqref="E211">
    <cfRule type="cellIs" rank="0" priority="412" equalAverage="0" operator="greaterThan" aboveAverage="0" dxfId="0" text="" percent="0" bottom="0">
      <formula>0</formula>
    </cfRule>
    <cfRule type="cellIs" rank="0" priority="413" equalAverage="0" operator="lessThan" aboveAverage="0" dxfId="1" text="" percent="0" bottom="0">
      <formula>0</formula>
    </cfRule>
  </conditionalFormatting>
  <conditionalFormatting sqref="E212">
    <cfRule type="cellIs" rank="0" priority="414" equalAverage="0" operator="greaterThan" aboveAverage="0" dxfId="0" text="" percent="0" bottom="0">
      <formula>0</formula>
    </cfRule>
    <cfRule type="cellIs" rank="0" priority="415" equalAverage="0" operator="lessThan" aboveAverage="0" dxfId="1" text="" percent="0" bottom="0">
      <formula>0</formula>
    </cfRule>
  </conditionalFormatting>
  <conditionalFormatting sqref="E213">
    <cfRule type="cellIs" rank="0" priority="416" equalAverage="0" operator="greaterThan" aboveAverage="0" dxfId="0" text="" percent="0" bottom="0">
      <formula>0</formula>
    </cfRule>
    <cfRule type="cellIs" rank="0" priority="417" equalAverage="0" operator="lessThan" aboveAverage="0" dxfId="1" text="" percent="0" bottom="0">
      <formula>0</formula>
    </cfRule>
  </conditionalFormatting>
  <conditionalFormatting sqref="E214">
    <cfRule type="cellIs" rank="0" priority="418" equalAverage="0" operator="greaterThan" aboveAverage="0" dxfId="0" text="" percent="0" bottom="0">
      <formula>0</formula>
    </cfRule>
    <cfRule type="cellIs" rank="0" priority="419" equalAverage="0" operator="lessThan" aboveAverage="0" dxfId="1" text="" percent="0" bottom="0">
      <formula>0</formula>
    </cfRule>
  </conditionalFormatting>
  <conditionalFormatting sqref="E215">
    <cfRule type="cellIs" rank="0" priority="420" equalAverage="0" operator="greaterThan" aboveAverage="0" dxfId="0" text="" percent="0" bottom="0">
      <formula>0</formula>
    </cfRule>
    <cfRule type="cellIs" rank="0" priority="421" equalAverage="0" operator="lessThan" aboveAverage="0" dxfId="1" text="" percent="0" bottom="0">
      <formula>0</formula>
    </cfRule>
  </conditionalFormatting>
  <conditionalFormatting sqref="E216">
    <cfRule type="cellIs" rank="0" priority="422" equalAverage="0" operator="greaterThan" aboveAverage="0" dxfId="0" text="" percent="0" bottom="0">
      <formula>0</formula>
    </cfRule>
    <cfRule type="cellIs" rank="0" priority="423" equalAverage="0" operator="lessThan" aboveAverage="0" dxfId="1" text="" percent="0" bottom="0">
      <formula>0</formula>
    </cfRule>
  </conditionalFormatting>
  <conditionalFormatting sqref="E217">
    <cfRule type="cellIs" rank="0" priority="424" equalAverage="0" operator="greaterThan" aboveAverage="0" dxfId="0" text="" percent="0" bottom="0">
      <formula>0</formula>
    </cfRule>
    <cfRule type="cellIs" rank="0" priority="425" equalAverage="0" operator="lessThan" aboveAverage="0" dxfId="1" text="" percent="0" bottom="0">
      <formula>0</formula>
    </cfRule>
  </conditionalFormatting>
  <conditionalFormatting sqref="E218">
    <cfRule type="cellIs" rank="0" priority="426" equalAverage="0" operator="greaterThan" aboveAverage="0" dxfId="0" text="" percent="0" bottom="0">
      <formula>0</formula>
    </cfRule>
    <cfRule type="cellIs" rank="0" priority="427" equalAverage="0" operator="lessThan" aboveAverage="0" dxfId="1" text="" percent="0" bottom="0">
      <formula>0</formula>
    </cfRule>
  </conditionalFormatting>
  <conditionalFormatting sqref="E219">
    <cfRule type="cellIs" rank="0" priority="428" equalAverage="0" operator="greaterThan" aboveAverage="0" dxfId="0" text="" percent="0" bottom="0">
      <formula>0</formula>
    </cfRule>
    <cfRule type="cellIs" rank="0" priority="429" equalAverage="0" operator="lessThan" aboveAverage="0" dxfId="1" text="" percent="0" bottom="0">
      <formula>0</formula>
    </cfRule>
  </conditionalFormatting>
  <conditionalFormatting sqref="E220">
    <cfRule type="cellIs" rank="0" priority="430" equalAverage="0" operator="greaterThan" aboveAverage="0" dxfId="0" text="" percent="0" bottom="0">
      <formula>0</formula>
    </cfRule>
    <cfRule type="cellIs" rank="0" priority="431" equalAverage="0" operator="lessThan" aboveAverage="0" dxfId="1" text="" percent="0" bottom="0">
      <formula>0</formula>
    </cfRule>
  </conditionalFormatting>
  <conditionalFormatting sqref="E221">
    <cfRule type="cellIs" rank="0" priority="432" equalAverage="0" operator="greaterThan" aboveAverage="0" dxfId="0" text="" percent="0" bottom="0">
      <formula>0</formula>
    </cfRule>
    <cfRule type="cellIs" rank="0" priority="433" equalAverage="0" operator="lessThan" aboveAverage="0" dxfId="1" text="" percent="0" bottom="0">
      <formula>0</formula>
    </cfRule>
  </conditionalFormatting>
  <conditionalFormatting sqref="E222">
    <cfRule type="cellIs" rank="0" priority="434" equalAverage="0" operator="greaterThan" aboveAverage="0" dxfId="0" text="" percent="0" bottom="0">
      <formula>0</formula>
    </cfRule>
    <cfRule type="cellIs" rank="0" priority="435" equalAverage="0" operator="lessThan" aboveAverage="0" dxfId="1" text="" percent="0" bottom="0">
      <formula>0</formula>
    </cfRule>
  </conditionalFormatting>
  <conditionalFormatting sqref="E223">
    <cfRule type="cellIs" rank="0" priority="436" equalAverage="0" operator="greaterThan" aboveAverage="0" dxfId="0" text="" percent="0" bottom="0">
      <formula>0</formula>
    </cfRule>
    <cfRule type="cellIs" rank="0" priority="437" equalAverage="0" operator="lessThan" aboveAverage="0" dxfId="1" text="" percent="0" bottom="0">
      <formula>0</formula>
    </cfRule>
  </conditionalFormatting>
  <conditionalFormatting sqref="E224">
    <cfRule type="cellIs" rank="0" priority="438" equalAverage="0" operator="greaterThan" aboveAverage="0" dxfId="0" text="" percent="0" bottom="0">
      <formula>0</formula>
    </cfRule>
    <cfRule type="cellIs" rank="0" priority="439" equalAverage="0" operator="lessThan" aboveAverage="0" dxfId="1" text="" percent="0" bottom="0">
      <formula>0</formula>
    </cfRule>
  </conditionalFormatting>
  <conditionalFormatting sqref="E225">
    <cfRule type="cellIs" rank="0" priority="440" equalAverage="0" operator="greaterThan" aboveAverage="0" dxfId="0" text="" percent="0" bottom="0">
      <formula>0</formula>
    </cfRule>
    <cfRule type="cellIs" rank="0" priority="441" equalAverage="0" operator="lessThan" aboveAverage="0" dxfId="1" text="" percent="0" bottom="0">
      <formula>0</formula>
    </cfRule>
  </conditionalFormatting>
  <conditionalFormatting sqref="E226">
    <cfRule type="cellIs" rank="0" priority="442" equalAverage="0" operator="greaterThan" aboveAverage="0" dxfId="0" text="" percent="0" bottom="0">
      <formula>0</formula>
    </cfRule>
    <cfRule type="cellIs" rank="0" priority="443" equalAverage="0" operator="lessThan" aboveAverage="0" dxfId="1" text="" percent="0" bottom="0">
      <formula>0</formula>
    </cfRule>
  </conditionalFormatting>
  <conditionalFormatting sqref="E227">
    <cfRule type="cellIs" rank="0" priority="444" equalAverage="0" operator="greaterThan" aboveAverage="0" dxfId="0" text="" percent="0" bottom="0">
      <formula>0</formula>
    </cfRule>
    <cfRule type="cellIs" rank="0" priority="445" equalAverage="0" operator="lessThan" aboveAverage="0" dxfId="1" text="" percent="0" bottom="0">
      <formula>0</formula>
    </cfRule>
  </conditionalFormatting>
  <conditionalFormatting sqref="E228">
    <cfRule type="cellIs" rank="0" priority="446" equalAverage="0" operator="greaterThan" aboveAverage="0" dxfId="0" text="" percent="0" bottom="0">
      <formula>0</formula>
    </cfRule>
    <cfRule type="cellIs" rank="0" priority="447" equalAverage="0" operator="lessThan" aboveAverage="0" dxfId="1" text="" percent="0" bottom="0">
      <formula>0</formula>
    </cfRule>
  </conditionalFormatting>
  <conditionalFormatting sqref="E229">
    <cfRule type="cellIs" rank="0" priority="448" equalAverage="0" operator="greaterThan" aboveAverage="0" dxfId="0" text="" percent="0" bottom="0">
      <formula>0</formula>
    </cfRule>
    <cfRule type="cellIs" rank="0" priority="449" equalAverage="0" operator="lessThan" aboveAverage="0" dxfId="1" text="" percent="0" bottom="0">
      <formula>0</formula>
    </cfRule>
  </conditionalFormatting>
  <conditionalFormatting sqref="E230">
    <cfRule type="cellIs" rank="0" priority="450" equalAverage="0" operator="greaterThan" aboveAverage="0" dxfId="0" text="" percent="0" bottom="0">
      <formula>0</formula>
    </cfRule>
    <cfRule type="cellIs" rank="0" priority="451" equalAverage="0" operator="lessThan" aboveAverage="0" dxfId="1" text="" percent="0" bottom="0">
      <formula>0</formula>
    </cfRule>
  </conditionalFormatting>
  <conditionalFormatting sqref="E231">
    <cfRule type="cellIs" rank="0" priority="452" equalAverage="0" operator="greaterThan" aboveAverage="0" dxfId="0" text="" percent="0" bottom="0">
      <formula>0</formula>
    </cfRule>
    <cfRule type="cellIs" rank="0" priority="453" equalAverage="0" operator="lessThan" aboveAverage="0" dxfId="1" text="" percent="0" bottom="0">
      <formula>0</formula>
    </cfRule>
  </conditionalFormatting>
  <conditionalFormatting sqref="E232">
    <cfRule type="cellIs" rank="0" priority="454" equalAverage="0" operator="greaterThan" aboveAverage="0" dxfId="0" text="" percent="0" bottom="0">
      <formula>0</formula>
    </cfRule>
    <cfRule type="cellIs" rank="0" priority="455" equalAverage="0" operator="lessThan" aboveAverage="0" dxfId="1" text="" percent="0" bottom="0">
      <formula>0</formula>
    </cfRule>
  </conditionalFormatting>
  <conditionalFormatting sqref="E233">
    <cfRule type="cellIs" rank="0" priority="456" equalAverage="0" operator="greaterThan" aboveAverage="0" dxfId="0" text="" percent="0" bottom="0">
      <formula>0</formula>
    </cfRule>
    <cfRule type="cellIs" rank="0" priority="457" equalAverage="0" operator="lessThan" aboveAverage="0" dxfId="1" text="" percent="0" bottom="0">
      <formula>0</formula>
    </cfRule>
  </conditionalFormatting>
  <conditionalFormatting sqref="E234">
    <cfRule type="cellIs" rank="0" priority="458" equalAverage="0" operator="greaterThan" aboveAverage="0" dxfId="0" text="" percent="0" bottom="0">
      <formula>0</formula>
    </cfRule>
    <cfRule type="cellIs" rank="0" priority="459" equalAverage="0" operator="lessThan" aboveAverage="0" dxfId="1" text="" percent="0" bottom="0">
      <formula>0</formula>
    </cfRule>
  </conditionalFormatting>
  <conditionalFormatting sqref="E235">
    <cfRule type="cellIs" rank="0" priority="460" equalAverage="0" operator="greaterThan" aboveAverage="0" dxfId="0" text="" percent="0" bottom="0">
      <formula>0</formula>
    </cfRule>
    <cfRule type="cellIs" rank="0" priority="461" equalAverage="0" operator="lessThan" aboveAverage="0" dxfId="1" text="" percent="0" bottom="0">
      <formula>0</formula>
    </cfRule>
  </conditionalFormatting>
  <conditionalFormatting sqref="E236">
    <cfRule type="cellIs" rank="0" priority="462" equalAverage="0" operator="greaterThan" aboveAverage="0" dxfId="0" text="" percent="0" bottom="0">
      <formula>0</formula>
    </cfRule>
    <cfRule type="cellIs" rank="0" priority="463" equalAverage="0" operator="lessThan" aboveAverage="0" dxfId="1" text="" percent="0" bottom="0">
      <formula>0</formula>
    </cfRule>
  </conditionalFormatting>
  <conditionalFormatting sqref="E237">
    <cfRule type="cellIs" rank="0" priority="464" equalAverage="0" operator="greaterThan" aboveAverage="0" dxfId="0" text="" percent="0" bottom="0">
      <formula>0</formula>
    </cfRule>
    <cfRule type="cellIs" rank="0" priority="465" equalAverage="0" operator="lessThan" aboveAverage="0" dxfId="1" text="" percent="0" bottom="0">
      <formula>0</formula>
    </cfRule>
  </conditionalFormatting>
  <conditionalFormatting sqref="E238">
    <cfRule type="cellIs" rank="0" priority="466" equalAverage="0" operator="greaterThan" aboveAverage="0" dxfId="0" text="" percent="0" bottom="0">
      <formula>0</formula>
    </cfRule>
    <cfRule type="cellIs" rank="0" priority="467" equalAverage="0" operator="lessThan" aboveAverage="0" dxfId="1" text="" percent="0" bottom="0">
      <formula>0</formula>
    </cfRule>
  </conditionalFormatting>
  <conditionalFormatting sqref="E239">
    <cfRule type="cellIs" rank="0" priority="468" equalAverage="0" operator="greaterThan" aboveAverage="0" dxfId="0" text="" percent="0" bottom="0">
      <formula>0</formula>
    </cfRule>
    <cfRule type="cellIs" rank="0" priority="469" equalAverage="0" operator="lessThan" aboveAverage="0" dxfId="1" text="" percent="0" bottom="0">
      <formula>0</formula>
    </cfRule>
  </conditionalFormatting>
  <conditionalFormatting sqref="E240">
    <cfRule type="cellIs" rank="0" priority="470" equalAverage="0" operator="greaterThan" aboveAverage="0" dxfId="0" text="" percent="0" bottom="0">
      <formula>0</formula>
    </cfRule>
    <cfRule type="cellIs" rank="0" priority="471" equalAverage="0" operator="lessThan" aboveAverage="0" dxfId="1" text="" percent="0" bottom="0">
      <formula>0</formula>
    </cfRule>
  </conditionalFormatting>
  <conditionalFormatting sqref="E241">
    <cfRule type="cellIs" rank="0" priority="472" equalAverage="0" operator="greaterThan" aboveAverage="0" dxfId="0" text="" percent="0" bottom="0">
      <formula>0</formula>
    </cfRule>
    <cfRule type="cellIs" rank="0" priority="473" equalAverage="0" operator="lessThan" aboveAverage="0" dxfId="1" text="" percent="0" bottom="0">
      <formula>0</formula>
    </cfRule>
  </conditionalFormatting>
  <conditionalFormatting sqref="E242">
    <cfRule type="cellIs" rank="0" priority="474" equalAverage="0" operator="greaterThan" aboveAverage="0" dxfId="0" text="" percent="0" bottom="0">
      <formula>0</formula>
    </cfRule>
    <cfRule type="cellIs" rank="0" priority="475" equalAverage="0" operator="lessThan" aboveAverage="0" dxfId="1" text="" percent="0" bottom="0">
      <formula>0</formula>
    </cfRule>
  </conditionalFormatting>
  <conditionalFormatting sqref="E243">
    <cfRule type="cellIs" rank="0" priority="476" equalAverage="0" operator="greaterThan" aboveAverage="0" dxfId="0" text="" percent="0" bottom="0">
      <formula>0</formula>
    </cfRule>
    <cfRule type="cellIs" rank="0" priority="477" equalAverage="0" operator="lessThan" aboveAverage="0" dxfId="1" text="" percent="0" bottom="0">
      <formula>0</formula>
    </cfRule>
  </conditionalFormatting>
  <conditionalFormatting sqref="E244">
    <cfRule type="cellIs" rank="0" priority="478" equalAverage="0" operator="greaterThan" aboveAverage="0" dxfId="0" text="" percent="0" bottom="0">
      <formula>0</formula>
    </cfRule>
    <cfRule type="cellIs" rank="0" priority="479" equalAverage="0" operator="lessThan" aboveAverage="0" dxfId="1" text="" percent="0" bottom="0">
      <formula>0</formula>
    </cfRule>
  </conditionalFormatting>
  <conditionalFormatting sqref="E245">
    <cfRule type="cellIs" rank="0" priority="480" equalAverage="0" operator="greaterThan" aboveAverage="0" dxfId="0" text="" percent="0" bottom="0">
      <formula>0</formula>
    </cfRule>
    <cfRule type="cellIs" rank="0" priority="481" equalAverage="0" operator="lessThan" aboveAverage="0" dxfId="1" text="" percent="0" bottom="0">
      <formula>0</formula>
    </cfRule>
  </conditionalFormatting>
  <conditionalFormatting sqref="E246">
    <cfRule type="cellIs" rank="0" priority="482" equalAverage="0" operator="greaterThan" aboveAverage="0" dxfId="0" text="" percent="0" bottom="0">
      <formula>0</formula>
    </cfRule>
    <cfRule type="cellIs" rank="0" priority="483" equalAverage="0" operator="lessThan" aboveAverage="0" dxfId="1" text="" percent="0" bottom="0">
      <formula>0</formula>
    </cfRule>
  </conditionalFormatting>
  <conditionalFormatting sqref="E247">
    <cfRule type="cellIs" rank="0" priority="484" equalAverage="0" operator="greaterThan" aboveAverage="0" dxfId="0" text="" percent="0" bottom="0">
      <formula>0</formula>
    </cfRule>
    <cfRule type="cellIs" rank="0" priority="485" equalAverage="0" operator="lessThan" aboveAverage="0" dxfId="1" text="" percent="0" bottom="0">
      <formula>0</formula>
    </cfRule>
  </conditionalFormatting>
  <conditionalFormatting sqref="E248">
    <cfRule type="cellIs" rank="0" priority="486" equalAverage="0" operator="greaterThan" aboveAverage="0" dxfId="0" text="" percent="0" bottom="0">
      <formula>0</formula>
    </cfRule>
    <cfRule type="cellIs" rank="0" priority="487" equalAverage="0" operator="lessThan" aboveAverage="0" dxfId="1" text="" percent="0" bottom="0">
      <formula>0</formula>
    </cfRule>
  </conditionalFormatting>
  <conditionalFormatting sqref="E249">
    <cfRule type="cellIs" rank="0" priority="488" equalAverage="0" operator="greaterThan" aboveAverage="0" dxfId="0" text="" percent="0" bottom="0">
      <formula>0</formula>
    </cfRule>
    <cfRule type="cellIs" rank="0" priority="489" equalAverage="0" operator="lessThan" aboveAverage="0" dxfId="1" text="" percent="0" bottom="0">
      <formula>0</formula>
    </cfRule>
  </conditionalFormatting>
  <conditionalFormatting sqref="E250">
    <cfRule type="cellIs" rank="0" priority="490" equalAverage="0" operator="greaterThan" aboveAverage="0" dxfId="0" text="" percent="0" bottom="0">
      <formula>0</formula>
    </cfRule>
    <cfRule type="cellIs" rank="0" priority="491" equalAverage="0" operator="lessThan" aboveAverage="0" dxfId="1" text="" percent="0" bottom="0">
      <formula>0</formula>
    </cfRule>
  </conditionalFormatting>
  <conditionalFormatting sqref="E251">
    <cfRule type="cellIs" rank="0" priority="492" equalAverage="0" operator="greaterThan" aboveAverage="0" dxfId="0" text="" percent="0" bottom="0">
      <formula>0</formula>
    </cfRule>
    <cfRule type="cellIs" rank="0" priority="493" equalAverage="0" operator="lessThan" aboveAverage="0" dxfId="1" text="" percent="0" bottom="0">
      <formula>0</formula>
    </cfRule>
  </conditionalFormatting>
  <conditionalFormatting sqref="E252">
    <cfRule type="cellIs" rank="0" priority="494" equalAverage="0" operator="greaterThan" aboveAverage="0" dxfId="0" text="" percent="0" bottom="0">
      <formula>0</formula>
    </cfRule>
    <cfRule type="cellIs" rank="0" priority="495" equalAverage="0" operator="lessThan" aboveAverage="0" dxfId="1" text="" percent="0" bottom="0">
      <formula>0</formula>
    </cfRule>
  </conditionalFormatting>
  <conditionalFormatting sqref="E253">
    <cfRule type="cellIs" rank="0" priority="496" equalAverage="0" operator="greaterThan" aboveAverage="0" dxfId="0" text="" percent="0" bottom="0">
      <formula>0</formula>
    </cfRule>
    <cfRule type="cellIs" rank="0" priority="497" equalAverage="0" operator="lessThan" aboveAverage="0" dxfId="1" text="" percent="0" bottom="0">
      <formula>0</formula>
    </cfRule>
  </conditionalFormatting>
  <conditionalFormatting sqref="E254">
    <cfRule type="cellIs" rank="0" priority="498" equalAverage="0" operator="greaterThan" aboveAverage="0" dxfId="0" text="" percent="0" bottom="0">
      <formula>0</formula>
    </cfRule>
    <cfRule type="cellIs" rank="0" priority="499" equalAverage="0" operator="lessThan" aboveAverage="0" dxfId="1" text="" percent="0" bottom="0">
      <formula>0</formula>
    </cfRule>
  </conditionalFormatting>
  <conditionalFormatting sqref="E255">
    <cfRule type="cellIs" rank="0" priority="500" equalAverage="0" operator="greaterThan" aboveAverage="0" dxfId="0" text="" percent="0" bottom="0">
      <formula>0</formula>
    </cfRule>
    <cfRule type="cellIs" rank="0" priority="501" equalAverage="0" operator="lessThan" aboveAverage="0" dxfId="1" text="" percent="0" bottom="0">
      <formula>0</formula>
    </cfRule>
  </conditionalFormatting>
  <conditionalFormatting sqref="E256">
    <cfRule type="cellIs" rank="0" priority="502" equalAverage="0" operator="greaterThan" aboveAverage="0" dxfId="0" text="" percent="0" bottom="0">
      <formula>0</formula>
    </cfRule>
    <cfRule type="cellIs" rank="0" priority="503" equalAverage="0" operator="lessThan" aboveAverage="0" dxfId="1" text="" percent="0" bottom="0">
      <formula>0</formula>
    </cfRule>
  </conditionalFormatting>
  <conditionalFormatting sqref="E257">
    <cfRule type="cellIs" rank="0" priority="504" equalAverage="0" operator="greaterThan" aboveAverage="0" dxfId="0" text="" percent="0" bottom="0">
      <formula>0</formula>
    </cfRule>
    <cfRule type="cellIs" rank="0" priority="505" equalAverage="0" operator="lessThan" aboveAverage="0" dxfId="1" text="" percent="0" bottom="0">
      <formula>0</formula>
    </cfRule>
  </conditionalFormatting>
  <conditionalFormatting sqref="E258">
    <cfRule type="cellIs" rank="0" priority="506" equalAverage="0" operator="greaterThan" aboveAverage="0" dxfId="0" text="" percent="0" bottom="0">
      <formula>0</formula>
    </cfRule>
    <cfRule type="cellIs" rank="0" priority="507" equalAverage="0" operator="lessThan" aboveAverage="0" dxfId="1" text="" percent="0" bottom="0">
      <formula>0</formula>
    </cfRule>
  </conditionalFormatting>
  <conditionalFormatting sqref="E259">
    <cfRule type="cellIs" rank="0" priority="508" equalAverage="0" operator="greaterThan" aboveAverage="0" dxfId="0" text="" percent="0" bottom="0">
      <formula>0</formula>
    </cfRule>
    <cfRule type="cellIs" rank="0" priority="509" equalAverage="0" operator="lessThan" aboveAverage="0" dxfId="1" text="" percent="0" bottom="0">
      <formula>0</formula>
    </cfRule>
  </conditionalFormatting>
  <conditionalFormatting sqref="E260">
    <cfRule type="cellIs" rank="0" priority="510" equalAverage="0" operator="greaterThan" aboveAverage="0" dxfId="0" text="" percent="0" bottom="0">
      <formula>0</formula>
    </cfRule>
    <cfRule type="cellIs" rank="0" priority="511" equalAverage="0" operator="lessThan" aboveAverage="0" dxfId="1" text="" percent="0" bottom="0">
      <formula>0</formula>
    </cfRule>
  </conditionalFormatting>
  <conditionalFormatting sqref="E261">
    <cfRule type="cellIs" rank="0" priority="512" equalAverage="0" operator="greaterThan" aboveAverage="0" dxfId="0" text="" percent="0" bottom="0">
      <formula>0</formula>
    </cfRule>
    <cfRule type="cellIs" rank="0" priority="513" equalAverage="0" operator="lessThan" aboveAverage="0" dxfId="1" text="" percent="0" bottom="0">
      <formula>0</formula>
    </cfRule>
  </conditionalFormatting>
  <conditionalFormatting sqref="E262">
    <cfRule type="cellIs" rank="0" priority="514" equalAverage="0" operator="greaterThan" aboveAverage="0" dxfId="0" text="" percent="0" bottom="0">
      <formula>0</formula>
    </cfRule>
    <cfRule type="cellIs" rank="0" priority="515" equalAverage="0" operator="lessThan" aboveAverage="0" dxfId="1" text="" percent="0" bottom="0">
      <formula>0</formula>
    </cfRule>
  </conditionalFormatting>
  <conditionalFormatting sqref="E263">
    <cfRule type="cellIs" rank="0" priority="516" equalAverage="0" operator="greaterThan" aboveAverage="0" dxfId="0" text="" percent="0" bottom="0">
      <formula>0</formula>
    </cfRule>
    <cfRule type="cellIs" rank="0" priority="517" equalAverage="0" operator="lessThan" aboveAverage="0" dxfId="1" text="" percent="0" bottom="0">
      <formula>0</formula>
    </cfRule>
  </conditionalFormatting>
  <conditionalFormatting sqref="E264">
    <cfRule type="cellIs" rank="0" priority="518" equalAverage="0" operator="greaterThan" aboveAverage="0" dxfId="0" text="" percent="0" bottom="0">
      <formula>0</formula>
    </cfRule>
    <cfRule type="cellIs" rank="0" priority="519" equalAverage="0" operator="lessThan" aboveAverage="0" dxfId="1" text="" percent="0" bottom="0">
      <formula>0</formula>
    </cfRule>
  </conditionalFormatting>
  <conditionalFormatting sqref="E265">
    <cfRule type="cellIs" rank="0" priority="520" equalAverage="0" operator="greaterThan" aboveAverage="0" dxfId="0" text="" percent="0" bottom="0">
      <formula>0</formula>
    </cfRule>
    <cfRule type="cellIs" rank="0" priority="521" equalAverage="0" operator="lessThan" aboveAverage="0" dxfId="1" text="" percent="0" bottom="0">
      <formula>0</formula>
    </cfRule>
  </conditionalFormatting>
  <conditionalFormatting sqref="E266">
    <cfRule type="cellIs" rank="0" priority="522" equalAverage="0" operator="greaterThan" aboveAverage="0" dxfId="0" text="" percent="0" bottom="0">
      <formula>0</formula>
    </cfRule>
    <cfRule type="cellIs" rank="0" priority="523" equalAverage="0" operator="lessThan" aboveAverage="0" dxfId="1" text="" percent="0" bottom="0">
      <formula>0</formula>
    </cfRule>
  </conditionalFormatting>
  <conditionalFormatting sqref="E267">
    <cfRule type="cellIs" rank="0" priority="524" equalAverage="0" operator="greaterThan" aboveAverage="0" dxfId="0" text="" percent="0" bottom="0">
      <formula>0</formula>
    </cfRule>
    <cfRule type="cellIs" rank="0" priority="525" equalAverage="0" operator="lessThan" aboveAverage="0" dxfId="1" text="" percent="0" bottom="0">
      <formula>0</formula>
    </cfRule>
  </conditionalFormatting>
  <conditionalFormatting sqref="E268">
    <cfRule type="cellIs" rank="0" priority="526" equalAverage="0" operator="greaterThan" aboveAverage="0" dxfId="0" text="" percent="0" bottom="0">
      <formula>0</formula>
    </cfRule>
    <cfRule type="cellIs" rank="0" priority="527" equalAverage="0" operator="lessThan" aboveAverage="0" dxfId="1" text="" percent="0" bottom="0">
      <formula>0</formula>
    </cfRule>
  </conditionalFormatting>
  <conditionalFormatting sqref="E269">
    <cfRule type="cellIs" rank="0" priority="528" equalAverage="0" operator="greaterThan" aboveAverage="0" dxfId="0" text="" percent="0" bottom="0">
      <formula>0</formula>
    </cfRule>
    <cfRule type="cellIs" rank="0" priority="529" equalAverage="0" operator="lessThan" aboveAverage="0" dxfId="1" text="" percent="0" bottom="0">
      <formula>0</formula>
    </cfRule>
  </conditionalFormatting>
  <conditionalFormatting sqref="E270">
    <cfRule type="cellIs" rank="0" priority="530" equalAverage="0" operator="greaterThan" aboveAverage="0" dxfId="0" text="" percent="0" bottom="0">
      <formula>0</formula>
    </cfRule>
    <cfRule type="cellIs" rank="0" priority="531" equalAverage="0" operator="lessThan" aboveAverage="0" dxfId="1" text="" percent="0" bottom="0">
      <formula>0</formula>
    </cfRule>
  </conditionalFormatting>
  <conditionalFormatting sqref="E271">
    <cfRule type="cellIs" rank="0" priority="532" equalAverage="0" operator="greaterThan" aboveAverage="0" dxfId="0" text="" percent="0" bottom="0">
      <formula>0</formula>
    </cfRule>
    <cfRule type="cellIs" rank="0" priority="533" equalAverage="0" operator="lessThan" aboveAverage="0" dxfId="1" text="" percent="0" bottom="0">
      <formula>0</formula>
    </cfRule>
  </conditionalFormatting>
  <conditionalFormatting sqref="E272">
    <cfRule type="cellIs" rank="0" priority="534" equalAverage="0" operator="greaterThan" aboveAverage="0" dxfId="0" text="" percent="0" bottom="0">
      <formula>0</formula>
    </cfRule>
    <cfRule type="cellIs" rank="0" priority="535" equalAverage="0" operator="lessThan" aboveAverage="0" dxfId="1" text="" percent="0" bottom="0">
      <formula>0</formula>
    </cfRule>
  </conditionalFormatting>
  <conditionalFormatting sqref="E273">
    <cfRule type="cellIs" rank="0" priority="536" equalAverage="0" operator="greaterThan" aboveAverage="0" dxfId="0" text="" percent="0" bottom="0">
      <formula>0</formula>
    </cfRule>
    <cfRule type="cellIs" rank="0" priority="537" equalAverage="0" operator="lessThan" aboveAverage="0" dxfId="1" text="" percent="0" bottom="0">
      <formula>0</formula>
    </cfRule>
  </conditionalFormatting>
  <conditionalFormatting sqref="E274">
    <cfRule type="cellIs" rank="0" priority="538" equalAverage="0" operator="greaterThan" aboveAverage="0" dxfId="0" text="" percent="0" bottom="0">
      <formula>0</formula>
    </cfRule>
    <cfRule type="cellIs" rank="0" priority="539" equalAverage="0" operator="lessThan" aboveAverage="0" dxfId="1" text="" percent="0" bottom="0">
      <formula>0</formula>
    </cfRule>
  </conditionalFormatting>
  <conditionalFormatting sqref="E275">
    <cfRule type="cellIs" rank="0" priority="540" equalAverage="0" operator="greaterThan" aboveAverage="0" dxfId="0" text="" percent="0" bottom="0">
      <formula>0</formula>
    </cfRule>
    <cfRule type="cellIs" rank="0" priority="541" equalAverage="0" operator="lessThan" aboveAverage="0" dxfId="1" text="" percent="0" bottom="0">
      <formula>0</formula>
    </cfRule>
  </conditionalFormatting>
  <conditionalFormatting sqref="E276">
    <cfRule type="cellIs" rank="0" priority="542" equalAverage="0" operator="greaterThan" aboveAverage="0" dxfId="0" text="" percent="0" bottom="0">
      <formula>0</formula>
    </cfRule>
    <cfRule type="cellIs" rank="0" priority="543" equalAverage="0" operator="lessThan" aboveAverage="0" dxfId="1" text="" percent="0" bottom="0">
      <formula>0</formula>
    </cfRule>
  </conditionalFormatting>
  <conditionalFormatting sqref="E277">
    <cfRule type="cellIs" rank="0" priority="544" equalAverage="0" operator="greaterThan" aboveAverage="0" dxfId="0" text="" percent="0" bottom="0">
      <formula>0</formula>
    </cfRule>
    <cfRule type="cellIs" rank="0" priority="545" equalAverage="0" operator="lessThan" aboveAverage="0" dxfId="1" text="" percent="0" bottom="0">
      <formula>0</formula>
    </cfRule>
  </conditionalFormatting>
  <conditionalFormatting sqref="E278">
    <cfRule type="cellIs" rank="0" priority="546" equalAverage="0" operator="greaterThan" aboveAverage="0" dxfId="0" text="" percent="0" bottom="0">
      <formula>0</formula>
    </cfRule>
    <cfRule type="cellIs" rank="0" priority="547" equalAverage="0" operator="lessThan" aboveAverage="0" dxfId="1" text="" percent="0" bottom="0">
      <formula>0</formula>
    </cfRule>
  </conditionalFormatting>
  <conditionalFormatting sqref="E279">
    <cfRule type="cellIs" rank="0" priority="548" equalAverage="0" operator="greaterThan" aboveAverage="0" dxfId="0" text="" percent="0" bottom="0">
      <formula>0</formula>
    </cfRule>
    <cfRule type="cellIs" rank="0" priority="549" equalAverage="0" operator="lessThan" aboveAverage="0" dxfId="1" text="" percent="0" bottom="0">
      <formula>0</formula>
    </cfRule>
  </conditionalFormatting>
  <conditionalFormatting sqref="E280">
    <cfRule type="cellIs" rank="0" priority="550" equalAverage="0" operator="greaterThan" aboveAverage="0" dxfId="0" text="" percent="0" bottom="0">
      <formula>0</formula>
    </cfRule>
    <cfRule type="cellIs" rank="0" priority="551" equalAverage="0" operator="lessThan" aboveAverage="0" dxfId="1" text="" percent="0" bottom="0">
      <formula>0</formula>
    </cfRule>
  </conditionalFormatting>
  <conditionalFormatting sqref="E281">
    <cfRule type="cellIs" rank="0" priority="552" equalAverage="0" operator="greaterThan" aboveAverage="0" dxfId="0" text="" percent="0" bottom="0">
      <formula>0</formula>
    </cfRule>
    <cfRule type="cellIs" rank="0" priority="553" equalAverage="0" operator="lessThan" aboveAverage="0" dxfId="1" text="" percent="0" bottom="0">
      <formula>0</formula>
    </cfRule>
  </conditionalFormatting>
  <conditionalFormatting sqref="E282">
    <cfRule type="cellIs" rank="0" priority="554" equalAverage="0" operator="greaterThan" aboveAverage="0" dxfId="0" text="" percent="0" bottom="0">
      <formula>0</formula>
    </cfRule>
    <cfRule type="cellIs" rank="0" priority="555" equalAverage="0" operator="lessThan" aboveAverage="0" dxfId="1" text="" percent="0" bottom="0">
      <formula>0</formula>
    </cfRule>
  </conditionalFormatting>
  <conditionalFormatting sqref="E283">
    <cfRule type="cellIs" rank="0" priority="556" equalAverage="0" operator="greaterThan" aboveAverage="0" dxfId="0" text="" percent="0" bottom="0">
      <formula>0</formula>
    </cfRule>
    <cfRule type="cellIs" rank="0" priority="557" equalAverage="0" operator="lessThan" aboveAverage="0" dxfId="1" text="" percent="0" bottom="0">
      <formula>0</formula>
    </cfRule>
  </conditionalFormatting>
  <conditionalFormatting sqref="E284">
    <cfRule type="cellIs" rank="0" priority="558" equalAverage="0" operator="greaterThan" aboveAverage="0" dxfId="0" text="" percent="0" bottom="0">
      <formula>0</formula>
    </cfRule>
    <cfRule type="cellIs" rank="0" priority="559" equalAverage="0" operator="lessThan" aboveAverage="0" dxfId="1" text="" percent="0" bottom="0">
      <formula>0</formula>
    </cfRule>
  </conditionalFormatting>
  <conditionalFormatting sqref="E285">
    <cfRule type="cellIs" rank="0" priority="560" equalAverage="0" operator="greaterThan" aboveAverage="0" dxfId="0" text="" percent="0" bottom="0">
      <formula>0</formula>
    </cfRule>
    <cfRule type="cellIs" rank="0" priority="561" equalAverage="0" operator="lessThan" aboveAverage="0" dxfId="1" text="" percent="0" bottom="0">
      <formula>0</formula>
    </cfRule>
  </conditionalFormatting>
  <conditionalFormatting sqref="E286">
    <cfRule type="cellIs" rank="0" priority="562" equalAverage="0" operator="greaterThan" aboveAverage="0" dxfId="0" text="" percent="0" bottom="0">
      <formula>0</formula>
    </cfRule>
    <cfRule type="cellIs" rank="0" priority="563" equalAverage="0" operator="lessThan" aboveAverage="0" dxfId="1" text="" percent="0" bottom="0">
      <formula>0</formula>
    </cfRule>
  </conditionalFormatting>
  <conditionalFormatting sqref="E287">
    <cfRule type="cellIs" rank="0" priority="564" equalAverage="0" operator="greaterThan" aboveAverage="0" dxfId="0" text="" percent="0" bottom="0">
      <formula>0</formula>
    </cfRule>
    <cfRule type="cellIs" rank="0" priority="565" equalAverage="0" operator="lessThan" aboveAverage="0" dxfId="1" text="" percent="0" bottom="0">
      <formula>0</formula>
    </cfRule>
  </conditionalFormatting>
  <conditionalFormatting sqref="E288">
    <cfRule type="cellIs" rank="0" priority="566" equalAverage="0" operator="greaterThan" aboveAverage="0" dxfId="0" text="" percent="0" bottom="0">
      <formula>0</formula>
    </cfRule>
    <cfRule type="cellIs" rank="0" priority="567" equalAverage="0" operator="lessThan" aboveAverage="0" dxfId="1" text="" percent="0" bottom="0">
      <formula>0</formula>
    </cfRule>
  </conditionalFormatting>
  <conditionalFormatting sqref="E289">
    <cfRule type="cellIs" rank="0" priority="568" equalAverage="0" operator="greaterThan" aboveAverage="0" dxfId="0" text="" percent="0" bottom="0">
      <formula>0</formula>
    </cfRule>
    <cfRule type="cellIs" rank="0" priority="569" equalAverage="0" operator="lessThan" aboveAverage="0" dxfId="1" text="" percent="0" bottom="0">
      <formula>0</formula>
    </cfRule>
  </conditionalFormatting>
  <conditionalFormatting sqref="E290">
    <cfRule type="cellIs" rank="0" priority="570" equalAverage="0" operator="greaterThan" aboveAverage="0" dxfId="0" text="" percent="0" bottom="0">
      <formula>0</formula>
    </cfRule>
    <cfRule type="cellIs" rank="0" priority="571" equalAverage="0" operator="lessThan" aboveAverage="0" dxfId="1" text="" percent="0" bottom="0">
      <formula>0</formula>
    </cfRule>
  </conditionalFormatting>
  <conditionalFormatting sqref="E291">
    <cfRule type="cellIs" rank="0" priority="572" equalAverage="0" operator="greaterThan" aboveAverage="0" dxfId="0" text="" percent="0" bottom="0">
      <formula>0</formula>
    </cfRule>
    <cfRule type="cellIs" rank="0" priority="573" equalAverage="0" operator="lessThan" aboveAverage="0" dxfId="1" text="" percent="0" bottom="0">
      <formula>0</formula>
    </cfRule>
  </conditionalFormatting>
  <conditionalFormatting sqref="E292">
    <cfRule type="cellIs" rank="0" priority="574" equalAverage="0" operator="greaterThan" aboveAverage="0" dxfId="0" text="" percent="0" bottom="0">
      <formula>0</formula>
    </cfRule>
    <cfRule type="cellIs" rank="0" priority="575" equalAverage="0" operator="lessThan" aboveAverage="0" dxfId="1" text="" percent="0" bottom="0">
      <formula>0</formula>
    </cfRule>
  </conditionalFormatting>
  <conditionalFormatting sqref="E293">
    <cfRule type="cellIs" rank="0" priority="576" equalAverage="0" operator="greaterThan" aboveAverage="0" dxfId="0" text="" percent="0" bottom="0">
      <formula>0</formula>
    </cfRule>
    <cfRule type="cellIs" rank="0" priority="577" equalAverage="0" operator="lessThan" aboveAverage="0" dxfId="1" text="" percent="0" bottom="0">
      <formula>0</formula>
    </cfRule>
  </conditionalFormatting>
  <conditionalFormatting sqref="E294">
    <cfRule type="cellIs" rank="0" priority="578" equalAverage="0" operator="greaterThan" aboveAverage="0" dxfId="0" text="" percent="0" bottom="0">
      <formula>0</formula>
    </cfRule>
    <cfRule type="cellIs" rank="0" priority="579" equalAverage="0" operator="lessThan" aboveAverage="0" dxfId="1" text="" percent="0" bottom="0">
      <formula>0</formula>
    </cfRule>
  </conditionalFormatting>
  <conditionalFormatting sqref="E295">
    <cfRule type="cellIs" rank="0" priority="580" equalAverage="0" operator="greaterThan" aboveAverage="0" dxfId="0" text="" percent="0" bottom="0">
      <formula>0</formula>
    </cfRule>
    <cfRule type="cellIs" rank="0" priority="581" equalAverage="0" operator="lessThan" aboveAverage="0" dxfId="1" text="" percent="0" bottom="0">
      <formula>0</formula>
    </cfRule>
  </conditionalFormatting>
  <conditionalFormatting sqref="E296">
    <cfRule type="cellIs" rank="0" priority="582" equalAverage="0" operator="greaterThan" aboveAverage="0" dxfId="0" text="" percent="0" bottom="0">
      <formula>0</formula>
    </cfRule>
    <cfRule type="cellIs" rank="0" priority="583" equalAverage="0" operator="lessThan" aboveAverage="0" dxfId="1" text="" percent="0" bottom="0">
      <formula>0</formula>
    </cfRule>
  </conditionalFormatting>
  <conditionalFormatting sqref="E297">
    <cfRule type="cellIs" rank="0" priority="584" equalAverage="0" operator="greaterThan" aboveAverage="0" dxfId="0" text="" percent="0" bottom="0">
      <formula>0</formula>
    </cfRule>
    <cfRule type="cellIs" rank="0" priority="585" equalAverage="0" operator="lessThan" aboveAverage="0" dxfId="1" text="" percent="0" bottom="0">
      <formula>0</formula>
    </cfRule>
  </conditionalFormatting>
  <conditionalFormatting sqref="E298">
    <cfRule type="cellIs" rank="0" priority="586" equalAverage="0" operator="greaterThan" aboveAverage="0" dxfId="0" text="" percent="0" bottom="0">
      <formula>0</formula>
    </cfRule>
    <cfRule type="cellIs" rank="0" priority="587" equalAverage="0" operator="lessThan" aboveAverage="0" dxfId="1" text="" percent="0" bottom="0">
      <formula>0</formula>
    </cfRule>
  </conditionalFormatting>
  <conditionalFormatting sqref="E299">
    <cfRule type="cellIs" rank="0" priority="588" equalAverage="0" operator="greaterThan" aboveAverage="0" dxfId="0" text="" percent="0" bottom="0">
      <formula>0</formula>
    </cfRule>
    <cfRule type="cellIs" rank="0" priority="589" equalAverage="0" operator="lessThan" aboveAverage="0" dxfId="1" text="" percent="0" bottom="0">
      <formula>0</formula>
    </cfRule>
  </conditionalFormatting>
  <conditionalFormatting sqref="E300">
    <cfRule type="cellIs" rank="0" priority="590" equalAverage="0" operator="greaterThan" aboveAverage="0" dxfId="0" text="" percent="0" bottom="0">
      <formula>0</formula>
    </cfRule>
    <cfRule type="cellIs" rank="0" priority="591" equalAverage="0" operator="lessThan" aboveAverage="0" dxfId="1" text="" percent="0" bottom="0">
      <formula>0</formula>
    </cfRule>
  </conditionalFormatting>
  <conditionalFormatting sqref="E301">
    <cfRule type="cellIs" rank="0" priority="592" equalAverage="0" operator="greaterThan" aboveAverage="0" dxfId="0" text="" percent="0" bottom="0">
      <formula>0</formula>
    </cfRule>
    <cfRule type="cellIs" rank="0" priority="593" equalAverage="0" operator="lessThan" aboveAverage="0" dxfId="1" text="" percent="0" bottom="0">
      <formula>0</formula>
    </cfRule>
  </conditionalFormatting>
  <conditionalFormatting sqref="E302">
    <cfRule type="cellIs" rank="0" priority="594" equalAverage="0" operator="greaterThan" aboveAverage="0" dxfId="0" text="" percent="0" bottom="0">
      <formula>0</formula>
    </cfRule>
    <cfRule type="cellIs" rank="0" priority="595" equalAverage="0" operator="lessThan" aboveAverage="0" dxfId="1" text="" percent="0" bottom="0">
      <formula>0</formula>
    </cfRule>
  </conditionalFormatting>
  <conditionalFormatting sqref="E303">
    <cfRule type="cellIs" rank="0" priority="596" equalAverage="0" operator="greaterThan" aboveAverage="0" dxfId="0" text="" percent="0" bottom="0">
      <formula>0</formula>
    </cfRule>
    <cfRule type="cellIs" rank="0" priority="597" equalAverage="0" operator="lessThan" aboveAverage="0" dxfId="1" text="" percent="0" bottom="0">
      <formula>0</formula>
    </cfRule>
  </conditionalFormatting>
  <conditionalFormatting sqref="E304">
    <cfRule type="cellIs" rank="0" priority="598" equalAverage="0" operator="greaterThan" aboveAverage="0" dxfId="0" text="" percent="0" bottom="0">
      <formula>0</formula>
    </cfRule>
    <cfRule type="cellIs" rank="0" priority="599" equalAverage="0" operator="lessThan" aboveAverage="0" dxfId="1" text="" percent="0" bottom="0">
      <formula>0</formula>
    </cfRule>
  </conditionalFormatting>
  <conditionalFormatting sqref="E305">
    <cfRule type="cellIs" rank="0" priority="600" equalAverage="0" operator="greaterThan" aboveAverage="0" dxfId="0" text="" percent="0" bottom="0">
      <formula>0</formula>
    </cfRule>
    <cfRule type="cellIs" rank="0" priority="601" equalAverage="0" operator="lessThan" aboveAverage="0" dxfId="1" text="" percent="0" bottom="0">
      <formula>0</formula>
    </cfRule>
  </conditionalFormatting>
  <conditionalFormatting sqref="E306">
    <cfRule type="cellIs" rank="0" priority="602" equalAverage="0" operator="greaterThan" aboveAverage="0" dxfId="0" text="" percent="0" bottom="0">
      <formula>0</formula>
    </cfRule>
    <cfRule type="cellIs" rank="0" priority="603" equalAverage="0" operator="lessThan" aboveAverage="0" dxfId="1" text="" percent="0" bottom="0">
      <formula>0</formula>
    </cfRule>
  </conditionalFormatting>
  <conditionalFormatting sqref="E307">
    <cfRule type="cellIs" rank="0" priority="604" equalAverage="0" operator="greaterThan" aboveAverage="0" dxfId="0" text="" percent="0" bottom="0">
      <formula>0</formula>
    </cfRule>
    <cfRule type="cellIs" rank="0" priority="605" equalAverage="0" operator="lessThan" aboveAverage="0" dxfId="1" text="" percent="0" bottom="0">
      <formula>0</formula>
    </cfRule>
  </conditionalFormatting>
  <conditionalFormatting sqref="E308">
    <cfRule type="cellIs" rank="0" priority="606" equalAverage="0" operator="greaterThan" aboveAverage="0" dxfId="0" text="" percent="0" bottom="0">
      <formula>0</formula>
    </cfRule>
    <cfRule type="cellIs" rank="0" priority="607" equalAverage="0" operator="lessThan" aboveAverage="0" dxfId="1" text="" percent="0" bottom="0">
      <formula>0</formula>
    </cfRule>
  </conditionalFormatting>
  <conditionalFormatting sqref="E309">
    <cfRule type="cellIs" rank="0" priority="608" equalAverage="0" operator="greaterThan" aboveAverage="0" dxfId="0" text="" percent="0" bottom="0">
      <formula>0</formula>
    </cfRule>
    <cfRule type="cellIs" rank="0" priority="609" equalAverage="0" operator="lessThan" aboveAverage="0" dxfId="1" text="" percent="0" bottom="0">
      <formula>0</formula>
    </cfRule>
  </conditionalFormatting>
  <conditionalFormatting sqref="E310">
    <cfRule type="cellIs" rank="0" priority="610" equalAverage="0" operator="greaterThan" aboveAverage="0" dxfId="0" text="" percent="0" bottom="0">
      <formula>0</formula>
    </cfRule>
    <cfRule type="cellIs" rank="0" priority="611" equalAverage="0" operator="lessThan" aboveAverage="0" dxfId="1" text="" percent="0" bottom="0">
      <formula>0</formula>
    </cfRule>
  </conditionalFormatting>
  <conditionalFormatting sqref="E311">
    <cfRule type="cellIs" rank="0" priority="612" equalAverage="0" operator="greaterThan" aboveAverage="0" dxfId="0" text="" percent="0" bottom="0">
      <formula>0</formula>
    </cfRule>
    <cfRule type="cellIs" rank="0" priority="613" equalAverage="0" operator="lessThan" aboveAverage="0" dxfId="1" text="" percent="0" bottom="0">
      <formula>0</formula>
    </cfRule>
  </conditionalFormatting>
  <conditionalFormatting sqref="E312">
    <cfRule type="cellIs" rank="0" priority="614" equalAverage="0" operator="greaterThan" aboveAverage="0" dxfId="0" text="" percent="0" bottom="0">
      <formula>0</formula>
    </cfRule>
    <cfRule type="cellIs" rank="0" priority="615" equalAverage="0" operator="lessThan" aboveAverage="0" dxfId="1" text="" percent="0" bottom="0">
      <formula>0</formula>
    </cfRule>
  </conditionalFormatting>
  <conditionalFormatting sqref="E313">
    <cfRule type="cellIs" rank="0" priority="616" equalAverage="0" operator="greaterThan" aboveAverage="0" dxfId="0" text="" percent="0" bottom="0">
      <formula>0</formula>
    </cfRule>
    <cfRule type="cellIs" rank="0" priority="617" equalAverage="0" operator="lessThan" aboveAverage="0" dxfId="1" text="" percent="0" bottom="0">
      <formula>0</formula>
    </cfRule>
  </conditionalFormatting>
  <conditionalFormatting sqref="E314">
    <cfRule type="cellIs" rank="0" priority="618" equalAverage="0" operator="greaterThan" aboveAverage="0" dxfId="0" text="" percent="0" bottom="0">
      <formula>0</formula>
    </cfRule>
    <cfRule type="cellIs" rank="0" priority="619" equalAverage="0" operator="lessThan" aboveAverage="0" dxfId="1" text="" percent="0" bottom="0">
      <formula>0</formula>
    </cfRule>
  </conditionalFormatting>
  <conditionalFormatting sqref="E315">
    <cfRule type="cellIs" rank="0" priority="620" equalAverage="0" operator="greaterThan" aboveAverage="0" dxfId="0" text="" percent="0" bottom="0">
      <formula>0</formula>
    </cfRule>
    <cfRule type="cellIs" rank="0" priority="621" equalAverage="0" operator="lessThan" aboveAverage="0" dxfId="1" text="" percent="0" bottom="0">
      <formula>0</formula>
    </cfRule>
  </conditionalFormatting>
  <conditionalFormatting sqref="E316">
    <cfRule type="cellIs" rank="0" priority="622" equalAverage="0" operator="greaterThan" aboveAverage="0" dxfId="0" text="" percent="0" bottom="0">
      <formula>0</formula>
    </cfRule>
    <cfRule type="cellIs" rank="0" priority="623" equalAverage="0" operator="lessThan" aboveAverage="0" dxfId="1" text="" percent="0" bottom="0">
      <formula>0</formula>
    </cfRule>
  </conditionalFormatting>
  <conditionalFormatting sqref="E317">
    <cfRule type="cellIs" rank="0" priority="624" equalAverage="0" operator="greaterThan" aboveAverage="0" dxfId="0" text="" percent="0" bottom="0">
      <formula>0</formula>
    </cfRule>
    <cfRule type="cellIs" rank="0" priority="625" equalAverage="0" operator="lessThan" aboveAverage="0" dxfId="1" text="" percent="0" bottom="0">
      <formula>0</formula>
    </cfRule>
  </conditionalFormatting>
  <conditionalFormatting sqref="E318">
    <cfRule type="cellIs" rank="0" priority="626" equalAverage="0" operator="greaterThan" aboveAverage="0" dxfId="0" text="" percent="0" bottom="0">
      <formula>0</formula>
    </cfRule>
    <cfRule type="cellIs" rank="0" priority="627" equalAverage="0" operator="lessThan" aboveAverage="0" dxfId="1" text="" percent="0" bottom="0">
      <formula>0</formula>
    </cfRule>
  </conditionalFormatting>
  <conditionalFormatting sqref="E319">
    <cfRule type="cellIs" rank="0" priority="628" equalAverage="0" operator="greaterThan" aboveAverage="0" dxfId="0" text="" percent="0" bottom="0">
      <formula>0</formula>
    </cfRule>
    <cfRule type="cellIs" rank="0" priority="629" equalAverage="0" operator="lessThan" aboveAverage="0" dxfId="1" text="" percent="0" bottom="0">
      <formula>0</formula>
    </cfRule>
  </conditionalFormatting>
  <conditionalFormatting sqref="E320">
    <cfRule type="cellIs" rank="0" priority="630" equalAverage="0" operator="greaterThan" aboveAverage="0" dxfId="0" text="" percent="0" bottom="0">
      <formula>0</formula>
    </cfRule>
    <cfRule type="cellIs" rank="0" priority="631" equalAverage="0" operator="lessThan" aboveAverage="0" dxfId="1" text="" percent="0" bottom="0">
      <formula>0</formula>
    </cfRule>
  </conditionalFormatting>
  <conditionalFormatting sqref="E321">
    <cfRule type="cellIs" rank="0" priority="632" equalAverage="0" operator="greaterThan" aboveAverage="0" dxfId="0" text="" percent="0" bottom="0">
      <formula>0</formula>
    </cfRule>
    <cfRule type="cellIs" rank="0" priority="633" equalAverage="0" operator="lessThan" aboveAverage="0" dxfId="1" text="" percent="0" bottom="0">
      <formula>0</formula>
    </cfRule>
  </conditionalFormatting>
  <conditionalFormatting sqref="E322">
    <cfRule type="cellIs" rank="0" priority="634" equalAverage="0" operator="greaterThan" aboveAverage="0" dxfId="0" text="" percent="0" bottom="0">
      <formula>0</formula>
    </cfRule>
    <cfRule type="cellIs" rank="0" priority="635" equalAverage="0" operator="lessThan" aboveAverage="0" dxfId="1" text="" percent="0" bottom="0">
      <formula>0</formula>
    </cfRule>
  </conditionalFormatting>
  <conditionalFormatting sqref="E323">
    <cfRule type="cellIs" rank="0" priority="636" equalAverage="0" operator="greaterThan" aboveAverage="0" dxfId="0" text="" percent="0" bottom="0">
      <formula>0</formula>
    </cfRule>
    <cfRule type="cellIs" rank="0" priority="637" equalAverage="0" operator="lessThan" aboveAverage="0" dxfId="1" text="" percent="0" bottom="0">
      <formula>0</formula>
    </cfRule>
  </conditionalFormatting>
  <conditionalFormatting sqref="E324">
    <cfRule type="cellIs" rank="0" priority="638" equalAverage="0" operator="greaterThan" aboveAverage="0" dxfId="0" text="" percent="0" bottom="0">
      <formula>0</formula>
    </cfRule>
    <cfRule type="cellIs" rank="0" priority="639" equalAverage="0" operator="lessThan" aboveAverage="0" dxfId="1" text="" percent="0" bottom="0">
      <formula>0</formula>
    </cfRule>
  </conditionalFormatting>
  <conditionalFormatting sqref="E325">
    <cfRule type="cellIs" rank="0" priority="640" equalAverage="0" operator="greaterThan" aboveAverage="0" dxfId="0" text="" percent="0" bottom="0">
      <formula>0</formula>
    </cfRule>
    <cfRule type="cellIs" rank="0" priority="641" equalAverage="0" operator="lessThan" aboveAverage="0" dxfId="1" text="" percent="0" bottom="0">
      <formula>0</formula>
    </cfRule>
  </conditionalFormatting>
  <conditionalFormatting sqref="E326">
    <cfRule type="cellIs" rank="0" priority="642" equalAverage="0" operator="greaterThan" aboveAverage="0" dxfId="0" text="" percent="0" bottom="0">
      <formula>0</formula>
    </cfRule>
    <cfRule type="cellIs" rank="0" priority="643" equalAverage="0" operator="lessThan" aboveAverage="0" dxfId="1" text="" percent="0" bottom="0">
      <formula>0</formula>
    </cfRule>
  </conditionalFormatting>
  <conditionalFormatting sqref="E327">
    <cfRule type="cellIs" rank="0" priority="644" equalAverage="0" operator="greaterThan" aboveAverage="0" dxfId="0" text="" percent="0" bottom="0">
      <formula>0</formula>
    </cfRule>
    <cfRule type="cellIs" rank="0" priority="645" equalAverage="0" operator="lessThan" aboveAverage="0" dxfId="1" text="" percent="0" bottom="0">
      <formula>0</formula>
    </cfRule>
  </conditionalFormatting>
  <conditionalFormatting sqref="E328">
    <cfRule type="cellIs" rank="0" priority="646" equalAverage="0" operator="greaterThan" aboveAverage="0" dxfId="0" text="" percent="0" bottom="0">
      <formula>0</formula>
    </cfRule>
    <cfRule type="cellIs" rank="0" priority="647" equalAverage="0" operator="lessThan" aboveAverage="0" dxfId="1" text="" percent="0" bottom="0">
      <formula>0</formula>
    </cfRule>
  </conditionalFormatting>
  <conditionalFormatting sqref="E329">
    <cfRule type="cellIs" rank="0" priority="648" equalAverage="0" operator="greaterThan" aboveAverage="0" dxfId="0" text="" percent="0" bottom="0">
      <formula>0</formula>
    </cfRule>
    <cfRule type="cellIs" rank="0" priority="649" equalAverage="0" operator="lessThan" aboveAverage="0" dxfId="1" text="" percent="0" bottom="0">
      <formula>0</formula>
    </cfRule>
  </conditionalFormatting>
  <conditionalFormatting sqref="E330">
    <cfRule type="cellIs" rank="0" priority="650" equalAverage="0" operator="greaterThan" aboveAverage="0" dxfId="0" text="" percent="0" bottom="0">
      <formula>0</formula>
    </cfRule>
    <cfRule type="cellIs" rank="0" priority="651" equalAverage="0" operator="lessThan" aboveAverage="0" dxfId="1" text="" percent="0" bottom="0">
      <formula>0</formula>
    </cfRule>
  </conditionalFormatting>
  <conditionalFormatting sqref="E331">
    <cfRule type="cellIs" rank="0" priority="652" equalAverage="0" operator="greaterThan" aboveAverage="0" dxfId="0" text="" percent="0" bottom="0">
      <formula>0</formula>
    </cfRule>
    <cfRule type="cellIs" rank="0" priority="653" equalAverage="0" operator="lessThan" aboveAverage="0" dxfId="1" text="" percent="0" bottom="0">
      <formula>0</formula>
    </cfRule>
  </conditionalFormatting>
  <conditionalFormatting sqref="E332">
    <cfRule type="cellIs" rank="0" priority="654" equalAverage="0" operator="greaterThan" aboveAverage="0" dxfId="0" text="" percent="0" bottom="0">
      <formula>0</formula>
    </cfRule>
    <cfRule type="cellIs" rank="0" priority="655" equalAverage="0" operator="lessThan" aboveAverage="0" dxfId="1" text="" percent="0" bottom="0">
      <formula>0</formula>
    </cfRule>
  </conditionalFormatting>
  <conditionalFormatting sqref="E333">
    <cfRule type="cellIs" rank="0" priority="656" equalAverage="0" operator="greaterThan" aboveAverage="0" dxfId="0" text="" percent="0" bottom="0">
      <formula>0</formula>
    </cfRule>
    <cfRule type="cellIs" rank="0" priority="657" equalAverage="0" operator="lessThan" aboveAverage="0" dxfId="1" text="" percent="0" bottom="0">
      <formula>0</formula>
    </cfRule>
  </conditionalFormatting>
  <conditionalFormatting sqref="E334">
    <cfRule type="cellIs" rank="0" priority="658" equalAverage="0" operator="greaterThan" aboveAverage="0" dxfId="0" text="" percent="0" bottom="0">
      <formula>0</formula>
    </cfRule>
    <cfRule type="cellIs" rank="0" priority="659" equalAverage="0" operator="lessThan" aboveAverage="0" dxfId="1" text="" percent="0" bottom="0">
      <formula>0</formula>
    </cfRule>
  </conditionalFormatting>
  <conditionalFormatting sqref="E335">
    <cfRule type="cellIs" rank="0" priority="660" equalAverage="0" operator="greaterThan" aboveAverage="0" dxfId="0" text="" percent="0" bottom="0">
      <formula>0</formula>
    </cfRule>
    <cfRule type="cellIs" rank="0" priority="661" equalAverage="0" operator="lessThan" aboveAverage="0" dxfId="1" text="" percent="0" bottom="0">
      <formula>0</formula>
    </cfRule>
  </conditionalFormatting>
  <conditionalFormatting sqref="E336">
    <cfRule type="cellIs" rank="0" priority="662" equalAverage="0" operator="greaterThan" aboveAverage="0" dxfId="0" text="" percent="0" bottom="0">
      <formula>0</formula>
    </cfRule>
    <cfRule type="cellIs" rank="0" priority="663" equalAverage="0" operator="lessThan" aboveAverage="0" dxfId="1" text="" percent="0" bottom="0">
      <formula>0</formula>
    </cfRule>
  </conditionalFormatting>
  <conditionalFormatting sqref="E337">
    <cfRule type="cellIs" rank="0" priority="664" equalAverage="0" operator="greaterThan" aboveAverage="0" dxfId="0" text="" percent="0" bottom="0">
      <formula>0</formula>
    </cfRule>
    <cfRule type="cellIs" rank="0" priority="665" equalAverage="0" operator="lessThan" aboveAverage="0" dxfId="1" text="" percent="0" bottom="0">
      <formula>0</formula>
    </cfRule>
  </conditionalFormatting>
  <conditionalFormatting sqref="E338">
    <cfRule type="cellIs" rank="0" priority="666" equalAverage="0" operator="greaterThan" aboveAverage="0" dxfId="0" text="" percent="0" bottom="0">
      <formula>0</formula>
    </cfRule>
    <cfRule type="cellIs" rank="0" priority="667" equalAverage="0" operator="lessThan" aboveAverage="0" dxfId="1" text="" percent="0" bottom="0">
      <formula>0</formula>
    </cfRule>
  </conditionalFormatting>
  <conditionalFormatting sqref="E339">
    <cfRule type="cellIs" rank="0" priority="668" equalAverage="0" operator="greaterThan" aboveAverage="0" dxfId="0" text="" percent="0" bottom="0">
      <formula>0</formula>
    </cfRule>
    <cfRule type="cellIs" rank="0" priority="669" equalAverage="0" operator="lessThan" aboveAverage="0" dxfId="1" text="" percent="0" bottom="0">
      <formula>0</formula>
    </cfRule>
  </conditionalFormatting>
  <conditionalFormatting sqref="E340">
    <cfRule type="cellIs" rank="0" priority="670" equalAverage="0" operator="greaterThan" aboveAverage="0" dxfId="0" text="" percent="0" bottom="0">
      <formula>0</formula>
    </cfRule>
    <cfRule type="cellIs" rank="0" priority="671" equalAverage="0" operator="lessThan" aboveAverage="0" dxfId="1" text="" percent="0" bottom="0">
      <formula>0</formula>
    </cfRule>
  </conditionalFormatting>
  <conditionalFormatting sqref="E341">
    <cfRule type="cellIs" rank="0" priority="672" equalAverage="0" operator="greaterThan" aboveAverage="0" dxfId="0" text="" percent="0" bottom="0">
      <formula>0</formula>
    </cfRule>
    <cfRule type="cellIs" rank="0" priority="673" equalAverage="0" operator="lessThan" aboveAverage="0" dxfId="1" text="" percent="0" bottom="0">
      <formula>0</formula>
    </cfRule>
  </conditionalFormatting>
  <conditionalFormatting sqref="E342">
    <cfRule type="cellIs" rank="0" priority="674" equalAverage="0" operator="greaterThan" aboveAverage="0" dxfId="0" text="" percent="0" bottom="0">
      <formula>0</formula>
    </cfRule>
    <cfRule type="cellIs" rank="0" priority="675" equalAverage="0" operator="lessThan" aboveAverage="0" dxfId="1" text="" percent="0" bottom="0">
      <formula>0</formula>
    </cfRule>
  </conditionalFormatting>
  <conditionalFormatting sqref="E343">
    <cfRule type="cellIs" rank="0" priority="676" equalAverage="0" operator="greaterThan" aboveAverage="0" dxfId="0" text="" percent="0" bottom="0">
      <formula>0</formula>
    </cfRule>
    <cfRule type="cellIs" rank="0" priority="677" equalAverage="0" operator="lessThan" aboveAverage="0" dxfId="1" text="" percent="0" bottom="0">
      <formula>0</formula>
    </cfRule>
  </conditionalFormatting>
  <conditionalFormatting sqref="E344">
    <cfRule type="cellIs" rank="0" priority="678" equalAverage="0" operator="greaterThan" aboveAverage="0" dxfId="0" text="" percent="0" bottom="0">
      <formula>0</formula>
    </cfRule>
    <cfRule type="cellIs" rank="0" priority="679" equalAverage="0" operator="lessThan" aboveAverage="0" dxfId="1" text="" percent="0" bottom="0">
      <formula>0</formula>
    </cfRule>
  </conditionalFormatting>
  <conditionalFormatting sqref="E345">
    <cfRule type="cellIs" rank="0" priority="680" equalAverage="0" operator="greaterThan" aboveAverage="0" dxfId="0" text="" percent="0" bottom="0">
      <formula>0</formula>
    </cfRule>
    <cfRule type="cellIs" rank="0" priority="681" equalAverage="0" operator="lessThan" aboveAverage="0" dxfId="1" text="" percent="0" bottom="0">
      <formula>0</formula>
    </cfRule>
  </conditionalFormatting>
  <conditionalFormatting sqref="E346">
    <cfRule type="cellIs" rank="0" priority="682" equalAverage="0" operator="greaterThan" aboveAverage="0" dxfId="0" text="" percent="0" bottom="0">
      <formula>0</formula>
    </cfRule>
    <cfRule type="cellIs" rank="0" priority="683" equalAverage="0" operator="lessThan" aboveAverage="0" dxfId="1" text="" percent="0" bottom="0">
      <formula>0</formula>
    </cfRule>
  </conditionalFormatting>
  <conditionalFormatting sqref="E347">
    <cfRule type="cellIs" rank="0" priority="684" equalAverage="0" operator="greaterThan" aboveAverage="0" dxfId="0" text="" percent="0" bottom="0">
      <formula>0</formula>
    </cfRule>
    <cfRule type="cellIs" rank="0" priority="685" equalAverage="0" operator="lessThan" aboveAverage="0" dxfId="1" text="" percent="0" bottom="0">
      <formula>0</formula>
    </cfRule>
  </conditionalFormatting>
  <conditionalFormatting sqref="E348">
    <cfRule type="cellIs" rank="0" priority="686" equalAverage="0" operator="greaterThan" aboveAverage="0" dxfId="0" text="" percent="0" bottom="0">
      <formula>0</formula>
    </cfRule>
    <cfRule type="cellIs" rank="0" priority="687" equalAverage="0" operator="lessThan" aboveAverage="0" dxfId="1" text="" percent="0" bottom="0">
      <formula>0</formula>
    </cfRule>
  </conditionalFormatting>
  <conditionalFormatting sqref="E349">
    <cfRule type="cellIs" rank="0" priority="688" equalAverage="0" operator="greaterThan" aboveAverage="0" dxfId="0" text="" percent="0" bottom="0">
      <formula>0</formula>
    </cfRule>
    <cfRule type="cellIs" rank="0" priority="689" equalAverage="0" operator="lessThan" aboveAverage="0" dxfId="1" text="" percent="0" bottom="0">
      <formula>0</formula>
    </cfRule>
  </conditionalFormatting>
  <conditionalFormatting sqref="E350">
    <cfRule type="cellIs" rank="0" priority="690" equalAverage="0" operator="greaterThan" aboveAverage="0" dxfId="0" text="" percent="0" bottom="0">
      <formula>0</formula>
    </cfRule>
    <cfRule type="cellIs" rank="0" priority="691" equalAverage="0" operator="lessThan" aboveAverage="0" dxfId="1" text="" percent="0" bottom="0">
      <formula>0</formula>
    </cfRule>
  </conditionalFormatting>
  <conditionalFormatting sqref="E351">
    <cfRule type="cellIs" rank="0" priority="692" equalAverage="0" operator="greaterThan" aboveAverage="0" dxfId="0" text="" percent="0" bottom="0">
      <formula>0</formula>
    </cfRule>
    <cfRule type="cellIs" rank="0" priority="693" equalAverage="0" operator="lessThan" aboveAverage="0" dxfId="1" text="" percent="0" bottom="0">
      <formula>0</formula>
    </cfRule>
  </conditionalFormatting>
  <conditionalFormatting sqref="E352">
    <cfRule type="cellIs" rank="0" priority="694" equalAverage="0" operator="greaterThan" aboveAverage="0" dxfId="0" text="" percent="0" bottom="0">
      <formula>0</formula>
    </cfRule>
    <cfRule type="cellIs" rank="0" priority="695" equalAverage="0" operator="lessThan" aboveAverage="0" dxfId="1" text="" percent="0" bottom="0">
      <formula>0</formula>
    </cfRule>
  </conditionalFormatting>
  <conditionalFormatting sqref="E353">
    <cfRule type="cellIs" rank="0" priority="696" equalAverage="0" operator="greaterThan" aboveAverage="0" dxfId="0" text="" percent="0" bottom="0">
      <formula>0</formula>
    </cfRule>
    <cfRule type="cellIs" rank="0" priority="697" equalAverage="0" operator="lessThan" aboveAverage="0" dxfId="1" text="" percent="0" bottom="0">
      <formula>0</formula>
    </cfRule>
  </conditionalFormatting>
  <conditionalFormatting sqref="E354">
    <cfRule type="cellIs" rank="0" priority="698" equalAverage="0" operator="greaterThan" aboveAverage="0" dxfId="0" text="" percent="0" bottom="0">
      <formula>0</formula>
    </cfRule>
    <cfRule type="cellIs" rank="0" priority="699" equalAverage="0" operator="lessThan" aboveAverage="0" dxfId="1" text="" percent="0" bottom="0">
      <formula>0</formula>
    </cfRule>
  </conditionalFormatting>
  <conditionalFormatting sqref="E355">
    <cfRule type="cellIs" rank="0" priority="700" equalAverage="0" operator="greaterThan" aboveAverage="0" dxfId="0" text="" percent="0" bottom="0">
      <formula>0</formula>
    </cfRule>
    <cfRule type="cellIs" rank="0" priority="701" equalAverage="0" operator="lessThan" aboveAverage="0" dxfId="1" text="" percent="0" bottom="0">
      <formula>0</formula>
    </cfRule>
  </conditionalFormatting>
  <conditionalFormatting sqref="E356">
    <cfRule type="cellIs" rank="0" priority="702" equalAverage="0" operator="greaterThan" aboveAverage="0" dxfId="0" text="" percent="0" bottom="0">
      <formula>0</formula>
    </cfRule>
    <cfRule type="cellIs" rank="0" priority="703" equalAverage="0" operator="lessThan" aboveAverage="0" dxfId="1" text="" percent="0" bottom="0">
      <formula>0</formula>
    </cfRule>
  </conditionalFormatting>
  <conditionalFormatting sqref="E357">
    <cfRule type="cellIs" rank="0" priority="704" equalAverage="0" operator="greaterThan" aboveAverage="0" dxfId="0" text="" percent="0" bottom="0">
      <formula>0</formula>
    </cfRule>
    <cfRule type="cellIs" rank="0" priority="705" equalAverage="0" operator="lessThan" aboveAverage="0" dxfId="1" text="" percent="0" bottom="0">
      <formula>0</formula>
    </cfRule>
  </conditionalFormatting>
  <conditionalFormatting sqref="E358">
    <cfRule type="cellIs" rank="0" priority="706" equalAverage="0" operator="greaterThan" aboveAverage="0" dxfId="0" text="" percent="0" bottom="0">
      <formula>0</formula>
    </cfRule>
    <cfRule type="cellIs" rank="0" priority="707" equalAverage="0" operator="lessThan" aboveAverage="0" dxfId="1" text="" percent="0" bottom="0">
      <formula>0</formula>
    </cfRule>
  </conditionalFormatting>
  <conditionalFormatting sqref="E359">
    <cfRule type="cellIs" rank="0" priority="708" equalAverage="0" operator="greaterThan" aboveAverage="0" dxfId="0" text="" percent="0" bottom="0">
      <formula>0</formula>
    </cfRule>
    <cfRule type="cellIs" rank="0" priority="709" equalAverage="0" operator="lessThan" aboveAverage="0" dxfId="1" text="" percent="0" bottom="0">
      <formula>0</formula>
    </cfRule>
  </conditionalFormatting>
  <conditionalFormatting sqref="E360">
    <cfRule type="cellIs" rank="0" priority="710" equalAverage="0" operator="greaterThan" aboveAverage="0" dxfId="0" text="" percent="0" bottom="0">
      <formula>0</formula>
    </cfRule>
    <cfRule type="cellIs" rank="0" priority="711" equalAverage="0" operator="lessThan" aboveAverage="0" dxfId="1" text="" percent="0" bottom="0">
      <formula>0</formula>
    </cfRule>
  </conditionalFormatting>
  <conditionalFormatting sqref="E361">
    <cfRule type="cellIs" rank="0" priority="712" equalAverage="0" operator="greaterThan" aboveAverage="0" dxfId="0" text="" percent="0" bottom="0">
      <formula>0</formula>
    </cfRule>
    <cfRule type="cellIs" rank="0" priority="713" equalAverage="0" operator="lessThan" aboveAverage="0" dxfId="1" text="" percent="0" bottom="0">
      <formula>0</formula>
    </cfRule>
  </conditionalFormatting>
  <conditionalFormatting sqref="E362">
    <cfRule type="cellIs" rank="0" priority="714" equalAverage="0" operator="greaterThan" aboveAverage="0" dxfId="0" text="" percent="0" bottom="0">
      <formula>0</formula>
    </cfRule>
    <cfRule type="cellIs" rank="0" priority="715" equalAverage="0" operator="lessThan" aboveAverage="0" dxfId="1" text="" percent="0" bottom="0">
      <formula>0</formula>
    </cfRule>
  </conditionalFormatting>
  <conditionalFormatting sqref="E363">
    <cfRule type="cellIs" rank="0" priority="716" equalAverage="0" operator="greaterThan" aboveAverage="0" dxfId="0" text="" percent="0" bottom="0">
      <formula>0</formula>
    </cfRule>
    <cfRule type="cellIs" rank="0" priority="717" equalAverage="0" operator="lessThan" aboveAverage="0" dxfId="1" text="" percent="0" bottom="0">
      <formula>0</formula>
    </cfRule>
  </conditionalFormatting>
  <conditionalFormatting sqref="E364">
    <cfRule type="cellIs" rank="0" priority="718" equalAverage="0" operator="greaterThan" aboveAverage="0" dxfId="0" text="" percent="0" bottom="0">
      <formula>0</formula>
    </cfRule>
    <cfRule type="cellIs" rank="0" priority="719" equalAverage="0" operator="lessThan" aboveAverage="0" dxfId="1" text="" percent="0" bottom="0">
      <formula>0</formula>
    </cfRule>
  </conditionalFormatting>
  <conditionalFormatting sqref="E365">
    <cfRule type="cellIs" rank="0" priority="720" equalAverage="0" operator="greaterThan" aboveAverage="0" dxfId="0" text="" percent="0" bottom="0">
      <formula>0</formula>
    </cfRule>
    <cfRule type="cellIs" rank="0" priority="721" equalAverage="0" operator="lessThan" aboveAverage="0" dxfId="1" text="" percent="0" bottom="0">
      <formula>0</formula>
    </cfRule>
  </conditionalFormatting>
  <conditionalFormatting sqref="E366">
    <cfRule type="cellIs" rank="0" priority="722" equalAverage="0" operator="greaterThan" aboveAverage="0" dxfId="0" text="" percent="0" bottom="0">
      <formula>0</formula>
    </cfRule>
    <cfRule type="cellIs" rank="0" priority="723" equalAverage="0" operator="lessThan" aboveAverage="0" dxfId="1" text="" percent="0" bottom="0">
      <formula>0</formula>
    </cfRule>
  </conditionalFormatting>
  <conditionalFormatting sqref="E367">
    <cfRule type="cellIs" rank="0" priority="724" equalAverage="0" operator="greaterThan" aboveAverage="0" dxfId="0" text="" percent="0" bottom="0">
      <formula>0</formula>
    </cfRule>
    <cfRule type="cellIs" rank="0" priority="725" equalAverage="0" operator="lessThan" aboveAverage="0" dxfId="1" text="" percent="0" bottom="0">
      <formula>0</formula>
    </cfRule>
  </conditionalFormatting>
  <conditionalFormatting sqref="E368">
    <cfRule type="cellIs" rank="0" priority="726" equalAverage="0" operator="greaterThan" aboveAverage="0" dxfId="0" text="" percent="0" bottom="0">
      <formula>0</formula>
    </cfRule>
    <cfRule type="cellIs" rank="0" priority="727" equalAverage="0" operator="lessThan" aboveAverage="0" dxfId="1" text="" percent="0" bottom="0">
      <formula>0</formula>
    </cfRule>
  </conditionalFormatting>
  <conditionalFormatting sqref="E369">
    <cfRule type="cellIs" rank="0" priority="728" equalAverage="0" operator="greaterThan" aboveAverage="0" dxfId="0" text="" percent="0" bottom="0">
      <formula>0</formula>
    </cfRule>
    <cfRule type="cellIs" rank="0" priority="729" equalAverage="0" operator="lessThan" aboveAverage="0" dxfId="1" text="" percent="0" bottom="0">
      <formula>0</formula>
    </cfRule>
  </conditionalFormatting>
  <conditionalFormatting sqref="E370">
    <cfRule type="cellIs" rank="0" priority="730" equalAverage="0" operator="greaterThan" aboveAverage="0" dxfId="0" text="" percent="0" bottom="0">
      <formula>0</formula>
    </cfRule>
    <cfRule type="cellIs" rank="0" priority="731" equalAverage="0" operator="lessThan" aboveAverage="0" dxfId="1" text="" percent="0" bottom="0">
      <formula>0</formula>
    </cfRule>
  </conditionalFormatting>
  <conditionalFormatting sqref="E371">
    <cfRule type="cellIs" rank="0" priority="732" equalAverage="0" operator="greaterThan" aboveAverage="0" dxfId="0" text="" percent="0" bottom="0">
      <formula>0</formula>
    </cfRule>
    <cfRule type="cellIs" rank="0" priority="733" equalAverage="0" operator="lessThan" aboveAverage="0" dxfId="1" text="" percent="0" bottom="0">
      <formula>0</formula>
    </cfRule>
  </conditionalFormatting>
  <conditionalFormatting sqref="E372">
    <cfRule type="cellIs" rank="0" priority="734" equalAverage="0" operator="greaterThan" aboveAverage="0" dxfId="0" text="" percent="0" bottom="0">
      <formula>0</formula>
    </cfRule>
    <cfRule type="cellIs" rank="0" priority="735" equalAverage="0" operator="lessThan" aboveAverage="0" dxfId="1" text="" percent="0" bottom="0">
      <formula>0</formula>
    </cfRule>
  </conditionalFormatting>
  <conditionalFormatting sqref="E373">
    <cfRule type="cellIs" rank="0" priority="736" equalAverage="0" operator="greaterThan" aboveAverage="0" dxfId="0" text="" percent="0" bottom="0">
      <formula>0</formula>
    </cfRule>
    <cfRule type="cellIs" rank="0" priority="737" equalAverage="0" operator="lessThan" aboveAverage="0" dxfId="1" text="" percent="0" bottom="0">
      <formula>0</formula>
    </cfRule>
  </conditionalFormatting>
  <conditionalFormatting sqref="E374">
    <cfRule type="cellIs" rank="0" priority="738" equalAverage="0" operator="greaterThan" aboveAverage="0" dxfId="0" text="" percent="0" bottom="0">
      <formula>0</formula>
    </cfRule>
    <cfRule type="cellIs" rank="0" priority="739" equalAverage="0" operator="lessThan" aboveAverage="0" dxfId="1" text="" percent="0" bottom="0">
      <formula>0</formula>
    </cfRule>
  </conditionalFormatting>
  <conditionalFormatting sqref="E375">
    <cfRule type="cellIs" rank="0" priority="740" equalAverage="0" operator="greaterThan" aboveAverage="0" dxfId="0" text="" percent="0" bottom="0">
      <formula>0</formula>
    </cfRule>
    <cfRule type="cellIs" rank="0" priority="741" equalAverage="0" operator="lessThan" aboveAverage="0" dxfId="1" text="" percent="0" bottom="0">
      <formula>0</formula>
    </cfRule>
  </conditionalFormatting>
  <conditionalFormatting sqref="E376">
    <cfRule type="cellIs" rank="0" priority="742" equalAverage="0" operator="greaterThan" aboveAverage="0" dxfId="0" text="" percent="0" bottom="0">
      <formula>0</formula>
    </cfRule>
    <cfRule type="cellIs" rank="0" priority="743" equalAverage="0" operator="lessThan" aboveAverage="0" dxfId="1" text="" percent="0" bottom="0">
      <formula>0</formula>
    </cfRule>
  </conditionalFormatting>
  <conditionalFormatting sqref="E377">
    <cfRule type="cellIs" rank="0" priority="744" equalAverage="0" operator="greaterThan" aboveAverage="0" dxfId="0" text="" percent="0" bottom="0">
      <formula>0</formula>
    </cfRule>
    <cfRule type="cellIs" rank="0" priority="745" equalAverage="0" operator="lessThan" aboveAverage="0" dxfId="1" text="" percent="0" bottom="0">
      <formula>0</formula>
    </cfRule>
  </conditionalFormatting>
  <conditionalFormatting sqref="E378">
    <cfRule type="cellIs" rank="0" priority="746" equalAverage="0" operator="greaterThan" aboveAverage="0" dxfId="0" text="" percent="0" bottom="0">
      <formula>0</formula>
    </cfRule>
    <cfRule type="cellIs" rank="0" priority="747" equalAverage="0" operator="lessThan" aboveAverage="0" dxfId="1" text="" percent="0" bottom="0">
      <formula>0</formula>
    </cfRule>
  </conditionalFormatting>
  <conditionalFormatting sqref="E379">
    <cfRule type="cellIs" rank="0" priority="748" equalAverage="0" operator="greaterThan" aboveAverage="0" dxfId="0" text="" percent="0" bottom="0">
      <formula>0</formula>
    </cfRule>
    <cfRule type="cellIs" rank="0" priority="749" equalAverage="0" operator="lessThan" aboveAverage="0" dxfId="1" text="" percent="0" bottom="0">
      <formula>0</formula>
    </cfRule>
  </conditionalFormatting>
  <conditionalFormatting sqref="E380">
    <cfRule type="cellIs" rank="0" priority="750" equalAverage="0" operator="greaterThan" aboveAverage="0" dxfId="0" text="" percent="0" bottom="0">
      <formula>0</formula>
    </cfRule>
    <cfRule type="cellIs" rank="0" priority="751" equalAverage="0" operator="lessThan" aboveAverage="0" dxfId="1" text="" percent="0" bottom="0">
      <formula>0</formula>
    </cfRule>
  </conditionalFormatting>
  <conditionalFormatting sqref="E381">
    <cfRule type="cellIs" rank="0" priority="752" equalAverage="0" operator="greaterThan" aboveAverage="0" dxfId="0" text="" percent="0" bottom="0">
      <formula>0</formula>
    </cfRule>
    <cfRule type="cellIs" rank="0" priority="753" equalAverage="0" operator="lessThan" aboveAverage="0" dxfId="1" text="" percent="0" bottom="0">
      <formula>0</formula>
    </cfRule>
  </conditionalFormatting>
  <conditionalFormatting sqref="E382">
    <cfRule type="cellIs" rank="0" priority="754" equalAverage="0" operator="greaterThan" aboveAverage="0" dxfId="0" text="" percent="0" bottom="0">
      <formula>0</formula>
    </cfRule>
    <cfRule type="cellIs" rank="0" priority="755" equalAverage="0" operator="lessThan" aboveAverage="0" dxfId="1" text="" percent="0" bottom="0">
      <formula>0</formula>
    </cfRule>
  </conditionalFormatting>
  <conditionalFormatting sqref="E383">
    <cfRule type="cellIs" rank="0" priority="756" equalAverage="0" operator="greaterThan" aboveAverage="0" dxfId="0" text="" percent="0" bottom="0">
      <formula>0</formula>
    </cfRule>
    <cfRule type="cellIs" rank="0" priority="757" equalAverage="0" operator="lessThan" aboveAverage="0" dxfId="1" text="" percent="0" bottom="0">
      <formula>0</formula>
    </cfRule>
  </conditionalFormatting>
  <conditionalFormatting sqref="E384">
    <cfRule type="cellIs" rank="0" priority="758" equalAverage="0" operator="greaterThan" aboveAverage="0" dxfId="0" text="" percent="0" bottom="0">
      <formula>0</formula>
    </cfRule>
    <cfRule type="cellIs" rank="0" priority="759" equalAverage="0" operator="lessThan" aboveAverage="0" dxfId="1" text="" percent="0" bottom="0">
      <formula>0</formula>
    </cfRule>
  </conditionalFormatting>
  <conditionalFormatting sqref="E385">
    <cfRule type="cellIs" rank="0" priority="760" equalAverage="0" operator="greaterThan" aboveAverage="0" dxfId="0" text="" percent="0" bottom="0">
      <formula>0</formula>
    </cfRule>
    <cfRule type="cellIs" rank="0" priority="761" equalAverage="0" operator="lessThan" aboveAverage="0" dxfId="1" text="" percent="0" bottom="0">
      <formula>0</formula>
    </cfRule>
  </conditionalFormatting>
  <conditionalFormatting sqref="E386">
    <cfRule type="cellIs" rank="0" priority="762" equalAverage="0" operator="greaterThan" aboveAverage="0" dxfId="0" text="" percent="0" bottom="0">
      <formula>0</formula>
    </cfRule>
    <cfRule type="cellIs" rank="0" priority="763" equalAverage="0" operator="lessThan" aboveAverage="0" dxfId="1" text="" percent="0" bottom="0">
      <formula>0</formula>
    </cfRule>
  </conditionalFormatting>
  <conditionalFormatting sqref="E387">
    <cfRule type="cellIs" rank="0" priority="764" equalAverage="0" operator="greaterThan" aboveAverage="0" dxfId="0" text="" percent="0" bottom="0">
      <formula>0</formula>
    </cfRule>
    <cfRule type="cellIs" rank="0" priority="765" equalAverage="0" operator="lessThan" aboveAverage="0" dxfId="1" text="" percent="0" bottom="0">
      <formula>0</formula>
    </cfRule>
  </conditionalFormatting>
  <conditionalFormatting sqref="E388">
    <cfRule type="cellIs" rank="0" priority="766" equalAverage="0" operator="greaterThan" aboveAverage="0" dxfId="0" text="" percent="0" bottom="0">
      <formula>0</formula>
    </cfRule>
    <cfRule type="cellIs" rank="0" priority="767" equalAverage="0" operator="lessThan" aboveAverage="0" dxfId="1" text="" percent="0" bottom="0">
      <formula>0</formula>
    </cfRule>
  </conditionalFormatting>
  <conditionalFormatting sqref="E389">
    <cfRule type="cellIs" rank="0" priority="768" equalAverage="0" operator="greaterThan" aboveAverage="0" dxfId="0" text="" percent="0" bottom="0">
      <formula>0</formula>
    </cfRule>
    <cfRule type="cellIs" rank="0" priority="769" equalAverage="0" operator="lessThan" aboveAverage="0" dxfId="1" text="" percent="0" bottom="0">
      <formula>0</formula>
    </cfRule>
  </conditionalFormatting>
  <conditionalFormatting sqref="E390">
    <cfRule type="cellIs" rank="0" priority="770" equalAverage="0" operator="greaterThan" aboveAverage="0" dxfId="0" text="" percent="0" bottom="0">
      <formula>0</formula>
    </cfRule>
    <cfRule type="cellIs" rank="0" priority="771" equalAverage="0" operator="lessThan" aboveAverage="0" dxfId="1" text="" percent="0" bottom="0">
      <formula>0</formula>
    </cfRule>
  </conditionalFormatting>
  <conditionalFormatting sqref="E391">
    <cfRule type="cellIs" rank="0" priority="772" equalAverage="0" operator="greaterThan" aboveAverage="0" dxfId="0" text="" percent="0" bottom="0">
      <formula>0</formula>
    </cfRule>
    <cfRule type="cellIs" rank="0" priority="773" equalAverage="0" operator="lessThan" aboveAverage="0" dxfId="1" text="" percent="0" bottom="0">
      <formula>0</formula>
    </cfRule>
  </conditionalFormatting>
  <conditionalFormatting sqref="E392">
    <cfRule type="cellIs" rank="0" priority="774" equalAverage="0" operator="greaterThan" aboveAverage="0" dxfId="0" text="" percent="0" bottom="0">
      <formula>0</formula>
    </cfRule>
    <cfRule type="cellIs" rank="0" priority="775" equalAverage="0" operator="lessThan" aboveAverage="0" dxfId="1" text="" percent="0" bottom="0">
      <formula>0</formula>
    </cfRule>
  </conditionalFormatting>
  <conditionalFormatting sqref="E393">
    <cfRule type="cellIs" rank="0" priority="776" equalAverage="0" operator="greaterThan" aboveAverage="0" dxfId="0" text="" percent="0" bottom="0">
      <formula>0</formula>
    </cfRule>
    <cfRule type="cellIs" rank="0" priority="777" equalAverage="0" operator="lessThan" aboveAverage="0" dxfId="1" text="" percent="0" bottom="0">
      <formula>0</formula>
    </cfRule>
  </conditionalFormatting>
  <conditionalFormatting sqref="E394">
    <cfRule type="cellIs" rank="0" priority="778" equalAverage="0" operator="greaterThan" aboveAverage="0" dxfId="0" text="" percent="0" bottom="0">
      <formula>0</formula>
    </cfRule>
    <cfRule type="cellIs" rank="0" priority="779" equalAverage="0" operator="lessThan" aboveAverage="0" dxfId="1" text="" percent="0" bottom="0">
      <formula>0</formula>
    </cfRule>
  </conditionalFormatting>
  <conditionalFormatting sqref="E395">
    <cfRule type="cellIs" rank="0" priority="780" equalAverage="0" operator="greaterThan" aboveAverage="0" dxfId="0" text="" percent="0" bottom="0">
      <formula>0</formula>
    </cfRule>
    <cfRule type="cellIs" rank="0" priority="781" equalAverage="0" operator="lessThan" aboveAverage="0" dxfId="1" text="" percent="0" bottom="0">
      <formula>0</formula>
    </cfRule>
  </conditionalFormatting>
  <conditionalFormatting sqref="E396">
    <cfRule type="cellIs" rank="0" priority="782" equalAverage="0" operator="greaterThan" aboveAverage="0" dxfId="0" text="" percent="0" bottom="0">
      <formula>0</formula>
    </cfRule>
    <cfRule type="cellIs" rank="0" priority="783" equalAverage="0" operator="lessThan" aboveAverage="0" dxfId="1" text="" percent="0" bottom="0">
      <formula>0</formula>
    </cfRule>
  </conditionalFormatting>
  <conditionalFormatting sqref="E397">
    <cfRule type="cellIs" rank="0" priority="784" equalAverage="0" operator="greaterThan" aboveAverage="0" dxfId="0" text="" percent="0" bottom="0">
      <formula>0</formula>
    </cfRule>
    <cfRule type="cellIs" rank="0" priority="785" equalAverage="0" operator="lessThan" aboveAverage="0" dxfId="1" text="" percent="0" bottom="0">
      <formula>0</formula>
    </cfRule>
  </conditionalFormatting>
  <conditionalFormatting sqref="E398">
    <cfRule type="cellIs" rank="0" priority="786" equalAverage="0" operator="greaterThan" aboveAverage="0" dxfId="0" text="" percent="0" bottom="0">
      <formula>0</formula>
    </cfRule>
    <cfRule type="cellIs" rank="0" priority="787" equalAverage="0" operator="lessThan" aboveAverage="0" dxfId="1" text="" percent="0" bottom="0">
      <formula>0</formula>
    </cfRule>
  </conditionalFormatting>
  <conditionalFormatting sqref="E399">
    <cfRule type="cellIs" rank="0" priority="788" equalAverage="0" operator="greaterThan" aboveAverage="0" dxfId="0" text="" percent="0" bottom="0">
      <formula>0</formula>
    </cfRule>
    <cfRule type="cellIs" rank="0" priority="789" equalAverage="0" operator="lessThan" aboveAverage="0" dxfId="1" text="" percent="0" bottom="0">
      <formula>0</formula>
    </cfRule>
  </conditionalFormatting>
  <conditionalFormatting sqref="E400">
    <cfRule type="cellIs" rank="0" priority="790" equalAverage="0" operator="greaterThan" aboveAverage="0" dxfId="0" text="" percent="0" bottom="0">
      <formula>0</formula>
    </cfRule>
    <cfRule type="cellIs" rank="0" priority="791" equalAverage="0" operator="lessThan" aboveAverage="0" dxfId="1" text="" percent="0" bottom="0">
      <formula>0</formula>
    </cfRule>
  </conditionalFormatting>
  <conditionalFormatting sqref="E401">
    <cfRule type="cellIs" rank="0" priority="792" equalAverage="0" operator="greaterThan" aboveAverage="0" dxfId="0" text="" percent="0" bottom="0">
      <formula>0</formula>
    </cfRule>
    <cfRule type="cellIs" rank="0" priority="793" equalAverage="0" operator="lessThan" aboveAverage="0" dxfId="1" text="" percent="0" bottom="0">
      <formula>0</formula>
    </cfRule>
  </conditionalFormatting>
  <conditionalFormatting sqref="E402">
    <cfRule type="cellIs" rank="0" priority="794" equalAverage="0" operator="greaterThan" aboveAverage="0" dxfId="0" text="" percent="0" bottom="0">
      <formula>0</formula>
    </cfRule>
    <cfRule type="cellIs" rank="0" priority="795" equalAverage="0" operator="lessThan" aboveAverage="0" dxfId="1" text="" percent="0" bottom="0">
      <formula>0</formula>
    </cfRule>
  </conditionalFormatting>
  <conditionalFormatting sqref="E403">
    <cfRule type="cellIs" rank="0" priority="796" equalAverage="0" operator="greaterThan" aboveAverage="0" dxfId="0" text="" percent="0" bottom="0">
      <formula>0</formula>
    </cfRule>
    <cfRule type="cellIs" rank="0" priority="797" equalAverage="0" operator="lessThan" aboveAverage="0" dxfId="1" text="" percent="0" bottom="0">
      <formula>0</formula>
    </cfRule>
  </conditionalFormatting>
  <conditionalFormatting sqref="E404">
    <cfRule type="cellIs" rank="0" priority="798" equalAverage="0" operator="greaterThan" aboveAverage="0" dxfId="0" text="" percent="0" bottom="0">
      <formula>0</formula>
    </cfRule>
    <cfRule type="cellIs" rank="0" priority="799" equalAverage="0" operator="lessThan" aboveAverage="0" dxfId="1" text="" percent="0" bottom="0">
      <formula>0</formula>
    </cfRule>
  </conditionalFormatting>
  <conditionalFormatting sqref="E405">
    <cfRule type="cellIs" rank="0" priority="800" equalAverage="0" operator="greaterThan" aboveAverage="0" dxfId="0" text="" percent="0" bottom="0">
      <formula>0</formula>
    </cfRule>
    <cfRule type="cellIs" rank="0" priority="801" equalAverage="0" operator="lessThan" aboveAverage="0" dxfId="1" text="" percent="0" bottom="0">
      <formula>0</formula>
    </cfRule>
  </conditionalFormatting>
  <conditionalFormatting sqref="E406">
    <cfRule type="cellIs" rank="0" priority="802" equalAverage="0" operator="greaterThan" aboveAverage="0" dxfId="0" text="" percent="0" bottom="0">
      <formula>0</formula>
    </cfRule>
    <cfRule type="cellIs" rank="0" priority="803" equalAverage="0" operator="lessThan" aboveAverage="0" dxfId="1" text="" percent="0" bottom="0">
      <formula>0</formula>
    </cfRule>
  </conditionalFormatting>
  <conditionalFormatting sqref="E407">
    <cfRule type="cellIs" rank="0" priority="804" equalAverage="0" operator="greaterThan" aboveAverage="0" dxfId="0" text="" percent="0" bottom="0">
      <formula>0</formula>
    </cfRule>
    <cfRule type="cellIs" rank="0" priority="805" equalAverage="0" operator="lessThan" aboveAverage="0" dxfId="1" text="" percent="0" bottom="0">
      <formula>0</formula>
    </cfRule>
  </conditionalFormatting>
  <conditionalFormatting sqref="E408">
    <cfRule type="cellIs" rank="0" priority="806" equalAverage="0" operator="greaterThan" aboveAverage="0" dxfId="0" text="" percent="0" bottom="0">
      <formula>0</formula>
    </cfRule>
    <cfRule type="cellIs" rank="0" priority="807" equalAverage="0" operator="lessThan" aboveAverage="0" dxfId="1" text="" percent="0" bottom="0">
      <formula>0</formula>
    </cfRule>
  </conditionalFormatting>
  <conditionalFormatting sqref="E409">
    <cfRule type="cellIs" rank="0" priority="808" equalAverage="0" operator="greaterThan" aboveAverage="0" dxfId="0" text="" percent="0" bottom="0">
      <formula>0</formula>
    </cfRule>
    <cfRule type="cellIs" rank="0" priority="809" equalAverage="0" operator="lessThan" aboveAverage="0" dxfId="1" text="" percent="0" bottom="0">
      <formula>0</formula>
    </cfRule>
  </conditionalFormatting>
  <conditionalFormatting sqref="E410">
    <cfRule type="cellIs" rank="0" priority="810" equalAverage="0" operator="greaterThan" aboveAverage="0" dxfId="0" text="" percent="0" bottom="0">
      <formula>0</formula>
    </cfRule>
    <cfRule type="cellIs" rank="0" priority="811" equalAverage="0" operator="lessThan" aboveAverage="0" dxfId="1" text="" percent="0" bottom="0">
      <formula>0</formula>
    </cfRule>
  </conditionalFormatting>
  <conditionalFormatting sqref="E411">
    <cfRule type="cellIs" rank="0" priority="812" equalAverage="0" operator="greaterThan" aboveAverage="0" dxfId="0" text="" percent="0" bottom="0">
      <formula>0</formula>
    </cfRule>
    <cfRule type="cellIs" rank="0" priority="813" equalAverage="0" operator="lessThan" aboveAverage="0" dxfId="1" text="" percent="0" bottom="0">
      <formula>0</formula>
    </cfRule>
  </conditionalFormatting>
  <conditionalFormatting sqref="E412">
    <cfRule type="cellIs" rank="0" priority="814" equalAverage="0" operator="greaterThan" aboveAverage="0" dxfId="0" text="" percent="0" bottom="0">
      <formula>0</formula>
    </cfRule>
    <cfRule type="cellIs" rank="0" priority="815" equalAverage="0" operator="lessThan" aboveAverage="0" dxfId="1" text="" percent="0" bottom="0">
      <formula>0</formula>
    </cfRule>
  </conditionalFormatting>
  <conditionalFormatting sqref="E413">
    <cfRule type="cellIs" rank="0" priority="816" equalAverage="0" operator="greaterThan" aboveAverage="0" dxfId="0" text="" percent="0" bottom="0">
      <formula>0</formula>
    </cfRule>
    <cfRule type="cellIs" rank="0" priority="817" equalAverage="0" operator="lessThan" aboveAverage="0" dxfId="1" text="" percent="0" bottom="0">
      <formula>0</formula>
    </cfRule>
  </conditionalFormatting>
  <conditionalFormatting sqref="E414">
    <cfRule type="cellIs" rank="0" priority="818" equalAverage="0" operator="greaterThan" aboveAverage="0" dxfId="0" text="" percent="0" bottom="0">
      <formula>0</formula>
    </cfRule>
    <cfRule type="cellIs" rank="0" priority="819" equalAverage="0" operator="lessThan" aboveAverage="0" dxfId="1" text="" percent="0" bottom="0">
      <formula>0</formula>
    </cfRule>
  </conditionalFormatting>
  <conditionalFormatting sqref="E415">
    <cfRule type="cellIs" rank="0" priority="820" equalAverage="0" operator="greaterThan" aboveAverage="0" dxfId="0" text="" percent="0" bottom="0">
      <formula>0</formula>
    </cfRule>
    <cfRule type="cellIs" rank="0" priority="821" equalAverage="0" operator="lessThan" aboveAverage="0" dxfId="1" text="" percent="0" bottom="0">
      <formula>0</formula>
    </cfRule>
  </conditionalFormatting>
  <conditionalFormatting sqref="E416">
    <cfRule type="cellIs" rank="0" priority="822" equalAverage="0" operator="greaterThan" aboveAverage="0" dxfId="0" text="" percent="0" bottom="0">
      <formula>0</formula>
    </cfRule>
    <cfRule type="cellIs" rank="0" priority="823" equalAverage="0" operator="lessThan" aboveAverage="0" dxfId="1" text="" percent="0" bottom="0">
      <formula>0</formula>
    </cfRule>
  </conditionalFormatting>
  <conditionalFormatting sqref="E417">
    <cfRule type="cellIs" rank="0" priority="824" equalAverage="0" operator="greaterThan" aboveAverage="0" dxfId="0" text="" percent="0" bottom="0">
      <formula>0</formula>
    </cfRule>
    <cfRule type="cellIs" rank="0" priority="825" equalAverage="0" operator="lessThan" aboveAverage="0" dxfId="1" text="" percent="0" bottom="0">
      <formula>0</formula>
    </cfRule>
  </conditionalFormatting>
  <conditionalFormatting sqref="E418">
    <cfRule type="cellIs" rank="0" priority="826" equalAverage="0" operator="greaterThan" aboveAverage="0" dxfId="0" text="" percent="0" bottom="0">
      <formula>0</formula>
    </cfRule>
    <cfRule type="cellIs" rank="0" priority="827" equalAverage="0" operator="lessThan" aboveAverage="0" dxfId="1" text="" percent="0" bottom="0">
      <formula>0</formula>
    </cfRule>
  </conditionalFormatting>
  <conditionalFormatting sqref="E419">
    <cfRule type="cellIs" rank="0" priority="828" equalAverage="0" operator="greaterThan" aboveAverage="0" dxfId="0" text="" percent="0" bottom="0">
      <formula>0</formula>
    </cfRule>
    <cfRule type="cellIs" rank="0" priority="829" equalAverage="0" operator="lessThan" aboveAverage="0" dxfId="1" text="" percent="0" bottom="0">
      <formula>0</formula>
    </cfRule>
  </conditionalFormatting>
  <conditionalFormatting sqref="E420">
    <cfRule type="cellIs" rank="0" priority="830" equalAverage="0" operator="greaterThan" aboveAverage="0" dxfId="0" text="" percent="0" bottom="0">
      <formula>0</formula>
    </cfRule>
    <cfRule type="cellIs" rank="0" priority="831" equalAverage="0" operator="lessThan" aboveAverage="0" dxfId="1" text="" percent="0" bottom="0">
      <formula>0</formula>
    </cfRule>
  </conditionalFormatting>
  <conditionalFormatting sqref="E421">
    <cfRule type="cellIs" rank="0" priority="832" equalAverage="0" operator="greaterThan" aboveAverage="0" dxfId="0" text="" percent="0" bottom="0">
      <formula>0</formula>
    </cfRule>
    <cfRule type="cellIs" rank="0" priority="833" equalAverage="0" operator="lessThan" aboveAverage="0" dxfId="1" text="" percent="0" bottom="0">
      <formula>0</formula>
    </cfRule>
  </conditionalFormatting>
  <conditionalFormatting sqref="E422">
    <cfRule type="cellIs" rank="0" priority="834" equalAverage="0" operator="greaterThan" aboveAverage="0" dxfId="0" text="" percent="0" bottom="0">
      <formula>0</formula>
    </cfRule>
    <cfRule type="cellIs" rank="0" priority="835" equalAverage="0" operator="lessThan" aboveAverage="0" dxfId="1" text="" percent="0" bottom="0">
      <formula>0</formula>
    </cfRule>
  </conditionalFormatting>
  <conditionalFormatting sqref="E423">
    <cfRule type="cellIs" rank="0" priority="836" equalAverage="0" operator="greaterThan" aboveAverage="0" dxfId="0" text="" percent="0" bottom="0">
      <formula>0</formula>
    </cfRule>
    <cfRule type="cellIs" rank="0" priority="837" equalAverage="0" operator="lessThan" aboveAverage="0" dxfId="1" text="" percent="0" bottom="0">
      <formula>0</formula>
    </cfRule>
  </conditionalFormatting>
  <conditionalFormatting sqref="E424">
    <cfRule type="cellIs" rank="0" priority="838" equalAverage="0" operator="greaterThan" aboveAverage="0" dxfId="0" text="" percent="0" bottom="0">
      <formula>0</formula>
    </cfRule>
    <cfRule type="cellIs" rank="0" priority="839" equalAverage="0" operator="lessThan" aboveAverage="0" dxfId="1" text="" percent="0" bottom="0">
      <formula>0</formula>
    </cfRule>
  </conditionalFormatting>
  <conditionalFormatting sqref="E425">
    <cfRule type="cellIs" rank="0" priority="840" equalAverage="0" operator="greaterThan" aboveAverage="0" dxfId="0" text="" percent="0" bottom="0">
      <formula>0</formula>
    </cfRule>
    <cfRule type="cellIs" rank="0" priority="841" equalAverage="0" operator="lessThan" aboveAverage="0" dxfId="1" text="" percent="0" bottom="0">
      <formula>0</formula>
    </cfRule>
  </conditionalFormatting>
  <conditionalFormatting sqref="E426">
    <cfRule type="cellIs" rank="0" priority="842" equalAverage="0" operator="greaterThan" aboveAverage="0" dxfId="0" text="" percent="0" bottom="0">
      <formula>0</formula>
    </cfRule>
    <cfRule type="cellIs" rank="0" priority="843" equalAverage="0" operator="lessThan" aboveAverage="0" dxfId="1" text="" percent="0" bottom="0">
      <formula>0</formula>
    </cfRule>
  </conditionalFormatting>
  <conditionalFormatting sqref="E427">
    <cfRule type="cellIs" rank="0" priority="844" equalAverage="0" operator="greaterThan" aboveAverage="0" dxfId="0" text="" percent="0" bottom="0">
      <formula>0</formula>
    </cfRule>
    <cfRule type="cellIs" rank="0" priority="845" equalAverage="0" operator="lessThan" aboveAverage="0" dxfId="1" text="" percent="0" bottom="0">
      <formula>0</formula>
    </cfRule>
  </conditionalFormatting>
  <conditionalFormatting sqref="E428">
    <cfRule type="cellIs" rank="0" priority="846" equalAverage="0" operator="greaterThan" aboveAverage="0" dxfId="0" text="" percent="0" bottom="0">
      <formula>0</formula>
    </cfRule>
    <cfRule type="cellIs" rank="0" priority="847" equalAverage="0" operator="lessThan" aboveAverage="0" dxfId="1" text="" percent="0" bottom="0">
      <formula>0</formula>
    </cfRule>
  </conditionalFormatting>
  <conditionalFormatting sqref="E429">
    <cfRule type="cellIs" rank="0" priority="848" equalAverage="0" operator="greaterThan" aboveAverage="0" dxfId="0" text="" percent="0" bottom="0">
      <formula>0</formula>
    </cfRule>
    <cfRule type="cellIs" rank="0" priority="849" equalAverage="0" operator="lessThan" aboveAverage="0" dxfId="1" text="" percent="0" bottom="0">
      <formula>0</formula>
    </cfRule>
  </conditionalFormatting>
  <conditionalFormatting sqref="E430">
    <cfRule type="cellIs" rank="0" priority="850" equalAverage="0" operator="greaterThan" aboveAverage="0" dxfId="0" text="" percent="0" bottom="0">
      <formula>0</formula>
    </cfRule>
    <cfRule type="cellIs" rank="0" priority="851" equalAverage="0" operator="lessThan" aboveAverage="0" dxfId="1" text="" percent="0" bottom="0">
      <formula>0</formula>
    </cfRule>
  </conditionalFormatting>
  <conditionalFormatting sqref="E431">
    <cfRule type="cellIs" rank="0" priority="852" equalAverage="0" operator="greaterThan" aboveAverage="0" dxfId="0" text="" percent="0" bottom="0">
      <formula>0</formula>
    </cfRule>
    <cfRule type="cellIs" rank="0" priority="853" equalAverage="0" operator="lessThan" aboveAverage="0" dxfId="1" text="" percent="0" bottom="0">
      <formula>0</formula>
    </cfRule>
  </conditionalFormatting>
  <conditionalFormatting sqref="E432">
    <cfRule type="cellIs" rank="0" priority="854" equalAverage="0" operator="greaterThan" aboveAverage="0" dxfId="0" text="" percent="0" bottom="0">
      <formula>0</formula>
    </cfRule>
    <cfRule type="cellIs" rank="0" priority="855" equalAverage="0" operator="lessThan" aboveAverage="0" dxfId="1" text="" percent="0" bottom="0">
      <formula>0</formula>
    </cfRule>
  </conditionalFormatting>
  <conditionalFormatting sqref="E433">
    <cfRule type="cellIs" rank="0" priority="856" equalAverage="0" operator="greaterThan" aboveAverage="0" dxfId="0" text="" percent="0" bottom="0">
      <formula>0</formula>
    </cfRule>
    <cfRule type="cellIs" rank="0" priority="857" equalAverage="0" operator="lessThan" aboveAverage="0" dxfId="1" text="" percent="0" bottom="0">
      <formula>0</formula>
    </cfRule>
  </conditionalFormatting>
  <conditionalFormatting sqref="E434">
    <cfRule type="cellIs" rank="0" priority="858" equalAverage="0" operator="greaterThan" aboveAverage="0" dxfId="0" text="" percent="0" bottom="0">
      <formula>0</formula>
    </cfRule>
    <cfRule type="cellIs" rank="0" priority="859" equalAverage="0" operator="lessThan" aboveAverage="0" dxfId="1" text="" percent="0" bottom="0">
      <formula>0</formula>
    </cfRule>
  </conditionalFormatting>
  <conditionalFormatting sqref="E435">
    <cfRule type="cellIs" rank="0" priority="860" equalAverage="0" operator="greaterThan" aboveAverage="0" dxfId="0" text="" percent="0" bottom="0">
      <formula>0</formula>
    </cfRule>
    <cfRule type="cellIs" rank="0" priority="861" equalAverage="0" operator="lessThan" aboveAverage="0" dxfId="1" text="" percent="0" bottom="0">
      <formula>0</formula>
    </cfRule>
  </conditionalFormatting>
  <conditionalFormatting sqref="E436">
    <cfRule type="cellIs" rank="0" priority="862" equalAverage="0" operator="greaterThan" aboveAverage="0" dxfId="0" text="" percent="0" bottom="0">
      <formula>0</formula>
    </cfRule>
    <cfRule type="cellIs" rank="0" priority="863" equalAverage="0" operator="lessThan" aboveAverage="0" dxfId="1" text="" percent="0" bottom="0">
      <formula>0</formula>
    </cfRule>
  </conditionalFormatting>
  <conditionalFormatting sqref="E437">
    <cfRule type="cellIs" rank="0" priority="864" equalAverage="0" operator="greaterThan" aboveAverage="0" dxfId="0" text="" percent="0" bottom="0">
      <formula>0</formula>
    </cfRule>
    <cfRule type="cellIs" rank="0" priority="865" equalAverage="0" operator="lessThan" aboveAverage="0" dxfId="1" text="" percent="0" bottom="0">
      <formula>0</formula>
    </cfRule>
  </conditionalFormatting>
  <conditionalFormatting sqref="E438">
    <cfRule type="cellIs" rank="0" priority="866" equalAverage="0" operator="greaterThan" aboveAverage="0" dxfId="0" text="" percent="0" bottom="0">
      <formula>0</formula>
    </cfRule>
    <cfRule type="cellIs" rank="0" priority="867" equalAverage="0" operator="lessThan" aboveAverage="0" dxfId="1" text="" percent="0" bottom="0">
      <formula>0</formula>
    </cfRule>
  </conditionalFormatting>
  <conditionalFormatting sqref="E439">
    <cfRule type="cellIs" rank="0" priority="868" equalAverage="0" operator="greaterThan" aboveAverage="0" dxfId="0" text="" percent="0" bottom="0">
      <formula>0</formula>
    </cfRule>
    <cfRule type="cellIs" rank="0" priority="869" equalAverage="0" operator="lessThan" aboveAverage="0" dxfId="1" text="" percent="0" bottom="0">
      <formula>0</formula>
    </cfRule>
  </conditionalFormatting>
  <conditionalFormatting sqref="E440">
    <cfRule type="cellIs" rank="0" priority="870" equalAverage="0" operator="greaterThan" aboveAverage="0" dxfId="0" text="" percent="0" bottom="0">
      <formula>0</formula>
    </cfRule>
    <cfRule type="cellIs" rank="0" priority="871" equalAverage="0" operator="lessThan" aboveAverage="0" dxfId="1" text="" percent="0" bottom="0">
      <formula>0</formula>
    </cfRule>
  </conditionalFormatting>
  <conditionalFormatting sqref="E441">
    <cfRule type="cellIs" rank="0" priority="872" equalAverage="0" operator="greaterThan" aboveAverage="0" dxfId="0" text="" percent="0" bottom="0">
      <formula>0</formula>
    </cfRule>
    <cfRule type="cellIs" rank="0" priority="873" equalAverage="0" operator="lessThan" aboveAverage="0" dxfId="1" text="" percent="0" bottom="0">
      <formula>0</formula>
    </cfRule>
  </conditionalFormatting>
  <conditionalFormatting sqref="E442">
    <cfRule type="cellIs" rank="0" priority="874" equalAverage="0" operator="greaterThan" aboveAverage="0" dxfId="0" text="" percent="0" bottom="0">
      <formula>0</formula>
    </cfRule>
    <cfRule type="cellIs" rank="0" priority="875" equalAverage="0" operator="lessThan" aboveAverage="0" dxfId="1" text="" percent="0" bottom="0">
      <formula>0</formula>
    </cfRule>
  </conditionalFormatting>
  <conditionalFormatting sqref="E443">
    <cfRule type="cellIs" rank="0" priority="876" equalAverage="0" operator="greaterThan" aboveAverage="0" dxfId="0" text="" percent="0" bottom="0">
      <formula>0</formula>
    </cfRule>
    <cfRule type="cellIs" rank="0" priority="877" equalAverage="0" operator="lessThan" aboveAverage="0" dxfId="1" text="" percent="0" bottom="0">
      <formula>0</formula>
    </cfRule>
  </conditionalFormatting>
  <conditionalFormatting sqref="E444">
    <cfRule type="cellIs" rank="0" priority="878" equalAverage="0" operator="greaterThan" aboveAverage="0" dxfId="0" text="" percent="0" bottom="0">
      <formula>0</formula>
    </cfRule>
    <cfRule type="cellIs" rank="0" priority="879" equalAverage="0" operator="lessThan" aboveAverage="0" dxfId="1" text="" percent="0" bottom="0">
      <formula>0</formula>
    </cfRule>
  </conditionalFormatting>
  <conditionalFormatting sqref="E445">
    <cfRule type="cellIs" rank="0" priority="880" equalAverage="0" operator="greaterThan" aboveAverage="0" dxfId="0" text="" percent="0" bottom="0">
      <formula>0</formula>
    </cfRule>
    <cfRule type="cellIs" rank="0" priority="881" equalAverage="0" operator="lessThan" aboveAverage="0" dxfId="1" text="" percent="0" bottom="0">
      <formula>0</formula>
    </cfRule>
  </conditionalFormatting>
  <conditionalFormatting sqref="E446">
    <cfRule type="cellIs" rank="0" priority="882" equalAverage="0" operator="greaterThan" aboveAverage="0" dxfId="0" text="" percent="0" bottom="0">
      <formula>0</formula>
    </cfRule>
    <cfRule type="cellIs" rank="0" priority="883" equalAverage="0" operator="lessThan" aboveAverage="0" dxfId="1" text="" percent="0" bottom="0">
      <formula>0</formula>
    </cfRule>
  </conditionalFormatting>
  <conditionalFormatting sqref="E447">
    <cfRule type="cellIs" rank="0" priority="884" equalAverage="0" operator="greaterThan" aboveAverage="0" dxfId="0" text="" percent="0" bottom="0">
      <formula>0</formula>
    </cfRule>
    <cfRule type="cellIs" rank="0" priority="885" equalAverage="0" operator="lessThan" aboveAverage="0" dxfId="1" text="" percent="0" bottom="0">
      <formula>0</formula>
    </cfRule>
  </conditionalFormatting>
  <conditionalFormatting sqref="E448">
    <cfRule type="cellIs" rank="0" priority="886" equalAverage="0" operator="greaterThan" aboveAverage="0" dxfId="0" text="" percent="0" bottom="0">
      <formula>0</formula>
    </cfRule>
    <cfRule type="cellIs" rank="0" priority="887" equalAverage="0" operator="lessThan" aboveAverage="0" dxfId="1" text="" percent="0" bottom="0">
      <formula>0</formula>
    </cfRule>
  </conditionalFormatting>
  <conditionalFormatting sqref="E449">
    <cfRule type="cellIs" rank="0" priority="888" equalAverage="0" operator="greaterThan" aboveAverage="0" dxfId="0" text="" percent="0" bottom="0">
      <formula>0</formula>
    </cfRule>
    <cfRule type="cellIs" rank="0" priority="889" equalAverage="0" operator="lessThan" aboveAverage="0" dxfId="1" text="" percent="0" bottom="0">
      <formula>0</formula>
    </cfRule>
  </conditionalFormatting>
  <conditionalFormatting sqref="E450">
    <cfRule type="cellIs" rank="0" priority="890" equalAverage="0" operator="greaterThan" aboveAverage="0" dxfId="0" text="" percent="0" bottom="0">
      <formula>0</formula>
    </cfRule>
    <cfRule type="cellIs" rank="0" priority="891" equalAverage="0" operator="lessThan" aboveAverage="0" dxfId="1" text="" percent="0" bottom="0">
      <formula>0</formula>
    </cfRule>
  </conditionalFormatting>
  <conditionalFormatting sqref="E451">
    <cfRule type="cellIs" rank="0" priority="892" equalAverage="0" operator="greaterThan" aboveAverage="0" dxfId="0" text="" percent="0" bottom="0">
      <formula>0</formula>
    </cfRule>
    <cfRule type="cellIs" rank="0" priority="893" equalAverage="0" operator="lessThan" aboveAverage="0" dxfId="1" text="" percent="0" bottom="0">
      <formula>0</formula>
    </cfRule>
  </conditionalFormatting>
  <conditionalFormatting sqref="E452">
    <cfRule type="cellIs" rank="0" priority="894" equalAverage="0" operator="greaterThan" aboveAverage="0" dxfId="0" text="" percent="0" bottom="0">
      <formula>0</formula>
    </cfRule>
    <cfRule type="cellIs" rank="0" priority="895" equalAverage="0" operator="lessThan" aboveAverage="0" dxfId="1" text="" percent="0" bottom="0">
      <formula>0</formula>
    </cfRule>
  </conditionalFormatting>
  <conditionalFormatting sqref="E453">
    <cfRule type="cellIs" rank="0" priority="896" equalAverage="0" operator="greaterThan" aboveAverage="0" dxfId="0" text="" percent="0" bottom="0">
      <formula>0</formula>
    </cfRule>
    <cfRule type="cellIs" rank="0" priority="897" equalAverage="0" operator="lessThan" aboveAverage="0" dxfId="1" text="" percent="0" bottom="0">
      <formula>0</formula>
    </cfRule>
  </conditionalFormatting>
  <conditionalFormatting sqref="E454">
    <cfRule type="cellIs" rank="0" priority="898" equalAverage="0" operator="greaterThan" aboveAverage="0" dxfId="0" text="" percent="0" bottom="0">
      <formula>0</formula>
    </cfRule>
    <cfRule type="cellIs" rank="0" priority="899" equalAverage="0" operator="lessThan" aboveAverage="0" dxfId="1" text="" percent="0" bottom="0">
      <formula>0</formula>
    </cfRule>
  </conditionalFormatting>
  <conditionalFormatting sqref="E455">
    <cfRule type="cellIs" rank="0" priority="900" equalAverage="0" operator="greaterThan" aboveAverage="0" dxfId="0" text="" percent="0" bottom="0">
      <formula>0</formula>
    </cfRule>
    <cfRule type="cellIs" rank="0" priority="901" equalAverage="0" operator="lessThan" aboveAverage="0" dxfId="1" text="" percent="0" bottom="0">
      <formula>0</formula>
    </cfRule>
  </conditionalFormatting>
  <conditionalFormatting sqref="E456">
    <cfRule type="cellIs" rank="0" priority="902" equalAverage="0" operator="greaterThan" aboveAverage="0" dxfId="0" text="" percent="0" bottom="0">
      <formula>0</formula>
    </cfRule>
    <cfRule type="cellIs" rank="0" priority="903" equalAverage="0" operator="lessThan" aboveAverage="0" dxfId="1" text="" percent="0" bottom="0">
      <formula>0</formula>
    </cfRule>
  </conditionalFormatting>
  <conditionalFormatting sqref="E457">
    <cfRule type="cellIs" rank="0" priority="904" equalAverage="0" operator="greaterThan" aboveAverage="0" dxfId="0" text="" percent="0" bottom="0">
      <formula>0</formula>
    </cfRule>
    <cfRule type="cellIs" rank="0" priority="905" equalAverage="0" operator="lessThan" aboveAverage="0" dxfId="1" text="" percent="0" bottom="0">
      <formula>0</formula>
    </cfRule>
  </conditionalFormatting>
  <conditionalFormatting sqref="E458">
    <cfRule type="cellIs" rank="0" priority="906" equalAverage="0" operator="greaterThan" aboveAverage="0" dxfId="0" text="" percent="0" bottom="0">
      <formula>0</formula>
    </cfRule>
    <cfRule type="cellIs" rank="0" priority="907" equalAverage="0" operator="lessThan" aboveAverage="0" dxfId="1" text="" percent="0" bottom="0">
      <formula>0</formula>
    </cfRule>
  </conditionalFormatting>
  <conditionalFormatting sqref="E459">
    <cfRule type="cellIs" rank="0" priority="908" equalAverage="0" operator="greaterThan" aboveAverage="0" dxfId="0" text="" percent="0" bottom="0">
      <formula>0</formula>
    </cfRule>
    <cfRule type="cellIs" rank="0" priority="909" equalAverage="0" operator="lessThan" aboveAverage="0" dxfId="1" text="" percent="0" bottom="0">
      <formula>0</formula>
    </cfRule>
  </conditionalFormatting>
  <conditionalFormatting sqref="E460">
    <cfRule type="cellIs" rank="0" priority="910" equalAverage="0" operator="greaterThan" aboveAverage="0" dxfId="0" text="" percent="0" bottom="0">
      <formula>0</formula>
    </cfRule>
    <cfRule type="cellIs" rank="0" priority="911" equalAverage="0" operator="lessThan" aboveAverage="0" dxfId="1" text="" percent="0" bottom="0">
      <formula>0</formula>
    </cfRule>
  </conditionalFormatting>
  <conditionalFormatting sqref="E461">
    <cfRule type="cellIs" rank="0" priority="912" equalAverage="0" operator="greaterThan" aboveAverage="0" dxfId="0" text="" percent="0" bottom="0">
      <formula>0</formula>
    </cfRule>
    <cfRule type="cellIs" rank="0" priority="913" equalAverage="0" operator="lessThan" aboveAverage="0" dxfId="1" text="" percent="0" bottom="0">
      <formula>0</formula>
    </cfRule>
  </conditionalFormatting>
  <conditionalFormatting sqref="E462">
    <cfRule type="cellIs" rank="0" priority="914" equalAverage="0" operator="greaterThan" aboveAverage="0" dxfId="0" text="" percent="0" bottom="0">
      <formula>0</formula>
    </cfRule>
    <cfRule type="cellIs" rank="0" priority="915" equalAverage="0" operator="lessThan" aboveAverage="0" dxfId="1" text="" percent="0" bottom="0">
      <formula>0</formula>
    </cfRule>
  </conditionalFormatting>
  <conditionalFormatting sqref="E463">
    <cfRule type="cellIs" rank="0" priority="916" equalAverage="0" operator="greaterThan" aboveAverage="0" dxfId="0" text="" percent="0" bottom="0">
      <formula>0</formula>
    </cfRule>
    <cfRule type="cellIs" rank="0" priority="917" equalAverage="0" operator="lessThan" aboveAverage="0" dxfId="1" text="" percent="0" bottom="0">
      <formula>0</formula>
    </cfRule>
  </conditionalFormatting>
  <conditionalFormatting sqref="E464">
    <cfRule type="cellIs" rank="0" priority="918" equalAverage="0" operator="greaterThan" aboveAverage="0" dxfId="0" text="" percent="0" bottom="0">
      <formula>0</formula>
    </cfRule>
    <cfRule type="cellIs" rank="0" priority="919" equalAverage="0" operator="lessThan" aboveAverage="0" dxfId="1" text="" percent="0" bottom="0">
      <formula>0</formula>
    </cfRule>
  </conditionalFormatting>
  <conditionalFormatting sqref="E465">
    <cfRule type="cellIs" rank="0" priority="920" equalAverage="0" operator="greaterThan" aboveAverage="0" dxfId="0" text="" percent="0" bottom="0">
      <formula>0</formula>
    </cfRule>
    <cfRule type="cellIs" rank="0" priority="921" equalAverage="0" operator="lessThan" aboveAverage="0" dxfId="1" text="" percent="0" bottom="0">
      <formula>0</formula>
    </cfRule>
  </conditionalFormatting>
  <conditionalFormatting sqref="E466">
    <cfRule type="cellIs" rank="0" priority="922" equalAverage="0" operator="greaterThan" aboveAverage="0" dxfId="0" text="" percent="0" bottom="0">
      <formula>0</formula>
    </cfRule>
    <cfRule type="cellIs" rank="0" priority="923" equalAverage="0" operator="lessThan" aboveAverage="0" dxfId="1" text="" percent="0" bottom="0">
      <formula>0</formula>
    </cfRule>
  </conditionalFormatting>
  <conditionalFormatting sqref="E467">
    <cfRule type="cellIs" rank="0" priority="924" equalAverage="0" operator="greaterThan" aboveAverage="0" dxfId="0" text="" percent="0" bottom="0">
      <formula>0</formula>
    </cfRule>
    <cfRule type="cellIs" rank="0" priority="925" equalAverage="0" operator="lessThan" aboveAverage="0" dxfId="1" text="" percent="0" bottom="0">
      <formula>0</formula>
    </cfRule>
  </conditionalFormatting>
  <conditionalFormatting sqref="E468">
    <cfRule type="cellIs" rank="0" priority="926" equalAverage="0" operator="greaterThan" aboveAverage="0" dxfId="0" text="" percent="0" bottom="0">
      <formula>0</formula>
    </cfRule>
    <cfRule type="cellIs" rank="0" priority="927" equalAverage="0" operator="lessThan" aboveAverage="0" dxfId="1" text="" percent="0" bottom="0">
      <formula>0</formula>
    </cfRule>
  </conditionalFormatting>
  <conditionalFormatting sqref="E469">
    <cfRule type="cellIs" rank="0" priority="928" equalAverage="0" operator="greaterThan" aboveAverage="0" dxfId="0" text="" percent="0" bottom="0">
      <formula>0</formula>
    </cfRule>
    <cfRule type="cellIs" rank="0" priority="929" equalAverage="0" operator="lessThan" aboveAverage="0" dxfId="1" text="" percent="0" bottom="0">
      <formula>0</formula>
    </cfRule>
  </conditionalFormatting>
  <conditionalFormatting sqref="E470">
    <cfRule type="cellIs" rank="0" priority="930" equalAverage="0" operator="greaterThan" aboveAverage="0" dxfId="0" text="" percent="0" bottom="0">
      <formula>0</formula>
    </cfRule>
    <cfRule type="cellIs" rank="0" priority="931" equalAverage="0" operator="lessThan" aboveAverage="0" dxfId="1" text="" percent="0" bottom="0">
      <formula>0</formula>
    </cfRule>
  </conditionalFormatting>
  <conditionalFormatting sqref="E471">
    <cfRule type="cellIs" rank="0" priority="932" equalAverage="0" operator="greaterThan" aboveAverage="0" dxfId="0" text="" percent="0" bottom="0">
      <formula>0</formula>
    </cfRule>
    <cfRule type="cellIs" rank="0" priority="933" equalAverage="0" operator="lessThan" aboveAverage="0" dxfId="1" text="" percent="0" bottom="0">
      <formula>0</formula>
    </cfRule>
  </conditionalFormatting>
  <conditionalFormatting sqref="E472">
    <cfRule type="cellIs" rank="0" priority="934" equalAverage="0" operator="greaterThan" aboveAverage="0" dxfId="0" text="" percent="0" bottom="0">
      <formula>0</formula>
    </cfRule>
    <cfRule type="cellIs" rank="0" priority="935" equalAverage="0" operator="lessThan" aboveAverage="0" dxfId="1" text="" percent="0" bottom="0">
      <formula>0</formula>
    </cfRule>
  </conditionalFormatting>
  <conditionalFormatting sqref="E473">
    <cfRule type="cellIs" rank="0" priority="936" equalAverage="0" operator="greaterThan" aboveAverage="0" dxfId="0" text="" percent="0" bottom="0">
      <formula>0</formula>
    </cfRule>
    <cfRule type="cellIs" rank="0" priority="937" equalAverage="0" operator="lessThan" aboveAverage="0" dxfId="1" text="" percent="0" bottom="0">
      <formula>0</formula>
    </cfRule>
  </conditionalFormatting>
  <conditionalFormatting sqref="E474">
    <cfRule type="cellIs" rank="0" priority="938" equalAverage="0" operator="greaterThan" aboveAverage="0" dxfId="0" text="" percent="0" bottom="0">
      <formula>0</formula>
    </cfRule>
    <cfRule type="cellIs" rank="0" priority="939" equalAverage="0" operator="lessThan" aboveAverage="0" dxfId="1" text="" percent="0" bottom="0">
      <formula>0</formula>
    </cfRule>
  </conditionalFormatting>
  <conditionalFormatting sqref="E475">
    <cfRule type="cellIs" rank="0" priority="940" equalAverage="0" operator="greaterThan" aboveAverage="0" dxfId="0" text="" percent="0" bottom="0">
      <formula>0</formula>
    </cfRule>
    <cfRule type="cellIs" rank="0" priority="941" equalAverage="0" operator="lessThan" aboveAverage="0" dxfId="1" text="" percent="0" bottom="0">
      <formula>0</formula>
    </cfRule>
  </conditionalFormatting>
  <conditionalFormatting sqref="E476">
    <cfRule type="cellIs" rank="0" priority="942" equalAverage="0" operator="greaterThan" aboveAverage="0" dxfId="0" text="" percent="0" bottom="0">
      <formula>0</formula>
    </cfRule>
    <cfRule type="cellIs" rank="0" priority="943" equalAverage="0" operator="lessThan" aboveAverage="0" dxfId="1" text="" percent="0" bottom="0">
      <formula>0</formula>
    </cfRule>
  </conditionalFormatting>
  <conditionalFormatting sqref="E477">
    <cfRule type="cellIs" rank="0" priority="944" equalAverage="0" operator="greaterThan" aboveAverage="0" dxfId="0" text="" percent="0" bottom="0">
      <formula>0</formula>
    </cfRule>
    <cfRule type="cellIs" rank="0" priority="945" equalAverage="0" operator="lessThan" aboveAverage="0" dxfId="1" text="" percent="0" bottom="0">
      <formula>0</formula>
    </cfRule>
  </conditionalFormatting>
  <conditionalFormatting sqref="E478">
    <cfRule type="cellIs" rank="0" priority="946" equalAverage="0" operator="greaterThan" aboveAverage="0" dxfId="0" text="" percent="0" bottom="0">
      <formula>0</formula>
    </cfRule>
    <cfRule type="cellIs" rank="0" priority="947" equalAverage="0" operator="lessThan" aboveAverage="0" dxfId="1" text="" percent="0" bottom="0">
      <formula>0</formula>
    </cfRule>
  </conditionalFormatting>
  <conditionalFormatting sqref="E479">
    <cfRule type="cellIs" rank="0" priority="948" equalAverage="0" operator="greaterThan" aboveAverage="0" dxfId="0" text="" percent="0" bottom="0">
      <formula>0</formula>
    </cfRule>
    <cfRule type="cellIs" rank="0" priority="949" equalAverage="0" operator="lessThan" aboveAverage="0" dxfId="1" text="" percent="0" bottom="0">
      <formula>0</formula>
    </cfRule>
  </conditionalFormatting>
  <conditionalFormatting sqref="E480">
    <cfRule type="cellIs" rank="0" priority="950" equalAverage="0" operator="greaterThan" aboveAverage="0" dxfId="0" text="" percent="0" bottom="0">
      <formula>0</formula>
    </cfRule>
    <cfRule type="cellIs" rank="0" priority="951" equalAverage="0" operator="lessThan" aboveAverage="0" dxfId="1" text="" percent="0" bottom="0">
      <formula>0</formula>
    </cfRule>
  </conditionalFormatting>
  <conditionalFormatting sqref="E481">
    <cfRule type="cellIs" rank="0" priority="952" equalAverage="0" operator="greaterThan" aboveAverage="0" dxfId="0" text="" percent="0" bottom="0">
      <formula>0</formula>
    </cfRule>
    <cfRule type="cellIs" rank="0" priority="953" equalAverage="0" operator="lessThan" aboveAverage="0" dxfId="1" text="" percent="0" bottom="0">
      <formula>0</formula>
    </cfRule>
  </conditionalFormatting>
  <conditionalFormatting sqref="E482">
    <cfRule type="cellIs" rank="0" priority="954" equalAverage="0" operator="greaterThan" aboveAverage="0" dxfId="0" text="" percent="0" bottom="0">
      <formula>0</formula>
    </cfRule>
    <cfRule type="cellIs" rank="0" priority="955" equalAverage="0" operator="lessThan" aboveAverage="0" dxfId="1" text="" percent="0" bottom="0">
      <formula>0</formula>
    </cfRule>
  </conditionalFormatting>
  <conditionalFormatting sqref="E483">
    <cfRule type="cellIs" rank="0" priority="956" equalAverage="0" operator="greaterThan" aboveAverage="0" dxfId="0" text="" percent="0" bottom="0">
      <formula>0</formula>
    </cfRule>
    <cfRule type="cellIs" rank="0" priority="957" equalAverage="0" operator="lessThan" aboveAverage="0" dxfId="1" text="" percent="0" bottom="0">
      <formula>0</formula>
    </cfRule>
  </conditionalFormatting>
  <conditionalFormatting sqref="E484">
    <cfRule type="cellIs" rank="0" priority="958" equalAverage="0" operator="greaterThan" aboveAverage="0" dxfId="0" text="" percent="0" bottom="0">
      <formula>0</formula>
    </cfRule>
    <cfRule type="cellIs" rank="0" priority="959" equalAverage="0" operator="lessThan" aboveAverage="0" dxfId="1" text="" percent="0" bottom="0">
      <formula>0</formula>
    </cfRule>
  </conditionalFormatting>
  <conditionalFormatting sqref="E485">
    <cfRule type="cellIs" rank="0" priority="960" equalAverage="0" operator="greaterThan" aboveAverage="0" dxfId="0" text="" percent="0" bottom="0">
      <formula>0</formula>
    </cfRule>
    <cfRule type="cellIs" rank="0" priority="961" equalAverage="0" operator="lessThan" aboveAverage="0" dxfId="1" text="" percent="0" bottom="0">
      <formula>0</formula>
    </cfRule>
  </conditionalFormatting>
  <conditionalFormatting sqref="E486">
    <cfRule type="cellIs" rank="0" priority="962" equalAverage="0" operator="greaterThan" aboveAverage="0" dxfId="0" text="" percent="0" bottom="0">
      <formula>0</formula>
    </cfRule>
    <cfRule type="cellIs" rank="0" priority="963" equalAverage="0" operator="lessThan" aboveAverage="0" dxfId="1" text="" percent="0" bottom="0">
      <formula>0</formula>
    </cfRule>
  </conditionalFormatting>
  <conditionalFormatting sqref="E487">
    <cfRule type="cellIs" rank="0" priority="964" equalAverage="0" operator="greaterThan" aboveAverage="0" dxfId="0" text="" percent="0" bottom="0">
      <formula>0</formula>
    </cfRule>
    <cfRule type="cellIs" rank="0" priority="965" equalAverage="0" operator="lessThan" aboveAverage="0" dxfId="1" text="" percent="0" bottom="0">
      <formula>0</formula>
    </cfRule>
  </conditionalFormatting>
  <conditionalFormatting sqref="E488">
    <cfRule type="cellIs" rank="0" priority="966" equalAverage="0" operator="greaterThan" aboveAverage="0" dxfId="0" text="" percent="0" bottom="0">
      <formula>0</formula>
    </cfRule>
    <cfRule type="cellIs" rank="0" priority="967" equalAverage="0" operator="lessThan" aboveAverage="0" dxfId="1" text="" percent="0" bottom="0">
      <formula>0</formula>
    </cfRule>
  </conditionalFormatting>
  <conditionalFormatting sqref="E489">
    <cfRule type="cellIs" rank="0" priority="968" equalAverage="0" operator="greaterThan" aboveAverage="0" dxfId="0" text="" percent="0" bottom="0">
      <formula>0</formula>
    </cfRule>
    <cfRule type="cellIs" rank="0" priority="969" equalAverage="0" operator="lessThan" aboveAverage="0" dxfId="1" text="" percent="0" bottom="0">
      <formula>0</formula>
    </cfRule>
  </conditionalFormatting>
  <conditionalFormatting sqref="E490">
    <cfRule type="cellIs" rank="0" priority="970" equalAverage="0" operator="greaterThan" aboveAverage="0" dxfId="0" text="" percent="0" bottom="0">
      <formula>0</formula>
    </cfRule>
    <cfRule type="cellIs" rank="0" priority="971" equalAverage="0" operator="lessThan" aboveAverage="0" dxfId="1" text="" percent="0" bottom="0">
      <formula>0</formula>
    </cfRule>
  </conditionalFormatting>
  <conditionalFormatting sqref="E491">
    <cfRule type="cellIs" rank="0" priority="972" equalAverage="0" operator="greaterThan" aboveAverage="0" dxfId="0" text="" percent="0" bottom="0">
      <formula>0</formula>
    </cfRule>
    <cfRule type="cellIs" rank="0" priority="973" equalAverage="0" operator="lessThan" aboveAverage="0" dxfId="1" text="" percent="0" bottom="0">
      <formula>0</formula>
    </cfRule>
  </conditionalFormatting>
  <conditionalFormatting sqref="E492">
    <cfRule type="cellIs" rank="0" priority="974" equalAverage="0" operator="greaterThan" aboveAverage="0" dxfId="0" text="" percent="0" bottom="0">
      <formula>0</formula>
    </cfRule>
    <cfRule type="cellIs" rank="0" priority="975" equalAverage="0" operator="lessThan" aboveAverage="0" dxfId="1" text="" percent="0" bottom="0">
      <formula>0</formula>
    </cfRule>
  </conditionalFormatting>
  <conditionalFormatting sqref="E493">
    <cfRule type="cellIs" rank="0" priority="976" equalAverage="0" operator="greaterThan" aboveAverage="0" dxfId="0" text="" percent="0" bottom="0">
      <formula>0</formula>
    </cfRule>
    <cfRule type="cellIs" rank="0" priority="977" equalAverage="0" operator="lessThan" aboveAverage="0" dxfId="1" text="" percent="0" bottom="0">
      <formula>0</formula>
    </cfRule>
  </conditionalFormatting>
  <conditionalFormatting sqref="E494">
    <cfRule type="cellIs" rank="0" priority="978" equalAverage="0" operator="greaterThan" aboveAverage="0" dxfId="0" text="" percent="0" bottom="0">
      <formula>0</formula>
    </cfRule>
    <cfRule type="cellIs" rank="0" priority="979" equalAverage="0" operator="lessThan" aboveAverage="0" dxfId="1" text="" percent="0" bottom="0">
      <formula>0</formula>
    </cfRule>
  </conditionalFormatting>
  <conditionalFormatting sqref="E495">
    <cfRule type="cellIs" rank="0" priority="980" equalAverage="0" operator="greaterThan" aboveAverage="0" dxfId="0" text="" percent="0" bottom="0">
      <formula>0</formula>
    </cfRule>
    <cfRule type="cellIs" rank="0" priority="981" equalAverage="0" operator="lessThan" aboveAverage="0" dxfId="1" text="" percent="0" bottom="0">
      <formula>0</formula>
    </cfRule>
  </conditionalFormatting>
  <conditionalFormatting sqref="E496">
    <cfRule type="cellIs" rank="0" priority="982" equalAverage="0" operator="greaterThan" aboveAverage="0" dxfId="0" text="" percent="0" bottom="0">
      <formula>0</formula>
    </cfRule>
    <cfRule type="cellIs" rank="0" priority="983" equalAverage="0" operator="lessThan" aboveAverage="0" dxfId="1" text="" percent="0" bottom="0">
      <formula>0</formula>
    </cfRule>
  </conditionalFormatting>
  <conditionalFormatting sqref="E497">
    <cfRule type="cellIs" rank="0" priority="984" equalAverage="0" operator="greaterThan" aboveAverage="0" dxfId="0" text="" percent="0" bottom="0">
      <formula>0</formula>
    </cfRule>
    <cfRule type="cellIs" rank="0" priority="985" equalAverage="0" operator="lessThan" aboveAverage="0" dxfId="1" text="" percent="0" bottom="0">
      <formula>0</formula>
    </cfRule>
  </conditionalFormatting>
  <conditionalFormatting sqref="E498">
    <cfRule type="cellIs" rank="0" priority="986" equalAverage="0" operator="greaterThan" aboveAverage="0" dxfId="0" text="" percent="0" bottom="0">
      <formula>0</formula>
    </cfRule>
    <cfRule type="cellIs" rank="0" priority="987" equalAverage="0" operator="lessThan" aboveAverage="0" dxfId="1" text="" percent="0" bottom="0">
      <formula>0</formula>
    </cfRule>
  </conditionalFormatting>
  <conditionalFormatting sqref="E499">
    <cfRule type="cellIs" rank="0" priority="988" equalAverage="0" operator="greaterThan" aboveAverage="0" dxfId="0" text="" percent="0" bottom="0">
      <formula>0</formula>
    </cfRule>
    <cfRule type="cellIs" rank="0" priority="989" equalAverage="0" operator="lessThan" aboveAverage="0" dxfId="1" text="" percent="0" bottom="0">
      <formula>0</formula>
    </cfRule>
  </conditionalFormatting>
  <conditionalFormatting sqref="E500">
    <cfRule type="cellIs" rank="0" priority="990" equalAverage="0" operator="greaterThan" aboveAverage="0" dxfId="0" text="" percent="0" bottom="0">
      <formula>0</formula>
    </cfRule>
    <cfRule type="cellIs" rank="0" priority="991" equalAverage="0" operator="lessThan" aboveAverage="0" dxfId="1" text="" percent="0" bottom="0">
      <formula>0</formula>
    </cfRule>
  </conditionalFormatting>
  <conditionalFormatting sqref="E501">
    <cfRule type="cellIs" rank="0" priority="992" equalAverage="0" operator="greaterThan" aboveAverage="0" dxfId="0" text="" percent="0" bottom="0">
      <formula>0</formula>
    </cfRule>
    <cfRule type="cellIs" rank="0" priority="993" equalAverage="0" operator="lessThan" aboveAverage="0" dxfId="1" text="" percent="0" bottom="0">
      <formula>0</formula>
    </cfRule>
  </conditionalFormatting>
  <conditionalFormatting sqref="E502">
    <cfRule type="cellIs" rank="0" priority="994" equalAverage="0" operator="greaterThan" aboveAverage="0" dxfId="0" text="" percent="0" bottom="0">
      <formula>0</formula>
    </cfRule>
    <cfRule type="cellIs" rank="0" priority="995" equalAverage="0" operator="lessThan" aboveAverage="0" dxfId="1" text="" percent="0" bottom="0">
      <formula>0</formula>
    </cfRule>
  </conditionalFormatting>
  <conditionalFormatting sqref="E503">
    <cfRule type="cellIs" rank="0" priority="996" equalAverage="0" operator="greaterThan" aboveAverage="0" dxfId="0" text="" percent="0" bottom="0">
      <formula>0</formula>
    </cfRule>
    <cfRule type="cellIs" rank="0" priority="997" equalAverage="0" operator="lessThan" aboveAverage="0" dxfId="1" text="" percent="0" bottom="0">
      <formula>0</formula>
    </cfRule>
  </conditionalFormatting>
  <conditionalFormatting sqref="E504">
    <cfRule type="cellIs" rank="0" priority="998" equalAverage="0" operator="greaterThan" aboveAverage="0" dxfId="0" text="" percent="0" bottom="0">
      <formula>0</formula>
    </cfRule>
    <cfRule type="cellIs" rank="0" priority="999" equalAverage="0" operator="lessThan" aboveAverage="0" dxfId="1" text="" percent="0" bottom="0">
      <formula>0</formula>
    </cfRule>
  </conditionalFormatting>
  <conditionalFormatting sqref="E505">
    <cfRule type="cellIs" rank="0" priority="1000" equalAverage="0" operator="greaterThan" aboveAverage="0" dxfId="0" text="" percent="0" bottom="0">
      <formula>0</formula>
    </cfRule>
    <cfRule type="cellIs" rank="0" priority="1001" equalAverage="0" operator="lessThan" aboveAverage="0" dxfId="1" text="" percent="0" bottom="0">
      <formula>0</formula>
    </cfRule>
  </conditionalFormatting>
  <conditionalFormatting sqref="E506">
    <cfRule type="cellIs" rank="0" priority="1002" equalAverage="0" operator="greaterThan" aboveAverage="0" dxfId="0" text="" percent="0" bottom="0">
      <formula>0</formula>
    </cfRule>
    <cfRule type="cellIs" rank="0" priority="1003" equalAverage="0" operator="lessThan" aboveAverage="0" dxfId="1" text="" percent="0" bottom="0">
      <formula>0</formula>
    </cfRule>
  </conditionalFormatting>
  <conditionalFormatting sqref="E507">
    <cfRule type="cellIs" rank="0" priority="1004" equalAverage="0" operator="greaterThan" aboveAverage="0" dxfId="0" text="" percent="0" bottom="0">
      <formula>0</formula>
    </cfRule>
    <cfRule type="cellIs" rank="0" priority="1005" equalAverage="0" operator="lessThan" aboveAverage="0" dxfId="1" text="" percent="0" bottom="0">
      <formula>0</formula>
    </cfRule>
  </conditionalFormatting>
  <conditionalFormatting sqref="E508">
    <cfRule type="cellIs" rank="0" priority="1006" equalAverage="0" operator="greaterThan" aboveAverage="0" dxfId="0" text="" percent="0" bottom="0">
      <formula>0</formula>
    </cfRule>
    <cfRule type="cellIs" rank="0" priority="1007" equalAverage="0" operator="lessThan" aboveAverage="0" dxfId="1" text="" percent="0" bottom="0">
      <formula>0</formula>
    </cfRule>
  </conditionalFormatting>
  <conditionalFormatting sqref="E509">
    <cfRule type="cellIs" rank="0" priority="1008" equalAverage="0" operator="greaterThan" aboveAverage="0" dxfId="0" text="" percent="0" bottom="0">
      <formula>0</formula>
    </cfRule>
    <cfRule type="cellIs" rank="0" priority="1009" equalAverage="0" operator="lessThan" aboveAverage="0" dxfId="1" text="" percent="0" bottom="0">
      <formula>0</formula>
    </cfRule>
  </conditionalFormatting>
  <conditionalFormatting sqref="E510">
    <cfRule type="cellIs" rank="0" priority="1010" equalAverage="0" operator="greaterThan" aboveAverage="0" dxfId="0" text="" percent="0" bottom="0">
      <formula>0</formula>
    </cfRule>
    <cfRule type="cellIs" rank="0" priority="1011" equalAverage="0" operator="lessThan" aboveAverage="0" dxfId="1" text="" percent="0" bottom="0">
      <formula>0</formula>
    </cfRule>
  </conditionalFormatting>
  <conditionalFormatting sqref="E511">
    <cfRule type="cellIs" rank="0" priority="1012" equalAverage="0" operator="greaterThan" aboveAverage="0" dxfId="0" text="" percent="0" bottom="0">
      <formula>0</formula>
    </cfRule>
    <cfRule type="cellIs" rank="0" priority="1013" equalAverage="0" operator="lessThan" aboveAverage="0" dxfId="1" text="" percent="0" bottom="0">
      <formula>0</formula>
    </cfRule>
  </conditionalFormatting>
  <conditionalFormatting sqref="E512">
    <cfRule type="cellIs" rank="0" priority="1014" equalAverage="0" operator="greaterThan" aboveAverage="0" dxfId="0" text="" percent="0" bottom="0">
      <formula>0</formula>
    </cfRule>
    <cfRule type="cellIs" rank="0" priority="1015" equalAverage="0" operator="lessThan" aboveAverage="0" dxfId="1" text="" percent="0" bottom="0">
      <formula>0</formula>
    </cfRule>
  </conditionalFormatting>
  <conditionalFormatting sqref="E513">
    <cfRule type="cellIs" rank="0" priority="1016" equalAverage="0" operator="greaterThan" aboveAverage="0" dxfId="0" text="" percent="0" bottom="0">
      <formula>0</formula>
    </cfRule>
    <cfRule type="cellIs" rank="0" priority="1017" equalAverage="0" operator="lessThan" aboveAverage="0" dxfId="1" text="" percent="0" bottom="0">
      <formula>0</formula>
    </cfRule>
  </conditionalFormatting>
  <conditionalFormatting sqref="E514">
    <cfRule type="cellIs" rank="0" priority="1018" equalAverage="0" operator="greaterThan" aboveAverage="0" dxfId="0" text="" percent="0" bottom="0">
      <formula>0</formula>
    </cfRule>
    <cfRule type="cellIs" rank="0" priority="1019" equalAverage="0" operator="lessThan" aboveAverage="0" dxfId="1" text="" percent="0" bottom="0">
      <formula>0</formula>
    </cfRule>
  </conditionalFormatting>
  <conditionalFormatting sqref="E515">
    <cfRule type="cellIs" rank="0" priority="1020" equalAverage="0" operator="greaterThan" aboveAverage="0" dxfId="0" text="" percent="0" bottom="0">
      <formula>0</formula>
    </cfRule>
    <cfRule type="cellIs" rank="0" priority="1021" equalAverage="0" operator="lessThan" aboveAverage="0" dxfId="1" text="" percent="0" bottom="0">
      <formula>0</formula>
    </cfRule>
  </conditionalFormatting>
  <conditionalFormatting sqref="E516">
    <cfRule type="cellIs" rank="0" priority="1022" equalAverage="0" operator="greaterThan" aboveAverage="0" dxfId="0" text="" percent="0" bottom="0">
      <formula>0</formula>
    </cfRule>
    <cfRule type="cellIs" rank="0" priority="1023" equalAverage="0" operator="lessThan" aboveAverage="0" dxfId="1" text="" percent="0" bottom="0">
      <formula>0</formula>
    </cfRule>
  </conditionalFormatting>
  <conditionalFormatting sqref="E517">
    <cfRule type="cellIs" rank="0" priority="1024" equalAverage="0" operator="greaterThan" aboveAverage="0" dxfId="0" text="" percent="0" bottom="0">
      <formula>0</formula>
    </cfRule>
    <cfRule type="cellIs" rank="0" priority="1025" equalAverage="0" operator="lessThan" aboveAverage="0" dxfId="1" text="" percent="0" bottom="0">
      <formula>0</formula>
    </cfRule>
  </conditionalFormatting>
  <conditionalFormatting sqref="E518">
    <cfRule type="cellIs" rank="0" priority="1026" equalAverage="0" operator="greaterThan" aboveAverage="0" dxfId="0" text="" percent="0" bottom="0">
      <formula>0</formula>
    </cfRule>
    <cfRule type="cellIs" rank="0" priority="1027" equalAverage="0" operator="lessThan" aboveAverage="0" dxfId="1" text="" percent="0" bottom="0">
      <formula>0</formula>
    </cfRule>
  </conditionalFormatting>
  <conditionalFormatting sqref="E519">
    <cfRule type="cellIs" rank="0" priority="1028" equalAverage="0" operator="greaterThan" aboveAverage="0" dxfId="0" text="" percent="0" bottom="0">
      <formula>0</formula>
    </cfRule>
    <cfRule type="cellIs" rank="0" priority="1029" equalAverage="0" operator="lessThan" aboveAverage="0" dxfId="1" text="" percent="0" bottom="0">
      <formula>0</formula>
    </cfRule>
  </conditionalFormatting>
  <conditionalFormatting sqref="E520">
    <cfRule type="cellIs" rank="0" priority="1030" equalAverage="0" operator="greaterThan" aboveAverage="0" dxfId="0" text="" percent="0" bottom="0">
      <formula>0</formula>
    </cfRule>
    <cfRule type="cellIs" rank="0" priority="1031" equalAverage="0" operator="lessThan" aboveAverage="0" dxfId="1" text="" percent="0" bottom="0">
      <formula>0</formula>
    </cfRule>
  </conditionalFormatting>
  <conditionalFormatting sqref="E521">
    <cfRule type="cellIs" rank="0" priority="1032" equalAverage="0" operator="greaterThan" aboveAverage="0" dxfId="0" text="" percent="0" bottom="0">
      <formula>0</formula>
    </cfRule>
    <cfRule type="cellIs" rank="0" priority="1033" equalAverage="0" operator="lessThan" aboveAverage="0" dxfId="1" text="" percent="0" bottom="0">
      <formula>0</formula>
    </cfRule>
  </conditionalFormatting>
  <conditionalFormatting sqref="E522">
    <cfRule type="cellIs" rank="0" priority="1034" equalAverage="0" operator="greaterThan" aboveAverage="0" dxfId="0" text="" percent="0" bottom="0">
      <formula>0</formula>
    </cfRule>
    <cfRule type="cellIs" rank="0" priority="1035" equalAverage="0" operator="lessThan" aboveAverage="0" dxfId="1" text="" percent="0" bottom="0">
      <formula>0</formula>
    </cfRule>
  </conditionalFormatting>
  <conditionalFormatting sqref="E523">
    <cfRule type="cellIs" rank="0" priority="1036" equalAverage="0" operator="greaterThan" aboveAverage="0" dxfId="0" text="" percent="0" bottom="0">
      <formula>0</formula>
    </cfRule>
    <cfRule type="cellIs" rank="0" priority="1037" equalAverage="0" operator="lessThan" aboveAverage="0" dxfId="1" text="" percent="0" bottom="0">
      <formula>0</formula>
    </cfRule>
  </conditionalFormatting>
  <conditionalFormatting sqref="E524">
    <cfRule type="cellIs" rank="0" priority="1038" equalAverage="0" operator="greaterThan" aboveAverage="0" dxfId="0" text="" percent="0" bottom="0">
      <formula>0</formula>
    </cfRule>
    <cfRule type="cellIs" rank="0" priority="1039" equalAverage="0" operator="lessThan" aboveAverage="0" dxfId="1" text="" percent="0" bottom="0">
      <formula>0</formula>
    </cfRule>
  </conditionalFormatting>
  <conditionalFormatting sqref="E525">
    <cfRule type="cellIs" rank="0" priority="1040" equalAverage="0" operator="greaterThan" aboveAverage="0" dxfId="0" text="" percent="0" bottom="0">
      <formula>0</formula>
    </cfRule>
    <cfRule type="cellIs" rank="0" priority="1041" equalAverage="0" operator="lessThan" aboveAverage="0" dxfId="1" text="" percent="0" bottom="0">
      <formula>0</formula>
    </cfRule>
  </conditionalFormatting>
  <conditionalFormatting sqref="E526">
    <cfRule type="cellIs" rank="0" priority="1042" equalAverage="0" operator="greaterThan" aboveAverage="0" dxfId="0" text="" percent="0" bottom="0">
      <formula>0</formula>
    </cfRule>
    <cfRule type="cellIs" rank="0" priority="1043" equalAverage="0" operator="lessThan" aboveAverage="0" dxfId="1" text="" percent="0" bottom="0">
      <formula>0</formula>
    </cfRule>
  </conditionalFormatting>
  <conditionalFormatting sqref="E527">
    <cfRule type="cellIs" rank="0" priority="1044" equalAverage="0" operator="greaterThan" aboveAverage="0" dxfId="0" text="" percent="0" bottom="0">
      <formula>0</formula>
    </cfRule>
    <cfRule type="cellIs" rank="0" priority="1045" equalAverage="0" operator="lessThan" aboveAverage="0" dxfId="1" text="" percent="0" bottom="0">
      <formula>0</formula>
    </cfRule>
  </conditionalFormatting>
  <conditionalFormatting sqref="E528">
    <cfRule type="cellIs" rank="0" priority="1046" equalAverage="0" operator="greaterThan" aboveAverage="0" dxfId="0" text="" percent="0" bottom="0">
      <formula>0</formula>
    </cfRule>
    <cfRule type="cellIs" rank="0" priority="1047" equalAverage="0" operator="lessThan" aboveAverage="0" dxfId="1" text="" percent="0" bottom="0">
      <formula>0</formula>
    </cfRule>
  </conditionalFormatting>
  <conditionalFormatting sqref="E529">
    <cfRule type="cellIs" rank="0" priority="1048" equalAverage="0" operator="greaterThan" aboveAverage="0" dxfId="0" text="" percent="0" bottom="0">
      <formula>0</formula>
    </cfRule>
    <cfRule type="cellIs" rank="0" priority="1049" equalAverage="0" operator="lessThan" aboveAverage="0" dxfId="1" text="" percent="0" bottom="0">
      <formula>0</formula>
    </cfRule>
  </conditionalFormatting>
  <conditionalFormatting sqref="E530">
    <cfRule type="cellIs" rank="0" priority="1050" equalAverage="0" operator="greaterThan" aboveAverage="0" dxfId="0" text="" percent="0" bottom="0">
      <formula>0</formula>
    </cfRule>
    <cfRule type="cellIs" rank="0" priority="1051" equalAverage="0" operator="lessThan" aboveAverage="0" dxfId="1" text="" percent="0" bottom="0">
      <formula>0</formula>
    </cfRule>
  </conditionalFormatting>
  <conditionalFormatting sqref="E531">
    <cfRule type="cellIs" rank="0" priority="1052" equalAverage="0" operator="greaterThan" aboveAverage="0" dxfId="0" text="" percent="0" bottom="0">
      <formula>0</formula>
    </cfRule>
    <cfRule type="cellIs" rank="0" priority="1053" equalAverage="0" operator="lessThan" aboveAverage="0" dxfId="1" text="" percent="0" bottom="0">
      <formula>0</formula>
    </cfRule>
  </conditionalFormatting>
  <conditionalFormatting sqref="E532">
    <cfRule type="cellIs" rank="0" priority="1054" equalAverage="0" operator="greaterThan" aboveAverage="0" dxfId="0" text="" percent="0" bottom="0">
      <formula>0</formula>
    </cfRule>
    <cfRule type="cellIs" rank="0" priority="1055" equalAverage="0" operator="lessThan" aboveAverage="0" dxfId="1" text="" percent="0" bottom="0">
      <formula>0</formula>
    </cfRule>
  </conditionalFormatting>
  <conditionalFormatting sqref="E533">
    <cfRule type="cellIs" rank="0" priority="1056" equalAverage="0" operator="greaterThan" aboveAverage="0" dxfId="0" text="" percent="0" bottom="0">
      <formula>0</formula>
    </cfRule>
    <cfRule type="cellIs" rank="0" priority="1057" equalAverage="0" operator="lessThan" aboveAverage="0" dxfId="1" text="" percent="0" bottom="0">
      <formula>0</formula>
    </cfRule>
  </conditionalFormatting>
  <conditionalFormatting sqref="E534">
    <cfRule type="cellIs" rank="0" priority="1058" equalAverage="0" operator="greaterThan" aboveAverage="0" dxfId="0" text="" percent="0" bottom="0">
      <formula>0</formula>
    </cfRule>
    <cfRule type="cellIs" rank="0" priority="1059" equalAverage="0" operator="lessThan" aboveAverage="0" dxfId="1" text="" percent="0" bottom="0">
      <formula>0</formula>
    </cfRule>
  </conditionalFormatting>
  <conditionalFormatting sqref="E535">
    <cfRule type="cellIs" rank="0" priority="1060" equalAverage="0" operator="greaterThan" aboveAverage="0" dxfId="0" text="" percent="0" bottom="0">
      <formula>0</formula>
    </cfRule>
    <cfRule type="cellIs" rank="0" priority="1061" equalAverage="0" operator="lessThan" aboveAverage="0" dxfId="1" text="" percent="0" bottom="0">
      <formula>0</formula>
    </cfRule>
  </conditionalFormatting>
  <conditionalFormatting sqref="E536">
    <cfRule type="cellIs" rank="0" priority="1062" equalAverage="0" operator="greaterThan" aboveAverage="0" dxfId="0" text="" percent="0" bottom="0">
      <formula>0</formula>
    </cfRule>
    <cfRule type="cellIs" rank="0" priority="1063" equalAverage="0" operator="lessThan" aboveAverage="0" dxfId="1" text="" percent="0" bottom="0">
      <formula>0</formula>
    </cfRule>
  </conditionalFormatting>
  <conditionalFormatting sqref="E537">
    <cfRule type="cellIs" rank="0" priority="1064" equalAverage="0" operator="greaterThan" aboveAverage="0" dxfId="0" text="" percent="0" bottom="0">
      <formula>0</formula>
    </cfRule>
    <cfRule type="cellIs" rank="0" priority="1065" equalAverage="0" operator="lessThan" aboveAverage="0" dxfId="1" text="" percent="0" bottom="0">
      <formula>0</formula>
    </cfRule>
  </conditionalFormatting>
  <conditionalFormatting sqref="E538">
    <cfRule type="cellIs" rank="0" priority="1066" equalAverage="0" operator="greaterThan" aboveAverage="0" dxfId="0" text="" percent="0" bottom="0">
      <formula>0</formula>
    </cfRule>
    <cfRule type="cellIs" rank="0" priority="1067" equalAverage="0" operator="lessThan" aboveAverage="0" dxfId="1" text="" percent="0" bottom="0">
      <formula>0</formula>
    </cfRule>
  </conditionalFormatting>
  <conditionalFormatting sqref="E539">
    <cfRule type="cellIs" rank="0" priority="1068" equalAverage="0" operator="greaterThan" aboveAverage="0" dxfId="0" text="" percent="0" bottom="0">
      <formula>0</formula>
    </cfRule>
    <cfRule type="cellIs" rank="0" priority="1069" equalAverage="0" operator="lessThan" aboveAverage="0" dxfId="1" text="" percent="0" bottom="0">
      <formula>0</formula>
    </cfRule>
  </conditionalFormatting>
  <conditionalFormatting sqref="E540">
    <cfRule type="cellIs" rank="0" priority="1070" equalAverage="0" operator="greaterThan" aboveAverage="0" dxfId="0" text="" percent="0" bottom="0">
      <formula>0</formula>
    </cfRule>
    <cfRule type="cellIs" rank="0" priority="1071" equalAverage="0" operator="lessThan" aboveAverage="0" dxfId="1" text="" percent="0" bottom="0">
      <formula>0</formula>
    </cfRule>
  </conditionalFormatting>
  <conditionalFormatting sqref="E541">
    <cfRule type="cellIs" rank="0" priority="1072" equalAverage="0" operator="greaterThan" aboveAverage="0" dxfId="0" text="" percent="0" bottom="0">
      <formula>0</formula>
    </cfRule>
    <cfRule type="cellIs" rank="0" priority="1073" equalAverage="0" operator="lessThan" aboveAverage="0" dxfId="1" text="" percent="0" bottom="0">
      <formula>0</formula>
    </cfRule>
  </conditionalFormatting>
  <conditionalFormatting sqref="E542">
    <cfRule type="cellIs" rank="0" priority="1074" equalAverage="0" operator="greaterThan" aboveAverage="0" dxfId="0" text="" percent="0" bottom="0">
      <formula>0</formula>
    </cfRule>
    <cfRule type="cellIs" rank="0" priority="1075" equalAverage="0" operator="lessThan" aboveAverage="0" dxfId="1" text="" percent="0" bottom="0">
      <formula>0</formula>
    </cfRule>
  </conditionalFormatting>
  <conditionalFormatting sqref="E543">
    <cfRule type="cellIs" rank="0" priority="1076" equalAverage="0" operator="greaterThan" aboveAverage="0" dxfId="0" text="" percent="0" bottom="0">
      <formula>0</formula>
    </cfRule>
    <cfRule type="cellIs" rank="0" priority="1077" equalAverage="0" operator="lessThan" aboveAverage="0" dxfId="1" text="" percent="0" bottom="0">
      <formula>0</formula>
    </cfRule>
  </conditionalFormatting>
  <conditionalFormatting sqref="E544">
    <cfRule type="cellIs" rank="0" priority="1078" equalAverage="0" operator="greaterThan" aboveAverage="0" dxfId="0" text="" percent="0" bottom="0">
      <formula>0</formula>
    </cfRule>
    <cfRule type="cellIs" rank="0" priority="1079" equalAverage="0" operator="lessThan" aboveAverage="0" dxfId="1" text="" percent="0" bottom="0">
      <formula>0</formula>
    </cfRule>
  </conditionalFormatting>
  <conditionalFormatting sqref="E545">
    <cfRule type="cellIs" rank="0" priority="1080" equalAverage="0" operator="greaterThan" aboveAverage="0" dxfId="0" text="" percent="0" bottom="0">
      <formula>0</formula>
    </cfRule>
    <cfRule type="cellIs" rank="0" priority="1081" equalAverage="0" operator="lessThan" aboveAverage="0" dxfId="1" text="" percent="0" bottom="0">
      <formula>0</formula>
    </cfRule>
  </conditionalFormatting>
  <conditionalFormatting sqref="E546">
    <cfRule type="cellIs" rank="0" priority="1082" equalAverage="0" operator="greaterThan" aboveAverage="0" dxfId="0" text="" percent="0" bottom="0">
      <formula>0</formula>
    </cfRule>
    <cfRule type="cellIs" rank="0" priority="1083" equalAverage="0" operator="lessThan" aboveAverage="0" dxfId="1" text="" percent="0" bottom="0">
      <formula>0</formula>
    </cfRule>
  </conditionalFormatting>
  <conditionalFormatting sqref="E547">
    <cfRule type="cellIs" rank="0" priority="1084" equalAverage="0" operator="greaterThan" aboveAverage="0" dxfId="0" text="" percent="0" bottom="0">
      <formula>0</formula>
    </cfRule>
    <cfRule type="cellIs" rank="0" priority="1085" equalAverage="0" operator="lessThan" aboveAverage="0" dxfId="1" text="" percent="0" bottom="0">
      <formula>0</formula>
    </cfRule>
  </conditionalFormatting>
  <conditionalFormatting sqref="E548">
    <cfRule type="cellIs" rank="0" priority="1086" equalAverage="0" operator="greaterThan" aboveAverage="0" dxfId="0" text="" percent="0" bottom="0">
      <formula>0</formula>
    </cfRule>
    <cfRule type="cellIs" rank="0" priority="1087" equalAverage="0" operator="lessThan" aboveAverage="0" dxfId="1" text="" percent="0" bottom="0">
      <formula>0</formula>
    </cfRule>
  </conditionalFormatting>
  <conditionalFormatting sqref="E549">
    <cfRule type="cellIs" rank="0" priority="1088" equalAverage="0" operator="greaterThan" aboveAverage="0" dxfId="0" text="" percent="0" bottom="0">
      <formula>0</formula>
    </cfRule>
    <cfRule type="cellIs" rank="0" priority="1089" equalAverage="0" operator="lessThan" aboveAverage="0" dxfId="1" text="" percent="0" bottom="0">
      <formula>0</formula>
    </cfRule>
  </conditionalFormatting>
  <conditionalFormatting sqref="E550">
    <cfRule type="cellIs" rank="0" priority="1090" equalAverage="0" operator="greaterThan" aboveAverage="0" dxfId="0" text="" percent="0" bottom="0">
      <formula>0</formula>
    </cfRule>
    <cfRule type="cellIs" rank="0" priority="1091" equalAverage="0" operator="lessThan" aboveAverage="0" dxfId="1" text="" percent="0" bottom="0">
      <formula>0</formula>
    </cfRule>
  </conditionalFormatting>
  <conditionalFormatting sqref="E551">
    <cfRule type="cellIs" rank="0" priority="1092" equalAverage="0" operator="greaterThan" aboveAverage="0" dxfId="0" text="" percent="0" bottom="0">
      <formula>0</formula>
    </cfRule>
    <cfRule type="cellIs" rank="0" priority="1093" equalAverage="0" operator="lessThan" aboveAverage="0" dxfId="1" text="" percent="0" bottom="0">
      <formula>0</formula>
    </cfRule>
  </conditionalFormatting>
  <conditionalFormatting sqref="E552">
    <cfRule type="cellIs" rank="0" priority="1094" equalAverage="0" operator="greaterThan" aboveAverage="0" dxfId="0" text="" percent="0" bottom="0">
      <formula>0</formula>
    </cfRule>
    <cfRule type="cellIs" rank="0" priority="1095" equalAverage="0" operator="lessThan" aboveAverage="0" dxfId="1" text="" percent="0" bottom="0">
      <formula>0</formula>
    </cfRule>
  </conditionalFormatting>
  <conditionalFormatting sqref="E553">
    <cfRule type="cellIs" rank="0" priority="1096" equalAverage="0" operator="greaterThan" aboveAverage="0" dxfId="0" text="" percent="0" bottom="0">
      <formula>0</formula>
    </cfRule>
    <cfRule type="cellIs" rank="0" priority="1097" equalAverage="0" operator="lessThan" aboveAverage="0" dxfId="1" text="" percent="0" bottom="0">
      <formula>0</formula>
    </cfRule>
  </conditionalFormatting>
  <conditionalFormatting sqref="E554">
    <cfRule type="cellIs" rank="0" priority="1098" equalAverage="0" operator="greaterThan" aboveAverage="0" dxfId="0" text="" percent="0" bottom="0">
      <formula>0</formula>
    </cfRule>
    <cfRule type="cellIs" rank="0" priority="1099" equalAverage="0" operator="lessThan" aboveAverage="0" dxfId="1" text="" percent="0" bottom="0">
      <formula>0</formula>
    </cfRule>
  </conditionalFormatting>
  <conditionalFormatting sqref="E555">
    <cfRule type="cellIs" rank="0" priority="1100" equalAverage="0" operator="greaterThan" aboveAverage="0" dxfId="0" text="" percent="0" bottom="0">
      <formula>0</formula>
    </cfRule>
    <cfRule type="cellIs" rank="0" priority="1101" equalAverage="0" operator="lessThan" aboveAverage="0" dxfId="1" text="" percent="0" bottom="0">
      <formula>0</formula>
    </cfRule>
  </conditionalFormatting>
  <conditionalFormatting sqref="E556">
    <cfRule type="cellIs" rank="0" priority="1102" equalAverage="0" operator="greaterThan" aboveAverage="0" dxfId="0" text="" percent="0" bottom="0">
      <formula>0</formula>
    </cfRule>
    <cfRule type="cellIs" rank="0" priority="1103" equalAverage="0" operator="lessThan" aboveAverage="0" dxfId="1" text="" percent="0" bottom="0">
      <formula>0</formula>
    </cfRule>
  </conditionalFormatting>
  <conditionalFormatting sqref="E557">
    <cfRule type="cellIs" rank="0" priority="1104" equalAverage="0" operator="greaterThan" aboveAverage="0" dxfId="0" text="" percent="0" bottom="0">
      <formula>0</formula>
    </cfRule>
    <cfRule type="cellIs" rank="0" priority="1105" equalAverage="0" operator="lessThan" aboveAverage="0" dxfId="1" text="" percent="0" bottom="0">
      <formula>0</formula>
    </cfRule>
  </conditionalFormatting>
  <conditionalFormatting sqref="E558">
    <cfRule type="cellIs" rank="0" priority="1106" equalAverage="0" operator="greaterThan" aboveAverage="0" dxfId="0" text="" percent="0" bottom="0">
      <formula>0</formula>
    </cfRule>
    <cfRule type="cellIs" rank="0" priority="1107" equalAverage="0" operator="lessThan" aboveAverage="0" dxfId="1" text="" percent="0" bottom="0">
      <formula>0</formula>
    </cfRule>
  </conditionalFormatting>
  <conditionalFormatting sqref="E559">
    <cfRule type="cellIs" rank="0" priority="1108" equalAverage="0" operator="greaterThan" aboveAverage="0" dxfId="0" text="" percent="0" bottom="0">
      <formula>0</formula>
    </cfRule>
    <cfRule type="cellIs" rank="0" priority="1109" equalAverage="0" operator="lessThan" aboveAverage="0" dxfId="1" text="" percent="0" bottom="0">
      <formula>0</formula>
    </cfRule>
  </conditionalFormatting>
  <conditionalFormatting sqref="E560">
    <cfRule type="cellIs" rank="0" priority="1110" equalAverage="0" operator="greaterThan" aboveAverage="0" dxfId="0" text="" percent="0" bottom="0">
      <formula>0</formula>
    </cfRule>
    <cfRule type="cellIs" rank="0" priority="1111" equalAverage="0" operator="lessThan" aboveAverage="0" dxfId="1" text="" percent="0" bottom="0">
      <formula>0</formula>
    </cfRule>
  </conditionalFormatting>
  <conditionalFormatting sqref="E561">
    <cfRule type="cellIs" rank="0" priority="1112" equalAverage="0" operator="greaterThan" aboveAverage="0" dxfId="0" text="" percent="0" bottom="0">
      <formula>0</formula>
    </cfRule>
    <cfRule type="cellIs" rank="0" priority="1113" equalAverage="0" operator="lessThan" aboveAverage="0" dxfId="1" text="" percent="0" bottom="0">
      <formula>0</formula>
    </cfRule>
  </conditionalFormatting>
  <conditionalFormatting sqref="E562">
    <cfRule type="cellIs" rank="0" priority="1114" equalAverage="0" operator="greaterThan" aboveAverage="0" dxfId="0" text="" percent="0" bottom="0">
      <formula>0</formula>
    </cfRule>
    <cfRule type="cellIs" rank="0" priority="1115" equalAverage="0" operator="lessThan" aboveAverage="0" dxfId="1" text="" percent="0" bottom="0">
      <formula>0</formula>
    </cfRule>
  </conditionalFormatting>
  <conditionalFormatting sqref="E563">
    <cfRule type="cellIs" rank="0" priority="1116" equalAverage="0" operator="greaterThan" aboveAverage="0" dxfId="0" text="" percent="0" bottom="0">
      <formula>0</formula>
    </cfRule>
    <cfRule type="cellIs" rank="0" priority="1117" equalAverage="0" operator="lessThan" aboveAverage="0" dxfId="1" text="" percent="0" bottom="0">
      <formula>0</formula>
    </cfRule>
  </conditionalFormatting>
  <conditionalFormatting sqref="E564">
    <cfRule type="cellIs" rank="0" priority="1118" equalAverage="0" operator="greaterThan" aboveAverage="0" dxfId="0" text="" percent="0" bottom="0">
      <formula>0</formula>
    </cfRule>
    <cfRule type="cellIs" rank="0" priority="1119" equalAverage="0" operator="lessThan" aboveAverage="0" dxfId="1" text="" percent="0" bottom="0">
      <formula>0</formula>
    </cfRule>
  </conditionalFormatting>
  <conditionalFormatting sqref="E565">
    <cfRule type="cellIs" rank="0" priority="1120" equalAverage="0" operator="greaterThan" aboveAverage="0" dxfId="0" text="" percent="0" bottom="0">
      <formula>0</formula>
    </cfRule>
    <cfRule type="cellIs" rank="0" priority="1121" equalAverage="0" operator="lessThan" aboveAverage="0" dxfId="1" text="" percent="0" bottom="0">
      <formula>0</formula>
    </cfRule>
  </conditionalFormatting>
  <conditionalFormatting sqref="E566">
    <cfRule type="cellIs" rank="0" priority="1122" equalAverage="0" operator="greaterThan" aboveAverage="0" dxfId="0" text="" percent="0" bottom="0">
      <formula>0</formula>
    </cfRule>
    <cfRule type="cellIs" rank="0" priority="1123" equalAverage="0" operator="lessThan" aboveAverage="0" dxfId="1" text="" percent="0" bottom="0">
      <formula>0</formula>
    </cfRule>
  </conditionalFormatting>
  <conditionalFormatting sqref="E567">
    <cfRule type="cellIs" rank="0" priority="1124" equalAverage="0" operator="greaterThan" aboveAverage="0" dxfId="0" text="" percent="0" bottom="0">
      <formula>0</formula>
    </cfRule>
    <cfRule type="cellIs" rank="0" priority="1125" equalAverage="0" operator="lessThan" aboveAverage="0" dxfId="1" text="" percent="0" bottom="0">
      <formula>0</formula>
    </cfRule>
  </conditionalFormatting>
  <conditionalFormatting sqref="E568">
    <cfRule type="cellIs" rank="0" priority="1126" equalAverage="0" operator="greaterThan" aboveAverage="0" dxfId="0" text="" percent="0" bottom="0">
      <formula>0</formula>
    </cfRule>
    <cfRule type="cellIs" rank="0" priority="1127" equalAverage="0" operator="lessThan" aboveAverage="0" dxfId="1" text="" percent="0" bottom="0">
      <formula>0</formula>
    </cfRule>
  </conditionalFormatting>
  <conditionalFormatting sqref="E569">
    <cfRule type="cellIs" rank="0" priority="1128" equalAverage="0" operator="greaterThan" aboveAverage="0" dxfId="0" text="" percent="0" bottom="0">
      <formula>0</formula>
    </cfRule>
    <cfRule type="cellIs" rank="0" priority="1129" equalAverage="0" operator="lessThan" aboveAverage="0" dxfId="1" text="" percent="0" bottom="0">
      <formula>0</formula>
    </cfRule>
  </conditionalFormatting>
  <conditionalFormatting sqref="E570">
    <cfRule type="cellIs" rank="0" priority="1130" equalAverage="0" operator="greaterThan" aboveAverage="0" dxfId="0" text="" percent="0" bottom="0">
      <formula>0</formula>
    </cfRule>
    <cfRule type="cellIs" rank="0" priority="1131" equalAverage="0" operator="lessThan" aboveAverage="0" dxfId="1" text="" percent="0" bottom="0">
      <formula>0</formula>
    </cfRule>
  </conditionalFormatting>
  <conditionalFormatting sqref="E571">
    <cfRule type="cellIs" rank="0" priority="1132" equalAverage="0" operator="greaterThan" aboveAverage="0" dxfId="0" text="" percent="0" bottom="0">
      <formula>0</formula>
    </cfRule>
    <cfRule type="cellIs" rank="0" priority="1133" equalAverage="0" operator="lessThan" aboveAverage="0" dxfId="1" text="" percent="0" bottom="0">
      <formula>0</formula>
    </cfRule>
  </conditionalFormatting>
  <conditionalFormatting sqref="E572">
    <cfRule type="cellIs" rank="0" priority="1134" equalAverage="0" operator="greaterThan" aboveAverage="0" dxfId="0" text="" percent="0" bottom="0">
      <formula>0</formula>
    </cfRule>
    <cfRule type="cellIs" rank="0" priority="1135" equalAverage="0" operator="lessThan" aboveAverage="0" dxfId="1" text="" percent="0" bottom="0">
      <formula>0</formula>
    </cfRule>
  </conditionalFormatting>
  <conditionalFormatting sqref="E573">
    <cfRule type="cellIs" rank="0" priority="1136" equalAverage="0" operator="greaterThan" aboveAverage="0" dxfId="0" text="" percent="0" bottom="0">
      <formula>0</formula>
    </cfRule>
    <cfRule type="cellIs" rank="0" priority="1137" equalAverage="0" operator="lessThan" aboveAverage="0" dxfId="1" text="" percent="0" bottom="0">
      <formula>0</formula>
    </cfRule>
  </conditionalFormatting>
  <conditionalFormatting sqref="E574">
    <cfRule type="cellIs" rank="0" priority="1138" equalAverage="0" operator="greaterThan" aboveAverage="0" dxfId="0" text="" percent="0" bottom="0">
      <formula>0</formula>
    </cfRule>
    <cfRule type="cellIs" rank="0" priority="1139" equalAverage="0" operator="lessThan" aboveAverage="0" dxfId="1" text="" percent="0" bottom="0">
      <formula>0</formula>
    </cfRule>
  </conditionalFormatting>
  <conditionalFormatting sqref="E575">
    <cfRule type="cellIs" rank="0" priority="1140" equalAverage="0" operator="greaterThan" aboveAverage="0" dxfId="0" text="" percent="0" bottom="0">
      <formula>0</formula>
    </cfRule>
    <cfRule type="cellIs" rank="0" priority="1141" equalAverage="0" operator="lessThan" aboveAverage="0" dxfId="1" text="" percent="0" bottom="0">
      <formula>0</formula>
    </cfRule>
  </conditionalFormatting>
  <conditionalFormatting sqref="E576">
    <cfRule type="cellIs" rank="0" priority="1142" equalAverage="0" operator="greaterThan" aboveAverage="0" dxfId="0" text="" percent="0" bottom="0">
      <formula>0</formula>
    </cfRule>
    <cfRule type="cellIs" rank="0" priority="1143" equalAverage="0" operator="lessThan" aboveAverage="0" dxfId="1" text="" percent="0" bottom="0">
      <formula>0</formula>
    </cfRule>
  </conditionalFormatting>
  <conditionalFormatting sqref="E577">
    <cfRule type="cellIs" rank="0" priority="1144" equalAverage="0" operator="greaterThan" aboveAverage="0" dxfId="0" text="" percent="0" bottom="0">
      <formula>0</formula>
    </cfRule>
    <cfRule type="cellIs" rank="0" priority="1145" equalAverage="0" operator="lessThan" aboveAverage="0" dxfId="1" text="" percent="0" bottom="0">
      <formula>0</formula>
    </cfRule>
  </conditionalFormatting>
  <conditionalFormatting sqref="E578">
    <cfRule type="cellIs" rank="0" priority="1146" equalAverage="0" operator="greaterThan" aboveAverage="0" dxfId="0" text="" percent="0" bottom="0">
      <formula>0</formula>
    </cfRule>
    <cfRule type="cellIs" rank="0" priority="1147" equalAverage="0" operator="lessThan" aboveAverage="0" dxfId="1" text="" percent="0" bottom="0">
      <formula>0</formula>
    </cfRule>
  </conditionalFormatting>
  <conditionalFormatting sqref="E579">
    <cfRule type="cellIs" rank="0" priority="1148" equalAverage="0" operator="greaterThan" aboveAverage="0" dxfId="0" text="" percent="0" bottom="0">
      <formula>0</formula>
    </cfRule>
    <cfRule type="cellIs" rank="0" priority="1149" equalAverage="0" operator="lessThan" aboveAverage="0" dxfId="1" text="" percent="0" bottom="0">
      <formula>0</formula>
    </cfRule>
  </conditionalFormatting>
  <conditionalFormatting sqref="E580">
    <cfRule type="cellIs" rank="0" priority="1150" equalAverage="0" operator="greaterThan" aboveAverage="0" dxfId="0" text="" percent="0" bottom="0">
      <formula>0</formula>
    </cfRule>
    <cfRule type="cellIs" rank="0" priority="1151" equalAverage="0" operator="lessThan" aboveAverage="0" dxfId="1" text="" percent="0" bottom="0">
      <formula>0</formula>
    </cfRule>
  </conditionalFormatting>
  <conditionalFormatting sqref="E581">
    <cfRule type="cellIs" rank="0" priority="1152" equalAverage="0" operator="greaterThan" aboveAverage="0" dxfId="0" text="" percent="0" bottom="0">
      <formula>0</formula>
    </cfRule>
    <cfRule type="cellIs" rank="0" priority="1153" equalAverage="0" operator="lessThan" aboveAverage="0" dxfId="1" text="" percent="0" bottom="0">
      <formula>0</formula>
    </cfRule>
  </conditionalFormatting>
  <conditionalFormatting sqref="E582">
    <cfRule type="cellIs" rank="0" priority="1154" equalAverage="0" operator="greaterThan" aboveAverage="0" dxfId="0" text="" percent="0" bottom="0">
      <formula>0</formula>
    </cfRule>
    <cfRule type="cellIs" rank="0" priority="1155" equalAverage="0" operator="lessThan" aboveAverage="0" dxfId="1" text="" percent="0" bottom="0">
      <formula>0</formula>
    </cfRule>
  </conditionalFormatting>
  <conditionalFormatting sqref="E583">
    <cfRule type="cellIs" rank="0" priority="1156" equalAverage="0" operator="greaterThan" aboveAverage="0" dxfId="0" text="" percent="0" bottom="0">
      <formula>0</formula>
    </cfRule>
    <cfRule type="cellIs" rank="0" priority="1157" equalAverage="0" operator="lessThan" aboveAverage="0" dxfId="1" text="" percent="0" bottom="0">
      <formula>0</formula>
    </cfRule>
  </conditionalFormatting>
  <conditionalFormatting sqref="E584">
    <cfRule type="cellIs" rank="0" priority="1158" equalAverage="0" operator="greaterThan" aboveAverage="0" dxfId="0" text="" percent="0" bottom="0">
      <formula>0</formula>
    </cfRule>
    <cfRule type="cellIs" rank="0" priority="1159" equalAverage="0" operator="lessThan" aboveAverage="0" dxfId="1" text="" percent="0" bottom="0">
      <formula>0</formula>
    </cfRule>
  </conditionalFormatting>
  <conditionalFormatting sqref="E585">
    <cfRule type="cellIs" rank="0" priority="1160" equalAverage="0" operator="greaterThan" aboveAverage="0" dxfId="0" text="" percent="0" bottom="0">
      <formula>0</formula>
    </cfRule>
    <cfRule type="cellIs" rank="0" priority="1161" equalAverage="0" operator="lessThan" aboveAverage="0" dxfId="1" text="" percent="0" bottom="0">
      <formula>0</formula>
    </cfRule>
  </conditionalFormatting>
  <conditionalFormatting sqref="E586">
    <cfRule type="cellIs" rank="0" priority="1162" equalAverage="0" operator="greaterThan" aboveAverage="0" dxfId="0" text="" percent="0" bottom="0">
      <formula>0</formula>
    </cfRule>
    <cfRule type="cellIs" rank="0" priority="1163" equalAverage="0" operator="lessThan" aboveAverage="0" dxfId="1" text="" percent="0" bottom="0">
      <formula>0</formula>
    </cfRule>
  </conditionalFormatting>
  <conditionalFormatting sqref="E587">
    <cfRule type="cellIs" rank="0" priority="1164" equalAverage="0" operator="greaterThan" aboveAverage="0" dxfId="0" text="" percent="0" bottom="0">
      <formula>0</formula>
    </cfRule>
    <cfRule type="cellIs" rank="0" priority="1165" equalAverage="0" operator="lessThan" aboveAverage="0" dxfId="1" text="" percent="0" bottom="0">
      <formula>0</formula>
    </cfRule>
  </conditionalFormatting>
  <conditionalFormatting sqref="E588">
    <cfRule type="cellIs" rank="0" priority="1166" equalAverage="0" operator="greaterThan" aboveAverage="0" dxfId="0" text="" percent="0" bottom="0">
      <formula>0</formula>
    </cfRule>
    <cfRule type="cellIs" rank="0" priority="1167" equalAverage="0" operator="lessThan" aboveAverage="0" dxfId="1" text="" percent="0" bottom="0">
      <formula>0</formula>
    </cfRule>
  </conditionalFormatting>
  <conditionalFormatting sqref="E589">
    <cfRule type="cellIs" rank="0" priority="1168" equalAverage="0" operator="greaterThan" aboveAverage="0" dxfId="0" text="" percent="0" bottom="0">
      <formula>0</formula>
    </cfRule>
    <cfRule type="cellIs" rank="0" priority="1169" equalAverage="0" operator="lessThan" aboveAverage="0" dxfId="1" text="" percent="0" bottom="0">
      <formula>0</formula>
    </cfRule>
  </conditionalFormatting>
  <conditionalFormatting sqref="E590">
    <cfRule type="cellIs" rank="0" priority="1170" equalAverage="0" operator="greaterThan" aboveAverage="0" dxfId="0" text="" percent="0" bottom="0">
      <formula>0</formula>
    </cfRule>
    <cfRule type="cellIs" rank="0" priority="1171" equalAverage="0" operator="lessThan" aboveAverage="0" dxfId="1" text="" percent="0" bottom="0">
      <formula>0</formula>
    </cfRule>
  </conditionalFormatting>
  <conditionalFormatting sqref="E591">
    <cfRule type="cellIs" rank="0" priority="1172" equalAverage="0" operator="greaterThan" aboveAverage="0" dxfId="0" text="" percent="0" bottom="0">
      <formula>0</formula>
    </cfRule>
    <cfRule type="cellIs" rank="0" priority="1173" equalAverage="0" operator="lessThan" aboveAverage="0" dxfId="1" text="" percent="0" bottom="0">
      <formula>0</formula>
    </cfRule>
  </conditionalFormatting>
  <conditionalFormatting sqref="E592">
    <cfRule type="cellIs" rank="0" priority="1174" equalAverage="0" operator="greaterThan" aboveAverage="0" dxfId="0" text="" percent="0" bottom="0">
      <formula>0</formula>
    </cfRule>
    <cfRule type="cellIs" rank="0" priority="1175" equalAverage="0" operator="lessThan" aboveAverage="0" dxfId="1" text="" percent="0" bottom="0">
      <formula>0</formula>
    </cfRule>
  </conditionalFormatting>
  <conditionalFormatting sqref="E593">
    <cfRule type="cellIs" rank="0" priority="1176" equalAverage="0" operator="greaterThan" aboveAverage="0" dxfId="0" text="" percent="0" bottom="0">
      <formula>0</formula>
    </cfRule>
    <cfRule type="cellIs" rank="0" priority="1177" equalAverage="0" operator="lessThan" aboveAverage="0" dxfId="1" text="" percent="0" bottom="0">
      <formula>0</formula>
    </cfRule>
  </conditionalFormatting>
  <conditionalFormatting sqref="E594">
    <cfRule type="cellIs" rank="0" priority="1178" equalAverage="0" operator="greaterThan" aboveAverage="0" dxfId="0" text="" percent="0" bottom="0">
      <formula>0</formula>
    </cfRule>
    <cfRule type="cellIs" rank="0" priority="1179" equalAverage="0" operator="lessThan" aboveAverage="0" dxfId="1" text="" percent="0" bottom="0">
      <formula>0</formula>
    </cfRule>
  </conditionalFormatting>
  <conditionalFormatting sqref="E595">
    <cfRule type="cellIs" rank="0" priority="1180" equalAverage="0" operator="greaterThan" aboveAverage="0" dxfId="0" text="" percent="0" bottom="0">
      <formula>0</formula>
    </cfRule>
    <cfRule type="cellIs" rank="0" priority="1181" equalAverage="0" operator="lessThan" aboveAverage="0" dxfId="1" text="" percent="0" bottom="0">
      <formula>0</formula>
    </cfRule>
  </conditionalFormatting>
  <conditionalFormatting sqref="E596">
    <cfRule type="cellIs" rank="0" priority="1182" equalAverage="0" operator="greaterThan" aboveAverage="0" dxfId="0" text="" percent="0" bottom="0">
      <formula>0</formula>
    </cfRule>
    <cfRule type="cellIs" rank="0" priority="1183" equalAverage="0" operator="lessThan" aboveAverage="0" dxfId="1" text="" percent="0" bottom="0">
      <formula>0</formula>
    </cfRule>
  </conditionalFormatting>
  <conditionalFormatting sqref="E597">
    <cfRule type="cellIs" rank="0" priority="1184" equalAverage="0" operator="greaterThan" aboveAverage="0" dxfId="0" text="" percent="0" bottom="0">
      <formula>0</formula>
    </cfRule>
    <cfRule type="cellIs" rank="0" priority="1185" equalAverage="0" operator="lessThan" aboveAverage="0" dxfId="1" text="" percent="0" bottom="0">
      <formula>0</formula>
    </cfRule>
  </conditionalFormatting>
  <conditionalFormatting sqref="E598">
    <cfRule type="cellIs" rank="0" priority="1186" equalAverage="0" operator="greaterThan" aboveAverage="0" dxfId="0" text="" percent="0" bottom="0">
      <formula>0</formula>
    </cfRule>
    <cfRule type="cellIs" rank="0" priority="1187" equalAverage="0" operator="lessThan" aboveAverage="0" dxfId="1" text="" percent="0" bottom="0">
      <formula>0</formula>
    </cfRule>
  </conditionalFormatting>
  <conditionalFormatting sqref="E599">
    <cfRule type="cellIs" rank="0" priority="1188" equalAverage="0" operator="greaterThan" aboveAverage="0" dxfId="0" text="" percent="0" bottom="0">
      <formula>0</formula>
    </cfRule>
    <cfRule type="cellIs" rank="0" priority="1189" equalAverage="0" operator="lessThan" aboveAverage="0" dxfId="1" text="" percent="0" bottom="0">
      <formula>0</formula>
    </cfRule>
  </conditionalFormatting>
  <conditionalFormatting sqref="E600">
    <cfRule type="cellIs" rank="0" priority="1190" equalAverage="0" operator="greaterThan" aboveAverage="0" dxfId="0" text="" percent="0" bottom="0">
      <formula>0</formula>
    </cfRule>
    <cfRule type="cellIs" rank="0" priority="1191" equalAverage="0" operator="lessThan" aboveAverage="0" dxfId="1" text="" percent="0" bottom="0">
      <formula>0</formula>
    </cfRule>
  </conditionalFormatting>
  <conditionalFormatting sqref="E601">
    <cfRule type="cellIs" rank="0" priority="1192" equalAverage="0" operator="greaterThan" aboveAverage="0" dxfId="0" text="" percent="0" bottom="0">
      <formula>0</formula>
    </cfRule>
    <cfRule type="cellIs" rank="0" priority="1193" equalAverage="0" operator="lessThan" aboveAverage="0" dxfId="1" text="" percent="0" bottom="0">
      <formula>0</formula>
    </cfRule>
  </conditionalFormatting>
  <conditionalFormatting sqref="E602">
    <cfRule type="cellIs" rank="0" priority="1194" equalAverage="0" operator="greaterThan" aboveAverage="0" dxfId="0" text="" percent="0" bottom="0">
      <formula>0</formula>
    </cfRule>
    <cfRule type="cellIs" rank="0" priority="1195" equalAverage="0" operator="lessThan" aboveAverage="0" dxfId="1" text="" percent="0" bottom="0">
      <formula>0</formula>
    </cfRule>
  </conditionalFormatting>
  <conditionalFormatting sqref="E603">
    <cfRule type="cellIs" rank="0" priority="1196" equalAverage="0" operator="greaterThan" aboveAverage="0" dxfId="0" text="" percent="0" bottom="0">
      <formula>0</formula>
    </cfRule>
    <cfRule type="cellIs" rank="0" priority="1197" equalAverage="0" operator="lessThan" aboveAverage="0" dxfId="1" text="" percent="0" bottom="0">
      <formula>0</formula>
    </cfRule>
  </conditionalFormatting>
  <conditionalFormatting sqref="E604">
    <cfRule type="cellIs" rank="0" priority="1198" equalAverage="0" operator="greaterThan" aboveAverage="0" dxfId="0" text="" percent="0" bottom="0">
      <formula>0</formula>
    </cfRule>
    <cfRule type="cellIs" rank="0" priority="1199" equalAverage="0" operator="lessThan" aboveAverage="0" dxfId="1" text="" percent="0" bottom="0">
      <formula>0</formula>
    </cfRule>
  </conditionalFormatting>
  <conditionalFormatting sqref="E605">
    <cfRule type="cellIs" rank="0" priority="1200" equalAverage="0" operator="greaterThan" aboveAverage="0" dxfId="0" text="" percent="0" bottom="0">
      <formula>0</formula>
    </cfRule>
    <cfRule type="cellIs" rank="0" priority="1201" equalAverage="0" operator="lessThan" aboveAverage="0" dxfId="1" text="" percent="0" bottom="0">
      <formula>0</formula>
    </cfRule>
  </conditionalFormatting>
  <conditionalFormatting sqref="E606">
    <cfRule type="cellIs" rank="0" priority="1202" equalAverage="0" operator="greaterThan" aboveAverage="0" dxfId="0" text="" percent="0" bottom="0">
      <formula>0</formula>
    </cfRule>
    <cfRule type="cellIs" rank="0" priority="1203" equalAverage="0" operator="lessThan" aboveAverage="0" dxfId="1" text="" percent="0" bottom="0">
      <formula>0</formula>
    </cfRule>
  </conditionalFormatting>
  <conditionalFormatting sqref="E607">
    <cfRule type="cellIs" rank="0" priority="1204" equalAverage="0" operator="greaterThan" aboveAverage="0" dxfId="0" text="" percent="0" bottom="0">
      <formula>0</formula>
    </cfRule>
    <cfRule type="cellIs" rank="0" priority="1205" equalAverage="0" operator="lessThan" aboveAverage="0" dxfId="1" text="" percent="0" bottom="0">
      <formula>0</formula>
    </cfRule>
  </conditionalFormatting>
  <conditionalFormatting sqref="E608">
    <cfRule type="cellIs" rank="0" priority="1206" equalAverage="0" operator="greaterThan" aboveAverage="0" dxfId="0" text="" percent="0" bottom="0">
      <formula>0</formula>
    </cfRule>
    <cfRule type="cellIs" rank="0" priority="1207" equalAverage="0" operator="lessThan" aboveAverage="0" dxfId="1" text="" percent="0" bottom="0">
      <formula>0</formula>
    </cfRule>
  </conditionalFormatting>
  <conditionalFormatting sqref="E609">
    <cfRule type="cellIs" rank="0" priority="1208" equalAverage="0" operator="greaterThan" aboveAverage="0" dxfId="0" text="" percent="0" bottom="0">
      <formula>0</formula>
    </cfRule>
    <cfRule type="cellIs" rank="0" priority="1209" equalAverage="0" operator="lessThan" aboveAverage="0" dxfId="1" text="" percent="0" bottom="0">
      <formula>0</formula>
    </cfRule>
  </conditionalFormatting>
  <conditionalFormatting sqref="E610">
    <cfRule type="cellIs" rank="0" priority="1210" equalAverage="0" operator="greaterThan" aboveAverage="0" dxfId="0" text="" percent="0" bottom="0">
      <formula>0</formula>
    </cfRule>
    <cfRule type="cellIs" rank="0" priority="1211" equalAverage="0" operator="lessThan" aboveAverage="0" dxfId="1" text="" percent="0" bottom="0">
      <formula>0</formula>
    </cfRule>
  </conditionalFormatting>
  <conditionalFormatting sqref="E611">
    <cfRule type="cellIs" rank="0" priority="1212" equalAverage="0" operator="greaterThan" aboveAverage="0" dxfId="0" text="" percent="0" bottom="0">
      <formula>0</formula>
    </cfRule>
    <cfRule type="cellIs" rank="0" priority="1213" equalAverage="0" operator="lessThan" aboveAverage="0" dxfId="1" text="" percent="0" bottom="0">
      <formula>0</formula>
    </cfRule>
  </conditionalFormatting>
  <conditionalFormatting sqref="E612">
    <cfRule type="cellIs" rank="0" priority="1214" equalAverage="0" operator="greaterThan" aboveAverage="0" dxfId="0" text="" percent="0" bottom="0">
      <formula>0</formula>
    </cfRule>
    <cfRule type="cellIs" rank="0" priority="1215" equalAverage="0" operator="lessThan" aboveAverage="0" dxfId="1" text="" percent="0" bottom="0">
      <formula>0</formula>
    </cfRule>
  </conditionalFormatting>
  <conditionalFormatting sqref="E613">
    <cfRule type="cellIs" rank="0" priority="1216" equalAverage="0" operator="greaterThan" aboveAverage="0" dxfId="0" text="" percent="0" bottom="0">
      <formula>0</formula>
    </cfRule>
    <cfRule type="cellIs" rank="0" priority="1217" equalAverage="0" operator="lessThan" aboveAverage="0" dxfId="1" text="" percent="0" bottom="0">
      <formula>0</formula>
    </cfRule>
  </conditionalFormatting>
  <conditionalFormatting sqref="E614">
    <cfRule type="cellIs" rank="0" priority="1218" equalAverage="0" operator="greaterThan" aboveAverage="0" dxfId="0" text="" percent="0" bottom="0">
      <formula>0</formula>
    </cfRule>
    <cfRule type="cellIs" rank="0" priority="1219" equalAverage="0" operator="lessThan" aboveAverage="0" dxfId="1" text="" percent="0" bottom="0">
      <formula>0</formula>
    </cfRule>
  </conditionalFormatting>
  <conditionalFormatting sqref="E615">
    <cfRule type="cellIs" rank="0" priority="1220" equalAverage="0" operator="greaterThan" aboveAverage="0" dxfId="0" text="" percent="0" bottom="0">
      <formula>0</formula>
    </cfRule>
    <cfRule type="cellIs" rank="0" priority="1221" equalAverage="0" operator="lessThan" aboveAverage="0" dxfId="1" text="" percent="0" bottom="0">
      <formula>0</formula>
    </cfRule>
  </conditionalFormatting>
  <conditionalFormatting sqref="E616">
    <cfRule type="cellIs" rank="0" priority="1222" equalAverage="0" operator="greaterThan" aboveAverage="0" dxfId="0" text="" percent="0" bottom="0">
      <formula>0</formula>
    </cfRule>
    <cfRule type="cellIs" rank="0" priority="1223" equalAverage="0" operator="lessThan" aboveAverage="0" dxfId="1" text="" percent="0" bottom="0">
      <formula>0</formula>
    </cfRule>
  </conditionalFormatting>
  <conditionalFormatting sqref="E617">
    <cfRule type="cellIs" rank="0" priority="1224" equalAverage="0" operator="greaterThan" aboveAverage="0" dxfId="0" text="" percent="0" bottom="0">
      <formula>0</formula>
    </cfRule>
    <cfRule type="cellIs" rank="0" priority="1225" equalAverage="0" operator="lessThan" aboveAverage="0" dxfId="1" text="" percent="0" bottom="0">
      <formula>0</formula>
    </cfRule>
  </conditionalFormatting>
  <conditionalFormatting sqref="E618">
    <cfRule type="cellIs" rank="0" priority="1226" equalAverage="0" operator="greaterThan" aboveAverage="0" dxfId="0" text="" percent="0" bottom="0">
      <formula>0</formula>
    </cfRule>
    <cfRule type="cellIs" rank="0" priority="1227" equalAverage="0" operator="lessThan" aboveAverage="0" dxfId="1" text="" percent="0" bottom="0">
      <formula>0</formula>
    </cfRule>
  </conditionalFormatting>
  <conditionalFormatting sqref="E619">
    <cfRule type="cellIs" rank="0" priority="1228" equalAverage="0" operator="greaterThan" aboveAverage="0" dxfId="0" text="" percent="0" bottom="0">
      <formula>0</formula>
    </cfRule>
    <cfRule type="cellIs" rank="0" priority="1229" equalAverage="0" operator="lessThan" aboveAverage="0" dxfId="1" text="" percent="0" bottom="0">
      <formula>0</formula>
    </cfRule>
  </conditionalFormatting>
  <conditionalFormatting sqref="E620">
    <cfRule type="cellIs" rank="0" priority="1230" equalAverage="0" operator="greaterThan" aboveAverage="0" dxfId="0" text="" percent="0" bottom="0">
      <formula>0</formula>
    </cfRule>
    <cfRule type="cellIs" rank="0" priority="1231" equalAverage="0" operator="lessThan" aboveAverage="0" dxfId="1" text="" percent="0" bottom="0">
      <formula>0</formula>
    </cfRule>
  </conditionalFormatting>
  <conditionalFormatting sqref="E621">
    <cfRule type="cellIs" rank="0" priority="1232" equalAverage="0" operator="greaterThan" aboveAverage="0" dxfId="0" text="" percent="0" bottom="0">
      <formula>0</formula>
    </cfRule>
    <cfRule type="cellIs" rank="0" priority="1233" equalAverage="0" operator="lessThan" aboveAverage="0" dxfId="1" text="" percent="0" bottom="0">
      <formula>0</formula>
    </cfRule>
  </conditionalFormatting>
  <conditionalFormatting sqref="E622">
    <cfRule type="cellIs" rank="0" priority="1234" equalAverage="0" operator="greaterThan" aboveAverage="0" dxfId="0" text="" percent="0" bottom="0">
      <formula>0</formula>
    </cfRule>
    <cfRule type="cellIs" rank="0" priority="1235" equalAverage="0" operator="lessThan" aboveAverage="0" dxfId="1" text="" percent="0" bottom="0">
      <formula>0</formula>
    </cfRule>
  </conditionalFormatting>
  <conditionalFormatting sqref="E623">
    <cfRule type="cellIs" rank="0" priority="1236" equalAverage="0" operator="greaterThan" aboveAverage="0" dxfId="0" text="" percent="0" bottom="0">
      <formula>0</formula>
    </cfRule>
    <cfRule type="cellIs" rank="0" priority="1237" equalAverage="0" operator="lessThan" aboveAverage="0" dxfId="1" text="" percent="0" bottom="0">
      <formula>0</formula>
    </cfRule>
  </conditionalFormatting>
  <conditionalFormatting sqref="E624">
    <cfRule type="cellIs" rank="0" priority="1238" equalAverage="0" operator="greaterThan" aboveAverage="0" dxfId="0" text="" percent="0" bottom="0">
      <formula>0</formula>
    </cfRule>
    <cfRule type="cellIs" rank="0" priority="1239" equalAverage="0" operator="lessThan" aboveAverage="0" dxfId="1" text="" percent="0" bottom="0">
      <formula>0</formula>
    </cfRule>
  </conditionalFormatting>
  <conditionalFormatting sqref="E625">
    <cfRule type="cellIs" rank="0" priority="1240" equalAverage="0" operator="greaterThan" aboveAverage="0" dxfId="0" text="" percent="0" bottom="0">
      <formula>0</formula>
    </cfRule>
    <cfRule type="cellIs" rank="0" priority="1241" equalAverage="0" operator="lessThan" aboveAverage="0" dxfId="1" text="" percent="0" bottom="0">
      <formula>0</formula>
    </cfRule>
  </conditionalFormatting>
  <conditionalFormatting sqref="E626">
    <cfRule type="cellIs" rank="0" priority="1242" equalAverage="0" operator="greaterThan" aboveAverage="0" dxfId="0" text="" percent="0" bottom="0">
      <formula>0</formula>
    </cfRule>
    <cfRule type="cellIs" rank="0" priority="1243" equalAverage="0" operator="lessThan" aboveAverage="0" dxfId="1" text="" percent="0" bottom="0">
      <formula>0</formula>
    </cfRule>
  </conditionalFormatting>
  <conditionalFormatting sqref="E627">
    <cfRule type="cellIs" rank="0" priority="1244" equalAverage="0" operator="greaterThan" aboveAverage="0" dxfId="0" text="" percent="0" bottom="0">
      <formula>0</formula>
    </cfRule>
    <cfRule type="cellIs" rank="0" priority="1245" equalAverage="0" operator="lessThan" aboveAverage="0" dxfId="1" text="" percent="0" bottom="0">
      <formula>0</formula>
    </cfRule>
  </conditionalFormatting>
  <conditionalFormatting sqref="E628">
    <cfRule type="cellIs" rank="0" priority="1246" equalAverage="0" operator="greaterThan" aboveAverage="0" dxfId="0" text="" percent="0" bottom="0">
      <formula>0</formula>
    </cfRule>
    <cfRule type="cellIs" rank="0" priority="1247" equalAverage="0" operator="lessThan" aboveAverage="0" dxfId="1" text="" percent="0" bottom="0">
      <formula>0</formula>
    </cfRule>
  </conditionalFormatting>
  <conditionalFormatting sqref="E629">
    <cfRule type="cellIs" rank="0" priority="1248" equalAverage="0" operator="greaterThan" aboveAverage="0" dxfId="0" text="" percent="0" bottom="0">
      <formula>0</formula>
    </cfRule>
    <cfRule type="cellIs" rank="0" priority="1249" equalAverage="0" operator="lessThan" aboveAverage="0" dxfId="1" text="" percent="0" bottom="0">
      <formula>0</formula>
    </cfRule>
  </conditionalFormatting>
  <conditionalFormatting sqref="E630">
    <cfRule type="cellIs" rank="0" priority="1250" equalAverage="0" operator="greaterThan" aboveAverage="0" dxfId="0" text="" percent="0" bottom="0">
      <formula>0</formula>
    </cfRule>
    <cfRule type="cellIs" rank="0" priority="1251" equalAverage="0" operator="lessThan" aboveAverage="0" dxfId="1" text="" percent="0" bottom="0">
      <formula>0</formula>
    </cfRule>
  </conditionalFormatting>
  <conditionalFormatting sqref="E631">
    <cfRule type="cellIs" rank="0" priority="1252" equalAverage="0" operator="greaterThan" aboveAverage="0" dxfId="0" text="" percent="0" bottom="0">
      <formula>0</formula>
    </cfRule>
    <cfRule type="cellIs" rank="0" priority="1253" equalAverage="0" operator="lessThan" aboveAverage="0" dxfId="1" text="" percent="0" bottom="0">
      <formula>0</formula>
    </cfRule>
  </conditionalFormatting>
  <conditionalFormatting sqref="E632">
    <cfRule type="cellIs" rank="0" priority="1254" equalAverage="0" operator="greaterThan" aboveAverage="0" dxfId="0" text="" percent="0" bottom="0">
      <formula>0</formula>
    </cfRule>
    <cfRule type="cellIs" rank="0" priority="1255" equalAverage="0" operator="lessThan" aboveAverage="0" dxfId="1" text="" percent="0" bottom="0">
      <formula>0</formula>
    </cfRule>
  </conditionalFormatting>
  <conditionalFormatting sqref="E633">
    <cfRule type="cellIs" rank="0" priority="1256" equalAverage="0" operator="greaterThan" aboveAverage="0" dxfId="0" text="" percent="0" bottom="0">
      <formula>0</formula>
    </cfRule>
    <cfRule type="cellIs" rank="0" priority="1257" equalAverage="0" operator="lessThan" aboveAverage="0" dxfId="1" text="" percent="0" bottom="0">
      <formula>0</formula>
    </cfRule>
  </conditionalFormatting>
  <conditionalFormatting sqref="E634">
    <cfRule type="cellIs" rank="0" priority="1258" equalAverage="0" operator="greaterThan" aboveAverage="0" dxfId="0" text="" percent="0" bottom="0">
      <formula>0</formula>
    </cfRule>
    <cfRule type="cellIs" rank="0" priority="1259" equalAverage="0" operator="lessThan" aboveAverage="0" dxfId="1" text="" percent="0" bottom="0">
      <formula>0</formula>
    </cfRule>
  </conditionalFormatting>
  <conditionalFormatting sqref="E635">
    <cfRule type="cellIs" rank="0" priority="1260" equalAverage="0" operator="greaterThan" aboveAverage="0" dxfId="0" text="" percent="0" bottom="0">
      <formula>0</formula>
    </cfRule>
    <cfRule type="cellIs" rank="0" priority="1261" equalAverage="0" operator="lessThan" aboveAverage="0" dxfId="1" text="" percent="0" bottom="0">
      <formula>0</formula>
    </cfRule>
  </conditionalFormatting>
  <conditionalFormatting sqref="E636">
    <cfRule type="cellIs" rank="0" priority="1262" equalAverage="0" operator="greaterThan" aboveAverage="0" dxfId="0" text="" percent="0" bottom="0">
      <formula>0</formula>
    </cfRule>
    <cfRule type="cellIs" rank="0" priority="1263" equalAverage="0" operator="lessThan" aboveAverage="0" dxfId="1" text="" percent="0" bottom="0">
      <formula>0</formula>
    </cfRule>
  </conditionalFormatting>
  <conditionalFormatting sqref="E637">
    <cfRule type="cellIs" rank="0" priority="1264" equalAverage="0" operator="greaterThan" aboveAverage="0" dxfId="0" text="" percent="0" bottom="0">
      <formula>0</formula>
    </cfRule>
    <cfRule type="cellIs" rank="0" priority="1265" equalAverage="0" operator="lessThan" aboveAverage="0" dxfId="1" text="" percent="0" bottom="0">
      <formula>0</formula>
    </cfRule>
  </conditionalFormatting>
  <conditionalFormatting sqref="E638">
    <cfRule type="cellIs" rank="0" priority="1266" equalAverage="0" operator="greaterThan" aboveAverage="0" dxfId="0" text="" percent="0" bottom="0">
      <formula>0</formula>
    </cfRule>
    <cfRule type="cellIs" rank="0" priority="1267" equalAverage="0" operator="lessThan" aboveAverage="0" dxfId="1" text="" percent="0" bottom="0">
      <formula>0</formula>
    </cfRule>
  </conditionalFormatting>
  <conditionalFormatting sqref="E639">
    <cfRule type="cellIs" rank="0" priority="1268" equalAverage="0" operator="greaterThan" aboveAverage="0" dxfId="0" text="" percent="0" bottom="0">
      <formula>0</formula>
    </cfRule>
    <cfRule type="cellIs" rank="0" priority="1269" equalAverage="0" operator="lessThan" aboveAverage="0" dxfId="1" text="" percent="0" bottom="0">
      <formula>0</formula>
    </cfRule>
  </conditionalFormatting>
  <conditionalFormatting sqref="E640">
    <cfRule type="cellIs" rank="0" priority="1270" equalAverage="0" operator="greaterThan" aboveAverage="0" dxfId="0" text="" percent="0" bottom="0">
      <formula>0</formula>
    </cfRule>
    <cfRule type="cellIs" rank="0" priority="1271" equalAverage="0" operator="lessThan" aboveAverage="0" dxfId="1" text="" percent="0" bottom="0">
      <formula>0</formula>
    </cfRule>
  </conditionalFormatting>
  <conditionalFormatting sqref="E641">
    <cfRule type="cellIs" rank="0" priority="1272" equalAverage="0" operator="greaterThan" aboveAverage="0" dxfId="0" text="" percent="0" bottom="0">
      <formula>0</formula>
    </cfRule>
    <cfRule type="cellIs" rank="0" priority="1273" equalAverage="0" operator="lessThan" aboveAverage="0" dxfId="1" text="" percent="0" bottom="0">
      <formula>0</formula>
    </cfRule>
  </conditionalFormatting>
  <conditionalFormatting sqref="E642">
    <cfRule type="cellIs" rank="0" priority="1274" equalAverage="0" operator="greaterThan" aboveAverage="0" dxfId="0" text="" percent="0" bottom="0">
      <formula>0</formula>
    </cfRule>
    <cfRule type="cellIs" rank="0" priority="1275" equalAverage="0" operator="lessThan" aboveAverage="0" dxfId="1" text="" percent="0" bottom="0">
      <formula>0</formula>
    </cfRule>
  </conditionalFormatting>
  <conditionalFormatting sqref="E643">
    <cfRule type="cellIs" rank="0" priority="1276" equalAverage="0" operator="greaterThan" aboveAverage="0" dxfId="0" text="" percent="0" bottom="0">
      <formula>0</formula>
    </cfRule>
    <cfRule type="cellIs" rank="0" priority="1277" equalAverage="0" operator="lessThan" aboveAverage="0" dxfId="1" text="" percent="0" bottom="0">
      <formula>0</formula>
    </cfRule>
  </conditionalFormatting>
  <conditionalFormatting sqref="E644">
    <cfRule type="cellIs" rank="0" priority="1278" equalAverage="0" operator="greaterThan" aboveAverage="0" dxfId="0" text="" percent="0" bottom="0">
      <formula>0</formula>
    </cfRule>
    <cfRule type="cellIs" rank="0" priority="1279" equalAverage="0" operator="lessThan" aboveAverage="0" dxfId="1" text="" percent="0" bottom="0">
      <formula>0</formula>
    </cfRule>
  </conditionalFormatting>
  <conditionalFormatting sqref="E645">
    <cfRule type="cellIs" rank="0" priority="1280" equalAverage="0" operator="greaterThan" aboveAverage="0" dxfId="0" text="" percent="0" bottom="0">
      <formula>0</formula>
    </cfRule>
    <cfRule type="cellIs" rank="0" priority="1281" equalAverage="0" operator="lessThan" aboveAverage="0" dxfId="1" text="" percent="0" bottom="0">
      <formula>0</formula>
    </cfRule>
  </conditionalFormatting>
  <conditionalFormatting sqref="E646">
    <cfRule type="cellIs" rank="0" priority="1282" equalAverage="0" operator="greaterThan" aboveAverage="0" dxfId="0" text="" percent="0" bottom="0">
      <formula>0</formula>
    </cfRule>
    <cfRule type="cellIs" rank="0" priority="1283" equalAverage="0" operator="lessThan" aboveAverage="0" dxfId="1" text="" percent="0" bottom="0">
      <formula>0</formula>
    </cfRule>
  </conditionalFormatting>
  <conditionalFormatting sqref="E647">
    <cfRule type="cellIs" rank="0" priority="1284" equalAverage="0" operator="greaterThan" aboveAverage="0" dxfId="0" text="" percent="0" bottom="0">
      <formula>0</formula>
    </cfRule>
    <cfRule type="cellIs" rank="0" priority="1285" equalAverage="0" operator="lessThan" aboveAverage="0" dxfId="1" text="" percent="0" bottom="0">
      <formula>0</formula>
    </cfRule>
  </conditionalFormatting>
  <conditionalFormatting sqref="E648">
    <cfRule type="cellIs" rank="0" priority="1286" equalAverage="0" operator="greaterThan" aboveAverage="0" dxfId="0" text="" percent="0" bottom="0">
      <formula>0</formula>
    </cfRule>
    <cfRule type="cellIs" rank="0" priority="1287" equalAverage="0" operator="lessThan" aboveAverage="0" dxfId="1" text="" percent="0" bottom="0">
      <formula>0</formula>
    </cfRule>
  </conditionalFormatting>
  <conditionalFormatting sqref="E649">
    <cfRule type="cellIs" rank="0" priority="1288" equalAverage="0" operator="greaterThan" aboveAverage="0" dxfId="0" text="" percent="0" bottom="0">
      <formula>0</formula>
    </cfRule>
    <cfRule type="cellIs" rank="0" priority="1289" equalAverage="0" operator="lessThan" aboveAverage="0" dxfId="1" text="" percent="0" bottom="0">
      <formula>0</formula>
    </cfRule>
  </conditionalFormatting>
  <conditionalFormatting sqref="E650">
    <cfRule type="cellIs" rank="0" priority="1290" equalAverage="0" operator="greaterThan" aboveAverage="0" dxfId="0" text="" percent="0" bottom="0">
      <formula>0</formula>
    </cfRule>
    <cfRule type="cellIs" rank="0" priority="1291" equalAverage="0" operator="lessThan" aboveAverage="0" dxfId="1" text="" percent="0" bottom="0">
      <formula>0</formula>
    </cfRule>
  </conditionalFormatting>
  <conditionalFormatting sqref="E651">
    <cfRule type="cellIs" rank="0" priority="1292" equalAverage="0" operator="greaterThan" aboveAverage="0" dxfId="0" text="" percent="0" bottom="0">
      <formula>0</formula>
    </cfRule>
    <cfRule type="cellIs" rank="0" priority="1293" equalAverage="0" operator="lessThan" aboveAverage="0" dxfId="1" text="" percent="0" bottom="0">
      <formula>0</formula>
    </cfRule>
  </conditionalFormatting>
  <conditionalFormatting sqref="E652">
    <cfRule type="cellIs" rank="0" priority="1294" equalAverage="0" operator="greaterThan" aboveAverage="0" dxfId="0" text="" percent="0" bottom="0">
      <formula>0</formula>
    </cfRule>
    <cfRule type="cellIs" rank="0" priority="1295" equalAverage="0" operator="lessThan" aboveAverage="0" dxfId="1" text="" percent="0" bottom="0">
      <formula>0</formula>
    </cfRule>
  </conditionalFormatting>
  <conditionalFormatting sqref="E653">
    <cfRule type="cellIs" rank="0" priority="1296" equalAverage="0" operator="greaterThan" aboveAverage="0" dxfId="0" text="" percent="0" bottom="0">
      <formula>0</formula>
    </cfRule>
    <cfRule type="cellIs" rank="0" priority="1297" equalAverage="0" operator="lessThan" aboveAverage="0" dxfId="1" text="" percent="0" bottom="0">
      <formula>0</formula>
    </cfRule>
  </conditionalFormatting>
  <conditionalFormatting sqref="E654">
    <cfRule type="cellIs" rank="0" priority="1298" equalAverage="0" operator="greaterThan" aboveAverage="0" dxfId="0" text="" percent="0" bottom="0">
      <formula>0</formula>
    </cfRule>
    <cfRule type="cellIs" rank="0" priority="1299" equalAverage="0" operator="lessThan" aboveAverage="0" dxfId="1" text="" percent="0" bottom="0">
      <formula>0</formula>
    </cfRule>
  </conditionalFormatting>
  <conditionalFormatting sqref="E655">
    <cfRule type="cellIs" rank="0" priority="1300" equalAverage="0" operator="greaterThan" aboveAverage="0" dxfId="0" text="" percent="0" bottom="0">
      <formula>0</formula>
    </cfRule>
    <cfRule type="cellIs" rank="0" priority="1301" equalAverage="0" operator="lessThan" aboveAverage="0" dxfId="1" text="" percent="0" bottom="0">
      <formula>0</formula>
    </cfRule>
  </conditionalFormatting>
  <conditionalFormatting sqref="E656">
    <cfRule type="cellIs" rank="0" priority="1302" equalAverage="0" operator="greaterThan" aboveAverage="0" dxfId="0" text="" percent="0" bottom="0">
      <formula>0</formula>
    </cfRule>
    <cfRule type="cellIs" rank="0" priority="1303" equalAverage="0" operator="lessThan" aboveAverage="0" dxfId="1" text="" percent="0" bottom="0">
      <formula>0</formula>
    </cfRule>
  </conditionalFormatting>
  <conditionalFormatting sqref="E657">
    <cfRule type="cellIs" rank="0" priority="1304" equalAverage="0" operator="greaterThan" aboveAverage="0" dxfId="0" text="" percent="0" bottom="0">
      <formula>0</formula>
    </cfRule>
    <cfRule type="cellIs" rank="0" priority="1305" equalAverage="0" operator="lessThan" aboveAverage="0" dxfId="1" text="" percent="0" bottom="0">
      <formula>0</formula>
    </cfRule>
  </conditionalFormatting>
  <conditionalFormatting sqref="E658">
    <cfRule type="cellIs" rank="0" priority="1306" equalAverage="0" operator="greaterThan" aboveAverage="0" dxfId="0" text="" percent="0" bottom="0">
      <formula>0</formula>
    </cfRule>
    <cfRule type="cellIs" rank="0" priority="1307" equalAverage="0" operator="lessThan" aboveAverage="0" dxfId="1" text="" percent="0" bottom="0">
      <formula>0</formula>
    </cfRule>
  </conditionalFormatting>
  <conditionalFormatting sqref="E659">
    <cfRule type="cellIs" rank="0" priority="1308" equalAverage="0" operator="greaterThan" aboveAverage="0" dxfId="0" text="" percent="0" bottom="0">
      <formula>0</formula>
    </cfRule>
    <cfRule type="cellIs" rank="0" priority="1309" equalAverage="0" operator="lessThan" aboveAverage="0" dxfId="1" text="" percent="0" bottom="0">
      <formula>0</formula>
    </cfRule>
  </conditionalFormatting>
  <conditionalFormatting sqref="E660">
    <cfRule type="cellIs" rank="0" priority="1310" equalAverage="0" operator="greaterThan" aboveAverage="0" dxfId="0" text="" percent="0" bottom="0">
      <formula>0</formula>
    </cfRule>
    <cfRule type="cellIs" rank="0" priority="1311" equalAverage="0" operator="lessThan" aboveAverage="0" dxfId="1" text="" percent="0" bottom="0">
      <formula>0</formula>
    </cfRule>
  </conditionalFormatting>
  <conditionalFormatting sqref="E661">
    <cfRule type="cellIs" rank="0" priority="1312" equalAverage="0" operator="greaterThan" aboveAverage="0" dxfId="0" text="" percent="0" bottom="0">
      <formula>0</formula>
    </cfRule>
    <cfRule type="cellIs" rank="0" priority="1313" equalAverage="0" operator="lessThan" aboveAverage="0" dxfId="1" text="" percent="0" bottom="0">
      <formula>0</formula>
    </cfRule>
  </conditionalFormatting>
  <conditionalFormatting sqref="E662">
    <cfRule type="cellIs" rank="0" priority="1314" equalAverage="0" operator="greaterThan" aboveAverage="0" dxfId="0" text="" percent="0" bottom="0">
      <formula>0</formula>
    </cfRule>
    <cfRule type="cellIs" rank="0" priority="1315" equalAverage="0" operator="lessThan" aboveAverage="0" dxfId="1" text="" percent="0" bottom="0">
      <formula>0</formula>
    </cfRule>
  </conditionalFormatting>
  <conditionalFormatting sqref="E663">
    <cfRule type="cellIs" rank="0" priority="1316" equalAverage="0" operator="greaterThan" aboveAverage="0" dxfId="0" text="" percent="0" bottom="0">
      <formula>0</formula>
    </cfRule>
    <cfRule type="cellIs" rank="0" priority="1317" equalAverage="0" operator="lessThan" aboveAverage="0" dxfId="1" text="" percent="0" bottom="0">
      <formula>0</formula>
    </cfRule>
  </conditionalFormatting>
  <conditionalFormatting sqref="E664">
    <cfRule type="cellIs" rank="0" priority="1318" equalAverage="0" operator="greaterThan" aboveAverage="0" dxfId="0" text="" percent="0" bottom="0">
      <formula>0</formula>
    </cfRule>
    <cfRule type="cellIs" rank="0" priority="1319" equalAverage="0" operator="lessThan" aboveAverage="0" dxfId="1" text="" percent="0" bottom="0">
      <formula>0</formula>
    </cfRule>
  </conditionalFormatting>
  <conditionalFormatting sqref="E665">
    <cfRule type="cellIs" rank="0" priority="1320" equalAverage="0" operator="greaterThan" aboveAverage="0" dxfId="0" text="" percent="0" bottom="0">
      <formula>0</formula>
    </cfRule>
    <cfRule type="cellIs" rank="0" priority="1321" equalAverage="0" operator="lessThan" aboveAverage="0" dxfId="1" text="" percent="0" bottom="0">
      <formula>0</formula>
    </cfRule>
  </conditionalFormatting>
  <conditionalFormatting sqref="E666">
    <cfRule type="cellIs" rank="0" priority="1322" equalAverage="0" operator="greaterThan" aboveAverage="0" dxfId="0" text="" percent="0" bottom="0">
      <formula>0</formula>
    </cfRule>
    <cfRule type="cellIs" rank="0" priority="1323" equalAverage="0" operator="lessThan" aboveAverage="0" dxfId="1" text="" percent="0" bottom="0">
      <formula>0</formula>
    </cfRule>
  </conditionalFormatting>
  <conditionalFormatting sqref="E667">
    <cfRule type="cellIs" rank="0" priority="1324" equalAverage="0" operator="greaterThan" aboveAverage="0" dxfId="0" text="" percent="0" bottom="0">
      <formula>0</formula>
    </cfRule>
    <cfRule type="cellIs" rank="0" priority="1325" equalAverage="0" operator="lessThan" aboveAverage="0" dxfId="1" text="" percent="0" bottom="0">
      <formula>0</formula>
    </cfRule>
  </conditionalFormatting>
  <conditionalFormatting sqref="E668">
    <cfRule type="cellIs" rank="0" priority="1326" equalAverage="0" operator="greaterThan" aboveAverage="0" dxfId="0" text="" percent="0" bottom="0">
      <formula>0</formula>
    </cfRule>
    <cfRule type="cellIs" rank="0" priority="1327" equalAverage="0" operator="lessThan" aboveAverage="0" dxfId="1" text="" percent="0" bottom="0">
      <formula>0</formula>
    </cfRule>
  </conditionalFormatting>
  <conditionalFormatting sqref="E669">
    <cfRule type="cellIs" rank="0" priority="1328" equalAverage="0" operator="greaterThan" aboveAverage="0" dxfId="0" text="" percent="0" bottom="0">
      <formula>0</formula>
    </cfRule>
    <cfRule type="cellIs" rank="0" priority="1329" equalAverage="0" operator="lessThan" aboveAverage="0" dxfId="1" text="" percent="0" bottom="0">
      <formula>0</formula>
    </cfRule>
  </conditionalFormatting>
  <conditionalFormatting sqref="E670">
    <cfRule type="cellIs" rank="0" priority="1330" equalAverage="0" operator="greaterThan" aboveAverage="0" dxfId="0" text="" percent="0" bottom="0">
      <formula>0</formula>
    </cfRule>
    <cfRule type="cellIs" rank="0" priority="1331" equalAverage="0" operator="lessThan" aboveAverage="0" dxfId="1" text="" percent="0" bottom="0">
      <formula>0</formula>
    </cfRule>
  </conditionalFormatting>
  <conditionalFormatting sqref="E671">
    <cfRule type="cellIs" rank="0" priority="1332" equalAverage="0" operator="greaterThan" aboveAverage="0" dxfId="0" text="" percent="0" bottom="0">
      <formula>0</formula>
    </cfRule>
    <cfRule type="cellIs" rank="0" priority="1333" equalAverage="0" operator="lessThan" aboveAverage="0" dxfId="1" text="" percent="0" bottom="0">
      <formula>0</formula>
    </cfRule>
  </conditionalFormatting>
  <conditionalFormatting sqref="E672">
    <cfRule type="cellIs" rank="0" priority="1334" equalAverage="0" operator="greaterThan" aboveAverage="0" dxfId="0" text="" percent="0" bottom="0">
      <formula>0</formula>
    </cfRule>
    <cfRule type="cellIs" rank="0" priority="1335" equalAverage="0" operator="lessThan" aboveAverage="0" dxfId="1" text="" percent="0" bottom="0">
      <formula>0</formula>
    </cfRule>
  </conditionalFormatting>
  <conditionalFormatting sqref="E673">
    <cfRule type="cellIs" rank="0" priority="1336" equalAverage="0" operator="greaterThan" aboveAverage="0" dxfId="0" text="" percent="0" bottom="0">
      <formula>0</formula>
    </cfRule>
    <cfRule type="cellIs" rank="0" priority="1337" equalAverage="0" operator="lessThan" aboveAverage="0" dxfId="1" text="" percent="0" bottom="0">
      <formula>0</formula>
    </cfRule>
  </conditionalFormatting>
  <conditionalFormatting sqref="E674">
    <cfRule type="cellIs" rank="0" priority="1338" equalAverage="0" operator="greaterThan" aboveAverage="0" dxfId="0" text="" percent="0" bottom="0">
      <formula>0</formula>
    </cfRule>
    <cfRule type="cellIs" rank="0" priority="1339" equalAverage="0" operator="lessThan" aboveAverage="0" dxfId="1" text="" percent="0" bottom="0">
      <formula>0</formula>
    </cfRule>
  </conditionalFormatting>
  <conditionalFormatting sqref="E675">
    <cfRule type="cellIs" rank="0" priority="1340" equalAverage="0" operator="greaterThan" aboveAverage="0" dxfId="0" text="" percent="0" bottom="0">
      <formula>0</formula>
    </cfRule>
    <cfRule type="cellIs" rank="0" priority="1341" equalAverage="0" operator="lessThan" aboveAverage="0" dxfId="1" text="" percent="0" bottom="0">
      <formula>0</formula>
    </cfRule>
  </conditionalFormatting>
  <conditionalFormatting sqref="E676">
    <cfRule type="cellIs" rank="0" priority="1342" equalAverage="0" operator="greaterThan" aboveAverage="0" dxfId="0" text="" percent="0" bottom="0">
      <formula>0</formula>
    </cfRule>
    <cfRule type="cellIs" rank="0" priority="1343" equalAverage="0" operator="lessThan" aboveAverage="0" dxfId="1" text="" percent="0" bottom="0">
      <formula>0</formula>
    </cfRule>
  </conditionalFormatting>
  <conditionalFormatting sqref="E677">
    <cfRule type="cellIs" rank="0" priority="1344" equalAverage="0" operator="greaterThan" aboveAverage="0" dxfId="0" text="" percent="0" bottom="0">
      <formula>0</formula>
    </cfRule>
    <cfRule type="cellIs" rank="0" priority="1345" equalAverage="0" operator="lessThan" aboveAverage="0" dxfId="1" text="" percent="0" bottom="0">
      <formula>0</formula>
    </cfRule>
  </conditionalFormatting>
  <conditionalFormatting sqref="E678">
    <cfRule type="cellIs" rank="0" priority="1346" equalAverage="0" operator="greaterThan" aboveAverage="0" dxfId="0" text="" percent="0" bottom="0">
      <formula>0</formula>
    </cfRule>
    <cfRule type="cellIs" rank="0" priority="1347" equalAverage="0" operator="lessThan" aboveAverage="0" dxfId="1" text="" percent="0" bottom="0">
      <formula>0</formula>
    </cfRule>
  </conditionalFormatting>
  <conditionalFormatting sqref="E679">
    <cfRule type="cellIs" rank="0" priority="1348" equalAverage="0" operator="greaterThan" aboveAverage="0" dxfId="0" text="" percent="0" bottom="0">
      <formula>0</formula>
    </cfRule>
    <cfRule type="cellIs" rank="0" priority="1349" equalAverage="0" operator="lessThan" aboveAverage="0" dxfId="1" text="" percent="0" bottom="0">
      <formula>0</formula>
    </cfRule>
  </conditionalFormatting>
  <conditionalFormatting sqref="E680">
    <cfRule type="cellIs" rank="0" priority="1350" equalAverage="0" operator="greaterThan" aboveAverage="0" dxfId="0" text="" percent="0" bottom="0">
      <formula>0</formula>
    </cfRule>
    <cfRule type="cellIs" rank="0" priority="1351" equalAverage="0" operator="lessThan" aboveAverage="0" dxfId="1" text="" percent="0" bottom="0">
      <formula>0</formula>
    </cfRule>
  </conditionalFormatting>
  <conditionalFormatting sqref="E681">
    <cfRule type="cellIs" rank="0" priority="1352" equalAverage="0" operator="greaterThan" aboveAverage="0" dxfId="0" text="" percent="0" bottom="0">
      <formula>0</formula>
    </cfRule>
    <cfRule type="cellIs" rank="0" priority="1353" equalAverage="0" operator="lessThan" aboveAverage="0" dxfId="1" text="" percent="0" bottom="0">
      <formula>0</formula>
    </cfRule>
  </conditionalFormatting>
  <conditionalFormatting sqref="E682">
    <cfRule type="cellIs" rank="0" priority="1354" equalAverage="0" operator="greaterThan" aboveAverage="0" dxfId="0" text="" percent="0" bottom="0">
      <formula>0</formula>
    </cfRule>
    <cfRule type="cellIs" rank="0" priority="1355" equalAverage="0" operator="lessThan" aboveAverage="0" dxfId="1" text="" percent="0" bottom="0">
      <formula>0</formula>
    </cfRule>
  </conditionalFormatting>
  <conditionalFormatting sqref="E683">
    <cfRule type="cellIs" rank="0" priority="1356" equalAverage="0" operator="greaterThan" aboveAverage="0" dxfId="0" text="" percent="0" bottom="0">
      <formula>0</formula>
    </cfRule>
    <cfRule type="cellIs" rank="0" priority="1357" equalAverage="0" operator="lessThan" aboveAverage="0" dxfId="1" text="" percent="0" bottom="0">
      <formula>0</formula>
    </cfRule>
  </conditionalFormatting>
  <conditionalFormatting sqref="E684">
    <cfRule type="cellIs" rank="0" priority="1358" equalAverage="0" operator="greaterThan" aboveAverage="0" dxfId="0" text="" percent="0" bottom="0">
      <formula>0</formula>
    </cfRule>
    <cfRule type="cellIs" rank="0" priority="1359" equalAverage="0" operator="lessThan" aboveAverage="0" dxfId="1" text="" percent="0" bottom="0">
      <formula>0</formula>
    </cfRule>
  </conditionalFormatting>
  <conditionalFormatting sqref="E685">
    <cfRule type="cellIs" rank="0" priority="1360" equalAverage="0" operator="greaterThan" aboveAverage="0" dxfId="0" text="" percent="0" bottom="0">
      <formula>0</formula>
    </cfRule>
    <cfRule type="cellIs" rank="0" priority="1361" equalAverage="0" operator="lessThan" aboveAverage="0" dxfId="1" text="" percent="0" bottom="0">
      <formula>0</formula>
    </cfRule>
  </conditionalFormatting>
  <conditionalFormatting sqref="E686">
    <cfRule type="cellIs" rank="0" priority="1362" equalAverage="0" operator="greaterThan" aboveAverage="0" dxfId="0" text="" percent="0" bottom="0">
      <formula>0</formula>
    </cfRule>
    <cfRule type="cellIs" rank="0" priority="1363" equalAverage="0" operator="lessThan" aboveAverage="0" dxfId="1" text="" percent="0" bottom="0">
      <formula>0</formula>
    </cfRule>
  </conditionalFormatting>
  <conditionalFormatting sqref="E687">
    <cfRule type="cellIs" rank="0" priority="1364" equalAverage="0" operator="greaterThan" aboveAverage="0" dxfId="0" text="" percent="0" bottom="0">
      <formula>0</formula>
    </cfRule>
    <cfRule type="cellIs" rank="0" priority="1365" equalAverage="0" operator="lessThan" aboveAverage="0" dxfId="1" text="" percent="0" bottom="0">
      <formula>0</formula>
    </cfRule>
  </conditionalFormatting>
  <conditionalFormatting sqref="E688">
    <cfRule type="cellIs" rank="0" priority="1366" equalAverage="0" operator="greaterThan" aboveAverage="0" dxfId="0" text="" percent="0" bottom="0">
      <formula>0</formula>
    </cfRule>
    <cfRule type="cellIs" rank="0" priority="1367" equalAverage="0" operator="lessThan" aboveAverage="0" dxfId="1" text="" percent="0" bottom="0">
      <formula>0</formula>
    </cfRule>
  </conditionalFormatting>
  <conditionalFormatting sqref="E689">
    <cfRule type="cellIs" rank="0" priority="1368" equalAverage="0" operator="greaterThan" aboveAverage="0" dxfId="0" text="" percent="0" bottom="0">
      <formula>0</formula>
    </cfRule>
    <cfRule type="cellIs" rank="0" priority="1369" equalAverage="0" operator="lessThan" aboveAverage="0" dxfId="1" text="" percent="0" bottom="0">
      <formula>0</formula>
    </cfRule>
  </conditionalFormatting>
  <conditionalFormatting sqref="E690">
    <cfRule type="cellIs" rank="0" priority="1370" equalAverage="0" operator="greaterThan" aboveAverage="0" dxfId="0" text="" percent="0" bottom="0">
      <formula>0</formula>
    </cfRule>
    <cfRule type="cellIs" rank="0" priority="1371" equalAverage="0" operator="lessThan" aboveAverage="0" dxfId="1" text="" percent="0" bottom="0">
      <formula>0</formula>
    </cfRule>
  </conditionalFormatting>
  <conditionalFormatting sqref="E691">
    <cfRule type="cellIs" rank="0" priority="1372" equalAverage="0" operator="greaterThan" aboveAverage="0" dxfId="0" text="" percent="0" bottom="0">
      <formula>0</formula>
    </cfRule>
    <cfRule type="cellIs" rank="0" priority="1373" equalAverage="0" operator="lessThan" aboveAverage="0" dxfId="1" text="" percent="0" bottom="0">
      <formula>0</formula>
    </cfRule>
  </conditionalFormatting>
  <conditionalFormatting sqref="E692">
    <cfRule type="cellIs" rank="0" priority="1374" equalAverage="0" operator="greaterThan" aboveAverage="0" dxfId="0" text="" percent="0" bottom="0">
      <formula>0</formula>
    </cfRule>
    <cfRule type="cellIs" rank="0" priority="1375" equalAverage="0" operator="lessThan" aboveAverage="0" dxfId="1" text="" percent="0" bottom="0">
      <formula>0</formula>
    </cfRule>
  </conditionalFormatting>
  <conditionalFormatting sqref="E693">
    <cfRule type="cellIs" rank="0" priority="1376" equalAverage="0" operator="greaterThan" aboveAverage="0" dxfId="0" text="" percent="0" bottom="0">
      <formula>0</formula>
    </cfRule>
    <cfRule type="cellIs" rank="0" priority="1377" equalAverage="0" operator="lessThan" aboveAverage="0" dxfId="1" text="" percent="0" bottom="0">
      <formula>0</formula>
    </cfRule>
  </conditionalFormatting>
  <conditionalFormatting sqref="E694">
    <cfRule type="cellIs" rank="0" priority="1378" equalAverage="0" operator="greaterThan" aboveAverage="0" dxfId="0" text="" percent="0" bottom="0">
      <formula>0</formula>
    </cfRule>
    <cfRule type="cellIs" rank="0" priority="1379" equalAverage="0" operator="lessThan" aboveAverage="0" dxfId="1" text="" percent="0" bottom="0">
      <formula>0</formula>
    </cfRule>
  </conditionalFormatting>
  <conditionalFormatting sqref="E695">
    <cfRule type="cellIs" rank="0" priority="1380" equalAverage="0" operator="greaterThan" aboveAverage="0" dxfId="0" text="" percent="0" bottom="0">
      <formula>0</formula>
    </cfRule>
    <cfRule type="cellIs" rank="0" priority="1381" equalAverage="0" operator="lessThan" aboveAverage="0" dxfId="1" text="" percent="0" bottom="0">
      <formula>0</formula>
    </cfRule>
  </conditionalFormatting>
  <conditionalFormatting sqref="E696">
    <cfRule type="cellIs" rank="0" priority="1382" equalAverage="0" operator="greaterThan" aboveAverage="0" dxfId="0" text="" percent="0" bottom="0">
      <formula>0</formula>
    </cfRule>
    <cfRule type="cellIs" rank="0" priority="1383" equalAverage="0" operator="lessThan" aboveAverage="0" dxfId="1" text="" percent="0" bottom="0">
      <formula>0</formula>
    </cfRule>
  </conditionalFormatting>
  <conditionalFormatting sqref="E697">
    <cfRule type="cellIs" rank="0" priority="1384" equalAverage="0" operator="greaterThan" aboveAverage="0" dxfId="0" text="" percent="0" bottom="0">
      <formula>0</formula>
    </cfRule>
    <cfRule type="cellIs" rank="0" priority="1385" equalAverage="0" operator="lessThan" aboveAverage="0" dxfId="1" text="" percent="0" bottom="0">
      <formula>0</formula>
    </cfRule>
  </conditionalFormatting>
  <conditionalFormatting sqref="E698">
    <cfRule type="cellIs" rank="0" priority="1386" equalAverage="0" operator="greaterThan" aboveAverage="0" dxfId="0" text="" percent="0" bottom="0">
      <formula>0</formula>
    </cfRule>
    <cfRule type="cellIs" rank="0" priority="1387" equalAverage="0" operator="lessThan" aboveAverage="0" dxfId="1" text="" percent="0" bottom="0">
      <formula>0</formula>
    </cfRule>
  </conditionalFormatting>
  <conditionalFormatting sqref="E699">
    <cfRule type="cellIs" rank="0" priority="1388" equalAverage="0" operator="greaterThan" aboveAverage="0" dxfId="0" text="" percent="0" bottom="0">
      <formula>0</formula>
    </cfRule>
    <cfRule type="cellIs" rank="0" priority="1389" equalAverage="0" operator="lessThan" aboveAverage="0" dxfId="1" text="" percent="0" bottom="0">
      <formula>0</formula>
    </cfRule>
  </conditionalFormatting>
  <conditionalFormatting sqref="E700">
    <cfRule type="cellIs" rank="0" priority="1390" equalAverage="0" operator="greaterThan" aboveAverage="0" dxfId="0" text="" percent="0" bottom="0">
      <formula>0</formula>
    </cfRule>
    <cfRule type="cellIs" rank="0" priority="1391" equalAverage="0" operator="lessThan" aboveAverage="0" dxfId="1" text="" percent="0" bottom="0">
      <formula>0</formula>
    </cfRule>
  </conditionalFormatting>
  <conditionalFormatting sqref="E701">
    <cfRule type="cellIs" rank="0" priority="1392" equalAverage="0" operator="greaterThan" aboveAverage="0" dxfId="0" text="" percent="0" bottom="0">
      <formula>0</formula>
    </cfRule>
    <cfRule type="cellIs" rank="0" priority="1393" equalAverage="0" operator="lessThan" aboveAverage="0" dxfId="1" text="" percent="0" bottom="0">
      <formula>0</formula>
    </cfRule>
  </conditionalFormatting>
  <conditionalFormatting sqref="E702">
    <cfRule type="cellIs" rank="0" priority="1394" equalAverage="0" operator="greaterThan" aboveAverage="0" dxfId="0" text="" percent="0" bottom="0">
      <formula>0</formula>
    </cfRule>
    <cfRule type="cellIs" rank="0" priority="1395" equalAverage="0" operator="lessThan" aboveAverage="0" dxfId="1" text="" percent="0" bottom="0">
      <formula>0</formula>
    </cfRule>
  </conditionalFormatting>
  <conditionalFormatting sqref="E703">
    <cfRule type="cellIs" rank="0" priority="1396" equalAverage="0" operator="greaterThan" aboveAverage="0" dxfId="0" text="" percent="0" bottom="0">
      <formula>0</formula>
    </cfRule>
    <cfRule type="cellIs" rank="0" priority="1397" equalAverage="0" operator="lessThan" aboveAverage="0" dxfId="1" text="" percent="0" bottom="0">
      <formula>0</formula>
    </cfRule>
  </conditionalFormatting>
  <conditionalFormatting sqref="E704">
    <cfRule type="cellIs" rank="0" priority="1398" equalAverage="0" operator="greaterThan" aboveAverage="0" dxfId="0" text="" percent="0" bottom="0">
      <formula>0</formula>
    </cfRule>
    <cfRule type="cellIs" rank="0" priority="1399" equalAverage="0" operator="lessThan" aboveAverage="0" dxfId="1" text="" percent="0" bottom="0">
      <formula>0</formula>
    </cfRule>
  </conditionalFormatting>
  <conditionalFormatting sqref="E705">
    <cfRule type="cellIs" rank="0" priority="1400" equalAverage="0" operator="greaterThan" aboveAverage="0" dxfId="0" text="" percent="0" bottom="0">
      <formula>0</formula>
    </cfRule>
    <cfRule type="cellIs" rank="0" priority="1401" equalAverage="0" operator="lessThan" aboveAverage="0" dxfId="1" text="" percent="0" bottom="0">
      <formula>0</formula>
    </cfRule>
  </conditionalFormatting>
  <conditionalFormatting sqref="E706">
    <cfRule type="cellIs" rank="0" priority="1402" equalAverage="0" operator="greaterThan" aboveAverage="0" dxfId="0" text="" percent="0" bottom="0">
      <formula>0</formula>
    </cfRule>
    <cfRule type="cellIs" rank="0" priority="1403" equalAverage="0" operator="lessThan" aboveAverage="0" dxfId="1" text="" percent="0" bottom="0">
      <formula>0</formula>
    </cfRule>
  </conditionalFormatting>
  <conditionalFormatting sqref="E707">
    <cfRule type="cellIs" rank="0" priority="1404" equalAverage="0" operator="greaterThan" aboveAverage="0" dxfId="0" text="" percent="0" bottom="0">
      <formula>0</formula>
    </cfRule>
    <cfRule type="cellIs" rank="0" priority="1405" equalAverage="0" operator="lessThan" aboveAverage="0" dxfId="1" text="" percent="0" bottom="0">
      <formula>0</formula>
    </cfRule>
  </conditionalFormatting>
  <conditionalFormatting sqref="E708">
    <cfRule type="cellIs" rank="0" priority="1406" equalAverage="0" operator="greaterThan" aboveAverage="0" dxfId="0" text="" percent="0" bottom="0">
      <formula>0</formula>
    </cfRule>
    <cfRule type="cellIs" rank="0" priority="1407" equalAverage="0" operator="lessThan" aboveAverage="0" dxfId="1" text="" percent="0" bottom="0">
      <formula>0</formula>
    </cfRule>
  </conditionalFormatting>
  <conditionalFormatting sqref="E709">
    <cfRule type="cellIs" rank="0" priority="1408" equalAverage="0" operator="greaterThan" aboveAverage="0" dxfId="0" text="" percent="0" bottom="0">
      <formula>0</formula>
    </cfRule>
    <cfRule type="cellIs" rank="0" priority="1409" equalAverage="0" operator="lessThan" aboveAverage="0" dxfId="1" text="" percent="0" bottom="0">
      <formula>0</formula>
    </cfRule>
  </conditionalFormatting>
  <conditionalFormatting sqref="E710">
    <cfRule type="cellIs" rank="0" priority="1410" equalAverage="0" operator="greaterThan" aboveAverage="0" dxfId="0" text="" percent="0" bottom="0">
      <formula>0</formula>
    </cfRule>
    <cfRule type="cellIs" rank="0" priority="1411" equalAverage="0" operator="lessThan" aboveAverage="0" dxfId="1" text="" percent="0" bottom="0">
      <formula>0</formula>
    </cfRule>
  </conditionalFormatting>
  <conditionalFormatting sqref="E711">
    <cfRule type="cellIs" rank="0" priority="1412" equalAverage="0" operator="greaterThan" aboveAverage="0" dxfId="0" text="" percent="0" bottom="0">
      <formula>0</formula>
    </cfRule>
    <cfRule type="cellIs" rank="0" priority="1413" equalAverage="0" operator="lessThan" aboveAverage="0" dxfId="1" text="" percent="0" bottom="0">
      <formula>0</formula>
    </cfRule>
  </conditionalFormatting>
  <conditionalFormatting sqref="E712">
    <cfRule type="cellIs" rank="0" priority="1414" equalAverage="0" operator="greaterThan" aboveAverage="0" dxfId="0" text="" percent="0" bottom="0">
      <formula>0</formula>
    </cfRule>
    <cfRule type="cellIs" rank="0" priority="1415" equalAverage="0" operator="lessThan" aboveAverage="0" dxfId="1" text="" percent="0" bottom="0">
      <formula>0</formula>
    </cfRule>
  </conditionalFormatting>
  <conditionalFormatting sqref="E713">
    <cfRule type="cellIs" rank="0" priority="1416" equalAverage="0" operator="greaterThan" aboveAverage="0" dxfId="0" text="" percent="0" bottom="0">
      <formula>0</formula>
    </cfRule>
    <cfRule type="cellIs" rank="0" priority="1417" equalAverage="0" operator="lessThan" aboveAverage="0" dxfId="1" text="" percent="0" bottom="0">
      <formula>0</formula>
    </cfRule>
  </conditionalFormatting>
  <conditionalFormatting sqref="E714">
    <cfRule type="cellIs" rank="0" priority="1418" equalAverage="0" operator="greaterThan" aboveAverage="0" dxfId="0" text="" percent="0" bottom="0">
      <formula>0</formula>
    </cfRule>
    <cfRule type="cellIs" rank="0" priority="1419" equalAverage="0" operator="lessThan" aboveAverage="0" dxfId="1" text="" percent="0" bottom="0">
      <formula>0</formula>
    </cfRule>
  </conditionalFormatting>
  <conditionalFormatting sqref="E715">
    <cfRule type="cellIs" rank="0" priority="1420" equalAverage="0" operator="greaterThan" aboveAverage="0" dxfId="0" text="" percent="0" bottom="0">
      <formula>0</formula>
    </cfRule>
    <cfRule type="cellIs" rank="0" priority="1421" equalAverage="0" operator="lessThan" aboveAverage="0" dxfId="1" text="" percent="0" bottom="0">
      <formula>0</formula>
    </cfRule>
  </conditionalFormatting>
  <conditionalFormatting sqref="E716">
    <cfRule type="cellIs" rank="0" priority="1422" equalAverage="0" operator="greaterThan" aboveAverage="0" dxfId="0" text="" percent="0" bottom="0">
      <formula>0</formula>
    </cfRule>
    <cfRule type="cellIs" rank="0" priority="1423" equalAverage="0" operator="lessThan" aboveAverage="0" dxfId="1" text="" percent="0" bottom="0">
      <formula>0</formula>
    </cfRule>
  </conditionalFormatting>
  <conditionalFormatting sqref="E717">
    <cfRule type="cellIs" rank="0" priority="1424" equalAverage="0" operator="greaterThan" aboveAverage="0" dxfId="0" text="" percent="0" bottom="0">
      <formula>0</formula>
    </cfRule>
    <cfRule type="cellIs" rank="0" priority="1425" equalAverage="0" operator="lessThan" aboveAverage="0" dxfId="1" text="" percent="0" bottom="0">
      <formula>0</formula>
    </cfRule>
  </conditionalFormatting>
  <conditionalFormatting sqref="E718">
    <cfRule type="cellIs" rank="0" priority="1426" equalAverage="0" operator="greaterThan" aboveAverage="0" dxfId="0" text="" percent="0" bottom="0">
      <formula>0</formula>
    </cfRule>
    <cfRule type="cellIs" rank="0" priority="1427" equalAverage="0" operator="lessThan" aboveAverage="0" dxfId="1" text="" percent="0" bottom="0">
      <formula>0</formula>
    </cfRule>
  </conditionalFormatting>
  <conditionalFormatting sqref="E719">
    <cfRule type="cellIs" rank="0" priority="1428" equalAverage="0" operator="greaterThan" aboveAverage="0" dxfId="0" text="" percent="0" bottom="0">
      <formula>0</formula>
    </cfRule>
    <cfRule type="cellIs" rank="0" priority="1429" equalAverage="0" operator="lessThan" aboveAverage="0" dxfId="1" text="" percent="0" bottom="0">
      <formula>0</formula>
    </cfRule>
  </conditionalFormatting>
  <conditionalFormatting sqref="E720">
    <cfRule type="cellIs" rank="0" priority="1430" equalAverage="0" operator="greaterThan" aboveAverage="0" dxfId="0" text="" percent="0" bottom="0">
      <formula>0</formula>
    </cfRule>
    <cfRule type="cellIs" rank="0" priority="1431" equalAverage="0" operator="lessThan" aboveAverage="0" dxfId="1" text="" percent="0" bottom="0">
      <formula>0</formula>
    </cfRule>
  </conditionalFormatting>
  <conditionalFormatting sqref="E721">
    <cfRule type="cellIs" rank="0" priority="1432" equalAverage="0" operator="greaterThan" aboveAverage="0" dxfId="0" text="" percent="0" bottom="0">
      <formula>0</formula>
    </cfRule>
    <cfRule type="cellIs" rank="0" priority="1433" equalAverage="0" operator="lessThan" aboveAverage="0" dxfId="1" text="" percent="0" bottom="0">
      <formula>0</formula>
    </cfRule>
  </conditionalFormatting>
  <conditionalFormatting sqref="E722">
    <cfRule type="cellIs" rank="0" priority="1434" equalAverage="0" operator="greaterThan" aboveAverage="0" dxfId="0" text="" percent="0" bottom="0">
      <formula>0</formula>
    </cfRule>
    <cfRule type="cellIs" rank="0" priority="1435" equalAverage="0" operator="lessThan" aboveAverage="0" dxfId="1" text="" percent="0" bottom="0">
      <formula>0</formula>
    </cfRule>
  </conditionalFormatting>
  <conditionalFormatting sqref="E723">
    <cfRule type="cellIs" rank="0" priority="1436" equalAverage="0" operator="greaterThan" aboveAverage="0" dxfId="0" text="" percent="0" bottom="0">
      <formula>0</formula>
    </cfRule>
    <cfRule type="cellIs" rank="0" priority="1437" equalAverage="0" operator="lessThan" aboveAverage="0" dxfId="1" text="" percent="0" bottom="0">
      <formula>0</formula>
    </cfRule>
  </conditionalFormatting>
  <conditionalFormatting sqref="E724">
    <cfRule type="cellIs" rank="0" priority="1438" equalAverage="0" operator="greaterThan" aboveAverage="0" dxfId="0" text="" percent="0" bottom="0">
      <formula>0</formula>
    </cfRule>
    <cfRule type="cellIs" rank="0" priority="1439" equalAverage="0" operator="lessThan" aboveAverage="0" dxfId="1" text="" percent="0" bottom="0">
      <formula>0</formula>
    </cfRule>
  </conditionalFormatting>
  <conditionalFormatting sqref="E725">
    <cfRule type="cellIs" rank="0" priority="1440" equalAverage="0" operator="greaterThan" aboveAverage="0" dxfId="0" text="" percent="0" bottom="0">
      <formula>0</formula>
    </cfRule>
    <cfRule type="cellIs" rank="0" priority="1441" equalAverage="0" operator="lessThan" aboveAverage="0" dxfId="1" text="" percent="0" bottom="0">
      <formula>0</formula>
    </cfRule>
  </conditionalFormatting>
  <conditionalFormatting sqref="E726">
    <cfRule type="cellIs" rank="0" priority="1442" equalAverage="0" operator="greaterThan" aboveAverage="0" dxfId="0" text="" percent="0" bottom="0">
      <formula>0</formula>
    </cfRule>
    <cfRule type="cellIs" rank="0" priority="1443" equalAverage="0" operator="lessThan" aboveAverage="0" dxfId="1" text="" percent="0" bottom="0">
      <formula>0</formula>
    </cfRule>
  </conditionalFormatting>
  <conditionalFormatting sqref="E727">
    <cfRule type="cellIs" rank="0" priority="1444" equalAverage="0" operator="greaterThan" aboveAverage="0" dxfId="0" text="" percent="0" bottom="0">
      <formula>0</formula>
    </cfRule>
    <cfRule type="cellIs" rank="0" priority="1445" equalAverage="0" operator="lessThan" aboveAverage="0" dxfId="1" text="" percent="0" bottom="0">
      <formula>0</formula>
    </cfRule>
  </conditionalFormatting>
  <conditionalFormatting sqref="E728">
    <cfRule type="cellIs" rank="0" priority="1446" equalAverage="0" operator="greaterThan" aboveAverage="0" dxfId="0" text="" percent="0" bottom="0">
      <formula>0</formula>
    </cfRule>
    <cfRule type="cellIs" rank="0" priority="1447" equalAverage="0" operator="lessThan" aboveAverage="0" dxfId="1" text="" percent="0" bottom="0">
      <formula>0</formula>
    </cfRule>
  </conditionalFormatting>
  <conditionalFormatting sqref="E729">
    <cfRule type="cellIs" rank="0" priority="1448" equalAverage="0" operator="greaterThan" aboveAverage="0" dxfId="0" text="" percent="0" bottom="0">
      <formula>0</formula>
    </cfRule>
    <cfRule type="cellIs" rank="0" priority="1449" equalAverage="0" operator="lessThan" aboveAverage="0" dxfId="1" text="" percent="0" bottom="0">
      <formula>0</formula>
    </cfRule>
  </conditionalFormatting>
  <conditionalFormatting sqref="E730">
    <cfRule type="cellIs" rank="0" priority="1450" equalAverage="0" operator="greaterThan" aboveAverage="0" dxfId="0" text="" percent="0" bottom="0">
      <formula>0</formula>
    </cfRule>
    <cfRule type="cellIs" rank="0" priority="1451" equalAverage="0" operator="lessThan" aboveAverage="0" dxfId="1" text="" percent="0" bottom="0">
      <formula>0</formula>
    </cfRule>
  </conditionalFormatting>
  <conditionalFormatting sqref="E731">
    <cfRule type="cellIs" rank="0" priority="1452" equalAverage="0" operator="greaterThan" aboveAverage="0" dxfId="0" text="" percent="0" bottom="0">
      <formula>0</formula>
    </cfRule>
    <cfRule type="cellIs" rank="0" priority="1453" equalAverage="0" operator="lessThan" aboveAverage="0" dxfId="1" text="" percent="0" bottom="0">
      <formula>0</formula>
    </cfRule>
  </conditionalFormatting>
  <conditionalFormatting sqref="E732">
    <cfRule type="cellIs" rank="0" priority="1454" equalAverage="0" operator="greaterThan" aboveAverage="0" dxfId="0" text="" percent="0" bottom="0">
      <formula>0</formula>
    </cfRule>
    <cfRule type="cellIs" rank="0" priority="1455" equalAverage="0" operator="lessThan" aboveAverage="0" dxfId="1" text="" percent="0" bottom="0">
      <formula>0</formula>
    </cfRule>
  </conditionalFormatting>
  <conditionalFormatting sqref="E733">
    <cfRule type="cellIs" rank="0" priority="1456" equalAverage="0" operator="greaterThan" aboveAverage="0" dxfId="0" text="" percent="0" bottom="0">
      <formula>0</formula>
    </cfRule>
    <cfRule type="cellIs" rank="0" priority="1457" equalAverage="0" operator="lessThan" aboveAverage="0" dxfId="1" text="" percent="0" bottom="0">
      <formula>0</formula>
    </cfRule>
  </conditionalFormatting>
  <conditionalFormatting sqref="E734">
    <cfRule type="cellIs" rank="0" priority="1458" equalAverage="0" operator="greaterThan" aboveAverage="0" dxfId="0" text="" percent="0" bottom="0">
      <formula>0</formula>
    </cfRule>
    <cfRule type="cellIs" rank="0" priority="1459" equalAverage="0" operator="lessThan" aboveAverage="0" dxfId="1" text="" percent="0" bottom="0">
      <formula>0</formula>
    </cfRule>
  </conditionalFormatting>
  <conditionalFormatting sqref="E735">
    <cfRule type="cellIs" rank="0" priority="1460" equalAverage="0" operator="greaterThan" aboveAverage="0" dxfId="0" text="" percent="0" bottom="0">
      <formula>0</formula>
    </cfRule>
    <cfRule type="cellIs" rank="0" priority="1461" equalAverage="0" operator="lessThan" aboveAverage="0" dxfId="1" text="" percent="0" bottom="0">
      <formula>0</formula>
    </cfRule>
  </conditionalFormatting>
  <conditionalFormatting sqref="E736">
    <cfRule type="cellIs" rank="0" priority="1462" equalAverage="0" operator="greaterThan" aboveAverage="0" dxfId="0" text="" percent="0" bottom="0">
      <formula>0</formula>
    </cfRule>
    <cfRule type="cellIs" rank="0" priority="1463" equalAverage="0" operator="lessThan" aboveAverage="0" dxfId="1" text="" percent="0" bottom="0">
      <formula>0</formula>
    </cfRule>
  </conditionalFormatting>
  <conditionalFormatting sqref="E737">
    <cfRule type="cellIs" rank="0" priority="1464" equalAverage="0" operator="greaterThan" aboveAverage="0" dxfId="0" text="" percent="0" bottom="0">
      <formula>0</formula>
    </cfRule>
    <cfRule type="cellIs" rank="0" priority="1465" equalAverage="0" operator="lessThan" aboveAverage="0" dxfId="1" text="" percent="0" bottom="0">
      <formula>0</formula>
    </cfRule>
  </conditionalFormatting>
  <conditionalFormatting sqref="E738">
    <cfRule type="cellIs" rank="0" priority="1466" equalAverage="0" operator="greaterThan" aboveAverage="0" dxfId="0" text="" percent="0" bottom="0">
      <formula>0</formula>
    </cfRule>
    <cfRule type="cellIs" rank="0" priority="1467" equalAverage="0" operator="lessThan" aboveAverage="0" dxfId="1" text="" percent="0" bottom="0">
      <formula>0</formula>
    </cfRule>
  </conditionalFormatting>
  <conditionalFormatting sqref="E739">
    <cfRule type="cellIs" rank="0" priority="1468" equalAverage="0" operator="greaterThan" aboveAverage="0" dxfId="0" text="" percent="0" bottom="0">
      <formula>0</formula>
    </cfRule>
    <cfRule type="cellIs" rank="0" priority="1469" equalAverage="0" operator="lessThan" aboveAverage="0" dxfId="1" text="" percent="0" bottom="0">
      <formula>0</formula>
    </cfRule>
  </conditionalFormatting>
  <conditionalFormatting sqref="E740">
    <cfRule type="cellIs" rank="0" priority="1470" equalAverage="0" operator="greaterThan" aboveAverage="0" dxfId="0" text="" percent="0" bottom="0">
      <formula>0</formula>
    </cfRule>
    <cfRule type="cellIs" rank="0" priority="1471" equalAverage="0" operator="lessThan" aboveAverage="0" dxfId="1" text="" percent="0" bottom="0">
      <formula>0</formula>
    </cfRule>
  </conditionalFormatting>
  <conditionalFormatting sqref="E741">
    <cfRule type="cellIs" rank="0" priority="1472" equalAverage="0" operator="greaterThan" aboveAverage="0" dxfId="0" text="" percent="0" bottom="0">
      <formula>0</formula>
    </cfRule>
    <cfRule type="cellIs" rank="0" priority="1473" equalAverage="0" operator="lessThan" aboveAverage="0" dxfId="1" text="" percent="0" bottom="0">
      <formula>0</formula>
    </cfRule>
  </conditionalFormatting>
  <conditionalFormatting sqref="E742">
    <cfRule type="cellIs" rank="0" priority="1474" equalAverage="0" operator="greaterThan" aboveAverage="0" dxfId="0" text="" percent="0" bottom="0">
      <formula>0</formula>
    </cfRule>
    <cfRule type="cellIs" rank="0" priority="1475" equalAverage="0" operator="lessThan" aboveAverage="0" dxfId="1" text="" percent="0" bottom="0">
      <formula>0</formula>
    </cfRule>
  </conditionalFormatting>
  <conditionalFormatting sqref="E743">
    <cfRule type="cellIs" rank="0" priority="1476" equalAverage="0" operator="greaterThan" aboveAverage="0" dxfId="0" text="" percent="0" bottom="0">
      <formula>0</formula>
    </cfRule>
    <cfRule type="cellIs" rank="0" priority="1477" equalAverage="0" operator="lessThan" aboveAverage="0" dxfId="1" text="" percent="0" bottom="0">
      <formula>0</formula>
    </cfRule>
  </conditionalFormatting>
  <conditionalFormatting sqref="E744">
    <cfRule type="cellIs" rank="0" priority="1478" equalAverage="0" operator="greaterThan" aboveAverage="0" dxfId="0" text="" percent="0" bottom="0">
      <formula>0</formula>
    </cfRule>
    <cfRule type="cellIs" rank="0" priority="1479" equalAverage="0" operator="lessThan" aboveAverage="0" dxfId="1" text="" percent="0" bottom="0">
      <formula>0</formula>
    </cfRule>
  </conditionalFormatting>
  <conditionalFormatting sqref="E745">
    <cfRule type="cellIs" rank="0" priority="1480" equalAverage="0" operator="greaterThan" aboveAverage="0" dxfId="0" text="" percent="0" bottom="0">
      <formula>0</formula>
    </cfRule>
    <cfRule type="cellIs" rank="0" priority="1481" equalAverage="0" operator="lessThan" aboveAverage="0" dxfId="1" text="" percent="0" bottom="0">
      <formula>0</formula>
    </cfRule>
  </conditionalFormatting>
  <conditionalFormatting sqref="E746">
    <cfRule type="cellIs" rank="0" priority="1482" equalAverage="0" operator="greaterThan" aboveAverage="0" dxfId="0" text="" percent="0" bottom="0">
      <formula>0</formula>
    </cfRule>
    <cfRule type="cellIs" rank="0" priority="1483" equalAverage="0" operator="lessThan" aboveAverage="0" dxfId="1" text="" percent="0" bottom="0">
      <formula>0</formula>
    </cfRule>
  </conditionalFormatting>
  <conditionalFormatting sqref="E747">
    <cfRule type="cellIs" rank="0" priority="1484" equalAverage="0" operator="greaterThan" aboveAverage="0" dxfId="0" text="" percent="0" bottom="0">
      <formula>0</formula>
    </cfRule>
    <cfRule type="cellIs" rank="0" priority="1485" equalAverage="0" operator="lessThan" aboveAverage="0" dxfId="1" text="" percent="0" bottom="0">
      <formula>0</formula>
    </cfRule>
  </conditionalFormatting>
  <conditionalFormatting sqref="E748">
    <cfRule type="cellIs" rank="0" priority="1486" equalAverage="0" operator="greaterThan" aboveAverage="0" dxfId="0" text="" percent="0" bottom="0">
      <formula>0</formula>
    </cfRule>
    <cfRule type="cellIs" rank="0" priority="1487" equalAverage="0" operator="lessThan" aboveAverage="0" dxfId="1" text="" percent="0" bottom="0">
      <formula>0</formula>
    </cfRule>
  </conditionalFormatting>
  <conditionalFormatting sqref="E749">
    <cfRule type="cellIs" rank="0" priority="1488" equalAverage="0" operator="greaterThan" aboveAverage="0" dxfId="0" text="" percent="0" bottom="0">
      <formula>0</formula>
    </cfRule>
    <cfRule type="cellIs" rank="0" priority="1489" equalAverage="0" operator="lessThan" aboveAverage="0" dxfId="1" text="" percent="0" bottom="0">
      <formula>0</formula>
    </cfRule>
  </conditionalFormatting>
  <conditionalFormatting sqref="E750">
    <cfRule type="cellIs" rank="0" priority="1490" equalAverage="0" operator="greaterThan" aboveAverage="0" dxfId="0" text="" percent="0" bottom="0">
      <formula>0</formula>
    </cfRule>
    <cfRule type="cellIs" rank="0" priority="1491" equalAverage="0" operator="lessThan" aboveAverage="0" dxfId="1" text="" percent="0" bottom="0">
      <formula>0</formula>
    </cfRule>
  </conditionalFormatting>
  <conditionalFormatting sqref="E751">
    <cfRule type="cellIs" rank="0" priority="1492" equalAverage="0" operator="greaterThan" aboveAverage="0" dxfId="0" text="" percent="0" bottom="0">
      <formula>0</formula>
    </cfRule>
    <cfRule type="cellIs" rank="0" priority="1493" equalAverage="0" operator="lessThan" aboveAverage="0" dxfId="1" text="" percent="0" bottom="0">
      <formula>0</formula>
    </cfRule>
  </conditionalFormatting>
  <conditionalFormatting sqref="E752">
    <cfRule type="cellIs" rank="0" priority="1494" equalAverage="0" operator="greaterThan" aboveAverage="0" dxfId="0" text="" percent="0" bottom="0">
      <formula>0</formula>
    </cfRule>
    <cfRule type="cellIs" rank="0" priority="1495" equalAverage="0" operator="lessThan" aboveAverage="0" dxfId="1" text="" percent="0" bottom="0">
      <formula>0</formula>
    </cfRule>
  </conditionalFormatting>
  <conditionalFormatting sqref="E753">
    <cfRule type="cellIs" rank="0" priority="1496" equalAverage="0" operator="greaterThan" aboveAverage="0" dxfId="0" text="" percent="0" bottom="0">
      <formula>0</formula>
    </cfRule>
    <cfRule type="cellIs" rank="0" priority="1497" equalAverage="0" operator="lessThan" aboveAverage="0" dxfId="1" text="" percent="0" bottom="0">
      <formula>0</formula>
    </cfRule>
  </conditionalFormatting>
  <conditionalFormatting sqref="E754">
    <cfRule type="cellIs" rank="0" priority="1498" equalAverage="0" operator="greaterThan" aboveAverage="0" dxfId="0" text="" percent="0" bottom="0">
      <formula>0</formula>
    </cfRule>
    <cfRule type="cellIs" rank="0" priority="1499" equalAverage="0" operator="lessThan" aboveAverage="0" dxfId="1" text="" percent="0" bottom="0">
      <formula>0</formula>
    </cfRule>
  </conditionalFormatting>
  <conditionalFormatting sqref="E755">
    <cfRule type="cellIs" rank="0" priority="1500" equalAverage="0" operator="greaterThan" aboveAverage="0" dxfId="0" text="" percent="0" bottom="0">
      <formula>0</formula>
    </cfRule>
    <cfRule type="cellIs" rank="0" priority="1501" equalAverage="0" operator="lessThan" aboveAverage="0" dxfId="1" text="" percent="0" bottom="0">
      <formula>0</formula>
    </cfRule>
  </conditionalFormatting>
  <conditionalFormatting sqref="E756">
    <cfRule type="cellIs" rank="0" priority="1502" equalAverage="0" operator="greaterThan" aboveAverage="0" dxfId="0" text="" percent="0" bottom="0">
      <formula>0</formula>
    </cfRule>
    <cfRule type="cellIs" rank="0" priority="1503" equalAverage="0" operator="lessThan" aboveAverage="0" dxfId="1" text="" percent="0" bottom="0">
      <formula>0</formula>
    </cfRule>
  </conditionalFormatting>
  <conditionalFormatting sqref="E757">
    <cfRule type="cellIs" rank="0" priority="1504" equalAverage="0" operator="greaterThan" aboveAverage="0" dxfId="0" text="" percent="0" bottom="0">
      <formula>0</formula>
    </cfRule>
    <cfRule type="cellIs" rank="0" priority="1505" equalAverage="0" operator="lessThan" aboveAverage="0" dxfId="1" text="" percent="0" bottom="0">
      <formula>0</formula>
    </cfRule>
  </conditionalFormatting>
  <conditionalFormatting sqref="E758">
    <cfRule type="cellIs" rank="0" priority="1506" equalAverage="0" operator="greaterThan" aboveAverage="0" dxfId="0" text="" percent="0" bottom="0">
      <formula>0</formula>
    </cfRule>
    <cfRule type="cellIs" rank="0" priority="1507" equalAverage="0" operator="lessThan" aboveAverage="0" dxfId="1" text="" percent="0" bottom="0">
      <formula>0</formula>
    </cfRule>
  </conditionalFormatting>
  <conditionalFormatting sqref="E759">
    <cfRule type="cellIs" rank="0" priority="1508" equalAverage="0" operator="greaterThan" aboveAverage="0" dxfId="0" text="" percent="0" bottom="0">
      <formula>0</formula>
    </cfRule>
    <cfRule type="cellIs" rank="0" priority="1509" equalAverage="0" operator="lessThan" aboveAverage="0" dxfId="1" text="" percent="0" bottom="0">
      <formula>0</formula>
    </cfRule>
  </conditionalFormatting>
  <conditionalFormatting sqref="E760">
    <cfRule type="cellIs" rank="0" priority="1510" equalAverage="0" operator="greaterThan" aboveAverage="0" dxfId="0" text="" percent="0" bottom="0">
      <formula>0</formula>
    </cfRule>
    <cfRule type="cellIs" rank="0" priority="1511" equalAverage="0" operator="lessThan" aboveAverage="0" dxfId="1" text="" percent="0" bottom="0">
      <formula>0</formula>
    </cfRule>
  </conditionalFormatting>
  <conditionalFormatting sqref="E761">
    <cfRule type="cellIs" rank="0" priority="1512" equalAverage="0" operator="greaterThan" aboveAverage="0" dxfId="0" text="" percent="0" bottom="0">
      <formula>0</formula>
    </cfRule>
    <cfRule type="cellIs" rank="0" priority="1513" equalAverage="0" operator="lessThan" aboveAverage="0" dxfId="1" text="" percent="0" bottom="0">
      <formula>0</formula>
    </cfRule>
  </conditionalFormatting>
  <conditionalFormatting sqref="E762">
    <cfRule type="cellIs" rank="0" priority="1514" equalAverage="0" operator="greaterThan" aboveAverage="0" dxfId="0" text="" percent="0" bottom="0">
      <formula>0</formula>
    </cfRule>
    <cfRule type="cellIs" rank="0" priority="1515" equalAverage="0" operator="lessThan" aboveAverage="0" dxfId="1" text="" percent="0" bottom="0">
      <formula>0</formula>
    </cfRule>
  </conditionalFormatting>
  <conditionalFormatting sqref="E763">
    <cfRule type="cellIs" rank="0" priority="1516" equalAverage="0" operator="greaterThan" aboveAverage="0" dxfId="0" text="" percent="0" bottom="0">
      <formula>0</formula>
    </cfRule>
    <cfRule type="cellIs" rank="0" priority="1517" equalAverage="0" operator="lessThan" aboveAverage="0" dxfId="1" text="" percent="0" bottom="0">
      <formula>0</formula>
    </cfRule>
  </conditionalFormatting>
  <conditionalFormatting sqref="E764">
    <cfRule type="cellIs" rank="0" priority="1518" equalAverage="0" operator="greaterThan" aboveAverage="0" dxfId="0" text="" percent="0" bottom="0">
      <formula>0</formula>
    </cfRule>
    <cfRule type="cellIs" rank="0" priority="1519" equalAverage="0" operator="lessThan" aboveAverage="0" dxfId="1" text="" percent="0" bottom="0">
      <formula>0</formula>
    </cfRule>
  </conditionalFormatting>
  <conditionalFormatting sqref="E765">
    <cfRule type="cellIs" rank="0" priority="1520" equalAverage="0" operator="greaterThan" aboveAverage="0" dxfId="0" text="" percent="0" bottom="0">
      <formula>0</formula>
    </cfRule>
    <cfRule type="cellIs" rank="0" priority="1521" equalAverage="0" operator="lessThan" aboveAverage="0" dxfId="1" text="" percent="0" bottom="0">
      <formula>0</formula>
    </cfRule>
  </conditionalFormatting>
  <conditionalFormatting sqref="E766">
    <cfRule type="cellIs" rank="0" priority="1522" equalAverage="0" operator="greaterThan" aboveAverage="0" dxfId="0" text="" percent="0" bottom="0">
      <formula>0</formula>
    </cfRule>
    <cfRule type="cellIs" rank="0" priority="1523" equalAverage="0" operator="lessThan" aboveAverage="0" dxfId="1" text="" percent="0" bottom="0">
      <formula>0</formula>
    </cfRule>
  </conditionalFormatting>
  <conditionalFormatting sqref="E767">
    <cfRule type="cellIs" rank="0" priority="1524" equalAverage="0" operator="greaterThan" aboveAverage="0" dxfId="0" text="" percent="0" bottom="0">
      <formula>0</formula>
    </cfRule>
    <cfRule type="cellIs" rank="0" priority="1525" equalAverage="0" operator="lessThan" aboveAverage="0" dxfId="1" text="" percent="0" bottom="0">
      <formula>0</formula>
    </cfRule>
  </conditionalFormatting>
  <conditionalFormatting sqref="E768">
    <cfRule type="cellIs" rank="0" priority="1526" equalAverage="0" operator="greaterThan" aboveAverage="0" dxfId="0" text="" percent="0" bottom="0">
      <formula>0</formula>
    </cfRule>
    <cfRule type="cellIs" rank="0" priority="1527" equalAverage="0" operator="lessThan" aboveAverage="0" dxfId="1" text="" percent="0" bottom="0">
      <formula>0</formula>
    </cfRule>
  </conditionalFormatting>
  <conditionalFormatting sqref="E769">
    <cfRule type="cellIs" rank="0" priority="1528" equalAverage="0" operator="greaterThan" aboveAverage="0" dxfId="0" text="" percent="0" bottom="0">
      <formula>0</formula>
    </cfRule>
    <cfRule type="cellIs" rank="0" priority="1529" equalAverage="0" operator="lessThan" aboveAverage="0" dxfId="1" text="" percent="0" bottom="0">
      <formula>0</formula>
    </cfRule>
  </conditionalFormatting>
  <conditionalFormatting sqref="E770">
    <cfRule type="cellIs" rank="0" priority="1530" equalAverage="0" operator="greaterThan" aboveAverage="0" dxfId="0" text="" percent="0" bottom="0">
      <formula>0</formula>
    </cfRule>
    <cfRule type="cellIs" rank="0" priority="1531" equalAverage="0" operator="lessThan" aboveAverage="0" dxfId="1" text="" percent="0" bottom="0">
      <formula>0</formula>
    </cfRule>
  </conditionalFormatting>
  <conditionalFormatting sqref="E771">
    <cfRule type="cellIs" rank="0" priority="1532" equalAverage="0" operator="greaterThan" aboveAverage="0" dxfId="0" text="" percent="0" bottom="0">
      <formula>0</formula>
    </cfRule>
    <cfRule type="cellIs" rank="0" priority="1533" equalAverage="0" operator="lessThan" aboveAverage="0" dxfId="1" text="" percent="0" bottom="0">
      <formula>0</formula>
    </cfRule>
  </conditionalFormatting>
  <conditionalFormatting sqref="E772">
    <cfRule type="cellIs" rank="0" priority="1534" equalAverage="0" operator="greaterThan" aboveAverage="0" dxfId="0" text="" percent="0" bottom="0">
      <formula>0</formula>
    </cfRule>
    <cfRule type="cellIs" rank="0" priority="1535" equalAverage="0" operator="lessThan" aboveAverage="0" dxfId="1" text="" percent="0" bottom="0">
      <formula>0</formula>
    </cfRule>
  </conditionalFormatting>
  <conditionalFormatting sqref="E773">
    <cfRule type="cellIs" rank="0" priority="1536" equalAverage="0" operator="greaterThan" aboveAverage="0" dxfId="0" text="" percent="0" bottom="0">
      <formula>0</formula>
    </cfRule>
    <cfRule type="cellIs" rank="0" priority="1537" equalAverage="0" operator="lessThan" aboveAverage="0" dxfId="1" text="" percent="0" bottom="0">
      <formula>0</formula>
    </cfRule>
  </conditionalFormatting>
  <conditionalFormatting sqref="E774">
    <cfRule type="cellIs" rank="0" priority="1538" equalAverage="0" operator="greaterThan" aboveAverage="0" dxfId="0" text="" percent="0" bottom="0">
      <formula>0</formula>
    </cfRule>
    <cfRule type="cellIs" rank="0" priority="1539" equalAverage="0" operator="lessThan" aboveAverage="0" dxfId="1" text="" percent="0" bottom="0">
      <formula>0</formula>
    </cfRule>
  </conditionalFormatting>
  <conditionalFormatting sqref="E775">
    <cfRule type="cellIs" rank="0" priority="1540" equalAverage="0" operator="greaterThan" aboveAverage="0" dxfId="0" text="" percent="0" bottom="0">
      <formula>0</formula>
    </cfRule>
    <cfRule type="cellIs" rank="0" priority="1541" equalAverage="0" operator="lessThan" aboveAverage="0" dxfId="1" text="" percent="0" bottom="0">
      <formula>0</formula>
    </cfRule>
  </conditionalFormatting>
  <conditionalFormatting sqref="E776">
    <cfRule type="cellIs" rank="0" priority="1542" equalAverage="0" operator="greaterThan" aboveAverage="0" dxfId="0" text="" percent="0" bottom="0">
      <formula>0</formula>
    </cfRule>
    <cfRule type="cellIs" rank="0" priority="1543" equalAverage="0" operator="lessThan" aboveAverage="0" dxfId="1" text="" percent="0" bottom="0">
      <formula>0</formula>
    </cfRule>
  </conditionalFormatting>
  <conditionalFormatting sqref="E777">
    <cfRule type="cellIs" rank="0" priority="1544" equalAverage="0" operator="greaterThan" aboveAverage="0" dxfId="0" text="" percent="0" bottom="0">
      <formula>0</formula>
    </cfRule>
    <cfRule type="cellIs" rank="0" priority="1545" equalAverage="0" operator="lessThan" aboveAverage="0" dxfId="1" text="" percent="0" bottom="0">
      <formula>0</formula>
    </cfRule>
  </conditionalFormatting>
  <conditionalFormatting sqref="E778">
    <cfRule type="cellIs" rank="0" priority="1546" equalAverage="0" operator="greaterThan" aboveAverage="0" dxfId="0" text="" percent="0" bottom="0">
      <formula>0</formula>
    </cfRule>
    <cfRule type="cellIs" rank="0" priority="1547" equalAverage="0" operator="lessThan" aboveAverage="0" dxfId="1" text="" percent="0" bottom="0">
      <formula>0</formula>
    </cfRule>
  </conditionalFormatting>
  <conditionalFormatting sqref="E779">
    <cfRule type="cellIs" rank="0" priority="1548" equalAverage="0" operator="greaterThan" aboveAverage="0" dxfId="0" text="" percent="0" bottom="0">
      <formula>0</formula>
    </cfRule>
    <cfRule type="cellIs" rank="0" priority="1549" equalAverage="0" operator="lessThan" aboveAverage="0" dxfId="1" text="" percent="0" bottom="0">
      <formula>0</formula>
    </cfRule>
  </conditionalFormatting>
  <conditionalFormatting sqref="E780">
    <cfRule type="cellIs" rank="0" priority="1550" equalAverage="0" operator="greaterThan" aboveAverage="0" dxfId="0" text="" percent="0" bottom="0">
      <formula>0</formula>
    </cfRule>
    <cfRule type="cellIs" rank="0" priority="1551" equalAverage="0" operator="lessThan" aboveAverage="0" dxfId="1" text="" percent="0" bottom="0">
      <formula>0</formula>
    </cfRule>
  </conditionalFormatting>
  <conditionalFormatting sqref="E781">
    <cfRule type="cellIs" rank="0" priority="1552" equalAverage="0" operator="greaterThan" aboveAverage="0" dxfId="0" text="" percent="0" bottom="0">
      <formula>0</formula>
    </cfRule>
    <cfRule type="cellIs" rank="0" priority="1553" equalAverage="0" operator="lessThan" aboveAverage="0" dxfId="1" text="" percent="0" bottom="0">
      <formula>0</formula>
    </cfRule>
  </conditionalFormatting>
  <conditionalFormatting sqref="E782">
    <cfRule type="cellIs" rank="0" priority="1554" equalAverage="0" operator="greaterThan" aboveAverage="0" dxfId="0" text="" percent="0" bottom="0">
      <formula>0</formula>
    </cfRule>
    <cfRule type="cellIs" rank="0" priority="1555" equalAverage="0" operator="lessThan" aboveAverage="0" dxfId="1" text="" percent="0" bottom="0">
      <formula>0</formula>
    </cfRule>
  </conditionalFormatting>
  <conditionalFormatting sqref="E783">
    <cfRule type="cellIs" rank="0" priority="1556" equalAverage="0" operator="greaterThan" aboveAverage="0" dxfId="0" text="" percent="0" bottom="0">
      <formula>0</formula>
    </cfRule>
    <cfRule type="cellIs" rank="0" priority="1557" equalAverage="0" operator="lessThan" aboveAverage="0" dxfId="1" text="" percent="0" bottom="0">
      <formula>0</formula>
    </cfRule>
  </conditionalFormatting>
  <conditionalFormatting sqref="E784">
    <cfRule type="cellIs" rank="0" priority="1558" equalAverage="0" operator="greaterThan" aboveAverage="0" dxfId="0" text="" percent="0" bottom="0">
      <formula>0</formula>
    </cfRule>
    <cfRule type="cellIs" rank="0" priority="1559" equalAverage="0" operator="lessThan" aboveAverage="0" dxfId="1" text="" percent="0" bottom="0">
      <formula>0</formula>
    </cfRule>
  </conditionalFormatting>
  <conditionalFormatting sqref="E785">
    <cfRule type="cellIs" rank="0" priority="1560" equalAverage="0" operator="greaterThan" aboveAverage="0" dxfId="0" text="" percent="0" bottom="0">
      <formula>0</formula>
    </cfRule>
    <cfRule type="cellIs" rank="0" priority="1561" equalAverage="0" operator="lessThan" aboveAverage="0" dxfId="1" text="" percent="0" bottom="0">
      <formula>0</formula>
    </cfRule>
  </conditionalFormatting>
  <conditionalFormatting sqref="E786">
    <cfRule type="cellIs" rank="0" priority="1562" equalAverage="0" operator="greaterThan" aboveAverage="0" dxfId="0" text="" percent="0" bottom="0">
      <formula>0</formula>
    </cfRule>
    <cfRule type="cellIs" rank="0" priority="1563" equalAverage="0" operator="lessThan" aboveAverage="0" dxfId="1" text="" percent="0" bottom="0">
      <formula>0</formula>
    </cfRule>
  </conditionalFormatting>
  <conditionalFormatting sqref="E787">
    <cfRule type="cellIs" rank="0" priority="1564" equalAverage="0" operator="greaterThan" aboveAverage="0" dxfId="0" text="" percent="0" bottom="0">
      <formula>0</formula>
    </cfRule>
    <cfRule type="cellIs" rank="0" priority="1565" equalAverage="0" operator="lessThan" aboveAverage="0" dxfId="1" text="" percent="0" bottom="0">
      <formula>0</formula>
    </cfRule>
  </conditionalFormatting>
  <conditionalFormatting sqref="E788">
    <cfRule type="cellIs" rank="0" priority="1566" equalAverage="0" operator="greaterThan" aboveAverage="0" dxfId="0" text="" percent="0" bottom="0">
      <formula>0</formula>
    </cfRule>
    <cfRule type="cellIs" rank="0" priority="1567" equalAverage="0" operator="lessThan" aboveAverage="0" dxfId="1" text="" percent="0" bottom="0">
      <formula>0</formula>
    </cfRule>
  </conditionalFormatting>
  <conditionalFormatting sqref="E789">
    <cfRule type="cellIs" rank="0" priority="1568" equalAverage="0" operator="greaterThan" aboveAverage="0" dxfId="0" text="" percent="0" bottom="0">
      <formula>0</formula>
    </cfRule>
    <cfRule type="cellIs" rank="0" priority="1569" equalAverage="0" operator="lessThan" aboveAverage="0" dxfId="1" text="" percent="0" bottom="0">
      <formula>0</formula>
    </cfRule>
  </conditionalFormatting>
  <conditionalFormatting sqref="E790">
    <cfRule type="cellIs" rank="0" priority="1570" equalAverage="0" operator="greaterThan" aboveAverage="0" dxfId="0" text="" percent="0" bottom="0">
      <formula>0</formula>
    </cfRule>
    <cfRule type="cellIs" rank="0" priority="1571" equalAverage="0" operator="lessThan" aboveAverage="0" dxfId="1" text="" percent="0" bottom="0">
      <formula>0</formula>
    </cfRule>
  </conditionalFormatting>
  <conditionalFormatting sqref="E791">
    <cfRule type="cellIs" rank="0" priority="1572" equalAverage="0" operator="greaterThan" aboveAverage="0" dxfId="0" text="" percent="0" bottom="0">
      <formula>0</formula>
    </cfRule>
    <cfRule type="cellIs" rank="0" priority="1573" equalAverage="0" operator="lessThan" aboveAverage="0" dxfId="1" text="" percent="0" bottom="0">
      <formula>0</formula>
    </cfRule>
  </conditionalFormatting>
  <conditionalFormatting sqref="E792">
    <cfRule type="cellIs" rank="0" priority="1574" equalAverage="0" operator="greaterThan" aboveAverage="0" dxfId="0" text="" percent="0" bottom="0">
      <formula>0</formula>
    </cfRule>
    <cfRule type="cellIs" rank="0" priority="1575" equalAverage="0" operator="lessThan" aboveAverage="0" dxfId="1" text="" percent="0" bottom="0">
      <formula>0</formula>
    </cfRule>
  </conditionalFormatting>
  <conditionalFormatting sqref="E793">
    <cfRule type="cellIs" rank="0" priority="1576" equalAverage="0" operator="greaterThan" aboveAverage="0" dxfId="0" text="" percent="0" bottom="0">
      <formula>0</formula>
    </cfRule>
    <cfRule type="cellIs" rank="0" priority="1577" equalAverage="0" operator="lessThan" aboveAverage="0" dxfId="1" text="" percent="0" bottom="0">
      <formula>0</formula>
    </cfRule>
  </conditionalFormatting>
  <conditionalFormatting sqref="E794">
    <cfRule type="cellIs" rank="0" priority="1578" equalAverage="0" operator="greaterThan" aboveAverage="0" dxfId="0" text="" percent="0" bottom="0">
      <formula>0</formula>
    </cfRule>
    <cfRule type="cellIs" rank="0" priority="1579" equalAverage="0" operator="lessThan" aboveAverage="0" dxfId="1" text="" percent="0" bottom="0">
      <formula>0</formula>
    </cfRule>
  </conditionalFormatting>
  <conditionalFormatting sqref="E795">
    <cfRule type="cellIs" rank="0" priority="1580" equalAverage="0" operator="greaterThan" aboveAverage="0" dxfId="0" text="" percent="0" bottom="0">
      <formula>0</formula>
    </cfRule>
    <cfRule type="cellIs" rank="0" priority="1581" equalAverage="0" operator="lessThan" aboveAverage="0" dxfId="1" text="" percent="0" bottom="0">
      <formula>0</formula>
    </cfRule>
  </conditionalFormatting>
  <conditionalFormatting sqref="E796">
    <cfRule type="cellIs" rank="0" priority="1582" equalAverage="0" operator="greaterThan" aboveAverage="0" dxfId="0" text="" percent="0" bottom="0">
      <formula>0</formula>
    </cfRule>
    <cfRule type="cellIs" rank="0" priority="1583" equalAverage="0" operator="lessThan" aboveAverage="0" dxfId="1" text="" percent="0" bottom="0">
      <formula>0</formula>
    </cfRule>
  </conditionalFormatting>
  <conditionalFormatting sqref="E797">
    <cfRule type="cellIs" rank="0" priority="1584" equalAverage="0" operator="greaterThan" aboveAverage="0" dxfId="0" text="" percent="0" bottom="0">
      <formula>0</formula>
    </cfRule>
    <cfRule type="cellIs" rank="0" priority="1585" equalAverage="0" operator="lessThan" aboveAverage="0" dxfId="1" text="" percent="0" bottom="0">
      <formula>0</formula>
    </cfRule>
  </conditionalFormatting>
  <conditionalFormatting sqref="E798">
    <cfRule type="cellIs" rank="0" priority="1586" equalAverage="0" operator="greaterThan" aboveAverage="0" dxfId="0" text="" percent="0" bottom="0">
      <formula>0</formula>
    </cfRule>
    <cfRule type="cellIs" rank="0" priority="1587" equalAverage="0" operator="lessThan" aboveAverage="0" dxfId="1" text="" percent="0" bottom="0">
      <formula>0</formula>
    </cfRule>
  </conditionalFormatting>
  <conditionalFormatting sqref="E799">
    <cfRule type="cellIs" rank="0" priority="1588" equalAverage="0" operator="greaterThan" aboveAverage="0" dxfId="0" text="" percent="0" bottom="0">
      <formula>0</formula>
    </cfRule>
    <cfRule type="cellIs" rank="0" priority="1589" equalAverage="0" operator="lessThan" aboveAverage="0" dxfId="1" text="" percent="0" bottom="0">
      <formula>0</formula>
    </cfRule>
  </conditionalFormatting>
  <conditionalFormatting sqref="E800">
    <cfRule type="cellIs" rank="0" priority="1590" equalAverage="0" operator="greaterThan" aboveAverage="0" dxfId="0" text="" percent="0" bottom="0">
      <formula>0</formula>
    </cfRule>
    <cfRule type="cellIs" rank="0" priority="1591" equalAverage="0" operator="lessThan" aboveAverage="0" dxfId="1" text="" percent="0" bottom="0">
      <formula>0</formula>
    </cfRule>
  </conditionalFormatting>
  <conditionalFormatting sqref="E801">
    <cfRule type="cellIs" rank="0" priority="1592" equalAverage="0" operator="greaterThan" aboveAverage="0" dxfId="0" text="" percent="0" bottom="0">
      <formula>0</formula>
    </cfRule>
    <cfRule type="cellIs" rank="0" priority="1593" equalAverage="0" operator="lessThan" aboveAverage="0" dxfId="1" text="" percent="0" bottom="0">
      <formula>0</formula>
    </cfRule>
  </conditionalFormatting>
  <conditionalFormatting sqref="E802">
    <cfRule type="cellIs" rank="0" priority="1594" equalAverage="0" operator="greaterThan" aboveAverage="0" dxfId="0" text="" percent="0" bottom="0">
      <formula>0</formula>
    </cfRule>
    <cfRule type="cellIs" rank="0" priority="1595" equalAverage="0" operator="lessThan" aboveAverage="0" dxfId="1" text="" percent="0" bottom="0">
      <formula>0</formula>
    </cfRule>
  </conditionalFormatting>
  <conditionalFormatting sqref="E803">
    <cfRule type="cellIs" rank="0" priority="1596" equalAverage="0" operator="greaterThan" aboveAverage="0" dxfId="0" text="" percent="0" bottom="0">
      <formula>0</formula>
    </cfRule>
    <cfRule type="cellIs" rank="0" priority="1597" equalAverage="0" operator="lessThan" aboveAverage="0" dxfId="1" text="" percent="0" bottom="0">
      <formula>0</formula>
    </cfRule>
  </conditionalFormatting>
  <conditionalFormatting sqref="E804">
    <cfRule type="cellIs" rank="0" priority="1598" equalAverage="0" operator="greaterThan" aboveAverage="0" dxfId="0" text="" percent="0" bottom="0">
      <formula>0</formula>
    </cfRule>
    <cfRule type="cellIs" rank="0" priority="1599" equalAverage="0" operator="lessThan" aboveAverage="0" dxfId="1" text="" percent="0" bottom="0">
      <formula>0</formula>
    </cfRule>
  </conditionalFormatting>
  <conditionalFormatting sqref="E805">
    <cfRule type="cellIs" rank="0" priority="1600" equalAverage="0" operator="greaterThan" aboveAverage="0" dxfId="0" text="" percent="0" bottom="0">
      <formula>0</formula>
    </cfRule>
    <cfRule type="cellIs" rank="0" priority="1601" equalAverage="0" operator="lessThan" aboveAverage="0" dxfId="1" text="" percent="0" bottom="0">
      <formula>0</formula>
    </cfRule>
  </conditionalFormatting>
  <conditionalFormatting sqref="E806">
    <cfRule type="cellIs" rank="0" priority="1602" equalAverage="0" operator="greaterThan" aboveAverage="0" dxfId="0" text="" percent="0" bottom="0">
      <formula>0</formula>
    </cfRule>
    <cfRule type="cellIs" rank="0" priority="1603" equalAverage="0" operator="lessThan" aboveAverage="0" dxfId="1" text="" percent="0" bottom="0">
      <formula>0</formula>
    </cfRule>
  </conditionalFormatting>
  <conditionalFormatting sqref="E807">
    <cfRule type="cellIs" rank="0" priority="1604" equalAverage="0" operator="greaterThan" aboveAverage="0" dxfId="0" text="" percent="0" bottom="0">
      <formula>0</formula>
    </cfRule>
    <cfRule type="cellIs" rank="0" priority="1605" equalAverage="0" operator="lessThan" aboveAverage="0" dxfId="1" text="" percent="0" bottom="0">
      <formula>0</formula>
    </cfRule>
  </conditionalFormatting>
  <conditionalFormatting sqref="E808">
    <cfRule type="cellIs" rank="0" priority="1606" equalAverage="0" operator="greaterThan" aboveAverage="0" dxfId="0" text="" percent="0" bottom="0">
      <formula>0</formula>
    </cfRule>
    <cfRule type="cellIs" rank="0" priority="1607" equalAverage="0" operator="lessThan" aboveAverage="0" dxfId="1" text="" percent="0" bottom="0">
      <formula>0</formula>
    </cfRule>
  </conditionalFormatting>
  <conditionalFormatting sqref="E809">
    <cfRule type="cellIs" rank="0" priority="1608" equalAverage="0" operator="greaterThan" aboveAverage="0" dxfId="0" text="" percent="0" bottom="0">
      <formula>0</formula>
    </cfRule>
    <cfRule type="cellIs" rank="0" priority="1609" equalAverage="0" operator="lessThan" aboveAverage="0" dxfId="1" text="" percent="0" bottom="0">
      <formula>0</formula>
    </cfRule>
  </conditionalFormatting>
  <conditionalFormatting sqref="E810">
    <cfRule type="cellIs" rank="0" priority="1610" equalAverage="0" operator="greaterThan" aboveAverage="0" dxfId="0" text="" percent="0" bottom="0">
      <formula>0</formula>
    </cfRule>
    <cfRule type="cellIs" rank="0" priority="1611" equalAverage="0" operator="lessThan" aboveAverage="0" dxfId="1" text="" percent="0" bottom="0">
      <formula>0</formula>
    </cfRule>
  </conditionalFormatting>
  <conditionalFormatting sqref="E811">
    <cfRule type="cellIs" rank="0" priority="1612" equalAverage="0" operator="greaterThan" aboveAverage="0" dxfId="0" text="" percent="0" bottom="0">
      <formula>0</formula>
    </cfRule>
    <cfRule type="cellIs" rank="0" priority="1613" equalAverage="0" operator="lessThan" aboveAverage="0" dxfId="1" text="" percent="0" bottom="0">
      <formula>0</formula>
    </cfRule>
  </conditionalFormatting>
  <conditionalFormatting sqref="E812">
    <cfRule type="cellIs" rank="0" priority="1614" equalAverage="0" operator="greaterThan" aboveAverage="0" dxfId="0" text="" percent="0" bottom="0">
      <formula>0</formula>
    </cfRule>
    <cfRule type="cellIs" rank="0" priority="1615" equalAverage="0" operator="lessThan" aboveAverage="0" dxfId="1" text="" percent="0" bottom="0">
      <formula>0</formula>
    </cfRule>
  </conditionalFormatting>
  <conditionalFormatting sqref="E813">
    <cfRule type="cellIs" rank="0" priority="1616" equalAverage="0" operator="greaterThan" aboveAverage="0" dxfId="0" text="" percent="0" bottom="0">
      <formula>0</formula>
    </cfRule>
    <cfRule type="cellIs" rank="0" priority="1617" equalAverage="0" operator="lessThan" aboveAverage="0" dxfId="1" text="" percent="0" bottom="0">
      <formula>0</formula>
    </cfRule>
  </conditionalFormatting>
  <conditionalFormatting sqref="E814">
    <cfRule type="cellIs" rank="0" priority="1618" equalAverage="0" operator="greaterThan" aboveAverage="0" dxfId="0" text="" percent="0" bottom="0">
      <formula>0</formula>
    </cfRule>
    <cfRule type="cellIs" rank="0" priority="1619" equalAverage="0" operator="lessThan" aboveAverage="0" dxfId="1" text="" percent="0" bottom="0">
      <formula>0</formula>
    </cfRule>
  </conditionalFormatting>
  <conditionalFormatting sqref="E815">
    <cfRule type="cellIs" rank="0" priority="1620" equalAverage="0" operator="greaterThan" aboveAverage="0" dxfId="0" text="" percent="0" bottom="0">
      <formula>0</formula>
    </cfRule>
    <cfRule type="cellIs" rank="0" priority="1621" equalAverage="0" operator="lessThan" aboveAverage="0" dxfId="1" text="" percent="0" bottom="0">
      <formula>0</formula>
    </cfRule>
  </conditionalFormatting>
  <conditionalFormatting sqref="E816">
    <cfRule type="cellIs" rank="0" priority="1622" equalAverage="0" operator="greaterThan" aboveAverage="0" dxfId="0" text="" percent="0" bottom="0">
      <formula>0</formula>
    </cfRule>
    <cfRule type="cellIs" rank="0" priority="1623" equalAverage="0" operator="lessThan" aboveAverage="0" dxfId="1" text="" percent="0" bottom="0">
      <formula>0</formula>
    </cfRule>
  </conditionalFormatting>
  <conditionalFormatting sqref="E817">
    <cfRule type="cellIs" rank="0" priority="1624" equalAverage="0" operator="greaterThan" aboveAverage="0" dxfId="0" text="" percent="0" bottom="0">
      <formula>0</formula>
    </cfRule>
    <cfRule type="cellIs" rank="0" priority="1625" equalAverage="0" operator="lessThan" aboveAverage="0" dxfId="1" text="" percent="0" bottom="0">
      <formula>0</formula>
    </cfRule>
  </conditionalFormatting>
  <conditionalFormatting sqref="E818">
    <cfRule type="cellIs" rank="0" priority="1626" equalAverage="0" operator="greaterThan" aboveAverage="0" dxfId="0" text="" percent="0" bottom="0">
      <formula>0</formula>
    </cfRule>
    <cfRule type="cellIs" rank="0" priority="1627" equalAverage="0" operator="lessThan" aboveAverage="0" dxfId="1" text="" percent="0" bottom="0">
      <formula>0</formula>
    </cfRule>
  </conditionalFormatting>
  <conditionalFormatting sqref="E819">
    <cfRule type="cellIs" rank="0" priority="1628" equalAverage="0" operator="greaterThan" aboveAverage="0" dxfId="0" text="" percent="0" bottom="0">
      <formula>0</formula>
    </cfRule>
    <cfRule type="cellIs" rank="0" priority="1629" equalAverage="0" operator="lessThan" aboveAverage="0" dxfId="1" text="" percent="0" bottom="0">
      <formula>0</formula>
    </cfRule>
  </conditionalFormatting>
  <conditionalFormatting sqref="E820">
    <cfRule type="cellIs" rank="0" priority="1630" equalAverage="0" operator="greaterThan" aboveAverage="0" dxfId="0" text="" percent="0" bottom="0">
      <formula>0</formula>
    </cfRule>
    <cfRule type="cellIs" rank="0" priority="1631" equalAverage="0" operator="lessThan" aboveAverage="0" dxfId="1" text="" percent="0" bottom="0">
      <formula>0</formula>
    </cfRule>
  </conditionalFormatting>
  <conditionalFormatting sqref="E821">
    <cfRule type="cellIs" rank="0" priority="1632" equalAverage="0" operator="greaterThan" aboveAverage="0" dxfId="0" text="" percent="0" bottom="0">
      <formula>0</formula>
    </cfRule>
    <cfRule type="cellIs" rank="0" priority="1633" equalAverage="0" operator="lessThan" aboveAverage="0" dxfId="1" text="" percent="0" bottom="0">
      <formula>0</formula>
    </cfRule>
  </conditionalFormatting>
  <conditionalFormatting sqref="E822">
    <cfRule type="cellIs" rank="0" priority="1634" equalAverage="0" operator="greaterThan" aboveAverage="0" dxfId="0" text="" percent="0" bottom="0">
      <formula>0</formula>
    </cfRule>
    <cfRule type="cellIs" rank="0" priority="1635" equalAverage="0" operator="lessThan" aboveAverage="0" dxfId="1" text="" percent="0" bottom="0">
      <formula>0</formula>
    </cfRule>
  </conditionalFormatting>
  <conditionalFormatting sqref="E823">
    <cfRule type="cellIs" rank="0" priority="1636" equalAverage="0" operator="greaterThan" aboveAverage="0" dxfId="0" text="" percent="0" bottom="0">
      <formula>0</formula>
    </cfRule>
    <cfRule type="cellIs" rank="0" priority="1637" equalAverage="0" operator="lessThan" aboveAverage="0" dxfId="1" text="" percent="0" bottom="0">
      <formula>0</formula>
    </cfRule>
  </conditionalFormatting>
  <conditionalFormatting sqref="E824">
    <cfRule type="cellIs" rank="0" priority="1638" equalAverage="0" operator="greaterThan" aboveAverage="0" dxfId="0" text="" percent="0" bottom="0">
      <formula>0</formula>
    </cfRule>
    <cfRule type="cellIs" rank="0" priority="1639" equalAverage="0" operator="lessThan" aboveAverage="0" dxfId="1" text="" percent="0" bottom="0">
      <formula>0</formula>
    </cfRule>
  </conditionalFormatting>
  <conditionalFormatting sqref="E825">
    <cfRule type="cellIs" rank="0" priority="1640" equalAverage="0" operator="greaterThan" aboveAverage="0" dxfId="0" text="" percent="0" bottom="0">
      <formula>0</formula>
    </cfRule>
    <cfRule type="cellIs" rank="0" priority="1641" equalAverage="0" operator="lessThan" aboveAverage="0" dxfId="1" text="" percent="0" bottom="0">
      <formula>0</formula>
    </cfRule>
  </conditionalFormatting>
  <conditionalFormatting sqref="E826">
    <cfRule type="cellIs" rank="0" priority="1642" equalAverage="0" operator="greaterThan" aboveAverage="0" dxfId="0" text="" percent="0" bottom="0">
      <formula>0</formula>
    </cfRule>
    <cfRule type="cellIs" rank="0" priority="1643" equalAverage="0" operator="lessThan" aboveAverage="0" dxfId="1" text="" percent="0" bottom="0">
      <formula>0</formula>
    </cfRule>
  </conditionalFormatting>
  <conditionalFormatting sqref="E827">
    <cfRule type="cellIs" rank="0" priority="1644" equalAverage="0" operator="greaterThan" aboveAverage="0" dxfId="0" text="" percent="0" bottom="0">
      <formula>0</formula>
    </cfRule>
    <cfRule type="cellIs" rank="0" priority="1645" equalAverage="0" operator="lessThan" aboveAverage="0" dxfId="1" text="" percent="0" bottom="0">
      <formula>0</formula>
    </cfRule>
  </conditionalFormatting>
  <conditionalFormatting sqref="E828">
    <cfRule type="cellIs" rank="0" priority="1646" equalAverage="0" operator="greaterThan" aboveAverage="0" dxfId="0" text="" percent="0" bottom="0">
      <formula>0</formula>
    </cfRule>
    <cfRule type="cellIs" rank="0" priority="1647" equalAverage="0" operator="lessThan" aboveAverage="0" dxfId="1" text="" percent="0" bottom="0">
      <formula>0</formula>
    </cfRule>
  </conditionalFormatting>
  <conditionalFormatting sqref="E829">
    <cfRule type="cellIs" rank="0" priority="1648" equalAverage="0" operator="greaterThan" aboveAverage="0" dxfId="0" text="" percent="0" bottom="0">
      <formula>0</formula>
    </cfRule>
    <cfRule type="cellIs" rank="0" priority="1649" equalAverage="0" operator="lessThan" aboveAverage="0" dxfId="1" text="" percent="0" bottom="0">
      <formula>0</formula>
    </cfRule>
  </conditionalFormatting>
  <conditionalFormatting sqref="E830">
    <cfRule type="cellIs" rank="0" priority="1650" equalAverage="0" operator="greaterThan" aboveAverage="0" dxfId="0" text="" percent="0" bottom="0">
      <formula>0</formula>
    </cfRule>
    <cfRule type="cellIs" rank="0" priority="1651" equalAverage="0" operator="lessThan" aboveAverage="0" dxfId="1" text="" percent="0" bottom="0">
      <formula>0</formula>
    </cfRule>
  </conditionalFormatting>
  <conditionalFormatting sqref="E831">
    <cfRule type="cellIs" rank="0" priority="1652" equalAverage="0" operator="greaterThan" aboveAverage="0" dxfId="0" text="" percent="0" bottom="0">
      <formula>0</formula>
    </cfRule>
    <cfRule type="cellIs" rank="0" priority="1653" equalAverage="0" operator="lessThan" aboveAverage="0" dxfId="1" text="" percent="0" bottom="0">
      <formula>0</formula>
    </cfRule>
  </conditionalFormatting>
  <conditionalFormatting sqref="E832">
    <cfRule type="cellIs" rank="0" priority="1654" equalAverage="0" operator="greaterThan" aboveAverage="0" dxfId="0" text="" percent="0" bottom="0">
      <formula>0</formula>
    </cfRule>
    <cfRule type="cellIs" rank="0" priority="1655" equalAverage="0" operator="lessThan" aboveAverage="0" dxfId="1" text="" percent="0" bottom="0">
      <formula>0</formula>
    </cfRule>
  </conditionalFormatting>
  <conditionalFormatting sqref="E833">
    <cfRule type="cellIs" rank="0" priority="1656" equalAverage="0" operator="greaterThan" aboveAverage="0" dxfId="0" text="" percent="0" bottom="0">
      <formula>0</formula>
    </cfRule>
    <cfRule type="cellIs" rank="0" priority="1657" equalAverage="0" operator="lessThan" aboveAverage="0" dxfId="1" text="" percent="0" bottom="0">
      <formula>0</formula>
    </cfRule>
  </conditionalFormatting>
  <conditionalFormatting sqref="E834">
    <cfRule type="cellIs" rank="0" priority="1658" equalAverage="0" operator="greaterThan" aboveAverage="0" dxfId="0" text="" percent="0" bottom="0">
      <formula>0</formula>
    </cfRule>
    <cfRule type="cellIs" rank="0" priority="1659" equalAverage="0" operator="lessThan" aboveAverage="0" dxfId="1" text="" percent="0" bottom="0">
      <formula>0</formula>
    </cfRule>
  </conditionalFormatting>
  <conditionalFormatting sqref="E835">
    <cfRule type="cellIs" rank="0" priority="1660" equalAverage="0" operator="greaterThan" aboveAverage="0" dxfId="0" text="" percent="0" bottom="0">
      <formula>0</formula>
    </cfRule>
    <cfRule type="cellIs" rank="0" priority="1661" equalAverage="0" operator="lessThan" aboveAverage="0" dxfId="1" text="" percent="0" bottom="0">
      <formula>0</formula>
    </cfRule>
  </conditionalFormatting>
  <conditionalFormatting sqref="E836">
    <cfRule type="cellIs" rank="0" priority="1662" equalAverage="0" operator="greaterThan" aboveAverage="0" dxfId="0" text="" percent="0" bottom="0">
      <formula>0</formula>
    </cfRule>
    <cfRule type="cellIs" rank="0" priority="1663" equalAverage="0" operator="lessThan" aboveAverage="0" dxfId="1" text="" percent="0" bottom="0">
      <formula>0</formula>
    </cfRule>
  </conditionalFormatting>
  <conditionalFormatting sqref="E837">
    <cfRule type="cellIs" rank="0" priority="1664" equalAverage="0" operator="greaterThan" aboveAverage="0" dxfId="0" text="" percent="0" bottom="0">
      <formula>0</formula>
    </cfRule>
    <cfRule type="cellIs" rank="0" priority="1665" equalAverage="0" operator="lessThan" aboveAverage="0" dxfId="1" text="" percent="0" bottom="0">
      <formula>0</formula>
    </cfRule>
  </conditionalFormatting>
  <conditionalFormatting sqref="E838">
    <cfRule type="cellIs" rank="0" priority="1666" equalAverage="0" operator="greaterThan" aboveAverage="0" dxfId="0" text="" percent="0" bottom="0">
      <formula>0</formula>
    </cfRule>
    <cfRule type="cellIs" rank="0" priority="1667" equalAverage="0" operator="lessThan" aboveAverage="0" dxfId="1" text="" percent="0" bottom="0">
      <formula>0</formula>
    </cfRule>
  </conditionalFormatting>
  <conditionalFormatting sqref="E839">
    <cfRule type="cellIs" rank="0" priority="1668" equalAverage="0" operator="greaterThan" aboveAverage="0" dxfId="0" text="" percent="0" bottom="0">
      <formula>0</formula>
    </cfRule>
    <cfRule type="cellIs" rank="0" priority="1669" equalAverage="0" operator="lessThan" aboveAverage="0" dxfId="1" text="" percent="0" bottom="0">
      <formula>0</formula>
    </cfRule>
  </conditionalFormatting>
  <conditionalFormatting sqref="E840">
    <cfRule type="cellIs" rank="0" priority="1670" equalAverage="0" operator="greaterThan" aboveAverage="0" dxfId="0" text="" percent="0" bottom="0">
      <formula>0</formula>
    </cfRule>
    <cfRule type="cellIs" rank="0" priority="1671" equalAverage="0" operator="lessThan" aboveAverage="0" dxfId="1" text="" percent="0" bottom="0">
      <formula>0</formula>
    </cfRule>
  </conditionalFormatting>
  <conditionalFormatting sqref="E841">
    <cfRule type="cellIs" rank="0" priority="1672" equalAverage="0" operator="greaterThan" aboveAverage="0" dxfId="0" text="" percent="0" bottom="0">
      <formula>0</formula>
    </cfRule>
    <cfRule type="cellIs" rank="0" priority="1673" equalAverage="0" operator="lessThan" aboveAverage="0" dxfId="1" text="" percent="0" bottom="0">
      <formula>0</formula>
    </cfRule>
  </conditionalFormatting>
  <conditionalFormatting sqref="E842">
    <cfRule type="cellIs" rank="0" priority="1674" equalAverage="0" operator="greaterThan" aboveAverage="0" dxfId="0" text="" percent="0" bottom="0">
      <formula>0</formula>
    </cfRule>
    <cfRule type="cellIs" rank="0" priority="1675" equalAverage="0" operator="lessThan" aboveAverage="0" dxfId="1" text="" percent="0" bottom="0">
      <formula>0</formula>
    </cfRule>
  </conditionalFormatting>
  <conditionalFormatting sqref="E843">
    <cfRule type="cellIs" rank="0" priority="1676" equalAverage="0" operator="greaterThan" aboveAverage="0" dxfId="0" text="" percent="0" bottom="0">
      <formula>0</formula>
    </cfRule>
    <cfRule type="cellIs" rank="0" priority="1677" equalAverage="0" operator="lessThan" aboveAverage="0" dxfId="1" text="" percent="0" bottom="0">
      <formula>0</formula>
    </cfRule>
  </conditionalFormatting>
  <conditionalFormatting sqref="E844">
    <cfRule type="cellIs" rank="0" priority="1678" equalAverage="0" operator="greaterThan" aboveAverage="0" dxfId="0" text="" percent="0" bottom="0">
      <formula>0</formula>
    </cfRule>
    <cfRule type="cellIs" rank="0" priority="1679" equalAverage="0" operator="lessThan" aboveAverage="0" dxfId="1" text="" percent="0" bottom="0">
      <formula>0</formula>
    </cfRule>
  </conditionalFormatting>
  <conditionalFormatting sqref="E845">
    <cfRule type="cellIs" rank="0" priority="1680" equalAverage="0" operator="greaterThan" aboveAverage="0" dxfId="0" text="" percent="0" bottom="0">
      <formula>0</formula>
    </cfRule>
    <cfRule type="cellIs" rank="0" priority="1681" equalAverage="0" operator="lessThan" aboveAverage="0" dxfId="1" text="" percent="0" bottom="0">
      <formula>0</formula>
    </cfRule>
  </conditionalFormatting>
  <conditionalFormatting sqref="E846">
    <cfRule type="cellIs" rank="0" priority="1682" equalAverage="0" operator="greaterThan" aboveAverage="0" dxfId="0" text="" percent="0" bottom="0">
      <formula>0</formula>
    </cfRule>
    <cfRule type="cellIs" rank="0" priority="1683" equalAverage="0" operator="lessThan" aboveAverage="0" dxfId="1" text="" percent="0" bottom="0">
      <formula>0</formula>
    </cfRule>
  </conditionalFormatting>
  <conditionalFormatting sqref="E847">
    <cfRule type="cellIs" rank="0" priority="1684" equalAverage="0" operator="greaterThan" aboveAverage="0" dxfId="0" text="" percent="0" bottom="0">
      <formula>0</formula>
    </cfRule>
    <cfRule type="cellIs" rank="0" priority="1685" equalAverage="0" operator="lessThan" aboveAverage="0" dxfId="1" text="" percent="0" bottom="0">
      <formula>0</formula>
    </cfRule>
  </conditionalFormatting>
  <conditionalFormatting sqref="E848">
    <cfRule type="cellIs" rank="0" priority="1686" equalAverage="0" operator="greaterThan" aboveAverage="0" dxfId="0" text="" percent="0" bottom="0">
      <formula>0</formula>
    </cfRule>
    <cfRule type="cellIs" rank="0" priority="1687" equalAverage="0" operator="lessThan" aboveAverage="0" dxfId="1" text="" percent="0" bottom="0">
      <formula>0</formula>
    </cfRule>
  </conditionalFormatting>
  <conditionalFormatting sqref="E849">
    <cfRule type="cellIs" rank="0" priority="1688" equalAverage="0" operator="greaterThan" aboveAverage="0" dxfId="0" text="" percent="0" bottom="0">
      <formula>0</formula>
    </cfRule>
    <cfRule type="cellIs" rank="0" priority="1689" equalAverage="0" operator="lessThan" aboveAverage="0" dxfId="1" text="" percent="0" bottom="0">
      <formula>0</formula>
    </cfRule>
  </conditionalFormatting>
  <conditionalFormatting sqref="E850">
    <cfRule type="cellIs" rank="0" priority="1690" equalAverage="0" operator="greaterThan" aboveAverage="0" dxfId="0" text="" percent="0" bottom="0">
      <formula>0</formula>
    </cfRule>
    <cfRule type="cellIs" rank="0" priority="1691" equalAverage="0" operator="lessThan" aboveAverage="0" dxfId="1" text="" percent="0" bottom="0">
      <formula>0</formula>
    </cfRule>
  </conditionalFormatting>
  <conditionalFormatting sqref="E851">
    <cfRule type="cellIs" rank="0" priority="1692" equalAverage="0" operator="greaterThan" aboveAverage="0" dxfId="0" text="" percent="0" bottom="0">
      <formula>0</formula>
    </cfRule>
    <cfRule type="cellIs" rank="0" priority="1693" equalAverage="0" operator="lessThan" aboveAverage="0" dxfId="1" text="" percent="0" bottom="0">
      <formula>0</formula>
    </cfRule>
  </conditionalFormatting>
  <conditionalFormatting sqref="E852">
    <cfRule type="cellIs" rank="0" priority="1694" equalAverage="0" operator="greaterThan" aboveAverage="0" dxfId="0" text="" percent="0" bottom="0">
      <formula>0</formula>
    </cfRule>
    <cfRule type="cellIs" rank="0" priority="1695" equalAverage="0" operator="lessThan" aboveAverage="0" dxfId="1" text="" percent="0" bottom="0">
      <formula>0</formula>
    </cfRule>
  </conditionalFormatting>
  <conditionalFormatting sqref="E853">
    <cfRule type="cellIs" rank="0" priority="1696" equalAverage="0" operator="greaterThan" aboveAverage="0" dxfId="0" text="" percent="0" bottom="0">
      <formula>0</formula>
    </cfRule>
    <cfRule type="cellIs" rank="0" priority="1697" equalAverage="0" operator="lessThan" aboveAverage="0" dxfId="1" text="" percent="0" bottom="0">
      <formula>0</formula>
    </cfRule>
  </conditionalFormatting>
  <conditionalFormatting sqref="E854">
    <cfRule type="cellIs" rank="0" priority="1698" equalAverage="0" operator="greaterThan" aboveAverage="0" dxfId="0" text="" percent="0" bottom="0">
      <formula>0</formula>
    </cfRule>
    <cfRule type="cellIs" rank="0" priority="1699" equalAverage="0" operator="lessThan" aboveAverage="0" dxfId="1" text="" percent="0" bottom="0">
      <formula>0</formula>
    </cfRule>
  </conditionalFormatting>
  <conditionalFormatting sqref="E855">
    <cfRule type="cellIs" rank="0" priority="1700" equalAverage="0" operator="greaterThan" aboveAverage="0" dxfId="0" text="" percent="0" bottom="0">
      <formula>0</formula>
    </cfRule>
    <cfRule type="cellIs" rank="0" priority="1701" equalAverage="0" operator="lessThan" aboveAverage="0" dxfId="1" text="" percent="0" bottom="0">
      <formula>0</formula>
    </cfRule>
  </conditionalFormatting>
  <conditionalFormatting sqref="E856">
    <cfRule type="cellIs" rank="0" priority="1702" equalAverage="0" operator="greaterThan" aboveAverage="0" dxfId="0" text="" percent="0" bottom="0">
      <formula>0</formula>
    </cfRule>
    <cfRule type="cellIs" rank="0" priority="1703" equalAverage="0" operator="lessThan" aboveAverage="0" dxfId="1" text="" percent="0" bottom="0">
      <formula>0</formula>
    </cfRule>
  </conditionalFormatting>
  <conditionalFormatting sqref="E857">
    <cfRule type="cellIs" rank="0" priority="1704" equalAverage="0" operator="greaterThan" aboveAverage="0" dxfId="0" text="" percent="0" bottom="0">
      <formula>0</formula>
    </cfRule>
    <cfRule type="cellIs" rank="0" priority="1705" equalAverage="0" operator="lessThan" aboveAverage="0" dxfId="1" text="" percent="0" bottom="0">
      <formula>0</formula>
    </cfRule>
  </conditionalFormatting>
  <conditionalFormatting sqref="E858">
    <cfRule type="cellIs" rank="0" priority="1706" equalAverage="0" operator="greaterThan" aboveAverage="0" dxfId="0" text="" percent="0" bottom="0">
      <formula>0</formula>
    </cfRule>
    <cfRule type="cellIs" rank="0" priority="1707" equalAverage="0" operator="lessThan" aboveAverage="0" dxfId="1" text="" percent="0" bottom="0">
      <formula>0</formula>
    </cfRule>
  </conditionalFormatting>
  <conditionalFormatting sqref="E859">
    <cfRule type="cellIs" rank="0" priority="1708" equalAverage="0" operator="greaterThan" aboveAverage="0" dxfId="0" text="" percent="0" bottom="0">
      <formula>0</formula>
    </cfRule>
    <cfRule type="cellIs" rank="0" priority="1709" equalAverage="0" operator="lessThan" aboveAverage="0" dxfId="1" text="" percent="0" bottom="0">
      <formula>0</formula>
    </cfRule>
  </conditionalFormatting>
  <conditionalFormatting sqref="E860">
    <cfRule type="cellIs" rank="0" priority="1710" equalAverage="0" operator="greaterThan" aboveAverage="0" dxfId="0" text="" percent="0" bottom="0">
      <formula>0</formula>
    </cfRule>
    <cfRule type="cellIs" rank="0" priority="1711" equalAverage="0" operator="lessThan" aboveAverage="0" dxfId="1" text="" percent="0" bottom="0">
      <formula>0</formula>
    </cfRule>
  </conditionalFormatting>
  <conditionalFormatting sqref="E861">
    <cfRule type="cellIs" rank="0" priority="1712" equalAverage="0" operator="greaterThan" aboveAverage="0" dxfId="0" text="" percent="0" bottom="0">
      <formula>0</formula>
    </cfRule>
    <cfRule type="cellIs" rank="0" priority="1713" equalAverage="0" operator="lessThan" aboveAverage="0" dxfId="1" text="" percent="0" bottom="0">
      <formula>0</formula>
    </cfRule>
  </conditionalFormatting>
  <conditionalFormatting sqref="E862">
    <cfRule type="cellIs" rank="0" priority="1714" equalAverage="0" operator="greaterThan" aboveAverage="0" dxfId="0" text="" percent="0" bottom="0">
      <formula>0</formula>
    </cfRule>
    <cfRule type="cellIs" rank="0" priority="1715" equalAverage="0" operator="lessThan" aboveAverage="0" dxfId="1" text="" percent="0" bottom="0">
      <formula>0</formula>
    </cfRule>
  </conditionalFormatting>
  <conditionalFormatting sqref="E863">
    <cfRule type="cellIs" rank="0" priority="1716" equalAverage="0" operator="greaterThan" aboveAverage="0" dxfId="0" text="" percent="0" bottom="0">
      <formula>0</formula>
    </cfRule>
    <cfRule type="cellIs" rank="0" priority="1717" equalAverage="0" operator="lessThan" aboveAverage="0" dxfId="1" text="" percent="0" bottom="0">
      <formula>0</formula>
    </cfRule>
  </conditionalFormatting>
  <conditionalFormatting sqref="E864">
    <cfRule type="cellIs" rank="0" priority="1718" equalAverage="0" operator="greaterThan" aboveAverage="0" dxfId="0" text="" percent="0" bottom="0">
      <formula>0</formula>
    </cfRule>
    <cfRule type="cellIs" rank="0" priority="1719" equalAverage="0" operator="lessThan" aboveAverage="0" dxfId="1" text="" percent="0" bottom="0">
      <formula>0</formula>
    </cfRule>
  </conditionalFormatting>
  <conditionalFormatting sqref="E865">
    <cfRule type="cellIs" rank="0" priority="1720" equalAverage="0" operator="greaterThan" aboveAverage="0" dxfId="0" text="" percent="0" bottom="0">
      <formula>0</formula>
    </cfRule>
    <cfRule type="cellIs" rank="0" priority="1721" equalAverage="0" operator="lessThan" aboveAverage="0" dxfId="1" text="" percent="0" bottom="0">
      <formula>0</formula>
    </cfRule>
  </conditionalFormatting>
  <conditionalFormatting sqref="E866">
    <cfRule type="cellIs" rank="0" priority="1722" equalAverage="0" operator="greaterThan" aboveAverage="0" dxfId="0" text="" percent="0" bottom="0">
      <formula>0</formula>
    </cfRule>
    <cfRule type="cellIs" rank="0" priority="1723" equalAverage="0" operator="lessThan" aboveAverage="0" dxfId="1" text="" percent="0" bottom="0">
      <formula>0</formula>
    </cfRule>
  </conditionalFormatting>
  <conditionalFormatting sqref="E867">
    <cfRule type="cellIs" rank="0" priority="1724" equalAverage="0" operator="greaterThan" aboveAverage="0" dxfId="0" text="" percent="0" bottom="0">
      <formula>0</formula>
    </cfRule>
    <cfRule type="cellIs" rank="0" priority="1725" equalAverage="0" operator="lessThan" aboveAverage="0" dxfId="1" text="" percent="0" bottom="0">
      <formula>0</formula>
    </cfRule>
  </conditionalFormatting>
  <conditionalFormatting sqref="E868">
    <cfRule type="cellIs" rank="0" priority="1726" equalAverage="0" operator="greaterThan" aboveAverage="0" dxfId="0" text="" percent="0" bottom="0">
      <formula>0</formula>
    </cfRule>
    <cfRule type="cellIs" rank="0" priority="1727" equalAverage="0" operator="lessThan" aboveAverage="0" dxfId="1" text="" percent="0" bottom="0">
      <formula>0</formula>
    </cfRule>
  </conditionalFormatting>
  <conditionalFormatting sqref="E869">
    <cfRule type="cellIs" rank="0" priority="1728" equalAverage="0" operator="greaterThan" aboveAverage="0" dxfId="0" text="" percent="0" bottom="0">
      <formula>0</formula>
    </cfRule>
    <cfRule type="cellIs" rank="0" priority="1729" equalAverage="0" operator="lessThan" aboveAverage="0" dxfId="1" text="" percent="0" bottom="0">
      <formula>0</formula>
    </cfRule>
  </conditionalFormatting>
  <conditionalFormatting sqref="E870">
    <cfRule type="cellIs" rank="0" priority="1730" equalAverage="0" operator="greaterThan" aboveAverage="0" dxfId="0" text="" percent="0" bottom="0">
      <formula>0</formula>
    </cfRule>
    <cfRule type="cellIs" rank="0" priority="1731" equalAverage="0" operator="lessThan" aboveAverage="0" dxfId="1" text="" percent="0" bottom="0">
      <formula>0</formula>
    </cfRule>
  </conditionalFormatting>
  <conditionalFormatting sqref="E871">
    <cfRule type="cellIs" rank="0" priority="1732" equalAverage="0" operator="greaterThan" aboveAverage="0" dxfId="0" text="" percent="0" bottom="0">
      <formula>0</formula>
    </cfRule>
    <cfRule type="cellIs" rank="0" priority="1733" equalAverage="0" operator="lessThan" aboveAverage="0" dxfId="1" text="" percent="0" bottom="0">
      <formula>0</formula>
    </cfRule>
  </conditionalFormatting>
  <conditionalFormatting sqref="E872">
    <cfRule type="cellIs" rank="0" priority="1734" equalAverage="0" operator="greaterThan" aboveAverage="0" dxfId="0" text="" percent="0" bottom="0">
      <formula>0</formula>
    </cfRule>
    <cfRule type="cellIs" rank="0" priority="1735" equalAverage="0" operator="lessThan" aboveAverage="0" dxfId="1" text="" percent="0" bottom="0">
      <formula>0</formula>
    </cfRule>
  </conditionalFormatting>
  <conditionalFormatting sqref="E873">
    <cfRule type="cellIs" rank="0" priority="1736" equalAverage="0" operator="greaterThan" aboveAverage="0" dxfId="0" text="" percent="0" bottom="0">
      <formula>0</formula>
    </cfRule>
    <cfRule type="cellIs" rank="0" priority="1737" equalAverage="0" operator="lessThan" aboveAverage="0" dxfId="1" text="" percent="0" bottom="0">
      <formula>0</formula>
    </cfRule>
  </conditionalFormatting>
  <conditionalFormatting sqref="E874">
    <cfRule type="cellIs" rank="0" priority="1738" equalAverage="0" operator="greaterThan" aboveAverage="0" dxfId="0" text="" percent="0" bottom="0">
      <formula>0</formula>
    </cfRule>
    <cfRule type="cellIs" rank="0" priority="1739" equalAverage="0" operator="lessThan" aboveAverage="0" dxfId="1" text="" percent="0" bottom="0">
      <formula>0</formula>
    </cfRule>
  </conditionalFormatting>
  <conditionalFormatting sqref="E875">
    <cfRule type="cellIs" rank="0" priority="1740" equalAverage="0" operator="greaterThan" aboveAverage="0" dxfId="0" text="" percent="0" bottom="0">
      <formula>0</formula>
    </cfRule>
    <cfRule type="cellIs" rank="0" priority="1741" equalAverage="0" operator="lessThan" aboveAverage="0" dxfId="1" text="" percent="0" bottom="0">
      <formula>0</formula>
    </cfRule>
  </conditionalFormatting>
  <conditionalFormatting sqref="E876">
    <cfRule type="cellIs" rank="0" priority="1742" equalAverage="0" operator="greaterThan" aboveAverage="0" dxfId="0" text="" percent="0" bottom="0">
      <formula>0</formula>
    </cfRule>
    <cfRule type="cellIs" rank="0" priority="1743" equalAverage="0" operator="lessThan" aboveAverage="0" dxfId="1" text="" percent="0" bottom="0">
      <formula>0</formula>
    </cfRule>
  </conditionalFormatting>
  <conditionalFormatting sqref="E877">
    <cfRule type="cellIs" rank="0" priority="1744" equalAverage="0" operator="greaterThan" aboveAverage="0" dxfId="0" text="" percent="0" bottom="0">
      <formula>0</formula>
    </cfRule>
    <cfRule type="cellIs" rank="0" priority="1745" equalAverage="0" operator="lessThan" aboveAverage="0" dxfId="1" text="" percent="0" bottom="0">
      <formula>0</formula>
    </cfRule>
  </conditionalFormatting>
  <conditionalFormatting sqref="E878">
    <cfRule type="cellIs" rank="0" priority="1746" equalAverage="0" operator="greaterThan" aboveAverage="0" dxfId="0" text="" percent="0" bottom="0">
      <formula>0</formula>
    </cfRule>
    <cfRule type="cellIs" rank="0" priority="1747" equalAverage="0" operator="lessThan" aboveAverage="0" dxfId="1" text="" percent="0" bottom="0">
      <formula>0</formula>
    </cfRule>
  </conditionalFormatting>
  <conditionalFormatting sqref="E879">
    <cfRule type="cellIs" rank="0" priority="1748" equalAverage="0" operator="greaterThan" aboveAverage="0" dxfId="0" text="" percent="0" bottom="0">
      <formula>0</formula>
    </cfRule>
    <cfRule type="cellIs" rank="0" priority="1749" equalAverage="0" operator="lessThan" aboveAverage="0" dxfId="1" text="" percent="0" bottom="0">
      <formula>0</formula>
    </cfRule>
  </conditionalFormatting>
  <conditionalFormatting sqref="E880">
    <cfRule type="cellIs" rank="0" priority="1750" equalAverage="0" operator="greaterThan" aboveAverage="0" dxfId="0" text="" percent="0" bottom="0">
      <formula>0</formula>
    </cfRule>
    <cfRule type="cellIs" rank="0" priority="1751" equalAverage="0" operator="lessThan" aboveAverage="0" dxfId="1" text="" percent="0" bottom="0">
      <formula>0</formula>
    </cfRule>
  </conditionalFormatting>
  <conditionalFormatting sqref="E881">
    <cfRule type="cellIs" rank="0" priority="1752" equalAverage="0" operator="greaterThan" aboveAverage="0" dxfId="0" text="" percent="0" bottom="0">
      <formula>0</formula>
    </cfRule>
    <cfRule type="cellIs" rank="0" priority="1753" equalAverage="0" operator="lessThan" aboveAverage="0" dxfId="1" text="" percent="0" bottom="0">
      <formula>0</formula>
    </cfRule>
  </conditionalFormatting>
  <conditionalFormatting sqref="E882">
    <cfRule type="cellIs" rank="0" priority="1754" equalAverage="0" operator="greaterThan" aboveAverage="0" dxfId="0" text="" percent="0" bottom="0">
      <formula>0</formula>
    </cfRule>
    <cfRule type="cellIs" rank="0" priority="1755" equalAverage="0" operator="lessThan" aboveAverage="0" dxfId="1" text="" percent="0" bottom="0">
      <formula>0</formula>
    </cfRule>
  </conditionalFormatting>
  <conditionalFormatting sqref="E883">
    <cfRule type="cellIs" rank="0" priority="1756" equalAverage="0" operator="greaterThan" aboveAverage="0" dxfId="0" text="" percent="0" bottom="0">
      <formula>0</formula>
    </cfRule>
    <cfRule type="cellIs" rank="0" priority="1757" equalAverage="0" operator="lessThan" aboveAverage="0" dxfId="1" text="" percent="0" bottom="0">
      <formula>0</formula>
    </cfRule>
  </conditionalFormatting>
  <conditionalFormatting sqref="E884">
    <cfRule type="cellIs" rank="0" priority="1758" equalAverage="0" operator="greaterThan" aboveAverage="0" dxfId="0" text="" percent="0" bottom="0">
      <formula>0</formula>
    </cfRule>
    <cfRule type="cellIs" rank="0" priority="1759" equalAverage="0" operator="lessThan" aboveAverage="0" dxfId="1" text="" percent="0" bottom="0">
      <formula>0</formula>
    </cfRule>
  </conditionalFormatting>
  <conditionalFormatting sqref="E885">
    <cfRule type="cellIs" rank="0" priority="1760" equalAverage="0" operator="greaterThan" aboveAverage="0" dxfId="0" text="" percent="0" bottom="0">
      <formula>0</formula>
    </cfRule>
    <cfRule type="cellIs" rank="0" priority="1761" equalAverage="0" operator="lessThan" aboveAverage="0" dxfId="1" text="" percent="0" bottom="0">
      <formula>0</formula>
    </cfRule>
  </conditionalFormatting>
  <conditionalFormatting sqref="E886">
    <cfRule type="cellIs" rank="0" priority="1762" equalAverage="0" operator="greaterThan" aboveAverage="0" dxfId="0" text="" percent="0" bottom="0">
      <formula>0</formula>
    </cfRule>
    <cfRule type="cellIs" rank="0" priority="1763" equalAverage="0" operator="lessThan" aboveAverage="0" dxfId="1" text="" percent="0" bottom="0">
      <formula>0</formula>
    </cfRule>
  </conditionalFormatting>
  <conditionalFormatting sqref="E887">
    <cfRule type="cellIs" rank="0" priority="1764" equalAverage="0" operator="greaterThan" aboveAverage="0" dxfId="0" text="" percent="0" bottom="0">
      <formula>0</formula>
    </cfRule>
    <cfRule type="cellIs" rank="0" priority="1765" equalAverage="0" operator="lessThan" aboveAverage="0" dxfId="1" text="" percent="0" bottom="0">
      <formula>0</formula>
    </cfRule>
  </conditionalFormatting>
  <conditionalFormatting sqref="E888">
    <cfRule type="cellIs" rank="0" priority="1766" equalAverage="0" operator="greaterThan" aboveAverage="0" dxfId="0" text="" percent="0" bottom="0">
      <formula>0</formula>
    </cfRule>
    <cfRule type="cellIs" rank="0" priority="1767" equalAverage="0" operator="lessThan" aboveAverage="0" dxfId="1" text="" percent="0" bottom="0">
      <formula>0</formula>
    </cfRule>
  </conditionalFormatting>
  <conditionalFormatting sqref="E889">
    <cfRule type="cellIs" rank="0" priority="1768" equalAverage="0" operator="greaterThan" aboveAverage="0" dxfId="0" text="" percent="0" bottom="0">
      <formula>0</formula>
    </cfRule>
    <cfRule type="cellIs" rank="0" priority="1769" equalAverage="0" operator="lessThan" aboveAverage="0" dxfId="1" text="" percent="0" bottom="0">
      <formula>0</formula>
    </cfRule>
  </conditionalFormatting>
  <conditionalFormatting sqref="E890">
    <cfRule type="cellIs" rank="0" priority="1770" equalAverage="0" operator="greaterThan" aboveAverage="0" dxfId="0" text="" percent="0" bottom="0">
      <formula>0</formula>
    </cfRule>
    <cfRule type="cellIs" rank="0" priority="1771" equalAverage="0" operator="lessThan" aboveAverage="0" dxfId="1" text="" percent="0" bottom="0">
      <formula>0</formula>
    </cfRule>
  </conditionalFormatting>
  <conditionalFormatting sqref="E891">
    <cfRule type="cellIs" rank="0" priority="1772" equalAverage="0" operator="greaterThan" aboveAverage="0" dxfId="0" text="" percent="0" bottom="0">
      <formula>0</formula>
    </cfRule>
    <cfRule type="cellIs" rank="0" priority="1773" equalAverage="0" operator="lessThan" aboveAverage="0" dxfId="1" text="" percent="0" bottom="0">
      <formula>0</formula>
    </cfRule>
  </conditionalFormatting>
  <conditionalFormatting sqref="E892">
    <cfRule type="cellIs" rank="0" priority="1774" equalAverage="0" operator="greaterThan" aboveAverage="0" dxfId="0" text="" percent="0" bottom="0">
      <formula>0</formula>
    </cfRule>
    <cfRule type="cellIs" rank="0" priority="1775" equalAverage="0" operator="lessThan" aboveAverage="0" dxfId="1" text="" percent="0" bottom="0">
      <formula>0</formula>
    </cfRule>
  </conditionalFormatting>
  <conditionalFormatting sqref="E893">
    <cfRule type="cellIs" rank="0" priority="1776" equalAverage="0" operator="greaterThan" aboveAverage="0" dxfId="0" text="" percent="0" bottom="0">
      <formula>0</formula>
    </cfRule>
    <cfRule type="cellIs" rank="0" priority="1777" equalAverage="0" operator="lessThan" aboveAverage="0" dxfId="1" text="" percent="0" bottom="0">
      <formula>0</formula>
    </cfRule>
  </conditionalFormatting>
  <conditionalFormatting sqref="E894">
    <cfRule type="cellIs" rank="0" priority="1778" equalAverage="0" operator="greaterThan" aboveAverage="0" dxfId="0" text="" percent="0" bottom="0">
      <formula>0</formula>
    </cfRule>
    <cfRule type="cellIs" rank="0" priority="1779" equalAverage="0" operator="lessThan" aboveAverage="0" dxfId="1" text="" percent="0" bottom="0">
      <formula>0</formula>
    </cfRule>
  </conditionalFormatting>
  <conditionalFormatting sqref="E895">
    <cfRule type="cellIs" rank="0" priority="1780" equalAverage="0" operator="greaterThan" aboveAverage="0" dxfId="0" text="" percent="0" bottom="0">
      <formula>0</formula>
    </cfRule>
    <cfRule type="cellIs" rank="0" priority="1781" equalAverage="0" operator="lessThan" aboveAverage="0" dxfId="1" text="" percent="0" bottom="0">
      <formula>0</formula>
    </cfRule>
  </conditionalFormatting>
  <conditionalFormatting sqref="E896">
    <cfRule type="cellIs" rank="0" priority="1782" equalAverage="0" operator="greaterThan" aboveAverage="0" dxfId="0" text="" percent="0" bottom="0">
      <formula>0</formula>
    </cfRule>
    <cfRule type="cellIs" rank="0" priority="1783" equalAverage="0" operator="lessThan" aboveAverage="0" dxfId="1" text="" percent="0" bottom="0">
      <formula>0</formula>
    </cfRule>
  </conditionalFormatting>
  <conditionalFormatting sqref="E897">
    <cfRule type="cellIs" rank="0" priority="1784" equalAverage="0" operator="greaterThan" aboveAverage="0" dxfId="0" text="" percent="0" bottom="0">
      <formula>0</formula>
    </cfRule>
    <cfRule type="cellIs" rank="0" priority="1785" equalAverage="0" operator="lessThan" aboveAverage="0" dxfId="1" text="" percent="0" bottom="0">
      <formula>0</formula>
    </cfRule>
  </conditionalFormatting>
  <conditionalFormatting sqref="E898">
    <cfRule type="cellIs" rank="0" priority="1786" equalAverage="0" operator="greaterThan" aboveAverage="0" dxfId="0" text="" percent="0" bottom="0">
      <formula>0</formula>
    </cfRule>
    <cfRule type="cellIs" rank="0" priority="1787" equalAverage="0" operator="lessThan" aboveAverage="0" dxfId="1" text="" percent="0" bottom="0">
      <formula>0</formula>
    </cfRule>
  </conditionalFormatting>
  <conditionalFormatting sqref="E899">
    <cfRule type="cellIs" rank="0" priority="1788" equalAverage="0" operator="greaterThan" aboveAverage="0" dxfId="0" text="" percent="0" bottom="0">
      <formula>0</formula>
    </cfRule>
    <cfRule type="cellIs" rank="0" priority="1789" equalAverage="0" operator="lessThan" aboveAverage="0" dxfId="1" text="" percent="0" bottom="0">
      <formula>0</formula>
    </cfRule>
  </conditionalFormatting>
  <conditionalFormatting sqref="E900">
    <cfRule type="cellIs" rank="0" priority="1790" equalAverage="0" operator="greaterThan" aboveAverage="0" dxfId="0" text="" percent="0" bottom="0">
      <formula>0</formula>
    </cfRule>
    <cfRule type="cellIs" rank="0" priority="1791" equalAverage="0" operator="lessThan" aboveAverage="0" dxfId="1" text="" percent="0" bottom="0">
      <formula>0</formula>
    </cfRule>
  </conditionalFormatting>
  <conditionalFormatting sqref="E901">
    <cfRule type="cellIs" rank="0" priority="1792" equalAverage="0" operator="greaterThan" aboveAverage="0" dxfId="0" text="" percent="0" bottom="0">
      <formula>0</formula>
    </cfRule>
    <cfRule type="cellIs" rank="0" priority="1793" equalAverage="0" operator="lessThan" aboveAverage="0" dxfId="1" text="" percent="0" bottom="0">
      <formula>0</formula>
    </cfRule>
  </conditionalFormatting>
  <conditionalFormatting sqref="E902">
    <cfRule type="cellIs" rank="0" priority="1794" equalAverage="0" operator="greaterThan" aboveAverage="0" dxfId="0" text="" percent="0" bottom="0">
      <formula>0</formula>
    </cfRule>
    <cfRule type="cellIs" rank="0" priority="1795" equalAverage="0" operator="lessThan" aboveAverage="0" dxfId="1" text="" percent="0" bottom="0">
      <formula>0</formula>
    </cfRule>
  </conditionalFormatting>
  <conditionalFormatting sqref="E903">
    <cfRule type="cellIs" rank="0" priority="1796" equalAverage="0" operator="greaterThan" aboveAverage="0" dxfId="0" text="" percent="0" bottom="0">
      <formula>0</formula>
    </cfRule>
    <cfRule type="cellIs" rank="0" priority="1797" equalAverage="0" operator="lessThan" aboveAverage="0" dxfId="1" text="" percent="0" bottom="0">
      <formula>0</formula>
    </cfRule>
  </conditionalFormatting>
  <conditionalFormatting sqref="E904">
    <cfRule type="cellIs" rank="0" priority="1798" equalAverage="0" operator="greaterThan" aboveAverage="0" dxfId="0" text="" percent="0" bottom="0">
      <formula>0</formula>
    </cfRule>
    <cfRule type="cellIs" rank="0" priority="1799" equalAverage="0" operator="lessThan" aboveAverage="0" dxfId="1" text="" percent="0" bottom="0">
      <formula>0</formula>
    </cfRule>
  </conditionalFormatting>
  <conditionalFormatting sqref="E905">
    <cfRule type="cellIs" rank="0" priority="1800" equalAverage="0" operator="greaterThan" aboveAverage="0" dxfId="0" text="" percent="0" bottom="0">
      <formula>0</formula>
    </cfRule>
    <cfRule type="cellIs" rank="0" priority="1801" equalAverage="0" operator="lessThan" aboveAverage="0" dxfId="1" text="" percent="0" bottom="0">
      <formula>0</formula>
    </cfRule>
  </conditionalFormatting>
  <conditionalFormatting sqref="E906">
    <cfRule type="cellIs" rank="0" priority="1802" equalAverage="0" operator="greaterThan" aboveAverage="0" dxfId="0" text="" percent="0" bottom="0">
      <formula>0</formula>
    </cfRule>
    <cfRule type="cellIs" rank="0" priority="1803" equalAverage="0" operator="lessThan" aboveAverage="0" dxfId="1" text="" percent="0" bottom="0">
      <formula>0</formula>
    </cfRule>
  </conditionalFormatting>
  <conditionalFormatting sqref="E907">
    <cfRule type="cellIs" rank="0" priority="1804" equalAverage="0" operator="greaterThan" aboveAverage="0" dxfId="0" text="" percent="0" bottom="0">
      <formula>0</formula>
    </cfRule>
    <cfRule type="cellIs" rank="0" priority="1805" equalAverage="0" operator="lessThan" aboveAverage="0" dxfId="1" text="" percent="0" bottom="0">
      <formula>0</formula>
    </cfRule>
  </conditionalFormatting>
  <conditionalFormatting sqref="E908">
    <cfRule type="cellIs" rank="0" priority="1806" equalAverage="0" operator="greaterThan" aboveAverage="0" dxfId="0" text="" percent="0" bottom="0">
      <formula>0</formula>
    </cfRule>
    <cfRule type="cellIs" rank="0" priority="1807" equalAverage="0" operator="lessThan" aboveAverage="0" dxfId="1" text="" percent="0" bottom="0">
      <formula>0</formula>
    </cfRule>
  </conditionalFormatting>
  <conditionalFormatting sqref="E909">
    <cfRule type="cellIs" rank="0" priority="1808" equalAverage="0" operator="greaterThan" aboveAverage="0" dxfId="0" text="" percent="0" bottom="0">
      <formula>0</formula>
    </cfRule>
    <cfRule type="cellIs" rank="0" priority="1809" equalAverage="0" operator="lessThan" aboveAverage="0" dxfId="1" text="" percent="0" bottom="0">
      <formula>0</formula>
    </cfRule>
  </conditionalFormatting>
  <conditionalFormatting sqref="E910">
    <cfRule type="cellIs" rank="0" priority="1810" equalAverage="0" operator="greaterThan" aboveAverage="0" dxfId="0" text="" percent="0" bottom="0">
      <formula>0</formula>
    </cfRule>
    <cfRule type="cellIs" rank="0" priority="1811" equalAverage="0" operator="lessThan" aboveAverage="0" dxfId="1" text="" percent="0" bottom="0">
      <formula>0</formula>
    </cfRule>
  </conditionalFormatting>
  <conditionalFormatting sqref="E911">
    <cfRule type="cellIs" rank="0" priority="1812" equalAverage="0" operator="greaterThan" aboveAverage="0" dxfId="0" text="" percent="0" bottom="0">
      <formula>0</formula>
    </cfRule>
    <cfRule type="cellIs" rank="0" priority="1813" equalAverage="0" operator="lessThan" aboveAverage="0" dxfId="1" text="" percent="0" bottom="0">
      <formula>0</formula>
    </cfRule>
  </conditionalFormatting>
  <conditionalFormatting sqref="E912">
    <cfRule type="cellIs" rank="0" priority="1814" equalAverage="0" operator="greaterThan" aboveAverage="0" dxfId="0" text="" percent="0" bottom="0">
      <formula>0</formula>
    </cfRule>
    <cfRule type="cellIs" rank="0" priority="1815" equalAverage="0" operator="lessThan" aboveAverage="0" dxfId="1" text="" percent="0" bottom="0">
      <formula>0</formula>
    </cfRule>
  </conditionalFormatting>
  <conditionalFormatting sqref="E913">
    <cfRule type="cellIs" rank="0" priority="1816" equalAverage="0" operator="greaterThan" aboveAverage="0" dxfId="0" text="" percent="0" bottom="0">
      <formula>0</formula>
    </cfRule>
    <cfRule type="cellIs" rank="0" priority="1817" equalAverage="0" operator="lessThan" aboveAverage="0" dxfId="1" text="" percent="0" bottom="0">
      <formula>0</formula>
    </cfRule>
  </conditionalFormatting>
  <conditionalFormatting sqref="E914">
    <cfRule type="cellIs" rank="0" priority="1818" equalAverage="0" operator="greaterThan" aboveAverage="0" dxfId="0" text="" percent="0" bottom="0">
      <formula>0</formula>
    </cfRule>
    <cfRule type="cellIs" rank="0" priority="1819" equalAverage="0" operator="lessThan" aboveAverage="0" dxfId="1" text="" percent="0" bottom="0">
      <formula>0</formula>
    </cfRule>
  </conditionalFormatting>
  <conditionalFormatting sqref="E915">
    <cfRule type="cellIs" rank="0" priority="1820" equalAverage="0" operator="greaterThan" aboveAverage="0" dxfId="0" text="" percent="0" bottom="0">
      <formula>0</formula>
    </cfRule>
    <cfRule type="cellIs" rank="0" priority="1821" equalAverage="0" operator="lessThan" aboveAverage="0" dxfId="1" text="" percent="0" bottom="0">
      <formula>0</formula>
    </cfRule>
  </conditionalFormatting>
  <conditionalFormatting sqref="E916">
    <cfRule type="cellIs" rank="0" priority="1822" equalAverage="0" operator="greaterThan" aboveAverage="0" dxfId="0" text="" percent="0" bottom="0">
      <formula>0</formula>
    </cfRule>
    <cfRule type="cellIs" rank="0" priority="1823" equalAverage="0" operator="lessThan" aboveAverage="0" dxfId="1" text="" percent="0" bottom="0">
      <formula>0</formula>
    </cfRule>
  </conditionalFormatting>
  <conditionalFormatting sqref="E917">
    <cfRule type="cellIs" rank="0" priority="1824" equalAverage="0" operator="greaterThan" aboveAverage="0" dxfId="0" text="" percent="0" bottom="0">
      <formula>0</formula>
    </cfRule>
    <cfRule type="cellIs" rank="0" priority="1825" equalAverage="0" operator="lessThan" aboveAverage="0" dxfId="1" text="" percent="0" bottom="0">
      <formula>0</formula>
    </cfRule>
  </conditionalFormatting>
  <conditionalFormatting sqref="E918">
    <cfRule type="cellIs" rank="0" priority="1826" equalAverage="0" operator="greaterThan" aboveAverage="0" dxfId="0" text="" percent="0" bottom="0">
      <formula>0</formula>
    </cfRule>
    <cfRule type="cellIs" rank="0" priority="1827" equalAverage="0" operator="lessThan" aboveAverage="0" dxfId="1" text="" percent="0" bottom="0">
      <formula>0</formula>
    </cfRule>
  </conditionalFormatting>
  <conditionalFormatting sqref="E919">
    <cfRule type="cellIs" rank="0" priority="1828" equalAverage="0" operator="greaterThan" aboveAverage="0" dxfId="0" text="" percent="0" bottom="0">
      <formula>0</formula>
    </cfRule>
    <cfRule type="cellIs" rank="0" priority="1829" equalAverage="0" operator="lessThan" aboveAverage="0" dxfId="1" text="" percent="0" bottom="0">
      <formula>0</formula>
    </cfRule>
  </conditionalFormatting>
  <conditionalFormatting sqref="E920">
    <cfRule type="cellIs" rank="0" priority="1830" equalAverage="0" operator="greaterThan" aboveAverage="0" dxfId="0" text="" percent="0" bottom="0">
      <formula>0</formula>
    </cfRule>
    <cfRule type="cellIs" rank="0" priority="1831" equalAverage="0" operator="lessThan" aboveAverage="0" dxfId="1" text="" percent="0" bottom="0">
      <formula>0</formula>
    </cfRule>
  </conditionalFormatting>
  <conditionalFormatting sqref="E921">
    <cfRule type="cellIs" rank="0" priority="1832" equalAverage="0" operator="greaterThan" aboveAverage="0" dxfId="0" text="" percent="0" bottom="0">
      <formula>0</formula>
    </cfRule>
    <cfRule type="cellIs" rank="0" priority="1833" equalAverage="0" operator="lessThan" aboveAverage="0" dxfId="1" text="" percent="0" bottom="0">
      <formula>0</formula>
    </cfRule>
  </conditionalFormatting>
  <conditionalFormatting sqref="E922">
    <cfRule type="cellIs" rank="0" priority="1834" equalAverage="0" operator="greaterThan" aboveAverage="0" dxfId="0" text="" percent="0" bottom="0">
      <formula>0</formula>
    </cfRule>
    <cfRule type="cellIs" rank="0" priority="1835" equalAverage="0" operator="lessThan" aboveAverage="0" dxfId="1" text="" percent="0" bottom="0">
      <formula>0</formula>
    </cfRule>
  </conditionalFormatting>
  <conditionalFormatting sqref="E923">
    <cfRule type="cellIs" rank="0" priority="1836" equalAverage="0" operator="greaterThan" aboveAverage="0" dxfId="0" text="" percent="0" bottom="0">
      <formula>0</formula>
    </cfRule>
    <cfRule type="cellIs" rank="0" priority="1837" equalAverage="0" operator="lessThan" aboveAverage="0" dxfId="1" text="" percent="0" bottom="0">
      <formula>0</formula>
    </cfRule>
  </conditionalFormatting>
  <conditionalFormatting sqref="E924">
    <cfRule type="cellIs" rank="0" priority="1838" equalAverage="0" operator="greaterThan" aboveAverage="0" dxfId="0" text="" percent="0" bottom="0">
      <formula>0</formula>
    </cfRule>
    <cfRule type="cellIs" rank="0" priority="1839" equalAverage="0" operator="lessThan" aboveAverage="0" dxfId="1" text="" percent="0" bottom="0">
      <formula>0</formula>
    </cfRule>
  </conditionalFormatting>
  <conditionalFormatting sqref="E925">
    <cfRule type="cellIs" rank="0" priority="1840" equalAverage="0" operator="greaterThan" aboveAverage="0" dxfId="0" text="" percent="0" bottom="0">
      <formula>0</formula>
    </cfRule>
    <cfRule type="cellIs" rank="0" priority="1841" equalAverage="0" operator="lessThan" aboveAverage="0" dxfId="1" text="" percent="0" bottom="0">
      <formula>0</formula>
    </cfRule>
  </conditionalFormatting>
  <conditionalFormatting sqref="E926">
    <cfRule type="cellIs" rank="0" priority="1842" equalAverage="0" operator="greaterThan" aboveAverage="0" dxfId="0" text="" percent="0" bottom="0">
      <formula>0</formula>
    </cfRule>
    <cfRule type="cellIs" rank="0" priority="1843" equalAverage="0" operator="lessThan" aboveAverage="0" dxfId="1" text="" percent="0" bottom="0">
      <formula>0</formula>
    </cfRule>
  </conditionalFormatting>
  <conditionalFormatting sqref="E927">
    <cfRule type="cellIs" rank="0" priority="1844" equalAverage="0" operator="greaterThan" aboveAverage="0" dxfId="0" text="" percent="0" bottom="0">
      <formula>0</formula>
    </cfRule>
    <cfRule type="cellIs" rank="0" priority="1845" equalAverage="0" operator="lessThan" aboveAverage="0" dxfId="1" text="" percent="0" bottom="0">
      <formula>0</formula>
    </cfRule>
  </conditionalFormatting>
  <conditionalFormatting sqref="E928">
    <cfRule type="cellIs" rank="0" priority="1846" equalAverage="0" operator="greaterThan" aboveAverage="0" dxfId="0" text="" percent="0" bottom="0">
      <formula>0</formula>
    </cfRule>
    <cfRule type="cellIs" rank="0" priority="1847" equalAverage="0" operator="lessThan" aboveAverage="0" dxfId="1" text="" percent="0" bottom="0">
      <formula>0</formula>
    </cfRule>
  </conditionalFormatting>
  <conditionalFormatting sqref="E929">
    <cfRule type="cellIs" rank="0" priority="1848" equalAverage="0" operator="greaterThan" aboveAverage="0" dxfId="0" text="" percent="0" bottom="0">
      <formula>0</formula>
    </cfRule>
    <cfRule type="cellIs" rank="0" priority="1849" equalAverage="0" operator="lessThan" aboveAverage="0" dxfId="1" text="" percent="0" bottom="0">
      <formula>0</formula>
    </cfRule>
  </conditionalFormatting>
  <conditionalFormatting sqref="E930">
    <cfRule type="cellIs" rank="0" priority="1850" equalAverage="0" operator="greaterThan" aboveAverage="0" dxfId="0" text="" percent="0" bottom="0">
      <formula>0</formula>
    </cfRule>
    <cfRule type="cellIs" rank="0" priority="1851" equalAverage="0" operator="lessThan" aboveAverage="0" dxfId="1" text="" percent="0" bottom="0">
      <formula>0</formula>
    </cfRule>
  </conditionalFormatting>
  <conditionalFormatting sqref="E931">
    <cfRule type="cellIs" rank="0" priority="1852" equalAverage="0" operator="greaterThan" aboveAverage="0" dxfId="0" text="" percent="0" bottom="0">
      <formula>0</formula>
    </cfRule>
    <cfRule type="cellIs" rank="0" priority="1853" equalAverage="0" operator="lessThan" aboveAverage="0" dxfId="1" text="" percent="0" bottom="0">
      <formula>0</formula>
    </cfRule>
  </conditionalFormatting>
  <conditionalFormatting sqref="E932">
    <cfRule type="cellIs" rank="0" priority="1854" equalAverage="0" operator="greaterThan" aboveAverage="0" dxfId="0" text="" percent="0" bottom="0">
      <formula>0</formula>
    </cfRule>
    <cfRule type="cellIs" rank="0" priority="1855" equalAverage="0" operator="lessThan" aboveAverage="0" dxfId="1" text="" percent="0" bottom="0">
      <formula>0</formula>
    </cfRule>
  </conditionalFormatting>
  <conditionalFormatting sqref="E933">
    <cfRule type="cellIs" rank="0" priority="1856" equalAverage="0" operator="greaterThan" aboveAverage="0" dxfId="0" text="" percent="0" bottom="0">
      <formula>0</formula>
    </cfRule>
    <cfRule type="cellIs" rank="0" priority="1857" equalAverage="0" operator="lessThan" aboveAverage="0" dxfId="1" text="" percent="0" bottom="0">
      <formula>0</formula>
    </cfRule>
  </conditionalFormatting>
  <conditionalFormatting sqref="E934">
    <cfRule type="cellIs" rank="0" priority="1858" equalAverage="0" operator="greaterThan" aboveAverage="0" dxfId="0" text="" percent="0" bottom="0">
      <formula>0</formula>
    </cfRule>
    <cfRule type="cellIs" rank="0" priority="1859" equalAverage="0" operator="lessThan" aboveAverage="0" dxfId="1" text="" percent="0" bottom="0">
      <formula>0</formula>
    </cfRule>
  </conditionalFormatting>
  <conditionalFormatting sqref="E935">
    <cfRule type="cellIs" rank="0" priority="1860" equalAverage="0" operator="greaterThan" aboveAverage="0" dxfId="0" text="" percent="0" bottom="0">
      <formula>0</formula>
    </cfRule>
    <cfRule type="cellIs" rank="0" priority="1861" equalAverage="0" operator="lessThan" aboveAverage="0" dxfId="1" text="" percent="0" bottom="0">
      <formula>0</formula>
    </cfRule>
  </conditionalFormatting>
  <conditionalFormatting sqref="E936">
    <cfRule type="cellIs" rank="0" priority="1862" equalAverage="0" operator="greaterThan" aboveAverage="0" dxfId="0" text="" percent="0" bottom="0">
      <formula>0</formula>
    </cfRule>
    <cfRule type="cellIs" rank="0" priority="1863" equalAverage="0" operator="lessThan" aboveAverage="0" dxfId="1" text="" percent="0" bottom="0">
      <formula>0</formula>
    </cfRule>
  </conditionalFormatting>
  <conditionalFormatting sqref="E937">
    <cfRule type="cellIs" rank="0" priority="1864" equalAverage="0" operator="greaterThan" aboveAverage="0" dxfId="0" text="" percent="0" bottom="0">
      <formula>0</formula>
    </cfRule>
    <cfRule type="cellIs" rank="0" priority="1865" equalAverage="0" operator="lessThan" aboveAverage="0" dxfId="1" text="" percent="0" bottom="0">
      <formula>0</formula>
    </cfRule>
  </conditionalFormatting>
  <conditionalFormatting sqref="E938">
    <cfRule type="cellIs" rank="0" priority="1866" equalAverage="0" operator="greaterThan" aboveAverage="0" dxfId="0" text="" percent="0" bottom="0">
      <formula>0</formula>
    </cfRule>
    <cfRule type="cellIs" rank="0" priority="1867" equalAverage="0" operator="lessThan" aboveAverage="0" dxfId="1" text="" percent="0" bottom="0">
      <formula>0</formula>
    </cfRule>
  </conditionalFormatting>
  <conditionalFormatting sqref="E939">
    <cfRule type="cellIs" rank="0" priority="1868" equalAverage="0" operator="greaterThan" aboveAverage="0" dxfId="0" text="" percent="0" bottom="0">
      <formula>0</formula>
    </cfRule>
    <cfRule type="cellIs" rank="0" priority="1869" equalAverage="0" operator="lessThan" aboveAverage="0" dxfId="1" text="" percent="0" bottom="0">
      <formula>0</formula>
    </cfRule>
  </conditionalFormatting>
  <conditionalFormatting sqref="E940">
    <cfRule type="cellIs" rank="0" priority="1870" equalAverage="0" operator="greaterThan" aboveAverage="0" dxfId="0" text="" percent="0" bottom="0">
      <formula>0</formula>
    </cfRule>
    <cfRule type="cellIs" rank="0" priority="1871" equalAverage="0" operator="lessThan" aboveAverage="0" dxfId="1" text="" percent="0" bottom="0">
      <formula>0</formula>
    </cfRule>
  </conditionalFormatting>
  <conditionalFormatting sqref="E941">
    <cfRule type="cellIs" rank="0" priority="1872" equalAverage="0" operator="greaterThan" aboveAverage="0" dxfId="0" text="" percent="0" bottom="0">
      <formula>0</formula>
    </cfRule>
    <cfRule type="cellIs" rank="0" priority="1873" equalAverage="0" operator="lessThan" aboveAverage="0" dxfId="1" text="" percent="0" bottom="0">
      <formula>0</formula>
    </cfRule>
  </conditionalFormatting>
  <conditionalFormatting sqref="E942">
    <cfRule type="cellIs" rank="0" priority="1874" equalAverage="0" operator="greaterThan" aboveAverage="0" dxfId="0" text="" percent="0" bottom="0">
      <formula>0</formula>
    </cfRule>
    <cfRule type="cellIs" rank="0" priority="1875" equalAverage="0" operator="lessThan" aboveAverage="0" dxfId="1" text="" percent="0" bottom="0">
      <formula>0</formula>
    </cfRule>
  </conditionalFormatting>
  <conditionalFormatting sqref="E943">
    <cfRule type="cellIs" rank="0" priority="1876" equalAverage="0" operator="greaterThan" aboveAverage="0" dxfId="0" text="" percent="0" bottom="0">
      <formula>0</formula>
    </cfRule>
    <cfRule type="cellIs" rank="0" priority="1877" equalAverage="0" operator="lessThan" aboveAverage="0" dxfId="1" text="" percent="0" bottom="0">
      <formula>0</formula>
    </cfRule>
  </conditionalFormatting>
  <conditionalFormatting sqref="E944">
    <cfRule type="cellIs" rank="0" priority="1878" equalAverage="0" operator="greaterThan" aboveAverage="0" dxfId="0" text="" percent="0" bottom="0">
      <formula>0</formula>
    </cfRule>
    <cfRule type="cellIs" rank="0" priority="1879" equalAverage="0" operator="lessThan" aboveAverage="0" dxfId="1" text="" percent="0" bottom="0">
      <formula>0</formula>
    </cfRule>
  </conditionalFormatting>
  <conditionalFormatting sqref="E945">
    <cfRule type="cellIs" rank="0" priority="1880" equalAverage="0" operator="greaterThan" aboveAverage="0" dxfId="0" text="" percent="0" bottom="0">
      <formula>0</formula>
    </cfRule>
    <cfRule type="cellIs" rank="0" priority="1881" equalAverage="0" operator="lessThan" aboveAverage="0" dxfId="1" text="" percent="0" bottom="0">
      <formula>0</formula>
    </cfRule>
  </conditionalFormatting>
  <conditionalFormatting sqref="E946">
    <cfRule type="cellIs" rank="0" priority="1882" equalAverage="0" operator="greaterThan" aboveAverage="0" dxfId="0" text="" percent="0" bottom="0">
      <formula>0</formula>
    </cfRule>
    <cfRule type="cellIs" rank="0" priority="1883" equalAverage="0" operator="lessThan" aboveAverage="0" dxfId="1" text="" percent="0" bottom="0">
      <formula>0</formula>
    </cfRule>
  </conditionalFormatting>
  <conditionalFormatting sqref="E947">
    <cfRule type="cellIs" rank="0" priority="1884" equalAverage="0" operator="greaterThan" aboveAverage="0" dxfId="0" text="" percent="0" bottom="0">
      <formula>0</formula>
    </cfRule>
    <cfRule type="cellIs" rank="0" priority="1885" equalAverage="0" operator="lessThan" aboveAverage="0" dxfId="1" text="" percent="0" bottom="0">
      <formula>0</formula>
    </cfRule>
  </conditionalFormatting>
  <conditionalFormatting sqref="E948">
    <cfRule type="cellIs" rank="0" priority="1886" equalAverage="0" operator="greaterThan" aboveAverage="0" dxfId="0" text="" percent="0" bottom="0">
      <formula>0</formula>
    </cfRule>
    <cfRule type="cellIs" rank="0" priority="1887" equalAverage="0" operator="lessThan" aboveAverage="0" dxfId="1" text="" percent="0" bottom="0">
      <formula>0</formula>
    </cfRule>
  </conditionalFormatting>
  <conditionalFormatting sqref="E949">
    <cfRule type="cellIs" rank="0" priority="1888" equalAverage="0" operator="greaterThan" aboveAverage="0" dxfId="0" text="" percent="0" bottom="0">
      <formula>0</formula>
    </cfRule>
    <cfRule type="cellIs" rank="0" priority="1889" equalAverage="0" operator="lessThan" aboveAverage="0" dxfId="1" text="" percent="0" bottom="0">
      <formula>0</formula>
    </cfRule>
  </conditionalFormatting>
  <conditionalFormatting sqref="E950">
    <cfRule type="cellIs" rank="0" priority="1890" equalAverage="0" operator="greaterThan" aboveAverage="0" dxfId="0" text="" percent="0" bottom="0">
      <formula>0</formula>
    </cfRule>
    <cfRule type="cellIs" rank="0" priority="1891" equalAverage="0" operator="lessThan" aboveAverage="0" dxfId="1" text="" percent="0" bottom="0">
      <formula>0</formula>
    </cfRule>
  </conditionalFormatting>
  <conditionalFormatting sqref="E951">
    <cfRule type="cellIs" rank="0" priority="1892" equalAverage="0" operator="greaterThan" aboveAverage="0" dxfId="0" text="" percent="0" bottom="0">
      <formula>0</formula>
    </cfRule>
    <cfRule type="cellIs" rank="0" priority="1893" equalAverage="0" operator="lessThan" aboveAverage="0" dxfId="1" text="" percent="0" bottom="0">
      <formula>0</formula>
    </cfRule>
  </conditionalFormatting>
  <conditionalFormatting sqref="E952">
    <cfRule type="cellIs" rank="0" priority="1894" equalAverage="0" operator="greaterThan" aboveAverage="0" dxfId="0" text="" percent="0" bottom="0">
      <formula>0</formula>
    </cfRule>
    <cfRule type="cellIs" rank="0" priority="1895" equalAverage="0" operator="lessThan" aboveAverage="0" dxfId="1" text="" percent="0" bottom="0">
      <formula>0</formula>
    </cfRule>
  </conditionalFormatting>
  <conditionalFormatting sqref="E953">
    <cfRule type="cellIs" rank="0" priority="1896" equalAverage="0" operator="greaterThan" aboveAverage="0" dxfId="0" text="" percent="0" bottom="0">
      <formula>0</formula>
    </cfRule>
    <cfRule type="cellIs" rank="0" priority="1897" equalAverage="0" operator="lessThan" aboveAverage="0" dxfId="1" text="" percent="0" bottom="0">
      <formula>0</formula>
    </cfRule>
  </conditionalFormatting>
  <conditionalFormatting sqref="E954">
    <cfRule type="cellIs" rank="0" priority="1898" equalAverage="0" operator="greaterThan" aboveAverage="0" dxfId="0" text="" percent="0" bottom="0">
      <formula>0</formula>
    </cfRule>
    <cfRule type="cellIs" rank="0" priority="1899" equalAverage="0" operator="lessThan" aboveAverage="0" dxfId="1" text="" percent="0" bottom="0">
      <formula>0</formula>
    </cfRule>
  </conditionalFormatting>
  <conditionalFormatting sqref="E955">
    <cfRule type="cellIs" rank="0" priority="1900" equalAverage="0" operator="greaterThan" aboveAverage="0" dxfId="0" text="" percent="0" bottom="0">
      <formula>0</formula>
    </cfRule>
    <cfRule type="cellIs" rank="0" priority="1901" equalAverage="0" operator="lessThan" aboveAverage="0" dxfId="1" text="" percent="0" bottom="0">
      <formula>0</formula>
    </cfRule>
  </conditionalFormatting>
  <conditionalFormatting sqref="E956">
    <cfRule type="cellIs" rank="0" priority="1902" equalAverage="0" operator="greaterThan" aboveAverage="0" dxfId="0" text="" percent="0" bottom="0">
      <formula>0</formula>
    </cfRule>
    <cfRule type="cellIs" rank="0" priority="1903" equalAverage="0" operator="lessThan" aboveAverage="0" dxfId="1" text="" percent="0" bottom="0">
      <formula>0</formula>
    </cfRule>
  </conditionalFormatting>
  <conditionalFormatting sqref="E957">
    <cfRule type="cellIs" rank="0" priority="1904" equalAverage="0" operator="greaterThan" aboveAverage="0" dxfId="0" text="" percent="0" bottom="0">
      <formula>0</formula>
    </cfRule>
    <cfRule type="cellIs" rank="0" priority="1905" equalAverage="0" operator="lessThan" aboveAverage="0" dxfId="1" text="" percent="0" bottom="0">
      <formula>0</formula>
    </cfRule>
  </conditionalFormatting>
  <conditionalFormatting sqref="E958">
    <cfRule type="cellIs" rank="0" priority="1906" equalAverage="0" operator="greaterThan" aboveAverage="0" dxfId="0" text="" percent="0" bottom="0">
      <formula>0</formula>
    </cfRule>
    <cfRule type="cellIs" rank="0" priority="1907" equalAverage="0" operator="lessThan" aboveAverage="0" dxfId="1" text="" percent="0" bottom="0">
      <formula>0</formula>
    </cfRule>
  </conditionalFormatting>
  <conditionalFormatting sqref="E959">
    <cfRule type="cellIs" rank="0" priority="1908" equalAverage="0" operator="greaterThan" aboveAverage="0" dxfId="0" text="" percent="0" bottom="0">
      <formula>0</formula>
    </cfRule>
    <cfRule type="cellIs" rank="0" priority="1909" equalAverage="0" operator="lessThan" aboveAverage="0" dxfId="1" text="" percent="0" bottom="0">
      <formula>0</formula>
    </cfRule>
  </conditionalFormatting>
  <conditionalFormatting sqref="E960">
    <cfRule type="cellIs" rank="0" priority="1910" equalAverage="0" operator="greaterThan" aboveAverage="0" dxfId="0" text="" percent="0" bottom="0">
      <formula>0</formula>
    </cfRule>
    <cfRule type="cellIs" rank="0" priority="1911" equalAverage="0" operator="lessThan" aboveAverage="0" dxfId="1" text="" percent="0" bottom="0">
      <formula>0</formula>
    </cfRule>
  </conditionalFormatting>
  <conditionalFormatting sqref="E961">
    <cfRule type="cellIs" rank="0" priority="1912" equalAverage="0" operator="greaterThan" aboveAverage="0" dxfId="0" text="" percent="0" bottom="0">
      <formula>0</formula>
    </cfRule>
    <cfRule type="cellIs" rank="0" priority="1913" equalAverage="0" operator="lessThan" aboveAverage="0" dxfId="1" text="" percent="0" bottom="0">
      <formula>0</formula>
    </cfRule>
  </conditionalFormatting>
  <conditionalFormatting sqref="E962">
    <cfRule type="cellIs" rank="0" priority="1914" equalAverage="0" operator="greaterThan" aboveAverage="0" dxfId="0" text="" percent="0" bottom="0">
      <formula>0</formula>
    </cfRule>
    <cfRule type="cellIs" rank="0" priority="1915" equalAverage="0" operator="lessThan" aboveAverage="0" dxfId="1" text="" percent="0" bottom="0">
      <formula>0</formula>
    </cfRule>
  </conditionalFormatting>
  <conditionalFormatting sqref="E963">
    <cfRule type="cellIs" rank="0" priority="1916" equalAverage="0" operator="greaterThan" aboveAverage="0" dxfId="0" text="" percent="0" bottom="0">
      <formula>0</formula>
    </cfRule>
    <cfRule type="cellIs" rank="0" priority="1917" equalAverage="0" operator="lessThan" aboveAverage="0" dxfId="1" text="" percent="0" bottom="0">
      <formula>0</formula>
    </cfRule>
  </conditionalFormatting>
  <conditionalFormatting sqref="E964">
    <cfRule type="cellIs" rank="0" priority="1918" equalAverage="0" operator="greaterThan" aboveAverage="0" dxfId="0" text="" percent="0" bottom="0">
      <formula>0</formula>
    </cfRule>
    <cfRule type="cellIs" rank="0" priority="1919" equalAverage="0" operator="lessThan" aboveAverage="0" dxfId="1" text="" percent="0" bottom="0">
      <formula>0</formula>
    </cfRule>
  </conditionalFormatting>
  <conditionalFormatting sqref="E965">
    <cfRule type="cellIs" rank="0" priority="1920" equalAverage="0" operator="greaterThan" aboveAverage="0" dxfId="0" text="" percent="0" bottom="0">
      <formula>0</formula>
    </cfRule>
    <cfRule type="cellIs" rank="0" priority="1921" equalAverage="0" operator="lessThan" aboveAverage="0" dxfId="1" text="" percent="0" bottom="0">
      <formula>0</formula>
    </cfRule>
  </conditionalFormatting>
  <conditionalFormatting sqref="E966">
    <cfRule type="cellIs" rank="0" priority="1922" equalAverage="0" operator="greaterThan" aboveAverage="0" dxfId="0" text="" percent="0" bottom="0">
      <formula>0</formula>
    </cfRule>
    <cfRule type="cellIs" rank="0" priority="1923" equalAverage="0" operator="lessThan" aboveAverage="0" dxfId="1" text="" percent="0" bottom="0">
      <formula>0</formula>
    </cfRule>
  </conditionalFormatting>
  <conditionalFormatting sqref="E967">
    <cfRule type="cellIs" rank="0" priority="1924" equalAverage="0" operator="greaterThan" aboveAverage="0" dxfId="0" text="" percent="0" bottom="0">
      <formula>0</formula>
    </cfRule>
    <cfRule type="cellIs" rank="0" priority="1925" equalAverage="0" operator="lessThan" aboveAverage="0" dxfId="1" text="" percent="0" bottom="0">
      <formula>0</formula>
    </cfRule>
  </conditionalFormatting>
  <conditionalFormatting sqref="E968">
    <cfRule type="cellIs" rank="0" priority="1926" equalAverage="0" operator="greaterThan" aboveAverage="0" dxfId="0" text="" percent="0" bottom="0">
      <formula>0</formula>
    </cfRule>
    <cfRule type="cellIs" rank="0" priority="1927" equalAverage="0" operator="lessThan" aboveAverage="0" dxfId="1" text="" percent="0" bottom="0">
      <formula>0</formula>
    </cfRule>
  </conditionalFormatting>
  <conditionalFormatting sqref="E969">
    <cfRule type="cellIs" rank="0" priority="1928" equalAverage="0" operator="greaterThan" aboveAverage="0" dxfId="0" text="" percent="0" bottom="0">
      <formula>0</formula>
    </cfRule>
    <cfRule type="cellIs" rank="0" priority="1929" equalAverage="0" operator="lessThan" aboveAverage="0" dxfId="1" text="" percent="0" bottom="0">
      <formula>0</formula>
    </cfRule>
  </conditionalFormatting>
  <conditionalFormatting sqref="E970">
    <cfRule type="cellIs" rank="0" priority="1930" equalAverage="0" operator="greaterThan" aboveAverage="0" dxfId="0" text="" percent="0" bottom="0">
      <formula>0</formula>
    </cfRule>
    <cfRule type="cellIs" rank="0" priority="1931" equalAverage="0" operator="lessThan" aboveAverage="0" dxfId="1" text="" percent="0" bottom="0">
      <formula>0</formula>
    </cfRule>
  </conditionalFormatting>
  <conditionalFormatting sqref="E971">
    <cfRule type="cellIs" rank="0" priority="1932" equalAverage="0" operator="greaterThan" aboveAverage="0" dxfId="0" text="" percent="0" bottom="0">
      <formula>0</formula>
    </cfRule>
    <cfRule type="cellIs" rank="0" priority="1933" equalAverage="0" operator="lessThan" aboveAverage="0" dxfId="1" text="" percent="0" bottom="0">
      <formula>0</formula>
    </cfRule>
  </conditionalFormatting>
  <conditionalFormatting sqref="E972">
    <cfRule type="cellIs" rank="0" priority="1934" equalAverage="0" operator="greaterThan" aboveAverage="0" dxfId="0" text="" percent="0" bottom="0">
      <formula>0</formula>
    </cfRule>
    <cfRule type="cellIs" rank="0" priority="1935" equalAverage="0" operator="lessThan" aboveAverage="0" dxfId="1" text="" percent="0" bottom="0">
      <formula>0</formula>
    </cfRule>
  </conditionalFormatting>
  <conditionalFormatting sqref="E973">
    <cfRule type="cellIs" rank="0" priority="1936" equalAverage="0" operator="greaterThan" aboveAverage="0" dxfId="0" text="" percent="0" bottom="0">
      <formula>0</formula>
    </cfRule>
    <cfRule type="cellIs" rank="0" priority="1937" equalAverage="0" operator="lessThan" aboveAverage="0" dxfId="1" text="" percent="0" bottom="0">
      <formula>0</formula>
    </cfRule>
  </conditionalFormatting>
  <conditionalFormatting sqref="E974">
    <cfRule type="cellIs" rank="0" priority="1938" equalAverage="0" operator="greaterThan" aboveAverage="0" dxfId="0" text="" percent="0" bottom="0">
      <formula>0</formula>
    </cfRule>
    <cfRule type="cellIs" rank="0" priority="1939" equalAverage="0" operator="lessThan" aboveAverage="0" dxfId="1" text="" percent="0" bottom="0">
      <formula>0</formula>
    </cfRule>
  </conditionalFormatting>
  <conditionalFormatting sqref="E975">
    <cfRule type="cellIs" rank="0" priority="1940" equalAverage="0" operator="greaterThan" aboveAverage="0" dxfId="0" text="" percent="0" bottom="0">
      <formula>0</formula>
    </cfRule>
    <cfRule type="cellIs" rank="0" priority="1941" equalAverage="0" operator="lessThan" aboveAverage="0" dxfId="1" text="" percent="0" bottom="0">
      <formula>0</formula>
    </cfRule>
  </conditionalFormatting>
  <conditionalFormatting sqref="E976">
    <cfRule type="cellIs" rank="0" priority="1942" equalAverage="0" operator="greaterThan" aboveAverage="0" dxfId="0" text="" percent="0" bottom="0">
      <formula>0</formula>
    </cfRule>
    <cfRule type="cellIs" rank="0" priority="1943" equalAverage="0" operator="lessThan" aboveAverage="0" dxfId="1" text="" percent="0" bottom="0">
      <formula>0</formula>
    </cfRule>
  </conditionalFormatting>
  <conditionalFormatting sqref="E977">
    <cfRule type="cellIs" rank="0" priority="1944" equalAverage="0" operator="greaterThan" aboveAverage="0" dxfId="0" text="" percent="0" bottom="0">
      <formula>0</formula>
    </cfRule>
    <cfRule type="cellIs" rank="0" priority="1945" equalAverage="0" operator="lessThan" aboveAverage="0" dxfId="1" text="" percent="0" bottom="0">
      <formula>0</formula>
    </cfRule>
  </conditionalFormatting>
  <conditionalFormatting sqref="E978">
    <cfRule type="cellIs" rank="0" priority="1946" equalAverage="0" operator="greaterThan" aboveAverage="0" dxfId="0" text="" percent="0" bottom="0">
      <formula>0</formula>
    </cfRule>
    <cfRule type="cellIs" rank="0" priority="1947" equalAverage="0" operator="lessThan" aboveAverage="0" dxfId="1" text="" percent="0" bottom="0">
      <formula>0</formula>
    </cfRule>
  </conditionalFormatting>
  <conditionalFormatting sqref="E979">
    <cfRule type="cellIs" rank="0" priority="1948" equalAverage="0" operator="greaterThan" aboveAverage="0" dxfId="0" text="" percent="0" bottom="0">
      <formula>0</formula>
    </cfRule>
    <cfRule type="cellIs" rank="0" priority="1949" equalAverage="0" operator="lessThan" aboveAverage="0" dxfId="1" text="" percent="0" bottom="0">
      <formula>0</formula>
    </cfRule>
  </conditionalFormatting>
  <conditionalFormatting sqref="E980">
    <cfRule type="cellIs" rank="0" priority="1950" equalAverage="0" operator="greaterThan" aboveAverage="0" dxfId="0" text="" percent="0" bottom="0">
      <formula>0</formula>
    </cfRule>
    <cfRule type="cellIs" rank="0" priority="1951" equalAverage="0" operator="lessThan" aboveAverage="0" dxfId="1" text="" percent="0" bottom="0">
      <formula>0</formula>
    </cfRule>
  </conditionalFormatting>
  <conditionalFormatting sqref="E981">
    <cfRule type="cellIs" rank="0" priority="1952" equalAverage="0" operator="greaterThan" aboveAverage="0" dxfId="0" text="" percent="0" bottom="0">
      <formula>0</formula>
    </cfRule>
    <cfRule type="cellIs" rank="0" priority="1953" equalAverage="0" operator="lessThan" aboveAverage="0" dxfId="1" text="" percent="0" bottom="0">
      <formula>0</formula>
    </cfRule>
  </conditionalFormatting>
  <conditionalFormatting sqref="E982">
    <cfRule type="cellIs" rank="0" priority="1954" equalAverage="0" operator="greaterThan" aboveAverage="0" dxfId="0" text="" percent="0" bottom="0">
      <formula>0</formula>
    </cfRule>
    <cfRule type="cellIs" rank="0" priority="1955" equalAverage="0" operator="lessThan" aboveAverage="0" dxfId="1" text="" percent="0" bottom="0">
      <formula>0</formula>
    </cfRule>
  </conditionalFormatting>
  <conditionalFormatting sqref="E983">
    <cfRule type="cellIs" rank="0" priority="1956" equalAverage="0" operator="greaterThan" aboveAverage="0" dxfId="0" text="" percent="0" bottom="0">
      <formula>0</formula>
    </cfRule>
    <cfRule type="cellIs" rank="0" priority="1957" equalAverage="0" operator="lessThan" aboveAverage="0" dxfId="1" text="" percent="0" bottom="0">
      <formula>0</formula>
    </cfRule>
  </conditionalFormatting>
  <conditionalFormatting sqref="E984">
    <cfRule type="cellIs" rank="0" priority="1958" equalAverage="0" operator="greaterThan" aboveAverage="0" dxfId="0" text="" percent="0" bottom="0">
      <formula>0</formula>
    </cfRule>
    <cfRule type="cellIs" rank="0" priority="1959" equalAverage="0" operator="lessThan" aboveAverage="0" dxfId="1" text="" percent="0" bottom="0">
      <formula>0</formula>
    </cfRule>
  </conditionalFormatting>
  <conditionalFormatting sqref="E985">
    <cfRule type="cellIs" rank="0" priority="1960" equalAverage="0" operator="greaterThan" aboveAverage="0" dxfId="0" text="" percent="0" bottom="0">
      <formula>0</formula>
    </cfRule>
    <cfRule type="cellIs" rank="0" priority="1961" equalAverage="0" operator="lessThan" aboveAverage="0" dxfId="1" text="" percent="0" bottom="0">
      <formula>0</formula>
    </cfRule>
  </conditionalFormatting>
  <conditionalFormatting sqref="E986">
    <cfRule type="cellIs" rank="0" priority="1962" equalAverage="0" operator="greaterThan" aboveAverage="0" dxfId="0" text="" percent="0" bottom="0">
      <formula>0</formula>
    </cfRule>
    <cfRule type="cellIs" rank="0" priority="1963" equalAverage="0" operator="lessThan" aboveAverage="0" dxfId="1" text="" percent="0" bottom="0">
      <formula>0</formula>
    </cfRule>
  </conditionalFormatting>
  <conditionalFormatting sqref="E987">
    <cfRule type="cellIs" rank="0" priority="1964" equalAverage="0" operator="greaterThan" aboveAverage="0" dxfId="0" text="" percent="0" bottom="0">
      <formula>0</formula>
    </cfRule>
    <cfRule type="cellIs" rank="0" priority="1965" equalAverage="0" operator="lessThan" aboveAverage="0" dxfId="1" text="" percent="0" bottom="0">
      <formula>0</formula>
    </cfRule>
  </conditionalFormatting>
  <conditionalFormatting sqref="E988">
    <cfRule type="cellIs" rank="0" priority="1966" equalAverage="0" operator="greaterThan" aboveAverage="0" dxfId="0" text="" percent="0" bottom="0">
      <formula>0</formula>
    </cfRule>
    <cfRule type="cellIs" rank="0" priority="1967" equalAverage="0" operator="lessThan" aboveAverage="0" dxfId="1" text="" percent="0" bottom="0">
      <formula>0</formula>
    </cfRule>
  </conditionalFormatting>
  <conditionalFormatting sqref="E989">
    <cfRule type="cellIs" rank="0" priority="1968" equalAverage="0" operator="greaterThan" aboveAverage="0" dxfId="0" text="" percent="0" bottom="0">
      <formula>0</formula>
    </cfRule>
    <cfRule type="cellIs" rank="0" priority="1969" equalAverage="0" operator="lessThan" aboveAverage="0" dxfId="1" text="" percent="0" bottom="0">
      <formula>0</formula>
    </cfRule>
  </conditionalFormatting>
  <conditionalFormatting sqref="E990">
    <cfRule type="cellIs" rank="0" priority="1970" equalAverage="0" operator="greaterThan" aboveAverage="0" dxfId="0" text="" percent="0" bottom="0">
      <formula>0</formula>
    </cfRule>
    <cfRule type="cellIs" rank="0" priority="1971" equalAverage="0" operator="lessThan" aboveAverage="0" dxfId="1" text="" percent="0" bottom="0">
      <formula>0</formula>
    </cfRule>
  </conditionalFormatting>
  <conditionalFormatting sqref="E991">
    <cfRule type="cellIs" rank="0" priority="1972" equalAverage="0" operator="greaterThan" aboveAverage="0" dxfId="0" text="" percent="0" bottom="0">
      <formula>0</formula>
    </cfRule>
    <cfRule type="cellIs" rank="0" priority="1973" equalAverage="0" operator="lessThan" aboveAverage="0" dxfId="1" text="" percent="0" bottom="0">
      <formula>0</formula>
    </cfRule>
  </conditionalFormatting>
  <conditionalFormatting sqref="E992">
    <cfRule type="cellIs" rank="0" priority="1974" equalAverage="0" operator="greaterThan" aboveAverage="0" dxfId="0" text="" percent="0" bottom="0">
      <formula>0</formula>
    </cfRule>
    <cfRule type="cellIs" rank="0" priority="1975" equalAverage="0" operator="lessThan" aboveAverage="0" dxfId="1" text="" percent="0" bottom="0">
      <formula>0</formula>
    </cfRule>
  </conditionalFormatting>
  <conditionalFormatting sqref="E993">
    <cfRule type="cellIs" rank="0" priority="1976" equalAverage="0" operator="greaterThan" aboveAverage="0" dxfId="0" text="" percent="0" bottom="0">
      <formula>0</formula>
    </cfRule>
    <cfRule type="cellIs" rank="0" priority="1977" equalAverage="0" operator="lessThan" aboveAverage="0" dxfId="1" text="" percent="0" bottom="0">
      <formula>0</formula>
    </cfRule>
  </conditionalFormatting>
  <conditionalFormatting sqref="E994">
    <cfRule type="cellIs" rank="0" priority="1978" equalAverage="0" operator="greaterThan" aboveAverage="0" dxfId="0" text="" percent="0" bottom="0">
      <formula>0</formula>
    </cfRule>
    <cfRule type="cellIs" rank="0" priority="1979" equalAverage="0" operator="lessThan" aboveAverage="0" dxfId="1" text="" percent="0" bottom="0">
      <formula>0</formula>
    </cfRule>
  </conditionalFormatting>
  <conditionalFormatting sqref="E995">
    <cfRule type="cellIs" rank="0" priority="1980" equalAverage="0" operator="greaterThan" aboveAverage="0" dxfId="0" text="" percent="0" bottom="0">
      <formula>0</formula>
    </cfRule>
    <cfRule type="cellIs" rank="0" priority="1981" equalAverage="0" operator="lessThan" aboveAverage="0" dxfId="1" text="" percent="0" bottom="0">
      <formula>0</formula>
    </cfRule>
  </conditionalFormatting>
  <conditionalFormatting sqref="E996">
    <cfRule type="cellIs" rank="0" priority="1982" equalAverage="0" operator="greaterThan" aboveAverage="0" dxfId="0" text="" percent="0" bottom="0">
      <formula>0</formula>
    </cfRule>
    <cfRule type="cellIs" rank="0" priority="1983" equalAverage="0" operator="lessThan" aboveAverage="0" dxfId="1" text="" percent="0" bottom="0">
      <formula>0</formula>
    </cfRule>
  </conditionalFormatting>
  <conditionalFormatting sqref="E997">
    <cfRule type="cellIs" rank="0" priority="1984" equalAverage="0" operator="greaterThan" aboveAverage="0" dxfId="0" text="" percent="0" bottom="0">
      <formula>0</formula>
    </cfRule>
    <cfRule type="cellIs" rank="0" priority="1985" equalAverage="0" operator="lessThan" aboveAverage="0" dxfId="1" text="" percent="0" bottom="0">
      <formula>0</formula>
    </cfRule>
  </conditionalFormatting>
  <conditionalFormatting sqref="E998">
    <cfRule type="cellIs" rank="0" priority="1986" equalAverage="0" operator="greaterThan" aboveAverage="0" dxfId="0" text="" percent="0" bottom="0">
      <formula>0</formula>
    </cfRule>
    <cfRule type="cellIs" rank="0" priority="1987" equalAverage="0" operator="lessThan" aboveAverage="0" dxfId="1" text="" percent="0" bottom="0">
      <formula>0</formula>
    </cfRule>
  </conditionalFormatting>
  <conditionalFormatting sqref="E999">
    <cfRule type="cellIs" rank="0" priority="1988" equalAverage="0" operator="greaterThan" aboveAverage="0" dxfId="0" text="" percent="0" bottom="0">
      <formula>0</formula>
    </cfRule>
    <cfRule type="cellIs" rank="0" priority="1989" equalAverage="0" operator="lessThan" aboveAverage="0" dxfId="1" text="" percent="0" bottom="0">
      <formula>0</formula>
    </cfRule>
  </conditionalFormatting>
  <conditionalFormatting sqref="E1000">
    <cfRule type="cellIs" rank="0" priority="1990" equalAverage="0" operator="greaterThan" aboveAverage="0" dxfId="0" text="" percent="0" bottom="0">
      <formula>0</formula>
    </cfRule>
    <cfRule type="cellIs" rank="0" priority="1991" equalAverage="0" operator="lessThan" aboveAverage="0" dxfId="1" text="" percent="0" bottom="0">
      <formula>0</formula>
    </cfRule>
  </conditionalFormatting>
  <conditionalFormatting sqref="E1001">
    <cfRule type="cellIs" rank="0" priority="1992" equalAverage="0" operator="greaterThan" aboveAverage="0" dxfId="0" text="" percent="0" bottom="0">
      <formula>0</formula>
    </cfRule>
    <cfRule type="cellIs" rank="0" priority="1993" equalAverage="0" operator="lessThan" aboveAverage="0" dxfId="1" text="" percent="0" bottom="0">
      <formula>0</formula>
    </cfRule>
  </conditionalFormatting>
  <conditionalFormatting sqref="E1002">
    <cfRule type="cellIs" rank="0" priority="1994" equalAverage="0" operator="greaterThan" aboveAverage="0" dxfId="0" text="" percent="0" bottom="0">
      <formula>0</formula>
    </cfRule>
    <cfRule type="cellIs" rank="0" priority="1995" equalAverage="0" operator="lessThan" aboveAverage="0" dxfId="1" text="" percent="0" bottom="0">
      <formula>0</formula>
    </cfRule>
  </conditionalFormatting>
  <conditionalFormatting sqref="E1003">
    <cfRule type="cellIs" rank="0" priority="1996" equalAverage="0" operator="greaterThan" aboveAverage="0" dxfId="0" text="" percent="0" bottom="0">
      <formula>0</formula>
    </cfRule>
    <cfRule type="cellIs" rank="0" priority="1997" equalAverage="0" operator="lessThan" aboveAverage="0" dxfId="1" text="" percent="0" bottom="0">
      <formula>0</formula>
    </cfRule>
  </conditionalFormatting>
  <dataValidations count="2">
    <dataValidation sqref="B6:B1004" showDropDown="0" showInputMessage="1" showErrorMessage="1" allowBlank="1" errorTitle="Geçersiz oran" error="Ağırlık 0 ile 1 arasında olmalı." promptTitle="Ağırlık" prompt="Bu endeksin fiyat farkı formülündeki ağırlığı." type="decimal" errorStyle="stop" operator="between">
      <formula1>0.01</formula1>
      <formula2>1</formula2>
    </dataValidation>
    <dataValidation sqref="C6:D1004" showDropDown="0" showInputMessage="1" showErrorMessage="1" allowBlank="1" errorTitle="Geçersiz endeks" error="Endeks 1'den büyük olmalı." promptTitle="Endeks Değeri" prompt="TÜİK/ilgili endeks değeri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.5" customWidth="1" style="109" min="1" max="1"/>
    <col width="20" customWidth="1" style="109" min="2" max="2"/>
    <col width="22.5" customWidth="1" style="109" min="3" max="3"/>
    <col width="23.5" customWidth="1" style="109" min="4" max="4"/>
    <col width="25.5" customWidth="1" style="109" min="5" max="5"/>
    <col width="17.5" customWidth="1" style="109" min="6" max="6"/>
    <col width="18" customWidth="1" style="109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HAKEDIS DONEMLERI — HAKEDİŞ FİYAT FARKI VE HAK KAYBI CETVELİ</t>
        </is>
      </c>
    </row>
    <row r="2"/>
    <row r="3" ht="22" customHeight="1" s="83">
      <c r="A3" s="315" t="inlineStr">
        <is>
          <t>Hakediş Dönemleri ve Ödemeler</t>
        </is>
      </c>
    </row>
    <row r="4"/>
    <row r="5" ht="30" customHeight="1" s="83">
      <c r="A5" s="129" t="inlineStr">
        <is>
          <t>Dönem Numarası</t>
        </is>
      </c>
      <c r="B5" s="129" t="inlineStr">
        <is>
          <t>Dönem Adı</t>
        </is>
      </c>
      <c r="C5" s="129" t="inlineStr">
        <is>
          <t>Hakediş Tutarı (₺)</t>
        </is>
      </c>
      <c r="D5" s="129" t="inlineStr">
        <is>
          <t>Ödeme Tarihi</t>
        </is>
      </c>
      <c r="E5" s="129" t="inlineStr">
        <is>
          <t>Birikimli Hakediş (₺)</t>
        </is>
      </c>
      <c r="F5" s="129" t="inlineStr">
        <is>
          <t>Geç Ödeme Gün</t>
        </is>
      </c>
      <c r="G5" s="129" t="inlineStr">
        <is>
          <t>Hak Kaybı (₺)</t>
        </is>
      </c>
    </row>
    <row r="6" ht="15" customHeight="1" s="83">
      <c r="A6" s="131" t="n">
        <v>1</v>
      </c>
      <c r="B6" s="141" t="inlineStr">
        <is>
          <t>1. Hakediş</t>
        </is>
      </c>
      <c r="C6" s="132" t="n">
        <v>2500000</v>
      </c>
      <c r="D6" s="141" t="n">
        <v>46122</v>
      </c>
      <c r="E6" s="134">
        <f>IF(OR($A6="",$C6=""),"",SUM($C$6:$C6))</f>
        <v/>
      </c>
      <c r="F6" s="142">
        <f>IF(OR($D6="",$C6=""),"",MAX(0,$D6-raporTarihi))</f>
        <v/>
      </c>
      <c r="G6" s="134">
        <f>IF(OR($C6="",$E6=""),"",$C6*KayipOraniEsik)</f>
        <v/>
      </c>
    </row>
    <row r="7" ht="15" customHeight="1" s="83">
      <c r="A7" s="131" t="n">
        <v>2</v>
      </c>
      <c r="B7" s="141" t="inlineStr">
        <is>
          <t>2. Hakediş</t>
        </is>
      </c>
      <c r="C7" s="132" t="n">
        <v>2800000</v>
      </c>
      <c r="D7" s="141" t="n">
        <v>46208</v>
      </c>
      <c r="E7" s="134">
        <f>IF(OR($A7="",$C7=""),"",SUM($C$6:$C7))</f>
        <v/>
      </c>
      <c r="F7" s="142">
        <f>IF(OR($D7="",$C7=""),"",MAX(0,$D7-raporTarihi))</f>
        <v/>
      </c>
      <c r="G7" s="134">
        <f>IF(OR($C7="",$E7=""),"",$C7*KayipOraniEsik)</f>
        <v/>
      </c>
    </row>
    <row r="8" ht="15" customHeight="1" s="83">
      <c r="A8" s="131" t="n">
        <v>3</v>
      </c>
      <c r="B8" s="141" t="inlineStr">
        <is>
          <t>3. Hakediş</t>
        </is>
      </c>
      <c r="C8" s="132" t="n">
        <v>2700000</v>
      </c>
      <c r="D8" s="141" t="n">
        <v>46307</v>
      </c>
      <c r="E8" s="134">
        <f>IF(OR($A8="",$C8=""),"",SUM($C$6:$C8))</f>
        <v/>
      </c>
      <c r="F8" s="142">
        <f>IF(OR($D8="",$C8=""),"",MAX(0,$D8-raporTarihi))</f>
        <v/>
      </c>
      <c r="G8" s="134">
        <f>IF(OR($C8="",$E8=""),"",$C8*KayipOraniEsik)</f>
        <v/>
      </c>
    </row>
    <row r="9" ht="15" customHeight="1" s="83">
      <c r="A9" s="131" t="n">
        <v>4</v>
      </c>
      <c r="B9" s="141" t="inlineStr">
        <is>
          <t>4. Hakediş</t>
        </is>
      </c>
      <c r="C9" s="132" t="n">
        <v>2100000</v>
      </c>
      <c r="D9" s="141" t="n">
        <v>46395</v>
      </c>
      <c r="E9" s="134">
        <f>IF(OR($A9="",$C9=""),"",SUM($C$6:$C9))</f>
        <v/>
      </c>
      <c r="F9" s="142">
        <f>IF(OR($D9="",$C9=""),"",MAX(0,$D9-raporTarihi))</f>
        <v/>
      </c>
      <c r="G9" s="134">
        <f>IF(OR($C9="",$E9=""),"",$C9*KayipOraniEsik)</f>
        <v/>
      </c>
    </row>
    <row r="10" ht="15" customHeight="1" s="83">
      <c r="A10" s="131" t="n">
        <v>5</v>
      </c>
      <c r="B10" s="141" t="inlineStr">
        <is>
          <t>5. Hakediş</t>
        </is>
      </c>
      <c r="C10" s="132" t="n">
        <v>2600000</v>
      </c>
      <c r="D10" s="141" t="n">
        <v>46492</v>
      </c>
      <c r="E10" s="134">
        <f>IF(OR($A10="",$C10=""),"",SUM($C$6:$C10))</f>
        <v/>
      </c>
      <c r="F10" s="142">
        <f>IF(OR($D10="",$C10=""),"",MAX(0,$D10-raporTarihi))</f>
        <v/>
      </c>
      <c r="G10" s="134">
        <f>IF(OR($C10="",$E10=""),"",$C10*KayipOraniEsik)</f>
        <v/>
      </c>
    </row>
    <row r="11" ht="15" customHeight="1" s="83">
      <c r="A11" s="131" t="n">
        <v>6</v>
      </c>
      <c r="B11" s="141" t="inlineStr">
        <is>
          <t>6. Hakediş</t>
        </is>
      </c>
      <c r="C11" s="132" t="n">
        <v>2400000</v>
      </c>
      <c r="D11" s="141" t="n">
        <v>46578</v>
      </c>
      <c r="E11" s="134">
        <f>IF(OR($A11="",$C11=""),"",SUM($C$6:$C11))</f>
        <v/>
      </c>
      <c r="F11" s="142">
        <f>IF(OR($D11="",$C11=""),"",MAX(0,$D11-raporTarihi))</f>
        <v/>
      </c>
      <c r="G11" s="134">
        <f>IF(OR($C11="",$E11=""),"",$C11*KayipOraniEsik)</f>
        <v/>
      </c>
    </row>
    <row r="12" ht="15" customHeight="1" s="83">
      <c r="A12" s="131" t="n">
        <v>7</v>
      </c>
      <c r="B12" s="141" t="inlineStr">
        <is>
          <t>7. Hakediş</t>
        </is>
      </c>
      <c r="C12" s="132" t="n">
        <v>1900000</v>
      </c>
      <c r="D12" s="141" t="n">
        <v>46672</v>
      </c>
      <c r="E12" s="134">
        <f>IF(OR($A12="",$C12=""),"",SUM($C$6:$C12))</f>
        <v/>
      </c>
      <c r="F12" s="142">
        <f>IF(OR($D12="",$C12=""),"",MAX(0,$D12-raporTarihi))</f>
        <v/>
      </c>
      <c r="G12" s="134">
        <f>IF(OR($C12="",$E12=""),"",$C12*KayipOraniEsik)</f>
        <v/>
      </c>
    </row>
    <row r="13" ht="15" customHeight="1" s="83">
      <c r="A13" s="131" t="n">
        <v>8</v>
      </c>
      <c r="B13" s="141" t="inlineStr">
        <is>
          <t>8. Hakediş</t>
        </is>
      </c>
      <c r="C13" s="132" t="n">
        <v>1500000</v>
      </c>
      <c r="D13" s="141" t="n">
        <v>46767</v>
      </c>
      <c r="E13" s="134">
        <f>IF(OR($A13="",$C13=""),"",SUM($C$6:$C13))</f>
        <v/>
      </c>
      <c r="F13" s="142">
        <f>IF(OR($D13="",$C13=""),"",MAX(0,$D13-raporTarihi))</f>
        <v/>
      </c>
      <c r="G13" s="134">
        <f>IF(OR($C13="",$E13=""),"",$C13*KayipOraniEsik)</f>
        <v/>
      </c>
    </row>
    <row r="14" ht="15" customHeight="1" s="83">
      <c r="A14" s="135" t="n"/>
      <c r="B14" s="143" t="n"/>
      <c r="C14" s="136" t="n"/>
      <c r="D14" s="143" t="n"/>
      <c r="E14" s="137" t="n"/>
      <c r="G14" s="137" t="n"/>
    </row>
    <row r="15" ht="15" customHeight="1" s="83">
      <c r="A15" s="135" t="n"/>
      <c r="B15" s="143" t="n"/>
      <c r="C15" s="136" t="n"/>
      <c r="D15" s="143" t="n"/>
      <c r="E15" s="137" t="n"/>
      <c r="G15" s="137" t="n"/>
    </row>
    <row r="16" ht="15" customHeight="1" s="83">
      <c r="A16" s="135" t="n"/>
      <c r="B16" s="143" t="n"/>
      <c r="C16" s="136" t="n"/>
      <c r="D16" s="143" t="n"/>
      <c r="E16" s="137" t="n"/>
      <c r="G16" s="137" t="n"/>
    </row>
    <row r="17" ht="15" customHeight="1" s="83">
      <c r="A17" s="135" t="n"/>
      <c r="B17" s="143" t="n"/>
      <c r="C17" s="136" t="n"/>
      <c r="D17" s="143" t="n"/>
      <c r="E17" s="137" t="n"/>
      <c r="G17" s="137" t="n"/>
    </row>
    <row r="18" ht="15" customHeight="1" s="83">
      <c r="A18" s="135" t="n"/>
      <c r="B18" s="143" t="n"/>
      <c r="C18" s="136" t="n"/>
      <c r="D18" s="143" t="n"/>
      <c r="E18" s="137" t="n"/>
      <c r="G18" s="137" t="n"/>
    </row>
    <row r="19" ht="15" customHeight="1" s="83">
      <c r="A19" s="135" t="n"/>
      <c r="B19" s="143" t="n"/>
      <c r="C19" s="136" t="n"/>
      <c r="D19" s="143" t="n"/>
      <c r="E19" s="137" t="n"/>
      <c r="G19" s="137" t="n"/>
    </row>
    <row r="20" ht="15" customHeight="1" s="83">
      <c r="A20" s="135" t="n"/>
      <c r="B20" s="143" t="n"/>
      <c r="C20" s="136" t="n"/>
      <c r="D20" s="143" t="n"/>
      <c r="E20" s="137" t="n"/>
      <c r="G20" s="137" t="n"/>
    </row>
    <row r="21" ht="15" customHeight="1" s="83">
      <c r="A21" s="135" t="n"/>
      <c r="B21" s="143" t="n"/>
      <c r="C21" s="136" t="n"/>
      <c r="D21" s="143" t="n"/>
      <c r="E21" s="137" t="n"/>
      <c r="G21" s="137" t="n"/>
    </row>
    <row r="22" ht="15" customHeight="1" s="83">
      <c r="A22" s="135" t="n"/>
      <c r="B22" s="143" t="n"/>
      <c r="C22" s="136" t="n"/>
      <c r="D22" s="143" t="n"/>
      <c r="E22" s="137" t="n"/>
      <c r="G22" s="137" t="n"/>
    </row>
    <row r="23" ht="15" customHeight="1" s="83">
      <c r="A23" s="135" t="n"/>
      <c r="B23" s="143" t="n"/>
      <c r="C23" s="136" t="n"/>
      <c r="D23" s="143" t="n"/>
      <c r="E23" s="137" t="n"/>
      <c r="G23" s="137" t="n"/>
    </row>
    <row r="24" ht="15" customHeight="1" s="83">
      <c r="A24" s="135" t="n"/>
      <c r="B24" s="143" t="n"/>
      <c r="C24" s="136" t="n"/>
      <c r="D24" s="143" t="n"/>
      <c r="E24" s="137" t="n"/>
      <c r="G24" s="137" t="n"/>
    </row>
    <row r="25" ht="15" customHeight="1" s="83">
      <c r="A25" s="135" t="n"/>
      <c r="B25" s="143" t="n"/>
      <c r="C25" s="136" t="n"/>
      <c r="D25" s="143" t="n"/>
      <c r="E25" s="137" t="n"/>
      <c r="G25" s="137" t="n"/>
    </row>
    <row r="26" ht="15" customHeight="1" s="83">
      <c r="A26" s="135" t="n"/>
      <c r="B26" s="143" t="n"/>
      <c r="C26" s="136" t="n"/>
      <c r="D26" s="143" t="n"/>
      <c r="E26" s="137" t="n"/>
      <c r="G26" s="137" t="n"/>
    </row>
    <row r="27" ht="15" customHeight="1" s="83">
      <c r="A27" s="135" t="n"/>
      <c r="B27" s="143" t="n"/>
      <c r="C27" s="136" t="n"/>
      <c r="D27" s="143" t="n"/>
      <c r="E27" s="137" t="n"/>
      <c r="G27" s="137" t="n"/>
    </row>
    <row r="28" ht="15" customHeight="1" s="83">
      <c r="A28" s="135" t="n"/>
      <c r="B28" s="143" t="n"/>
      <c r="C28" s="136" t="n"/>
      <c r="D28" s="143" t="n"/>
      <c r="E28" s="137" t="n"/>
      <c r="G28" s="137" t="n"/>
    </row>
    <row r="29" ht="15" customHeight="1" s="83">
      <c r="A29" s="135" t="n"/>
      <c r="B29" s="143" t="n"/>
      <c r="C29" s="136" t="n"/>
      <c r="D29" s="143" t="n"/>
      <c r="E29" s="137" t="n"/>
      <c r="G29" s="137" t="n"/>
    </row>
    <row r="30" ht="15" customHeight="1" s="83">
      <c r="A30" s="135" t="n"/>
      <c r="B30" s="143" t="n"/>
      <c r="C30" s="136" t="n"/>
      <c r="D30" s="143" t="n"/>
      <c r="E30" s="137" t="n"/>
      <c r="G30" s="137" t="n"/>
    </row>
    <row r="31" ht="15" customHeight="1" s="83">
      <c r="A31" s="135" t="n"/>
      <c r="B31" s="143" t="n"/>
      <c r="C31" s="136" t="n"/>
      <c r="D31" s="143" t="n"/>
      <c r="E31" s="137" t="n"/>
      <c r="G31" s="137" t="n"/>
    </row>
    <row r="32" ht="15" customHeight="1" s="83">
      <c r="A32" s="135" t="n"/>
      <c r="B32" s="143" t="n"/>
      <c r="C32" s="136" t="n"/>
      <c r="D32" s="143" t="n"/>
      <c r="E32" s="137" t="n"/>
      <c r="G32" s="137" t="n"/>
    </row>
    <row r="33" ht="15" customHeight="1" s="83">
      <c r="A33" s="135" t="n"/>
      <c r="B33" s="143" t="n"/>
      <c r="C33" s="136" t="n"/>
      <c r="D33" s="143" t="n"/>
      <c r="E33" s="137" t="n"/>
      <c r="G33" s="137" t="n"/>
    </row>
    <row r="34" ht="15" customHeight="1" s="83">
      <c r="A34" s="135" t="n"/>
      <c r="B34" s="143" t="n"/>
      <c r="C34" s="136" t="n"/>
      <c r="D34" s="143" t="n"/>
      <c r="E34" s="137" t="n"/>
      <c r="G34" s="137" t="n"/>
    </row>
    <row r="35" ht="15" customHeight="1" s="83">
      <c r="A35" s="135" t="n"/>
      <c r="B35" s="143" t="n"/>
      <c r="C35" s="136" t="n"/>
      <c r="D35" s="143" t="n"/>
      <c r="E35" s="137" t="n"/>
      <c r="G35" s="137" t="n"/>
    </row>
    <row r="36" ht="15" customHeight="1" s="83">
      <c r="A36" s="135" t="n"/>
      <c r="B36" s="143" t="n"/>
      <c r="C36" s="136" t="n"/>
      <c r="D36" s="143" t="n"/>
      <c r="E36" s="137" t="n"/>
      <c r="G36" s="137" t="n"/>
    </row>
    <row r="37" ht="15" customHeight="1" s="83">
      <c r="A37" s="135" t="n"/>
      <c r="B37" s="143" t="n"/>
      <c r="C37" s="136" t="n"/>
      <c r="D37" s="143" t="n"/>
      <c r="E37" s="137" t="n"/>
      <c r="G37" s="137" t="n"/>
    </row>
    <row r="38" ht="15" customHeight="1" s="83">
      <c r="A38" s="135" t="n"/>
      <c r="B38" s="143" t="n"/>
      <c r="C38" s="136" t="n"/>
      <c r="D38" s="143" t="n"/>
      <c r="E38" s="137" t="n"/>
      <c r="G38" s="137" t="n"/>
    </row>
    <row r="39" ht="15" customHeight="1" s="83">
      <c r="A39" s="135" t="n"/>
      <c r="B39" s="143" t="n"/>
      <c r="C39" s="136" t="n"/>
      <c r="D39" s="143" t="n"/>
      <c r="E39" s="137" t="n"/>
      <c r="G39" s="137" t="n"/>
    </row>
    <row r="40" ht="15" customHeight="1" s="83">
      <c r="A40" s="135" t="n"/>
      <c r="B40" s="143" t="n"/>
      <c r="C40" s="136" t="n"/>
      <c r="D40" s="143" t="n"/>
      <c r="E40" s="137" t="n"/>
      <c r="G40" s="137" t="n"/>
    </row>
    <row r="41" ht="15" customHeight="1" s="83">
      <c r="A41" s="135" t="n"/>
      <c r="B41" s="143" t="n"/>
      <c r="C41" s="136" t="n"/>
      <c r="D41" s="143" t="n"/>
      <c r="E41" s="137" t="n"/>
      <c r="G41" s="137" t="n"/>
    </row>
    <row r="42" ht="15" customHeight="1" s="83">
      <c r="A42" s="135" t="n"/>
      <c r="B42" s="143" t="n"/>
      <c r="C42" s="136" t="n"/>
      <c r="D42" s="143" t="n"/>
      <c r="E42" s="137" t="n"/>
      <c r="G42" s="137" t="n"/>
    </row>
    <row r="43" ht="15" customHeight="1" s="83">
      <c r="A43" s="135" t="n"/>
      <c r="B43" s="143" t="n"/>
      <c r="C43" s="136" t="n"/>
      <c r="D43" s="143" t="n"/>
      <c r="E43" s="137" t="n"/>
      <c r="G43" s="137" t="n"/>
    </row>
    <row r="44" ht="15" customHeight="1" s="83">
      <c r="A44" s="135" t="n"/>
      <c r="B44" s="143" t="n"/>
      <c r="C44" s="136" t="n"/>
      <c r="D44" s="143" t="n"/>
      <c r="E44" s="137" t="n"/>
      <c r="G44" s="137" t="n"/>
    </row>
    <row r="45" ht="15" customHeight="1" s="83">
      <c r="A45" s="135" t="n"/>
      <c r="B45" s="143" t="n"/>
      <c r="C45" s="136" t="n"/>
      <c r="D45" s="143" t="n"/>
      <c r="E45" s="137" t="n"/>
      <c r="G45" s="137" t="n"/>
    </row>
    <row r="46" ht="15" customHeight="1" s="83">
      <c r="A46" s="135" t="n"/>
      <c r="B46" s="143" t="n"/>
      <c r="C46" s="136" t="n"/>
      <c r="D46" s="143" t="n"/>
      <c r="E46" s="137" t="n"/>
      <c r="G46" s="137" t="n"/>
    </row>
    <row r="47" ht="15" customHeight="1" s="83">
      <c r="A47" s="135" t="n"/>
      <c r="B47" s="143" t="n"/>
      <c r="C47" s="136" t="n"/>
      <c r="D47" s="143" t="n"/>
      <c r="E47" s="137" t="n"/>
      <c r="G47" s="137" t="n"/>
    </row>
    <row r="48" ht="15" customHeight="1" s="83">
      <c r="A48" s="135" t="n"/>
      <c r="B48" s="143" t="n"/>
      <c r="C48" s="136" t="n"/>
      <c r="D48" s="143" t="n"/>
      <c r="E48" s="137" t="n"/>
      <c r="G48" s="137" t="n"/>
    </row>
    <row r="49" ht="15" customHeight="1" s="83">
      <c r="A49" s="135" t="n"/>
      <c r="B49" s="143" t="n"/>
      <c r="C49" s="136" t="n"/>
      <c r="D49" s="143" t="n"/>
      <c r="E49" s="137" t="n"/>
      <c r="G49" s="137" t="n"/>
    </row>
    <row r="50" ht="15" customHeight="1" s="83">
      <c r="A50" s="135" t="n"/>
      <c r="B50" s="143" t="n"/>
      <c r="C50" s="136" t="n"/>
      <c r="D50" s="143" t="n"/>
      <c r="E50" s="137" t="n"/>
      <c r="G50" s="137" t="n"/>
    </row>
    <row r="51" ht="15" customHeight="1" s="83">
      <c r="A51" s="135" t="n"/>
      <c r="B51" s="143" t="n"/>
      <c r="C51" s="136" t="n"/>
      <c r="D51" s="143" t="n"/>
      <c r="E51" s="137" t="n"/>
      <c r="G51" s="137" t="n"/>
    </row>
    <row r="52" ht="15" customHeight="1" s="83">
      <c r="A52" s="135" t="n"/>
      <c r="B52" s="143" t="n"/>
      <c r="C52" s="136" t="n"/>
      <c r="D52" s="143" t="n"/>
      <c r="E52" s="137" t="n"/>
      <c r="G52" s="137" t="n"/>
    </row>
    <row r="53" ht="15" customHeight="1" s="83">
      <c r="A53" s="135" t="n"/>
      <c r="B53" s="143" t="n"/>
      <c r="C53" s="136" t="n"/>
      <c r="D53" s="143" t="n"/>
      <c r="E53" s="137" t="n"/>
      <c r="G53" s="137" t="n"/>
    </row>
    <row r="54" ht="15" customHeight="1" s="83">
      <c r="A54" s="135" t="n"/>
      <c r="B54" s="143" t="n"/>
      <c r="C54" s="136" t="n"/>
      <c r="D54" s="143" t="n"/>
      <c r="E54" s="137" t="n"/>
      <c r="G54" s="137" t="n"/>
    </row>
    <row r="55" ht="15" customHeight="1" s="83">
      <c r="A55" s="135" t="n"/>
      <c r="B55" s="143" t="n"/>
      <c r="C55" s="136" t="n"/>
      <c r="D55" s="143" t="n"/>
      <c r="E55" s="137" t="n"/>
      <c r="G55" s="137" t="n"/>
    </row>
    <row r="56" ht="15" customHeight="1" s="83">
      <c r="A56" s="135" t="n"/>
      <c r="B56" s="143" t="n"/>
      <c r="C56" s="136" t="n"/>
      <c r="D56" s="143" t="n"/>
      <c r="E56" s="137" t="n"/>
      <c r="G56" s="137" t="n"/>
    </row>
    <row r="57" ht="15" customHeight="1" s="83">
      <c r="A57" s="135" t="n"/>
      <c r="B57" s="143" t="n"/>
      <c r="C57" s="136" t="n"/>
      <c r="D57" s="143" t="n"/>
      <c r="E57" s="137" t="n"/>
      <c r="G57" s="137" t="n"/>
    </row>
    <row r="58" ht="15" customHeight="1" s="83">
      <c r="A58" s="135" t="n"/>
      <c r="B58" s="143" t="n"/>
      <c r="C58" s="136" t="n"/>
      <c r="D58" s="143" t="n"/>
      <c r="E58" s="137" t="n"/>
      <c r="G58" s="137" t="n"/>
    </row>
    <row r="59" ht="15" customHeight="1" s="83">
      <c r="A59" s="135" t="n"/>
      <c r="B59" s="143" t="n"/>
      <c r="C59" s="136" t="n"/>
      <c r="D59" s="143" t="n"/>
      <c r="E59" s="137" t="n"/>
      <c r="G59" s="137" t="n"/>
    </row>
    <row r="60" ht="15" customHeight="1" s="83">
      <c r="A60" s="135" t="n"/>
      <c r="B60" s="143" t="n"/>
      <c r="C60" s="136" t="n"/>
      <c r="D60" s="143" t="n"/>
      <c r="E60" s="137" t="n"/>
      <c r="G60" s="137" t="n"/>
    </row>
    <row r="61" ht="15" customHeight="1" s="83">
      <c r="A61" s="135" t="n"/>
      <c r="B61" s="143" t="n"/>
      <c r="C61" s="136" t="n"/>
      <c r="D61" s="143" t="n"/>
      <c r="E61" s="137" t="n"/>
      <c r="G61" s="137" t="n"/>
    </row>
    <row r="62" ht="15" customHeight="1" s="83">
      <c r="A62" s="135" t="n"/>
      <c r="B62" s="143" t="n"/>
      <c r="C62" s="136" t="n"/>
      <c r="D62" s="143" t="n"/>
      <c r="E62" s="137" t="n"/>
      <c r="G62" s="137" t="n"/>
    </row>
    <row r="63" ht="15" customHeight="1" s="83">
      <c r="A63" s="135" t="n"/>
      <c r="B63" s="143" t="n"/>
      <c r="C63" s="136" t="n"/>
      <c r="D63" s="143" t="n"/>
      <c r="E63" s="137" t="n"/>
      <c r="G63" s="137" t="n"/>
    </row>
    <row r="64" ht="15" customHeight="1" s="83">
      <c r="A64" s="135" t="n"/>
      <c r="B64" s="143" t="n"/>
      <c r="C64" s="136" t="n"/>
      <c r="D64" s="143" t="n"/>
      <c r="E64" s="137" t="n"/>
      <c r="G64" s="137" t="n"/>
    </row>
    <row r="65" ht="15" customHeight="1" s="83">
      <c r="A65" s="135" t="n"/>
      <c r="B65" s="143" t="n"/>
      <c r="C65" s="136" t="n"/>
      <c r="D65" s="143" t="n"/>
      <c r="E65" s="137" t="n"/>
      <c r="G65" s="137" t="n"/>
    </row>
    <row r="66" ht="15" customHeight="1" s="83">
      <c r="A66" s="135" t="n"/>
      <c r="B66" s="143" t="n"/>
      <c r="C66" s="136" t="n"/>
      <c r="D66" s="143" t="n"/>
      <c r="E66" s="137" t="n"/>
      <c r="G66" s="137" t="n"/>
    </row>
    <row r="67" ht="15" customHeight="1" s="83">
      <c r="A67" s="135" t="n"/>
      <c r="B67" s="143" t="n"/>
      <c r="C67" s="136" t="n"/>
      <c r="D67" s="143" t="n"/>
      <c r="E67" s="137" t="n"/>
      <c r="G67" s="137" t="n"/>
    </row>
    <row r="68" ht="15" customHeight="1" s="83">
      <c r="A68" s="135" t="n"/>
      <c r="B68" s="143" t="n"/>
      <c r="C68" s="136" t="n"/>
      <c r="D68" s="143" t="n"/>
      <c r="E68" s="137" t="n"/>
      <c r="G68" s="137" t="n"/>
    </row>
    <row r="69" ht="15" customHeight="1" s="83">
      <c r="A69" s="135" t="n"/>
      <c r="B69" s="143" t="n"/>
      <c r="C69" s="136" t="n"/>
      <c r="D69" s="143" t="n"/>
      <c r="E69" s="137" t="n"/>
      <c r="G69" s="137" t="n"/>
    </row>
    <row r="70" ht="15" customHeight="1" s="83">
      <c r="A70" s="135" t="n"/>
      <c r="B70" s="143" t="n"/>
      <c r="C70" s="136" t="n"/>
      <c r="D70" s="143" t="n"/>
      <c r="E70" s="137" t="n"/>
      <c r="G70" s="137" t="n"/>
    </row>
    <row r="71" ht="15" customHeight="1" s="83">
      <c r="A71" s="135" t="n"/>
      <c r="B71" s="143" t="n"/>
      <c r="C71" s="136" t="n"/>
      <c r="D71" s="143" t="n"/>
      <c r="E71" s="137" t="n"/>
      <c r="G71" s="137" t="n"/>
    </row>
    <row r="72" ht="15" customHeight="1" s="83">
      <c r="A72" s="135" t="n"/>
      <c r="B72" s="143" t="n"/>
      <c r="C72" s="136" t="n"/>
      <c r="D72" s="143" t="n"/>
      <c r="E72" s="137" t="n"/>
      <c r="G72" s="137" t="n"/>
    </row>
    <row r="73" ht="15" customHeight="1" s="83">
      <c r="A73" s="135" t="n"/>
      <c r="B73" s="143" t="n"/>
      <c r="C73" s="136" t="n"/>
      <c r="D73" s="143" t="n"/>
      <c r="E73" s="137" t="n"/>
      <c r="G73" s="137" t="n"/>
    </row>
    <row r="74" ht="15" customHeight="1" s="83">
      <c r="A74" s="135" t="n"/>
      <c r="B74" s="143" t="n"/>
      <c r="C74" s="136" t="n"/>
      <c r="D74" s="143" t="n"/>
      <c r="E74" s="137" t="n"/>
      <c r="G74" s="137" t="n"/>
    </row>
    <row r="75" ht="15" customHeight="1" s="83">
      <c r="A75" s="135" t="n"/>
      <c r="B75" s="143" t="n"/>
      <c r="C75" s="136" t="n"/>
      <c r="D75" s="143" t="n"/>
      <c r="E75" s="137" t="n"/>
      <c r="G75" s="137" t="n"/>
    </row>
    <row r="76" ht="15" customHeight="1" s="83">
      <c r="A76" s="135" t="n"/>
      <c r="B76" s="143" t="n"/>
      <c r="C76" s="136" t="n"/>
      <c r="D76" s="143" t="n"/>
      <c r="E76" s="137" t="n"/>
      <c r="G76" s="137" t="n"/>
    </row>
    <row r="77" ht="15" customHeight="1" s="83">
      <c r="A77" s="135" t="n"/>
      <c r="B77" s="143" t="n"/>
      <c r="C77" s="136" t="n"/>
      <c r="D77" s="143" t="n"/>
      <c r="E77" s="137" t="n"/>
      <c r="G77" s="137" t="n"/>
    </row>
    <row r="78" ht="15" customHeight="1" s="83">
      <c r="A78" s="135" t="n"/>
      <c r="B78" s="143" t="n"/>
      <c r="C78" s="136" t="n"/>
      <c r="D78" s="143" t="n"/>
      <c r="E78" s="137" t="n"/>
      <c r="G78" s="137" t="n"/>
    </row>
    <row r="79" ht="15" customHeight="1" s="83">
      <c r="A79" s="135" t="n"/>
      <c r="B79" s="143" t="n"/>
      <c r="C79" s="136" t="n"/>
      <c r="D79" s="143" t="n"/>
      <c r="E79" s="137" t="n"/>
      <c r="G79" s="137" t="n"/>
    </row>
    <row r="80" ht="15" customHeight="1" s="83">
      <c r="A80" s="135" t="n"/>
      <c r="B80" s="143" t="n"/>
      <c r="C80" s="136" t="n"/>
      <c r="D80" s="143" t="n"/>
      <c r="E80" s="137" t="n"/>
      <c r="G80" s="137" t="n"/>
    </row>
    <row r="81" ht="15" customHeight="1" s="83">
      <c r="A81" s="135" t="n"/>
      <c r="B81" s="143" t="n"/>
      <c r="C81" s="136" t="n"/>
      <c r="D81" s="143" t="n"/>
      <c r="E81" s="137" t="n"/>
      <c r="G81" s="137" t="n"/>
    </row>
    <row r="82" ht="15" customHeight="1" s="83">
      <c r="A82" s="135" t="n"/>
      <c r="B82" s="143" t="n"/>
      <c r="C82" s="136" t="n"/>
      <c r="D82" s="143" t="n"/>
      <c r="E82" s="137" t="n"/>
      <c r="G82" s="137" t="n"/>
    </row>
    <row r="83" ht="15" customHeight="1" s="83">
      <c r="A83" s="135" t="n"/>
      <c r="B83" s="143" t="n"/>
      <c r="C83" s="136" t="n"/>
      <c r="D83" s="143" t="n"/>
      <c r="E83" s="137" t="n"/>
      <c r="G83" s="137" t="n"/>
    </row>
    <row r="84" ht="15" customHeight="1" s="83">
      <c r="A84" s="135" t="n"/>
      <c r="B84" s="143" t="n"/>
      <c r="C84" s="136" t="n"/>
      <c r="D84" s="143" t="n"/>
      <c r="E84" s="137" t="n"/>
      <c r="G84" s="137" t="n"/>
    </row>
    <row r="85" ht="15" customHeight="1" s="83">
      <c r="A85" s="135" t="n"/>
      <c r="B85" s="143" t="n"/>
      <c r="C85" s="136" t="n"/>
      <c r="D85" s="143" t="n"/>
      <c r="E85" s="137" t="n"/>
      <c r="G85" s="137" t="n"/>
    </row>
    <row r="86" ht="15" customHeight="1" s="83">
      <c r="A86" s="135" t="n"/>
      <c r="B86" s="143" t="n"/>
      <c r="C86" s="136" t="n"/>
      <c r="D86" s="143" t="n"/>
      <c r="E86" s="137" t="n"/>
      <c r="G86" s="137" t="n"/>
    </row>
    <row r="87" ht="15" customHeight="1" s="83">
      <c r="A87" s="135" t="n"/>
      <c r="B87" s="143" t="n"/>
      <c r="C87" s="136" t="n"/>
      <c r="D87" s="143" t="n"/>
      <c r="E87" s="137" t="n"/>
      <c r="G87" s="137" t="n"/>
    </row>
    <row r="88" ht="15" customHeight="1" s="83">
      <c r="A88" s="135" t="n"/>
      <c r="B88" s="143" t="n"/>
      <c r="C88" s="136" t="n"/>
      <c r="D88" s="143" t="n"/>
      <c r="E88" s="137" t="n"/>
      <c r="G88" s="137" t="n"/>
    </row>
    <row r="89" ht="15" customHeight="1" s="83">
      <c r="A89" s="135" t="n"/>
      <c r="B89" s="143" t="n"/>
      <c r="C89" s="136" t="n"/>
      <c r="D89" s="143" t="n"/>
      <c r="E89" s="137" t="n"/>
      <c r="G89" s="137" t="n"/>
    </row>
    <row r="90" ht="15" customHeight="1" s="83">
      <c r="A90" s="135" t="n"/>
      <c r="B90" s="143" t="n"/>
      <c r="C90" s="136" t="n"/>
      <c r="D90" s="143" t="n"/>
      <c r="E90" s="137" t="n"/>
      <c r="G90" s="137" t="n"/>
    </row>
    <row r="91" ht="15" customHeight="1" s="83">
      <c r="A91" s="135" t="n"/>
      <c r="B91" s="143" t="n"/>
      <c r="C91" s="136" t="n"/>
      <c r="D91" s="143" t="n"/>
      <c r="E91" s="137" t="n"/>
      <c r="G91" s="137" t="n"/>
    </row>
    <row r="92" ht="15" customHeight="1" s="83">
      <c r="A92" s="135" t="n"/>
      <c r="B92" s="143" t="n"/>
      <c r="C92" s="136" t="n"/>
      <c r="D92" s="143" t="n"/>
      <c r="E92" s="137" t="n"/>
      <c r="G92" s="137" t="n"/>
    </row>
    <row r="93" ht="15" customHeight="1" s="83">
      <c r="A93" s="135" t="n"/>
      <c r="B93" s="143" t="n"/>
      <c r="C93" s="136" t="n"/>
      <c r="D93" s="143" t="n"/>
      <c r="E93" s="137" t="n"/>
      <c r="G93" s="137" t="n"/>
    </row>
    <row r="94" ht="15" customHeight="1" s="83">
      <c r="A94" s="135" t="n"/>
      <c r="B94" s="143" t="n"/>
      <c r="C94" s="136" t="n"/>
      <c r="D94" s="143" t="n"/>
      <c r="E94" s="137" t="n"/>
      <c r="G94" s="137" t="n"/>
    </row>
    <row r="95" ht="15" customHeight="1" s="83">
      <c r="A95" s="135" t="n"/>
      <c r="B95" s="143" t="n"/>
      <c r="C95" s="136" t="n"/>
      <c r="D95" s="143" t="n"/>
      <c r="E95" s="137" t="n"/>
      <c r="G95" s="137" t="n"/>
    </row>
    <row r="96" ht="15" customHeight="1" s="83">
      <c r="A96" s="135" t="n"/>
      <c r="B96" s="143" t="n"/>
      <c r="C96" s="136" t="n"/>
      <c r="D96" s="143" t="n"/>
      <c r="E96" s="137" t="n"/>
      <c r="G96" s="137" t="n"/>
    </row>
    <row r="97" ht="15" customHeight="1" s="83">
      <c r="A97" s="135" t="n"/>
      <c r="B97" s="143" t="n"/>
      <c r="C97" s="136" t="n"/>
      <c r="D97" s="143" t="n"/>
      <c r="E97" s="137" t="n"/>
      <c r="G97" s="137" t="n"/>
    </row>
    <row r="98" ht="15" customHeight="1" s="83">
      <c r="A98" s="135" t="n"/>
      <c r="B98" s="143" t="n"/>
      <c r="C98" s="136" t="n"/>
      <c r="D98" s="143" t="n"/>
      <c r="E98" s="137" t="n"/>
      <c r="G98" s="137" t="n"/>
    </row>
    <row r="99" ht="15" customHeight="1" s="83">
      <c r="A99" s="135" t="n"/>
      <c r="B99" s="143" t="n"/>
      <c r="C99" s="136" t="n"/>
      <c r="D99" s="143" t="n"/>
      <c r="E99" s="137" t="n"/>
      <c r="G99" s="137" t="n"/>
    </row>
    <row r="100" ht="15" customHeight="1" s="83">
      <c r="A100" s="135" t="n"/>
      <c r="B100" s="143" t="n"/>
      <c r="C100" s="136" t="n"/>
      <c r="D100" s="143" t="n"/>
      <c r="E100" s="137" t="n"/>
      <c r="G100" s="137" t="n"/>
    </row>
    <row r="101" ht="15" customHeight="1" s="83">
      <c r="A101" s="135" t="n"/>
      <c r="B101" s="143" t="n"/>
      <c r="C101" s="136" t="n"/>
      <c r="D101" s="143" t="n"/>
      <c r="E101" s="137" t="n"/>
      <c r="G101" s="137" t="n"/>
    </row>
    <row r="102" ht="15" customHeight="1" s="83">
      <c r="A102" s="135" t="n"/>
      <c r="B102" s="143" t="n"/>
      <c r="C102" s="136" t="n"/>
      <c r="D102" s="143" t="n"/>
      <c r="E102" s="137" t="n"/>
      <c r="G102" s="137" t="n"/>
    </row>
    <row r="103" ht="15" customHeight="1" s="83">
      <c r="A103" s="135" t="n"/>
      <c r="B103" s="143" t="n"/>
      <c r="C103" s="136" t="n"/>
      <c r="D103" s="143" t="n"/>
      <c r="E103" s="137" t="n"/>
      <c r="G103" s="137" t="n"/>
    </row>
    <row r="104" ht="15" customHeight="1" s="83">
      <c r="A104" s="135" t="n"/>
      <c r="B104" s="143" t="n"/>
      <c r="C104" s="136" t="n"/>
      <c r="D104" s="143" t="n"/>
      <c r="E104" s="137" t="n"/>
      <c r="G104" s="137" t="n"/>
    </row>
    <row r="105" ht="15" customHeight="1" s="83">
      <c r="A105" s="135" t="n"/>
      <c r="B105" s="143" t="n"/>
      <c r="C105" s="136" t="n"/>
      <c r="D105" s="143" t="n"/>
      <c r="E105" s="137" t="n"/>
      <c r="G105" s="137" t="n"/>
    </row>
    <row r="106" ht="15" customHeight="1" s="83">
      <c r="A106" s="135" t="n"/>
      <c r="B106" s="143" t="n"/>
      <c r="C106" s="136" t="n"/>
      <c r="D106" s="143" t="n"/>
      <c r="E106" s="137" t="n"/>
      <c r="G106" s="137" t="n"/>
    </row>
    <row r="107" ht="15" customHeight="1" s="83">
      <c r="A107" s="135" t="n"/>
      <c r="B107" s="143" t="n"/>
      <c r="C107" s="136" t="n"/>
      <c r="D107" s="143" t="n"/>
      <c r="E107" s="137" t="n"/>
      <c r="G107" s="137" t="n"/>
    </row>
    <row r="108" ht="15" customHeight="1" s="83">
      <c r="A108" s="135" t="n"/>
      <c r="B108" s="143" t="n"/>
      <c r="C108" s="136" t="n"/>
      <c r="D108" s="143" t="n"/>
      <c r="E108" s="137" t="n"/>
      <c r="G108" s="137" t="n"/>
    </row>
    <row r="109" ht="15" customHeight="1" s="83">
      <c r="A109" s="135" t="n"/>
      <c r="B109" s="143" t="n"/>
      <c r="C109" s="136" t="n"/>
      <c r="D109" s="143" t="n"/>
      <c r="E109" s="137" t="n"/>
      <c r="G109" s="137" t="n"/>
    </row>
    <row r="110" ht="15" customHeight="1" s="83">
      <c r="A110" s="135" t="n"/>
      <c r="B110" s="143" t="n"/>
      <c r="C110" s="136" t="n"/>
      <c r="D110" s="143" t="n"/>
      <c r="E110" s="137" t="n"/>
      <c r="G110" s="137" t="n"/>
    </row>
    <row r="111" ht="15" customHeight="1" s="83">
      <c r="A111" s="135" t="n"/>
      <c r="B111" s="143" t="n"/>
      <c r="C111" s="136" t="n"/>
      <c r="D111" s="143" t="n"/>
      <c r="E111" s="137" t="n"/>
      <c r="G111" s="137" t="n"/>
    </row>
    <row r="112" ht="15" customHeight="1" s="83">
      <c r="A112" s="135" t="n"/>
      <c r="B112" s="143" t="n"/>
      <c r="C112" s="136" t="n"/>
      <c r="D112" s="143" t="n"/>
      <c r="E112" s="137" t="n"/>
      <c r="G112" s="137" t="n"/>
    </row>
    <row r="113" ht="15" customHeight="1" s="83">
      <c r="A113" s="135" t="n"/>
      <c r="B113" s="143" t="n"/>
      <c r="C113" s="136" t="n"/>
      <c r="D113" s="143" t="n"/>
      <c r="E113" s="137" t="n"/>
      <c r="G113" s="137" t="n"/>
    </row>
    <row r="114" ht="15" customHeight="1" s="83">
      <c r="A114" s="135" t="n"/>
      <c r="B114" s="143" t="n"/>
      <c r="C114" s="136" t="n"/>
      <c r="D114" s="143" t="n"/>
      <c r="E114" s="137" t="n"/>
      <c r="G114" s="137" t="n"/>
    </row>
    <row r="115" ht="15" customHeight="1" s="83">
      <c r="A115" s="135" t="n"/>
      <c r="B115" s="143" t="n"/>
      <c r="C115" s="136" t="n"/>
      <c r="D115" s="143" t="n"/>
      <c r="E115" s="137" t="n"/>
      <c r="G115" s="137" t="n"/>
    </row>
    <row r="116" ht="15" customHeight="1" s="83">
      <c r="A116" s="135" t="n"/>
      <c r="B116" s="143" t="n"/>
      <c r="C116" s="136" t="n"/>
      <c r="D116" s="143" t="n"/>
      <c r="E116" s="137" t="n"/>
      <c r="G116" s="137" t="n"/>
    </row>
    <row r="117" ht="15" customHeight="1" s="83">
      <c r="A117" s="135" t="n"/>
      <c r="B117" s="143" t="n"/>
      <c r="C117" s="136" t="n"/>
      <c r="D117" s="143" t="n"/>
      <c r="E117" s="137" t="n"/>
      <c r="G117" s="137" t="n"/>
    </row>
    <row r="118" ht="15" customHeight="1" s="83">
      <c r="A118" s="135" t="n"/>
      <c r="B118" s="143" t="n"/>
      <c r="C118" s="136" t="n"/>
      <c r="D118" s="143" t="n"/>
      <c r="E118" s="137" t="n"/>
      <c r="G118" s="137" t="n"/>
    </row>
    <row r="119" ht="15" customHeight="1" s="83">
      <c r="A119" s="135" t="n"/>
      <c r="B119" s="143" t="n"/>
      <c r="C119" s="136" t="n"/>
      <c r="D119" s="143" t="n"/>
      <c r="E119" s="137" t="n"/>
      <c r="G119" s="137" t="n"/>
    </row>
    <row r="120" ht="15" customHeight="1" s="83">
      <c r="A120" s="135" t="n"/>
      <c r="B120" s="143" t="n"/>
      <c r="C120" s="136" t="n"/>
      <c r="D120" s="143" t="n"/>
      <c r="E120" s="137" t="n"/>
      <c r="G120" s="137" t="n"/>
    </row>
    <row r="121" ht="15" customHeight="1" s="83">
      <c r="A121" s="135" t="n"/>
      <c r="B121" s="143" t="n"/>
      <c r="C121" s="136" t="n"/>
      <c r="D121" s="143" t="n"/>
      <c r="E121" s="137" t="n"/>
      <c r="G121" s="137" t="n"/>
    </row>
    <row r="122" ht="15" customHeight="1" s="83">
      <c r="A122" s="135" t="n"/>
      <c r="B122" s="143" t="n"/>
      <c r="C122" s="136" t="n"/>
      <c r="D122" s="143" t="n"/>
      <c r="E122" s="137" t="n"/>
      <c r="G122" s="137" t="n"/>
    </row>
    <row r="123" ht="15" customHeight="1" s="83">
      <c r="A123" s="135" t="n"/>
      <c r="B123" s="143" t="n"/>
      <c r="C123" s="136" t="n"/>
      <c r="D123" s="143" t="n"/>
      <c r="E123" s="137" t="n"/>
      <c r="G123" s="137" t="n"/>
    </row>
    <row r="124" ht="15" customHeight="1" s="83">
      <c r="A124" s="135" t="n"/>
      <c r="B124" s="143" t="n"/>
      <c r="C124" s="136" t="n"/>
      <c r="D124" s="143" t="n"/>
      <c r="E124" s="137" t="n"/>
      <c r="G124" s="137" t="n"/>
    </row>
    <row r="125" ht="15" customHeight="1" s="83">
      <c r="A125" s="135" t="n"/>
      <c r="B125" s="143" t="n"/>
      <c r="C125" s="136" t="n"/>
      <c r="D125" s="143" t="n"/>
      <c r="E125" s="137" t="n"/>
      <c r="G125" s="137" t="n"/>
    </row>
    <row r="126" ht="15" customHeight="1" s="83">
      <c r="A126" s="135" t="n"/>
      <c r="B126" s="143" t="n"/>
      <c r="C126" s="136" t="n"/>
      <c r="D126" s="143" t="n"/>
      <c r="E126" s="137" t="n"/>
      <c r="G126" s="137" t="n"/>
    </row>
    <row r="127" ht="15" customHeight="1" s="83">
      <c r="A127" s="135" t="n"/>
      <c r="B127" s="143" t="n"/>
      <c r="C127" s="136" t="n"/>
      <c r="D127" s="143" t="n"/>
      <c r="E127" s="137" t="n"/>
      <c r="G127" s="137" t="n"/>
    </row>
    <row r="128" ht="15" customHeight="1" s="83">
      <c r="A128" s="135" t="n"/>
      <c r="B128" s="143" t="n"/>
      <c r="C128" s="136" t="n"/>
      <c r="D128" s="143" t="n"/>
      <c r="E128" s="137" t="n"/>
      <c r="G128" s="137" t="n"/>
    </row>
    <row r="129" ht="15" customHeight="1" s="83">
      <c r="A129" s="135" t="n"/>
      <c r="B129" s="143" t="n"/>
      <c r="C129" s="136" t="n"/>
      <c r="D129" s="143" t="n"/>
      <c r="E129" s="137" t="n"/>
      <c r="G129" s="137" t="n"/>
    </row>
    <row r="130" ht="15" customHeight="1" s="83">
      <c r="A130" s="135" t="n"/>
      <c r="B130" s="143" t="n"/>
      <c r="C130" s="136" t="n"/>
      <c r="D130" s="143" t="n"/>
      <c r="E130" s="137" t="n"/>
      <c r="G130" s="137" t="n"/>
    </row>
    <row r="131" ht="15" customHeight="1" s="83">
      <c r="A131" s="135" t="n"/>
      <c r="B131" s="143" t="n"/>
      <c r="C131" s="136" t="n"/>
      <c r="D131" s="143" t="n"/>
      <c r="E131" s="137" t="n"/>
      <c r="G131" s="137" t="n"/>
    </row>
    <row r="132" ht="15" customHeight="1" s="83">
      <c r="A132" s="135" t="n"/>
      <c r="B132" s="143" t="n"/>
      <c r="C132" s="136" t="n"/>
      <c r="D132" s="143" t="n"/>
      <c r="E132" s="137" t="n"/>
      <c r="G132" s="137" t="n"/>
    </row>
    <row r="133" ht="15" customHeight="1" s="83">
      <c r="A133" s="135" t="n"/>
      <c r="B133" s="143" t="n"/>
      <c r="C133" s="136" t="n"/>
      <c r="D133" s="143" t="n"/>
      <c r="E133" s="137" t="n"/>
      <c r="G133" s="137" t="n"/>
    </row>
    <row r="134" ht="15" customHeight="1" s="83">
      <c r="A134" s="135" t="n"/>
      <c r="B134" s="143" t="n"/>
      <c r="C134" s="136" t="n"/>
      <c r="D134" s="143" t="n"/>
      <c r="E134" s="137" t="n"/>
      <c r="G134" s="137" t="n"/>
    </row>
    <row r="135" ht="15" customHeight="1" s="83">
      <c r="A135" s="135" t="n"/>
      <c r="B135" s="143" t="n"/>
      <c r="C135" s="136" t="n"/>
      <c r="D135" s="143" t="n"/>
      <c r="E135" s="137" t="n"/>
      <c r="G135" s="137" t="n"/>
    </row>
    <row r="136" ht="15" customHeight="1" s="83">
      <c r="A136" s="135" t="n"/>
      <c r="B136" s="143" t="n"/>
      <c r="C136" s="136" t="n"/>
      <c r="D136" s="143" t="n"/>
      <c r="E136" s="137" t="n"/>
      <c r="G136" s="137" t="n"/>
    </row>
    <row r="137" ht="15" customHeight="1" s="83">
      <c r="A137" s="135" t="n"/>
      <c r="B137" s="143" t="n"/>
      <c r="C137" s="136" t="n"/>
      <c r="D137" s="143" t="n"/>
      <c r="E137" s="137" t="n"/>
      <c r="G137" s="137" t="n"/>
    </row>
    <row r="138" ht="15" customHeight="1" s="83">
      <c r="A138" s="135" t="n"/>
      <c r="B138" s="143" t="n"/>
      <c r="C138" s="136" t="n"/>
      <c r="D138" s="143" t="n"/>
      <c r="E138" s="137" t="n"/>
      <c r="G138" s="137" t="n"/>
    </row>
    <row r="139" ht="15" customHeight="1" s="83">
      <c r="A139" s="135" t="n"/>
      <c r="B139" s="143" t="n"/>
      <c r="C139" s="136" t="n"/>
      <c r="D139" s="143" t="n"/>
      <c r="E139" s="137" t="n"/>
      <c r="G139" s="137" t="n"/>
    </row>
    <row r="140" ht="15" customHeight="1" s="83">
      <c r="A140" s="135" t="n"/>
      <c r="B140" s="143" t="n"/>
      <c r="C140" s="136" t="n"/>
      <c r="D140" s="143" t="n"/>
      <c r="E140" s="137" t="n"/>
      <c r="G140" s="137" t="n"/>
    </row>
    <row r="141" ht="15" customHeight="1" s="83">
      <c r="A141" s="135" t="n"/>
      <c r="B141" s="143" t="n"/>
      <c r="C141" s="136" t="n"/>
      <c r="D141" s="143" t="n"/>
      <c r="E141" s="137" t="n"/>
      <c r="G141" s="137" t="n"/>
    </row>
    <row r="142" ht="15" customHeight="1" s="83">
      <c r="A142" s="135" t="n"/>
      <c r="B142" s="143" t="n"/>
      <c r="C142" s="136" t="n"/>
      <c r="D142" s="143" t="n"/>
      <c r="E142" s="137" t="n"/>
      <c r="G142" s="137" t="n"/>
    </row>
    <row r="143" ht="15" customHeight="1" s="83">
      <c r="A143" s="135" t="n"/>
      <c r="B143" s="143" t="n"/>
      <c r="C143" s="136" t="n"/>
      <c r="D143" s="143" t="n"/>
      <c r="E143" s="137" t="n"/>
      <c r="G143" s="137" t="n"/>
    </row>
    <row r="144" ht="15" customHeight="1" s="83">
      <c r="A144" s="135" t="n"/>
      <c r="B144" s="143" t="n"/>
      <c r="C144" s="136" t="n"/>
      <c r="D144" s="143" t="n"/>
      <c r="E144" s="137" t="n"/>
      <c r="G144" s="137" t="n"/>
    </row>
    <row r="145" ht="15" customHeight="1" s="83">
      <c r="A145" s="135" t="n"/>
      <c r="B145" s="143" t="n"/>
      <c r="C145" s="136" t="n"/>
      <c r="D145" s="143" t="n"/>
      <c r="E145" s="137" t="n"/>
      <c r="G145" s="137" t="n"/>
    </row>
    <row r="146" ht="15" customHeight="1" s="83">
      <c r="A146" s="135" t="n"/>
      <c r="B146" s="143" t="n"/>
      <c r="C146" s="136" t="n"/>
      <c r="D146" s="143" t="n"/>
      <c r="E146" s="137" t="n"/>
      <c r="G146" s="137" t="n"/>
    </row>
    <row r="147" ht="15" customHeight="1" s="83">
      <c r="A147" s="135" t="n"/>
      <c r="B147" s="143" t="n"/>
      <c r="C147" s="136" t="n"/>
      <c r="D147" s="143" t="n"/>
      <c r="E147" s="137" t="n"/>
      <c r="G147" s="137" t="n"/>
    </row>
    <row r="148" ht="15" customHeight="1" s="83">
      <c r="A148" s="135" t="n"/>
      <c r="B148" s="143" t="n"/>
      <c r="C148" s="136" t="n"/>
      <c r="D148" s="143" t="n"/>
      <c r="E148" s="137" t="n"/>
      <c r="G148" s="137" t="n"/>
    </row>
    <row r="149" ht="15" customHeight="1" s="83">
      <c r="A149" s="135" t="n"/>
      <c r="B149" s="143" t="n"/>
      <c r="C149" s="136" t="n"/>
      <c r="D149" s="143" t="n"/>
      <c r="E149" s="137" t="n"/>
      <c r="G149" s="137" t="n"/>
    </row>
    <row r="150" ht="15" customHeight="1" s="83">
      <c r="A150" s="135" t="n"/>
      <c r="B150" s="143" t="n"/>
      <c r="C150" s="136" t="n"/>
      <c r="D150" s="143" t="n"/>
      <c r="E150" s="137" t="n"/>
      <c r="G150" s="137" t="n"/>
    </row>
    <row r="151" ht="15" customHeight="1" s="83">
      <c r="A151" s="135" t="n"/>
      <c r="B151" s="143" t="n"/>
      <c r="C151" s="136" t="n"/>
      <c r="D151" s="143" t="n"/>
      <c r="E151" s="137" t="n"/>
      <c r="G151" s="137" t="n"/>
    </row>
    <row r="152" ht="15" customHeight="1" s="83">
      <c r="A152" s="135" t="n"/>
      <c r="B152" s="143" t="n"/>
      <c r="C152" s="136" t="n"/>
      <c r="D152" s="143" t="n"/>
      <c r="E152" s="137" t="n"/>
      <c r="G152" s="137" t="n"/>
    </row>
    <row r="153" ht="15" customHeight="1" s="83">
      <c r="A153" s="135" t="n"/>
      <c r="B153" s="143" t="n"/>
      <c r="C153" s="136" t="n"/>
      <c r="D153" s="143" t="n"/>
      <c r="E153" s="137" t="n"/>
      <c r="G153" s="137" t="n"/>
    </row>
    <row r="154" ht="15" customHeight="1" s="83">
      <c r="A154" s="135" t="n"/>
      <c r="B154" s="143" t="n"/>
      <c r="C154" s="136" t="n"/>
      <c r="D154" s="143" t="n"/>
      <c r="E154" s="137" t="n"/>
      <c r="G154" s="137" t="n"/>
    </row>
    <row r="155" ht="15" customHeight="1" s="83">
      <c r="A155" s="135" t="n"/>
      <c r="B155" s="143" t="n"/>
      <c r="C155" s="136" t="n"/>
      <c r="D155" s="143" t="n"/>
      <c r="E155" s="137" t="n"/>
      <c r="G155" s="137" t="n"/>
    </row>
    <row r="156" ht="15" customHeight="1" s="83">
      <c r="A156" s="135" t="n"/>
      <c r="B156" s="143" t="n"/>
      <c r="C156" s="136" t="n"/>
      <c r="D156" s="143" t="n"/>
      <c r="E156" s="137" t="n"/>
      <c r="G156" s="137" t="n"/>
    </row>
    <row r="157" ht="15" customHeight="1" s="83">
      <c r="A157" s="135" t="n"/>
      <c r="B157" s="143" t="n"/>
      <c r="C157" s="136" t="n"/>
      <c r="D157" s="143" t="n"/>
      <c r="E157" s="137" t="n"/>
      <c r="G157" s="137" t="n"/>
    </row>
    <row r="158" ht="15" customHeight="1" s="83">
      <c r="A158" s="135" t="n"/>
      <c r="B158" s="143" t="n"/>
      <c r="C158" s="136" t="n"/>
      <c r="D158" s="143" t="n"/>
      <c r="E158" s="137" t="n"/>
      <c r="G158" s="137" t="n"/>
    </row>
    <row r="159" ht="15" customHeight="1" s="83">
      <c r="A159" s="135" t="n"/>
      <c r="B159" s="143" t="n"/>
      <c r="C159" s="136" t="n"/>
      <c r="D159" s="143" t="n"/>
      <c r="E159" s="137" t="n"/>
      <c r="G159" s="137" t="n"/>
    </row>
    <row r="160" ht="15" customHeight="1" s="83">
      <c r="A160" s="135" t="n"/>
      <c r="B160" s="143" t="n"/>
      <c r="C160" s="136" t="n"/>
      <c r="D160" s="143" t="n"/>
      <c r="E160" s="137" t="n"/>
      <c r="G160" s="137" t="n"/>
    </row>
    <row r="161" ht="15" customHeight="1" s="83">
      <c r="A161" s="135" t="n"/>
      <c r="B161" s="143" t="n"/>
      <c r="C161" s="136" t="n"/>
      <c r="D161" s="143" t="n"/>
      <c r="E161" s="137" t="n"/>
      <c r="G161" s="137" t="n"/>
    </row>
    <row r="162" ht="15" customHeight="1" s="83">
      <c r="A162" s="135" t="n"/>
      <c r="B162" s="143" t="n"/>
      <c r="C162" s="136" t="n"/>
      <c r="D162" s="143" t="n"/>
      <c r="E162" s="137" t="n"/>
      <c r="G162" s="137" t="n"/>
    </row>
    <row r="163" ht="15" customHeight="1" s="83">
      <c r="A163" s="135" t="n"/>
      <c r="B163" s="143" t="n"/>
      <c r="C163" s="136" t="n"/>
      <c r="D163" s="143" t="n"/>
      <c r="E163" s="137" t="n"/>
      <c r="G163" s="137" t="n"/>
    </row>
    <row r="164" ht="15" customHeight="1" s="83">
      <c r="A164" s="135" t="n"/>
      <c r="B164" s="143" t="n"/>
      <c r="C164" s="136" t="n"/>
      <c r="D164" s="143" t="n"/>
      <c r="E164" s="137" t="n"/>
      <c r="G164" s="137" t="n"/>
    </row>
    <row r="165" ht="15" customHeight="1" s="83">
      <c r="A165" s="135" t="n"/>
      <c r="B165" s="143" t="n"/>
      <c r="C165" s="136" t="n"/>
      <c r="D165" s="143" t="n"/>
      <c r="E165" s="137" t="n"/>
      <c r="G165" s="137" t="n"/>
    </row>
    <row r="166" ht="15" customHeight="1" s="83">
      <c r="A166" s="135" t="n"/>
      <c r="B166" s="143" t="n"/>
      <c r="C166" s="136" t="n"/>
      <c r="D166" s="143" t="n"/>
      <c r="E166" s="137" t="n"/>
      <c r="G166" s="137" t="n"/>
    </row>
    <row r="167" ht="15" customHeight="1" s="83">
      <c r="A167" s="135" t="n"/>
      <c r="B167" s="143" t="n"/>
      <c r="C167" s="136" t="n"/>
      <c r="D167" s="143" t="n"/>
      <c r="E167" s="137" t="n"/>
      <c r="G167" s="137" t="n"/>
    </row>
    <row r="168" ht="15" customHeight="1" s="83">
      <c r="A168" s="135" t="n"/>
      <c r="B168" s="143" t="n"/>
      <c r="C168" s="136" t="n"/>
      <c r="D168" s="143" t="n"/>
      <c r="E168" s="137" t="n"/>
      <c r="G168" s="137" t="n"/>
    </row>
    <row r="169" ht="15" customHeight="1" s="83">
      <c r="A169" s="135" t="n"/>
      <c r="B169" s="143" t="n"/>
      <c r="C169" s="136" t="n"/>
      <c r="D169" s="143" t="n"/>
      <c r="E169" s="137" t="n"/>
      <c r="G169" s="137" t="n"/>
    </row>
    <row r="170" ht="15" customHeight="1" s="83">
      <c r="A170" s="135" t="n"/>
      <c r="B170" s="143" t="n"/>
      <c r="C170" s="136" t="n"/>
      <c r="D170" s="143" t="n"/>
      <c r="E170" s="137" t="n"/>
      <c r="G170" s="137" t="n"/>
    </row>
    <row r="171" ht="15" customHeight="1" s="83">
      <c r="A171" s="135" t="n"/>
      <c r="B171" s="143" t="n"/>
      <c r="C171" s="136" t="n"/>
      <c r="D171" s="143" t="n"/>
      <c r="E171" s="137" t="n"/>
      <c r="G171" s="137" t="n"/>
    </row>
    <row r="172" ht="15" customHeight="1" s="83">
      <c r="A172" s="135" t="n"/>
      <c r="B172" s="143" t="n"/>
      <c r="C172" s="136" t="n"/>
      <c r="D172" s="143" t="n"/>
      <c r="E172" s="137" t="n"/>
      <c r="G172" s="137" t="n"/>
    </row>
    <row r="173" ht="15" customHeight="1" s="83">
      <c r="A173" s="135" t="n"/>
      <c r="B173" s="143" t="n"/>
      <c r="C173" s="136" t="n"/>
      <c r="D173" s="143" t="n"/>
      <c r="E173" s="137" t="n"/>
      <c r="G173" s="137" t="n"/>
    </row>
    <row r="174" ht="15" customHeight="1" s="83">
      <c r="A174" s="135" t="n"/>
      <c r="B174" s="143" t="n"/>
      <c r="C174" s="136" t="n"/>
      <c r="D174" s="143" t="n"/>
      <c r="E174" s="137" t="n"/>
      <c r="G174" s="137" t="n"/>
    </row>
    <row r="175" ht="15" customHeight="1" s="83">
      <c r="A175" s="135" t="n"/>
      <c r="B175" s="143" t="n"/>
      <c r="C175" s="136" t="n"/>
      <c r="D175" s="143" t="n"/>
      <c r="E175" s="137" t="n"/>
      <c r="G175" s="137" t="n"/>
    </row>
    <row r="176" ht="15" customHeight="1" s="83">
      <c r="A176" s="135" t="n"/>
      <c r="B176" s="143" t="n"/>
      <c r="C176" s="136" t="n"/>
      <c r="D176" s="143" t="n"/>
      <c r="E176" s="137" t="n"/>
      <c r="G176" s="137" t="n"/>
    </row>
    <row r="177" ht="15" customHeight="1" s="83">
      <c r="A177" s="135" t="n"/>
      <c r="B177" s="143" t="n"/>
      <c r="C177" s="136" t="n"/>
      <c r="D177" s="143" t="n"/>
      <c r="E177" s="137" t="n"/>
      <c r="G177" s="137" t="n"/>
    </row>
    <row r="178" ht="15" customHeight="1" s="83">
      <c r="A178" s="135" t="n"/>
      <c r="B178" s="143" t="n"/>
      <c r="C178" s="136" t="n"/>
      <c r="D178" s="143" t="n"/>
      <c r="E178" s="137" t="n"/>
      <c r="G178" s="137" t="n"/>
    </row>
    <row r="179" ht="15" customHeight="1" s="83">
      <c r="A179" s="135" t="n"/>
      <c r="B179" s="143" t="n"/>
      <c r="C179" s="136" t="n"/>
      <c r="D179" s="143" t="n"/>
      <c r="E179" s="137" t="n"/>
      <c r="G179" s="137" t="n"/>
    </row>
    <row r="180" ht="15" customHeight="1" s="83">
      <c r="A180" s="135" t="n"/>
      <c r="B180" s="143" t="n"/>
      <c r="C180" s="136" t="n"/>
      <c r="D180" s="143" t="n"/>
      <c r="E180" s="137" t="n"/>
      <c r="G180" s="137" t="n"/>
    </row>
    <row r="181" ht="15" customHeight="1" s="83">
      <c r="A181" s="135" t="n"/>
      <c r="B181" s="143" t="n"/>
      <c r="C181" s="136" t="n"/>
      <c r="D181" s="143" t="n"/>
      <c r="E181" s="137" t="n"/>
      <c r="G181" s="137" t="n"/>
    </row>
    <row r="182" ht="15" customHeight="1" s="83">
      <c r="A182" s="135" t="n"/>
      <c r="B182" s="143" t="n"/>
      <c r="C182" s="136" t="n"/>
      <c r="D182" s="143" t="n"/>
      <c r="E182" s="137" t="n"/>
      <c r="G182" s="137" t="n"/>
    </row>
    <row r="183" ht="15" customHeight="1" s="83">
      <c r="A183" s="135" t="n"/>
      <c r="B183" s="143" t="n"/>
      <c r="C183" s="136" t="n"/>
      <c r="D183" s="143" t="n"/>
      <c r="E183" s="137" t="n"/>
      <c r="G183" s="137" t="n"/>
    </row>
    <row r="184" ht="15" customHeight="1" s="83">
      <c r="A184" s="135" t="n"/>
      <c r="B184" s="143" t="n"/>
      <c r="C184" s="136" t="n"/>
      <c r="D184" s="143" t="n"/>
      <c r="E184" s="137" t="n"/>
      <c r="G184" s="137" t="n"/>
    </row>
    <row r="185" ht="15" customHeight="1" s="83">
      <c r="A185" s="135" t="n"/>
      <c r="B185" s="143" t="n"/>
      <c r="C185" s="136" t="n"/>
      <c r="D185" s="143" t="n"/>
      <c r="E185" s="137" t="n"/>
      <c r="G185" s="137" t="n"/>
    </row>
    <row r="186" ht="15" customHeight="1" s="83">
      <c r="A186" s="135" t="n"/>
      <c r="B186" s="143" t="n"/>
      <c r="C186" s="136" t="n"/>
      <c r="D186" s="143" t="n"/>
      <c r="E186" s="137" t="n"/>
      <c r="G186" s="137" t="n"/>
    </row>
    <row r="187" ht="15" customHeight="1" s="83">
      <c r="A187" s="135" t="n"/>
      <c r="B187" s="143" t="n"/>
      <c r="C187" s="136" t="n"/>
      <c r="D187" s="143" t="n"/>
      <c r="E187" s="137" t="n"/>
      <c r="G187" s="137" t="n"/>
    </row>
    <row r="188" ht="15" customHeight="1" s="83">
      <c r="A188" s="135" t="n"/>
      <c r="B188" s="143" t="n"/>
      <c r="C188" s="136" t="n"/>
      <c r="D188" s="143" t="n"/>
      <c r="E188" s="137" t="n"/>
      <c r="G188" s="137" t="n"/>
    </row>
    <row r="189" ht="15" customHeight="1" s="83">
      <c r="A189" s="135" t="n"/>
      <c r="B189" s="143" t="n"/>
      <c r="C189" s="136" t="n"/>
      <c r="D189" s="143" t="n"/>
      <c r="E189" s="137" t="n"/>
      <c r="G189" s="137" t="n"/>
    </row>
    <row r="190" ht="15" customHeight="1" s="83">
      <c r="A190" s="135" t="n"/>
      <c r="B190" s="143" t="n"/>
      <c r="C190" s="136" t="n"/>
      <c r="D190" s="143" t="n"/>
      <c r="E190" s="137" t="n"/>
      <c r="G190" s="137" t="n"/>
    </row>
    <row r="191" ht="15" customHeight="1" s="83">
      <c r="A191" s="135" t="n"/>
      <c r="B191" s="143" t="n"/>
      <c r="C191" s="136" t="n"/>
      <c r="D191" s="143" t="n"/>
      <c r="E191" s="137" t="n"/>
      <c r="G191" s="137" t="n"/>
    </row>
    <row r="192" ht="15" customHeight="1" s="83">
      <c r="A192" s="135" t="n"/>
      <c r="B192" s="143" t="n"/>
      <c r="C192" s="136" t="n"/>
      <c r="D192" s="143" t="n"/>
      <c r="E192" s="137" t="n"/>
      <c r="G192" s="137" t="n"/>
    </row>
    <row r="193" ht="15" customHeight="1" s="83">
      <c r="A193" s="135" t="n"/>
      <c r="B193" s="143" t="n"/>
      <c r="C193" s="136" t="n"/>
      <c r="D193" s="143" t="n"/>
      <c r="E193" s="137" t="n"/>
      <c r="G193" s="137" t="n"/>
    </row>
    <row r="194" ht="15" customHeight="1" s="83">
      <c r="A194" s="135" t="n"/>
      <c r="B194" s="143" t="n"/>
      <c r="C194" s="136" t="n"/>
      <c r="D194" s="143" t="n"/>
      <c r="E194" s="137" t="n"/>
      <c r="G194" s="137" t="n"/>
    </row>
    <row r="195" ht="15" customHeight="1" s="83">
      <c r="A195" s="135" t="n"/>
      <c r="B195" s="143" t="n"/>
      <c r="C195" s="136" t="n"/>
      <c r="D195" s="143" t="n"/>
      <c r="E195" s="137" t="n"/>
      <c r="G195" s="137" t="n"/>
    </row>
    <row r="196" ht="15" customHeight="1" s="83">
      <c r="A196" s="135" t="n"/>
      <c r="B196" s="143" t="n"/>
      <c r="C196" s="136" t="n"/>
      <c r="D196" s="143" t="n"/>
      <c r="E196" s="137" t="n"/>
      <c r="G196" s="137" t="n"/>
    </row>
    <row r="197" ht="15" customHeight="1" s="83">
      <c r="A197" s="135" t="n"/>
      <c r="B197" s="143" t="n"/>
      <c r="C197" s="136" t="n"/>
      <c r="D197" s="143" t="n"/>
      <c r="E197" s="137" t="n"/>
      <c r="G197" s="137" t="n"/>
    </row>
    <row r="198" ht="15" customHeight="1" s="83">
      <c r="A198" s="135" t="n"/>
      <c r="B198" s="143" t="n"/>
      <c r="C198" s="136" t="n"/>
      <c r="D198" s="143" t="n"/>
      <c r="E198" s="137" t="n"/>
      <c r="G198" s="137" t="n"/>
    </row>
    <row r="199" ht="15" customHeight="1" s="83">
      <c r="A199" s="135" t="n"/>
      <c r="B199" s="143" t="n"/>
      <c r="C199" s="136" t="n"/>
      <c r="D199" s="143" t="n"/>
      <c r="E199" s="137" t="n"/>
      <c r="G199" s="137" t="n"/>
    </row>
    <row r="200" ht="15" customHeight="1" s="83">
      <c r="A200" s="135" t="n"/>
      <c r="B200" s="143" t="n"/>
      <c r="C200" s="136" t="n"/>
      <c r="D200" s="143" t="n"/>
      <c r="E200" s="137" t="n"/>
      <c r="G200" s="137" t="n"/>
    </row>
    <row r="201" ht="15" customHeight="1" s="83">
      <c r="A201" s="135" t="n"/>
      <c r="B201" s="143" t="n"/>
      <c r="C201" s="136" t="n"/>
      <c r="D201" s="143" t="n"/>
      <c r="E201" s="137" t="n"/>
      <c r="G201" s="137" t="n"/>
    </row>
    <row r="202" ht="15" customHeight="1" s="83">
      <c r="A202" s="135" t="n"/>
      <c r="B202" s="143" t="n"/>
      <c r="C202" s="136" t="n"/>
      <c r="D202" s="143" t="n"/>
      <c r="E202" s="137" t="n"/>
      <c r="G202" s="137" t="n"/>
    </row>
    <row r="203" ht="15" customHeight="1" s="83">
      <c r="A203" s="135" t="n"/>
      <c r="B203" s="143" t="n"/>
      <c r="C203" s="136" t="n"/>
      <c r="D203" s="143" t="n"/>
      <c r="E203" s="137" t="n"/>
      <c r="G203" s="137" t="n"/>
    </row>
    <row r="204" ht="15" customHeight="1" s="83">
      <c r="A204" s="135" t="n"/>
      <c r="B204" s="143" t="n"/>
      <c r="C204" s="136" t="n"/>
      <c r="D204" s="143" t="n"/>
      <c r="E204" s="137" t="n"/>
      <c r="G204" s="137" t="n"/>
    </row>
    <row r="205" ht="15" customHeight="1" s="83">
      <c r="A205" s="135" t="n"/>
      <c r="B205" s="143" t="n"/>
      <c r="C205" s="136" t="n"/>
      <c r="D205" s="143" t="n"/>
      <c r="E205" s="137" t="n"/>
      <c r="G205" s="137" t="n"/>
    </row>
    <row r="206" ht="15" customHeight="1" s="83">
      <c r="A206" s="135" t="n"/>
      <c r="B206" s="143" t="n"/>
      <c r="C206" s="136" t="n"/>
      <c r="D206" s="143" t="n"/>
      <c r="E206" s="137" t="n"/>
      <c r="G206" s="137" t="n"/>
    </row>
    <row r="207" ht="15" customHeight="1" s="83">
      <c r="A207" s="135" t="n"/>
      <c r="B207" s="143" t="n"/>
      <c r="C207" s="136" t="n"/>
      <c r="D207" s="143" t="n"/>
      <c r="E207" s="137" t="n"/>
      <c r="G207" s="137" t="n"/>
    </row>
    <row r="208" ht="15" customHeight="1" s="83">
      <c r="A208" s="135" t="n"/>
      <c r="B208" s="143" t="n"/>
      <c r="C208" s="136" t="n"/>
      <c r="D208" s="143" t="n"/>
      <c r="E208" s="137" t="n"/>
      <c r="G208" s="137" t="n"/>
    </row>
    <row r="209" ht="15" customHeight="1" s="83">
      <c r="A209" s="135" t="n"/>
      <c r="B209" s="143" t="n"/>
      <c r="C209" s="136" t="n"/>
      <c r="D209" s="143" t="n"/>
      <c r="E209" s="137" t="n"/>
      <c r="G209" s="137" t="n"/>
    </row>
    <row r="210" ht="15" customHeight="1" s="83">
      <c r="A210" s="135" t="n"/>
      <c r="B210" s="143" t="n"/>
      <c r="C210" s="136" t="n"/>
      <c r="D210" s="143" t="n"/>
      <c r="E210" s="137" t="n"/>
      <c r="G210" s="137" t="n"/>
    </row>
    <row r="211" ht="15" customHeight="1" s="83">
      <c r="A211" s="135" t="n"/>
      <c r="B211" s="143" t="n"/>
      <c r="C211" s="136" t="n"/>
      <c r="D211" s="143" t="n"/>
      <c r="E211" s="137" t="n"/>
      <c r="G211" s="137" t="n"/>
    </row>
    <row r="212" ht="15" customHeight="1" s="83">
      <c r="A212" s="135" t="n"/>
      <c r="B212" s="143" t="n"/>
      <c r="C212" s="136" t="n"/>
      <c r="D212" s="143" t="n"/>
      <c r="E212" s="137" t="n"/>
      <c r="G212" s="137" t="n"/>
    </row>
    <row r="213" ht="15" customHeight="1" s="83">
      <c r="A213" s="135" t="n"/>
      <c r="B213" s="143" t="n"/>
      <c r="C213" s="136" t="n"/>
      <c r="D213" s="143" t="n"/>
      <c r="E213" s="137" t="n"/>
      <c r="G213" s="137" t="n"/>
    </row>
    <row r="214" ht="15" customHeight="1" s="83">
      <c r="A214" s="135" t="n"/>
      <c r="B214" s="143" t="n"/>
      <c r="C214" s="136" t="n"/>
      <c r="D214" s="143" t="n"/>
      <c r="E214" s="137" t="n"/>
      <c r="G214" s="137" t="n"/>
    </row>
    <row r="215" ht="15" customHeight="1" s="83">
      <c r="A215" s="135" t="n"/>
      <c r="B215" s="143" t="n"/>
      <c r="C215" s="136" t="n"/>
      <c r="D215" s="143" t="n"/>
      <c r="E215" s="137" t="n"/>
      <c r="G215" s="137" t="n"/>
    </row>
    <row r="216" ht="15" customHeight="1" s="83">
      <c r="A216" s="135" t="n"/>
      <c r="B216" s="143" t="n"/>
      <c r="C216" s="136" t="n"/>
      <c r="D216" s="143" t="n"/>
      <c r="E216" s="137" t="n"/>
      <c r="G216" s="137" t="n"/>
    </row>
    <row r="217" ht="15" customHeight="1" s="83">
      <c r="A217" s="135" t="n"/>
      <c r="B217" s="143" t="n"/>
      <c r="C217" s="136" t="n"/>
      <c r="D217" s="143" t="n"/>
      <c r="E217" s="137" t="n"/>
      <c r="G217" s="137" t="n"/>
    </row>
    <row r="218" ht="15" customHeight="1" s="83">
      <c r="A218" s="135" t="n"/>
      <c r="B218" s="143" t="n"/>
      <c r="C218" s="136" t="n"/>
      <c r="D218" s="143" t="n"/>
      <c r="E218" s="137" t="n"/>
      <c r="G218" s="137" t="n"/>
    </row>
    <row r="219" ht="15" customHeight="1" s="83">
      <c r="A219" s="135" t="n"/>
      <c r="B219" s="143" t="n"/>
      <c r="C219" s="136" t="n"/>
      <c r="D219" s="143" t="n"/>
      <c r="E219" s="137" t="n"/>
      <c r="G219" s="137" t="n"/>
    </row>
    <row r="220" ht="15" customHeight="1" s="83">
      <c r="A220" s="135" t="n"/>
      <c r="B220" s="143" t="n"/>
      <c r="C220" s="136" t="n"/>
      <c r="D220" s="143" t="n"/>
      <c r="E220" s="137" t="n"/>
      <c r="G220" s="137" t="n"/>
    </row>
    <row r="221" ht="15" customHeight="1" s="83">
      <c r="A221" s="135" t="n"/>
      <c r="B221" s="143" t="n"/>
      <c r="C221" s="136" t="n"/>
      <c r="D221" s="143" t="n"/>
      <c r="E221" s="137" t="n"/>
      <c r="G221" s="137" t="n"/>
    </row>
    <row r="222" ht="15" customHeight="1" s="83">
      <c r="A222" s="135" t="n"/>
      <c r="B222" s="143" t="n"/>
      <c r="C222" s="136" t="n"/>
      <c r="D222" s="143" t="n"/>
      <c r="E222" s="137" t="n"/>
      <c r="G222" s="137" t="n"/>
    </row>
    <row r="223" ht="15" customHeight="1" s="83">
      <c r="A223" s="135" t="n"/>
      <c r="B223" s="143" t="n"/>
      <c r="C223" s="136" t="n"/>
      <c r="D223" s="143" t="n"/>
      <c r="E223" s="137" t="n"/>
      <c r="G223" s="137" t="n"/>
    </row>
    <row r="224" ht="15" customHeight="1" s="83">
      <c r="A224" s="135" t="n"/>
      <c r="B224" s="143" t="n"/>
      <c r="C224" s="136" t="n"/>
      <c r="D224" s="143" t="n"/>
      <c r="E224" s="137" t="n"/>
      <c r="G224" s="137" t="n"/>
    </row>
    <row r="225" ht="15" customHeight="1" s="83">
      <c r="A225" s="135" t="n"/>
      <c r="B225" s="143" t="n"/>
      <c r="C225" s="136" t="n"/>
      <c r="D225" s="143" t="n"/>
      <c r="E225" s="137" t="n"/>
      <c r="G225" s="137" t="n"/>
    </row>
    <row r="226" ht="15" customHeight="1" s="83">
      <c r="A226" s="135" t="n"/>
      <c r="B226" s="143" t="n"/>
      <c r="C226" s="136" t="n"/>
      <c r="D226" s="143" t="n"/>
      <c r="E226" s="137" t="n"/>
      <c r="G226" s="137" t="n"/>
    </row>
    <row r="227" ht="15" customHeight="1" s="83">
      <c r="A227" s="135" t="n"/>
      <c r="B227" s="143" t="n"/>
      <c r="C227" s="136" t="n"/>
      <c r="D227" s="143" t="n"/>
      <c r="E227" s="137" t="n"/>
      <c r="G227" s="137" t="n"/>
    </row>
    <row r="228" ht="15" customHeight="1" s="83">
      <c r="A228" s="135" t="n"/>
      <c r="B228" s="143" t="n"/>
      <c r="C228" s="136" t="n"/>
      <c r="D228" s="143" t="n"/>
      <c r="E228" s="137" t="n"/>
      <c r="G228" s="137" t="n"/>
    </row>
    <row r="229" ht="15" customHeight="1" s="83">
      <c r="A229" s="135" t="n"/>
      <c r="B229" s="143" t="n"/>
      <c r="C229" s="136" t="n"/>
      <c r="D229" s="143" t="n"/>
      <c r="E229" s="137" t="n"/>
      <c r="G229" s="137" t="n"/>
    </row>
    <row r="230" ht="15" customHeight="1" s="83">
      <c r="A230" s="135" t="n"/>
      <c r="B230" s="143" t="n"/>
      <c r="C230" s="136" t="n"/>
      <c r="D230" s="143" t="n"/>
      <c r="E230" s="137" t="n"/>
      <c r="G230" s="137" t="n"/>
    </row>
    <row r="231" ht="15" customHeight="1" s="83">
      <c r="A231" s="135" t="n"/>
      <c r="B231" s="143" t="n"/>
      <c r="C231" s="136" t="n"/>
      <c r="D231" s="143" t="n"/>
      <c r="E231" s="137" t="n"/>
      <c r="G231" s="137" t="n"/>
    </row>
    <row r="232" ht="15" customHeight="1" s="83">
      <c r="A232" s="135" t="n"/>
      <c r="B232" s="143" t="n"/>
      <c r="C232" s="136" t="n"/>
      <c r="D232" s="143" t="n"/>
      <c r="E232" s="137" t="n"/>
      <c r="G232" s="137" t="n"/>
    </row>
    <row r="233" ht="15" customHeight="1" s="83">
      <c r="A233" s="135" t="n"/>
      <c r="B233" s="143" t="n"/>
      <c r="C233" s="136" t="n"/>
      <c r="D233" s="143" t="n"/>
      <c r="E233" s="137" t="n"/>
      <c r="G233" s="137" t="n"/>
    </row>
    <row r="234" ht="15" customHeight="1" s="83">
      <c r="A234" s="135" t="n"/>
      <c r="B234" s="143" t="n"/>
      <c r="C234" s="136" t="n"/>
      <c r="D234" s="143" t="n"/>
      <c r="E234" s="137" t="n"/>
      <c r="G234" s="137" t="n"/>
    </row>
    <row r="235" ht="15" customHeight="1" s="83">
      <c r="A235" s="135" t="n"/>
      <c r="B235" s="143" t="n"/>
      <c r="C235" s="136" t="n"/>
      <c r="D235" s="143" t="n"/>
      <c r="E235" s="137" t="n"/>
      <c r="G235" s="137" t="n"/>
    </row>
    <row r="236" ht="15" customHeight="1" s="83">
      <c r="A236" s="135" t="n"/>
      <c r="B236" s="143" t="n"/>
      <c r="C236" s="136" t="n"/>
      <c r="D236" s="143" t="n"/>
      <c r="E236" s="137" t="n"/>
      <c r="G236" s="137" t="n"/>
    </row>
    <row r="237" ht="15" customHeight="1" s="83">
      <c r="A237" s="135" t="n"/>
      <c r="B237" s="143" t="n"/>
      <c r="C237" s="136" t="n"/>
      <c r="D237" s="143" t="n"/>
      <c r="E237" s="137" t="n"/>
      <c r="G237" s="137" t="n"/>
    </row>
    <row r="238" ht="15" customHeight="1" s="83">
      <c r="A238" s="135" t="n"/>
      <c r="B238" s="143" t="n"/>
      <c r="C238" s="136" t="n"/>
      <c r="D238" s="143" t="n"/>
      <c r="E238" s="137" t="n"/>
      <c r="G238" s="137" t="n"/>
    </row>
    <row r="239" ht="15" customHeight="1" s="83">
      <c r="A239" s="135" t="n"/>
      <c r="B239" s="143" t="n"/>
      <c r="C239" s="136" t="n"/>
      <c r="D239" s="143" t="n"/>
      <c r="E239" s="137" t="n"/>
      <c r="G239" s="137" t="n"/>
    </row>
    <row r="240" ht="15" customHeight="1" s="83">
      <c r="A240" s="135" t="n"/>
      <c r="B240" s="143" t="n"/>
      <c r="C240" s="136" t="n"/>
      <c r="D240" s="143" t="n"/>
      <c r="E240" s="137" t="n"/>
      <c r="G240" s="137" t="n"/>
    </row>
    <row r="241" ht="15" customHeight="1" s="83">
      <c r="A241" s="135" t="n"/>
      <c r="B241" s="143" t="n"/>
      <c r="C241" s="136" t="n"/>
      <c r="D241" s="143" t="n"/>
      <c r="E241" s="137" t="n"/>
      <c r="G241" s="137" t="n"/>
    </row>
    <row r="242" ht="15" customHeight="1" s="83">
      <c r="A242" s="135" t="n"/>
      <c r="B242" s="143" t="n"/>
      <c r="C242" s="136" t="n"/>
      <c r="D242" s="143" t="n"/>
      <c r="E242" s="137" t="n"/>
      <c r="G242" s="137" t="n"/>
    </row>
    <row r="243" ht="15" customHeight="1" s="83">
      <c r="A243" s="135" t="n"/>
      <c r="B243" s="143" t="n"/>
      <c r="C243" s="136" t="n"/>
      <c r="D243" s="143" t="n"/>
      <c r="E243" s="137" t="n"/>
      <c r="G243" s="137" t="n"/>
    </row>
    <row r="244" ht="15" customHeight="1" s="83">
      <c r="A244" s="135" t="n"/>
      <c r="B244" s="143" t="n"/>
      <c r="C244" s="136" t="n"/>
      <c r="D244" s="143" t="n"/>
      <c r="E244" s="137" t="n"/>
      <c r="G244" s="137" t="n"/>
    </row>
    <row r="245" ht="15" customHeight="1" s="83">
      <c r="A245" s="135" t="n"/>
      <c r="B245" s="143" t="n"/>
      <c r="C245" s="136" t="n"/>
      <c r="D245" s="143" t="n"/>
      <c r="E245" s="137" t="n"/>
      <c r="G245" s="137" t="n"/>
    </row>
    <row r="246" ht="15" customHeight="1" s="83">
      <c r="A246" s="135" t="n"/>
      <c r="B246" s="143" t="n"/>
      <c r="C246" s="136" t="n"/>
      <c r="D246" s="143" t="n"/>
      <c r="E246" s="137" t="n"/>
      <c r="G246" s="137" t="n"/>
    </row>
    <row r="247" ht="15" customHeight="1" s="83">
      <c r="A247" s="135" t="n"/>
      <c r="B247" s="143" t="n"/>
      <c r="C247" s="136" t="n"/>
      <c r="D247" s="143" t="n"/>
      <c r="E247" s="137" t="n"/>
      <c r="G247" s="137" t="n"/>
    </row>
    <row r="248" ht="15" customHeight="1" s="83">
      <c r="A248" s="135" t="n"/>
      <c r="B248" s="143" t="n"/>
      <c r="C248" s="136" t="n"/>
      <c r="D248" s="143" t="n"/>
      <c r="E248" s="137" t="n"/>
      <c r="G248" s="137" t="n"/>
    </row>
    <row r="249" ht="15" customHeight="1" s="83">
      <c r="A249" s="135" t="n"/>
      <c r="B249" s="143" t="n"/>
      <c r="C249" s="136" t="n"/>
      <c r="D249" s="143" t="n"/>
      <c r="E249" s="137" t="n"/>
      <c r="G249" s="137" t="n"/>
    </row>
    <row r="250" ht="15" customHeight="1" s="83">
      <c r="A250" s="135" t="n"/>
      <c r="B250" s="143" t="n"/>
      <c r="C250" s="136" t="n"/>
      <c r="D250" s="143" t="n"/>
      <c r="E250" s="137" t="n"/>
      <c r="G250" s="137" t="n"/>
    </row>
    <row r="251" ht="15" customHeight="1" s="83">
      <c r="A251" s="135" t="n"/>
      <c r="B251" s="143" t="n"/>
      <c r="C251" s="136" t="n"/>
      <c r="D251" s="143" t="n"/>
      <c r="E251" s="137" t="n"/>
      <c r="G251" s="137" t="n"/>
    </row>
    <row r="252" ht="15" customHeight="1" s="83">
      <c r="A252" s="135" t="n"/>
      <c r="B252" s="143" t="n"/>
      <c r="C252" s="136" t="n"/>
      <c r="D252" s="143" t="n"/>
      <c r="E252" s="137" t="n"/>
      <c r="G252" s="137" t="n"/>
    </row>
    <row r="253" ht="15" customHeight="1" s="83">
      <c r="A253" s="135" t="n"/>
      <c r="B253" s="143" t="n"/>
      <c r="C253" s="136" t="n"/>
      <c r="D253" s="143" t="n"/>
      <c r="E253" s="137" t="n"/>
      <c r="G253" s="137" t="n"/>
    </row>
    <row r="254" ht="15" customHeight="1" s="83">
      <c r="A254" s="135" t="n"/>
      <c r="B254" s="143" t="n"/>
      <c r="C254" s="136" t="n"/>
      <c r="D254" s="143" t="n"/>
      <c r="E254" s="137" t="n"/>
      <c r="G254" s="137" t="n"/>
    </row>
    <row r="255" ht="15" customHeight="1" s="83">
      <c r="A255" s="135" t="n"/>
      <c r="B255" s="143" t="n"/>
      <c r="C255" s="136" t="n"/>
      <c r="D255" s="143" t="n"/>
      <c r="E255" s="137" t="n"/>
      <c r="G255" s="137" t="n"/>
    </row>
    <row r="256" ht="15" customHeight="1" s="83">
      <c r="A256" s="135" t="n"/>
      <c r="B256" s="143" t="n"/>
      <c r="C256" s="136" t="n"/>
      <c r="D256" s="143" t="n"/>
      <c r="E256" s="137" t="n"/>
      <c r="G256" s="137" t="n"/>
    </row>
    <row r="257" ht="15" customHeight="1" s="83">
      <c r="A257" s="135" t="n"/>
      <c r="B257" s="143" t="n"/>
      <c r="C257" s="136" t="n"/>
      <c r="D257" s="143" t="n"/>
      <c r="E257" s="137" t="n"/>
      <c r="G257" s="137" t="n"/>
    </row>
    <row r="258" ht="15" customHeight="1" s="83">
      <c r="A258" s="135" t="n"/>
      <c r="B258" s="143" t="n"/>
      <c r="C258" s="136" t="n"/>
      <c r="D258" s="143" t="n"/>
      <c r="E258" s="137" t="n"/>
      <c r="G258" s="137" t="n"/>
    </row>
    <row r="259" ht="15" customHeight="1" s="83">
      <c r="A259" s="135" t="n"/>
      <c r="B259" s="143" t="n"/>
      <c r="C259" s="136" t="n"/>
      <c r="D259" s="143" t="n"/>
      <c r="E259" s="137" t="n"/>
      <c r="G259" s="137" t="n"/>
    </row>
    <row r="260" ht="15" customHeight="1" s="83">
      <c r="A260" s="135" t="n"/>
      <c r="B260" s="143" t="n"/>
      <c r="C260" s="136" t="n"/>
      <c r="D260" s="143" t="n"/>
      <c r="E260" s="137" t="n"/>
      <c r="G260" s="137" t="n"/>
    </row>
    <row r="261" ht="15" customHeight="1" s="83">
      <c r="A261" s="135" t="n"/>
      <c r="B261" s="143" t="n"/>
      <c r="C261" s="136" t="n"/>
      <c r="D261" s="143" t="n"/>
      <c r="E261" s="137" t="n"/>
      <c r="G261" s="137" t="n"/>
    </row>
    <row r="262" ht="15" customHeight="1" s="83">
      <c r="A262" s="135" t="n"/>
      <c r="B262" s="143" t="n"/>
      <c r="C262" s="136" t="n"/>
      <c r="D262" s="143" t="n"/>
      <c r="E262" s="137" t="n"/>
      <c r="G262" s="137" t="n"/>
    </row>
    <row r="263" ht="15" customHeight="1" s="83">
      <c r="A263" s="135" t="n"/>
      <c r="B263" s="143" t="n"/>
      <c r="C263" s="136" t="n"/>
      <c r="D263" s="143" t="n"/>
      <c r="E263" s="137" t="n"/>
      <c r="G263" s="137" t="n"/>
    </row>
    <row r="264" ht="15" customHeight="1" s="83">
      <c r="A264" s="135" t="n"/>
      <c r="B264" s="143" t="n"/>
      <c r="C264" s="136" t="n"/>
      <c r="D264" s="143" t="n"/>
      <c r="E264" s="137" t="n"/>
      <c r="G264" s="137" t="n"/>
    </row>
    <row r="265" ht="15" customHeight="1" s="83">
      <c r="A265" s="135" t="n"/>
      <c r="B265" s="143" t="n"/>
      <c r="C265" s="136" t="n"/>
      <c r="D265" s="143" t="n"/>
      <c r="E265" s="137" t="n"/>
      <c r="G265" s="137" t="n"/>
    </row>
    <row r="266" ht="15" customHeight="1" s="83">
      <c r="A266" s="135" t="n"/>
      <c r="B266" s="143" t="n"/>
      <c r="C266" s="136" t="n"/>
      <c r="D266" s="143" t="n"/>
      <c r="E266" s="137" t="n"/>
      <c r="G266" s="137" t="n"/>
    </row>
    <row r="267" ht="15" customHeight="1" s="83">
      <c r="A267" s="135" t="n"/>
      <c r="B267" s="143" t="n"/>
      <c r="C267" s="136" t="n"/>
      <c r="D267" s="143" t="n"/>
      <c r="E267" s="137" t="n"/>
      <c r="G267" s="137" t="n"/>
    </row>
    <row r="268" ht="15" customHeight="1" s="83">
      <c r="A268" s="135" t="n"/>
      <c r="B268" s="143" t="n"/>
      <c r="C268" s="136" t="n"/>
      <c r="D268" s="143" t="n"/>
      <c r="E268" s="137" t="n"/>
      <c r="G268" s="137" t="n"/>
    </row>
    <row r="269" ht="15" customHeight="1" s="83">
      <c r="A269" s="135" t="n"/>
      <c r="B269" s="143" t="n"/>
      <c r="C269" s="136" t="n"/>
      <c r="D269" s="143" t="n"/>
      <c r="E269" s="137" t="n"/>
      <c r="G269" s="137" t="n"/>
    </row>
    <row r="270" ht="15" customHeight="1" s="83">
      <c r="A270" s="135" t="n"/>
      <c r="B270" s="143" t="n"/>
      <c r="C270" s="136" t="n"/>
      <c r="D270" s="143" t="n"/>
      <c r="E270" s="137" t="n"/>
      <c r="G270" s="137" t="n"/>
    </row>
    <row r="271" ht="15" customHeight="1" s="83">
      <c r="A271" s="135" t="n"/>
      <c r="B271" s="143" t="n"/>
      <c r="C271" s="136" t="n"/>
      <c r="D271" s="143" t="n"/>
      <c r="E271" s="137" t="n"/>
      <c r="G271" s="137" t="n"/>
    </row>
    <row r="272" ht="15" customHeight="1" s="83">
      <c r="A272" s="135" t="n"/>
      <c r="B272" s="143" t="n"/>
      <c r="C272" s="136" t="n"/>
      <c r="D272" s="143" t="n"/>
      <c r="E272" s="137" t="n"/>
      <c r="G272" s="137" t="n"/>
    </row>
    <row r="273" ht="15" customHeight="1" s="83">
      <c r="A273" s="135" t="n"/>
      <c r="B273" s="143" t="n"/>
      <c r="C273" s="136" t="n"/>
      <c r="D273" s="143" t="n"/>
      <c r="E273" s="137" t="n"/>
      <c r="G273" s="137" t="n"/>
    </row>
    <row r="274" ht="15" customHeight="1" s="83">
      <c r="A274" s="135" t="n"/>
      <c r="B274" s="143" t="n"/>
      <c r="C274" s="136" t="n"/>
      <c r="D274" s="143" t="n"/>
      <c r="E274" s="137" t="n"/>
      <c r="G274" s="137" t="n"/>
    </row>
    <row r="275" ht="15" customHeight="1" s="83">
      <c r="A275" s="135" t="n"/>
      <c r="B275" s="143" t="n"/>
      <c r="C275" s="136" t="n"/>
      <c r="D275" s="143" t="n"/>
      <c r="E275" s="137" t="n"/>
      <c r="G275" s="137" t="n"/>
    </row>
    <row r="276" ht="15" customHeight="1" s="83">
      <c r="A276" s="135" t="n"/>
      <c r="B276" s="143" t="n"/>
      <c r="C276" s="136" t="n"/>
      <c r="D276" s="143" t="n"/>
      <c r="E276" s="137" t="n"/>
      <c r="G276" s="137" t="n"/>
    </row>
    <row r="277" ht="15" customHeight="1" s="83">
      <c r="A277" s="135" t="n"/>
      <c r="B277" s="143" t="n"/>
      <c r="C277" s="136" t="n"/>
      <c r="D277" s="143" t="n"/>
      <c r="E277" s="137" t="n"/>
      <c r="G277" s="137" t="n"/>
    </row>
    <row r="278" ht="15" customHeight="1" s="83">
      <c r="A278" s="135" t="n"/>
      <c r="B278" s="143" t="n"/>
      <c r="C278" s="136" t="n"/>
      <c r="D278" s="143" t="n"/>
      <c r="E278" s="137" t="n"/>
      <c r="G278" s="137" t="n"/>
    </row>
    <row r="279" ht="15" customHeight="1" s="83">
      <c r="A279" s="135" t="n"/>
      <c r="B279" s="143" t="n"/>
      <c r="C279" s="136" t="n"/>
      <c r="D279" s="143" t="n"/>
      <c r="E279" s="137" t="n"/>
      <c r="G279" s="137" t="n"/>
    </row>
    <row r="280" ht="15" customHeight="1" s="83">
      <c r="A280" s="135" t="n"/>
      <c r="B280" s="143" t="n"/>
      <c r="C280" s="136" t="n"/>
      <c r="D280" s="143" t="n"/>
      <c r="E280" s="137" t="n"/>
      <c r="G280" s="137" t="n"/>
    </row>
    <row r="281" ht="15" customHeight="1" s="83">
      <c r="A281" s="135" t="n"/>
      <c r="B281" s="143" t="n"/>
      <c r="C281" s="136" t="n"/>
      <c r="D281" s="143" t="n"/>
      <c r="E281" s="137" t="n"/>
      <c r="G281" s="137" t="n"/>
    </row>
    <row r="282" ht="15" customHeight="1" s="83">
      <c r="A282" s="135" t="n"/>
      <c r="B282" s="143" t="n"/>
      <c r="C282" s="136" t="n"/>
      <c r="D282" s="143" t="n"/>
      <c r="E282" s="137" t="n"/>
      <c r="G282" s="137" t="n"/>
    </row>
    <row r="283" ht="15" customHeight="1" s="83">
      <c r="A283" s="135" t="n"/>
      <c r="B283" s="143" t="n"/>
      <c r="C283" s="136" t="n"/>
      <c r="D283" s="143" t="n"/>
      <c r="E283" s="137" t="n"/>
      <c r="G283" s="137" t="n"/>
    </row>
    <row r="284" ht="15" customHeight="1" s="83">
      <c r="A284" s="135" t="n"/>
      <c r="B284" s="143" t="n"/>
      <c r="C284" s="136" t="n"/>
      <c r="D284" s="143" t="n"/>
      <c r="E284" s="137" t="n"/>
      <c r="G284" s="137" t="n"/>
    </row>
    <row r="285" ht="15" customHeight="1" s="83">
      <c r="A285" s="135" t="n"/>
      <c r="B285" s="143" t="n"/>
      <c r="C285" s="136" t="n"/>
      <c r="D285" s="143" t="n"/>
      <c r="E285" s="137" t="n"/>
      <c r="G285" s="137" t="n"/>
    </row>
    <row r="286" ht="15" customHeight="1" s="83">
      <c r="A286" s="135" t="n"/>
      <c r="B286" s="143" t="n"/>
      <c r="C286" s="136" t="n"/>
      <c r="D286" s="143" t="n"/>
      <c r="E286" s="137" t="n"/>
      <c r="G286" s="137" t="n"/>
    </row>
    <row r="287" ht="15" customHeight="1" s="83">
      <c r="A287" s="135" t="n"/>
      <c r="B287" s="143" t="n"/>
      <c r="C287" s="136" t="n"/>
      <c r="D287" s="143" t="n"/>
      <c r="E287" s="137" t="n"/>
      <c r="G287" s="137" t="n"/>
    </row>
    <row r="288" ht="15" customHeight="1" s="83">
      <c r="A288" s="135" t="n"/>
      <c r="B288" s="143" t="n"/>
      <c r="C288" s="136" t="n"/>
      <c r="D288" s="143" t="n"/>
      <c r="E288" s="137" t="n"/>
      <c r="G288" s="137" t="n"/>
    </row>
    <row r="289" ht="15" customHeight="1" s="83">
      <c r="A289" s="135" t="n"/>
      <c r="B289" s="143" t="n"/>
      <c r="C289" s="136" t="n"/>
      <c r="D289" s="143" t="n"/>
      <c r="E289" s="137" t="n"/>
      <c r="G289" s="137" t="n"/>
    </row>
    <row r="290" ht="15" customHeight="1" s="83">
      <c r="A290" s="135" t="n"/>
      <c r="B290" s="143" t="n"/>
      <c r="C290" s="136" t="n"/>
      <c r="D290" s="143" t="n"/>
      <c r="E290" s="137" t="n"/>
      <c r="G290" s="137" t="n"/>
    </row>
    <row r="291" ht="15" customHeight="1" s="83">
      <c r="A291" s="135" t="n"/>
      <c r="B291" s="143" t="n"/>
      <c r="C291" s="136" t="n"/>
      <c r="D291" s="143" t="n"/>
      <c r="E291" s="137" t="n"/>
      <c r="G291" s="137" t="n"/>
    </row>
    <row r="292" ht="15" customHeight="1" s="83">
      <c r="A292" s="135" t="n"/>
      <c r="B292" s="143" t="n"/>
      <c r="C292" s="136" t="n"/>
      <c r="D292" s="143" t="n"/>
      <c r="E292" s="137" t="n"/>
      <c r="G292" s="137" t="n"/>
    </row>
    <row r="293" ht="15" customHeight="1" s="83">
      <c r="A293" s="135" t="n"/>
      <c r="B293" s="143" t="n"/>
      <c r="C293" s="136" t="n"/>
      <c r="D293" s="143" t="n"/>
      <c r="E293" s="137" t="n"/>
      <c r="G293" s="137" t="n"/>
    </row>
    <row r="294" ht="15" customHeight="1" s="83">
      <c r="A294" s="135" t="n"/>
      <c r="B294" s="143" t="n"/>
      <c r="C294" s="136" t="n"/>
      <c r="D294" s="143" t="n"/>
      <c r="E294" s="137" t="n"/>
      <c r="G294" s="137" t="n"/>
    </row>
    <row r="295" ht="15" customHeight="1" s="83">
      <c r="A295" s="135" t="n"/>
      <c r="B295" s="143" t="n"/>
      <c r="C295" s="136" t="n"/>
      <c r="D295" s="143" t="n"/>
      <c r="E295" s="137" t="n"/>
      <c r="G295" s="137" t="n"/>
    </row>
    <row r="296" ht="15" customHeight="1" s="83">
      <c r="A296" s="135" t="n"/>
      <c r="B296" s="143" t="n"/>
      <c r="C296" s="136" t="n"/>
      <c r="D296" s="143" t="n"/>
      <c r="E296" s="137" t="n"/>
      <c r="G296" s="137" t="n"/>
    </row>
    <row r="297" ht="15" customHeight="1" s="83">
      <c r="A297" s="135" t="n"/>
      <c r="B297" s="143" t="n"/>
      <c r="C297" s="136" t="n"/>
      <c r="D297" s="143" t="n"/>
      <c r="E297" s="137" t="n"/>
      <c r="G297" s="137" t="n"/>
    </row>
    <row r="298" ht="15" customHeight="1" s="83">
      <c r="A298" s="135" t="n"/>
      <c r="B298" s="143" t="n"/>
      <c r="C298" s="136" t="n"/>
      <c r="D298" s="143" t="n"/>
      <c r="E298" s="137" t="n"/>
      <c r="G298" s="137" t="n"/>
    </row>
    <row r="299" ht="15" customHeight="1" s="83">
      <c r="A299" s="135" t="n"/>
      <c r="B299" s="143" t="n"/>
      <c r="C299" s="136" t="n"/>
      <c r="D299" s="143" t="n"/>
      <c r="E299" s="137" t="n"/>
      <c r="G299" s="137" t="n"/>
    </row>
    <row r="300" ht="15" customHeight="1" s="83">
      <c r="A300" s="135" t="n"/>
      <c r="B300" s="143" t="n"/>
      <c r="C300" s="136" t="n"/>
      <c r="D300" s="143" t="n"/>
      <c r="E300" s="137" t="n"/>
      <c r="G300" s="137" t="n"/>
    </row>
    <row r="301" ht="15" customHeight="1" s="83">
      <c r="A301" s="135" t="n"/>
      <c r="B301" s="143" t="n"/>
      <c r="C301" s="136" t="n"/>
      <c r="D301" s="143" t="n"/>
      <c r="E301" s="137" t="n"/>
      <c r="G301" s="137" t="n"/>
    </row>
    <row r="302" ht="15" customHeight="1" s="83">
      <c r="A302" s="135" t="n"/>
      <c r="B302" s="143" t="n"/>
      <c r="C302" s="136" t="n"/>
      <c r="D302" s="143" t="n"/>
      <c r="E302" s="137" t="n"/>
      <c r="G302" s="137" t="n"/>
    </row>
    <row r="303" ht="15" customHeight="1" s="83">
      <c r="A303" s="135" t="n"/>
      <c r="B303" s="143" t="n"/>
      <c r="C303" s="136" t="n"/>
      <c r="D303" s="143" t="n"/>
      <c r="E303" s="137" t="n"/>
      <c r="G303" s="137" t="n"/>
    </row>
    <row r="304" ht="15" customHeight="1" s="83">
      <c r="A304" s="135" t="n"/>
      <c r="B304" s="143" t="n"/>
      <c r="C304" s="136" t="n"/>
      <c r="D304" s="143" t="n"/>
      <c r="E304" s="137" t="n"/>
      <c r="G304" s="137" t="n"/>
    </row>
    <row r="305" ht="15" customHeight="1" s="83">
      <c r="A305" s="135" t="n"/>
      <c r="B305" s="143" t="n"/>
      <c r="C305" s="136" t="n"/>
      <c r="D305" s="143" t="n"/>
      <c r="E305" s="137" t="n"/>
      <c r="G305" s="137" t="n"/>
    </row>
    <row r="306" ht="15" customHeight="1" s="83">
      <c r="A306" s="135" t="n"/>
      <c r="B306" s="143" t="n"/>
      <c r="C306" s="136" t="n"/>
      <c r="D306" s="143" t="n"/>
      <c r="E306" s="137" t="n"/>
      <c r="G306" s="137" t="n"/>
    </row>
    <row r="307" ht="15" customHeight="1" s="83">
      <c r="A307" s="135" t="n"/>
      <c r="B307" s="143" t="n"/>
      <c r="C307" s="136" t="n"/>
      <c r="D307" s="143" t="n"/>
      <c r="E307" s="137" t="n"/>
      <c r="G307" s="137" t="n"/>
    </row>
    <row r="308" ht="15" customHeight="1" s="83">
      <c r="A308" s="135" t="n"/>
      <c r="B308" s="143" t="n"/>
      <c r="C308" s="136" t="n"/>
      <c r="D308" s="143" t="n"/>
      <c r="E308" s="137" t="n"/>
      <c r="G308" s="137" t="n"/>
    </row>
    <row r="309" ht="15" customHeight="1" s="83">
      <c r="A309" s="135" t="n"/>
      <c r="B309" s="143" t="n"/>
      <c r="C309" s="136" t="n"/>
      <c r="D309" s="143" t="n"/>
      <c r="E309" s="137" t="n"/>
      <c r="G309" s="137" t="n"/>
    </row>
    <row r="310" ht="15" customHeight="1" s="83">
      <c r="A310" s="135" t="n"/>
      <c r="B310" s="143" t="n"/>
      <c r="C310" s="136" t="n"/>
      <c r="D310" s="143" t="n"/>
      <c r="E310" s="137" t="n"/>
      <c r="G310" s="137" t="n"/>
    </row>
    <row r="311" ht="15" customHeight="1" s="83">
      <c r="A311" s="135" t="n"/>
      <c r="B311" s="143" t="n"/>
      <c r="C311" s="136" t="n"/>
      <c r="D311" s="143" t="n"/>
      <c r="E311" s="137" t="n"/>
      <c r="G311" s="137" t="n"/>
    </row>
    <row r="312" ht="15" customHeight="1" s="83">
      <c r="A312" s="135" t="n"/>
      <c r="B312" s="143" t="n"/>
      <c r="C312" s="136" t="n"/>
      <c r="D312" s="143" t="n"/>
      <c r="E312" s="137" t="n"/>
      <c r="G312" s="137" t="n"/>
    </row>
    <row r="313" ht="15" customHeight="1" s="83">
      <c r="A313" s="135" t="n"/>
      <c r="B313" s="143" t="n"/>
      <c r="C313" s="136" t="n"/>
      <c r="D313" s="143" t="n"/>
      <c r="E313" s="137" t="n"/>
      <c r="G313" s="137" t="n"/>
    </row>
    <row r="314" ht="15" customHeight="1" s="83">
      <c r="A314" s="135" t="n"/>
      <c r="B314" s="143" t="n"/>
      <c r="C314" s="136" t="n"/>
      <c r="D314" s="143" t="n"/>
      <c r="E314" s="137" t="n"/>
      <c r="G314" s="137" t="n"/>
    </row>
    <row r="315" ht="15" customHeight="1" s="83">
      <c r="A315" s="135" t="n"/>
      <c r="B315" s="143" t="n"/>
      <c r="C315" s="136" t="n"/>
      <c r="D315" s="143" t="n"/>
      <c r="E315" s="137" t="n"/>
      <c r="G315" s="137" t="n"/>
    </row>
    <row r="316" ht="15" customHeight="1" s="83">
      <c r="A316" s="135" t="n"/>
      <c r="B316" s="143" t="n"/>
      <c r="C316" s="136" t="n"/>
      <c r="D316" s="143" t="n"/>
      <c r="E316" s="137" t="n"/>
      <c r="G316" s="137" t="n"/>
    </row>
    <row r="317" ht="15" customHeight="1" s="83">
      <c r="A317" s="135" t="n"/>
      <c r="B317" s="143" t="n"/>
      <c r="C317" s="136" t="n"/>
      <c r="D317" s="143" t="n"/>
      <c r="E317" s="137" t="n"/>
      <c r="G317" s="137" t="n"/>
    </row>
    <row r="318" ht="15" customHeight="1" s="83">
      <c r="A318" s="135" t="n"/>
      <c r="B318" s="143" t="n"/>
      <c r="C318" s="136" t="n"/>
      <c r="D318" s="143" t="n"/>
      <c r="E318" s="137" t="n"/>
      <c r="G318" s="137" t="n"/>
    </row>
    <row r="319" ht="15" customHeight="1" s="83">
      <c r="A319" s="135" t="n"/>
      <c r="B319" s="143" t="n"/>
      <c r="C319" s="136" t="n"/>
      <c r="D319" s="143" t="n"/>
      <c r="E319" s="137" t="n"/>
      <c r="G319" s="137" t="n"/>
    </row>
    <row r="320" ht="15" customHeight="1" s="83">
      <c r="A320" s="135" t="n"/>
      <c r="B320" s="143" t="n"/>
      <c r="C320" s="136" t="n"/>
      <c r="D320" s="143" t="n"/>
      <c r="E320" s="137" t="n"/>
      <c r="G320" s="137" t="n"/>
    </row>
    <row r="321" ht="15" customHeight="1" s="83">
      <c r="A321" s="135" t="n"/>
      <c r="B321" s="143" t="n"/>
      <c r="C321" s="136" t="n"/>
      <c r="D321" s="143" t="n"/>
      <c r="E321" s="137" t="n"/>
      <c r="G321" s="137" t="n"/>
    </row>
    <row r="322" ht="15" customHeight="1" s="83">
      <c r="A322" s="135" t="n"/>
      <c r="B322" s="143" t="n"/>
      <c r="C322" s="136" t="n"/>
      <c r="D322" s="143" t="n"/>
      <c r="E322" s="137" t="n"/>
      <c r="G322" s="137" t="n"/>
    </row>
    <row r="323" ht="15" customHeight="1" s="83">
      <c r="A323" s="135" t="n"/>
      <c r="B323" s="143" t="n"/>
      <c r="C323" s="136" t="n"/>
      <c r="D323" s="143" t="n"/>
      <c r="E323" s="137" t="n"/>
      <c r="G323" s="137" t="n"/>
    </row>
    <row r="324" ht="15" customHeight="1" s="83">
      <c r="A324" s="135" t="n"/>
      <c r="B324" s="143" t="n"/>
      <c r="C324" s="136" t="n"/>
      <c r="D324" s="143" t="n"/>
      <c r="E324" s="137" t="n"/>
      <c r="G324" s="137" t="n"/>
    </row>
    <row r="325" ht="15" customHeight="1" s="83">
      <c r="A325" s="135" t="n"/>
      <c r="B325" s="143" t="n"/>
      <c r="C325" s="136" t="n"/>
      <c r="D325" s="143" t="n"/>
      <c r="E325" s="137" t="n"/>
      <c r="G325" s="137" t="n"/>
    </row>
    <row r="326" ht="15" customHeight="1" s="83">
      <c r="A326" s="135" t="n"/>
      <c r="B326" s="143" t="n"/>
      <c r="C326" s="136" t="n"/>
      <c r="D326" s="143" t="n"/>
      <c r="E326" s="137" t="n"/>
      <c r="G326" s="137" t="n"/>
    </row>
    <row r="327" ht="15" customHeight="1" s="83">
      <c r="A327" s="135" t="n"/>
      <c r="B327" s="143" t="n"/>
      <c r="C327" s="136" t="n"/>
      <c r="D327" s="143" t="n"/>
      <c r="E327" s="137" t="n"/>
      <c r="G327" s="137" t="n"/>
    </row>
    <row r="328" ht="15" customHeight="1" s="83">
      <c r="A328" s="135" t="n"/>
      <c r="B328" s="143" t="n"/>
      <c r="C328" s="136" t="n"/>
      <c r="D328" s="143" t="n"/>
      <c r="E328" s="137" t="n"/>
      <c r="G328" s="137" t="n"/>
    </row>
    <row r="329" ht="15" customHeight="1" s="83">
      <c r="A329" s="135" t="n"/>
      <c r="B329" s="143" t="n"/>
      <c r="C329" s="136" t="n"/>
      <c r="D329" s="143" t="n"/>
      <c r="E329" s="137" t="n"/>
      <c r="G329" s="137" t="n"/>
    </row>
    <row r="330" ht="15" customHeight="1" s="83">
      <c r="A330" s="135" t="n"/>
      <c r="B330" s="143" t="n"/>
      <c r="C330" s="136" t="n"/>
      <c r="D330" s="143" t="n"/>
      <c r="E330" s="137" t="n"/>
      <c r="G330" s="137" t="n"/>
    </row>
    <row r="331" ht="15" customHeight="1" s="83">
      <c r="A331" s="135" t="n"/>
      <c r="B331" s="143" t="n"/>
      <c r="C331" s="136" t="n"/>
      <c r="D331" s="143" t="n"/>
      <c r="E331" s="137" t="n"/>
      <c r="G331" s="137" t="n"/>
    </row>
    <row r="332" ht="15" customHeight="1" s="83">
      <c r="A332" s="135" t="n"/>
      <c r="B332" s="143" t="n"/>
      <c r="C332" s="136" t="n"/>
      <c r="D332" s="143" t="n"/>
      <c r="E332" s="137" t="n"/>
      <c r="G332" s="137" t="n"/>
    </row>
    <row r="333" ht="15" customHeight="1" s="83">
      <c r="A333" s="135" t="n"/>
      <c r="B333" s="143" t="n"/>
      <c r="C333" s="136" t="n"/>
      <c r="D333" s="143" t="n"/>
      <c r="E333" s="137" t="n"/>
      <c r="G333" s="137" t="n"/>
    </row>
    <row r="334" ht="15" customHeight="1" s="83">
      <c r="A334" s="135" t="n"/>
      <c r="B334" s="143" t="n"/>
      <c r="C334" s="136" t="n"/>
      <c r="D334" s="143" t="n"/>
      <c r="E334" s="137" t="n"/>
      <c r="G334" s="137" t="n"/>
    </row>
    <row r="335" ht="15" customHeight="1" s="83">
      <c r="A335" s="135" t="n"/>
      <c r="B335" s="143" t="n"/>
      <c r="C335" s="136" t="n"/>
      <c r="D335" s="143" t="n"/>
      <c r="E335" s="137" t="n"/>
      <c r="G335" s="137" t="n"/>
    </row>
    <row r="336" ht="15" customHeight="1" s="83">
      <c r="A336" s="135" t="n"/>
      <c r="B336" s="143" t="n"/>
      <c r="C336" s="136" t="n"/>
      <c r="D336" s="143" t="n"/>
      <c r="E336" s="137" t="n"/>
      <c r="G336" s="137" t="n"/>
    </row>
    <row r="337" ht="15" customHeight="1" s="83">
      <c r="A337" s="135" t="n"/>
      <c r="B337" s="143" t="n"/>
      <c r="C337" s="136" t="n"/>
      <c r="D337" s="143" t="n"/>
      <c r="E337" s="137" t="n"/>
      <c r="G337" s="137" t="n"/>
    </row>
    <row r="338" ht="15" customHeight="1" s="83">
      <c r="A338" s="135" t="n"/>
      <c r="B338" s="143" t="n"/>
      <c r="C338" s="136" t="n"/>
      <c r="D338" s="143" t="n"/>
      <c r="E338" s="137" t="n"/>
      <c r="G338" s="137" t="n"/>
    </row>
    <row r="339" ht="15" customHeight="1" s="83">
      <c r="A339" s="135" t="n"/>
      <c r="B339" s="143" t="n"/>
      <c r="C339" s="136" t="n"/>
      <c r="D339" s="143" t="n"/>
      <c r="E339" s="137" t="n"/>
      <c r="G339" s="137" t="n"/>
    </row>
    <row r="340" ht="15" customHeight="1" s="83">
      <c r="A340" s="135" t="n"/>
      <c r="B340" s="143" t="n"/>
      <c r="C340" s="136" t="n"/>
      <c r="D340" s="143" t="n"/>
      <c r="E340" s="137" t="n"/>
      <c r="G340" s="137" t="n"/>
    </row>
    <row r="341" ht="15" customHeight="1" s="83">
      <c r="A341" s="135" t="n"/>
      <c r="B341" s="143" t="n"/>
      <c r="C341" s="136" t="n"/>
      <c r="D341" s="143" t="n"/>
      <c r="E341" s="137" t="n"/>
      <c r="G341" s="137" t="n"/>
    </row>
    <row r="342" ht="15" customHeight="1" s="83">
      <c r="A342" s="135" t="n"/>
      <c r="B342" s="143" t="n"/>
      <c r="C342" s="136" t="n"/>
      <c r="D342" s="143" t="n"/>
      <c r="E342" s="137" t="n"/>
      <c r="G342" s="137" t="n"/>
    </row>
    <row r="343" ht="15" customHeight="1" s="83">
      <c r="A343" s="135" t="n"/>
      <c r="B343" s="143" t="n"/>
      <c r="C343" s="136" t="n"/>
      <c r="D343" s="143" t="n"/>
      <c r="E343" s="137" t="n"/>
      <c r="G343" s="137" t="n"/>
    </row>
    <row r="344" ht="15" customHeight="1" s="83">
      <c r="A344" s="135" t="n"/>
      <c r="B344" s="143" t="n"/>
      <c r="C344" s="136" t="n"/>
      <c r="D344" s="143" t="n"/>
      <c r="E344" s="137" t="n"/>
      <c r="G344" s="137" t="n"/>
    </row>
    <row r="345" ht="15" customHeight="1" s="83">
      <c r="A345" s="135" t="n"/>
      <c r="B345" s="143" t="n"/>
      <c r="C345" s="136" t="n"/>
      <c r="D345" s="143" t="n"/>
      <c r="E345" s="137" t="n"/>
      <c r="G345" s="137" t="n"/>
    </row>
    <row r="346" ht="15" customHeight="1" s="83">
      <c r="A346" s="135" t="n"/>
      <c r="B346" s="143" t="n"/>
      <c r="C346" s="136" t="n"/>
      <c r="D346" s="143" t="n"/>
      <c r="E346" s="137" t="n"/>
      <c r="G346" s="137" t="n"/>
    </row>
    <row r="347" ht="15" customHeight="1" s="83">
      <c r="A347" s="135" t="n"/>
      <c r="B347" s="143" t="n"/>
      <c r="C347" s="136" t="n"/>
      <c r="D347" s="143" t="n"/>
      <c r="E347" s="137" t="n"/>
      <c r="G347" s="137" t="n"/>
    </row>
    <row r="348" ht="15" customHeight="1" s="83">
      <c r="A348" s="135" t="n"/>
      <c r="B348" s="143" t="n"/>
      <c r="C348" s="136" t="n"/>
      <c r="D348" s="143" t="n"/>
      <c r="E348" s="137" t="n"/>
      <c r="G348" s="137" t="n"/>
    </row>
    <row r="349" ht="15" customHeight="1" s="83">
      <c r="A349" s="135" t="n"/>
      <c r="B349" s="143" t="n"/>
      <c r="C349" s="136" t="n"/>
      <c r="D349" s="143" t="n"/>
      <c r="E349" s="137" t="n"/>
      <c r="G349" s="137" t="n"/>
    </row>
    <row r="350" ht="15" customHeight="1" s="83">
      <c r="A350" s="135" t="n"/>
      <c r="B350" s="143" t="n"/>
      <c r="C350" s="136" t="n"/>
      <c r="D350" s="143" t="n"/>
      <c r="E350" s="137" t="n"/>
      <c r="G350" s="137" t="n"/>
    </row>
    <row r="351" ht="15" customHeight="1" s="83">
      <c r="A351" s="135" t="n"/>
      <c r="B351" s="143" t="n"/>
      <c r="C351" s="136" t="n"/>
      <c r="D351" s="143" t="n"/>
      <c r="E351" s="137" t="n"/>
      <c r="G351" s="137" t="n"/>
    </row>
    <row r="352" ht="15" customHeight="1" s="83">
      <c r="A352" s="135" t="n"/>
      <c r="B352" s="143" t="n"/>
      <c r="C352" s="136" t="n"/>
      <c r="D352" s="143" t="n"/>
      <c r="E352" s="137" t="n"/>
      <c r="G352" s="137" t="n"/>
    </row>
    <row r="353" ht="15" customHeight="1" s="83">
      <c r="A353" s="135" t="n"/>
      <c r="B353" s="143" t="n"/>
      <c r="C353" s="136" t="n"/>
      <c r="D353" s="143" t="n"/>
      <c r="E353" s="137" t="n"/>
      <c r="G353" s="137" t="n"/>
    </row>
    <row r="354" ht="15" customHeight="1" s="83">
      <c r="A354" s="135" t="n"/>
      <c r="B354" s="143" t="n"/>
      <c r="C354" s="136" t="n"/>
      <c r="D354" s="143" t="n"/>
      <c r="E354" s="137" t="n"/>
      <c r="G354" s="137" t="n"/>
    </row>
    <row r="355" ht="15" customHeight="1" s="83">
      <c r="A355" s="135" t="n"/>
      <c r="B355" s="143" t="n"/>
      <c r="C355" s="136" t="n"/>
      <c r="D355" s="143" t="n"/>
      <c r="E355" s="137" t="n"/>
      <c r="G355" s="137" t="n"/>
    </row>
    <row r="356" ht="15" customHeight="1" s="83">
      <c r="A356" s="135" t="n"/>
      <c r="B356" s="143" t="n"/>
      <c r="C356" s="136" t="n"/>
      <c r="D356" s="143" t="n"/>
      <c r="E356" s="137" t="n"/>
      <c r="G356" s="137" t="n"/>
    </row>
    <row r="357" ht="15" customHeight="1" s="83">
      <c r="A357" s="135" t="n"/>
      <c r="B357" s="143" t="n"/>
      <c r="C357" s="136" t="n"/>
      <c r="D357" s="143" t="n"/>
      <c r="E357" s="137" t="n"/>
      <c r="G357" s="137" t="n"/>
    </row>
    <row r="358" ht="15" customHeight="1" s="83">
      <c r="A358" s="135" t="n"/>
      <c r="B358" s="143" t="n"/>
      <c r="C358" s="136" t="n"/>
      <c r="D358" s="143" t="n"/>
      <c r="E358" s="137" t="n"/>
      <c r="G358" s="137" t="n"/>
    </row>
    <row r="359" ht="15" customHeight="1" s="83">
      <c r="A359" s="135" t="n"/>
      <c r="B359" s="143" t="n"/>
      <c r="C359" s="136" t="n"/>
      <c r="D359" s="143" t="n"/>
      <c r="E359" s="137" t="n"/>
      <c r="G359" s="137" t="n"/>
    </row>
    <row r="360" ht="15" customHeight="1" s="83">
      <c r="A360" s="135" t="n"/>
      <c r="B360" s="143" t="n"/>
      <c r="C360" s="136" t="n"/>
      <c r="D360" s="143" t="n"/>
      <c r="E360" s="137" t="n"/>
      <c r="G360" s="137" t="n"/>
    </row>
    <row r="361" ht="15" customHeight="1" s="83">
      <c r="A361" s="135" t="n"/>
      <c r="B361" s="143" t="n"/>
      <c r="C361" s="136" t="n"/>
      <c r="D361" s="143" t="n"/>
      <c r="E361" s="137" t="n"/>
      <c r="G361" s="137" t="n"/>
    </row>
    <row r="362" ht="15" customHeight="1" s="83">
      <c r="A362" s="135" t="n"/>
      <c r="B362" s="143" t="n"/>
      <c r="C362" s="136" t="n"/>
      <c r="D362" s="143" t="n"/>
      <c r="E362" s="137" t="n"/>
      <c r="G362" s="137" t="n"/>
    </row>
    <row r="363" ht="15" customHeight="1" s="83">
      <c r="A363" s="135" t="n"/>
      <c r="B363" s="143" t="n"/>
      <c r="C363" s="136" t="n"/>
      <c r="D363" s="143" t="n"/>
      <c r="E363" s="137" t="n"/>
      <c r="G363" s="137" t="n"/>
    </row>
    <row r="364" ht="15" customHeight="1" s="83">
      <c r="A364" s="135" t="n"/>
      <c r="B364" s="143" t="n"/>
      <c r="C364" s="136" t="n"/>
      <c r="D364" s="143" t="n"/>
      <c r="E364" s="137" t="n"/>
      <c r="G364" s="137" t="n"/>
    </row>
    <row r="365" ht="15" customHeight="1" s="83">
      <c r="A365" s="135" t="n"/>
      <c r="B365" s="143" t="n"/>
      <c r="C365" s="136" t="n"/>
      <c r="D365" s="143" t="n"/>
      <c r="E365" s="137" t="n"/>
      <c r="G365" s="137" t="n"/>
    </row>
    <row r="366" ht="15" customHeight="1" s="83">
      <c r="A366" s="135" t="n"/>
      <c r="B366" s="143" t="n"/>
      <c r="C366" s="136" t="n"/>
      <c r="D366" s="143" t="n"/>
      <c r="E366" s="137" t="n"/>
      <c r="G366" s="137" t="n"/>
    </row>
    <row r="367" ht="15" customHeight="1" s="83">
      <c r="A367" s="135" t="n"/>
      <c r="B367" s="143" t="n"/>
      <c r="C367" s="136" t="n"/>
      <c r="D367" s="143" t="n"/>
      <c r="E367" s="137" t="n"/>
      <c r="G367" s="137" t="n"/>
    </row>
    <row r="368" ht="15" customHeight="1" s="83">
      <c r="A368" s="135" t="n"/>
      <c r="B368" s="143" t="n"/>
      <c r="C368" s="136" t="n"/>
      <c r="D368" s="143" t="n"/>
      <c r="E368" s="137" t="n"/>
      <c r="G368" s="137" t="n"/>
    </row>
    <row r="369" ht="15" customHeight="1" s="83">
      <c r="A369" s="135" t="n"/>
      <c r="B369" s="143" t="n"/>
      <c r="C369" s="136" t="n"/>
      <c r="D369" s="143" t="n"/>
      <c r="E369" s="137" t="n"/>
      <c r="G369" s="137" t="n"/>
    </row>
    <row r="370" ht="15" customHeight="1" s="83">
      <c r="A370" s="135" t="n"/>
      <c r="B370" s="143" t="n"/>
      <c r="C370" s="136" t="n"/>
      <c r="D370" s="143" t="n"/>
      <c r="E370" s="137" t="n"/>
      <c r="G370" s="137" t="n"/>
    </row>
    <row r="371" ht="15" customHeight="1" s="83">
      <c r="A371" s="135" t="n"/>
      <c r="B371" s="143" t="n"/>
      <c r="C371" s="136" t="n"/>
      <c r="D371" s="143" t="n"/>
      <c r="E371" s="137" t="n"/>
      <c r="G371" s="137" t="n"/>
    </row>
    <row r="372" ht="15" customHeight="1" s="83">
      <c r="A372" s="135" t="n"/>
      <c r="B372" s="143" t="n"/>
      <c r="C372" s="136" t="n"/>
      <c r="D372" s="143" t="n"/>
      <c r="E372" s="137" t="n"/>
      <c r="G372" s="137" t="n"/>
    </row>
    <row r="373" ht="15" customHeight="1" s="83">
      <c r="A373" s="135" t="n"/>
      <c r="B373" s="143" t="n"/>
      <c r="C373" s="136" t="n"/>
      <c r="D373" s="143" t="n"/>
      <c r="E373" s="137" t="n"/>
      <c r="G373" s="137" t="n"/>
    </row>
    <row r="374" ht="15" customHeight="1" s="83">
      <c r="A374" s="135" t="n"/>
      <c r="B374" s="143" t="n"/>
      <c r="C374" s="136" t="n"/>
      <c r="D374" s="143" t="n"/>
      <c r="E374" s="137" t="n"/>
      <c r="G374" s="137" t="n"/>
    </row>
    <row r="375" ht="15" customHeight="1" s="83">
      <c r="A375" s="135" t="n"/>
      <c r="B375" s="143" t="n"/>
      <c r="C375" s="136" t="n"/>
      <c r="D375" s="143" t="n"/>
      <c r="E375" s="137" t="n"/>
      <c r="G375" s="137" t="n"/>
    </row>
    <row r="376" ht="15" customHeight="1" s="83">
      <c r="A376" s="135" t="n"/>
      <c r="B376" s="143" t="n"/>
      <c r="C376" s="136" t="n"/>
      <c r="D376" s="143" t="n"/>
      <c r="E376" s="137" t="n"/>
      <c r="G376" s="137" t="n"/>
    </row>
    <row r="377" ht="15" customHeight="1" s="83">
      <c r="A377" s="135" t="n"/>
      <c r="B377" s="143" t="n"/>
      <c r="C377" s="136" t="n"/>
      <c r="D377" s="143" t="n"/>
      <c r="E377" s="137" t="n"/>
      <c r="G377" s="137" t="n"/>
    </row>
    <row r="378" ht="15" customHeight="1" s="83">
      <c r="A378" s="135" t="n"/>
      <c r="B378" s="143" t="n"/>
      <c r="C378" s="136" t="n"/>
      <c r="D378" s="143" t="n"/>
      <c r="E378" s="137" t="n"/>
      <c r="G378" s="137" t="n"/>
    </row>
    <row r="379" ht="15" customHeight="1" s="83">
      <c r="A379" s="135" t="n"/>
      <c r="B379" s="143" t="n"/>
      <c r="C379" s="136" t="n"/>
      <c r="D379" s="143" t="n"/>
      <c r="E379" s="137" t="n"/>
      <c r="G379" s="137" t="n"/>
    </row>
    <row r="380" ht="15" customHeight="1" s="83">
      <c r="A380" s="135" t="n"/>
      <c r="B380" s="143" t="n"/>
      <c r="C380" s="136" t="n"/>
      <c r="D380" s="143" t="n"/>
      <c r="E380" s="137" t="n"/>
      <c r="G380" s="137" t="n"/>
    </row>
    <row r="381" ht="15" customHeight="1" s="83">
      <c r="A381" s="135" t="n"/>
      <c r="B381" s="143" t="n"/>
      <c r="C381" s="136" t="n"/>
      <c r="D381" s="143" t="n"/>
      <c r="E381" s="137" t="n"/>
      <c r="G381" s="137" t="n"/>
    </row>
    <row r="382" ht="15" customHeight="1" s="83">
      <c r="A382" s="135" t="n"/>
      <c r="B382" s="143" t="n"/>
      <c r="C382" s="136" t="n"/>
      <c r="D382" s="143" t="n"/>
      <c r="E382" s="137" t="n"/>
      <c r="G382" s="137" t="n"/>
    </row>
    <row r="383" ht="15" customHeight="1" s="83">
      <c r="A383" s="135" t="n"/>
      <c r="B383" s="143" t="n"/>
      <c r="C383" s="136" t="n"/>
      <c r="D383" s="143" t="n"/>
      <c r="E383" s="137" t="n"/>
      <c r="G383" s="137" t="n"/>
    </row>
    <row r="384" ht="15" customHeight="1" s="83">
      <c r="A384" s="135" t="n"/>
      <c r="B384" s="143" t="n"/>
      <c r="C384" s="136" t="n"/>
      <c r="D384" s="143" t="n"/>
      <c r="E384" s="137" t="n"/>
      <c r="G384" s="137" t="n"/>
    </row>
    <row r="385" ht="15" customHeight="1" s="83">
      <c r="A385" s="135" t="n"/>
      <c r="B385" s="143" t="n"/>
      <c r="C385" s="136" t="n"/>
      <c r="D385" s="143" t="n"/>
      <c r="E385" s="137" t="n"/>
      <c r="G385" s="137" t="n"/>
    </row>
    <row r="386" ht="15" customHeight="1" s="83">
      <c r="A386" s="135" t="n"/>
      <c r="B386" s="143" t="n"/>
      <c r="C386" s="136" t="n"/>
      <c r="D386" s="143" t="n"/>
      <c r="E386" s="137" t="n"/>
      <c r="G386" s="137" t="n"/>
    </row>
    <row r="387" ht="15" customHeight="1" s="83">
      <c r="A387" s="135" t="n"/>
      <c r="B387" s="143" t="n"/>
      <c r="C387" s="136" t="n"/>
      <c r="D387" s="143" t="n"/>
      <c r="E387" s="137" t="n"/>
      <c r="G387" s="137" t="n"/>
    </row>
    <row r="388" ht="15" customHeight="1" s="83">
      <c r="A388" s="135" t="n"/>
      <c r="B388" s="143" t="n"/>
      <c r="C388" s="136" t="n"/>
      <c r="D388" s="143" t="n"/>
      <c r="E388" s="137" t="n"/>
      <c r="G388" s="137" t="n"/>
    </row>
    <row r="389" ht="15" customHeight="1" s="83">
      <c r="A389" s="135" t="n"/>
      <c r="B389" s="143" t="n"/>
      <c r="C389" s="136" t="n"/>
      <c r="D389" s="143" t="n"/>
      <c r="E389" s="137" t="n"/>
      <c r="G389" s="137" t="n"/>
    </row>
    <row r="390" ht="15" customHeight="1" s="83">
      <c r="A390" s="135" t="n"/>
      <c r="B390" s="143" t="n"/>
      <c r="C390" s="136" t="n"/>
      <c r="D390" s="143" t="n"/>
      <c r="E390" s="137" t="n"/>
      <c r="G390" s="137" t="n"/>
    </row>
    <row r="391" ht="15" customHeight="1" s="83">
      <c r="A391" s="135" t="n"/>
      <c r="B391" s="143" t="n"/>
      <c r="C391" s="136" t="n"/>
      <c r="D391" s="143" t="n"/>
      <c r="E391" s="137" t="n"/>
      <c r="G391" s="137" t="n"/>
    </row>
    <row r="392" ht="15" customHeight="1" s="83">
      <c r="A392" s="135" t="n"/>
      <c r="B392" s="143" t="n"/>
      <c r="C392" s="136" t="n"/>
      <c r="D392" s="143" t="n"/>
      <c r="E392" s="137" t="n"/>
      <c r="G392" s="137" t="n"/>
    </row>
    <row r="393" ht="15" customHeight="1" s="83">
      <c r="A393" s="135" t="n"/>
      <c r="B393" s="143" t="n"/>
      <c r="C393" s="136" t="n"/>
      <c r="D393" s="143" t="n"/>
      <c r="E393" s="137" t="n"/>
      <c r="G393" s="137" t="n"/>
    </row>
    <row r="394" ht="15" customHeight="1" s="83">
      <c r="A394" s="135" t="n"/>
      <c r="B394" s="143" t="n"/>
      <c r="C394" s="136" t="n"/>
      <c r="D394" s="143" t="n"/>
      <c r="E394" s="137" t="n"/>
      <c r="G394" s="137" t="n"/>
    </row>
    <row r="395" ht="15" customHeight="1" s="83">
      <c r="A395" s="135" t="n"/>
      <c r="B395" s="143" t="n"/>
      <c r="C395" s="136" t="n"/>
      <c r="D395" s="143" t="n"/>
      <c r="E395" s="137" t="n"/>
      <c r="G395" s="137" t="n"/>
    </row>
    <row r="396" ht="15" customHeight="1" s="83">
      <c r="A396" s="135" t="n"/>
      <c r="B396" s="143" t="n"/>
      <c r="C396" s="136" t="n"/>
      <c r="D396" s="143" t="n"/>
      <c r="E396" s="137" t="n"/>
      <c r="G396" s="137" t="n"/>
    </row>
    <row r="397" ht="15" customHeight="1" s="83">
      <c r="A397" s="135" t="n"/>
      <c r="B397" s="143" t="n"/>
      <c r="C397" s="136" t="n"/>
      <c r="D397" s="143" t="n"/>
      <c r="E397" s="137" t="n"/>
      <c r="G397" s="137" t="n"/>
    </row>
    <row r="398" ht="15" customHeight="1" s="83">
      <c r="A398" s="135" t="n"/>
      <c r="B398" s="143" t="n"/>
      <c r="C398" s="136" t="n"/>
      <c r="D398" s="143" t="n"/>
      <c r="E398" s="137" t="n"/>
      <c r="G398" s="137" t="n"/>
    </row>
    <row r="399" ht="15" customHeight="1" s="83">
      <c r="A399" s="135" t="n"/>
      <c r="B399" s="143" t="n"/>
      <c r="C399" s="136" t="n"/>
      <c r="D399" s="143" t="n"/>
      <c r="E399" s="137" t="n"/>
      <c r="G399" s="137" t="n"/>
    </row>
    <row r="400" ht="15" customHeight="1" s="83">
      <c r="A400" s="135" t="n"/>
      <c r="B400" s="143" t="n"/>
      <c r="C400" s="136" t="n"/>
      <c r="D400" s="143" t="n"/>
      <c r="E400" s="137" t="n"/>
      <c r="G400" s="137" t="n"/>
    </row>
    <row r="401" ht="15" customHeight="1" s="83">
      <c r="A401" s="135" t="n"/>
      <c r="B401" s="143" t="n"/>
      <c r="C401" s="136" t="n"/>
      <c r="D401" s="143" t="n"/>
      <c r="E401" s="137" t="n"/>
      <c r="G401" s="137" t="n"/>
    </row>
    <row r="402" ht="15" customHeight="1" s="83">
      <c r="A402" s="135" t="n"/>
      <c r="B402" s="143" t="n"/>
      <c r="C402" s="136" t="n"/>
      <c r="D402" s="143" t="n"/>
      <c r="E402" s="137" t="n"/>
      <c r="G402" s="137" t="n"/>
    </row>
    <row r="403" ht="15" customHeight="1" s="83">
      <c r="A403" s="135" t="n"/>
      <c r="B403" s="143" t="n"/>
      <c r="C403" s="136" t="n"/>
      <c r="D403" s="143" t="n"/>
      <c r="E403" s="137" t="n"/>
      <c r="G403" s="137" t="n"/>
    </row>
    <row r="404" ht="15" customHeight="1" s="83">
      <c r="A404" s="135" t="n"/>
      <c r="B404" s="143" t="n"/>
      <c r="C404" s="136" t="n"/>
      <c r="D404" s="143" t="n"/>
      <c r="E404" s="137" t="n"/>
      <c r="G404" s="137" t="n"/>
    </row>
    <row r="405" ht="15" customHeight="1" s="83">
      <c r="A405" s="135" t="n"/>
      <c r="B405" s="143" t="n"/>
      <c r="C405" s="136" t="n"/>
      <c r="D405" s="143" t="n"/>
      <c r="E405" s="137" t="n"/>
      <c r="G405" s="137" t="n"/>
    </row>
    <row r="406" ht="15" customHeight="1" s="83">
      <c r="A406" s="135" t="n"/>
      <c r="B406" s="143" t="n"/>
      <c r="C406" s="136" t="n"/>
      <c r="D406" s="143" t="n"/>
      <c r="E406" s="137" t="n"/>
      <c r="G406" s="137" t="n"/>
    </row>
    <row r="407" ht="15" customHeight="1" s="83">
      <c r="A407" s="135" t="n"/>
      <c r="B407" s="143" t="n"/>
      <c r="C407" s="136" t="n"/>
      <c r="D407" s="143" t="n"/>
      <c r="E407" s="137" t="n"/>
      <c r="G407" s="137" t="n"/>
    </row>
    <row r="408" ht="15" customHeight="1" s="83">
      <c r="A408" s="135" t="n"/>
      <c r="B408" s="143" t="n"/>
      <c r="C408" s="136" t="n"/>
      <c r="D408" s="143" t="n"/>
      <c r="E408" s="137" t="n"/>
      <c r="G408" s="137" t="n"/>
    </row>
    <row r="409" ht="15" customHeight="1" s="83">
      <c r="A409" s="135" t="n"/>
      <c r="B409" s="143" t="n"/>
      <c r="C409" s="136" t="n"/>
      <c r="D409" s="143" t="n"/>
      <c r="E409" s="137" t="n"/>
      <c r="G409" s="137" t="n"/>
    </row>
    <row r="410" ht="15" customHeight="1" s="83">
      <c r="A410" s="135" t="n"/>
      <c r="B410" s="143" t="n"/>
      <c r="C410" s="136" t="n"/>
      <c r="D410" s="143" t="n"/>
      <c r="E410" s="137" t="n"/>
      <c r="G410" s="137" t="n"/>
    </row>
    <row r="411" ht="15" customHeight="1" s="83">
      <c r="A411" s="135" t="n"/>
      <c r="B411" s="143" t="n"/>
      <c r="C411" s="136" t="n"/>
      <c r="D411" s="143" t="n"/>
      <c r="E411" s="137" t="n"/>
      <c r="G411" s="137" t="n"/>
    </row>
    <row r="412" ht="15" customHeight="1" s="83">
      <c r="A412" s="135" t="n"/>
      <c r="B412" s="143" t="n"/>
      <c r="C412" s="136" t="n"/>
      <c r="D412" s="143" t="n"/>
      <c r="E412" s="137" t="n"/>
      <c r="G412" s="137" t="n"/>
    </row>
    <row r="413" ht="15" customHeight="1" s="83">
      <c r="A413" s="135" t="n"/>
      <c r="B413" s="143" t="n"/>
      <c r="C413" s="136" t="n"/>
      <c r="D413" s="143" t="n"/>
      <c r="E413" s="137" t="n"/>
      <c r="G413" s="137" t="n"/>
    </row>
    <row r="414" ht="15" customHeight="1" s="83">
      <c r="A414" s="135" t="n"/>
      <c r="B414" s="143" t="n"/>
      <c r="C414" s="136" t="n"/>
      <c r="D414" s="143" t="n"/>
      <c r="E414" s="137" t="n"/>
      <c r="G414" s="137" t="n"/>
    </row>
    <row r="415" ht="15" customHeight="1" s="83">
      <c r="A415" s="135" t="n"/>
      <c r="B415" s="143" t="n"/>
      <c r="C415" s="136" t="n"/>
      <c r="D415" s="143" t="n"/>
      <c r="E415" s="137" t="n"/>
      <c r="G415" s="137" t="n"/>
    </row>
    <row r="416" ht="15" customHeight="1" s="83">
      <c r="A416" s="135" t="n"/>
      <c r="B416" s="143" t="n"/>
      <c r="C416" s="136" t="n"/>
      <c r="D416" s="143" t="n"/>
      <c r="E416" s="137" t="n"/>
      <c r="G416" s="137" t="n"/>
    </row>
    <row r="417" ht="15" customHeight="1" s="83">
      <c r="A417" s="135" t="n"/>
      <c r="B417" s="143" t="n"/>
      <c r="C417" s="136" t="n"/>
      <c r="D417" s="143" t="n"/>
      <c r="E417" s="137" t="n"/>
      <c r="G417" s="137" t="n"/>
    </row>
    <row r="418" ht="15" customHeight="1" s="83">
      <c r="A418" s="135" t="n"/>
      <c r="B418" s="143" t="n"/>
      <c r="C418" s="136" t="n"/>
      <c r="D418" s="143" t="n"/>
      <c r="E418" s="137" t="n"/>
      <c r="G418" s="137" t="n"/>
    </row>
    <row r="419" ht="15" customHeight="1" s="83">
      <c r="A419" s="135" t="n"/>
      <c r="B419" s="143" t="n"/>
      <c r="C419" s="136" t="n"/>
      <c r="D419" s="143" t="n"/>
      <c r="E419" s="137" t="n"/>
      <c r="G419" s="137" t="n"/>
    </row>
    <row r="420" ht="15" customHeight="1" s="83">
      <c r="A420" s="135" t="n"/>
      <c r="B420" s="143" t="n"/>
      <c r="C420" s="136" t="n"/>
      <c r="D420" s="143" t="n"/>
      <c r="E420" s="137" t="n"/>
      <c r="G420" s="137" t="n"/>
    </row>
    <row r="421" ht="15" customHeight="1" s="83">
      <c r="A421" s="135" t="n"/>
      <c r="B421" s="143" t="n"/>
      <c r="C421" s="136" t="n"/>
      <c r="D421" s="143" t="n"/>
      <c r="E421" s="137" t="n"/>
      <c r="G421" s="137" t="n"/>
    </row>
    <row r="422" ht="15" customHeight="1" s="83">
      <c r="A422" s="135" t="n"/>
      <c r="B422" s="143" t="n"/>
      <c r="C422" s="136" t="n"/>
      <c r="D422" s="143" t="n"/>
      <c r="E422" s="137" t="n"/>
      <c r="G422" s="137" t="n"/>
    </row>
    <row r="423" ht="15" customHeight="1" s="83">
      <c r="A423" s="135" t="n"/>
      <c r="B423" s="143" t="n"/>
      <c r="C423" s="136" t="n"/>
      <c r="D423" s="143" t="n"/>
      <c r="E423" s="137" t="n"/>
      <c r="G423" s="137" t="n"/>
    </row>
    <row r="424" ht="15" customHeight="1" s="83">
      <c r="A424" s="135" t="n"/>
      <c r="B424" s="143" t="n"/>
      <c r="C424" s="136" t="n"/>
      <c r="D424" s="143" t="n"/>
      <c r="E424" s="137" t="n"/>
      <c r="G424" s="137" t="n"/>
    </row>
    <row r="425" ht="15" customHeight="1" s="83">
      <c r="A425" s="135" t="n"/>
      <c r="B425" s="143" t="n"/>
      <c r="C425" s="136" t="n"/>
      <c r="D425" s="143" t="n"/>
      <c r="E425" s="137" t="n"/>
      <c r="G425" s="137" t="n"/>
    </row>
    <row r="426" ht="15" customHeight="1" s="83">
      <c r="A426" s="135" t="n"/>
      <c r="B426" s="143" t="n"/>
      <c r="C426" s="136" t="n"/>
      <c r="D426" s="143" t="n"/>
      <c r="E426" s="137" t="n"/>
      <c r="G426" s="137" t="n"/>
    </row>
    <row r="427" ht="15" customHeight="1" s="83">
      <c r="A427" s="135" t="n"/>
      <c r="B427" s="143" t="n"/>
      <c r="C427" s="136" t="n"/>
      <c r="D427" s="143" t="n"/>
      <c r="E427" s="137" t="n"/>
      <c r="G427" s="137" t="n"/>
    </row>
    <row r="428" ht="15" customHeight="1" s="83">
      <c r="A428" s="135" t="n"/>
      <c r="B428" s="143" t="n"/>
      <c r="C428" s="136" t="n"/>
      <c r="D428" s="143" t="n"/>
      <c r="E428" s="137" t="n"/>
      <c r="G428" s="137" t="n"/>
    </row>
    <row r="429" ht="15" customHeight="1" s="83">
      <c r="A429" s="135" t="n"/>
      <c r="B429" s="143" t="n"/>
      <c r="C429" s="136" t="n"/>
      <c r="D429" s="143" t="n"/>
      <c r="E429" s="137" t="n"/>
      <c r="G429" s="137" t="n"/>
    </row>
    <row r="430" ht="15" customHeight="1" s="83">
      <c r="A430" s="135" t="n"/>
      <c r="B430" s="143" t="n"/>
      <c r="C430" s="136" t="n"/>
      <c r="D430" s="143" t="n"/>
      <c r="E430" s="137" t="n"/>
      <c r="G430" s="137" t="n"/>
    </row>
    <row r="431" ht="15" customHeight="1" s="83">
      <c r="A431" s="135" t="n"/>
      <c r="B431" s="143" t="n"/>
      <c r="C431" s="136" t="n"/>
      <c r="D431" s="143" t="n"/>
      <c r="E431" s="137" t="n"/>
      <c r="G431" s="137" t="n"/>
    </row>
    <row r="432" ht="15" customHeight="1" s="83">
      <c r="A432" s="135" t="n"/>
      <c r="B432" s="143" t="n"/>
      <c r="C432" s="136" t="n"/>
      <c r="D432" s="143" t="n"/>
      <c r="E432" s="137" t="n"/>
      <c r="G432" s="137" t="n"/>
    </row>
    <row r="433" ht="15" customHeight="1" s="83">
      <c r="A433" s="135" t="n"/>
      <c r="B433" s="143" t="n"/>
      <c r="C433" s="136" t="n"/>
      <c r="D433" s="143" t="n"/>
      <c r="E433" s="137" t="n"/>
      <c r="G433" s="137" t="n"/>
    </row>
    <row r="434" ht="15" customHeight="1" s="83">
      <c r="A434" s="135" t="n"/>
      <c r="B434" s="143" t="n"/>
      <c r="C434" s="136" t="n"/>
      <c r="D434" s="143" t="n"/>
      <c r="E434" s="137" t="n"/>
      <c r="G434" s="137" t="n"/>
    </row>
    <row r="435" ht="15" customHeight="1" s="83">
      <c r="A435" s="135" t="n"/>
      <c r="B435" s="143" t="n"/>
      <c r="C435" s="136" t="n"/>
      <c r="D435" s="143" t="n"/>
      <c r="E435" s="137" t="n"/>
      <c r="G435" s="137" t="n"/>
    </row>
    <row r="436" ht="15" customHeight="1" s="83">
      <c r="A436" s="135" t="n"/>
      <c r="B436" s="143" t="n"/>
      <c r="C436" s="136" t="n"/>
      <c r="D436" s="143" t="n"/>
      <c r="E436" s="137" t="n"/>
      <c r="G436" s="137" t="n"/>
    </row>
    <row r="437" ht="15" customHeight="1" s="83">
      <c r="A437" s="135" t="n"/>
      <c r="B437" s="143" t="n"/>
      <c r="C437" s="136" t="n"/>
      <c r="D437" s="143" t="n"/>
      <c r="E437" s="137" t="n"/>
      <c r="G437" s="137" t="n"/>
    </row>
    <row r="438" ht="15" customHeight="1" s="83">
      <c r="A438" s="135" t="n"/>
      <c r="B438" s="143" t="n"/>
      <c r="C438" s="136" t="n"/>
      <c r="D438" s="143" t="n"/>
      <c r="E438" s="137" t="n"/>
      <c r="G438" s="137" t="n"/>
    </row>
    <row r="439" ht="15" customHeight="1" s="83">
      <c r="A439" s="135" t="n"/>
      <c r="B439" s="143" t="n"/>
      <c r="C439" s="136" t="n"/>
      <c r="D439" s="143" t="n"/>
      <c r="E439" s="137" t="n"/>
      <c r="G439" s="137" t="n"/>
    </row>
    <row r="440" ht="15" customHeight="1" s="83">
      <c r="A440" s="135" t="n"/>
      <c r="B440" s="143" t="n"/>
      <c r="C440" s="136" t="n"/>
      <c r="D440" s="143" t="n"/>
      <c r="E440" s="137" t="n"/>
      <c r="G440" s="137" t="n"/>
    </row>
    <row r="441" ht="15" customHeight="1" s="83">
      <c r="A441" s="135" t="n"/>
      <c r="B441" s="143" t="n"/>
      <c r="C441" s="136" t="n"/>
      <c r="D441" s="143" t="n"/>
      <c r="E441" s="137" t="n"/>
      <c r="G441" s="137" t="n"/>
    </row>
    <row r="442" ht="15" customHeight="1" s="83">
      <c r="A442" s="135" t="n"/>
      <c r="B442" s="143" t="n"/>
      <c r="C442" s="136" t="n"/>
      <c r="D442" s="143" t="n"/>
      <c r="E442" s="137" t="n"/>
      <c r="G442" s="137" t="n"/>
    </row>
    <row r="443" ht="15" customHeight="1" s="83">
      <c r="A443" s="135" t="n"/>
      <c r="B443" s="143" t="n"/>
      <c r="C443" s="136" t="n"/>
      <c r="D443" s="143" t="n"/>
      <c r="E443" s="137" t="n"/>
      <c r="G443" s="137" t="n"/>
    </row>
    <row r="444" ht="15" customHeight="1" s="83">
      <c r="A444" s="135" t="n"/>
      <c r="B444" s="143" t="n"/>
      <c r="C444" s="136" t="n"/>
      <c r="D444" s="143" t="n"/>
      <c r="E444" s="137" t="n"/>
      <c r="G444" s="137" t="n"/>
    </row>
    <row r="445" ht="15" customHeight="1" s="83">
      <c r="A445" s="135" t="n"/>
      <c r="B445" s="143" t="n"/>
      <c r="C445" s="136" t="n"/>
      <c r="D445" s="143" t="n"/>
      <c r="E445" s="137" t="n"/>
      <c r="G445" s="137" t="n"/>
    </row>
    <row r="446" ht="15" customHeight="1" s="83">
      <c r="A446" s="135" t="n"/>
      <c r="B446" s="143" t="n"/>
      <c r="C446" s="136" t="n"/>
      <c r="D446" s="143" t="n"/>
      <c r="E446" s="137" t="n"/>
      <c r="G446" s="137" t="n"/>
    </row>
    <row r="447" ht="15" customHeight="1" s="83">
      <c r="A447" s="135" t="n"/>
      <c r="B447" s="143" t="n"/>
      <c r="C447" s="136" t="n"/>
      <c r="D447" s="143" t="n"/>
      <c r="E447" s="137" t="n"/>
      <c r="G447" s="137" t="n"/>
    </row>
    <row r="448" ht="15" customHeight="1" s="83">
      <c r="A448" s="135" t="n"/>
      <c r="B448" s="143" t="n"/>
      <c r="C448" s="136" t="n"/>
      <c r="D448" s="143" t="n"/>
      <c r="E448" s="137" t="n"/>
      <c r="G448" s="137" t="n"/>
    </row>
    <row r="449" ht="15" customHeight="1" s="83">
      <c r="A449" s="135" t="n"/>
      <c r="B449" s="143" t="n"/>
      <c r="C449" s="136" t="n"/>
      <c r="D449" s="143" t="n"/>
      <c r="E449" s="137" t="n"/>
      <c r="G449" s="137" t="n"/>
    </row>
    <row r="450" ht="15" customHeight="1" s="83">
      <c r="A450" s="135" t="n"/>
      <c r="B450" s="143" t="n"/>
      <c r="C450" s="136" t="n"/>
      <c r="D450" s="143" t="n"/>
      <c r="E450" s="137" t="n"/>
      <c r="G450" s="137" t="n"/>
    </row>
    <row r="451" ht="15" customHeight="1" s="83">
      <c r="A451" s="135" t="n"/>
      <c r="B451" s="143" t="n"/>
      <c r="C451" s="136" t="n"/>
      <c r="D451" s="143" t="n"/>
      <c r="E451" s="137" t="n"/>
      <c r="G451" s="137" t="n"/>
    </row>
    <row r="452" ht="15" customHeight="1" s="83">
      <c r="A452" s="135" t="n"/>
      <c r="B452" s="143" t="n"/>
      <c r="C452" s="136" t="n"/>
      <c r="D452" s="143" t="n"/>
      <c r="E452" s="137" t="n"/>
      <c r="G452" s="137" t="n"/>
    </row>
    <row r="453" ht="15" customHeight="1" s="83">
      <c r="A453" s="135" t="n"/>
      <c r="B453" s="143" t="n"/>
      <c r="C453" s="136" t="n"/>
      <c r="D453" s="143" t="n"/>
      <c r="E453" s="137" t="n"/>
      <c r="G453" s="137" t="n"/>
    </row>
    <row r="454" ht="15" customHeight="1" s="83">
      <c r="A454" s="135" t="n"/>
      <c r="B454" s="143" t="n"/>
      <c r="C454" s="136" t="n"/>
      <c r="D454" s="143" t="n"/>
      <c r="E454" s="137" t="n"/>
      <c r="G454" s="137" t="n"/>
    </row>
    <row r="455" ht="15" customHeight="1" s="83">
      <c r="A455" s="135" t="n"/>
      <c r="B455" s="143" t="n"/>
      <c r="C455" s="136" t="n"/>
      <c r="D455" s="143" t="n"/>
      <c r="E455" s="137" t="n"/>
      <c r="G455" s="137" t="n"/>
    </row>
    <row r="456" ht="15" customHeight="1" s="83">
      <c r="A456" s="135" t="n"/>
      <c r="B456" s="143" t="n"/>
      <c r="C456" s="136" t="n"/>
      <c r="D456" s="143" t="n"/>
      <c r="E456" s="137" t="n"/>
      <c r="G456" s="137" t="n"/>
    </row>
    <row r="457" ht="15" customHeight="1" s="83">
      <c r="A457" s="135" t="n"/>
      <c r="B457" s="143" t="n"/>
      <c r="C457" s="136" t="n"/>
      <c r="D457" s="143" t="n"/>
      <c r="E457" s="137" t="n"/>
      <c r="G457" s="137" t="n"/>
    </row>
    <row r="458" ht="15" customHeight="1" s="83">
      <c r="A458" s="135" t="n"/>
      <c r="B458" s="143" t="n"/>
      <c r="C458" s="136" t="n"/>
      <c r="D458" s="143" t="n"/>
      <c r="E458" s="137" t="n"/>
      <c r="G458" s="137" t="n"/>
    </row>
    <row r="459" ht="15" customHeight="1" s="83">
      <c r="A459" s="135" t="n"/>
      <c r="B459" s="143" t="n"/>
      <c r="C459" s="136" t="n"/>
      <c r="D459" s="143" t="n"/>
      <c r="E459" s="137" t="n"/>
      <c r="G459" s="137" t="n"/>
    </row>
    <row r="460" ht="15" customHeight="1" s="83">
      <c r="A460" s="135" t="n"/>
      <c r="B460" s="143" t="n"/>
      <c r="C460" s="136" t="n"/>
      <c r="D460" s="143" t="n"/>
      <c r="E460" s="137" t="n"/>
      <c r="G460" s="137" t="n"/>
    </row>
    <row r="461" ht="15" customHeight="1" s="83">
      <c r="A461" s="135" t="n"/>
      <c r="B461" s="143" t="n"/>
      <c r="C461" s="136" t="n"/>
      <c r="D461" s="143" t="n"/>
      <c r="E461" s="137" t="n"/>
      <c r="G461" s="137" t="n"/>
    </row>
    <row r="462" ht="15" customHeight="1" s="83">
      <c r="A462" s="135" t="n"/>
      <c r="B462" s="143" t="n"/>
      <c r="C462" s="136" t="n"/>
      <c r="D462" s="143" t="n"/>
      <c r="E462" s="137" t="n"/>
      <c r="G462" s="137" t="n"/>
    </row>
    <row r="463" ht="15" customHeight="1" s="83">
      <c r="A463" s="135" t="n"/>
      <c r="B463" s="143" t="n"/>
      <c r="C463" s="136" t="n"/>
      <c r="D463" s="143" t="n"/>
      <c r="E463" s="137" t="n"/>
      <c r="G463" s="137" t="n"/>
    </row>
    <row r="464" ht="15" customHeight="1" s="83">
      <c r="A464" s="135" t="n"/>
      <c r="B464" s="143" t="n"/>
      <c r="C464" s="136" t="n"/>
      <c r="D464" s="143" t="n"/>
      <c r="E464" s="137" t="n"/>
      <c r="G464" s="137" t="n"/>
    </row>
    <row r="465" ht="15" customHeight="1" s="83">
      <c r="A465" s="135" t="n"/>
      <c r="B465" s="143" t="n"/>
      <c r="C465" s="136" t="n"/>
      <c r="D465" s="143" t="n"/>
      <c r="E465" s="137" t="n"/>
      <c r="G465" s="137" t="n"/>
    </row>
    <row r="466" ht="15" customHeight="1" s="83">
      <c r="A466" s="135" t="n"/>
      <c r="B466" s="143" t="n"/>
      <c r="C466" s="136" t="n"/>
      <c r="D466" s="143" t="n"/>
      <c r="E466" s="137" t="n"/>
      <c r="G466" s="137" t="n"/>
    </row>
    <row r="467" ht="15" customHeight="1" s="83">
      <c r="A467" s="135" t="n"/>
      <c r="B467" s="143" t="n"/>
      <c r="C467" s="136" t="n"/>
      <c r="D467" s="143" t="n"/>
      <c r="E467" s="137" t="n"/>
      <c r="G467" s="137" t="n"/>
    </row>
    <row r="468" ht="15" customHeight="1" s="83">
      <c r="A468" s="135" t="n"/>
      <c r="B468" s="143" t="n"/>
      <c r="C468" s="136" t="n"/>
      <c r="D468" s="143" t="n"/>
      <c r="E468" s="137" t="n"/>
      <c r="G468" s="137" t="n"/>
    </row>
    <row r="469" ht="15" customHeight="1" s="83">
      <c r="A469" s="135" t="n"/>
      <c r="B469" s="143" t="n"/>
      <c r="C469" s="136" t="n"/>
      <c r="D469" s="143" t="n"/>
      <c r="E469" s="137" t="n"/>
      <c r="G469" s="137" t="n"/>
    </row>
    <row r="470" ht="15" customHeight="1" s="83">
      <c r="A470" s="135" t="n"/>
      <c r="B470" s="143" t="n"/>
      <c r="C470" s="136" t="n"/>
      <c r="D470" s="143" t="n"/>
      <c r="E470" s="137" t="n"/>
      <c r="G470" s="137" t="n"/>
    </row>
    <row r="471" ht="15" customHeight="1" s="83">
      <c r="A471" s="135" t="n"/>
      <c r="B471" s="143" t="n"/>
      <c r="C471" s="136" t="n"/>
      <c r="D471" s="143" t="n"/>
      <c r="E471" s="137" t="n"/>
      <c r="G471" s="137" t="n"/>
    </row>
    <row r="472" ht="15" customHeight="1" s="83">
      <c r="A472" s="135" t="n"/>
      <c r="B472" s="143" t="n"/>
      <c r="C472" s="136" t="n"/>
      <c r="D472" s="143" t="n"/>
      <c r="E472" s="137" t="n"/>
      <c r="G472" s="137" t="n"/>
    </row>
    <row r="473" ht="15" customHeight="1" s="83">
      <c r="A473" s="135" t="n"/>
      <c r="B473" s="143" t="n"/>
      <c r="C473" s="136" t="n"/>
      <c r="D473" s="143" t="n"/>
      <c r="E473" s="137" t="n"/>
      <c r="G473" s="137" t="n"/>
    </row>
    <row r="474" ht="15" customHeight="1" s="83">
      <c r="A474" s="135" t="n"/>
      <c r="B474" s="143" t="n"/>
      <c r="C474" s="136" t="n"/>
      <c r="D474" s="143" t="n"/>
      <c r="E474" s="137" t="n"/>
      <c r="G474" s="137" t="n"/>
    </row>
    <row r="475" ht="15" customHeight="1" s="83">
      <c r="A475" s="135" t="n"/>
      <c r="B475" s="143" t="n"/>
      <c r="C475" s="136" t="n"/>
      <c r="D475" s="143" t="n"/>
      <c r="E475" s="137" t="n"/>
      <c r="G475" s="137" t="n"/>
    </row>
    <row r="476" ht="15" customHeight="1" s="83">
      <c r="A476" s="135" t="n"/>
      <c r="B476" s="143" t="n"/>
      <c r="C476" s="136" t="n"/>
      <c r="D476" s="143" t="n"/>
      <c r="E476" s="137" t="n"/>
      <c r="G476" s="137" t="n"/>
    </row>
    <row r="477" ht="15" customHeight="1" s="83">
      <c r="A477" s="135" t="n"/>
      <c r="B477" s="143" t="n"/>
      <c r="C477" s="136" t="n"/>
      <c r="D477" s="143" t="n"/>
      <c r="E477" s="137" t="n"/>
      <c r="G477" s="137" t="n"/>
    </row>
    <row r="478" ht="15" customHeight="1" s="83">
      <c r="A478" s="135" t="n"/>
      <c r="B478" s="143" t="n"/>
      <c r="C478" s="136" t="n"/>
      <c r="D478" s="143" t="n"/>
      <c r="E478" s="137" t="n"/>
      <c r="G478" s="137" t="n"/>
    </row>
    <row r="479" ht="15" customHeight="1" s="83">
      <c r="A479" s="135" t="n"/>
      <c r="B479" s="143" t="n"/>
      <c r="C479" s="136" t="n"/>
      <c r="D479" s="143" t="n"/>
      <c r="E479" s="137" t="n"/>
      <c r="G479" s="137" t="n"/>
    </row>
    <row r="480" ht="15" customHeight="1" s="83">
      <c r="A480" s="135" t="n"/>
      <c r="B480" s="143" t="n"/>
      <c r="C480" s="136" t="n"/>
      <c r="D480" s="143" t="n"/>
      <c r="E480" s="137" t="n"/>
      <c r="G480" s="137" t="n"/>
    </row>
    <row r="481" ht="15" customHeight="1" s="83">
      <c r="A481" s="135" t="n"/>
      <c r="B481" s="143" t="n"/>
      <c r="C481" s="136" t="n"/>
      <c r="D481" s="143" t="n"/>
      <c r="E481" s="137" t="n"/>
      <c r="G481" s="137" t="n"/>
    </row>
    <row r="482" ht="15" customHeight="1" s="83">
      <c r="A482" s="135" t="n"/>
      <c r="B482" s="143" t="n"/>
      <c r="C482" s="136" t="n"/>
      <c r="D482" s="143" t="n"/>
      <c r="E482" s="137" t="n"/>
      <c r="G482" s="137" t="n"/>
    </row>
    <row r="483" ht="15" customHeight="1" s="83">
      <c r="A483" s="135" t="n"/>
      <c r="B483" s="143" t="n"/>
      <c r="C483" s="136" t="n"/>
      <c r="D483" s="143" t="n"/>
      <c r="E483" s="137" t="n"/>
      <c r="G483" s="137" t="n"/>
    </row>
    <row r="484" ht="15" customHeight="1" s="83">
      <c r="A484" s="135" t="n"/>
      <c r="B484" s="143" t="n"/>
      <c r="C484" s="136" t="n"/>
      <c r="D484" s="143" t="n"/>
      <c r="E484" s="137" t="n"/>
      <c r="G484" s="137" t="n"/>
    </row>
    <row r="485" ht="15" customHeight="1" s="83">
      <c r="A485" s="135" t="n"/>
      <c r="B485" s="143" t="n"/>
      <c r="C485" s="136" t="n"/>
      <c r="D485" s="143" t="n"/>
      <c r="E485" s="137" t="n"/>
      <c r="G485" s="137" t="n"/>
    </row>
    <row r="486" ht="15" customHeight="1" s="83">
      <c r="A486" s="135" t="n"/>
      <c r="B486" s="143" t="n"/>
      <c r="C486" s="136" t="n"/>
      <c r="D486" s="143" t="n"/>
      <c r="E486" s="137" t="n"/>
      <c r="G486" s="137" t="n"/>
    </row>
    <row r="487" ht="15" customHeight="1" s="83">
      <c r="A487" s="135" t="n"/>
      <c r="B487" s="143" t="n"/>
      <c r="C487" s="136" t="n"/>
      <c r="D487" s="143" t="n"/>
      <c r="E487" s="137" t="n"/>
      <c r="G487" s="137" t="n"/>
    </row>
    <row r="488" ht="15" customHeight="1" s="83">
      <c r="A488" s="135" t="n"/>
      <c r="B488" s="143" t="n"/>
      <c r="C488" s="136" t="n"/>
      <c r="D488" s="143" t="n"/>
      <c r="E488" s="137" t="n"/>
      <c r="G488" s="137" t="n"/>
    </row>
    <row r="489" ht="15" customHeight="1" s="83">
      <c r="A489" s="135" t="n"/>
      <c r="B489" s="143" t="n"/>
      <c r="C489" s="136" t="n"/>
      <c r="D489" s="143" t="n"/>
      <c r="E489" s="137" t="n"/>
      <c r="G489" s="137" t="n"/>
    </row>
    <row r="490" ht="15" customHeight="1" s="83">
      <c r="A490" s="135" t="n"/>
      <c r="B490" s="143" t="n"/>
      <c r="C490" s="136" t="n"/>
      <c r="D490" s="143" t="n"/>
      <c r="E490" s="137" t="n"/>
      <c r="G490" s="137" t="n"/>
    </row>
    <row r="491" ht="15" customHeight="1" s="83">
      <c r="A491" s="135" t="n"/>
      <c r="B491" s="143" t="n"/>
      <c r="C491" s="136" t="n"/>
      <c r="D491" s="143" t="n"/>
      <c r="E491" s="137" t="n"/>
      <c r="G491" s="137" t="n"/>
    </row>
    <row r="492" ht="15" customHeight="1" s="83">
      <c r="A492" s="135" t="n"/>
      <c r="B492" s="143" t="n"/>
      <c r="C492" s="136" t="n"/>
      <c r="D492" s="143" t="n"/>
      <c r="E492" s="137" t="n"/>
      <c r="G492" s="137" t="n"/>
    </row>
    <row r="493" ht="15" customHeight="1" s="83">
      <c r="A493" s="135" t="n"/>
      <c r="B493" s="143" t="n"/>
      <c r="C493" s="136" t="n"/>
      <c r="D493" s="143" t="n"/>
      <c r="E493" s="137" t="n"/>
      <c r="G493" s="137" t="n"/>
    </row>
    <row r="494" ht="15" customHeight="1" s="83">
      <c r="A494" s="135" t="n"/>
      <c r="B494" s="143" t="n"/>
      <c r="C494" s="136" t="n"/>
      <c r="D494" s="143" t="n"/>
      <c r="E494" s="137" t="n"/>
      <c r="G494" s="137" t="n"/>
    </row>
    <row r="495" ht="15" customHeight="1" s="83">
      <c r="A495" s="135" t="n"/>
      <c r="B495" s="143" t="n"/>
      <c r="C495" s="136" t="n"/>
      <c r="D495" s="143" t="n"/>
      <c r="E495" s="137" t="n"/>
      <c r="G495" s="137" t="n"/>
    </row>
    <row r="496" ht="15" customHeight="1" s="83">
      <c r="A496" s="135" t="n"/>
      <c r="B496" s="143" t="n"/>
      <c r="C496" s="136" t="n"/>
      <c r="D496" s="143" t="n"/>
      <c r="E496" s="137" t="n"/>
      <c r="G496" s="137" t="n"/>
    </row>
    <row r="497" ht="15" customHeight="1" s="83">
      <c r="A497" s="135" t="n"/>
      <c r="B497" s="143" t="n"/>
      <c r="C497" s="136" t="n"/>
      <c r="D497" s="143" t="n"/>
      <c r="E497" s="137" t="n"/>
      <c r="G497" s="137" t="n"/>
    </row>
    <row r="498" ht="15" customHeight="1" s="83">
      <c r="A498" s="135" t="n"/>
      <c r="B498" s="143" t="n"/>
      <c r="C498" s="136" t="n"/>
      <c r="D498" s="143" t="n"/>
      <c r="E498" s="137" t="n"/>
      <c r="G498" s="137" t="n"/>
    </row>
    <row r="499" ht="15" customHeight="1" s="83">
      <c r="A499" s="135" t="n"/>
      <c r="B499" s="143" t="n"/>
      <c r="C499" s="136" t="n"/>
      <c r="D499" s="143" t="n"/>
      <c r="E499" s="137" t="n"/>
      <c r="G499" s="137" t="n"/>
    </row>
    <row r="500" ht="15" customHeight="1" s="83">
      <c r="A500" s="135" t="n"/>
      <c r="B500" s="143" t="n"/>
      <c r="C500" s="136" t="n"/>
      <c r="D500" s="143" t="n"/>
      <c r="E500" s="137" t="n"/>
      <c r="G500" s="137" t="n"/>
    </row>
    <row r="501" ht="15" customHeight="1" s="83">
      <c r="A501" s="135" t="n"/>
      <c r="B501" s="143" t="n"/>
      <c r="C501" s="136" t="n"/>
      <c r="D501" s="143" t="n"/>
      <c r="E501" s="137" t="n"/>
      <c r="G501" s="137" t="n"/>
    </row>
    <row r="502" ht="15" customHeight="1" s="83">
      <c r="A502" s="135" t="n"/>
      <c r="B502" s="143" t="n"/>
      <c r="C502" s="136" t="n"/>
      <c r="D502" s="143" t="n"/>
      <c r="E502" s="137" t="n"/>
      <c r="G502" s="137" t="n"/>
    </row>
    <row r="503" ht="15" customHeight="1" s="83">
      <c r="A503" s="135" t="n"/>
      <c r="B503" s="143" t="n"/>
      <c r="C503" s="136" t="n"/>
      <c r="D503" s="143" t="n"/>
      <c r="E503" s="137" t="n"/>
      <c r="G503" s="137" t="n"/>
    </row>
    <row r="504" ht="15" customHeight="1" s="83">
      <c r="A504" s="135" t="n"/>
      <c r="B504" s="143" t="n"/>
      <c r="C504" s="136" t="n"/>
      <c r="D504" s="143" t="n"/>
      <c r="E504" s="137" t="n"/>
      <c r="G504" s="137" t="n"/>
    </row>
    <row r="505" ht="15" customHeight="1" s="83">
      <c r="A505" s="135" t="n"/>
      <c r="B505" s="143" t="n"/>
      <c r="C505" s="136" t="n"/>
      <c r="D505" s="143" t="n"/>
      <c r="E505" s="137" t="n"/>
      <c r="G505" s="137" t="n"/>
    </row>
    <row r="506" ht="15" customHeight="1" s="83">
      <c r="A506" s="135" t="n"/>
      <c r="B506" s="143" t="n"/>
      <c r="C506" s="136" t="n"/>
      <c r="D506" s="143" t="n"/>
      <c r="E506" s="137" t="n"/>
      <c r="G506" s="137" t="n"/>
    </row>
    <row r="507" ht="15" customHeight="1" s="83">
      <c r="A507" s="135" t="n"/>
      <c r="B507" s="143" t="n"/>
      <c r="C507" s="136" t="n"/>
      <c r="D507" s="143" t="n"/>
      <c r="E507" s="137" t="n"/>
      <c r="G507" s="137" t="n"/>
    </row>
    <row r="508" ht="15" customHeight="1" s="83">
      <c r="A508" s="135" t="n"/>
      <c r="B508" s="143" t="n"/>
      <c r="C508" s="136" t="n"/>
      <c r="D508" s="143" t="n"/>
      <c r="E508" s="137" t="n"/>
      <c r="G508" s="137" t="n"/>
    </row>
    <row r="509" ht="15" customHeight="1" s="83">
      <c r="A509" s="135" t="n"/>
      <c r="B509" s="143" t="n"/>
      <c r="C509" s="136" t="n"/>
      <c r="D509" s="143" t="n"/>
      <c r="E509" s="137" t="n"/>
      <c r="G509" s="137" t="n"/>
    </row>
    <row r="510" ht="15" customHeight="1" s="83">
      <c r="A510" s="135" t="n"/>
      <c r="B510" s="143" t="n"/>
      <c r="C510" s="136" t="n"/>
      <c r="D510" s="143" t="n"/>
      <c r="E510" s="137" t="n"/>
      <c r="G510" s="137" t="n"/>
    </row>
    <row r="511" ht="15" customHeight="1" s="83">
      <c r="A511" s="135" t="n"/>
      <c r="B511" s="143" t="n"/>
      <c r="C511" s="136" t="n"/>
      <c r="D511" s="143" t="n"/>
      <c r="E511" s="137" t="n"/>
      <c r="G511" s="137" t="n"/>
    </row>
    <row r="512" ht="15" customHeight="1" s="83">
      <c r="A512" s="135" t="n"/>
      <c r="B512" s="143" t="n"/>
      <c r="C512" s="136" t="n"/>
      <c r="D512" s="143" t="n"/>
      <c r="E512" s="137" t="n"/>
      <c r="G512" s="137" t="n"/>
    </row>
    <row r="513" ht="15" customHeight="1" s="83">
      <c r="A513" s="135" t="n"/>
      <c r="B513" s="143" t="n"/>
      <c r="C513" s="136" t="n"/>
      <c r="D513" s="143" t="n"/>
      <c r="E513" s="137" t="n"/>
      <c r="G513" s="137" t="n"/>
    </row>
    <row r="514" ht="15" customHeight="1" s="83">
      <c r="A514" s="135" t="n"/>
      <c r="B514" s="143" t="n"/>
      <c r="C514" s="136" t="n"/>
      <c r="D514" s="143" t="n"/>
      <c r="E514" s="137" t="n"/>
      <c r="G514" s="137" t="n"/>
    </row>
    <row r="515" ht="15" customHeight="1" s="83">
      <c r="A515" s="135" t="n"/>
      <c r="B515" s="143" t="n"/>
      <c r="C515" s="136" t="n"/>
      <c r="D515" s="143" t="n"/>
      <c r="E515" s="137" t="n"/>
      <c r="G515" s="137" t="n"/>
    </row>
    <row r="516" ht="15" customHeight="1" s="83">
      <c r="A516" s="135" t="n"/>
      <c r="B516" s="143" t="n"/>
      <c r="C516" s="136" t="n"/>
      <c r="D516" s="143" t="n"/>
      <c r="E516" s="137" t="n"/>
      <c r="G516" s="137" t="n"/>
    </row>
    <row r="517" ht="15" customHeight="1" s="83">
      <c r="A517" s="135" t="n"/>
      <c r="B517" s="143" t="n"/>
      <c r="C517" s="136" t="n"/>
      <c r="D517" s="143" t="n"/>
      <c r="E517" s="137" t="n"/>
      <c r="G517" s="137" t="n"/>
    </row>
    <row r="518" ht="15" customHeight="1" s="83">
      <c r="A518" s="135" t="n"/>
      <c r="B518" s="143" t="n"/>
      <c r="C518" s="136" t="n"/>
      <c r="D518" s="143" t="n"/>
      <c r="E518" s="137" t="n"/>
      <c r="G518" s="137" t="n"/>
    </row>
    <row r="519" ht="15" customHeight="1" s="83">
      <c r="A519" s="135" t="n"/>
      <c r="B519" s="143" t="n"/>
      <c r="C519" s="136" t="n"/>
      <c r="D519" s="143" t="n"/>
      <c r="E519" s="137" t="n"/>
      <c r="G519" s="137" t="n"/>
    </row>
    <row r="520" ht="15" customHeight="1" s="83">
      <c r="A520" s="135" t="n"/>
      <c r="B520" s="143" t="n"/>
      <c r="C520" s="136" t="n"/>
      <c r="D520" s="143" t="n"/>
      <c r="E520" s="137" t="n"/>
      <c r="G520" s="137" t="n"/>
    </row>
    <row r="521" ht="15" customHeight="1" s="83">
      <c r="A521" s="135" t="n"/>
      <c r="B521" s="143" t="n"/>
      <c r="C521" s="136" t="n"/>
      <c r="D521" s="143" t="n"/>
      <c r="E521" s="137" t="n"/>
      <c r="G521" s="137" t="n"/>
    </row>
    <row r="522" ht="15" customHeight="1" s="83">
      <c r="A522" s="135" t="n"/>
      <c r="B522" s="143" t="n"/>
      <c r="C522" s="136" t="n"/>
      <c r="D522" s="143" t="n"/>
      <c r="E522" s="137" t="n"/>
      <c r="G522" s="137" t="n"/>
    </row>
    <row r="523" ht="15" customHeight="1" s="83">
      <c r="A523" s="135" t="n"/>
      <c r="B523" s="143" t="n"/>
      <c r="C523" s="136" t="n"/>
      <c r="D523" s="143" t="n"/>
      <c r="E523" s="137" t="n"/>
      <c r="G523" s="137" t="n"/>
    </row>
    <row r="524" ht="15" customHeight="1" s="83">
      <c r="A524" s="135" t="n"/>
      <c r="B524" s="143" t="n"/>
      <c r="C524" s="136" t="n"/>
      <c r="D524" s="143" t="n"/>
      <c r="E524" s="137" t="n"/>
      <c r="G524" s="137" t="n"/>
    </row>
    <row r="525" ht="15" customHeight="1" s="83">
      <c r="A525" s="135" t="n"/>
      <c r="B525" s="143" t="n"/>
      <c r="C525" s="136" t="n"/>
      <c r="D525" s="143" t="n"/>
      <c r="E525" s="137" t="n"/>
      <c r="G525" s="137" t="n"/>
    </row>
    <row r="526" ht="15" customHeight="1" s="83">
      <c r="A526" s="135" t="n"/>
      <c r="B526" s="143" t="n"/>
      <c r="C526" s="136" t="n"/>
      <c r="D526" s="143" t="n"/>
      <c r="E526" s="137" t="n"/>
      <c r="G526" s="137" t="n"/>
    </row>
    <row r="527" ht="15" customHeight="1" s="83">
      <c r="A527" s="135" t="n"/>
      <c r="B527" s="143" t="n"/>
      <c r="C527" s="136" t="n"/>
      <c r="D527" s="143" t="n"/>
      <c r="E527" s="137" t="n"/>
      <c r="G527" s="137" t="n"/>
    </row>
    <row r="528" ht="15" customHeight="1" s="83">
      <c r="A528" s="135" t="n"/>
      <c r="B528" s="143" t="n"/>
      <c r="C528" s="136" t="n"/>
      <c r="D528" s="143" t="n"/>
      <c r="E528" s="137" t="n"/>
      <c r="G528" s="137" t="n"/>
    </row>
    <row r="529" ht="15" customHeight="1" s="83">
      <c r="A529" s="135" t="n"/>
      <c r="B529" s="143" t="n"/>
      <c r="C529" s="136" t="n"/>
      <c r="D529" s="143" t="n"/>
      <c r="E529" s="137" t="n"/>
      <c r="G529" s="137" t="n"/>
    </row>
    <row r="530" ht="15" customHeight="1" s="83">
      <c r="A530" s="135" t="n"/>
      <c r="B530" s="143" t="n"/>
      <c r="C530" s="136" t="n"/>
      <c r="D530" s="143" t="n"/>
      <c r="E530" s="137" t="n"/>
      <c r="G530" s="137" t="n"/>
    </row>
    <row r="531" ht="15" customHeight="1" s="83">
      <c r="A531" s="135" t="n"/>
      <c r="B531" s="143" t="n"/>
      <c r="C531" s="136" t="n"/>
      <c r="D531" s="143" t="n"/>
      <c r="E531" s="137" t="n"/>
      <c r="G531" s="137" t="n"/>
    </row>
    <row r="532" ht="15" customHeight="1" s="83">
      <c r="A532" s="135" t="n"/>
      <c r="B532" s="143" t="n"/>
      <c r="C532" s="136" t="n"/>
      <c r="D532" s="143" t="n"/>
      <c r="E532" s="137" t="n"/>
      <c r="G532" s="137" t="n"/>
    </row>
    <row r="533" ht="15" customHeight="1" s="83">
      <c r="A533" s="135" t="n"/>
      <c r="B533" s="143" t="n"/>
      <c r="C533" s="136" t="n"/>
      <c r="D533" s="143" t="n"/>
      <c r="E533" s="137" t="n"/>
      <c r="G533" s="137" t="n"/>
    </row>
    <row r="534" ht="15" customHeight="1" s="83">
      <c r="A534" s="135" t="n"/>
      <c r="B534" s="143" t="n"/>
      <c r="C534" s="136" t="n"/>
      <c r="D534" s="143" t="n"/>
      <c r="E534" s="137" t="n"/>
      <c r="G534" s="137" t="n"/>
    </row>
    <row r="535" ht="15" customHeight="1" s="83">
      <c r="A535" s="135" t="n"/>
      <c r="B535" s="143" t="n"/>
      <c r="C535" s="136" t="n"/>
      <c r="D535" s="143" t="n"/>
      <c r="E535" s="137" t="n"/>
      <c r="G535" s="137" t="n"/>
    </row>
    <row r="536" ht="15" customHeight="1" s="83">
      <c r="A536" s="135" t="n"/>
      <c r="B536" s="143" t="n"/>
      <c r="C536" s="136" t="n"/>
      <c r="D536" s="143" t="n"/>
      <c r="E536" s="137" t="n"/>
      <c r="G536" s="137" t="n"/>
    </row>
    <row r="537" ht="15" customHeight="1" s="83">
      <c r="A537" s="135" t="n"/>
      <c r="B537" s="143" t="n"/>
      <c r="C537" s="136" t="n"/>
      <c r="D537" s="143" t="n"/>
      <c r="E537" s="137" t="n"/>
      <c r="G537" s="137" t="n"/>
    </row>
    <row r="538" ht="15" customHeight="1" s="83">
      <c r="A538" s="135" t="n"/>
      <c r="B538" s="143" t="n"/>
      <c r="C538" s="136" t="n"/>
      <c r="D538" s="143" t="n"/>
      <c r="E538" s="137" t="n"/>
      <c r="G538" s="137" t="n"/>
    </row>
    <row r="539" ht="15" customHeight="1" s="83">
      <c r="A539" s="135" t="n"/>
      <c r="B539" s="143" t="n"/>
      <c r="C539" s="136" t="n"/>
      <c r="D539" s="143" t="n"/>
      <c r="E539" s="137" t="n"/>
      <c r="G539" s="137" t="n"/>
    </row>
    <row r="540" ht="15" customHeight="1" s="83">
      <c r="A540" s="135" t="n"/>
      <c r="B540" s="143" t="n"/>
      <c r="C540" s="136" t="n"/>
      <c r="D540" s="143" t="n"/>
      <c r="E540" s="137" t="n"/>
      <c r="G540" s="137" t="n"/>
    </row>
    <row r="541" ht="15" customHeight="1" s="83">
      <c r="A541" s="135" t="n"/>
      <c r="B541" s="143" t="n"/>
      <c r="C541" s="136" t="n"/>
      <c r="D541" s="143" t="n"/>
      <c r="E541" s="137" t="n"/>
      <c r="G541" s="137" t="n"/>
    </row>
    <row r="542" ht="15" customHeight="1" s="83">
      <c r="A542" s="135" t="n"/>
      <c r="B542" s="143" t="n"/>
      <c r="C542" s="136" t="n"/>
      <c r="D542" s="143" t="n"/>
      <c r="E542" s="137" t="n"/>
      <c r="G542" s="137" t="n"/>
    </row>
    <row r="543" ht="15" customHeight="1" s="83">
      <c r="A543" s="135" t="n"/>
      <c r="B543" s="143" t="n"/>
      <c r="C543" s="136" t="n"/>
      <c r="D543" s="143" t="n"/>
      <c r="E543" s="137" t="n"/>
      <c r="G543" s="137" t="n"/>
    </row>
    <row r="544" ht="15" customHeight="1" s="83">
      <c r="A544" s="135" t="n"/>
      <c r="B544" s="143" t="n"/>
      <c r="C544" s="136" t="n"/>
      <c r="D544" s="143" t="n"/>
      <c r="E544" s="137" t="n"/>
      <c r="G544" s="137" t="n"/>
    </row>
    <row r="545" ht="15" customHeight="1" s="83">
      <c r="A545" s="135" t="n"/>
      <c r="B545" s="143" t="n"/>
      <c r="C545" s="136" t="n"/>
      <c r="D545" s="143" t="n"/>
      <c r="E545" s="137" t="n"/>
      <c r="G545" s="137" t="n"/>
    </row>
    <row r="546" ht="15" customHeight="1" s="83">
      <c r="A546" s="135" t="n"/>
      <c r="B546" s="143" t="n"/>
      <c r="C546" s="136" t="n"/>
      <c r="D546" s="143" t="n"/>
      <c r="E546" s="137" t="n"/>
      <c r="G546" s="137" t="n"/>
    </row>
    <row r="547" ht="15" customHeight="1" s="83">
      <c r="A547" s="135" t="n"/>
      <c r="B547" s="143" t="n"/>
      <c r="C547" s="136" t="n"/>
      <c r="D547" s="143" t="n"/>
      <c r="E547" s="137" t="n"/>
      <c r="G547" s="137" t="n"/>
    </row>
    <row r="548" ht="15" customHeight="1" s="83">
      <c r="A548" s="135" t="n"/>
      <c r="B548" s="143" t="n"/>
      <c r="C548" s="136" t="n"/>
      <c r="D548" s="143" t="n"/>
      <c r="E548" s="137" t="n"/>
      <c r="G548" s="137" t="n"/>
    </row>
    <row r="549" ht="15" customHeight="1" s="83">
      <c r="A549" s="135" t="n"/>
      <c r="B549" s="143" t="n"/>
      <c r="C549" s="136" t="n"/>
      <c r="D549" s="143" t="n"/>
      <c r="E549" s="137" t="n"/>
      <c r="G549" s="137" t="n"/>
    </row>
    <row r="550" ht="15" customHeight="1" s="83">
      <c r="A550" s="135" t="n"/>
      <c r="B550" s="143" t="n"/>
      <c r="C550" s="136" t="n"/>
      <c r="D550" s="143" t="n"/>
      <c r="E550" s="137" t="n"/>
      <c r="G550" s="137" t="n"/>
    </row>
    <row r="551" ht="15" customHeight="1" s="83">
      <c r="A551" s="135" t="n"/>
      <c r="B551" s="143" t="n"/>
      <c r="C551" s="136" t="n"/>
      <c r="D551" s="143" t="n"/>
      <c r="E551" s="137" t="n"/>
      <c r="G551" s="137" t="n"/>
    </row>
    <row r="552" ht="15" customHeight="1" s="83">
      <c r="A552" s="135" t="n"/>
      <c r="B552" s="143" t="n"/>
      <c r="C552" s="136" t="n"/>
      <c r="D552" s="143" t="n"/>
      <c r="E552" s="137" t="n"/>
      <c r="G552" s="137" t="n"/>
    </row>
    <row r="553" ht="15" customHeight="1" s="83">
      <c r="A553" s="135" t="n"/>
      <c r="B553" s="143" t="n"/>
      <c r="C553" s="136" t="n"/>
      <c r="D553" s="143" t="n"/>
      <c r="E553" s="137" t="n"/>
      <c r="G553" s="137" t="n"/>
    </row>
    <row r="554" ht="15" customHeight="1" s="83">
      <c r="A554" s="135" t="n"/>
      <c r="B554" s="143" t="n"/>
      <c r="C554" s="136" t="n"/>
      <c r="D554" s="143" t="n"/>
      <c r="E554" s="137" t="n"/>
      <c r="G554" s="137" t="n"/>
    </row>
    <row r="555" ht="15" customHeight="1" s="83">
      <c r="A555" s="135" t="n"/>
      <c r="B555" s="143" t="n"/>
      <c r="C555" s="136" t="n"/>
      <c r="D555" s="143" t="n"/>
      <c r="E555" s="137" t="n"/>
      <c r="G555" s="137" t="n"/>
    </row>
    <row r="556" ht="15" customHeight="1" s="83">
      <c r="A556" s="135" t="n"/>
      <c r="B556" s="143" t="n"/>
      <c r="C556" s="136" t="n"/>
      <c r="D556" s="143" t="n"/>
      <c r="E556" s="137" t="n"/>
      <c r="G556" s="137" t="n"/>
    </row>
    <row r="557" ht="15" customHeight="1" s="83">
      <c r="A557" s="135" t="n"/>
      <c r="B557" s="143" t="n"/>
      <c r="C557" s="136" t="n"/>
      <c r="D557" s="143" t="n"/>
      <c r="E557" s="137" t="n"/>
      <c r="G557" s="137" t="n"/>
    </row>
    <row r="558" ht="15" customHeight="1" s="83">
      <c r="A558" s="135" t="n"/>
      <c r="B558" s="143" t="n"/>
      <c r="C558" s="136" t="n"/>
      <c r="D558" s="143" t="n"/>
      <c r="E558" s="137" t="n"/>
      <c r="G558" s="137" t="n"/>
    </row>
    <row r="559" ht="15" customHeight="1" s="83">
      <c r="A559" s="135" t="n"/>
      <c r="B559" s="143" t="n"/>
      <c r="C559" s="136" t="n"/>
      <c r="D559" s="143" t="n"/>
      <c r="E559" s="137" t="n"/>
      <c r="G559" s="137" t="n"/>
    </row>
    <row r="560" ht="15" customHeight="1" s="83">
      <c r="A560" s="135" t="n"/>
      <c r="B560" s="143" t="n"/>
      <c r="C560" s="136" t="n"/>
      <c r="D560" s="143" t="n"/>
      <c r="E560" s="137" t="n"/>
      <c r="G560" s="137" t="n"/>
    </row>
    <row r="561" ht="15" customHeight="1" s="83">
      <c r="A561" s="135" t="n"/>
      <c r="B561" s="143" t="n"/>
      <c r="C561" s="136" t="n"/>
      <c r="D561" s="143" t="n"/>
      <c r="E561" s="137" t="n"/>
      <c r="G561" s="137" t="n"/>
    </row>
    <row r="562" ht="15" customHeight="1" s="83">
      <c r="A562" s="135" t="n"/>
      <c r="B562" s="143" t="n"/>
      <c r="C562" s="136" t="n"/>
      <c r="D562" s="143" t="n"/>
      <c r="E562" s="137" t="n"/>
      <c r="G562" s="137" t="n"/>
    </row>
    <row r="563" ht="15" customHeight="1" s="83">
      <c r="A563" s="135" t="n"/>
      <c r="B563" s="143" t="n"/>
      <c r="C563" s="136" t="n"/>
      <c r="D563" s="143" t="n"/>
      <c r="E563" s="137" t="n"/>
      <c r="G563" s="137" t="n"/>
    </row>
    <row r="564" ht="15" customHeight="1" s="83">
      <c r="A564" s="135" t="n"/>
      <c r="B564" s="143" t="n"/>
      <c r="C564" s="136" t="n"/>
      <c r="D564" s="143" t="n"/>
      <c r="E564" s="137" t="n"/>
      <c r="G564" s="137" t="n"/>
    </row>
    <row r="565" ht="15" customHeight="1" s="83">
      <c r="A565" s="135" t="n"/>
      <c r="B565" s="143" t="n"/>
      <c r="C565" s="136" t="n"/>
      <c r="D565" s="143" t="n"/>
      <c r="E565" s="137" t="n"/>
      <c r="G565" s="137" t="n"/>
    </row>
    <row r="566" ht="15" customHeight="1" s="83">
      <c r="A566" s="135" t="n"/>
      <c r="B566" s="143" t="n"/>
      <c r="C566" s="136" t="n"/>
      <c r="D566" s="143" t="n"/>
      <c r="E566" s="137" t="n"/>
      <c r="G566" s="137" t="n"/>
    </row>
    <row r="567" ht="15" customHeight="1" s="83">
      <c r="A567" s="135" t="n"/>
      <c r="B567" s="143" t="n"/>
      <c r="C567" s="136" t="n"/>
      <c r="D567" s="143" t="n"/>
      <c r="E567" s="137" t="n"/>
      <c r="G567" s="137" t="n"/>
    </row>
    <row r="568" ht="15" customHeight="1" s="83">
      <c r="A568" s="135" t="n"/>
      <c r="B568" s="143" t="n"/>
      <c r="C568" s="136" t="n"/>
      <c r="D568" s="143" t="n"/>
      <c r="E568" s="137" t="n"/>
      <c r="G568" s="137" t="n"/>
    </row>
    <row r="569" ht="15" customHeight="1" s="83">
      <c r="A569" s="135" t="n"/>
      <c r="B569" s="143" t="n"/>
      <c r="C569" s="136" t="n"/>
      <c r="D569" s="143" t="n"/>
      <c r="E569" s="137" t="n"/>
      <c r="G569" s="137" t="n"/>
    </row>
    <row r="570" ht="15" customHeight="1" s="83">
      <c r="A570" s="135" t="n"/>
      <c r="B570" s="143" t="n"/>
      <c r="C570" s="136" t="n"/>
      <c r="D570" s="143" t="n"/>
      <c r="E570" s="137" t="n"/>
      <c r="G570" s="137" t="n"/>
    </row>
    <row r="571" ht="15" customHeight="1" s="83">
      <c r="A571" s="135" t="n"/>
      <c r="B571" s="143" t="n"/>
      <c r="C571" s="136" t="n"/>
      <c r="D571" s="143" t="n"/>
      <c r="E571" s="137" t="n"/>
      <c r="G571" s="137" t="n"/>
    </row>
    <row r="572" ht="15" customHeight="1" s="83">
      <c r="A572" s="135" t="n"/>
      <c r="B572" s="143" t="n"/>
      <c r="C572" s="136" t="n"/>
      <c r="D572" s="143" t="n"/>
      <c r="E572" s="137" t="n"/>
      <c r="G572" s="137" t="n"/>
    </row>
    <row r="573" ht="15" customHeight="1" s="83">
      <c r="A573" s="135" t="n"/>
      <c r="B573" s="143" t="n"/>
      <c r="C573" s="136" t="n"/>
      <c r="D573" s="143" t="n"/>
      <c r="E573" s="137" t="n"/>
      <c r="G573" s="137" t="n"/>
    </row>
    <row r="574" ht="15" customHeight="1" s="83">
      <c r="A574" s="135" t="n"/>
      <c r="B574" s="143" t="n"/>
      <c r="C574" s="136" t="n"/>
      <c r="D574" s="143" t="n"/>
      <c r="E574" s="137" t="n"/>
      <c r="G574" s="137" t="n"/>
    </row>
    <row r="575" ht="15" customHeight="1" s="83">
      <c r="A575" s="135" t="n"/>
      <c r="B575" s="143" t="n"/>
      <c r="C575" s="136" t="n"/>
      <c r="D575" s="143" t="n"/>
      <c r="E575" s="137" t="n"/>
      <c r="G575" s="137" t="n"/>
    </row>
    <row r="576" ht="15" customHeight="1" s="83">
      <c r="A576" s="135" t="n"/>
      <c r="B576" s="143" t="n"/>
      <c r="C576" s="136" t="n"/>
      <c r="D576" s="143" t="n"/>
      <c r="E576" s="137" t="n"/>
      <c r="G576" s="137" t="n"/>
    </row>
    <row r="577" ht="15" customHeight="1" s="83">
      <c r="A577" s="135" t="n"/>
      <c r="B577" s="143" t="n"/>
      <c r="C577" s="136" t="n"/>
      <c r="D577" s="143" t="n"/>
      <c r="E577" s="137" t="n"/>
      <c r="G577" s="137" t="n"/>
    </row>
    <row r="578" ht="15" customHeight="1" s="83">
      <c r="A578" s="135" t="n"/>
      <c r="B578" s="143" t="n"/>
      <c r="C578" s="136" t="n"/>
      <c r="D578" s="143" t="n"/>
      <c r="E578" s="137" t="n"/>
      <c r="G578" s="137" t="n"/>
    </row>
    <row r="579" ht="15" customHeight="1" s="83">
      <c r="A579" s="135" t="n"/>
      <c r="B579" s="143" t="n"/>
      <c r="C579" s="136" t="n"/>
      <c r="D579" s="143" t="n"/>
      <c r="E579" s="137" t="n"/>
      <c r="G579" s="137" t="n"/>
    </row>
    <row r="580" ht="15" customHeight="1" s="83">
      <c r="A580" s="135" t="n"/>
      <c r="B580" s="143" t="n"/>
      <c r="C580" s="136" t="n"/>
      <c r="D580" s="143" t="n"/>
      <c r="E580" s="137" t="n"/>
      <c r="G580" s="137" t="n"/>
    </row>
    <row r="581" ht="15" customHeight="1" s="83">
      <c r="A581" s="135" t="n"/>
      <c r="B581" s="143" t="n"/>
      <c r="C581" s="136" t="n"/>
      <c r="D581" s="143" t="n"/>
      <c r="E581" s="137" t="n"/>
      <c r="G581" s="137" t="n"/>
    </row>
    <row r="582" ht="15" customHeight="1" s="83">
      <c r="A582" s="135" t="n"/>
      <c r="B582" s="143" t="n"/>
      <c r="C582" s="136" t="n"/>
      <c r="D582" s="143" t="n"/>
      <c r="E582" s="137" t="n"/>
      <c r="G582" s="137" t="n"/>
    </row>
    <row r="583" ht="15" customHeight="1" s="83">
      <c r="A583" s="135" t="n"/>
      <c r="B583" s="143" t="n"/>
      <c r="C583" s="136" t="n"/>
      <c r="D583" s="143" t="n"/>
      <c r="E583" s="137" t="n"/>
      <c r="G583" s="137" t="n"/>
    </row>
    <row r="584" ht="15" customHeight="1" s="83">
      <c r="A584" s="135" t="n"/>
      <c r="B584" s="143" t="n"/>
      <c r="C584" s="136" t="n"/>
      <c r="D584" s="143" t="n"/>
      <c r="E584" s="137" t="n"/>
      <c r="G584" s="137" t="n"/>
    </row>
    <row r="585" ht="15" customHeight="1" s="83">
      <c r="A585" s="135" t="n"/>
      <c r="B585" s="143" t="n"/>
      <c r="C585" s="136" t="n"/>
      <c r="D585" s="143" t="n"/>
      <c r="E585" s="137" t="n"/>
      <c r="G585" s="137" t="n"/>
    </row>
    <row r="586" ht="15" customHeight="1" s="83">
      <c r="A586" s="135" t="n"/>
      <c r="B586" s="143" t="n"/>
      <c r="C586" s="136" t="n"/>
      <c r="D586" s="143" t="n"/>
      <c r="E586" s="137" t="n"/>
      <c r="G586" s="137" t="n"/>
    </row>
    <row r="587" ht="15" customHeight="1" s="83">
      <c r="A587" s="135" t="n"/>
      <c r="B587" s="143" t="n"/>
      <c r="C587" s="136" t="n"/>
      <c r="D587" s="143" t="n"/>
      <c r="E587" s="137" t="n"/>
      <c r="G587" s="137" t="n"/>
    </row>
    <row r="588" ht="15" customHeight="1" s="83">
      <c r="A588" s="135" t="n"/>
      <c r="B588" s="143" t="n"/>
      <c r="C588" s="136" t="n"/>
      <c r="D588" s="143" t="n"/>
      <c r="E588" s="137" t="n"/>
      <c r="G588" s="137" t="n"/>
    </row>
    <row r="589" ht="15" customHeight="1" s="83">
      <c r="A589" s="135" t="n"/>
      <c r="B589" s="143" t="n"/>
      <c r="C589" s="136" t="n"/>
      <c r="D589" s="143" t="n"/>
      <c r="E589" s="137" t="n"/>
      <c r="G589" s="137" t="n"/>
    </row>
    <row r="590" ht="15" customHeight="1" s="83">
      <c r="A590" s="135" t="n"/>
      <c r="B590" s="143" t="n"/>
      <c r="C590" s="136" t="n"/>
      <c r="D590" s="143" t="n"/>
      <c r="E590" s="137" t="n"/>
      <c r="G590" s="137" t="n"/>
    </row>
    <row r="591" ht="15" customHeight="1" s="83">
      <c r="A591" s="135" t="n"/>
      <c r="B591" s="143" t="n"/>
      <c r="C591" s="136" t="n"/>
      <c r="D591" s="143" t="n"/>
      <c r="E591" s="137" t="n"/>
      <c r="G591" s="137" t="n"/>
    </row>
    <row r="592" ht="15" customHeight="1" s="83">
      <c r="A592" s="135" t="n"/>
      <c r="B592" s="143" t="n"/>
      <c r="C592" s="136" t="n"/>
      <c r="D592" s="143" t="n"/>
      <c r="E592" s="137" t="n"/>
      <c r="G592" s="137" t="n"/>
    </row>
    <row r="593" ht="15" customHeight="1" s="83">
      <c r="A593" s="135" t="n"/>
      <c r="B593" s="143" t="n"/>
      <c r="C593" s="136" t="n"/>
      <c r="D593" s="143" t="n"/>
      <c r="E593" s="137" t="n"/>
      <c r="G593" s="137" t="n"/>
    </row>
    <row r="594" ht="15" customHeight="1" s="83">
      <c r="A594" s="135" t="n"/>
      <c r="B594" s="143" t="n"/>
      <c r="C594" s="136" t="n"/>
      <c r="D594" s="143" t="n"/>
      <c r="E594" s="137" t="n"/>
      <c r="G594" s="137" t="n"/>
    </row>
    <row r="595" ht="15" customHeight="1" s="83">
      <c r="A595" s="135" t="n"/>
      <c r="B595" s="143" t="n"/>
      <c r="C595" s="136" t="n"/>
      <c r="D595" s="143" t="n"/>
      <c r="E595" s="137" t="n"/>
      <c r="G595" s="137" t="n"/>
    </row>
    <row r="596" ht="15" customHeight="1" s="83">
      <c r="A596" s="135" t="n"/>
      <c r="B596" s="143" t="n"/>
      <c r="C596" s="136" t="n"/>
      <c r="D596" s="143" t="n"/>
      <c r="E596" s="137" t="n"/>
      <c r="G596" s="137" t="n"/>
    </row>
    <row r="597" ht="15" customHeight="1" s="83">
      <c r="A597" s="135" t="n"/>
      <c r="B597" s="143" t="n"/>
      <c r="C597" s="136" t="n"/>
      <c r="D597" s="143" t="n"/>
      <c r="E597" s="137" t="n"/>
      <c r="G597" s="137" t="n"/>
    </row>
    <row r="598" ht="15" customHeight="1" s="83">
      <c r="A598" s="135" t="n"/>
      <c r="B598" s="143" t="n"/>
      <c r="C598" s="136" t="n"/>
      <c r="D598" s="143" t="n"/>
      <c r="E598" s="137" t="n"/>
      <c r="G598" s="137" t="n"/>
    </row>
    <row r="599" ht="15" customHeight="1" s="83">
      <c r="A599" s="135" t="n"/>
      <c r="B599" s="143" t="n"/>
      <c r="C599" s="136" t="n"/>
      <c r="D599" s="143" t="n"/>
      <c r="E599" s="137" t="n"/>
      <c r="G599" s="137" t="n"/>
    </row>
    <row r="600" ht="15" customHeight="1" s="83">
      <c r="A600" s="135" t="n"/>
      <c r="B600" s="143" t="n"/>
      <c r="C600" s="136" t="n"/>
      <c r="D600" s="143" t="n"/>
      <c r="E600" s="137" t="n"/>
      <c r="G600" s="137" t="n"/>
    </row>
    <row r="601" ht="15" customHeight="1" s="83">
      <c r="A601" s="135" t="n"/>
      <c r="B601" s="143" t="n"/>
      <c r="C601" s="136" t="n"/>
      <c r="D601" s="143" t="n"/>
      <c r="E601" s="137" t="n"/>
      <c r="G601" s="137" t="n"/>
    </row>
    <row r="602" ht="15" customHeight="1" s="83">
      <c r="A602" s="135" t="n"/>
      <c r="B602" s="143" t="n"/>
      <c r="C602" s="136" t="n"/>
      <c r="D602" s="143" t="n"/>
      <c r="E602" s="137" t="n"/>
      <c r="G602" s="137" t="n"/>
    </row>
    <row r="603" ht="15" customHeight="1" s="83">
      <c r="A603" s="135" t="n"/>
      <c r="B603" s="143" t="n"/>
      <c r="C603" s="136" t="n"/>
      <c r="D603" s="143" t="n"/>
      <c r="E603" s="137" t="n"/>
      <c r="G603" s="137" t="n"/>
    </row>
    <row r="604" ht="15" customHeight="1" s="83">
      <c r="A604" s="135" t="n"/>
      <c r="B604" s="143" t="n"/>
      <c r="C604" s="136" t="n"/>
      <c r="D604" s="143" t="n"/>
      <c r="E604" s="137" t="n"/>
      <c r="G604" s="137" t="n"/>
    </row>
    <row r="605" ht="15" customHeight="1" s="83">
      <c r="A605" s="135" t="n"/>
      <c r="B605" s="143" t="n"/>
      <c r="C605" s="136" t="n"/>
      <c r="D605" s="143" t="n"/>
      <c r="E605" s="137" t="n"/>
      <c r="G605" s="137" t="n"/>
    </row>
    <row r="606" ht="15" customHeight="1" s="83">
      <c r="A606" s="135" t="n"/>
      <c r="B606" s="143" t="n"/>
      <c r="C606" s="136" t="n"/>
      <c r="D606" s="143" t="n"/>
      <c r="E606" s="137" t="n"/>
      <c r="G606" s="137" t="n"/>
    </row>
    <row r="607" ht="15" customHeight="1" s="83">
      <c r="A607" s="135" t="n"/>
      <c r="B607" s="143" t="n"/>
      <c r="C607" s="136" t="n"/>
      <c r="D607" s="143" t="n"/>
      <c r="E607" s="137" t="n"/>
      <c r="G607" s="137" t="n"/>
    </row>
    <row r="608" ht="15" customHeight="1" s="83">
      <c r="A608" s="135" t="n"/>
      <c r="B608" s="143" t="n"/>
      <c r="C608" s="136" t="n"/>
      <c r="D608" s="143" t="n"/>
      <c r="E608" s="137" t="n"/>
      <c r="G608" s="137" t="n"/>
    </row>
    <row r="609" ht="15" customHeight="1" s="83">
      <c r="A609" s="135" t="n"/>
      <c r="B609" s="143" t="n"/>
      <c r="C609" s="136" t="n"/>
      <c r="D609" s="143" t="n"/>
      <c r="E609" s="137" t="n"/>
      <c r="G609" s="137" t="n"/>
    </row>
    <row r="610" ht="15" customHeight="1" s="83">
      <c r="A610" s="135" t="n"/>
      <c r="B610" s="143" t="n"/>
      <c r="C610" s="136" t="n"/>
      <c r="D610" s="143" t="n"/>
      <c r="E610" s="137" t="n"/>
      <c r="G610" s="137" t="n"/>
    </row>
    <row r="611" ht="15" customHeight="1" s="83">
      <c r="A611" s="135" t="n"/>
      <c r="B611" s="143" t="n"/>
      <c r="C611" s="136" t="n"/>
      <c r="D611" s="143" t="n"/>
      <c r="E611" s="137" t="n"/>
      <c r="G611" s="137" t="n"/>
    </row>
    <row r="612" ht="15" customHeight="1" s="83">
      <c r="A612" s="135" t="n"/>
      <c r="B612" s="143" t="n"/>
      <c r="C612" s="136" t="n"/>
      <c r="D612" s="143" t="n"/>
      <c r="E612" s="137" t="n"/>
      <c r="G612" s="137" t="n"/>
    </row>
    <row r="613" ht="15" customHeight="1" s="83">
      <c r="A613" s="135" t="n"/>
      <c r="B613" s="143" t="n"/>
      <c r="C613" s="136" t="n"/>
      <c r="D613" s="143" t="n"/>
      <c r="E613" s="137" t="n"/>
      <c r="G613" s="137" t="n"/>
    </row>
    <row r="614" ht="15" customHeight="1" s="83">
      <c r="A614" s="135" t="n"/>
      <c r="B614" s="143" t="n"/>
      <c r="C614" s="136" t="n"/>
      <c r="D614" s="143" t="n"/>
      <c r="E614" s="137" t="n"/>
      <c r="G614" s="137" t="n"/>
    </row>
    <row r="615" ht="15" customHeight="1" s="83">
      <c r="A615" s="135" t="n"/>
      <c r="B615" s="143" t="n"/>
      <c r="C615" s="136" t="n"/>
      <c r="D615" s="143" t="n"/>
      <c r="E615" s="137" t="n"/>
      <c r="G615" s="137" t="n"/>
    </row>
    <row r="616" ht="15" customHeight="1" s="83">
      <c r="A616" s="135" t="n"/>
      <c r="B616" s="143" t="n"/>
      <c r="C616" s="136" t="n"/>
      <c r="D616" s="143" t="n"/>
      <c r="E616" s="137" t="n"/>
      <c r="G616" s="137" t="n"/>
    </row>
    <row r="617" ht="15" customHeight="1" s="83">
      <c r="A617" s="135" t="n"/>
      <c r="B617" s="143" t="n"/>
      <c r="C617" s="136" t="n"/>
      <c r="D617" s="143" t="n"/>
      <c r="E617" s="137" t="n"/>
      <c r="G617" s="137" t="n"/>
    </row>
    <row r="618" ht="15" customHeight="1" s="83">
      <c r="A618" s="135" t="n"/>
      <c r="B618" s="143" t="n"/>
      <c r="C618" s="136" t="n"/>
      <c r="D618" s="143" t="n"/>
      <c r="E618" s="137" t="n"/>
      <c r="G618" s="137" t="n"/>
    </row>
    <row r="619" ht="15" customHeight="1" s="83">
      <c r="A619" s="135" t="n"/>
      <c r="B619" s="143" t="n"/>
      <c r="C619" s="136" t="n"/>
      <c r="D619" s="143" t="n"/>
      <c r="E619" s="137" t="n"/>
      <c r="G619" s="137" t="n"/>
    </row>
    <row r="620" ht="15" customHeight="1" s="83">
      <c r="A620" s="135" t="n"/>
      <c r="B620" s="143" t="n"/>
      <c r="C620" s="136" t="n"/>
      <c r="D620" s="143" t="n"/>
      <c r="E620" s="137" t="n"/>
      <c r="G620" s="137" t="n"/>
    </row>
    <row r="621" ht="15" customHeight="1" s="83">
      <c r="A621" s="135" t="n"/>
      <c r="B621" s="143" t="n"/>
      <c r="C621" s="136" t="n"/>
      <c r="D621" s="143" t="n"/>
      <c r="E621" s="137" t="n"/>
      <c r="G621" s="137" t="n"/>
    </row>
    <row r="622" ht="15" customHeight="1" s="83">
      <c r="A622" s="135" t="n"/>
      <c r="B622" s="143" t="n"/>
      <c r="C622" s="136" t="n"/>
      <c r="D622" s="143" t="n"/>
      <c r="E622" s="137" t="n"/>
      <c r="G622" s="137" t="n"/>
    </row>
    <row r="623" ht="15" customHeight="1" s="83">
      <c r="A623" s="135" t="n"/>
      <c r="B623" s="143" t="n"/>
      <c r="C623" s="136" t="n"/>
      <c r="D623" s="143" t="n"/>
      <c r="E623" s="137" t="n"/>
      <c r="G623" s="137" t="n"/>
    </row>
    <row r="624" ht="15" customHeight="1" s="83">
      <c r="A624" s="135" t="n"/>
      <c r="B624" s="143" t="n"/>
      <c r="C624" s="136" t="n"/>
      <c r="D624" s="143" t="n"/>
      <c r="E624" s="137" t="n"/>
      <c r="G624" s="137" t="n"/>
    </row>
    <row r="625" ht="15" customHeight="1" s="83">
      <c r="A625" s="135" t="n"/>
      <c r="B625" s="143" t="n"/>
      <c r="C625" s="136" t="n"/>
      <c r="D625" s="143" t="n"/>
      <c r="E625" s="137" t="n"/>
      <c r="G625" s="137" t="n"/>
    </row>
    <row r="626" ht="15" customHeight="1" s="83">
      <c r="A626" s="135" t="n"/>
      <c r="B626" s="143" t="n"/>
      <c r="C626" s="136" t="n"/>
      <c r="D626" s="143" t="n"/>
      <c r="E626" s="137" t="n"/>
      <c r="G626" s="137" t="n"/>
    </row>
    <row r="627" ht="15" customHeight="1" s="83">
      <c r="A627" s="135" t="n"/>
      <c r="B627" s="143" t="n"/>
      <c r="C627" s="136" t="n"/>
      <c r="D627" s="143" t="n"/>
      <c r="E627" s="137" t="n"/>
      <c r="G627" s="137" t="n"/>
    </row>
    <row r="628" ht="15" customHeight="1" s="83">
      <c r="A628" s="135" t="n"/>
      <c r="B628" s="143" t="n"/>
      <c r="C628" s="136" t="n"/>
      <c r="D628" s="143" t="n"/>
      <c r="E628" s="137" t="n"/>
      <c r="G628" s="137" t="n"/>
    </row>
    <row r="629" ht="15" customHeight="1" s="83">
      <c r="A629" s="135" t="n"/>
      <c r="B629" s="143" t="n"/>
      <c r="C629" s="136" t="n"/>
      <c r="D629" s="143" t="n"/>
      <c r="E629" s="137" t="n"/>
      <c r="G629" s="137" t="n"/>
    </row>
    <row r="630" ht="15" customHeight="1" s="83">
      <c r="A630" s="135" t="n"/>
      <c r="B630" s="143" t="n"/>
      <c r="C630" s="136" t="n"/>
      <c r="D630" s="143" t="n"/>
      <c r="E630" s="137" t="n"/>
      <c r="G630" s="137" t="n"/>
    </row>
    <row r="631" ht="15" customHeight="1" s="83">
      <c r="A631" s="135" t="n"/>
      <c r="B631" s="143" t="n"/>
      <c r="C631" s="136" t="n"/>
      <c r="D631" s="143" t="n"/>
      <c r="E631" s="137" t="n"/>
      <c r="G631" s="137" t="n"/>
    </row>
    <row r="632" ht="15" customHeight="1" s="83">
      <c r="A632" s="135" t="n"/>
      <c r="B632" s="143" t="n"/>
      <c r="C632" s="136" t="n"/>
      <c r="D632" s="143" t="n"/>
      <c r="E632" s="137" t="n"/>
      <c r="G632" s="137" t="n"/>
    </row>
    <row r="633" ht="15" customHeight="1" s="83">
      <c r="A633" s="135" t="n"/>
      <c r="B633" s="143" t="n"/>
      <c r="C633" s="136" t="n"/>
      <c r="D633" s="143" t="n"/>
      <c r="E633" s="137" t="n"/>
      <c r="G633" s="137" t="n"/>
    </row>
    <row r="634" ht="15" customHeight="1" s="83">
      <c r="A634" s="135" t="n"/>
      <c r="B634" s="143" t="n"/>
      <c r="C634" s="136" t="n"/>
      <c r="D634" s="143" t="n"/>
      <c r="E634" s="137" t="n"/>
      <c r="G634" s="137" t="n"/>
    </row>
    <row r="635" ht="15" customHeight="1" s="83">
      <c r="A635" s="135" t="n"/>
      <c r="B635" s="143" t="n"/>
      <c r="C635" s="136" t="n"/>
      <c r="D635" s="143" t="n"/>
      <c r="E635" s="137" t="n"/>
      <c r="G635" s="137" t="n"/>
    </row>
    <row r="636" ht="15" customHeight="1" s="83">
      <c r="A636" s="135" t="n"/>
      <c r="B636" s="143" t="n"/>
      <c r="C636" s="136" t="n"/>
      <c r="D636" s="143" t="n"/>
      <c r="E636" s="137" t="n"/>
      <c r="G636" s="137" t="n"/>
    </row>
    <row r="637" ht="15" customHeight="1" s="83">
      <c r="A637" s="135" t="n"/>
      <c r="B637" s="143" t="n"/>
      <c r="C637" s="136" t="n"/>
      <c r="D637" s="143" t="n"/>
      <c r="E637" s="137" t="n"/>
      <c r="G637" s="137" t="n"/>
    </row>
    <row r="638" ht="15" customHeight="1" s="83">
      <c r="A638" s="135" t="n"/>
      <c r="B638" s="143" t="n"/>
      <c r="C638" s="136" t="n"/>
      <c r="D638" s="143" t="n"/>
      <c r="E638" s="137" t="n"/>
      <c r="G638" s="137" t="n"/>
    </row>
    <row r="639" ht="15" customHeight="1" s="83">
      <c r="A639" s="135" t="n"/>
      <c r="B639" s="143" t="n"/>
      <c r="C639" s="136" t="n"/>
      <c r="D639" s="143" t="n"/>
      <c r="E639" s="137" t="n"/>
      <c r="G639" s="137" t="n"/>
    </row>
    <row r="640" ht="15" customHeight="1" s="83">
      <c r="A640" s="135" t="n"/>
      <c r="B640" s="143" t="n"/>
      <c r="C640" s="136" t="n"/>
      <c r="D640" s="143" t="n"/>
      <c r="E640" s="137" t="n"/>
      <c r="G640" s="137" t="n"/>
    </row>
    <row r="641" ht="15" customHeight="1" s="83">
      <c r="A641" s="135" t="n"/>
      <c r="B641" s="143" t="n"/>
      <c r="C641" s="136" t="n"/>
      <c r="D641" s="143" t="n"/>
      <c r="E641" s="137" t="n"/>
      <c r="G641" s="137" t="n"/>
    </row>
    <row r="642" ht="15" customHeight="1" s="83">
      <c r="A642" s="135" t="n"/>
      <c r="B642" s="143" t="n"/>
      <c r="C642" s="136" t="n"/>
      <c r="D642" s="143" t="n"/>
      <c r="E642" s="137" t="n"/>
      <c r="G642" s="137" t="n"/>
    </row>
    <row r="643" ht="15" customHeight="1" s="83">
      <c r="A643" s="135" t="n"/>
      <c r="B643" s="143" t="n"/>
      <c r="C643" s="136" t="n"/>
      <c r="D643" s="143" t="n"/>
      <c r="E643" s="137" t="n"/>
      <c r="G643" s="137" t="n"/>
    </row>
    <row r="644" ht="15" customHeight="1" s="83">
      <c r="A644" s="135" t="n"/>
      <c r="B644" s="143" t="n"/>
      <c r="C644" s="136" t="n"/>
      <c r="D644" s="143" t="n"/>
      <c r="E644" s="137" t="n"/>
      <c r="G644" s="137" t="n"/>
    </row>
    <row r="645" ht="15" customHeight="1" s="83">
      <c r="A645" s="135" t="n"/>
      <c r="B645" s="143" t="n"/>
      <c r="C645" s="136" t="n"/>
      <c r="D645" s="143" t="n"/>
      <c r="E645" s="137" t="n"/>
      <c r="G645" s="137" t="n"/>
    </row>
    <row r="646" ht="15" customHeight="1" s="83">
      <c r="A646" s="135" t="n"/>
      <c r="B646" s="143" t="n"/>
      <c r="C646" s="136" t="n"/>
      <c r="D646" s="143" t="n"/>
      <c r="E646" s="137" t="n"/>
      <c r="G646" s="137" t="n"/>
    </row>
    <row r="647" ht="15" customHeight="1" s="83">
      <c r="A647" s="135" t="n"/>
      <c r="B647" s="143" t="n"/>
      <c r="C647" s="136" t="n"/>
      <c r="D647" s="143" t="n"/>
      <c r="E647" s="137" t="n"/>
      <c r="G647" s="137" t="n"/>
    </row>
    <row r="648" ht="15" customHeight="1" s="83">
      <c r="A648" s="135" t="n"/>
      <c r="B648" s="143" t="n"/>
      <c r="C648" s="136" t="n"/>
      <c r="D648" s="143" t="n"/>
      <c r="E648" s="137" t="n"/>
      <c r="G648" s="137" t="n"/>
    </row>
    <row r="649" ht="15" customHeight="1" s="83">
      <c r="A649" s="135" t="n"/>
      <c r="B649" s="143" t="n"/>
      <c r="C649" s="136" t="n"/>
      <c r="D649" s="143" t="n"/>
      <c r="E649" s="137" t="n"/>
      <c r="G649" s="137" t="n"/>
    </row>
    <row r="650" ht="15" customHeight="1" s="83">
      <c r="A650" s="135" t="n"/>
      <c r="B650" s="143" t="n"/>
      <c r="C650" s="136" t="n"/>
      <c r="D650" s="143" t="n"/>
      <c r="E650" s="137" t="n"/>
      <c r="G650" s="137" t="n"/>
    </row>
    <row r="651" ht="15" customHeight="1" s="83">
      <c r="A651" s="135" t="n"/>
      <c r="B651" s="143" t="n"/>
      <c r="C651" s="136" t="n"/>
      <c r="D651" s="143" t="n"/>
      <c r="E651" s="137" t="n"/>
      <c r="G651" s="137" t="n"/>
    </row>
    <row r="652" ht="15" customHeight="1" s="83">
      <c r="A652" s="135" t="n"/>
      <c r="B652" s="143" t="n"/>
      <c r="C652" s="136" t="n"/>
      <c r="D652" s="143" t="n"/>
      <c r="E652" s="137" t="n"/>
      <c r="G652" s="137" t="n"/>
    </row>
    <row r="653" ht="15" customHeight="1" s="83">
      <c r="A653" s="135" t="n"/>
      <c r="B653" s="143" t="n"/>
      <c r="C653" s="136" t="n"/>
      <c r="D653" s="143" t="n"/>
      <c r="E653" s="137" t="n"/>
      <c r="G653" s="137" t="n"/>
    </row>
    <row r="654" ht="15" customHeight="1" s="83">
      <c r="A654" s="135" t="n"/>
      <c r="B654" s="143" t="n"/>
      <c r="C654" s="136" t="n"/>
      <c r="D654" s="143" t="n"/>
      <c r="E654" s="137" t="n"/>
      <c r="G654" s="137" t="n"/>
    </row>
    <row r="655" ht="15" customHeight="1" s="83">
      <c r="A655" s="135" t="n"/>
      <c r="B655" s="143" t="n"/>
      <c r="C655" s="136" t="n"/>
      <c r="D655" s="143" t="n"/>
      <c r="E655" s="137" t="n"/>
      <c r="G655" s="137" t="n"/>
    </row>
    <row r="656" ht="15" customHeight="1" s="83">
      <c r="A656" s="135" t="n"/>
      <c r="B656" s="143" t="n"/>
      <c r="C656" s="136" t="n"/>
      <c r="D656" s="143" t="n"/>
      <c r="E656" s="137" t="n"/>
      <c r="G656" s="137" t="n"/>
    </row>
    <row r="657" ht="15" customHeight="1" s="83">
      <c r="A657" s="135" t="n"/>
      <c r="B657" s="143" t="n"/>
      <c r="C657" s="136" t="n"/>
      <c r="D657" s="143" t="n"/>
      <c r="E657" s="137" t="n"/>
      <c r="G657" s="137" t="n"/>
    </row>
    <row r="658" ht="15" customHeight="1" s="83">
      <c r="A658" s="135" t="n"/>
      <c r="B658" s="143" t="n"/>
      <c r="C658" s="136" t="n"/>
      <c r="D658" s="143" t="n"/>
      <c r="E658" s="137" t="n"/>
      <c r="G658" s="137" t="n"/>
    </row>
    <row r="659" ht="15" customHeight="1" s="83">
      <c r="A659" s="135" t="n"/>
      <c r="B659" s="143" t="n"/>
      <c r="C659" s="136" t="n"/>
      <c r="D659" s="143" t="n"/>
      <c r="E659" s="137" t="n"/>
      <c r="G659" s="137" t="n"/>
    </row>
    <row r="660" ht="15" customHeight="1" s="83">
      <c r="A660" s="135" t="n"/>
      <c r="B660" s="143" t="n"/>
      <c r="C660" s="136" t="n"/>
      <c r="D660" s="143" t="n"/>
      <c r="E660" s="137" t="n"/>
      <c r="G660" s="137" t="n"/>
    </row>
    <row r="661" ht="15" customHeight="1" s="83">
      <c r="A661" s="135" t="n"/>
      <c r="B661" s="143" t="n"/>
      <c r="C661" s="136" t="n"/>
      <c r="D661" s="143" t="n"/>
      <c r="E661" s="137" t="n"/>
      <c r="G661" s="137" t="n"/>
    </row>
    <row r="662" ht="15" customHeight="1" s="83">
      <c r="A662" s="135" t="n"/>
      <c r="B662" s="143" t="n"/>
      <c r="C662" s="136" t="n"/>
      <c r="D662" s="143" t="n"/>
      <c r="E662" s="137" t="n"/>
      <c r="G662" s="137" t="n"/>
    </row>
    <row r="663" ht="15" customHeight="1" s="83">
      <c r="A663" s="135" t="n"/>
      <c r="B663" s="143" t="n"/>
      <c r="C663" s="136" t="n"/>
      <c r="D663" s="143" t="n"/>
      <c r="E663" s="137" t="n"/>
      <c r="G663" s="137" t="n"/>
    </row>
    <row r="664" ht="15" customHeight="1" s="83">
      <c r="A664" s="135" t="n"/>
      <c r="B664" s="143" t="n"/>
      <c r="C664" s="136" t="n"/>
      <c r="D664" s="143" t="n"/>
      <c r="E664" s="137" t="n"/>
      <c r="G664" s="137" t="n"/>
    </row>
    <row r="665" ht="15" customHeight="1" s="83">
      <c r="A665" s="135" t="n"/>
      <c r="B665" s="143" t="n"/>
      <c r="C665" s="136" t="n"/>
      <c r="D665" s="143" t="n"/>
      <c r="E665" s="137" t="n"/>
      <c r="G665" s="137" t="n"/>
    </row>
    <row r="666" ht="15" customHeight="1" s="83">
      <c r="A666" s="135" t="n"/>
      <c r="B666" s="143" t="n"/>
      <c r="C666" s="136" t="n"/>
      <c r="D666" s="143" t="n"/>
      <c r="E666" s="137" t="n"/>
      <c r="G666" s="137" t="n"/>
    </row>
    <row r="667" ht="15" customHeight="1" s="83">
      <c r="A667" s="135" t="n"/>
      <c r="B667" s="143" t="n"/>
      <c r="C667" s="136" t="n"/>
      <c r="D667" s="143" t="n"/>
      <c r="E667" s="137" t="n"/>
      <c r="G667" s="137" t="n"/>
    </row>
    <row r="668" ht="15" customHeight="1" s="83">
      <c r="A668" s="135" t="n"/>
      <c r="B668" s="143" t="n"/>
      <c r="C668" s="136" t="n"/>
      <c r="D668" s="143" t="n"/>
      <c r="E668" s="137" t="n"/>
      <c r="G668" s="137" t="n"/>
    </row>
    <row r="669" ht="15" customHeight="1" s="83">
      <c r="A669" s="135" t="n"/>
      <c r="B669" s="143" t="n"/>
      <c r="C669" s="136" t="n"/>
      <c r="D669" s="143" t="n"/>
      <c r="E669" s="137" t="n"/>
      <c r="G669" s="137" t="n"/>
    </row>
    <row r="670" ht="15" customHeight="1" s="83">
      <c r="A670" s="135" t="n"/>
      <c r="B670" s="143" t="n"/>
      <c r="C670" s="136" t="n"/>
      <c r="D670" s="143" t="n"/>
      <c r="E670" s="137" t="n"/>
      <c r="G670" s="137" t="n"/>
    </row>
    <row r="671" ht="15" customHeight="1" s="83">
      <c r="A671" s="135" t="n"/>
      <c r="B671" s="143" t="n"/>
      <c r="C671" s="136" t="n"/>
      <c r="D671" s="143" t="n"/>
      <c r="E671" s="137" t="n"/>
      <c r="G671" s="137" t="n"/>
    </row>
    <row r="672" ht="15" customHeight="1" s="83">
      <c r="A672" s="135" t="n"/>
      <c r="B672" s="143" t="n"/>
      <c r="C672" s="136" t="n"/>
      <c r="D672" s="143" t="n"/>
      <c r="E672" s="137" t="n"/>
      <c r="G672" s="137" t="n"/>
    </row>
    <row r="673" ht="15" customHeight="1" s="83">
      <c r="A673" s="135" t="n"/>
      <c r="B673" s="143" t="n"/>
      <c r="C673" s="136" t="n"/>
      <c r="D673" s="143" t="n"/>
      <c r="E673" s="137" t="n"/>
      <c r="G673" s="137" t="n"/>
    </row>
    <row r="674" ht="15" customHeight="1" s="83">
      <c r="A674" s="135" t="n"/>
      <c r="B674" s="143" t="n"/>
      <c r="C674" s="136" t="n"/>
      <c r="D674" s="143" t="n"/>
      <c r="E674" s="137" t="n"/>
      <c r="G674" s="137" t="n"/>
    </row>
    <row r="675" ht="15" customHeight="1" s="83">
      <c r="A675" s="135" t="n"/>
      <c r="B675" s="143" t="n"/>
      <c r="C675" s="136" t="n"/>
      <c r="D675" s="143" t="n"/>
      <c r="E675" s="137" t="n"/>
      <c r="G675" s="137" t="n"/>
    </row>
    <row r="676" ht="15" customHeight="1" s="83">
      <c r="A676" s="135" t="n"/>
      <c r="B676" s="143" t="n"/>
      <c r="C676" s="136" t="n"/>
      <c r="D676" s="143" t="n"/>
      <c r="E676" s="137" t="n"/>
      <c r="G676" s="137" t="n"/>
    </row>
    <row r="677" ht="15" customHeight="1" s="83">
      <c r="A677" s="135" t="n"/>
      <c r="B677" s="143" t="n"/>
      <c r="C677" s="136" t="n"/>
      <c r="D677" s="143" t="n"/>
      <c r="E677" s="137" t="n"/>
      <c r="G677" s="137" t="n"/>
    </row>
    <row r="678" ht="15" customHeight="1" s="83">
      <c r="A678" s="135" t="n"/>
      <c r="B678" s="143" t="n"/>
      <c r="C678" s="136" t="n"/>
      <c r="D678" s="143" t="n"/>
      <c r="E678" s="137" t="n"/>
      <c r="G678" s="137" t="n"/>
    </row>
    <row r="679" ht="15" customHeight="1" s="83">
      <c r="A679" s="135" t="n"/>
      <c r="B679" s="143" t="n"/>
      <c r="C679" s="136" t="n"/>
      <c r="D679" s="143" t="n"/>
      <c r="E679" s="137" t="n"/>
      <c r="G679" s="137" t="n"/>
    </row>
    <row r="680" ht="15" customHeight="1" s="83">
      <c r="A680" s="135" t="n"/>
      <c r="B680" s="143" t="n"/>
      <c r="C680" s="136" t="n"/>
      <c r="D680" s="143" t="n"/>
      <c r="E680" s="137" t="n"/>
      <c r="G680" s="137" t="n"/>
    </row>
    <row r="681" ht="15" customHeight="1" s="83">
      <c r="A681" s="135" t="n"/>
      <c r="B681" s="143" t="n"/>
      <c r="C681" s="136" t="n"/>
      <c r="D681" s="143" t="n"/>
      <c r="E681" s="137" t="n"/>
      <c r="G681" s="137" t="n"/>
    </row>
    <row r="682" ht="15" customHeight="1" s="83">
      <c r="A682" s="135" t="n"/>
      <c r="B682" s="143" t="n"/>
      <c r="C682" s="136" t="n"/>
      <c r="D682" s="143" t="n"/>
      <c r="E682" s="137" t="n"/>
      <c r="G682" s="137" t="n"/>
    </row>
    <row r="683" ht="15" customHeight="1" s="83">
      <c r="A683" s="135" t="n"/>
      <c r="B683" s="143" t="n"/>
      <c r="C683" s="136" t="n"/>
      <c r="D683" s="143" t="n"/>
      <c r="E683" s="137" t="n"/>
      <c r="G683" s="137" t="n"/>
    </row>
    <row r="684" ht="15" customHeight="1" s="83">
      <c r="A684" s="135" t="n"/>
      <c r="B684" s="143" t="n"/>
      <c r="C684" s="136" t="n"/>
      <c r="D684" s="143" t="n"/>
      <c r="E684" s="137" t="n"/>
      <c r="G684" s="137" t="n"/>
    </row>
    <row r="685" ht="15" customHeight="1" s="83">
      <c r="A685" s="135" t="n"/>
      <c r="B685" s="143" t="n"/>
      <c r="C685" s="136" t="n"/>
      <c r="D685" s="143" t="n"/>
      <c r="E685" s="137" t="n"/>
      <c r="G685" s="137" t="n"/>
    </row>
    <row r="686" ht="15" customHeight="1" s="83">
      <c r="A686" s="135" t="n"/>
      <c r="B686" s="143" t="n"/>
      <c r="C686" s="136" t="n"/>
      <c r="D686" s="143" t="n"/>
      <c r="E686" s="137" t="n"/>
      <c r="G686" s="137" t="n"/>
    </row>
    <row r="687" ht="15" customHeight="1" s="83">
      <c r="A687" s="135" t="n"/>
      <c r="B687" s="143" t="n"/>
      <c r="C687" s="136" t="n"/>
      <c r="D687" s="143" t="n"/>
      <c r="E687" s="137" t="n"/>
      <c r="G687" s="137" t="n"/>
    </row>
    <row r="688" ht="15" customHeight="1" s="83">
      <c r="A688" s="135" t="n"/>
      <c r="B688" s="143" t="n"/>
      <c r="C688" s="136" t="n"/>
      <c r="D688" s="143" t="n"/>
      <c r="E688" s="137" t="n"/>
      <c r="G688" s="137" t="n"/>
    </row>
    <row r="689" ht="15" customHeight="1" s="83">
      <c r="A689" s="135" t="n"/>
      <c r="B689" s="143" t="n"/>
      <c r="C689" s="136" t="n"/>
      <c r="D689" s="143" t="n"/>
      <c r="E689" s="137" t="n"/>
      <c r="G689" s="137" t="n"/>
    </row>
    <row r="690" ht="15" customHeight="1" s="83">
      <c r="A690" s="135" t="n"/>
      <c r="B690" s="143" t="n"/>
      <c r="C690" s="136" t="n"/>
      <c r="D690" s="143" t="n"/>
      <c r="E690" s="137" t="n"/>
      <c r="G690" s="137" t="n"/>
    </row>
    <row r="691" ht="15" customHeight="1" s="83">
      <c r="A691" s="135" t="n"/>
      <c r="B691" s="143" t="n"/>
      <c r="C691" s="136" t="n"/>
      <c r="D691" s="143" t="n"/>
      <c r="E691" s="137" t="n"/>
      <c r="G691" s="137" t="n"/>
    </row>
    <row r="692" ht="15" customHeight="1" s="83">
      <c r="A692" s="135" t="n"/>
      <c r="B692" s="143" t="n"/>
      <c r="C692" s="136" t="n"/>
      <c r="D692" s="143" t="n"/>
      <c r="E692" s="137" t="n"/>
      <c r="G692" s="137" t="n"/>
    </row>
    <row r="693" ht="15" customHeight="1" s="83">
      <c r="A693" s="135" t="n"/>
      <c r="B693" s="143" t="n"/>
      <c r="C693" s="136" t="n"/>
      <c r="D693" s="143" t="n"/>
      <c r="E693" s="137" t="n"/>
      <c r="G693" s="137" t="n"/>
    </row>
    <row r="694" ht="15" customHeight="1" s="83">
      <c r="A694" s="135" t="n"/>
      <c r="B694" s="143" t="n"/>
      <c r="C694" s="136" t="n"/>
      <c r="D694" s="143" t="n"/>
      <c r="E694" s="137" t="n"/>
      <c r="G694" s="137" t="n"/>
    </row>
    <row r="695" ht="15" customHeight="1" s="83">
      <c r="A695" s="135" t="n"/>
      <c r="B695" s="143" t="n"/>
      <c r="C695" s="136" t="n"/>
      <c r="D695" s="143" t="n"/>
      <c r="E695" s="137" t="n"/>
      <c r="G695" s="137" t="n"/>
    </row>
    <row r="696" ht="15" customHeight="1" s="83">
      <c r="A696" s="135" t="n"/>
      <c r="B696" s="143" t="n"/>
      <c r="C696" s="136" t="n"/>
      <c r="D696" s="143" t="n"/>
      <c r="E696" s="137" t="n"/>
      <c r="G696" s="137" t="n"/>
    </row>
    <row r="697" ht="15" customHeight="1" s="83">
      <c r="A697" s="135" t="n"/>
      <c r="B697" s="143" t="n"/>
      <c r="C697" s="136" t="n"/>
      <c r="D697" s="143" t="n"/>
      <c r="E697" s="137" t="n"/>
      <c r="G697" s="137" t="n"/>
    </row>
    <row r="698" ht="15" customHeight="1" s="83">
      <c r="A698" s="135" t="n"/>
      <c r="B698" s="143" t="n"/>
      <c r="C698" s="136" t="n"/>
      <c r="D698" s="143" t="n"/>
      <c r="E698" s="137" t="n"/>
      <c r="G698" s="137" t="n"/>
    </row>
    <row r="699" ht="15" customHeight="1" s="83">
      <c r="A699" s="135" t="n"/>
      <c r="B699" s="143" t="n"/>
      <c r="C699" s="136" t="n"/>
      <c r="D699" s="143" t="n"/>
      <c r="E699" s="137" t="n"/>
      <c r="G699" s="137" t="n"/>
    </row>
    <row r="700" ht="15" customHeight="1" s="83">
      <c r="A700" s="135" t="n"/>
      <c r="B700" s="143" t="n"/>
      <c r="C700" s="136" t="n"/>
      <c r="D700" s="143" t="n"/>
      <c r="E700" s="137" t="n"/>
      <c r="G700" s="137" t="n"/>
    </row>
    <row r="701" ht="15" customHeight="1" s="83">
      <c r="A701" s="135" t="n"/>
      <c r="B701" s="143" t="n"/>
      <c r="C701" s="136" t="n"/>
      <c r="D701" s="143" t="n"/>
      <c r="E701" s="137" t="n"/>
      <c r="G701" s="137" t="n"/>
    </row>
    <row r="702" ht="15" customHeight="1" s="83">
      <c r="A702" s="135" t="n"/>
      <c r="B702" s="143" t="n"/>
      <c r="C702" s="136" t="n"/>
      <c r="D702" s="143" t="n"/>
      <c r="E702" s="137" t="n"/>
      <c r="G702" s="137" t="n"/>
    </row>
    <row r="703" ht="15" customHeight="1" s="83">
      <c r="A703" s="135" t="n"/>
      <c r="B703" s="143" t="n"/>
      <c r="C703" s="136" t="n"/>
      <c r="D703" s="143" t="n"/>
      <c r="E703" s="137" t="n"/>
      <c r="G703" s="137" t="n"/>
    </row>
    <row r="704" ht="15" customHeight="1" s="83">
      <c r="A704" s="135" t="n"/>
      <c r="B704" s="143" t="n"/>
      <c r="C704" s="136" t="n"/>
      <c r="D704" s="143" t="n"/>
      <c r="E704" s="137" t="n"/>
      <c r="G704" s="137" t="n"/>
    </row>
    <row r="705" ht="15" customHeight="1" s="83">
      <c r="A705" s="135" t="n"/>
      <c r="B705" s="143" t="n"/>
      <c r="C705" s="136" t="n"/>
      <c r="D705" s="143" t="n"/>
      <c r="E705" s="137" t="n"/>
      <c r="G705" s="137" t="n"/>
    </row>
    <row r="706" ht="15" customHeight="1" s="83">
      <c r="A706" s="135" t="n"/>
      <c r="B706" s="143" t="n"/>
      <c r="C706" s="136" t="n"/>
      <c r="D706" s="143" t="n"/>
      <c r="E706" s="137" t="n"/>
      <c r="G706" s="137" t="n"/>
    </row>
    <row r="707" ht="15" customHeight="1" s="83">
      <c r="A707" s="135" t="n"/>
      <c r="B707" s="143" t="n"/>
      <c r="C707" s="136" t="n"/>
      <c r="D707" s="143" t="n"/>
      <c r="E707" s="137" t="n"/>
      <c r="G707" s="137" t="n"/>
    </row>
    <row r="708" ht="15" customHeight="1" s="83">
      <c r="A708" s="135" t="n"/>
      <c r="B708" s="143" t="n"/>
      <c r="C708" s="136" t="n"/>
      <c r="D708" s="143" t="n"/>
      <c r="E708" s="137" t="n"/>
      <c r="G708" s="137" t="n"/>
    </row>
    <row r="709" ht="15" customHeight="1" s="83">
      <c r="A709" s="135" t="n"/>
      <c r="B709" s="143" t="n"/>
      <c r="C709" s="136" t="n"/>
      <c r="D709" s="143" t="n"/>
      <c r="E709" s="137" t="n"/>
      <c r="G709" s="137" t="n"/>
    </row>
    <row r="710" ht="15" customHeight="1" s="83">
      <c r="A710" s="135" t="n"/>
      <c r="B710" s="143" t="n"/>
      <c r="C710" s="136" t="n"/>
      <c r="D710" s="143" t="n"/>
      <c r="E710" s="137" t="n"/>
      <c r="G710" s="137" t="n"/>
    </row>
    <row r="711" ht="15" customHeight="1" s="83">
      <c r="A711" s="135" t="n"/>
      <c r="B711" s="143" t="n"/>
      <c r="C711" s="136" t="n"/>
      <c r="D711" s="143" t="n"/>
      <c r="E711" s="137" t="n"/>
      <c r="G711" s="137" t="n"/>
    </row>
    <row r="712" ht="15" customHeight="1" s="83">
      <c r="A712" s="135" t="n"/>
      <c r="B712" s="143" t="n"/>
      <c r="C712" s="136" t="n"/>
      <c r="D712" s="143" t="n"/>
      <c r="E712" s="137" t="n"/>
      <c r="G712" s="137" t="n"/>
    </row>
    <row r="713" ht="15" customHeight="1" s="83">
      <c r="A713" s="135" t="n"/>
      <c r="B713" s="143" t="n"/>
      <c r="C713" s="136" t="n"/>
      <c r="D713" s="143" t="n"/>
      <c r="E713" s="137" t="n"/>
      <c r="G713" s="137" t="n"/>
    </row>
    <row r="714" ht="15" customHeight="1" s="83">
      <c r="A714" s="135" t="n"/>
      <c r="B714" s="143" t="n"/>
      <c r="C714" s="136" t="n"/>
      <c r="D714" s="143" t="n"/>
      <c r="E714" s="137" t="n"/>
      <c r="G714" s="137" t="n"/>
    </row>
    <row r="715" ht="15" customHeight="1" s="83">
      <c r="A715" s="135" t="n"/>
      <c r="B715" s="143" t="n"/>
      <c r="C715" s="136" t="n"/>
      <c r="D715" s="143" t="n"/>
      <c r="E715" s="137" t="n"/>
      <c r="G715" s="137" t="n"/>
    </row>
    <row r="716" ht="15" customHeight="1" s="83">
      <c r="A716" s="135" t="n"/>
      <c r="B716" s="143" t="n"/>
      <c r="C716" s="136" t="n"/>
      <c r="D716" s="143" t="n"/>
      <c r="E716" s="137" t="n"/>
      <c r="G716" s="137" t="n"/>
    </row>
    <row r="717" ht="15" customHeight="1" s="83">
      <c r="A717" s="135" t="n"/>
      <c r="B717" s="143" t="n"/>
      <c r="C717" s="136" t="n"/>
      <c r="D717" s="143" t="n"/>
      <c r="E717" s="137" t="n"/>
      <c r="G717" s="137" t="n"/>
    </row>
    <row r="718" ht="15" customHeight="1" s="83">
      <c r="A718" s="135" t="n"/>
      <c r="B718" s="143" t="n"/>
      <c r="C718" s="136" t="n"/>
      <c r="D718" s="143" t="n"/>
      <c r="E718" s="137" t="n"/>
      <c r="G718" s="137" t="n"/>
    </row>
    <row r="719" ht="15" customHeight="1" s="83">
      <c r="A719" s="135" t="n"/>
      <c r="B719" s="143" t="n"/>
      <c r="C719" s="136" t="n"/>
      <c r="D719" s="143" t="n"/>
      <c r="E719" s="137" t="n"/>
      <c r="G719" s="137" t="n"/>
    </row>
    <row r="720" ht="15" customHeight="1" s="83">
      <c r="A720" s="135" t="n"/>
      <c r="B720" s="143" t="n"/>
      <c r="C720" s="136" t="n"/>
      <c r="D720" s="143" t="n"/>
      <c r="E720" s="137" t="n"/>
      <c r="G720" s="137" t="n"/>
    </row>
    <row r="721" ht="15" customHeight="1" s="83">
      <c r="A721" s="135" t="n"/>
      <c r="B721" s="143" t="n"/>
      <c r="C721" s="136" t="n"/>
      <c r="D721" s="143" t="n"/>
      <c r="E721" s="137" t="n"/>
      <c r="G721" s="137" t="n"/>
    </row>
    <row r="722" ht="15" customHeight="1" s="83">
      <c r="A722" s="135" t="n"/>
      <c r="B722" s="143" t="n"/>
      <c r="C722" s="136" t="n"/>
      <c r="D722" s="143" t="n"/>
      <c r="E722" s="137" t="n"/>
      <c r="G722" s="137" t="n"/>
    </row>
    <row r="723" ht="15" customHeight="1" s="83">
      <c r="A723" s="135" t="n"/>
      <c r="B723" s="143" t="n"/>
      <c r="C723" s="136" t="n"/>
      <c r="D723" s="143" t="n"/>
      <c r="E723" s="137" t="n"/>
      <c r="G723" s="137" t="n"/>
    </row>
    <row r="724" ht="15" customHeight="1" s="83">
      <c r="A724" s="135" t="n"/>
      <c r="B724" s="143" t="n"/>
      <c r="C724" s="136" t="n"/>
      <c r="D724" s="143" t="n"/>
      <c r="E724" s="137" t="n"/>
      <c r="G724" s="137" t="n"/>
    </row>
    <row r="725" ht="15" customHeight="1" s="83">
      <c r="A725" s="135" t="n"/>
      <c r="B725" s="143" t="n"/>
      <c r="C725" s="136" t="n"/>
      <c r="D725" s="143" t="n"/>
      <c r="E725" s="137" t="n"/>
      <c r="G725" s="137" t="n"/>
    </row>
    <row r="726" ht="15" customHeight="1" s="83">
      <c r="A726" s="135" t="n"/>
      <c r="B726" s="143" t="n"/>
      <c r="C726" s="136" t="n"/>
      <c r="D726" s="143" t="n"/>
      <c r="E726" s="137" t="n"/>
      <c r="G726" s="137" t="n"/>
    </row>
    <row r="727" ht="15" customHeight="1" s="83">
      <c r="A727" s="135" t="n"/>
      <c r="B727" s="143" t="n"/>
      <c r="C727" s="136" t="n"/>
      <c r="D727" s="143" t="n"/>
      <c r="E727" s="137" t="n"/>
      <c r="G727" s="137" t="n"/>
    </row>
    <row r="728" ht="15" customHeight="1" s="83">
      <c r="A728" s="135" t="n"/>
      <c r="B728" s="143" t="n"/>
      <c r="C728" s="136" t="n"/>
      <c r="D728" s="143" t="n"/>
      <c r="E728" s="137" t="n"/>
      <c r="G728" s="137" t="n"/>
    </row>
    <row r="729" ht="15" customHeight="1" s="83">
      <c r="A729" s="135" t="n"/>
      <c r="B729" s="143" t="n"/>
      <c r="C729" s="136" t="n"/>
      <c r="D729" s="143" t="n"/>
      <c r="E729" s="137" t="n"/>
      <c r="G729" s="137" t="n"/>
    </row>
    <row r="730" ht="15" customHeight="1" s="83">
      <c r="A730" s="135" t="n"/>
      <c r="B730" s="143" t="n"/>
      <c r="C730" s="136" t="n"/>
      <c r="D730" s="143" t="n"/>
      <c r="E730" s="137" t="n"/>
      <c r="G730" s="137" t="n"/>
    </row>
    <row r="731" ht="15" customHeight="1" s="83">
      <c r="A731" s="135" t="n"/>
      <c r="B731" s="143" t="n"/>
      <c r="C731" s="136" t="n"/>
      <c r="D731" s="143" t="n"/>
      <c r="E731" s="137" t="n"/>
      <c r="G731" s="137" t="n"/>
    </row>
    <row r="732" ht="15" customHeight="1" s="83">
      <c r="A732" s="135" t="n"/>
      <c r="B732" s="143" t="n"/>
      <c r="C732" s="136" t="n"/>
      <c r="D732" s="143" t="n"/>
      <c r="E732" s="137" t="n"/>
      <c r="G732" s="137" t="n"/>
    </row>
    <row r="733" ht="15" customHeight="1" s="83">
      <c r="A733" s="135" t="n"/>
      <c r="B733" s="143" t="n"/>
      <c r="C733" s="136" t="n"/>
      <c r="D733" s="143" t="n"/>
      <c r="E733" s="137" t="n"/>
      <c r="G733" s="137" t="n"/>
    </row>
    <row r="734" ht="15" customHeight="1" s="83">
      <c r="A734" s="135" t="n"/>
      <c r="B734" s="143" t="n"/>
      <c r="C734" s="136" t="n"/>
      <c r="D734" s="143" t="n"/>
      <c r="E734" s="137" t="n"/>
      <c r="G734" s="137" t="n"/>
    </row>
    <row r="735" ht="15" customHeight="1" s="83">
      <c r="A735" s="135" t="n"/>
      <c r="B735" s="143" t="n"/>
      <c r="C735" s="136" t="n"/>
      <c r="D735" s="143" t="n"/>
      <c r="E735" s="137" t="n"/>
      <c r="G735" s="137" t="n"/>
    </row>
    <row r="736" ht="15" customHeight="1" s="83">
      <c r="A736" s="135" t="n"/>
      <c r="B736" s="143" t="n"/>
      <c r="C736" s="136" t="n"/>
      <c r="D736" s="143" t="n"/>
      <c r="E736" s="137" t="n"/>
      <c r="G736" s="137" t="n"/>
    </row>
    <row r="737" ht="15" customHeight="1" s="83">
      <c r="A737" s="135" t="n"/>
      <c r="B737" s="143" t="n"/>
      <c r="C737" s="136" t="n"/>
      <c r="D737" s="143" t="n"/>
      <c r="E737" s="137" t="n"/>
      <c r="G737" s="137" t="n"/>
    </row>
    <row r="738" ht="15" customHeight="1" s="83">
      <c r="A738" s="135" t="n"/>
      <c r="B738" s="143" t="n"/>
      <c r="C738" s="136" t="n"/>
      <c r="D738" s="143" t="n"/>
      <c r="E738" s="137" t="n"/>
      <c r="G738" s="137" t="n"/>
    </row>
    <row r="739" ht="15" customHeight="1" s="83">
      <c r="A739" s="135" t="n"/>
      <c r="B739" s="143" t="n"/>
      <c r="C739" s="136" t="n"/>
      <c r="D739" s="143" t="n"/>
      <c r="E739" s="137" t="n"/>
      <c r="G739" s="137" t="n"/>
    </row>
    <row r="740" ht="15" customHeight="1" s="83">
      <c r="A740" s="135" t="n"/>
      <c r="B740" s="143" t="n"/>
      <c r="C740" s="136" t="n"/>
      <c r="D740" s="143" t="n"/>
      <c r="E740" s="137" t="n"/>
      <c r="G740" s="137" t="n"/>
    </row>
    <row r="741" ht="15" customHeight="1" s="83">
      <c r="A741" s="135" t="n"/>
      <c r="B741" s="143" t="n"/>
      <c r="C741" s="136" t="n"/>
      <c r="D741" s="143" t="n"/>
      <c r="E741" s="137" t="n"/>
      <c r="G741" s="137" t="n"/>
    </row>
    <row r="742" ht="15" customHeight="1" s="83">
      <c r="A742" s="135" t="n"/>
      <c r="B742" s="143" t="n"/>
      <c r="C742" s="136" t="n"/>
      <c r="D742" s="143" t="n"/>
      <c r="E742" s="137" t="n"/>
      <c r="G742" s="137" t="n"/>
    </row>
    <row r="743" ht="15" customHeight="1" s="83">
      <c r="A743" s="135" t="n"/>
      <c r="B743" s="143" t="n"/>
      <c r="C743" s="136" t="n"/>
      <c r="D743" s="143" t="n"/>
      <c r="E743" s="137" t="n"/>
      <c r="G743" s="137" t="n"/>
    </row>
    <row r="744" ht="15" customHeight="1" s="83">
      <c r="A744" s="135" t="n"/>
      <c r="B744" s="143" t="n"/>
      <c r="C744" s="136" t="n"/>
      <c r="D744" s="143" t="n"/>
      <c r="E744" s="137" t="n"/>
      <c r="G744" s="137" t="n"/>
    </row>
    <row r="745" ht="15" customHeight="1" s="83">
      <c r="A745" s="135" t="n"/>
      <c r="B745" s="143" t="n"/>
      <c r="C745" s="136" t="n"/>
      <c r="D745" s="143" t="n"/>
      <c r="E745" s="137" t="n"/>
      <c r="G745" s="137" t="n"/>
    </row>
    <row r="746" ht="15" customHeight="1" s="83">
      <c r="A746" s="135" t="n"/>
      <c r="B746" s="143" t="n"/>
      <c r="C746" s="136" t="n"/>
      <c r="D746" s="143" t="n"/>
      <c r="E746" s="137" t="n"/>
      <c r="G746" s="137" t="n"/>
    </row>
    <row r="747" ht="15" customHeight="1" s="83">
      <c r="A747" s="135" t="n"/>
      <c r="B747" s="143" t="n"/>
      <c r="C747" s="136" t="n"/>
      <c r="D747" s="143" t="n"/>
      <c r="E747" s="137" t="n"/>
      <c r="G747" s="137" t="n"/>
    </row>
    <row r="748" ht="15" customHeight="1" s="83">
      <c r="A748" s="135" t="n"/>
      <c r="B748" s="143" t="n"/>
      <c r="C748" s="136" t="n"/>
      <c r="D748" s="143" t="n"/>
      <c r="E748" s="137" t="n"/>
      <c r="G748" s="137" t="n"/>
    </row>
    <row r="749" ht="15" customHeight="1" s="83">
      <c r="A749" s="135" t="n"/>
      <c r="B749" s="143" t="n"/>
      <c r="C749" s="136" t="n"/>
      <c r="D749" s="143" t="n"/>
      <c r="E749" s="137" t="n"/>
      <c r="G749" s="137" t="n"/>
    </row>
    <row r="750" ht="15" customHeight="1" s="83">
      <c r="A750" s="135" t="n"/>
      <c r="B750" s="143" t="n"/>
      <c r="C750" s="136" t="n"/>
      <c r="D750" s="143" t="n"/>
      <c r="E750" s="137" t="n"/>
      <c r="G750" s="137" t="n"/>
    </row>
    <row r="751" ht="15" customHeight="1" s="83">
      <c r="A751" s="135" t="n"/>
      <c r="B751" s="143" t="n"/>
      <c r="C751" s="136" t="n"/>
      <c r="D751" s="143" t="n"/>
      <c r="E751" s="137" t="n"/>
      <c r="G751" s="137" t="n"/>
    </row>
    <row r="752" ht="15" customHeight="1" s="83">
      <c r="A752" s="135" t="n"/>
      <c r="B752" s="143" t="n"/>
      <c r="C752" s="136" t="n"/>
      <c r="D752" s="143" t="n"/>
      <c r="E752" s="137" t="n"/>
      <c r="G752" s="137" t="n"/>
    </row>
    <row r="753" ht="15" customHeight="1" s="83">
      <c r="A753" s="135" t="n"/>
      <c r="B753" s="143" t="n"/>
      <c r="C753" s="136" t="n"/>
      <c r="D753" s="143" t="n"/>
      <c r="E753" s="137" t="n"/>
      <c r="G753" s="137" t="n"/>
    </row>
    <row r="754" ht="15" customHeight="1" s="83">
      <c r="A754" s="135" t="n"/>
      <c r="B754" s="143" t="n"/>
      <c r="C754" s="136" t="n"/>
      <c r="D754" s="143" t="n"/>
      <c r="E754" s="137" t="n"/>
      <c r="G754" s="137" t="n"/>
    </row>
    <row r="755" ht="15" customHeight="1" s="83">
      <c r="A755" s="135" t="n"/>
      <c r="B755" s="143" t="n"/>
      <c r="C755" s="136" t="n"/>
      <c r="D755" s="143" t="n"/>
      <c r="E755" s="137" t="n"/>
      <c r="G755" s="137" t="n"/>
    </row>
    <row r="756" ht="15" customHeight="1" s="83">
      <c r="A756" s="135" t="n"/>
      <c r="B756" s="143" t="n"/>
      <c r="C756" s="136" t="n"/>
      <c r="D756" s="143" t="n"/>
      <c r="E756" s="137" t="n"/>
      <c r="G756" s="137" t="n"/>
    </row>
    <row r="757" ht="15" customHeight="1" s="83">
      <c r="A757" s="135" t="n"/>
      <c r="B757" s="143" t="n"/>
      <c r="C757" s="136" t="n"/>
      <c r="D757" s="143" t="n"/>
      <c r="E757" s="137" t="n"/>
      <c r="G757" s="137" t="n"/>
    </row>
    <row r="758" ht="15" customHeight="1" s="83">
      <c r="A758" s="135" t="n"/>
      <c r="B758" s="143" t="n"/>
      <c r="C758" s="136" t="n"/>
      <c r="D758" s="143" t="n"/>
      <c r="E758" s="137" t="n"/>
      <c r="G758" s="137" t="n"/>
    </row>
    <row r="759" ht="15" customHeight="1" s="83">
      <c r="A759" s="135" t="n"/>
      <c r="B759" s="143" t="n"/>
      <c r="C759" s="136" t="n"/>
      <c r="D759" s="143" t="n"/>
      <c r="E759" s="137" t="n"/>
      <c r="G759" s="137" t="n"/>
    </row>
    <row r="760" ht="15" customHeight="1" s="83">
      <c r="A760" s="135" t="n"/>
      <c r="B760" s="143" t="n"/>
      <c r="C760" s="136" t="n"/>
      <c r="D760" s="143" t="n"/>
      <c r="E760" s="137" t="n"/>
      <c r="G760" s="137" t="n"/>
    </row>
    <row r="761" ht="15" customHeight="1" s="83">
      <c r="A761" s="135" t="n"/>
      <c r="B761" s="143" t="n"/>
      <c r="C761" s="136" t="n"/>
      <c r="D761" s="143" t="n"/>
      <c r="E761" s="137" t="n"/>
      <c r="G761" s="137" t="n"/>
    </row>
    <row r="762" ht="15" customHeight="1" s="83">
      <c r="A762" s="135" t="n"/>
      <c r="B762" s="143" t="n"/>
      <c r="C762" s="136" t="n"/>
      <c r="D762" s="143" t="n"/>
      <c r="E762" s="137" t="n"/>
      <c r="G762" s="137" t="n"/>
    </row>
    <row r="763" ht="15" customHeight="1" s="83">
      <c r="A763" s="135" t="n"/>
      <c r="B763" s="143" t="n"/>
      <c r="C763" s="136" t="n"/>
      <c r="D763" s="143" t="n"/>
      <c r="E763" s="137" t="n"/>
      <c r="G763" s="137" t="n"/>
    </row>
    <row r="764" ht="15" customHeight="1" s="83">
      <c r="A764" s="135" t="n"/>
      <c r="B764" s="143" t="n"/>
      <c r="C764" s="136" t="n"/>
      <c r="D764" s="143" t="n"/>
      <c r="E764" s="137" t="n"/>
      <c r="G764" s="137" t="n"/>
    </row>
    <row r="765" ht="15" customHeight="1" s="83">
      <c r="A765" s="135" t="n"/>
      <c r="B765" s="143" t="n"/>
      <c r="C765" s="136" t="n"/>
      <c r="D765" s="143" t="n"/>
      <c r="E765" s="137" t="n"/>
      <c r="G765" s="137" t="n"/>
    </row>
    <row r="766" ht="15" customHeight="1" s="83">
      <c r="A766" s="135" t="n"/>
      <c r="B766" s="143" t="n"/>
      <c r="C766" s="136" t="n"/>
      <c r="D766" s="143" t="n"/>
      <c r="E766" s="137" t="n"/>
      <c r="G766" s="137" t="n"/>
    </row>
    <row r="767" ht="15" customHeight="1" s="83">
      <c r="A767" s="135" t="n"/>
      <c r="B767" s="143" t="n"/>
      <c r="C767" s="136" t="n"/>
      <c r="D767" s="143" t="n"/>
      <c r="E767" s="137" t="n"/>
      <c r="G767" s="137" t="n"/>
    </row>
    <row r="768" ht="15" customHeight="1" s="83">
      <c r="A768" s="135" t="n"/>
      <c r="B768" s="143" t="n"/>
      <c r="C768" s="136" t="n"/>
      <c r="D768" s="143" t="n"/>
      <c r="E768" s="137" t="n"/>
      <c r="G768" s="137" t="n"/>
    </row>
    <row r="769" ht="15" customHeight="1" s="83">
      <c r="A769" s="135" t="n"/>
      <c r="B769" s="143" t="n"/>
      <c r="C769" s="136" t="n"/>
      <c r="D769" s="143" t="n"/>
      <c r="E769" s="137" t="n"/>
      <c r="G769" s="137" t="n"/>
    </row>
    <row r="770" ht="15" customHeight="1" s="83">
      <c r="A770" s="135" t="n"/>
      <c r="B770" s="143" t="n"/>
      <c r="C770" s="136" t="n"/>
      <c r="D770" s="143" t="n"/>
      <c r="E770" s="137" t="n"/>
      <c r="G770" s="137" t="n"/>
    </row>
    <row r="771" ht="15" customHeight="1" s="83">
      <c r="A771" s="135" t="n"/>
      <c r="B771" s="143" t="n"/>
      <c r="C771" s="136" t="n"/>
      <c r="D771" s="143" t="n"/>
      <c r="E771" s="137" t="n"/>
      <c r="G771" s="137" t="n"/>
    </row>
    <row r="772" ht="15" customHeight="1" s="83">
      <c r="A772" s="135" t="n"/>
      <c r="B772" s="143" t="n"/>
      <c r="C772" s="136" t="n"/>
      <c r="D772" s="143" t="n"/>
      <c r="E772" s="137" t="n"/>
      <c r="G772" s="137" t="n"/>
    </row>
    <row r="773" ht="15" customHeight="1" s="83">
      <c r="A773" s="135" t="n"/>
      <c r="B773" s="143" t="n"/>
      <c r="C773" s="136" t="n"/>
      <c r="D773" s="143" t="n"/>
      <c r="E773" s="137" t="n"/>
      <c r="G773" s="137" t="n"/>
    </row>
    <row r="774" ht="15" customHeight="1" s="83">
      <c r="A774" s="135" t="n"/>
      <c r="B774" s="143" t="n"/>
      <c r="C774" s="136" t="n"/>
      <c r="D774" s="143" t="n"/>
      <c r="E774" s="137" t="n"/>
      <c r="G774" s="137" t="n"/>
    </row>
    <row r="775" ht="15" customHeight="1" s="83">
      <c r="A775" s="135" t="n"/>
      <c r="B775" s="143" t="n"/>
      <c r="C775" s="136" t="n"/>
      <c r="D775" s="143" t="n"/>
      <c r="E775" s="137" t="n"/>
      <c r="G775" s="137" t="n"/>
    </row>
    <row r="776" ht="15" customHeight="1" s="83">
      <c r="A776" s="135" t="n"/>
      <c r="B776" s="143" t="n"/>
      <c r="C776" s="136" t="n"/>
      <c r="D776" s="143" t="n"/>
      <c r="E776" s="137" t="n"/>
      <c r="G776" s="137" t="n"/>
    </row>
    <row r="777" ht="15" customHeight="1" s="83">
      <c r="A777" s="135" t="n"/>
      <c r="B777" s="143" t="n"/>
      <c r="C777" s="136" t="n"/>
      <c r="D777" s="143" t="n"/>
      <c r="E777" s="137" t="n"/>
      <c r="G777" s="137" t="n"/>
    </row>
    <row r="778" ht="15" customHeight="1" s="83">
      <c r="A778" s="135" t="n"/>
      <c r="B778" s="143" t="n"/>
      <c r="C778" s="136" t="n"/>
      <c r="D778" s="143" t="n"/>
      <c r="E778" s="137" t="n"/>
      <c r="G778" s="137" t="n"/>
    </row>
    <row r="779" ht="15" customHeight="1" s="83">
      <c r="A779" s="135" t="n"/>
      <c r="B779" s="143" t="n"/>
      <c r="C779" s="136" t="n"/>
      <c r="D779" s="143" t="n"/>
      <c r="E779" s="137" t="n"/>
      <c r="G779" s="137" t="n"/>
    </row>
    <row r="780" ht="15" customHeight="1" s="83">
      <c r="A780" s="135" t="n"/>
      <c r="B780" s="143" t="n"/>
      <c r="C780" s="136" t="n"/>
      <c r="D780" s="143" t="n"/>
      <c r="E780" s="137" t="n"/>
      <c r="G780" s="137" t="n"/>
    </row>
    <row r="781" ht="15" customHeight="1" s="83">
      <c r="A781" s="135" t="n"/>
      <c r="B781" s="143" t="n"/>
      <c r="C781" s="136" t="n"/>
      <c r="D781" s="143" t="n"/>
      <c r="E781" s="137" t="n"/>
      <c r="G781" s="137" t="n"/>
    </row>
    <row r="782" ht="15" customHeight="1" s="83">
      <c r="A782" s="135" t="n"/>
      <c r="B782" s="143" t="n"/>
      <c r="C782" s="136" t="n"/>
      <c r="D782" s="143" t="n"/>
      <c r="E782" s="137" t="n"/>
      <c r="G782" s="137" t="n"/>
    </row>
    <row r="783" ht="15" customHeight="1" s="83">
      <c r="A783" s="135" t="n"/>
      <c r="B783" s="143" t="n"/>
      <c r="C783" s="136" t="n"/>
      <c r="D783" s="143" t="n"/>
      <c r="E783" s="137" t="n"/>
      <c r="G783" s="137" t="n"/>
    </row>
    <row r="784" ht="15" customHeight="1" s="83">
      <c r="A784" s="135" t="n"/>
      <c r="B784" s="143" t="n"/>
      <c r="C784" s="136" t="n"/>
      <c r="D784" s="143" t="n"/>
      <c r="E784" s="137" t="n"/>
      <c r="G784" s="137" t="n"/>
    </row>
    <row r="785" ht="15" customHeight="1" s="83">
      <c r="A785" s="135" t="n"/>
      <c r="B785" s="143" t="n"/>
      <c r="C785" s="136" t="n"/>
      <c r="D785" s="143" t="n"/>
      <c r="E785" s="137" t="n"/>
      <c r="G785" s="137" t="n"/>
    </row>
    <row r="786" ht="15" customHeight="1" s="83">
      <c r="A786" s="135" t="n"/>
      <c r="B786" s="143" t="n"/>
      <c r="C786" s="136" t="n"/>
      <c r="D786" s="143" t="n"/>
      <c r="E786" s="137" t="n"/>
      <c r="G786" s="137" t="n"/>
    </row>
    <row r="787" ht="15" customHeight="1" s="83">
      <c r="A787" s="135" t="n"/>
      <c r="B787" s="143" t="n"/>
      <c r="C787" s="136" t="n"/>
      <c r="D787" s="143" t="n"/>
      <c r="E787" s="137" t="n"/>
      <c r="G787" s="137" t="n"/>
    </row>
    <row r="788" ht="15" customHeight="1" s="83">
      <c r="A788" s="135" t="n"/>
      <c r="B788" s="143" t="n"/>
      <c r="C788" s="136" t="n"/>
      <c r="D788" s="143" t="n"/>
      <c r="E788" s="137" t="n"/>
      <c r="G788" s="137" t="n"/>
    </row>
    <row r="789" ht="15" customHeight="1" s="83">
      <c r="A789" s="135" t="n"/>
      <c r="B789" s="143" t="n"/>
      <c r="C789" s="136" t="n"/>
      <c r="D789" s="143" t="n"/>
      <c r="E789" s="137" t="n"/>
      <c r="G789" s="137" t="n"/>
    </row>
    <row r="790" ht="15" customHeight="1" s="83">
      <c r="A790" s="135" t="n"/>
      <c r="B790" s="143" t="n"/>
      <c r="C790" s="136" t="n"/>
      <c r="D790" s="143" t="n"/>
      <c r="E790" s="137" t="n"/>
      <c r="G790" s="137" t="n"/>
    </row>
    <row r="791" ht="15" customHeight="1" s="83">
      <c r="A791" s="135" t="n"/>
      <c r="B791" s="143" t="n"/>
      <c r="C791" s="136" t="n"/>
      <c r="D791" s="143" t="n"/>
      <c r="E791" s="137" t="n"/>
      <c r="G791" s="137" t="n"/>
    </row>
    <row r="792" ht="15" customHeight="1" s="83">
      <c r="A792" s="135" t="n"/>
      <c r="B792" s="143" t="n"/>
      <c r="C792" s="136" t="n"/>
      <c r="D792" s="143" t="n"/>
      <c r="E792" s="137" t="n"/>
      <c r="G792" s="137" t="n"/>
    </row>
    <row r="793" ht="15" customHeight="1" s="83">
      <c r="A793" s="135" t="n"/>
      <c r="B793" s="143" t="n"/>
      <c r="C793" s="136" t="n"/>
      <c r="D793" s="143" t="n"/>
      <c r="E793" s="137" t="n"/>
      <c r="G793" s="137" t="n"/>
    </row>
    <row r="794" ht="15" customHeight="1" s="83">
      <c r="A794" s="135" t="n"/>
      <c r="B794" s="143" t="n"/>
      <c r="C794" s="136" t="n"/>
      <c r="D794" s="143" t="n"/>
      <c r="E794" s="137" t="n"/>
      <c r="G794" s="137" t="n"/>
    </row>
    <row r="795" ht="15" customHeight="1" s="83">
      <c r="A795" s="135" t="n"/>
      <c r="B795" s="143" t="n"/>
      <c r="C795" s="136" t="n"/>
      <c r="D795" s="143" t="n"/>
      <c r="E795" s="137" t="n"/>
      <c r="G795" s="137" t="n"/>
    </row>
    <row r="796" ht="15" customHeight="1" s="83">
      <c r="A796" s="135" t="n"/>
      <c r="B796" s="143" t="n"/>
      <c r="C796" s="136" t="n"/>
      <c r="D796" s="143" t="n"/>
      <c r="E796" s="137" t="n"/>
      <c r="G796" s="137" t="n"/>
    </row>
    <row r="797" ht="15" customHeight="1" s="83">
      <c r="A797" s="135" t="n"/>
      <c r="B797" s="143" t="n"/>
      <c r="C797" s="136" t="n"/>
      <c r="D797" s="143" t="n"/>
      <c r="E797" s="137" t="n"/>
      <c r="G797" s="137" t="n"/>
    </row>
    <row r="798" ht="15" customHeight="1" s="83">
      <c r="A798" s="135" t="n"/>
      <c r="B798" s="143" t="n"/>
      <c r="C798" s="136" t="n"/>
      <c r="D798" s="143" t="n"/>
      <c r="E798" s="137" t="n"/>
      <c r="G798" s="137" t="n"/>
    </row>
    <row r="799" ht="15" customHeight="1" s="83">
      <c r="A799" s="135" t="n"/>
      <c r="B799" s="143" t="n"/>
      <c r="C799" s="136" t="n"/>
      <c r="D799" s="143" t="n"/>
      <c r="E799" s="137" t="n"/>
      <c r="G799" s="137" t="n"/>
    </row>
    <row r="800" ht="15" customHeight="1" s="83">
      <c r="A800" s="135" t="n"/>
      <c r="B800" s="143" t="n"/>
      <c r="C800" s="136" t="n"/>
      <c r="D800" s="143" t="n"/>
      <c r="E800" s="137" t="n"/>
      <c r="G800" s="137" t="n"/>
    </row>
    <row r="801" ht="15" customHeight="1" s="83">
      <c r="A801" s="135" t="n"/>
      <c r="B801" s="143" t="n"/>
      <c r="C801" s="136" t="n"/>
      <c r="D801" s="143" t="n"/>
      <c r="E801" s="137" t="n"/>
      <c r="G801" s="137" t="n"/>
    </row>
    <row r="802" ht="15" customHeight="1" s="83">
      <c r="A802" s="135" t="n"/>
      <c r="B802" s="143" t="n"/>
      <c r="C802" s="136" t="n"/>
      <c r="D802" s="143" t="n"/>
      <c r="E802" s="137" t="n"/>
      <c r="G802" s="137" t="n"/>
    </row>
    <row r="803" ht="15" customHeight="1" s="83">
      <c r="A803" s="135" t="n"/>
      <c r="B803" s="143" t="n"/>
      <c r="C803" s="136" t="n"/>
      <c r="D803" s="143" t="n"/>
      <c r="E803" s="137" t="n"/>
      <c r="G803" s="137" t="n"/>
    </row>
    <row r="804" ht="15" customHeight="1" s="83">
      <c r="A804" s="135" t="n"/>
      <c r="B804" s="143" t="n"/>
      <c r="C804" s="136" t="n"/>
      <c r="D804" s="143" t="n"/>
      <c r="E804" s="137" t="n"/>
      <c r="G804" s="137" t="n"/>
    </row>
    <row r="805" ht="15" customHeight="1" s="83">
      <c r="A805" s="135" t="n"/>
      <c r="B805" s="143" t="n"/>
      <c r="C805" s="136" t="n"/>
      <c r="D805" s="143" t="n"/>
      <c r="E805" s="137" t="n"/>
      <c r="G805" s="137" t="n"/>
    </row>
    <row r="806" ht="15" customHeight="1" s="83">
      <c r="A806" s="135" t="n"/>
      <c r="B806" s="143" t="n"/>
      <c r="C806" s="136" t="n"/>
      <c r="D806" s="143" t="n"/>
      <c r="E806" s="137" t="n"/>
      <c r="G806" s="137" t="n"/>
    </row>
    <row r="807" ht="15" customHeight="1" s="83">
      <c r="A807" s="135" t="n"/>
      <c r="B807" s="143" t="n"/>
      <c r="C807" s="136" t="n"/>
      <c r="D807" s="143" t="n"/>
      <c r="E807" s="137" t="n"/>
      <c r="G807" s="137" t="n"/>
    </row>
    <row r="808" ht="15" customHeight="1" s="83">
      <c r="A808" s="135" t="n"/>
      <c r="B808" s="143" t="n"/>
      <c r="C808" s="136" t="n"/>
      <c r="D808" s="143" t="n"/>
      <c r="E808" s="137" t="n"/>
      <c r="G808" s="137" t="n"/>
    </row>
    <row r="809" ht="15" customHeight="1" s="83">
      <c r="A809" s="135" t="n"/>
      <c r="B809" s="143" t="n"/>
      <c r="C809" s="136" t="n"/>
      <c r="D809" s="143" t="n"/>
      <c r="E809" s="137" t="n"/>
      <c r="G809" s="137" t="n"/>
    </row>
    <row r="810" ht="15" customHeight="1" s="83">
      <c r="A810" s="135" t="n"/>
      <c r="B810" s="143" t="n"/>
      <c r="C810" s="136" t="n"/>
      <c r="D810" s="143" t="n"/>
      <c r="E810" s="137" t="n"/>
      <c r="G810" s="137" t="n"/>
    </row>
    <row r="811" ht="15" customHeight="1" s="83">
      <c r="A811" s="135" t="n"/>
      <c r="B811" s="143" t="n"/>
      <c r="C811" s="136" t="n"/>
      <c r="D811" s="143" t="n"/>
      <c r="E811" s="137" t="n"/>
      <c r="G811" s="137" t="n"/>
    </row>
    <row r="812" ht="15" customHeight="1" s="83">
      <c r="A812" s="135" t="n"/>
      <c r="B812" s="143" t="n"/>
      <c r="C812" s="136" t="n"/>
      <c r="D812" s="143" t="n"/>
      <c r="E812" s="137" t="n"/>
      <c r="G812" s="137" t="n"/>
    </row>
    <row r="813" ht="15" customHeight="1" s="83">
      <c r="A813" s="135" t="n"/>
      <c r="B813" s="143" t="n"/>
      <c r="C813" s="136" t="n"/>
      <c r="D813" s="143" t="n"/>
      <c r="E813" s="137" t="n"/>
      <c r="G813" s="137" t="n"/>
    </row>
    <row r="814" ht="15" customHeight="1" s="83">
      <c r="A814" s="135" t="n"/>
      <c r="B814" s="143" t="n"/>
      <c r="C814" s="136" t="n"/>
      <c r="D814" s="143" t="n"/>
      <c r="E814" s="137" t="n"/>
      <c r="G814" s="137" t="n"/>
    </row>
    <row r="815" ht="15" customHeight="1" s="83">
      <c r="A815" s="135" t="n"/>
      <c r="B815" s="143" t="n"/>
      <c r="C815" s="136" t="n"/>
      <c r="D815" s="143" t="n"/>
      <c r="E815" s="137" t="n"/>
      <c r="G815" s="137" t="n"/>
    </row>
    <row r="816" ht="15" customHeight="1" s="83">
      <c r="A816" s="135" t="n"/>
      <c r="B816" s="143" t="n"/>
      <c r="C816" s="136" t="n"/>
      <c r="D816" s="143" t="n"/>
      <c r="E816" s="137" t="n"/>
      <c r="G816" s="137" t="n"/>
    </row>
    <row r="817" ht="15" customHeight="1" s="83">
      <c r="A817" s="135" t="n"/>
      <c r="B817" s="143" t="n"/>
      <c r="C817" s="136" t="n"/>
      <c r="D817" s="143" t="n"/>
      <c r="E817" s="137" t="n"/>
      <c r="G817" s="137" t="n"/>
    </row>
    <row r="818" ht="15" customHeight="1" s="83">
      <c r="A818" s="135" t="n"/>
      <c r="B818" s="143" t="n"/>
      <c r="C818" s="136" t="n"/>
      <c r="D818" s="143" t="n"/>
      <c r="E818" s="137" t="n"/>
      <c r="G818" s="137" t="n"/>
    </row>
    <row r="819" ht="15" customHeight="1" s="83">
      <c r="A819" s="135" t="n"/>
      <c r="B819" s="143" t="n"/>
      <c r="C819" s="136" t="n"/>
      <c r="D819" s="143" t="n"/>
      <c r="E819" s="137" t="n"/>
      <c r="G819" s="137" t="n"/>
    </row>
    <row r="820" ht="15" customHeight="1" s="83">
      <c r="A820" s="135" t="n"/>
      <c r="B820" s="143" t="n"/>
      <c r="C820" s="136" t="n"/>
      <c r="D820" s="143" t="n"/>
      <c r="E820" s="137" t="n"/>
      <c r="G820" s="137" t="n"/>
    </row>
    <row r="821" ht="15" customHeight="1" s="83">
      <c r="A821" s="135" t="n"/>
      <c r="B821" s="143" t="n"/>
      <c r="C821" s="136" t="n"/>
      <c r="D821" s="143" t="n"/>
      <c r="E821" s="137" t="n"/>
      <c r="G821" s="137" t="n"/>
    </row>
    <row r="822" ht="15" customHeight="1" s="83">
      <c r="A822" s="135" t="n"/>
      <c r="B822" s="143" t="n"/>
      <c r="C822" s="136" t="n"/>
      <c r="D822" s="143" t="n"/>
      <c r="E822" s="137" t="n"/>
      <c r="G822" s="137" t="n"/>
    </row>
    <row r="823" ht="15" customHeight="1" s="83">
      <c r="A823" s="135" t="n"/>
      <c r="B823" s="143" t="n"/>
      <c r="C823" s="136" t="n"/>
      <c r="D823" s="143" t="n"/>
      <c r="E823" s="137" t="n"/>
      <c r="G823" s="137" t="n"/>
    </row>
    <row r="824" ht="15" customHeight="1" s="83">
      <c r="A824" s="135" t="n"/>
      <c r="B824" s="143" t="n"/>
      <c r="C824" s="136" t="n"/>
      <c r="D824" s="143" t="n"/>
      <c r="E824" s="137" t="n"/>
      <c r="G824" s="137" t="n"/>
    </row>
    <row r="825" ht="15" customHeight="1" s="83">
      <c r="A825" s="135" t="n"/>
      <c r="B825" s="143" t="n"/>
      <c r="C825" s="136" t="n"/>
      <c r="D825" s="143" t="n"/>
      <c r="E825" s="137" t="n"/>
      <c r="G825" s="137" t="n"/>
    </row>
    <row r="826" ht="15" customHeight="1" s="83">
      <c r="A826" s="135" t="n"/>
      <c r="B826" s="143" t="n"/>
      <c r="C826" s="136" t="n"/>
      <c r="D826" s="143" t="n"/>
      <c r="E826" s="137" t="n"/>
      <c r="G826" s="137" t="n"/>
    </row>
    <row r="827" ht="15" customHeight="1" s="83">
      <c r="A827" s="135" t="n"/>
      <c r="B827" s="143" t="n"/>
      <c r="C827" s="136" t="n"/>
      <c r="D827" s="143" t="n"/>
      <c r="E827" s="137" t="n"/>
      <c r="G827" s="137" t="n"/>
    </row>
    <row r="828" ht="15" customHeight="1" s="83">
      <c r="A828" s="135" t="n"/>
      <c r="B828" s="143" t="n"/>
      <c r="C828" s="136" t="n"/>
      <c r="D828" s="143" t="n"/>
      <c r="E828" s="137" t="n"/>
      <c r="G828" s="137" t="n"/>
    </row>
    <row r="829" ht="15" customHeight="1" s="83">
      <c r="A829" s="135" t="n"/>
      <c r="B829" s="143" t="n"/>
      <c r="C829" s="136" t="n"/>
      <c r="D829" s="143" t="n"/>
      <c r="E829" s="137" t="n"/>
      <c r="G829" s="137" t="n"/>
    </row>
    <row r="830" ht="15" customHeight="1" s="83">
      <c r="A830" s="135" t="n"/>
      <c r="B830" s="143" t="n"/>
      <c r="C830" s="136" t="n"/>
      <c r="D830" s="143" t="n"/>
      <c r="E830" s="137" t="n"/>
      <c r="G830" s="137" t="n"/>
    </row>
    <row r="831" ht="15" customHeight="1" s="83">
      <c r="A831" s="135" t="n"/>
      <c r="B831" s="143" t="n"/>
      <c r="C831" s="136" t="n"/>
      <c r="D831" s="143" t="n"/>
      <c r="E831" s="137" t="n"/>
      <c r="G831" s="137" t="n"/>
    </row>
    <row r="832" ht="15" customHeight="1" s="83">
      <c r="A832" s="135" t="n"/>
      <c r="B832" s="143" t="n"/>
      <c r="C832" s="136" t="n"/>
      <c r="D832" s="143" t="n"/>
      <c r="E832" s="137" t="n"/>
      <c r="G832" s="137" t="n"/>
    </row>
    <row r="833" ht="15" customHeight="1" s="83">
      <c r="A833" s="135" t="n"/>
      <c r="B833" s="143" t="n"/>
      <c r="C833" s="136" t="n"/>
      <c r="D833" s="143" t="n"/>
      <c r="E833" s="137" t="n"/>
      <c r="G833" s="137" t="n"/>
    </row>
    <row r="834" ht="15" customHeight="1" s="83">
      <c r="A834" s="135" t="n"/>
      <c r="B834" s="143" t="n"/>
      <c r="C834" s="136" t="n"/>
      <c r="D834" s="143" t="n"/>
      <c r="E834" s="137" t="n"/>
      <c r="G834" s="137" t="n"/>
    </row>
    <row r="835" ht="15" customHeight="1" s="83">
      <c r="A835" s="135" t="n"/>
      <c r="B835" s="143" t="n"/>
      <c r="C835" s="136" t="n"/>
      <c r="D835" s="143" t="n"/>
      <c r="E835" s="137" t="n"/>
      <c r="G835" s="137" t="n"/>
    </row>
    <row r="836" ht="15" customHeight="1" s="83">
      <c r="A836" s="135" t="n"/>
      <c r="B836" s="143" t="n"/>
      <c r="C836" s="136" t="n"/>
      <c r="D836" s="143" t="n"/>
      <c r="E836" s="137" t="n"/>
      <c r="G836" s="137" t="n"/>
    </row>
    <row r="837" ht="15" customHeight="1" s="83">
      <c r="A837" s="135" t="n"/>
      <c r="B837" s="143" t="n"/>
      <c r="C837" s="136" t="n"/>
      <c r="D837" s="143" t="n"/>
      <c r="E837" s="137" t="n"/>
      <c r="G837" s="137" t="n"/>
    </row>
    <row r="838" ht="15" customHeight="1" s="83">
      <c r="A838" s="135" t="n"/>
      <c r="B838" s="143" t="n"/>
      <c r="C838" s="136" t="n"/>
      <c r="D838" s="143" t="n"/>
      <c r="E838" s="137" t="n"/>
      <c r="G838" s="137" t="n"/>
    </row>
    <row r="839" ht="15" customHeight="1" s="83">
      <c r="A839" s="135" t="n"/>
      <c r="B839" s="143" t="n"/>
      <c r="C839" s="136" t="n"/>
      <c r="D839" s="143" t="n"/>
      <c r="E839" s="137" t="n"/>
      <c r="G839" s="137" t="n"/>
    </row>
    <row r="840" ht="15" customHeight="1" s="83">
      <c r="A840" s="135" t="n"/>
      <c r="B840" s="143" t="n"/>
      <c r="C840" s="136" t="n"/>
      <c r="D840" s="143" t="n"/>
      <c r="E840" s="137" t="n"/>
      <c r="G840" s="137" t="n"/>
    </row>
    <row r="841" ht="15" customHeight="1" s="83">
      <c r="A841" s="135" t="n"/>
      <c r="B841" s="143" t="n"/>
      <c r="C841" s="136" t="n"/>
      <c r="D841" s="143" t="n"/>
      <c r="E841" s="137" t="n"/>
      <c r="G841" s="137" t="n"/>
    </row>
    <row r="842" ht="15" customHeight="1" s="83">
      <c r="A842" s="135" t="n"/>
      <c r="B842" s="143" t="n"/>
      <c r="C842" s="136" t="n"/>
      <c r="D842" s="143" t="n"/>
      <c r="E842" s="137" t="n"/>
      <c r="G842" s="137" t="n"/>
    </row>
    <row r="843" ht="15" customHeight="1" s="83">
      <c r="A843" s="135" t="n"/>
      <c r="B843" s="143" t="n"/>
      <c r="C843" s="136" t="n"/>
      <c r="D843" s="143" t="n"/>
      <c r="E843" s="137" t="n"/>
      <c r="G843" s="137" t="n"/>
    </row>
    <row r="844" ht="15" customHeight="1" s="83">
      <c r="A844" s="135" t="n"/>
      <c r="B844" s="143" t="n"/>
      <c r="C844" s="136" t="n"/>
      <c r="D844" s="143" t="n"/>
      <c r="E844" s="137" t="n"/>
      <c r="G844" s="137" t="n"/>
    </row>
    <row r="845" ht="15" customHeight="1" s="83">
      <c r="A845" s="135" t="n"/>
      <c r="B845" s="143" t="n"/>
      <c r="C845" s="136" t="n"/>
      <c r="D845" s="143" t="n"/>
      <c r="E845" s="137" t="n"/>
      <c r="G845" s="137" t="n"/>
    </row>
    <row r="846" ht="15" customHeight="1" s="83">
      <c r="A846" s="135" t="n"/>
      <c r="B846" s="143" t="n"/>
      <c r="C846" s="136" t="n"/>
      <c r="D846" s="143" t="n"/>
      <c r="E846" s="137" t="n"/>
      <c r="G846" s="137" t="n"/>
    </row>
    <row r="847" ht="15" customHeight="1" s="83">
      <c r="A847" s="135" t="n"/>
      <c r="B847" s="143" t="n"/>
      <c r="C847" s="136" t="n"/>
      <c r="D847" s="143" t="n"/>
      <c r="E847" s="137" t="n"/>
      <c r="G847" s="137" t="n"/>
    </row>
    <row r="848" ht="15" customHeight="1" s="83">
      <c r="A848" s="135" t="n"/>
      <c r="B848" s="143" t="n"/>
      <c r="C848" s="136" t="n"/>
      <c r="D848" s="143" t="n"/>
      <c r="E848" s="137" t="n"/>
      <c r="G848" s="137" t="n"/>
    </row>
    <row r="849" ht="15" customHeight="1" s="83">
      <c r="A849" s="135" t="n"/>
      <c r="B849" s="143" t="n"/>
      <c r="C849" s="136" t="n"/>
      <c r="D849" s="143" t="n"/>
      <c r="E849" s="137" t="n"/>
      <c r="G849" s="137" t="n"/>
    </row>
    <row r="850" ht="15" customHeight="1" s="83">
      <c r="A850" s="135" t="n"/>
      <c r="B850" s="143" t="n"/>
      <c r="C850" s="136" t="n"/>
      <c r="D850" s="143" t="n"/>
      <c r="E850" s="137" t="n"/>
      <c r="G850" s="137" t="n"/>
    </row>
    <row r="851" ht="15" customHeight="1" s="83">
      <c r="A851" s="135" t="n"/>
      <c r="B851" s="143" t="n"/>
      <c r="C851" s="136" t="n"/>
      <c r="D851" s="143" t="n"/>
      <c r="E851" s="137" t="n"/>
      <c r="G851" s="137" t="n"/>
    </row>
    <row r="852" ht="15" customHeight="1" s="83">
      <c r="A852" s="135" t="n"/>
      <c r="B852" s="143" t="n"/>
      <c r="C852" s="136" t="n"/>
      <c r="D852" s="143" t="n"/>
      <c r="E852" s="137" t="n"/>
      <c r="G852" s="137" t="n"/>
    </row>
    <row r="853" ht="15" customHeight="1" s="83">
      <c r="A853" s="135" t="n"/>
      <c r="B853" s="143" t="n"/>
      <c r="C853" s="136" t="n"/>
      <c r="D853" s="143" t="n"/>
      <c r="E853" s="137" t="n"/>
      <c r="G853" s="137" t="n"/>
    </row>
    <row r="854" ht="15" customHeight="1" s="83">
      <c r="A854" s="135" t="n"/>
      <c r="B854" s="143" t="n"/>
      <c r="C854" s="136" t="n"/>
      <c r="D854" s="143" t="n"/>
      <c r="E854" s="137" t="n"/>
      <c r="G854" s="137" t="n"/>
    </row>
    <row r="855" ht="15" customHeight="1" s="83">
      <c r="A855" s="135" t="n"/>
      <c r="B855" s="143" t="n"/>
      <c r="C855" s="136" t="n"/>
      <c r="D855" s="143" t="n"/>
      <c r="E855" s="137" t="n"/>
      <c r="G855" s="137" t="n"/>
    </row>
    <row r="856" ht="15" customHeight="1" s="83">
      <c r="A856" s="135" t="n"/>
      <c r="B856" s="143" t="n"/>
      <c r="C856" s="136" t="n"/>
      <c r="D856" s="143" t="n"/>
      <c r="E856" s="137" t="n"/>
      <c r="G856" s="137" t="n"/>
    </row>
    <row r="857" ht="15" customHeight="1" s="83">
      <c r="A857" s="135" t="n"/>
      <c r="B857" s="143" t="n"/>
      <c r="C857" s="136" t="n"/>
      <c r="D857" s="143" t="n"/>
      <c r="E857" s="137" t="n"/>
      <c r="G857" s="137" t="n"/>
    </row>
    <row r="858" ht="15" customHeight="1" s="83">
      <c r="A858" s="135" t="n"/>
      <c r="B858" s="143" t="n"/>
      <c r="C858" s="136" t="n"/>
      <c r="D858" s="143" t="n"/>
      <c r="E858" s="137" t="n"/>
      <c r="G858" s="137" t="n"/>
    </row>
    <row r="859" ht="15" customHeight="1" s="83">
      <c r="A859" s="135" t="n"/>
      <c r="B859" s="143" t="n"/>
      <c r="C859" s="136" t="n"/>
      <c r="D859" s="143" t="n"/>
      <c r="E859" s="137" t="n"/>
      <c r="G859" s="137" t="n"/>
    </row>
    <row r="860" ht="15" customHeight="1" s="83">
      <c r="A860" s="135" t="n"/>
      <c r="B860" s="143" t="n"/>
      <c r="C860" s="136" t="n"/>
      <c r="D860" s="143" t="n"/>
      <c r="E860" s="137" t="n"/>
      <c r="G860" s="137" t="n"/>
    </row>
    <row r="861" ht="15" customHeight="1" s="83">
      <c r="A861" s="135" t="n"/>
      <c r="B861" s="143" t="n"/>
      <c r="C861" s="136" t="n"/>
      <c r="D861" s="143" t="n"/>
      <c r="E861" s="137" t="n"/>
      <c r="G861" s="137" t="n"/>
    </row>
    <row r="862" ht="15" customHeight="1" s="83">
      <c r="A862" s="135" t="n"/>
      <c r="B862" s="143" t="n"/>
      <c r="C862" s="136" t="n"/>
      <c r="D862" s="143" t="n"/>
      <c r="E862" s="137" t="n"/>
      <c r="G862" s="137" t="n"/>
    </row>
    <row r="863" ht="15" customHeight="1" s="83">
      <c r="A863" s="135" t="n"/>
      <c r="B863" s="143" t="n"/>
      <c r="C863" s="136" t="n"/>
      <c r="D863" s="143" t="n"/>
      <c r="E863" s="137" t="n"/>
      <c r="G863" s="137" t="n"/>
    </row>
    <row r="864" ht="15" customHeight="1" s="83">
      <c r="A864" s="135" t="n"/>
      <c r="B864" s="143" t="n"/>
      <c r="C864" s="136" t="n"/>
      <c r="D864" s="143" t="n"/>
      <c r="E864" s="137" t="n"/>
      <c r="G864" s="137" t="n"/>
    </row>
    <row r="865" ht="15" customHeight="1" s="83">
      <c r="A865" s="135" t="n"/>
      <c r="B865" s="143" t="n"/>
      <c r="C865" s="136" t="n"/>
      <c r="D865" s="143" t="n"/>
      <c r="E865" s="137" t="n"/>
      <c r="G865" s="137" t="n"/>
    </row>
    <row r="866" ht="15" customHeight="1" s="83">
      <c r="A866" s="135" t="n"/>
      <c r="B866" s="143" t="n"/>
      <c r="C866" s="136" t="n"/>
      <c r="D866" s="143" t="n"/>
      <c r="E866" s="137" t="n"/>
      <c r="G866" s="137" t="n"/>
    </row>
    <row r="867" ht="15" customHeight="1" s="83">
      <c r="A867" s="135" t="n"/>
      <c r="B867" s="143" t="n"/>
      <c r="C867" s="136" t="n"/>
      <c r="D867" s="143" t="n"/>
      <c r="E867" s="137" t="n"/>
      <c r="G867" s="137" t="n"/>
    </row>
    <row r="868" ht="15" customHeight="1" s="83">
      <c r="A868" s="135" t="n"/>
      <c r="B868" s="143" t="n"/>
      <c r="C868" s="136" t="n"/>
      <c r="D868" s="143" t="n"/>
      <c r="E868" s="137" t="n"/>
      <c r="G868" s="137" t="n"/>
    </row>
    <row r="869" ht="15" customHeight="1" s="83">
      <c r="A869" s="135" t="n"/>
      <c r="B869" s="143" t="n"/>
      <c r="C869" s="136" t="n"/>
      <c r="D869" s="143" t="n"/>
      <c r="E869" s="137" t="n"/>
      <c r="G869" s="137" t="n"/>
    </row>
    <row r="870" ht="15" customHeight="1" s="83">
      <c r="A870" s="135" t="n"/>
      <c r="B870" s="143" t="n"/>
      <c r="C870" s="136" t="n"/>
      <c r="D870" s="143" t="n"/>
      <c r="E870" s="137" t="n"/>
      <c r="G870" s="137" t="n"/>
    </row>
    <row r="871" ht="15" customHeight="1" s="83">
      <c r="A871" s="135" t="n"/>
      <c r="B871" s="143" t="n"/>
      <c r="C871" s="136" t="n"/>
      <c r="D871" s="143" t="n"/>
      <c r="E871" s="137" t="n"/>
      <c r="G871" s="137" t="n"/>
    </row>
    <row r="872" ht="15" customHeight="1" s="83">
      <c r="A872" s="135" t="n"/>
      <c r="B872" s="143" t="n"/>
      <c r="C872" s="136" t="n"/>
      <c r="D872" s="143" t="n"/>
      <c r="E872" s="137" t="n"/>
      <c r="G872" s="137" t="n"/>
    </row>
    <row r="873" ht="15" customHeight="1" s="83">
      <c r="A873" s="135" t="n"/>
      <c r="B873" s="143" t="n"/>
      <c r="C873" s="136" t="n"/>
      <c r="D873" s="143" t="n"/>
      <c r="E873" s="137" t="n"/>
      <c r="G873" s="137" t="n"/>
    </row>
    <row r="874" ht="15" customHeight="1" s="83">
      <c r="A874" s="135" t="n"/>
      <c r="B874" s="143" t="n"/>
      <c r="C874" s="136" t="n"/>
      <c r="D874" s="143" t="n"/>
      <c r="E874" s="137" t="n"/>
      <c r="G874" s="137" t="n"/>
    </row>
    <row r="875" ht="15" customHeight="1" s="83">
      <c r="A875" s="135" t="n"/>
      <c r="B875" s="143" t="n"/>
      <c r="C875" s="136" t="n"/>
      <c r="D875" s="143" t="n"/>
      <c r="E875" s="137" t="n"/>
      <c r="G875" s="137" t="n"/>
    </row>
    <row r="876" ht="15" customHeight="1" s="83">
      <c r="A876" s="135" t="n"/>
      <c r="B876" s="143" t="n"/>
      <c r="C876" s="136" t="n"/>
      <c r="D876" s="143" t="n"/>
      <c r="E876" s="137" t="n"/>
      <c r="G876" s="137" t="n"/>
    </row>
    <row r="877" ht="15" customHeight="1" s="83">
      <c r="A877" s="135" t="n"/>
      <c r="B877" s="143" t="n"/>
      <c r="C877" s="136" t="n"/>
      <c r="D877" s="143" t="n"/>
      <c r="E877" s="137" t="n"/>
      <c r="G877" s="137" t="n"/>
    </row>
    <row r="878" ht="15" customHeight="1" s="83">
      <c r="A878" s="135" t="n"/>
      <c r="B878" s="143" t="n"/>
      <c r="C878" s="136" t="n"/>
      <c r="D878" s="143" t="n"/>
      <c r="E878" s="137" t="n"/>
      <c r="G878" s="137" t="n"/>
    </row>
    <row r="879" ht="15" customHeight="1" s="83">
      <c r="A879" s="135" t="n"/>
      <c r="B879" s="143" t="n"/>
      <c r="C879" s="136" t="n"/>
      <c r="D879" s="143" t="n"/>
      <c r="E879" s="137" t="n"/>
      <c r="G879" s="137" t="n"/>
    </row>
    <row r="880" ht="15" customHeight="1" s="83">
      <c r="A880" s="135" t="n"/>
      <c r="B880" s="143" t="n"/>
      <c r="C880" s="136" t="n"/>
      <c r="D880" s="143" t="n"/>
      <c r="E880" s="137" t="n"/>
      <c r="G880" s="137" t="n"/>
    </row>
    <row r="881" ht="15" customHeight="1" s="83">
      <c r="A881" s="135" t="n"/>
      <c r="B881" s="143" t="n"/>
      <c r="C881" s="136" t="n"/>
      <c r="D881" s="143" t="n"/>
      <c r="E881" s="137" t="n"/>
      <c r="G881" s="137" t="n"/>
    </row>
    <row r="882" ht="15" customHeight="1" s="83">
      <c r="A882" s="135" t="n"/>
      <c r="B882" s="143" t="n"/>
      <c r="C882" s="136" t="n"/>
      <c r="D882" s="143" t="n"/>
      <c r="E882" s="137" t="n"/>
      <c r="G882" s="137" t="n"/>
    </row>
    <row r="883" ht="15" customHeight="1" s="83">
      <c r="A883" s="135" t="n"/>
      <c r="B883" s="143" t="n"/>
      <c r="C883" s="136" t="n"/>
      <c r="D883" s="143" t="n"/>
      <c r="E883" s="137" t="n"/>
      <c r="G883" s="137" t="n"/>
    </row>
    <row r="884" ht="15" customHeight="1" s="83">
      <c r="A884" s="135" t="n"/>
      <c r="B884" s="143" t="n"/>
      <c r="C884" s="136" t="n"/>
      <c r="D884" s="143" t="n"/>
      <c r="E884" s="137" t="n"/>
      <c r="G884" s="137" t="n"/>
    </row>
    <row r="885" ht="15" customHeight="1" s="83">
      <c r="A885" s="135" t="n"/>
      <c r="B885" s="143" t="n"/>
      <c r="C885" s="136" t="n"/>
      <c r="D885" s="143" t="n"/>
      <c r="E885" s="137" t="n"/>
      <c r="G885" s="137" t="n"/>
    </row>
    <row r="886" ht="15" customHeight="1" s="83">
      <c r="A886" s="135" t="n"/>
      <c r="B886" s="143" t="n"/>
      <c r="C886" s="136" t="n"/>
      <c r="D886" s="143" t="n"/>
      <c r="E886" s="137" t="n"/>
      <c r="G886" s="137" t="n"/>
    </row>
    <row r="887" ht="15" customHeight="1" s="83">
      <c r="A887" s="135" t="n"/>
      <c r="B887" s="143" t="n"/>
      <c r="C887" s="136" t="n"/>
      <c r="D887" s="143" t="n"/>
      <c r="E887" s="137" t="n"/>
      <c r="G887" s="137" t="n"/>
    </row>
    <row r="888" ht="15" customHeight="1" s="83">
      <c r="A888" s="135" t="n"/>
      <c r="B888" s="143" t="n"/>
      <c r="C888" s="136" t="n"/>
      <c r="D888" s="143" t="n"/>
      <c r="E888" s="137" t="n"/>
      <c r="G888" s="137" t="n"/>
    </row>
    <row r="889" ht="15" customHeight="1" s="83">
      <c r="A889" s="135" t="n"/>
      <c r="B889" s="143" t="n"/>
      <c r="C889" s="136" t="n"/>
      <c r="D889" s="143" t="n"/>
      <c r="E889" s="137" t="n"/>
      <c r="G889" s="137" t="n"/>
    </row>
    <row r="890" ht="15" customHeight="1" s="83">
      <c r="A890" s="135" t="n"/>
      <c r="B890" s="143" t="n"/>
      <c r="C890" s="136" t="n"/>
      <c r="D890" s="143" t="n"/>
      <c r="E890" s="137" t="n"/>
      <c r="G890" s="137" t="n"/>
    </row>
    <row r="891" ht="15" customHeight="1" s="83">
      <c r="A891" s="135" t="n"/>
      <c r="B891" s="143" t="n"/>
      <c r="C891" s="136" t="n"/>
      <c r="D891" s="143" t="n"/>
      <c r="E891" s="137" t="n"/>
      <c r="G891" s="137" t="n"/>
    </row>
    <row r="892" ht="15" customHeight="1" s="83">
      <c r="A892" s="135" t="n"/>
      <c r="B892" s="143" t="n"/>
      <c r="C892" s="136" t="n"/>
      <c r="D892" s="143" t="n"/>
      <c r="E892" s="137" t="n"/>
      <c r="G892" s="137" t="n"/>
    </row>
    <row r="893" ht="15" customHeight="1" s="83">
      <c r="A893" s="135" t="n"/>
      <c r="B893" s="143" t="n"/>
      <c r="C893" s="136" t="n"/>
      <c r="D893" s="143" t="n"/>
      <c r="E893" s="137" t="n"/>
      <c r="G893" s="137" t="n"/>
    </row>
    <row r="894" ht="15" customHeight="1" s="83">
      <c r="A894" s="135" t="n"/>
      <c r="B894" s="143" t="n"/>
      <c r="C894" s="136" t="n"/>
      <c r="D894" s="143" t="n"/>
      <c r="E894" s="137" t="n"/>
      <c r="G894" s="137" t="n"/>
    </row>
    <row r="895" ht="15" customHeight="1" s="83">
      <c r="A895" s="135" t="n"/>
      <c r="B895" s="143" t="n"/>
      <c r="C895" s="136" t="n"/>
      <c r="D895" s="143" t="n"/>
      <c r="E895" s="137" t="n"/>
      <c r="G895" s="137" t="n"/>
    </row>
    <row r="896" ht="15" customHeight="1" s="83">
      <c r="A896" s="135" t="n"/>
      <c r="B896" s="143" t="n"/>
      <c r="C896" s="136" t="n"/>
      <c r="D896" s="143" t="n"/>
      <c r="E896" s="137" t="n"/>
      <c r="G896" s="137" t="n"/>
    </row>
    <row r="897" ht="15" customHeight="1" s="83">
      <c r="A897" s="135" t="n"/>
      <c r="B897" s="143" t="n"/>
      <c r="C897" s="136" t="n"/>
      <c r="D897" s="143" t="n"/>
      <c r="E897" s="137" t="n"/>
      <c r="G897" s="137" t="n"/>
    </row>
    <row r="898" ht="15" customHeight="1" s="83">
      <c r="A898" s="135" t="n"/>
      <c r="B898" s="143" t="n"/>
      <c r="C898" s="136" t="n"/>
      <c r="D898" s="143" t="n"/>
      <c r="E898" s="137" t="n"/>
      <c r="G898" s="137" t="n"/>
    </row>
    <row r="899" ht="15" customHeight="1" s="83">
      <c r="A899" s="135" t="n"/>
      <c r="B899" s="143" t="n"/>
      <c r="C899" s="136" t="n"/>
      <c r="D899" s="143" t="n"/>
      <c r="E899" s="137" t="n"/>
      <c r="G899" s="137" t="n"/>
    </row>
    <row r="900" ht="15" customHeight="1" s="83">
      <c r="A900" s="135" t="n"/>
      <c r="B900" s="143" t="n"/>
      <c r="C900" s="136" t="n"/>
      <c r="D900" s="143" t="n"/>
      <c r="E900" s="137" t="n"/>
      <c r="G900" s="137" t="n"/>
    </row>
    <row r="901" ht="15" customHeight="1" s="83">
      <c r="A901" s="135" t="n"/>
      <c r="B901" s="143" t="n"/>
      <c r="C901" s="136" t="n"/>
      <c r="D901" s="143" t="n"/>
      <c r="E901" s="137" t="n"/>
      <c r="G901" s="137" t="n"/>
    </row>
    <row r="902" ht="15" customHeight="1" s="83">
      <c r="A902" s="135" t="n"/>
      <c r="B902" s="143" t="n"/>
      <c r="C902" s="136" t="n"/>
      <c r="D902" s="143" t="n"/>
      <c r="E902" s="137" t="n"/>
      <c r="G902" s="137" t="n"/>
    </row>
    <row r="903" ht="15" customHeight="1" s="83">
      <c r="A903" s="135" t="n"/>
      <c r="B903" s="143" t="n"/>
      <c r="C903" s="136" t="n"/>
      <c r="D903" s="143" t="n"/>
      <c r="E903" s="137" t="n"/>
      <c r="G903" s="137" t="n"/>
    </row>
    <row r="904" ht="15" customHeight="1" s="83">
      <c r="A904" s="135" t="n"/>
      <c r="B904" s="143" t="n"/>
      <c r="C904" s="136" t="n"/>
      <c r="D904" s="143" t="n"/>
      <c r="E904" s="137" t="n"/>
      <c r="G904" s="137" t="n"/>
    </row>
    <row r="905" ht="15" customHeight="1" s="83">
      <c r="A905" s="135" t="n"/>
      <c r="B905" s="143" t="n"/>
      <c r="C905" s="136" t="n"/>
      <c r="D905" s="143" t="n"/>
      <c r="E905" s="137" t="n"/>
      <c r="G905" s="137" t="n"/>
    </row>
    <row r="906" ht="15" customHeight="1" s="83">
      <c r="A906" s="135" t="n"/>
      <c r="B906" s="143" t="n"/>
      <c r="C906" s="136" t="n"/>
      <c r="D906" s="143" t="n"/>
      <c r="E906" s="137" t="n"/>
      <c r="G906" s="137" t="n"/>
    </row>
    <row r="907" ht="15" customHeight="1" s="83">
      <c r="A907" s="135" t="n"/>
      <c r="B907" s="143" t="n"/>
      <c r="C907" s="136" t="n"/>
      <c r="D907" s="143" t="n"/>
      <c r="E907" s="137" t="n"/>
      <c r="G907" s="137" t="n"/>
    </row>
    <row r="908" ht="15" customHeight="1" s="83">
      <c r="A908" s="135" t="n"/>
      <c r="B908" s="143" t="n"/>
      <c r="C908" s="136" t="n"/>
      <c r="D908" s="143" t="n"/>
      <c r="E908" s="137" t="n"/>
      <c r="G908" s="137" t="n"/>
    </row>
    <row r="909" ht="15" customHeight="1" s="83">
      <c r="A909" s="135" t="n"/>
      <c r="B909" s="143" t="n"/>
      <c r="C909" s="136" t="n"/>
      <c r="D909" s="143" t="n"/>
      <c r="E909" s="137" t="n"/>
      <c r="G909" s="137" t="n"/>
    </row>
    <row r="910" ht="15" customHeight="1" s="83">
      <c r="A910" s="135" t="n"/>
      <c r="B910" s="143" t="n"/>
      <c r="C910" s="136" t="n"/>
      <c r="D910" s="143" t="n"/>
      <c r="E910" s="137" t="n"/>
      <c r="G910" s="137" t="n"/>
    </row>
    <row r="911" ht="15" customHeight="1" s="83">
      <c r="A911" s="135" t="n"/>
      <c r="B911" s="143" t="n"/>
      <c r="C911" s="136" t="n"/>
      <c r="D911" s="143" t="n"/>
      <c r="E911" s="137" t="n"/>
      <c r="G911" s="137" t="n"/>
    </row>
    <row r="912" ht="15" customHeight="1" s="83">
      <c r="A912" s="135" t="n"/>
      <c r="B912" s="143" t="n"/>
      <c r="C912" s="136" t="n"/>
      <c r="D912" s="143" t="n"/>
      <c r="E912" s="137" t="n"/>
      <c r="G912" s="137" t="n"/>
    </row>
    <row r="913" ht="15" customHeight="1" s="83">
      <c r="A913" s="135" t="n"/>
      <c r="B913" s="143" t="n"/>
      <c r="C913" s="136" t="n"/>
      <c r="D913" s="143" t="n"/>
      <c r="E913" s="137" t="n"/>
      <c r="G913" s="137" t="n"/>
    </row>
    <row r="914" ht="15" customHeight="1" s="83">
      <c r="A914" s="135" t="n"/>
      <c r="B914" s="143" t="n"/>
      <c r="C914" s="136" t="n"/>
      <c r="D914" s="143" t="n"/>
      <c r="E914" s="137" t="n"/>
      <c r="G914" s="137" t="n"/>
    </row>
    <row r="915" ht="15" customHeight="1" s="83">
      <c r="A915" s="135" t="n"/>
      <c r="B915" s="143" t="n"/>
      <c r="C915" s="136" t="n"/>
      <c r="D915" s="143" t="n"/>
      <c r="E915" s="137" t="n"/>
      <c r="G915" s="137" t="n"/>
    </row>
    <row r="916" ht="15" customHeight="1" s="83">
      <c r="A916" s="135" t="n"/>
      <c r="B916" s="143" t="n"/>
      <c r="C916" s="136" t="n"/>
      <c r="D916" s="143" t="n"/>
      <c r="E916" s="137" t="n"/>
      <c r="G916" s="137" t="n"/>
    </row>
    <row r="917" ht="15" customHeight="1" s="83">
      <c r="A917" s="135" t="n"/>
      <c r="B917" s="143" t="n"/>
      <c r="C917" s="136" t="n"/>
      <c r="D917" s="143" t="n"/>
      <c r="E917" s="137" t="n"/>
      <c r="G917" s="137" t="n"/>
    </row>
    <row r="918" ht="15" customHeight="1" s="83">
      <c r="A918" s="135" t="n"/>
      <c r="B918" s="143" t="n"/>
      <c r="C918" s="136" t="n"/>
      <c r="D918" s="143" t="n"/>
      <c r="E918" s="137" t="n"/>
      <c r="G918" s="137" t="n"/>
    </row>
    <row r="919" ht="15" customHeight="1" s="83">
      <c r="A919" s="135" t="n"/>
      <c r="B919" s="143" t="n"/>
      <c r="C919" s="136" t="n"/>
      <c r="D919" s="143" t="n"/>
      <c r="E919" s="137" t="n"/>
      <c r="G919" s="137" t="n"/>
    </row>
    <row r="920" ht="15" customHeight="1" s="83">
      <c r="A920" s="135" t="n"/>
      <c r="B920" s="143" t="n"/>
      <c r="C920" s="136" t="n"/>
      <c r="D920" s="143" t="n"/>
      <c r="E920" s="137" t="n"/>
      <c r="G920" s="137" t="n"/>
    </row>
    <row r="921" ht="15" customHeight="1" s="83">
      <c r="A921" s="135" t="n"/>
      <c r="B921" s="143" t="n"/>
      <c r="C921" s="136" t="n"/>
      <c r="D921" s="143" t="n"/>
      <c r="E921" s="137" t="n"/>
      <c r="G921" s="137" t="n"/>
    </row>
    <row r="922" ht="15" customHeight="1" s="83">
      <c r="A922" s="135" t="n"/>
      <c r="B922" s="143" t="n"/>
      <c r="C922" s="136" t="n"/>
      <c r="D922" s="143" t="n"/>
      <c r="E922" s="137" t="n"/>
      <c r="G922" s="137" t="n"/>
    </row>
    <row r="923" ht="15" customHeight="1" s="83">
      <c r="A923" s="135" t="n"/>
      <c r="B923" s="143" t="n"/>
      <c r="C923" s="136" t="n"/>
      <c r="D923" s="143" t="n"/>
      <c r="E923" s="137" t="n"/>
      <c r="G923" s="137" t="n"/>
    </row>
    <row r="924" ht="15" customHeight="1" s="83">
      <c r="A924" s="135" t="n"/>
      <c r="B924" s="143" t="n"/>
      <c r="C924" s="136" t="n"/>
      <c r="D924" s="143" t="n"/>
      <c r="E924" s="137" t="n"/>
      <c r="G924" s="137" t="n"/>
    </row>
    <row r="925" ht="15" customHeight="1" s="83">
      <c r="A925" s="135" t="n"/>
      <c r="B925" s="143" t="n"/>
      <c r="C925" s="136" t="n"/>
      <c r="D925" s="143" t="n"/>
      <c r="E925" s="137" t="n"/>
      <c r="G925" s="137" t="n"/>
    </row>
    <row r="926" ht="15" customHeight="1" s="83">
      <c r="A926" s="135" t="n"/>
      <c r="B926" s="143" t="n"/>
      <c r="C926" s="136" t="n"/>
      <c r="D926" s="143" t="n"/>
      <c r="E926" s="137" t="n"/>
      <c r="G926" s="137" t="n"/>
    </row>
    <row r="927" ht="15" customHeight="1" s="83">
      <c r="A927" s="135" t="n"/>
      <c r="B927" s="143" t="n"/>
      <c r="C927" s="136" t="n"/>
      <c r="D927" s="143" t="n"/>
      <c r="E927" s="137" t="n"/>
      <c r="G927" s="137" t="n"/>
    </row>
    <row r="928" ht="15" customHeight="1" s="83">
      <c r="A928" s="135" t="n"/>
      <c r="B928" s="143" t="n"/>
      <c r="C928" s="136" t="n"/>
      <c r="D928" s="143" t="n"/>
      <c r="E928" s="137" t="n"/>
      <c r="G928" s="137" t="n"/>
    </row>
    <row r="929" ht="15" customHeight="1" s="83">
      <c r="A929" s="135" t="n"/>
      <c r="B929" s="143" t="n"/>
      <c r="C929" s="136" t="n"/>
      <c r="D929" s="143" t="n"/>
      <c r="E929" s="137" t="n"/>
      <c r="G929" s="137" t="n"/>
    </row>
    <row r="930" ht="15" customHeight="1" s="83">
      <c r="A930" s="135" t="n"/>
      <c r="B930" s="143" t="n"/>
      <c r="C930" s="136" t="n"/>
      <c r="D930" s="143" t="n"/>
      <c r="E930" s="137" t="n"/>
      <c r="G930" s="137" t="n"/>
    </row>
    <row r="931" ht="15" customHeight="1" s="83">
      <c r="A931" s="135" t="n"/>
      <c r="B931" s="143" t="n"/>
      <c r="C931" s="136" t="n"/>
      <c r="D931" s="143" t="n"/>
      <c r="E931" s="137" t="n"/>
      <c r="G931" s="137" t="n"/>
    </row>
    <row r="932" ht="15" customHeight="1" s="83">
      <c r="A932" s="135" t="n"/>
      <c r="B932" s="143" t="n"/>
      <c r="C932" s="136" t="n"/>
      <c r="D932" s="143" t="n"/>
      <c r="E932" s="137" t="n"/>
      <c r="G932" s="137" t="n"/>
    </row>
    <row r="933" ht="15" customHeight="1" s="83">
      <c r="A933" s="135" t="n"/>
      <c r="B933" s="143" t="n"/>
      <c r="C933" s="136" t="n"/>
      <c r="D933" s="143" t="n"/>
      <c r="E933" s="137" t="n"/>
      <c r="G933" s="137" t="n"/>
    </row>
    <row r="934" ht="15" customHeight="1" s="83">
      <c r="A934" s="135" t="n"/>
      <c r="B934" s="143" t="n"/>
      <c r="C934" s="136" t="n"/>
      <c r="D934" s="143" t="n"/>
      <c r="E934" s="137" t="n"/>
      <c r="G934" s="137" t="n"/>
    </row>
    <row r="935" ht="15" customHeight="1" s="83">
      <c r="A935" s="135" t="n"/>
      <c r="B935" s="143" t="n"/>
      <c r="C935" s="136" t="n"/>
      <c r="D935" s="143" t="n"/>
      <c r="E935" s="137" t="n"/>
      <c r="G935" s="137" t="n"/>
    </row>
    <row r="936" ht="15" customHeight="1" s="83">
      <c r="A936" s="135" t="n"/>
      <c r="B936" s="143" t="n"/>
      <c r="C936" s="136" t="n"/>
      <c r="D936" s="143" t="n"/>
      <c r="E936" s="137" t="n"/>
      <c r="G936" s="137" t="n"/>
    </row>
    <row r="937" ht="15" customHeight="1" s="83">
      <c r="A937" s="135" t="n"/>
      <c r="B937" s="143" t="n"/>
      <c r="C937" s="136" t="n"/>
      <c r="D937" s="143" t="n"/>
      <c r="E937" s="137" t="n"/>
      <c r="G937" s="137" t="n"/>
    </row>
    <row r="938" ht="15" customHeight="1" s="83">
      <c r="A938" s="135" t="n"/>
      <c r="B938" s="143" t="n"/>
      <c r="C938" s="136" t="n"/>
      <c r="D938" s="143" t="n"/>
      <c r="E938" s="137" t="n"/>
      <c r="G938" s="137" t="n"/>
    </row>
    <row r="939" ht="15" customHeight="1" s="83">
      <c r="A939" s="135" t="n"/>
      <c r="B939" s="143" t="n"/>
      <c r="C939" s="136" t="n"/>
      <c r="D939" s="143" t="n"/>
      <c r="E939" s="137" t="n"/>
      <c r="G939" s="137" t="n"/>
    </row>
    <row r="940" ht="15" customHeight="1" s="83">
      <c r="A940" s="135" t="n"/>
      <c r="B940" s="143" t="n"/>
      <c r="C940" s="136" t="n"/>
      <c r="D940" s="143" t="n"/>
      <c r="E940" s="137" t="n"/>
      <c r="G940" s="137" t="n"/>
    </row>
    <row r="941" ht="15" customHeight="1" s="83">
      <c r="A941" s="135" t="n"/>
      <c r="B941" s="143" t="n"/>
      <c r="C941" s="136" t="n"/>
      <c r="D941" s="143" t="n"/>
      <c r="E941" s="137" t="n"/>
      <c r="G941" s="137" t="n"/>
    </row>
    <row r="942" ht="15" customHeight="1" s="83">
      <c r="A942" s="135" t="n"/>
      <c r="B942" s="143" t="n"/>
      <c r="C942" s="136" t="n"/>
      <c r="D942" s="143" t="n"/>
      <c r="E942" s="137" t="n"/>
      <c r="G942" s="137" t="n"/>
    </row>
    <row r="943" ht="15" customHeight="1" s="83">
      <c r="A943" s="135" t="n"/>
      <c r="B943" s="143" t="n"/>
      <c r="C943" s="136" t="n"/>
      <c r="D943" s="143" t="n"/>
      <c r="E943" s="137" t="n"/>
      <c r="G943" s="137" t="n"/>
    </row>
    <row r="944" ht="15" customHeight="1" s="83">
      <c r="A944" s="135" t="n"/>
      <c r="B944" s="143" t="n"/>
      <c r="C944" s="136" t="n"/>
      <c r="D944" s="143" t="n"/>
      <c r="E944" s="137" t="n"/>
      <c r="G944" s="137" t="n"/>
    </row>
    <row r="945" ht="15" customHeight="1" s="83">
      <c r="A945" s="135" t="n"/>
      <c r="B945" s="143" t="n"/>
      <c r="C945" s="136" t="n"/>
      <c r="D945" s="143" t="n"/>
      <c r="E945" s="137" t="n"/>
      <c r="G945" s="137" t="n"/>
    </row>
    <row r="946" ht="15" customHeight="1" s="83">
      <c r="A946" s="135" t="n"/>
      <c r="B946" s="143" t="n"/>
      <c r="C946" s="136" t="n"/>
      <c r="D946" s="143" t="n"/>
      <c r="E946" s="137" t="n"/>
      <c r="G946" s="137" t="n"/>
    </row>
    <row r="947" ht="15" customHeight="1" s="83">
      <c r="A947" s="135" t="n"/>
      <c r="B947" s="143" t="n"/>
      <c r="C947" s="136" t="n"/>
      <c r="D947" s="143" t="n"/>
      <c r="E947" s="137" t="n"/>
      <c r="G947" s="137" t="n"/>
    </row>
    <row r="948" ht="15" customHeight="1" s="83">
      <c r="A948" s="135" t="n"/>
      <c r="B948" s="143" t="n"/>
      <c r="C948" s="136" t="n"/>
      <c r="D948" s="143" t="n"/>
      <c r="E948" s="137" t="n"/>
      <c r="G948" s="137" t="n"/>
    </row>
    <row r="949" ht="15" customHeight="1" s="83">
      <c r="A949" s="135" t="n"/>
      <c r="B949" s="143" t="n"/>
      <c r="C949" s="136" t="n"/>
      <c r="D949" s="143" t="n"/>
      <c r="E949" s="137" t="n"/>
      <c r="G949" s="137" t="n"/>
    </row>
    <row r="950" ht="15" customHeight="1" s="83">
      <c r="A950" s="135" t="n"/>
      <c r="B950" s="143" t="n"/>
      <c r="C950" s="136" t="n"/>
      <c r="D950" s="143" t="n"/>
      <c r="E950" s="137" t="n"/>
      <c r="G950" s="137" t="n"/>
    </row>
    <row r="951" ht="15" customHeight="1" s="83">
      <c r="A951" s="135" t="n"/>
      <c r="B951" s="143" t="n"/>
      <c r="C951" s="136" t="n"/>
      <c r="D951" s="143" t="n"/>
      <c r="E951" s="137" t="n"/>
      <c r="G951" s="137" t="n"/>
    </row>
    <row r="952" ht="15" customHeight="1" s="83">
      <c r="A952" s="135" t="n"/>
      <c r="B952" s="143" t="n"/>
      <c r="C952" s="136" t="n"/>
      <c r="D952" s="143" t="n"/>
      <c r="E952" s="137" t="n"/>
      <c r="G952" s="137" t="n"/>
    </row>
    <row r="953" ht="15" customHeight="1" s="83">
      <c r="A953" s="135" t="n"/>
      <c r="B953" s="143" t="n"/>
      <c r="C953" s="136" t="n"/>
      <c r="D953" s="143" t="n"/>
      <c r="E953" s="137" t="n"/>
      <c r="G953" s="137" t="n"/>
    </row>
    <row r="954" ht="15" customHeight="1" s="83">
      <c r="A954" s="135" t="n"/>
      <c r="B954" s="143" t="n"/>
      <c r="C954" s="136" t="n"/>
      <c r="D954" s="143" t="n"/>
      <c r="E954" s="137" t="n"/>
      <c r="G954" s="137" t="n"/>
    </row>
    <row r="955" ht="15" customHeight="1" s="83">
      <c r="A955" s="135" t="n"/>
      <c r="B955" s="143" t="n"/>
      <c r="C955" s="136" t="n"/>
      <c r="D955" s="143" t="n"/>
      <c r="E955" s="137" t="n"/>
      <c r="G955" s="137" t="n"/>
    </row>
    <row r="956" ht="15" customHeight="1" s="83">
      <c r="A956" s="135" t="n"/>
      <c r="B956" s="143" t="n"/>
      <c r="C956" s="136" t="n"/>
      <c r="D956" s="143" t="n"/>
      <c r="E956" s="137" t="n"/>
      <c r="G956" s="137" t="n"/>
    </row>
    <row r="957" ht="15" customHeight="1" s="83">
      <c r="A957" s="135" t="n"/>
      <c r="B957" s="143" t="n"/>
      <c r="C957" s="136" t="n"/>
      <c r="D957" s="143" t="n"/>
      <c r="E957" s="137" t="n"/>
      <c r="G957" s="137" t="n"/>
    </row>
    <row r="958" ht="15" customHeight="1" s="83">
      <c r="A958" s="135" t="n"/>
      <c r="B958" s="143" t="n"/>
      <c r="C958" s="136" t="n"/>
      <c r="D958" s="143" t="n"/>
      <c r="E958" s="137" t="n"/>
      <c r="G958" s="137" t="n"/>
    </row>
    <row r="959" ht="15" customHeight="1" s="83">
      <c r="A959" s="135" t="n"/>
      <c r="B959" s="143" t="n"/>
      <c r="C959" s="136" t="n"/>
      <c r="D959" s="143" t="n"/>
      <c r="E959" s="137" t="n"/>
      <c r="G959" s="137" t="n"/>
    </row>
    <row r="960" ht="15" customHeight="1" s="83">
      <c r="A960" s="135" t="n"/>
      <c r="B960" s="143" t="n"/>
      <c r="C960" s="136" t="n"/>
      <c r="D960" s="143" t="n"/>
      <c r="E960" s="137" t="n"/>
      <c r="G960" s="137" t="n"/>
    </row>
    <row r="961" ht="15" customHeight="1" s="83">
      <c r="A961" s="135" t="n"/>
      <c r="B961" s="143" t="n"/>
      <c r="C961" s="136" t="n"/>
      <c r="D961" s="143" t="n"/>
      <c r="E961" s="137" t="n"/>
      <c r="G961" s="137" t="n"/>
    </row>
    <row r="962" ht="15" customHeight="1" s="83">
      <c r="A962" s="135" t="n"/>
      <c r="B962" s="143" t="n"/>
      <c r="C962" s="136" t="n"/>
      <c r="D962" s="143" t="n"/>
      <c r="E962" s="137" t="n"/>
      <c r="G962" s="137" t="n"/>
    </row>
    <row r="963" ht="15" customHeight="1" s="83">
      <c r="A963" s="135" t="n"/>
      <c r="B963" s="143" t="n"/>
      <c r="C963" s="136" t="n"/>
      <c r="D963" s="143" t="n"/>
      <c r="E963" s="137" t="n"/>
      <c r="G963" s="137" t="n"/>
    </row>
    <row r="964" ht="15" customHeight="1" s="83">
      <c r="A964" s="135" t="n"/>
      <c r="B964" s="143" t="n"/>
      <c r="C964" s="136" t="n"/>
      <c r="D964" s="143" t="n"/>
      <c r="E964" s="137" t="n"/>
      <c r="G964" s="137" t="n"/>
    </row>
    <row r="965" ht="15" customHeight="1" s="83">
      <c r="A965" s="135" t="n"/>
      <c r="B965" s="143" t="n"/>
      <c r="C965" s="136" t="n"/>
      <c r="D965" s="143" t="n"/>
      <c r="E965" s="137" t="n"/>
      <c r="G965" s="137" t="n"/>
    </row>
    <row r="966" ht="15" customHeight="1" s="83">
      <c r="A966" s="135" t="n"/>
      <c r="B966" s="143" t="n"/>
      <c r="C966" s="136" t="n"/>
      <c r="D966" s="143" t="n"/>
      <c r="E966" s="137" t="n"/>
      <c r="G966" s="137" t="n"/>
    </row>
    <row r="967" ht="15" customHeight="1" s="83">
      <c r="A967" s="135" t="n"/>
      <c r="B967" s="143" t="n"/>
      <c r="C967" s="136" t="n"/>
      <c r="D967" s="143" t="n"/>
      <c r="E967" s="137" t="n"/>
      <c r="G967" s="137" t="n"/>
    </row>
    <row r="968" ht="15" customHeight="1" s="83">
      <c r="A968" s="135" t="n"/>
      <c r="B968" s="143" t="n"/>
      <c r="C968" s="136" t="n"/>
      <c r="D968" s="143" t="n"/>
      <c r="E968" s="137" t="n"/>
      <c r="G968" s="137" t="n"/>
    </row>
    <row r="969" ht="15" customHeight="1" s="83">
      <c r="A969" s="135" t="n"/>
      <c r="B969" s="143" t="n"/>
      <c r="C969" s="136" t="n"/>
      <c r="D969" s="143" t="n"/>
      <c r="E969" s="137" t="n"/>
      <c r="G969" s="137" t="n"/>
    </row>
    <row r="970" ht="15" customHeight="1" s="83">
      <c r="A970" s="135" t="n"/>
      <c r="B970" s="143" t="n"/>
      <c r="C970" s="136" t="n"/>
      <c r="D970" s="143" t="n"/>
      <c r="E970" s="137" t="n"/>
      <c r="G970" s="137" t="n"/>
    </row>
    <row r="971" ht="15" customHeight="1" s="83">
      <c r="A971" s="135" t="n"/>
      <c r="B971" s="143" t="n"/>
      <c r="C971" s="136" t="n"/>
      <c r="D971" s="143" t="n"/>
      <c r="E971" s="137" t="n"/>
      <c r="G971" s="137" t="n"/>
    </row>
    <row r="972" ht="15" customHeight="1" s="83">
      <c r="A972" s="135" t="n"/>
      <c r="B972" s="143" t="n"/>
      <c r="C972" s="136" t="n"/>
      <c r="D972" s="143" t="n"/>
      <c r="E972" s="137" t="n"/>
      <c r="G972" s="137" t="n"/>
    </row>
    <row r="973" ht="15" customHeight="1" s="83">
      <c r="A973" s="135" t="n"/>
      <c r="B973" s="143" t="n"/>
      <c r="C973" s="136" t="n"/>
      <c r="D973" s="143" t="n"/>
      <c r="E973" s="137" t="n"/>
      <c r="G973" s="137" t="n"/>
    </row>
    <row r="974" ht="15" customHeight="1" s="83">
      <c r="A974" s="135" t="n"/>
      <c r="B974" s="143" t="n"/>
      <c r="C974" s="136" t="n"/>
      <c r="D974" s="143" t="n"/>
      <c r="E974" s="137" t="n"/>
      <c r="G974" s="137" t="n"/>
    </row>
    <row r="975" ht="15" customHeight="1" s="83">
      <c r="A975" s="135" t="n"/>
      <c r="B975" s="143" t="n"/>
      <c r="C975" s="136" t="n"/>
      <c r="D975" s="143" t="n"/>
      <c r="E975" s="137" t="n"/>
      <c r="G975" s="137" t="n"/>
    </row>
    <row r="976" ht="15" customHeight="1" s="83">
      <c r="A976" s="135" t="n"/>
      <c r="B976" s="143" t="n"/>
      <c r="C976" s="136" t="n"/>
      <c r="D976" s="143" t="n"/>
      <c r="E976" s="137" t="n"/>
      <c r="G976" s="137" t="n"/>
    </row>
    <row r="977" ht="15" customHeight="1" s="83">
      <c r="A977" s="135" t="n"/>
      <c r="B977" s="143" t="n"/>
      <c r="C977" s="136" t="n"/>
      <c r="D977" s="143" t="n"/>
      <c r="E977" s="137" t="n"/>
      <c r="G977" s="137" t="n"/>
    </row>
    <row r="978" ht="15" customHeight="1" s="83">
      <c r="A978" s="135" t="n"/>
      <c r="B978" s="143" t="n"/>
      <c r="C978" s="136" t="n"/>
      <c r="D978" s="143" t="n"/>
      <c r="E978" s="137" t="n"/>
      <c r="G978" s="137" t="n"/>
    </row>
    <row r="979" ht="15" customHeight="1" s="83">
      <c r="A979" s="135" t="n"/>
      <c r="B979" s="143" t="n"/>
      <c r="C979" s="136" t="n"/>
      <c r="D979" s="143" t="n"/>
      <c r="E979" s="137" t="n"/>
      <c r="G979" s="137" t="n"/>
    </row>
    <row r="980" ht="15" customHeight="1" s="83">
      <c r="A980" s="135" t="n"/>
      <c r="B980" s="143" t="n"/>
      <c r="C980" s="136" t="n"/>
      <c r="D980" s="143" t="n"/>
      <c r="E980" s="137" t="n"/>
      <c r="G980" s="137" t="n"/>
    </row>
    <row r="981" ht="15" customHeight="1" s="83">
      <c r="A981" s="135" t="n"/>
      <c r="B981" s="143" t="n"/>
      <c r="C981" s="136" t="n"/>
      <c r="D981" s="143" t="n"/>
      <c r="E981" s="137" t="n"/>
      <c r="G981" s="137" t="n"/>
    </row>
    <row r="982" ht="15" customHeight="1" s="83">
      <c r="A982" s="135" t="n"/>
      <c r="B982" s="143" t="n"/>
      <c r="C982" s="136" t="n"/>
      <c r="D982" s="143" t="n"/>
      <c r="E982" s="137" t="n"/>
      <c r="G982" s="137" t="n"/>
    </row>
    <row r="983" ht="15" customHeight="1" s="83">
      <c r="A983" s="135" t="n"/>
      <c r="B983" s="143" t="n"/>
      <c r="C983" s="136" t="n"/>
      <c r="D983" s="143" t="n"/>
      <c r="E983" s="137" t="n"/>
      <c r="G983" s="137" t="n"/>
    </row>
    <row r="984" ht="15" customHeight="1" s="83">
      <c r="A984" s="135" t="n"/>
      <c r="B984" s="143" t="n"/>
      <c r="C984" s="136" t="n"/>
      <c r="D984" s="143" t="n"/>
      <c r="E984" s="137" t="n"/>
      <c r="G984" s="137" t="n"/>
    </row>
    <row r="985" ht="15" customHeight="1" s="83">
      <c r="A985" s="135" t="n"/>
      <c r="B985" s="143" t="n"/>
      <c r="C985" s="136" t="n"/>
      <c r="D985" s="143" t="n"/>
      <c r="E985" s="137" t="n"/>
      <c r="G985" s="137" t="n"/>
    </row>
    <row r="986" ht="15" customHeight="1" s="83">
      <c r="A986" s="135" t="n"/>
      <c r="B986" s="143" t="n"/>
      <c r="C986" s="136" t="n"/>
      <c r="D986" s="143" t="n"/>
      <c r="E986" s="137" t="n"/>
      <c r="G986" s="137" t="n"/>
    </row>
    <row r="987" ht="15" customHeight="1" s="83">
      <c r="A987" s="135" t="n"/>
      <c r="B987" s="143" t="n"/>
      <c r="C987" s="136" t="n"/>
      <c r="D987" s="143" t="n"/>
      <c r="E987" s="137" t="n"/>
      <c r="G987" s="137" t="n"/>
    </row>
    <row r="988" ht="15" customHeight="1" s="83">
      <c r="A988" s="135" t="n"/>
      <c r="B988" s="143" t="n"/>
      <c r="C988" s="136" t="n"/>
      <c r="D988" s="143" t="n"/>
      <c r="E988" s="137" t="n"/>
      <c r="G988" s="137" t="n"/>
    </row>
    <row r="989" ht="15" customHeight="1" s="83">
      <c r="A989" s="135" t="n"/>
      <c r="B989" s="143" t="n"/>
      <c r="C989" s="136" t="n"/>
      <c r="D989" s="143" t="n"/>
      <c r="E989" s="137" t="n"/>
      <c r="G989" s="137" t="n"/>
    </row>
    <row r="990" ht="15" customHeight="1" s="83">
      <c r="A990" s="135" t="n"/>
      <c r="B990" s="143" t="n"/>
      <c r="C990" s="136" t="n"/>
      <c r="D990" s="143" t="n"/>
      <c r="E990" s="137" t="n"/>
      <c r="G990" s="137" t="n"/>
    </row>
    <row r="991" ht="15" customHeight="1" s="83">
      <c r="A991" s="135" t="n"/>
      <c r="B991" s="143" t="n"/>
      <c r="C991" s="136" t="n"/>
      <c r="D991" s="143" t="n"/>
      <c r="E991" s="137" t="n"/>
      <c r="G991" s="137" t="n"/>
    </row>
    <row r="992" ht="15" customHeight="1" s="83">
      <c r="A992" s="135" t="n"/>
      <c r="B992" s="143" t="n"/>
      <c r="C992" s="136" t="n"/>
      <c r="D992" s="143" t="n"/>
      <c r="E992" s="137" t="n"/>
      <c r="G992" s="137" t="n"/>
    </row>
    <row r="993" ht="15" customHeight="1" s="83">
      <c r="A993" s="135" t="n"/>
      <c r="B993" s="143" t="n"/>
      <c r="C993" s="136" t="n"/>
      <c r="D993" s="143" t="n"/>
      <c r="E993" s="137" t="n"/>
      <c r="G993" s="137" t="n"/>
    </row>
    <row r="994" ht="15" customHeight="1" s="83">
      <c r="A994" s="135" t="n"/>
      <c r="B994" s="143" t="n"/>
      <c r="C994" s="136" t="n"/>
      <c r="D994" s="143" t="n"/>
      <c r="E994" s="137" t="n"/>
      <c r="G994" s="137" t="n"/>
    </row>
    <row r="995" ht="15" customHeight="1" s="83">
      <c r="A995" s="135" t="n"/>
      <c r="B995" s="143" t="n"/>
      <c r="C995" s="136" t="n"/>
      <c r="D995" s="143" t="n"/>
      <c r="E995" s="137" t="n"/>
      <c r="G995" s="137" t="n"/>
    </row>
    <row r="996" ht="15" customHeight="1" s="83">
      <c r="A996" s="135" t="n"/>
      <c r="B996" s="143" t="n"/>
      <c r="C996" s="136" t="n"/>
      <c r="D996" s="143" t="n"/>
      <c r="E996" s="137" t="n"/>
      <c r="G996" s="137" t="n"/>
    </row>
    <row r="997" ht="15" customHeight="1" s="83">
      <c r="A997" s="135" t="n"/>
      <c r="B997" s="143" t="n"/>
      <c r="C997" s="136" t="n"/>
      <c r="D997" s="143" t="n"/>
      <c r="E997" s="137" t="n"/>
      <c r="G997" s="137" t="n"/>
    </row>
    <row r="998" ht="15" customHeight="1" s="83">
      <c r="A998" s="135" t="n"/>
      <c r="B998" s="143" t="n"/>
      <c r="C998" s="136" t="n"/>
      <c r="D998" s="143" t="n"/>
      <c r="E998" s="137" t="n"/>
      <c r="G998" s="137" t="n"/>
    </row>
    <row r="999" ht="15" customHeight="1" s="83">
      <c r="A999" s="135" t="n"/>
      <c r="B999" s="143" t="n"/>
      <c r="C999" s="136" t="n"/>
      <c r="D999" s="143" t="n"/>
      <c r="E999" s="137" t="n"/>
      <c r="G999" s="137" t="n"/>
    </row>
    <row r="1000" ht="15" customHeight="1" s="83">
      <c r="A1000" s="135" t="n"/>
      <c r="B1000" s="143" t="n"/>
      <c r="C1000" s="136" t="n"/>
      <c r="D1000" s="143" t="n"/>
      <c r="E1000" s="137" t="n"/>
      <c r="G1000" s="137" t="n"/>
    </row>
    <row r="1001" ht="15" customHeight="1" s="83">
      <c r="A1001" s="135" t="n"/>
      <c r="B1001" s="143" t="n"/>
      <c r="C1001" s="136" t="n"/>
      <c r="D1001" s="143" t="n"/>
      <c r="E1001" s="137" t="n"/>
      <c r="G1001" s="137" t="n"/>
    </row>
    <row r="1002" ht="15" customHeight="1" s="83">
      <c r="A1002" s="135" t="n"/>
      <c r="B1002" s="143" t="n"/>
      <c r="C1002" s="136" t="n"/>
      <c r="D1002" s="143" t="n"/>
      <c r="E1002" s="137" t="n"/>
      <c r="G1002" s="137" t="n"/>
    </row>
    <row r="1003" ht="15" customHeight="1" s="83">
      <c r="A1003" s="135" t="n"/>
      <c r="B1003" s="143" t="n"/>
      <c r="C1003" s="136" t="n"/>
      <c r="D1003" s="143" t="n"/>
      <c r="E1003" s="137" t="n"/>
      <c r="G1003" s="137" t="n"/>
    </row>
    <row r="1004" ht="15" customHeight="1" s="83">
      <c r="A1004" s="135" t="n"/>
      <c r="B1004" s="135" t="n"/>
      <c r="C1004" s="135" t="n"/>
      <c r="D1004" s="135" t="n"/>
    </row>
    <row r="1005"/>
    <row r="1006" ht="19.5" customHeight="1" s="83">
      <c r="A1006" s="120" t="inlineStr">
        <is>
          <t>Birikimli tutar ve hak kaybı otomatik hesaplanır; dönem bilgilerini sarı hücrelere girin.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G6">
    <cfRule type="cellIs" rank="0" priority="2" equalAverage="0" operator="greaterThan" aboveAverage="0" dxfId="1" text="" percent="0" bottom="0">
      <formula>0</formula>
    </cfRule>
    <cfRule type="cellIs" rank="0" priority="3" equalAverage="0" operator="lessThanOrEqual" aboveAverage="0" dxfId="0" text="" percent="0" bottom="0">
      <formula>0</formula>
    </cfRule>
  </conditionalFormatting>
  <conditionalFormatting sqref="F6">
    <cfRule type="cellIs" rank="0" priority="4" equalAverage="0" operator="greaterThan" aboveAverage="0" dxfId="10" text="" percent="0" bottom="0">
      <formula>30</formula>
    </cfRule>
  </conditionalFormatting>
  <conditionalFormatting sqref="G7">
    <cfRule type="cellIs" rank="0" priority="5" equalAverage="0" operator="greaterThan" aboveAverage="0" dxfId="1" text="" percent="0" bottom="0">
      <formula>0</formula>
    </cfRule>
    <cfRule type="cellIs" rank="0" priority="6" equalAverage="0" operator="lessThanOrEqual" aboveAverage="0" dxfId="0" text="" percent="0" bottom="0">
      <formula>0</formula>
    </cfRule>
  </conditionalFormatting>
  <conditionalFormatting sqref="F7">
    <cfRule type="cellIs" rank="0" priority="7" equalAverage="0" operator="greaterThan" aboveAverage="0" dxfId="10" text="" percent="0" bottom="0">
      <formula>30</formula>
    </cfRule>
  </conditionalFormatting>
  <conditionalFormatting sqref="G8">
    <cfRule type="cellIs" rank="0" priority="8" equalAverage="0" operator="greaterThan" aboveAverage="0" dxfId="1" text="" percent="0" bottom="0">
      <formula>0</formula>
    </cfRule>
    <cfRule type="cellIs" rank="0" priority="9" equalAverage="0" operator="lessThanOrEqual" aboveAverage="0" dxfId="0" text="" percent="0" bottom="0">
      <formula>0</formula>
    </cfRule>
  </conditionalFormatting>
  <conditionalFormatting sqref="F8">
    <cfRule type="cellIs" rank="0" priority="10" equalAverage="0" operator="greaterThan" aboveAverage="0" dxfId="10" text="" percent="0" bottom="0">
      <formula>30</formula>
    </cfRule>
  </conditionalFormatting>
  <conditionalFormatting sqref="G9">
    <cfRule type="cellIs" rank="0" priority="11" equalAverage="0" operator="greaterThan" aboveAverage="0" dxfId="1" text="" percent="0" bottom="0">
      <formula>0</formula>
    </cfRule>
    <cfRule type="cellIs" rank="0" priority="12" equalAverage="0" operator="lessThanOrEqual" aboveAverage="0" dxfId="0" text="" percent="0" bottom="0">
      <formula>0</formula>
    </cfRule>
  </conditionalFormatting>
  <conditionalFormatting sqref="F9">
    <cfRule type="cellIs" rank="0" priority="13" equalAverage="0" operator="greaterThan" aboveAverage="0" dxfId="10" text="" percent="0" bottom="0">
      <formula>30</formula>
    </cfRule>
  </conditionalFormatting>
  <conditionalFormatting sqref="G10">
    <cfRule type="cellIs" rank="0" priority="14" equalAverage="0" operator="greaterThan" aboveAverage="0" dxfId="1" text="" percent="0" bottom="0">
      <formula>0</formula>
    </cfRule>
    <cfRule type="cellIs" rank="0" priority="15" equalAverage="0" operator="lessThanOrEqual" aboveAverage="0" dxfId="0" text="" percent="0" bottom="0">
      <formula>0</formula>
    </cfRule>
  </conditionalFormatting>
  <conditionalFormatting sqref="F10">
    <cfRule type="cellIs" rank="0" priority="16" equalAverage="0" operator="greaterThan" aboveAverage="0" dxfId="10" text="" percent="0" bottom="0">
      <formula>30</formula>
    </cfRule>
  </conditionalFormatting>
  <conditionalFormatting sqref="G11">
    <cfRule type="cellIs" rank="0" priority="17" equalAverage="0" operator="greaterThan" aboveAverage="0" dxfId="1" text="" percent="0" bottom="0">
      <formula>0</formula>
    </cfRule>
    <cfRule type="cellIs" rank="0" priority="18" equalAverage="0" operator="lessThanOrEqual" aboveAverage="0" dxfId="0" text="" percent="0" bottom="0">
      <formula>0</formula>
    </cfRule>
  </conditionalFormatting>
  <conditionalFormatting sqref="F11">
    <cfRule type="cellIs" rank="0" priority="19" equalAverage="0" operator="greaterThan" aboveAverage="0" dxfId="10" text="" percent="0" bottom="0">
      <formula>30</formula>
    </cfRule>
  </conditionalFormatting>
  <conditionalFormatting sqref="G12">
    <cfRule type="cellIs" rank="0" priority="20" equalAverage="0" operator="greaterThan" aboveAverage="0" dxfId="1" text="" percent="0" bottom="0">
      <formula>0</formula>
    </cfRule>
    <cfRule type="cellIs" rank="0" priority="21" equalAverage="0" operator="lessThanOrEqual" aboveAverage="0" dxfId="0" text="" percent="0" bottom="0">
      <formula>0</formula>
    </cfRule>
  </conditionalFormatting>
  <conditionalFormatting sqref="F12">
    <cfRule type="cellIs" rank="0" priority="22" equalAverage="0" operator="greaterThan" aboveAverage="0" dxfId="10" text="" percent="0" bottom="0">
      <formula>30</formula>
    </cfRule>
  </conditionalFormatting>
  <conditionalFormatting sqref="G13">
    <cfRule type="cellIs" rank="0" priority="23" equalAverage="0" operator="greaterThan" aboveAverage="0" dxfId="1" text="" percent="0" bottom="0">
      <formula>0</formula>
    </cfRule>
    <cfRule type="cellIs" rank="0" priority="24" equalAverage="0" operator="lessThanOrEqual" aboveAverage="0" dxfId="0" text="" percent="0" bottom="0">
      <formula>0</formula>
    </cfRule>
  </conditionalFormatting>
  <conditionalFormatting sqref="F13">
    <cfRule type="cellIs" rank="0" priority="25" equalAverage="0" operator="greaterThan" aboveAverage="0" dxfId="10" text="" percent="0" bottom="0">
      <formula>30</formula>
    </cfRule>
  </conditionalFormatting>
  <conditionalFormatting sqref="G14">
    <cfRule type="cellIs" rank="0" priority="26" equalAverage="0" operator="greaterThan" aboveAverage="0" dxfId="1" text="" percent="0" bottom="0">
      <formula>0</formula>
    </cfRule>
    <cfRule type="cellIs" rank="0" priority="27" equalAverage="0" operator="lessThanOrEqual" aboveAverage="0" dxfId="0" text="" percent="0" bottom="0">
      <formula>0</formula>
    </cfRule>
  </conditionalFormatting>
  <conditionalFormatting sqref="F14">
    <cfRule type="cellIs" rank="0" priority="28" equalAverage="0" operator="greaterThan" aboveAverage="0" dxfId="10" text="" percent="0" bottom="0">
      <formula>30</formula>
    </cfRule>
  </conditionalFormatting>
  <conditionalFormatting sqref="G15">
    <cfRule type="cellIs" rank="0" priority="29" equalAverage="0" operator="greaterThan" aboveAverage="0" dxfId="1" text="" percent="0" bottom="0">
      <formula>0</formula>
    </cfRule>
    <cfRule type="cellIs" rank="0" priority="30" equalAverage="0" operator="lessThanOrEqual" aboveAverage="0" dxfId="0" text="" percent="0" bottom="0">
      <formula>0</formula>
    </cfRule>
  </conditionalFormatting>
  <conditionalFormatting sqref="F15">
    <cfRule type="cellIs" rank="0" priority="31" equalAverage="0" operator="greaterThan" aboveAverage="0" dxfId="10" text="" percent="0" bottom="0">
      <formula>30</formula>
    </cfRule>
  </conditionalFormatting>
  <conditionalFormatting sqref="G16">
    <cfRule type="cellIs" rank="0" priority="32" equalAverage="0" operator="greaterThan" aboveAverage="0" dxfId="1" text="" percent="0" bottom="0">
      <formula>0</formula>
    </cfRule>
    <cfRule type="cellIs" rank="0" priority="33" equalAverage="0" operator="lessThanOrEqual" aboveAverage="0" dxfId="0" text="" percent="0" bottom="0">
      <formula>0</formula>
    </cfRule>
  </conditionalFormatting>
  <conditionalFormatting sqref="F16">
    <cfRule type="cellIs" rank="0" priority="34" equalAverage="0" operator="greaterThan" aboveAverage="0" dxfId="10" text="" percent="0" bottom="0">
      <formula>30</formula>
    </cfRule>
  </conditionalFormatting>
  <conditionalFormatting sqref="G17">
    <cfRule type="cellIs" rank="0" priority="35" equalAverage="0" operator="greaterThan" aboveAverage="0" dxfId="1" text="" percent="0" bottom="0">
      <formula>0</formula>
    </cfRule>
    <cfRule type="cellIs" rank="0" priority="36" equalAverage="0" operator="lessThanOrEqual" aboveAverage="0" dxfId="0" text="" percent="0" bottom="0">
      <formula>0</formula>
    </cfRule>
  </conditionalFormatting>
  <conditionalFormatting sqref="F17">
    <cfRule type="cellIs" rank="0" priority="37" equalAverage="0" operator="greaterThan" aboveAverage="0" dxfId="10" text="" percent="0" bottom="0">
      <formula>30</formula>
    </cfRule>
  </conditionalFormatting>
  <conditionalFormatting sqref="G18">
    <cfRule type="cellIs" rank="0" priority="38" equalAverage="0" operator="greaterThan" aboveAverage="0" dxfId="1" text="" percent="0" bottom="0">
      <formula>0</formula>
    </cfRule>
    <cfRule type="cellIs" rank="0" priority="39" equalAverage="0" operator="lessThanOrEqual" aboveAverage="0" dxfId="0" text="" percent="0" bottom="0">
      <formula>0</formula>
    </cfRule>
  </conditionalFormatting>
  <conditionalFormatting sqref="F18">
    <cfRule type="cellIs" rank="0" priority="40" equalAverage="0" operator="greaterThan" aboveAverage="0" dxfId="10" text="" percent="0" bottom="0">
      <formula>30</formula>
    </cfRule>
  </conditionalFormatting>
  <conditionalFormatting sqref="G19">
    <cfRule type="cellIs" rank="0" priority="41" equalAverage="0" operator="greaterThan" aboveAverage="0" dxfId="1" text="" percent="0" bottom="0">
      <formula>0</formula>
    </cfRule>
    <cfRule type="cellIs" rank="0" priority="42" equalAverage="0" operator="lessThanOrEqual" aboveAverage="0" dxfId="0" text="" percent="0" bottom="0">
      <formula>0</formula>
    </cfRule>
  </conditionalFormatting>
  <conditionalFormatting sqref="F19">
    <cfRule type="cellIs" rank="0" priority="43" equalAverage="0" operator="greaterThan" aboveAverage="0" dxfId="10" text="" percent="0" bottom="0">
      <formula>30</formula>
    </cfRule>
  </conditionalFormatting>
  <conditionalFormatting sqref="G20">
    <cfRule type="cellIs" rank="0" priority="44" equalAverage="0" operator="greaterThan" aboveAverage="0" dxfId="1" text="" percent="0" bottom="0">
      <formula>0</formula>
    </cfRule>
    <cfRule type="cellIs" rank="0" priority="45" equalAverage="0" operator="lessThanOrEqual" aboveAverage="0" dxfId="0" text="" percent="0" bottom="0">
      <formula>0</formula>
    </cfRule>
  </conditionalFormatting>
  <conditionalFormatting sqref="F20">
    <cfRule type="cellIs" rank="0" priority="46" equalAverage="0" operator="greaterThan" aboveAverage="0" dxfId="10" text="" percent="0" bottom="0">
      <formula>30</formula>
    </cfRule>
  </conditionalFormatting>
  <conditionalFormatting sqref="G21">
    <cfRule type="cellIs" rank="0" priority="47" equalAverage="0" operator="greaterThan" aboveAverage="0" dxfId="1" text="" percent="0" bottom="0">
      <formula>0</formula>
    </cfRule>
    <cfRule type="cellIs" rank="0" priority="48" equalAverage="0" operator="lessThanOrEqual" aboveAverage="0" dxfId="0" text="" percent="0" bottom="0">
      <formula>0</formula>
    </cfRule>
  </conditionalFormatting>
  <conditionalFormatting sqref="F21">
    <cfRule type="cellIs" rank="0" priority="49" equalAverage="0" operator="greaterThan" aboveAverage="0" dxfId="10" text="" percent="0" bottom="0">
      <formula>30</formula>
    </cfRule>
  </conditionalFormatting>
  <conditionalFormatting sqref="G22">
    <cfRule type="cellIs" rank="0" priority="50" equalAverage="0" operator="greaterThan" aboveAverage="0" dxfId="1" text="" percent="0" bottom="0">
      <formula>0</formula>
    </cfRule>
    <cfRule type="cellIs" rank="0" priority="51" equalAverage="0" operator="lessThanOrEqual" aboveAverage="0" dxfId="0" text="" percent="0" bottom="0">
      <formula>0</formula>
    </cfRule>
  </conditionalFormatting>
  <conditionalFormatting sqref="F22">
    <cfRule type="cellIs" rank="0" priority="52" equalAverage="0" operator="greaterThan" aboveAverage="0" dxfId="10" text="" percent="0" bottom="0">
      <formula>30</formula>
    </cfRule>
  </conditionalFormatting>
  <conditionalFormatting sqref="G23">
    <cfRule type="cellIs" rank="0" priority="53" equalAverage="0" operator="greaterThan" aboveAverage="0" dxfId="1" text="" percent="0" bottom="0">
      <formula>0</formula>
    </cfRule>
    <cfRule type="cellIs" rank="0" priority="54" equalAverage="0" operator="lessThanOrEqual" aboveAverage="0" dxfId="0" text="" percent="0" bottom="0">
      <formula>0</formula>
    </cfRule>
  </conditionalFormatting>
  <conditionalFormatting sqref="F23">
    <cfRule type="cellIs" rank="0" priority="55" equalAverage="0" operator="greaterThan" aboveAverage="0" dxfId="10" text="" percent="0" bottom="0">
      <formula>30</formula>
    </cfRule>
  </conditionalFormatting>
  <conditionalFormatting sqref="G24">
    <cfRule type="cellIs" rank="0" priority="56" equalAverage="0" operator="greaterThan" aboveAverage="0" dxfId="1" text="" percent="0" bottom="0">
      <formula>0</formula>
    </cfRule>
    <cfRule type="cellIs" rank="0" priority="57" equalAverage="0" operator="lessThanOrEqual" aboveAverage="0" dxfId="0" text="" percent="0" bottom="0">
      <formula>0</formula>
    </cfRule>
  </conditionalFormatting>
  <conditionalFormatting sqref="F24">
    <cfRule type="cellIs" rank="0" priority="58" equalAverage="0" operator="greaterThan" aboveAverage="0" dxfId="10" text="" percent="0" bottom="0">
      <formula>30</formula>
    </cfRule>
  </conditionalFormatting>
  <conditionalFormatting sqref="G25">
    <cfRule type="cellIs" rank="0" priority="59" equalAverage="0" operator="greaterThan" aboveAverage="0" dxfId="1" text="" percent="0" bottom="0">
      <formula>0</formula>
    </cfRule>
    <cfRule type="cellIs" rank="0" priority="60" equalAverage="0" operator="lessThanOrEqual" aboveAverage="0" dxfId="0" text="" percent="0" bottom="0">
      <formula>0</formula>
    </cfRule>
  </conditionalFormatting>
  <conditionalFormatting sqref="F25">
    <cfRule type="cellIs" rank="0" priority="61" equalAverage="0" operator="greaterThan" aboveAverage="0" dxfId="10" text="" percent="0" bottom="0">
      <formula>30</formula>
    </cfRule>
  </conditionalFormatting>
  <conditionalFormatting sqref="G26">
    <cfRule type="cellIs" rank="0" priority="62" equalAverage="0" operator="greaterThan" aboveAverage="0" dxfId="1" text="" percent="0" bottom="0">
      <formula>0</formula>
    </cfRule>
    <cfRule type="cellIs" rank="0" priority="63" equalAverage="0" operator="lessThanOrEqual" aboveAverage="0" dxfId="0" text="" percent="0" bottom="0">
      <formula>0</formula>
    </cfRule>
  </conditionalFormatting>
  <conditionalFormatting sqref="F26">
    <cfRule type="cellIs" rank="0" priority="64" equalAverage="0" operator="greaterThan" aboveAverage="0" dxfId="10" text="" percent="0" bottom="0">
      <formula>30</formula>
    </cfRule>
  </conditionalFormatting>
  <conditionalFormatting sqref="G27">
    <cfRule type="cellIs" rank="0" priority="65" equalAverage="0" operator="greaterThan" aboveAverage="0" dxfId="1" text="" percent="0" bottom="0">
      <formula>0</formula>
    </cfRule>
    <cfRule type="cellIs" rank="0" priority="66" equalAverage="0" operator="lessThanOrEqual" aboveAverage="0" dxfId="0" text="" percent="0" bottom="0">
      <formula>0</formula>
    </cfRule>
  </conditionalFormatting>
  <conditionalFormatting sqref="F27">
    <cfRule type="cellIs" rank="0" priority="67" equalAverage="0" operator="greaterThan" aboveAverage="0" dxfId="10" text="" percent="0" bottom="0">
      <formula>30</formula>
    </cfRule>
  </conditionalFormatting>
  <conditionalFormatting sqref="G28">
    <cfRule type="cellIs" rank="0" priority="68" equalAverage="0" operator="greaterThan" aboveAverage="0" dxfId="1" text="" percent="0" bottom="0">
      <formula>0</formula>
    </cfRule>
    <cfRule type="cellIs" rank="0" priority="69" equalAverage="0" operator="lessThanOrEqual" aboveAverage="0" dxfId="0" text="" percent="0" bottom="0">
      <formula>0</formula>
    </cfRule>
  </conditionalFormatting>
  <conditionalFormatting sqref="F28">
    <cfRule type="cellIs" rank="0" priority="70" equalAverage="0" operator="greaterThan" aboveAverage="0" dxfId="10" text="" percent="0" bottom="0">
      <formula>30</formula>
    </cfRule>
  </conditionalFormatting>
  <conditionalFormatting sqref="G29">
    <cfRule type="cellIs" rank="0" priority="71" equalAverage="0" operator="greaterThan" aboveAverage="0" dxfId="1" text="" percent="0" bottom="0">
      <formula>0</formula>
    </cfRule>
    <cfRule type="cellIs" rank="0" priority="72" equalAverage="0" operator="lessThanOrEqual" aboveAverage="0" dxfId="0" text="" percent="0" bottom="0">
      <formula>0</formula>
    </cfRule>
  </conditionalFormatting>
  <conditionalFormatting sqref="F29">
    <cfRule type="cellIs" rank="0" priority="73" equalAverage="0" operator="greaterThan" aboveAverage="0" dxfId="10" text="" percent="0" bottom="0">
      <formula>30</formula>
    </cfRule>
  </conditionalFormatting>
  <conditionalFormatting sqref="G30">
    <cfRule type="cellIs" rank="0" priority="74" equalAverage="0" operator="greaterThan" aboveAverage="0" dxfId="1" text="" percent="0" bottom="0">
      <formula>0</formula>
    </cfRule>
    <cfRule type="cellIs" rank="0" priority="75" equalAverage="0" operator="lessThanOrEqual" aboveAverage="0" dxfId="0" text="" percent="0" bottom="0">
      <formula>0</formula>
    </cfRule>
  </conditionalFormatting>
  <conditionalFormatting sqref="F30">
    <cfRule type="cellIs" rank="0" priority="76" equalAverage="0" operator="greaterThan" aboveAverage="0" dxfId="10" text="" percent="0" bottom="0">
      <formula>30</formula>
    </cfRule>
  </conditionalFormatting>
  <conditionalFormatting sqref="G31">
    <cfRule type="cellIs" rank="0" priority="77" equalAverage="0" operator="greaterThan" aboveAverage="0" dxfId="1" text="" percent="0" bottom="0">
      <formula>0</formula>
    </cfRule>
    <cfRule type="cellIs" rank="0" priority="78" equalAverage="0" operator="lessThanOrEqual" aboveAverage="0" dxfId="0" text="" percent="0" bottom="0">
      <formula>0</formula>
    </cfRule>
  </conditionalFormatting>
  <conditionalFormatting sqref="F31">
    <cfRule type="cellIs" rank="0" priority="79" equalAverage="0" operator="greaterThan" aboveAverage="0" dxfId="10" text="" percent="0" bottom="0">
      <formula>30</formula>
    </cfRule>
  </conditionalFormatting>
  <conditionalFormatting sqref="G32">
    <cfRule type="cellIs" rank="0" priority="80" equalAverage="0" operator="greaterThan" aboveAverage="0" dxfId="1" text="" percent="0" bottom="0">
      <formula>0</formula>
    </cfRule>
    <cfRule type="cellIs" rank="0" priority="81" equalAverage="0" operator="lessThanOrEqual" aboveAverage="0" dxfId="0" text="" percent="0" bottom="0">
      <formula>0</formula>
    </cfRule>
  </conditionalFormatting>
  <conditionalFormatting sqref="F32">
    <cfRule type="cellIs" rank="0" priority="82" equalAverage="0" operator="greaterThan" aboveAverage="0" dxfId="10" text="" percent="0" bottom="0">
      <formula>30</formula>
    </cfRule>
  </conditionalFormatting>
  <conditionalFormatting sqref="G33">
    <cfRule type="cellIs" rank="0" priority="83" equalAverage="0" operator="greaterThan" aboveAverage="0" dxfId="1" text="" percent="0" bottom="0">
      <formula>0</formula>
    </cfRule>
    <cfRule type="cellIs" rank="0" priority="84" equalAverage="0" operator="lessThanOrEqual" aboveAverage="0" dxfId="0" text="" percent="0" bottom="0">
      <formula>0</formula>
    </cfRule>
  </conditionalFormatting>
  <conditionalFormatting sqref="F33">
    <cfRule type="cellIs" rank="0" priority="85" equalAverage="0" operator="greaterThan" aboveAverage="0" dxfId="10" text="" percent="0" bottom="0">
      <formula>30</formula>
    </cfRule>
  </conditionalFormatting>
  <conditionalFormatting sqref="G34">
    <cfRule type="cellIs" rank="0" priority="86" equalAverage="0" operator="greaterThan" aboveAverage="0" dxfId="1" text="" percent="0" bottom="0">
      <formula>0</formula>
    </cfRule>
    <cfRule type="cellIs" rank="0" priority="87" equalAverage="0" operator="lessThanOrEqual" aboveAverage="0" dxfId="0" text="" percent="0" bottom="0">
      <formula>0</formula>
    </cfRule>
  </conditionalFormatting>
  <conditionalFormatting sqref="F34">
    <cfRule type="cellIs" rank="0" priority="88" equalAverage="0" operator="greaterThan" aboveAverage="0" dxfId="10" text="" percent="0" bottom="0">
      <formula>30</formula>
    </cfRule>
  </conditionalFormatting>
  <conditionalFormatting sqref="G35">
    <cfRule type="cellIs" rank="0" priority="89" equalAverage="0" operator="greaterThan" aboveAverage="0" dxfId="1" text="" percent="0" bottom="0">
      <formula>0</formula>
    </cfRule>
    <cfRule type="cellIs" rank="0" priority="90" equalAverage="0" operator="lessThanOrEqual" aboveAverage="0" dxfId="0" text="" percent="0" bottom="0">
      <formula>0</formula>
    </cfRule>
  </conditionalFormatting>
  <conditionalFormatting sqref="F35">
    <cfRule type="cellIs" rank="0" priority="91" equalAverage="0" operator="greaterThan" aboveAverage="0" dxfId="10" text="" percent="0" bottom="0">
      <formula>30</formula>
    </cfRule>
  </conditionalFormatting>
  <conditionalFormatting sqref="G36">
    <cfRule type="cellIs" rank="0" priority="92" equalAverage="0" operator="greaterThan" aboveAverage="0" dxfId="1" text="" percent="0" bottom="0">
      <formula>0</formula>
    </cfRule>
    <cfRule type="cellIs" rank="0" priority="93" equalAverage="0" operator="lessThanOrEqual" aboveAverage="0" dxfId="0" text="" percent="0" bottom="0">
      <formula>0</formula>
    </cfRule>
  </conditionalFormatting>
  <conditionalFormatting sqref="F36">
    <cfRule type="cellIs" rank="0" priority="94" equalAverage="0" operator="greaterThan" aboveAverage="0" dxfId="10" text="" percent="0" bottom="0">
      <formula>30</formula>
    </cfRule>
  </conditionalFormatting>
  <conditionalFormatting sqref="G37">
    <cfRule type="cellIs" rank="0" priority="95" equalAverage="0" operator="greaterThan" aboveAverage="0" dxfId="1" text="" percent="0" bottom="0">
      <formula>0</formula>
    </cfRule>
    <cfRule type="cellIs" rank="0" priority="96" equalAverage="0" operator="lessThanOrEqual" aboveAverage="0" dxfId="0" text="" percent="0" bottom="0">
      <formula>0</formula>
    </cfRule>
  </conditionalFormatting>
  <conditionalFormatting sqref="F37">
    <cfRule type="cellIs" rank="0" priority="97" equalAverage="0" operator="greaterThan" aboveAverage="0" dxfId="10" text="" percent="0" bottom="0">
      <formula>30</formula>
    </cfRule>
  </conditionalFormatting>
  <conditionalFormatting sqref="G38">
    <cfRule type="cellIs" rank="0" priority="98" equalAverage="0" operator="greaterThan" aboveAverage="0" dxfId="1" text="" percent="0" bottom="0">
      <formula>0</formula>
    </cfRule>
    <cfRule type="cellIs" rank="0" priority="99" equalAverage="0" operator="lessThanOrEqual" aboveAverage="0" dxfId="0" text="" percent="0" bottom="0">
      <formula>0</formula>
    </cfRule>
  </conditionalFormatting>
  <conditionalFormatting sqref="F38">
    <cfRule type="cellIs" rank="0" priority="100" equalAverage="0" operator="greaterThan" aboveAverage="0" dxfId="10" text="" percent="0" bottom="0">
      <formula>30</formula>
    </cfRule>
  </conditionalFormatting>
  <conditionalFormatting sqref="G39">
    <cfRule type="cellIs" rank="0" priority="101" equalAverage="0" operator="greaterThan" aboveAverage="0" dxfId="1" text="" percent="0" bottom="0">
      <formula>0</formula>
    </cfRule>
    <cfRule type="cellIs" rank="0" priority="102" equalAverage="0" operator="lessThanOrEqual" aboveAverage="0" dxfId="0" text="" percent="0" bottom="0">
      <formula>0</formula>
    </cfRule>
  </conditionalFormatting>
  <conditionalFormatting sqref="F39">
    <cfRule type="cellIs" rank="0" priority="103" equalAverage="0" operator="greaterThan" aboveAverage="0" dxfId="10" text="" percent="0" bottom="0">
      <formula>30</formula>
    </cfRule>
  </conditionalFormatting>
  <conditionalFormatting sqref="G40">
    <cfRule type="cellIs" rank="0" priority="104" equalAverage="0" operator="greaterThan" aboveAverage="0" dxfId="1" text="" percent="0" bottom="0">
      <formula>0</formula>
    </cfRule>
    <cfRule type="cellIs" rank="0" priority="105" equalAverage="0" operator="lessThanOrEqual" aboveAverage="0" dxfId="0" text="" percent="0" bottom="0">
      <formula>0</formula>
    </cfRule>
  </conditionalFormatting>
  <conditionalFormatting sqref="F40">
    <cfRule type="cellIs" rank="0" priority="106" equalAverage="0" operator="greaterThan" aboveAverage="0" dxfId="10" text="" percent="0" bottom="0">
      <formula>30</formula>
    </cfRule>
  </conditionalFormatting>
  <conditionalFormatting sqref="G41">
    <cfRule type="cellIs" rank="0" priority="107" equalAverage="0" operator="greaterThan" aboveAverage="0" dxfId="1" text="" percent="0" bottom="0">
      <formula>0</formula>
    </cfRule>
    <cfRule type="cellIs" rank="0" priority="108" equalAverage="0" operator="lessThanOrEqual" aboveAverage="0" dxfId="0" text="" percent="0" bottom="0">
      <formula>0</formula>
    </cfRule>
  </conditionalFormatting>
  <conditionalFormatting sqref="F41">
    <cfRule type="cellIs" rank="0" priority="109" equalAverage="0" operator="greaterThan" aboveAverage="0" dxfId="10" text="" percent="0" bottom="0">
      <formula>30</formula>
    </cfRule>
  </conditionalFormatting>
  <conditionalFormatting sqref="G42">
    <cfRule type="cellIs" rank="0" priority="110" equalAverage="0" operator="greaterThan" aboveAverage="0" dxfId="1" text="" percent="0" bottom="0">
      <formula>0</formula>
    </cfRule>
    <cfRule type="cellIs" rank="0" priority="111" equalAverage="0" operator="lessThanOrEqual" aboveAverage="0" dxfId="0" text="" percent="0" bottom="0">
      <formula>0</formula>
    </cfRule>
  </conditionalFormatting>
  <conditionalFormatting sqref="F42">
    <cfRule type="cellIs" rank="0" priority="112" equalAverage="0" operator="greaterThan" aboveAverage="0" dxfId="10" text="" percent="0" bottom="0">
      <formula>30</formula>
    </cfRule>
  </conditionalFormatting>
  <conditionalFormatting sqref="G43">
    <cfRule type="cellIs" rank="0" priority="113" equalAverage="0" operator="greaterThan" aboveAverage="0" dxfId="1" text="" percent="0" bottom="0">
      <formula>0</formula>
    </cfRule>
    <cfRule type="cellIs" rank="0" priority="114" equalAverage="0" operator="lessThanOrEqual" aboveAverage="0" dxfId="0" text="" percent="0" bottom="0">
      <formula>0</formula>
    </cfRule>
  </conditionalFormatting>
  <conditionalFormatting sqref="F43">
    <cfRule type="cellIs" rank="0" priority="115" equalAverage="0" operator="greaterThan" aboveAverage="0" dxfId="10" text="" percent="0" bottom="0">
      <formula>30</formula>
    </cfRule>
  </conditionalFormatting>
  <conditionalFormatting sqref="G44">
    <cfRule type="cellIs" rank="0" priority="116" equalAverage="0" operator="greaterThan" aboveAverage="0" dxfId="1" text="" percent="0" bottom="0">
      <formula>0</formula>
    </cfRule>
    <cfRule type="cellIs" rank="0" priority="117" equalAverage="0" operator="lessThanOrEqual" aboveAverage="0" dxfId="0" text="" percent="0" bottom="0">
      <formula>0</formula>
    </cfRule>
  </conditionalFormatting>
  <conditionalFormatting sqref="F44">
    <cfRule type="cellIs" rank="0" priority="118" equalAverage="0" operator="greaterThan" aboveAverage="0" dxfId="10" text="" percent="0" bottom="0">
      <formula>30</formula>
    </cfRule>
  </conditionalFormatting>
  <conditionalFormatting sqref="G45">
    <cfRule type="cellIs" rank="0" priority="119" equalAverage="0" operator="greaterThan" aboveAverage="0" dxfId="1" text="" percent="0" bottom="0">
      <formula>0</formula>
    </cfRule>
    <cfRule type="cellIs" rank="0" priority="120" equalAverage="0" operator="lessThanOrEqual" aboveAverage="0" dxfId="0" text="" percent="0" bottom="0">
      <formula>0</formula>
    </cfRule>
  </conditionalFormatting>
  <conditionalFormatting sqref="F45">
    <cfRule type="cellIs" rank="0" priority="121" equalAverage="0" operator="greaterThan" aboveAverage="0" dxfId="10" text="" percent="0" bottom="0">
      <formula>30</formula>
    </cfRule>
  </conditionalFormatting>
  <conditionalFormatting sqref="G46">
    <cfRule type="cellIs" rank="0" priority="122" equalAverage="0" operator="greaterThan" aboveAverage="0" dxfId="1" text="" percent="0" bottom="0">
      <formula>0</formula>
    </cfRule>
    <cfRule type="cellIs" rank="0" priority="123" equalAverage="0" operator="lessThanOrEqual" aboveAverage="0" dxfId="0" text="" percent="0" bottom="0">
      <formula>0</formula>
    </cfRule>
  </conditionalFormatting>
  <conditionalFormatting sqref="F46">
    <cfRule type="cellIs" rank="0" priority="124" equalAverage="0" operator="greaterThan" aboveAverage="0" dxfId="10" text="" percent="0" bottom="0">
      <formula>30</formula>
    </cfRule>
  </conditionalFormatting>
  <conditionalFormatting sqref="G47">
    <cfRule type="cellIs" rank="0" priority="125" equalAverage="0" operator="greaterThan" aboveAverage="0" dxfId="1" text="" percent="0" bottom="0">
      <formula>0</formula>
    </cfRule>
    <cfRule type="cellIs" rank="0" priority="126" equalAverage="0" operator="lessThanOrEqual" aboveAverage="0" dxfId="0" text="" percent="0" bottom="0">
      <formula>0</formula>
    </cfRule>
  </conditionalFormatting>
  <conditionalFormatting sqref="F47">
    <cfRule type="cellIs" rank="0" priority="127" equalAverage="0" operator="greaterThan" aboveAverage="0" dxfId="10" text="" percent="0" bottom="0">
      <formula>30</formula>
    </cfRule>
  </conditionalFormatting>
  <conditionalFormatting sqref="G48">
    <cfRule type="cellIs" rank="0" priority="128" equalAverage="0" operator="greaterThan" aboveAverage="0" dxfId="1" text="" percent="0" bottom="0">
      <formula>0</formula>
    </cfRule>
    <cfRule type="cellIs" rank="0" priority="129" equalAverage="0" operator="lessThanOrEqual" aboveAverage="0" dxfId="0" text="" percent="0" bottom="0">
      <formula>0</formula>
    </cfRule>
  </conditionalFormatting>
  <conditionalFormatting sqref="F48">
    <cfRule type="cellIs" rank="0" priority="130" equalAverage="0" operator="greaterThan" aboveAverage="0" dxfId="10" text="" percent="0" bottom="0">
      <formula>30</formula>
    </cfRule>
  </conditionalFormatting>
  <conditionalFormatting sqref="G49">
    <cfRule type="cellIs" rank="0" priority="131" equalAverage="0" operator="greaterThan" aboveAverage="0" dxfId="1" text="" percent="0" bottom="0">
      <formula>0</formula>
    </cfRule>
    <cfRule type="cellIs" rank="0" priority="132" equalAverage="0" operator="lessThanOrEqual" aboveAverage="0" dxfId="0" text="" percent="0" bottom="0">
      <formula>0</formula>
    </cfRule>
  </conditionalFormatting>
  <conditionalFormatting sqref="F49">
    <cfRule type="cellIs" rank="0" priority="133" equalAverage="0" operator="greaterThan" aboveAverage="0" dxfId="10" text="" percent="0" bottom="0">
      <formula>30</formula>
    </cfRule>
  </conditionalFormatting>
  <conditionalFormatting sqref="G50">
    <cfRule type="cellIs" rank="0" priority="134" equalAverage="0" operator="greaterThan" aboveAverage="0" dxfId="1" text="" percent="0" bottom="0">
      <formula>0</formula>
    </cfRule>
    <cfRule type="cellIs" rank="0" priority="135" equalAverage="0" operator="lessThanOrEqual" aboveAverage="0" dxfId="0" text="" percent="0" bottom="0">
      <formula>0</formula>
    </cfRule>
  </conditionalFormatting>
  <conditionalFormatting sqref="F50">
    <cfRule type="cellIs" rank="0" priority="136" equalAverage="0" operator="greaterThan" aboveAverage="0" dxfId="10" text="" percent="0" bottom="0">
      <formula>30</formula>
    </cfRule>
  </conditionalFormatting>
  <conditionalFormatting sqref="G51">
    <cfRule type="cellIs" rank="0" priority="137" equalAverage="0" operator="greaterThan" aboveAverage="0" dxfId="1" text="" percent="0" bottom="0">
      <formula>0</formula>
    </cfRule>
    <cfRule type="cellIs" rank="0" priority="138" equalAverage="0" operator="lessThanOrEqual" aboveAverage="0" dxfId="0" text="" percent="0" bottom="0">
      <formula>0</formula>
    </cfRule>
  </conditionalFormatting>
  <conditionalFormatting sqref="F51">
    <cfRule type="cellIs" rank="0" priority="139" equalAverage="0" operator="greaterThan" aboveAverage="0" dxfId="10" text="" percent="0" bottom="0">
      <formula>30</formula>
    </cfRule>
  </conditionalFormatting>
  <conditionalFormatting sqref="G52">
    <cfRule type="cellIs" rank="0" priority="140" equalAverage="0" operator="greaterThan" aboveAverage="0" dxfId="1" text="" percent="0" bottom="0">
      <formula>0</formula>
    </cfRule>
    <cfRule type="cellIs" rank="0" priority="141" equalAverage="0" operator="lessThanOrEqual" aboveAverage="0" dxfId="0" text="" percent="0" bottom="0">
      <formula>0</formula>
    </cfRule>
  </conditionalFormatting>
  <conditionalFormatting sqref="F52">
    <cfRule type="cellIs" rank="0" priority="142" equalAverage="0" operator="greaterThan" aboveAverage="0" dxfId="10" text="" percent="0" bottom="0">
      <formula>30</formula>
    </cfRule>
  </conditionalFormatting>
  <conditionalFormatting sqref="G53">
    <cfRule type="cellIs" rank="0" priority="143" equalAverage="0" operator="greaterThan" aboveAverage="0" dxfId="1" text="" percent="0" bottom="0">
      <formula>0</formula>
    </cfRule>
    <cfRule type="cellIs" rank="0" priority="144" equalAverage="0" operator="lessThanOrEqual" aboveAverage="0" dxfId="0" text="" percent="0" bottom="0">
      <formula>0</formula>
    </cfRule>
  </conditionalFormatting>
  <conditionalFormatting sqref="F53">
    <cfRule type="cellIs" rank="0" priority="145" equalAverage="0" operator="greaterThan" aboveAverage="0" dxfId="10" text="" percent="0" bottom="0">
      <formula>30</formula>
    </cfRule>
  </conditionalFormatting>
  <conditionalFormatting sqref="G54">
    <cfRule type="cellIs" rank="0" priority="146" equalAverage="0" operator="greaterThan" aboveAverage="0" dxfId="1" text="" percent="0" bottom="0">
      <formula>0</formula>
    </cfRule>
    <cfRule type="cellIs" rank="0" priority="147" equalAverage="0" operator="lessThanOrEqual" aboveAverage="0" dxfId="0" text="" percent="0" bottom="0">
      <formula>0</formula>
    </cfRule>
  </conditionalFormatting>
  <conditionalFormatting sqref="F54">
    <cfRule type="cellIs" rank="0" priority="148" equalAverage="0" operator="greaterThan" aboveAverage="0" dxfId="10" text="" percent="0" bottom="0">
      <formula>30</formula>
    </cfRule>
  </conditionalFormatting>
  <conditionalFormatting sqref="G55">
    <cfRule type="cellIs" rank="0" priority="149" equalAverage="0" operator="greaterThan" aboveAverage="0" dxfId="1" text="" percent="0" bottom="0">
      <formula>0</formula>
    </cfRule>
    <cfRule type="cellIs" rank="0" priority="150" equalAverage="0" operator="lessThanOrEqual" aboveAverage="0" dxfId="0" text="" percent="0" bottom="0">
      <formula>0</formula>
    </cfRule>
  </conditionalFormatting>
  <conditionalFormatting sqref="F55">
    <cfRule type="cellIs" rank="0" priority="151" equalAverage="0" operator="greaterThan" aboveAverage="0" dxfId="10" text="" percent="0" bottom="0">
      <formula>30</formula>
    </cfRule>
  </conditionalFormatting>
  <conditionalFormatting sqref="G56">
    <cfRule type="cellIs" rank="0" priority="152" equalAverage="0" operator="greaterThan" aboveAverage="0" dxfId="1" text="" percent="0" bottom="0">
      <formula>0</formula>
    </cfRule>
    <cfRule type="cellIs" rank="0" priority="153" equalAverage="0" operator="lessThanOrEqual" aboveAverage="0" dxfId="0" text="" percent="0" bottom="0">
      <formula>0</formula>
    </cfRule>
  </conditionalFormatting>
  <conditionalFormatting sqref="F56">
    <cfRule type="cellIs" rank="0" priority="154" equalAverage="0" operator="greaterThan" aboveAverage="0" dxfId="10" text="" percent="0" bottom="0">
      <formula>30</formula>
    </cfRule>
  </conditionalFormatting>
  <conditionalFormatting sqref="G57">
    <cfRule type="cellIs" rank="0" priority="155" equalAverage="0" operator="greaterThan" aboveAverage="0" dxfId="1" text="" percent="0" bottom="0">
      <formula>0</formula>
    </cfRule>
    <cfRule type="cellIs" rank="0" priority="156" equalAverage="0" operator="lessThanOrEqual" aboveAverage="0" dxfId="0" text="" percent="0" bottom="0">
      <formula>0</formula>
    </cfRule>
  </conditionalFormatting>
  <conditionalFormatting sqref="F57">
    <cfRule type="cellIs" rank="0" priority="157" equalAverage="0" operator="greaterThan" aboveAverage="0" dxfId="10" text="" percent="0" bottom="0">
      <formula>30</formula>
    </cfRule>
  </conditionalFormatting>
  <conditionalFormatting sqref="G58">
    <cfRule type="cellIs" rank="0" priority="158" equalAverage="0" operator="greaterThan" aboveAverage="0" dxfId="1" text="" percent="0" bottom="0">
      <formula>0</formula>
    </cfRule>
    <cfRule type="cellIs" rank="0" priority="159" equalAverage="0" operator="lessThanOrEqual" aboveAverage="0" dxfId="0" text="" percent="0" bottom="0">
      <formula>0</formula>
    </cfRule>
  </conditionalFormatting>
  <conditionalFormatting sqref="F58">
    <cfRule type="cellIs" rank="0" priority="160" equalAverage="0" operator="greaterThan" aboveAverage="0" dxfId="10" text="" percent="0" bottom="0">
      <formula>30</formula>
    </cfRule>
  </conditionalFormatting>
  <conditionalFormatting sqref="G59">
    <cfRule type="cellIs" rank="0" priority="161" equalAverage="0" operator="greaterThan" aboveAverage="0" dxfId="1" text="" percent="0" bottom="0">
      <formula>0</formula>
    </cfRule>
    <cfRule type="cellIs" rank="0" priority="162" equalAverage="0" operator="lessThanOrEqual" aboveAverage="0" dxfId="0" text="" percent="0" bottom="0">
      <formula>0</formula>
    </cfRule>
  </conditionalFormatting>
  <conditionalFormatting sqref="F59">
    <cfRule type="cellIs" rank="0" priority="163" equalAverage="0" operator="greaterThan" aboveAverage="0" dxfId="10" text="" percent="0" bottom="0">
      <formula>30</formula>
    </cfRule>
  </conditionalFormatting>
  <conditionalFormatting sqref="G60">
    <cfRule type="cellIs" rank="0" priority="164" equalAverage="0" operator="greaterThan" aboveAverage="0" dxfId="1" text="" percent="0" bottom="0">
      <formula>0</formula>
    </cfRule>
    <cfRule type="cellIs" rank="0" priority="165" equalAverage="0" operator="lessThanOrEqual" aboveAverage="0" dxfId="0" text="" percent="0" bottom="0">
      <formula>0</formula>
    </cfRule>
  </conditionalFormatting>
  <conditionalFormatting sqref="F60">
    <cfRule type="cellIs" rank="0" priority="166" equalAverage="0" operator="greaterThan" aboveAverage="0" dxfId="10" text="" percent="0" bottom="0">
      <formula>30</formula>
    </cfRule>
  </conditionalFormatting>
  <conditionalFormatting sqref="G61">
    <cfRule type="cellIs" rank="0" priority="167" equalAverage="0" operator="greaterThan" aboveAverage="0" dxfId="1" text="" percent="0" bottom="0">
      <formula>0</formula>
    </cfRule>
    <cfRule type="cellIs" rank="0" priority="168" equalAverage="0" operator="lessThanOrEqual" aboveAverage="0" dxfId="0" text="" percent="0" bottom="0">
      <formula>0</formula>
    </cfRule>
  </conditionalFormatting>
  <conditionalFormatting sqref="F61">
    <cfRule type="cellIs" rank="0" priority="169" equalAverage="0" operator="greaterThan" aboveAverage="0" dxfId="10" text="" percent="0" bottom="0">
      <formula>30</formula>
    </cfRule>
  </conditionalFormatting>
  <conditionalFormatting sqref="G62">
    <cfRule type="cellIs" rank="0" priority="170" equalAverage="0" operator="greaterThan" aboveAverage="0" dxfId="1" text="" percent="0" bottom="0">
      <formula>0</formula>
    </cfRule>
    <cfRule type="cellIs" rank="0" priority="171" equalAverage="0" operator="lessThanOrEqual" aboveAverage="0" dxfId="0" text="" percent="0" bottom="0">
      <formula>0</formula>
    </cfRule>
  </conditionalFormatting>
  <conditionalFormatting sqref="F62">
    <cfRule type="cellIs" rank="0" priority="172" equalAverage="0" operator="greaterThan" aboveAverage="0" dxfId="10" text="" percent="0" bottom="0">
      <formula>30</formula>
    </cfRule>
  </conditionalFormatting>
  <conditionalFormatting sqref="G63">
    <cfRule type="cellIs" rank="0" priority="173" equalAverage="0" operator="greaterThan" aboveAverage="0" dxfId="1" text="" percent="0" bottom="0">
      <formula>0</formula>
    </cfRule>
    <cfRule type="cellIs" rank="0" priority="174" equalAverage="0" operator="lessThanOrEqual" aboveAverage="0" dxfId="0" text="" percent="0" bottom="0">
      <formula>0</formula>
    </cfRule>
  </conditionalFormatting>
  <conditionalFormatting sqref="F63">
    <cfRule type="cellIs" rank="0" priority="175" equalAverage="0" operator="greaterThan" aboveAverage="0" dxfId="10" text="" percent="0" bottom="0">
      <formula>30</formula>
    </cfRule>
  </conditionalFormatting>
  <conditionalFormatting sqref="G64">
    <cfRule type="cellIs" rank="0" priority="176" equalAverage="0" operator="greaterThan" aboveAverage="0" dxfId="1" text="" percent="0" bottom="0">
      <formula>0</formula>
    </cfRule>
    <cfRule type="cellIs" rank="0" priority="177" equalAverage="0" operator="lessThanOrEqual" aboveAverage="0" dxfId="0" text="" percent="0" bottom="0">
      <formula>0</formula>
    </cfRule>
  </conditionalFormatting>
  <conditionalFormatting sqref="F64">
    <cfRule type="cellIs" rank="0" priority="178" equalAverage="0" operator="greaterThan" aboveAverage="0" dxfId="10" text="" percent="0" bottom="0">
      <formula>30</formula>
    </cfRule>
  </conditionalFormatting>
  <conditionalFormatting sqref="G65">
    <cfRule type="cellIs" rank="0" priority="179" equalAverage="0" operator="greaterThan" aboveAverage="0" dxfId="1" text="" percent="0" bottom="0">
      <formula>0</formula>
    </cfRule>
    <cfRule type="cellIs" rank="0" priority="180" equalAverage="0" operator="lessThanOrEqual" aboveAverage="0" dxfId="0" text="" percent="0" bottom="0">
      <formula>0</formula>
    </cfRule>
  </conditionalFormatting>
  <conditionalFormatting sqref="F65">
    <cfRule type="cellIs" rank="0" priority="181" equalAverage="0" operator="greaterThan" aboveAverage="0" dxfId="10" text="" percent="0" bottom="0">
      <formula>30</formula>
    </cfRule>
  </conditionalFormatting>
  <conditionalFormatting sqref="G66">
    <cfRule type="cellIs" rank="0" priority="182" equalAverage="0" operator="greaterThan" aboveAverage="0" dxfId="1" text="" percent="0" bottom="0">
      <formula>0</formula>
    </cfRule>
    <cfRule type="cellIs" rank="0" priority="183" equalAverage="0" operator="lessThanOrEqual" aboveAverage="0" dxfId="0" text="" percent="0" bottom="0">
      <formula>0</formula>
    </cfRule>
  </conditionalFormatting>
  <conditionalFormatting sqref="F66">
    <cfRule type="cellIs" rank="0" priority="184" equalAverage="0" operator="greaterThan" aboveAverage="0" dxfId="10" text="" percent="0" bottom="0">
      <formula>30</formula>
    </cfRule>
  </conditionalFormatting>
  <conditionalFormatting sqref="G67">
    <cfRule type="cellIs" rank="0" priority="185" equalAverage="0" operator="greaterThan" aboveAverage="0" dxfId="1" text="" percent="0" bottom="0">
      <formula>0</formula>
    </cfRule>
    <cfRule type="cellIs" rank="0" priority="186" equalAverage="0" operator="lessThanOrEqual" aboveAverage="0" dxfId="0" text="" percent="0" bottom="0">
      <formula>0</formula>
    </cfRule>
  </conditionalFormatting>
  <conditionalFormatting sqref="F67">
    <cfRule type="cellIs" rank="0" priority="187" equalAverage="0" operator="greaterThan" aboveAverage="0" dxfId="10" text="" percent="0" bottom="0">
      <formula>30</formula>
    </cfRule>
  </conditionalFormatting>
  <conditionalFormatting sqref="G68">
    <cfRule type="cellIs" rank="0" priority="188" equalAverage="0" operator="greaterThan" aboveAverage="0" dxfId="1" text="" percent="0" bottom="0">
      <formula>0</formula>
    </cfRule>
    <cfRule type="cellIs" rank="0" priority="189" equalAverage="0" operator="lessThanOrEqual" aboveAverage="0" dxfId="0" text="" percent="0" bottom="0">
      <formula>0</formula>
    </cfRule>
  </conditionalFormatting>
  <conditionalFormatting sqref="F68">
    <cfRule type="cellIs" rank="0" priority="190" equalAverage="0" operator="greaterThan" aboveAverage="0" dxfId="10" text="" percent="0" bottom="0">
      <formula>30</formula>
    </cfRule>
  </conditionalFormatting>
  <conditionalFormatting sqref="G69">
    <cfRule type="cellIs" rank="0" priority="191" equalAverage="0" operator="greaterThan" aboveAverage="0" dxfId="1" text="" percent="0" bottom="0">
      <formula>0</formula>
    </cfRule>
    <cfRule type="cellIs" rank="0" priority="192" equalAverage="0" operator="lessThanOrEqual" aboveAverage="0" dxfId="0" text="" percent="0" bottom="0">
      <formula>0</formula>
    </cfRule>
  </conditionalFormatting>
  <conditionalFormatting sqref="F69">
    <cfRule type="cellIs" rank="0" priority="193" equalAverage="0" operator="greaterThan" aboveAverage="0" dxfId="10" text="" percent="0" bottom="0">
      <formula>30</formula>
    </cfRule>
  </conditionalFormatting>
  <conditionalFormatting sqref="G70">
    <cfRule type="cellIs" rank="0" priority="194" equalAverage="0" operator="greaterThan" aboveAverage="0" dxfId="1" text="" percent="0" bottom="0">
      <formula>0</formula>
    </cfRule>
    <cfRule type="cellIs" rank="0" priority="195" equalAverage="0" operator="lessThanOrEqual" aboveAverage="0" dxfId="0" text="" percent="0" bottom="0">
      <formula>0</formula>
    </cfRule>
  </conditionalFormatting>
  <conditionalFormatting sqref="F70">
    <cfRule type="cellIs" rank="0" priority="196" equalAverage="0" operator="greaterThan" aboveAverage="0" dxfId="10" text="" percent="0" bottom="0">
      <formula>30</formula>
    </cfRule>
  </conditionalFormatting>
  <conditionalFormatting sqref="G71">
    <cfRule type="cellIs" rank="0" priority="197" equalAverage="0" operator="greaterThan" aboveAverage="0" dxfId="1" text="" percent="0" bottom="0">
      <formula>0</formula>
    </cfRule>
    <cfRule type="cellIs" rank="0" priority="198" equalAverage="0" operator="lessThanOrEqual" aboveAverage="0" dxfId="0" text="" percent="0" bottom="0">
      <formula>0</formula>
    </cfRule>
  </conditionalFormatting>
  <conditionalFormatting sqref="F71">
    <cfRule type="cellIs" rank="0" priority="199" equalAverage="0" operator="greaterThan" aboveAverage="0" dxfId="10" text="" percent="0" bottom="0">
      <formula>30</formula>
    </cfRule>
  </conditionalFormatting>
  <conditionalFormatting sqref="G72">
    <cfRule type="cellIs" rank="0" priority="200" equalAverage="0" operator="greaterThan" aboveAverage="0" dxfId="1" text="" percent="0" bottom="0">
      <formula>0</formula>
    </cfRule>
    <cfRule type="cellIs" rank="0" priority="201" equalAverage="0" operator="lessThanOrEqual" aboveAverage="0" dxfId="0" text="" percent="0" bottom="0">
      <formula>0</formula>
    </cfRule>
  </conditionalFormatting>
  <conditionalFormatting sqref="F72">
    <cfRule type="cellIs" rank="0" priority="202" equalAverage="0" operator="greaterThan" aboveAverage="0" dxfId="10" text="" percent="0" bottom="0">
      <formula>30</formula>
    </cfRule>
  </conditionalFormatting>
  <conditionalFormatting sqref="G73">
    <cfRule type="cellIs" rank="0" priority="203" equalAverage="0" operator="greaterThan" aboveAverage="0" dxfId="1" text="" percent="0" bottom="0">
      <formula>0</formula>
    </cfRule>
    <cfRule type="cellIs" rank="0" priority="204" equalAverage="0" operator="lessThanOrEqual" aboveAverage="0" dxfId="0" text="" percent="0" bottom="0">
      <formula>0</formula>
    </cfRule>
  </conditionalFormatting>
  <conditionalFormatting sqref="F73">
    <cfRule type="cellIs" rank="0" priority="205" equalAverage="0" operator="greaterThan" aboveAverage="0" dxfId="10" text="" percent="0" bottom="0">
      <formula>30</formula>
    </cfRule>
  </conditionalFormatting>
  <conditionalFormatting sqref="G74">
    <cfRule type="cellIs" rank="0" priority="206" equalAverage="0" operator="greaterThan" aboveAverage="0" dxfId="1" text="" percent="0" bottom="0">
      <formula>0</formula>
    </cfRule>
    <cfRule type="cellIs" rank="0" priority="207" equalAverage="0" operator="lessThanOrEqual" aboveAverage="0" dxfId="0" text="" percent="0" bottom="0">
      <formula>0</formula>
    </cfRule>
  </conditionalFormatting>
  <conditionalFormatting sqref="F74">
    <cfRule type="cellIs" rank="0" priority="208" equalAverage="0" operator="greaterThan" aboveAverage="0" dxfId="10" text="" percent="0" bottom="0">
      <formula>30</formula>
    </cfRule>
  </conditionalFormatting>
  <conditionalFormatting sqref="G75">
    <cfRule type="cellIs" rank="0" priority="209" equalAverage="0" operator="greaterThan" aboveAverage="0" dxfId="1" text="" percent="0" bottom="0">
      <formula>0</formula>
    </cfRule>
    <cfRule type="cellIs" rank="0" priority="210" equalAverage="0" operator="lessThanOrEqual" aboveAverage="0" dxfId="0" text="" percent="0" bottom="0">
      <formula>0</formula>
    </cfRule>
  </conditionalFormatting>
  <conditionalFormatting sqref="F75">
    <cfRule type="cellIs" rank="0" priority="211" equalAverage="0" operator="greaterThan" aboveAverage="0" dxfId="10" text="" percent="0" bottom="0">
      <formula>30</formula>
    </cfRule>
  </conditionalFormatting>
  <conditionalFormatting sqref="G76">
    <cfRule type="cellIs" rank="0" priority="212" equalAverage="0" operator="greaterThan" aboveAverage="0" dxfId="1" text="" percent="0" bottom="0">
      <formula>0</formula>
    </cfRule>
    <cfRule type="cellIs" rank="0" priority="213" equalAverage="0" operator="lessThanOrEqual" aboveAverage="0" dxfId="0" text="" percent="0" bottom="0">
      <formula>0</formula>
    </cfRule>
  </conditionalFormatting>
  <conditionalFormatting sqref="F76">
    <cfRule type="cellIs" rank="0" priority="214" equalAverage="0" operator="greaterThan" aboveAverage="0" dxfId="10" text="" percent="0" bottom="0">
      <formula>30</formula>
    </cfRule>
  </conditionalFormatting>
  <conditionalFormatting sqref="G77">
    <cfRule type="cellIs" rank="0" priority="215" equalAverage="0" operator="greaterThan" aboveAverage="0" dxfId="1" text="" percent="0" bottom="0">
      <formula>0</formula>
    </cfRule>
    <cfRule type="cellIs" rank="0" priority="216" equalAverage="0" operator="lessThanOrEqual" aboveAverage="0" dxfId="0" text="" percent="0" bottom="0">
      <formula>0</formula>
    </cfRule>
  </conditionalFormatting>
  <conditionalFormatting sqref="F77">
    <cfRule type="cellIs" rank="0" priority="217" equalAverage="0" operator="greaterThan" aboveAverage="0" dxfId="10" text="" percent="0" bottom="0">
      <formula>30</formula>
    </cfRule>
  </conditionalFormatting>
  <conditionalFormatting sqref="G78">
    <cfRule type="cellIs" rank="0" priority="218" equalAverage="0" operator="greaterThan" aboveAverage="0" dxfId="1" text="" percent="0" bottom="0">
      <formula>0</formula>
    </cfRule>
    <cfRule type="cellIs" rank="0" priority="219" equalAverage="0" operator="lessThanOrEqual" aboveAverage="0" dxfId="0" text="" percent="0" bottom="0">
      <formula>0</formula>
    </cfRule>
  </conditionalFormatting>
  <conditionalFormatting sqref="F78">
    <cfRule type="cellIs" rank="0" priority="220" equalAverage="0" operator="greaterThan" aboveAverage="0" dxfId="10" text="" percent="0" bottom="0">
      <formula>30</formula>
    </cfRule>
  </conditionalFormatting>
  <conditionalFormatting sqref="G79">
    <cfRule type="cellIs" rank="0" priority="221" equalAverage="0" operator="greaterThan" aboveAverage="0" dxfId="1" text="" percent="0" bottom="0">
      <formula>0</formula>
    </cfRule>
    <cfRule type="cellIs" rank="0" priority="222" equalAverage="0" operator="lessThanOrEqual" aboveAverage="0" dxfId="0" text="" percent="0" bottom="0">
      <formula>0</formula>
    </cfRule>
  </conditionalFormatting>
  <conditionalFormatting sqref="F79">
    <cfRule type="cellIs" rank="0" priority="223" equalAverage="0" operator="greaterThan" aboveAverage="0" dxfId="10" text="" percent="0" bottom="0">
      <formula>30</formula>
    </cfRule>
  </conditionalFormatting>
  <conditionalFormatting sqref="G80">
    <cfRule type="cellIs" rank="0" priority="224" equalAverage="0" operator="greaterThan" aboveAverage="0" dxfId="1" text="" percent="0" bottom="0">
      <formula>0</formula>
    </cfRule>
    <cfRule type="cellIs" rank="0" priority="225" equalAverage="0" operator="lessThanOrEqual" aboveAverage="0" dxfId="0" text="" percent="0" bottom="0">
      <formula>0</formula>
    </cfRule>
  </conditionalFormatting>
  <conditionalFormatting sqref="F80">
    <cfRule type="cellIs" rank="0" priority="226" equalAverage="0" operator="greaterThan" aboveAverage="0" dxfId="10" text="" percent="0" bottom="0">
      <formula>30</formula>
    </cfRule>
  </conditionalFormatting>
  <conditionalFormatting sqref="G81">
    <cfRule type="cellIs" rank="0" priority="227" equalAverage="0" operator="greaterThan" aboveAverage="0" dxfId="1" text="" percent="0" bottom="0">
      <formula>0</formula>
    </cfRule>
    <cfRule type="cellIs" rank="0" priority="228" equalAverage="0" operator="lessThanOrEqual" aboveAverage="0" dxfId="0" text="" percent="0" bottom="0">
      <formula>0</formula>
    </cfRule>
  </conditionalFormatting>
  <conditionalFormatting sqref="F81">
    <cfRule type="cellIs" rank="0" priority="229" equalAverage="0" operator="greaterThan" aboveAverage="0" dxfId="10" text="" percent="0" bottom="0">
      <formula>30</formula>
    </cfRule>
  </conditionalFormatting>
  <conditionalFormatting sqref="G82">
    <cfRule type="cellIs" rank="0" priority="230" equalAverage="0" operator="greaterThan" aboveAverage="0" dxfId="1" text="" percent="0" bottom="0">
      <formula>0</formula>
    </cfRule>
    <cfRule type="cellIs" rank="0" priority="231" equalAverage="0" operator="lessThanOrEqual" aboveAverage="0" dxfId="0" text="" percent="0" bottom="0">
      <formula>0</formula>
    </cfRule>
  </conditionalFormatting>
  <conditionalFormatting sqref="F82">
    <cfRule type="cellIs" rank="0" priority="232" equalAverage="0" operator="greaterThan" aboveAverage="0" dxfId="10" text="" percent="0" bottom="0">
      <formula>30</formula>
    </cfRule>
  </conditionalFormatting>
  <conditionalFormatting sqref="G83">
    <cfRule type="cellIs" rank="0" priority="233" equalAverage="0" operator="greaterThan" aboveAverage="0" dxfId="1" text="" percent="0" bottom="0">
      <formula>0</formula>
    </cfRule>
    <cfRule type="cellIs" rank="0" priority="234" equalAverage="0" operator="lessThanOrEqual" aboveAverage="0" dxfId="0" text="" percent="0" bottom="0">
      <formula>0</formula>
    </cfRule>
  </conditionalFormatting>
  <conditionalFormatting sqref="F83">
    <cfRule type="cellIs" rank="0" priority="235" equalAverage="0" operator="greaterThan" aboveAverage="0" dxfId="10" text="" percent="0" bottom="0">
      <formula>30</formula>
    </cfRule>
  </conditionalFormatting>
  <conditionalFormatting sqref="G84">
    <cfRule type="cellIs" rank="0" priority="236" equalAverage="0" operator="greaterThan" aboveAverage="0" dxfId="1" text="" percent="0" bottom="0">
      <formula>0</formula>
    </cfRule>
    <cfRule type="cellIs" rank="0" priority="237" equalAverage="0" operator="lessThanOrEqual" aboveAverage="0" dxfId="0" text="" percent="0" bottom="0">
      <formula>0</formula>
    </cfRule>
  </conditionalFormatting>
  <conditionalFormatting sqref="F84">
    <cfRule type="cellIs" rank="0" priority="238" equalAverage="0" operator="greaterThan" aboveAverage="0" dxfId="10" text="" percent="0" bottom="0">
      <formula>30</formula>
    </cfRule>
  </conditionalFormatting>
  <conditionalFormatting sqref="G85">
    <cfRule type="cellIs" rank="0" priority="239" equalAverage="0" operator="greaterThan" aboveAverage="0" dxfId="1" text="" percent="0" bottom="0">
      <formula>0</formula>
    </cfRule>
    <cfRule type="cellIs" rank="0" priority="240" equalAverage="0" operator="lessThanOrEqual" aboveAverage="0" dxfId="0" text="" percent="0" bottom="0">
      <formula>0</formula>
    </cfRule>
  </conditionalFormatting>
  <conditionalFormatting sqref="F85">
    <cfRule type="cellIs" rank="0" priority="241" equalAverage="0" operator="greaterThan" aboveAverage="0" dxfId="10" text="" percent="0" bottom="0">
      <formula>30</formula>
    </cfRule>
  </conditionalFormatting>
  <conditionalFormatting sqref="G86">
    <cfRule type="cellIs" rank="0" priority="242" equalAverage="0" operator="greaterThan" aboveAverage="0" dxfId="1" text="" percent="0" bottom="0">
      <formula>0</formula>
    </cfRule>
    <cfRule type="cellIs" rank="0" priority="243" equalAverage="0" operator="lessThanOrEqual" aboveAverage="0" dxfId="0" text="" percent="0" bottom="0">
      <formula>0</formula>
    </cfRule>
  </conditionalFormatting>
  <conditionalFormatting sqref="F86">
    <cfRule type="cellIs" rank="0" priority="244" equalAverage="0" operator="greaterThan" aboveAverage="0" dxfId="10" text="" percent="0" bottom="0">
      <formula>30</formula>
    </cfRule>
  </conditionalFormatting>
  <conditionalFormatting sqref="G87">
    <cfRule type="cellIs" rank="0" priority="245" equalAverage="0" operator="greaterThan" aboveAverage="0" dxfId="1" text="" percent="0" bottom="0">
      <formula>0</formula>
    </cfRule>
    <cfRule type="cellIs" rank="0" priority="246" equalAverage="0" operator="lessThanOrEqual" aboveAverage="0" dxfId="0" text="" percent="0" bottom="0">
      <formula>0</formula>
    </cfRule>
  </conditionalFormatting>
  <conditionalFormatting sqref="F87">
    <cfRule type="cellIs" rank="0" priority="247" equalAverage="0" operator="greaterThan" aboveAverage="0" dxfId="10" text="" percent="0" bottom="0">
      <formula>30</formula>
    </cfRule>
  </conditionalFormatting>
  <conditionalFormatting sqref="G88">
    <cfRule type="cellIs" rank="0" priority="248" equalAverage="0" operator="greaterThan" aboveAverage="0" dxfId="1" text="" percent="0" bottom="0">
      <formula>0</formula>
    </cfRule>
    <cfRule type="cellIs" rank="0" priority="249" equalAverage="0" operator="lessThanOrEqual" aboveAverage="0" dxfId="0" text="" percent="0" bottom="0">
      <formula>0</formula>
    </cfRule>
  </conditionalFormatting>
  <conditionalFormatting sqref="F88">
    <cfRule type="cellIs" rank="0" priority="250" equalAverage="0" operator="greaterThan" aboveAverage="0" dxfId="10" text="" percent="0" bottom="0">
      <formula>30</formula>
    </cfRule>
  </conditionalFormatting>
  <conditionalFormatting sqref="G89">
    <cfRule type="cellIs" rank="0" priority="251" equalAverage="0" operator="greaterThan" aboveAverage="0" dxfId="1" text="" percent="0" bottom="0">
      <formula>0</formula>
    </cfRule>
    <cfRule type="cellIs" rank="0" priority="252" equalAverage="0" operator="lessThanOrEqual" aboveAverage="0" dxfId="0" text="" percent="0" bottom="0">
      <formula>0</formula>
    </cfRule>
  </conditionalFormatting>
  <conditionalFormatting sqref="F89">
    <cfRule type="cellIs" rank="0" priority="253" equalAverage="0" operator="greaterThan" aboveAverage="0" dxfId="10" text="" percent="0" bottom="0">
      <formula>30</formula>
    </cfRule>
  </conditionalFormatting>
  <conditionalFormatting sqref="G90">
    <cfRule type="cellIs" rank="0" priority="254" equalAverage="0" operator="greaterThan" aboveAverage="0" dxfId="1" text="" percent="0" bottom="0">
      <formula>0</formula>
    </cfRule>
    <cfRule type="cellIs" rank="0" priority="255" equalAverage="0" operator="lessThanOrEqual" aboveAverage="0" dxfId="0" text="" percent="0" bottom="0">
      <formula>0</formula>
    </cfRule>
  </conditionalFormatting>
  <conditionalFormatting sqref="F90">
    <cfRule type="cellIs" rank="0" priority="256" equalAverage="0" operator="greaterThan" aboveAverage="0" dxfId="10" text="" percent="0" bottom="0">
      <formula>30</formula>
    </cfRule>
  </conditionalFormatting>
  <conditionalFormatting sqref="G91">
    <cfRule type="cellIs" rank="0" priority="257" equalAverage="0" operator="greaterThan" aboveAverage="0" dxfId="1" text="" percent="0" bottom="0">
      <formula>0</formula>
    </cfRule>
    <cfRule type="cellIs" rank="0" priority="258" equalAverage="0" operator="lessThanOrEqual" aboveAverage="0" dxfId="0" text="" percent="0" bottom="0">
      <formula>0</formula>
    </cfRule>
  </conditionalFormatting>
  <conditionalFormatting sqref="F91">
    <cfRule type="cellIs" rank="0" priority="259" equalAverage="0" operator="greaterThan" aboveAverage="0" dxfId="10" text="" percent="0" bottom="0">
      <formula>30</formula>
    </cfRule>
  </conditionalFormatting>
  <conditionalFormatting sqref="G92">
    <cfRule type="cellIs" rank="0" priority="260" equalAverage="0" operator="greaterThan" aboveAverage="0" dxfId="1" text="" percent="0" bottom="0">
      <formula>0</formula>
    </cfRule>
    <cfRule type="cellIs" rank="0" priority="261" equalAverage="0" operator="lessThanOrEqual" aboveAverage="0" dxfId="0" text="" percent="0" bottom="0">
      <formula>0</formula>
    </cfRule>
  </conditionalFormatting>
  <conditionalFormatting sqref="F92">
    <cfRule type="cellIs" rank="0" priority="262" equalAverage="0" operator="greaterThan" aboveAverage="0" dxfId="10" text="" percent="0" bottom="0">
      <formula>30</formula>
    </cfRule>
  </conditionalFormatting>
  <conditionalFormatting sqref="G93">
    <cfRule type="cellIs" rank="0" priority="263" equalAverage="0" operator="greaterThan" aboveAverage="0" dxfId="1" text="" percent="0" bottom="0">
      <formula>0</formula>
    </cfRule>
    <cfRule type="cellIs" rank="0" priority="264" equalAverage="0" operator="lessThanOrEqual" aboveAverage="0" dxfId="0" text="" percent="0" bottom="0">
      <formula>0</formula>
    </cfRule>
  </conditionalFormatting>
  <conditionalFormatting sqref="F93">
    <cfRule type="cellIs" rank="0" priority="265" equalAverage="0" operator="greaterThan" aboveAverage="0" dxfId="10" text="" percent="0" bottom="0">
      <formula>30</formula>
    </cfRule>
  </conditionalFormatting>
  <conditionalFormatting sqref="G94">
    <cfRule type="cellIs" rank="0" priority="266" equalAverage="0" operator="greaterThan" aboveAverage="0" dxfId="1" text="" percent="0" bottom="0">
      <formula>0</formula>
    </cfRule>
    <cfRule type="cellIs" rank="0" priority="267" equalAverage="0" operator="lessThanOrEqual" aboveAverage="0" dxfId="0" text="" percent="0" bottom="0">
      <formula>0</formula>
    </cfRule>
  </conditionalFormatting>
  <conditionalFormatting sqref="F94">
    <cfRule type="cellIs" rank="0" priority="268" equalAverage="0" operator="greaterThan" aboveAverage="0" dxfId="10" text="" percent="0" bottom="0">
      <formula>30</formula>
    </cfRule>
  </conditionalFormatting>
  <conditionalFormatting sqref="G95">
    <cfRule type="cellIs" rank="0" priority="269" equalAverage="0" operator="greaterThan" aboveAverage="0" dxfId="1" text="" percent="0" bottom="0">
      <formula>0</formula>
    </cfRule>
    <cfRule type="cellIs" rank="0" priority="270" equalAverage="0" operator="lessThanOrEqual" aboveAverage="0" dxfId="0" text="" percent="0" bottom="0">
      <formula>0</formula>
    </cfRule>
  </conditionalFormatting>
  <conditionalFormatting sqref="F95">
    <cfRule type="cellIs" rank="0" priority="271" equalAverage="0" operator="greaterThan" aboveAverage="0" dxfId="10" text="" percent="0" bottom="0">
      <formula>30</formula>
    </cfRule>
  </conditionalFormatting>
  <conditionalFormatting sqref="G96">
    <cfRule type="cellIs" rank="0" priority="272" equalAverage="0" operator="greaterThan" aboveAverage="0" dxfId="1" text="" percent="0" bottom="0">
      <formula>0</formula>
    </cfRule>
    <cfRule type="cellIs" rank="0" priority="273" equalAverage="0" operator="lessThanOrEqual" aboveAverage="0" dxfId="0" text="" percent="0" bottom="0">
      <formula>0</formula>
    </cfRule>
  </conditionalFormatting>
  <conditionalFormatting sqref="F96">
    <cfRule type="cellIs" rank="0" priority="274" equalAverage="0" operator="greaterThan" aboveAverage="0" dxfId="10" text="" percent="0" bottom="0">
      <formula>30</formula>
    </cfRule>
  </conditionalFormatting>
  <conditionalFormatting sqref="G97">
    <cfRule type="cellIs" rank="0" priority="275" equalAverage="0" operator="greaterThan" aboveAverage="0" dxfId="1" text="" percent="0" bottom="0">
      <formula>0</formula>
    </cfRule>
    <cfRule type="cellIs" rank="0" priority="276" equalAverage="0" operator="lessThanOrEqual" aboveAverage="0" dxfId="0" text="" percent="0" bottom="0">
      <formula>0</formula>
    </cfRule>
  </conditionalFormatting>
  <conditionalFormatting sqref="F97">
    <cfRule type="cellIs" rank="0" priority="277" equalAverage="0" operator="greaterThan" aboveAverage="0" dxfId="10" text="" percent="0" bottom="0">
      <formula>30</formula>
    </cfRule>
  </conditionalFormatting>
  <conditionalFormatting sqref="G98">
    <cfRule type="cellIs" rank="0" priority="278" equalAverage="0" operator="greaterThan" aboveAverage="0" dxfId="1" text="" percent="0" bottom="0">
      <formula>0</formula>
    </cfRule>
    <cfRule type="cellIs" rank="0" priority="279" equalAverage="0" operator="lessThanOrEqual" aboveAverage="0" dxfId="0" text="" percent="0" bottom="0">
      <formula>0</formula>
    </cfRule>
  </conditionalFormatting>
  <conditionalFormatting sqref="F98">
    <cfRule type="cellIs" rank="0" priority="280" equalAverage="0" operator="greaterThan" aboveAverage="0" dxfId="10" text="" percent="0" bottom="0">
      <formula>30</formula>
    </cfRule>
  </conditionalFormatting>
  <conditionalFormatting sqref="G99">
    <cfRule type="cellIs" rank="0" priority="281" equalAverage="0" operator="greaterThan" aboveAverage="0" dxfId="1" text="" percent="0" bottom="0">
      <formula>0</formula>
    </cfRule>
    <cfRule type="cellIs" rank="0" priority="282" equalAverage="0" operator="lessThanOrEqual" aboveAverage="0" dxfId="0" text="" percent="0" bottom="0">
      <formula>0</formula>
    </cfRule>
  </conditionalFormatting>
  <conditionalFormatting sqref="F99">
    <cfRule type="cellIs" rank="0" priority="283" equalAverage="0" operator="greaterThan" aboveAverage="0" dxfId="10" text="" percent="0" bottom="0">
      <formula>30</formula>
    </cfRule>
  </conditionalFormatting>
  <conditionalFormatting sqref="G100">
    <cfRule type="cellIs" rank="0" priority="284" equalAverage="0" operator="greaterThan" aboveAverage="0" dxfId="1" text="" percent="0" bottom="0">
      <formula>0</formula>
    </cfRule>
    <cfRule type="cellIs" rank="0" priority="285" equalAverage="0" operator="lessThanOrEqual" aboveAverage="0" dxfId="0" text="" percent="0" bottom="0">
      <formula>0</formula>
    </cfRule>
  </conditionalFormatting>
  <conditionalFormatting sqref="F100">
    <cfRule type="cellIs" rank="0" priority="286" equalAverage="0" operator="greaterThan" aboveAverage="0" dxfId="10" text="" percent="0" bottom="0">
      <formula>30</formula>
    </cfRule>
  </conditionalFormatting>
  <conditionalFormatting sqref="G101">
    <cfRule type="cellIs" rank="0" priority="287" equalAverage="0" operator="greaterThan" aboveAverage="0" dxfId="1" text="" percent="0" bottom="0">
      <formula>0</formula>
    </cfRule>
    <cfRule type="cellIs" rank="0" priority="288" equalAverage="0" operator="lessThanOrEqual" aboveAverage="0" dxfId="0" text="" percent="0" bottom="0">
      <formula>0</formula>
    </cfRule>
  </conditionalFormatting>
  <conditionalFormatting sqref="F101">
    <cfRule type="cellIs" rank="0" priority="289" equalAverage="0" operator="greaterThan" aboveAverage="0" dxfId="10" text="" percent="0" bottom="0">
      <formula>30</formula>
    </cfRule>
  </conditionalFormatting>
  <conditionalFormatting sqref="G102">
    <cfRule type="cellIs" rank="0" priority="290" equalAverage="0" operator="greaterThan" aboveAverage="0" dxfId="1" text="" percent="0" bottom="0">
      <formula>0</formula>
    </cfRule>
    <cfRule type="cellIs" rank="0" priority="291" equalAverage="0" operator="lessThanOrEqual" aboveAverage="0" dxfId="0" text="" percent="0" bottom="0">
      <formula>0</formula>
    </cfRule>
  </conditionalFormatting>
  <conditionalFormatting sqref="F102">
    <cfRule type="cellIs" rank="0" priority="292" equalAverage="0" operator="greaterThan" aboveAverage="0" dxfId="10" text="" percent="0" bottom="0">
      <formula>30</formula>
    </cfRule>
  </conditionalFormatting>
  <conditionalFormatting sqref="G103">
    <cfRule type="cellIs" rank="0" priority="293" equalAverage="0" operator="greaterThan" aboveAverage="0" dxfId="1" text="" percent="0" bottom="0">
      <formula>0</formula>
    </cfRule>
    <cfRule type="cellIs" rank="0" priority="294" equalAverage="0" operator="lessThanOrEqual" aboveAverage="0" dxfId="0" text="" percent="0" bottom="0">
      <formula>0</formula>
    </cfRule>
  </conditionalFormatting>
  <conditionalFormatting sqref="F103">
    <cfRule type="cellIs" rank="0" priority="295" equalAverage="0" operator="greaterThan" aboveAverage="0" dxfId="10" text="" percent="0" bottom="0">
      <formula>30</formula>
    </cfRule>
  </conditionalFormatting>
  <conditionalFormatting sqref="G104">
    <cfRule type="cellIs" rank="0" priority="296" equalAverage="0" operator="greaterThan" aboveAverage="0" dxfId="1" text="" percent="0" bottom="0">
      <formula>0</formula>
    </cfRule>
    <cfRule type="cellIs" rank="0" priority="297" equalAverage="0" operator="lessThanOrEqual" aboveAverage="0" dxfId="0" text="" percent="0" bottom="0">
      <formula>0</formula>
    </cfRule>
  </conditionalFormatting>
  <conditionalFormatting sqref="F104">
    <cfRule type="cellIs" rank="0" priority="298" equalAverage="0" operator="greaterThan" aboveAverage="0" dxfId="10" text="" percent="0" bottom="0">
      <formula>30</formula>
    </cfRule>
  </conditionalFormatting>
  <conditionalFormatting sqref="G105">
    <cfRule type="cellIs" rank="0" priority="299" equalAverage="0" operator="greaterThan" aboveAverage="0" dxfId="1" text="" percent="0" bottom="0">
      <formula>0</formula>
    </cfRule>
    <cfRule type="cellIs" rank="0" priority="300" equalAverage="0" operator="lessThanOrEqual" aboveAverage="0" dxfId="0" text="" percent="0" bottom="0">
      <formula>0</formula>
    </cfRule>
  </conditionalFormatting>
  <conditionalFormatting sqref="F105">
    <cfRule type="cellIs" rank="0" priority="301" equalAverage="0" operator="greaterThan" aboveAverage="0" dxfId="10" text="" percent="0" bottom="0">
      <formula>30</formula>
    </cfRule>
  </conditionalFormatting>
  <conditionalFormatting sqref="G106">
    <cfRule type="cellIs" rank="0" priority="302" equalAverage="0" operator="greaterThan" aboveAverage="0" dxfId="1" text="" percent="0" bottom="0">
      <formula>0</formula>
    </cfRule>
    <cfRule type="cellIs" rank="0" priority="303" equalAverage="0" operator="lessThanOrEqual" aboveAverage="0" dxfId="0" text="" percent="0" bottom="0">
      <formula>0</formula>
    </cfRule>
  </conditionalFormatting>
  <conditionalFormatting sqref="F106">
    <cfRule type="cellIs" rank="0" priority="304" equalAverage="0" operator="greaterThan" aboveAverage="0" dxfId="10" text="" percent="0" bottom="0">
      <formula>30</formula>
    </cfRule>
  </conditionalFormatting>
  <conditionalFormatting sqref="G107">
    <cfRule type="cellIs" rank="0" priority="305" equalAverage="0" operator="greaterThan" aboveAverage="0" dxfId="1" text="" percent="0" bottom="0">
      <formula>0</formula>
    </cfRule>
    <cfRule type="cellIs" rank="0" priority="306" equalAverage="0" operator="lessThanOrEqual" aboveAverage="0" dxfId="0" text="" percent="0" bottom="0">
      <formula>0</formula>
    </cfRule>
  </conditionalFormatting>
  <conditionalFormatting sqref="F107">
    <cfRule type="cellIs" rank="0" priority="307" equalAverage="0" operator="greaterThan" aboveAverage="0" dxfId="10" text="" percent="0" bottom="0">
      <formula>30</formula>
    </cfRule>
  </conditionalFormatting>
  <conditionalFormatting sqref="G108">
    <cfRule type="cellIs" rank="0" priority="308" equalAverage="0" operator="greaterThan" aboveAverage="0" dxfId="1" text="" percent="0" bottom="0">
      <formula>0</formula>
    </cfRule>
    <cfRule type="cellIs" rank="0" priority="309" equalAverage="0" operator="lessThanOrEqual" aboveAverage="0" dxfId="0" text="" percent="0" bottom="0">
      <formula>0</formula>
    </cfRule>
  </conditionalFormatting>
  <conditionalFormatting sqref="F108">
    <cfRule type="cellIs" rank="0" priority="310" equalAverage="0" operator="greaterThan" aboveAverage="0" dxfId="10" text="" percent="0" bottom="0">
      <formula>30</formula>
    </cfRule>
  </conditionalFormatting>
  <conditionalFormatting sqref="G109">
    <cfRule type="cellIs" rank="0" priority="311" equalAverage="0" operator="greaterThan" aboveAverage="0" dxfId="1" text="" percent="0" bottom="0">
      <formula>0</formula>
    </cfRule>
    <cfRule type="cellIs" rank="0" priority="312" equalAverage="0" operator="lessThanOrEqual" aboveAverage="0" dxfId="0" text="" percent="0" bottom="0">
      <formula>0</formula>
    </cfRule>
  </conditionalFormatting>
  <conditionalFormatting sqref="F109">
    <cfRule type="cellIs" rank="0" priority="313" equalAverage="0" operator="greaterThan" aboveAverage="0" dxfId="10" text="" percent="0" bottom="0">
      <formula>30</formula>
    </cfRule>
  </conditionalFormatting>
  <conditionalFormatting sqref="G110">
    <cfRule type="cellIs" rank="0" priority="314" equalAverage="0" operator="greaterThan" aboveAverage="0" dxfId="1" text="" percent="0" bottom="0">
      <formula>0</formula>
    </cfRule>
    <cfRule type="cellIs" rank="0" priority="315" equalAverage="0" operator="lessThanOrEqual" aboveAverage="0" dxfId="0" text="" percent="0" bottom="0">
      <formula>0</formula>
    </cfRule>
  </conditionalFormatting>
  <conditionalFormatting sqref="F110">
    <cfRule type="cellIs" rank="0" priority="316" equalAverage="0" operator="greaterThan" aboveAverage="0" dxfId="10" text="" percent="0" bottom="0">
      <formula>30</formula>
    </cfRule>
  </conditionalFormatting>
  <conditionalFormatting sqref="G111">
    <cfRule type="cellIs" rank="0" priority="317" equalAverage="0" operator="greaterThan" aboveAverage="0" dxfId="1" text="" percent="0" bottom="0">
      <formula>0</formula>
    </cfRule>
    <cfRule type="cellIs" rank="0" priority="318" equalAverage="0" operator="lessThanOrEqual" aboveAverage="0" dxfId="0" text="" percent="0" bottom="0">
      <formula>0</formula>
    </cfRule>
  </conditionalFormatting>
  <conditionalFormatting sqref="F111">
    <cfRule type="cellIs" rank="0" priority="319" equalAverage="0" operator="greaterThan" aboveAverage="0" dxfId="10" text="" percent="0" bottom="0">
      <formula>30</formula>
    </cfRule>
  </conditionalFormatting>
  <conditionalFormatting sqref="G112">
    <cfRule type="cellIs" rank="0" priority="320" equalAverage="0" operator="greaterThan" aboveAverage="0" dxfId="1" text="" percent="0" bottom="0">
      <formula>0</formula>
    </cfRule>
    <cfRule type="cellIs" rank="0" priority="321" equalAverage="0" operator="lessThanOrEqual" aboveAverage="0" dxfId="0" text="" percent="0" bottom="0">
      <formula>0</formula>
    </cfRule>
  </conditionalFormatting>
  <conditionalFormatting sqref="F112">
    <cfRule type="cellIs" rank="0" priority="322" equalAverage="0" operator="greaterThan" aboveAverage="0" dxfId="10" text="" percent="0" bottom="0">
      <formula>30</formula>
    </cfRule>
  </conditionalFormatting>
  <conditionalFormatting sqref="G113">
    <cfRule type="cellIs" rank="0" priority="323" equalAverage="0" operator="greaterThan" aboveAverage="0" dxfId="1" text="" percent="0" bottom="0">
      <formula>0</formula>
    </cfRule>
    <cfRule type="cellIs" rank="0" priority="324" equalAverage="0" operator="lessThanOrEqual" aboveAverage="0" dxfId="0" text="" percent="0" bottom="0">
      <formula>0</formula>
    </cfRule>
  </conditionalFormatting>
  <conditionalFormatting sqref="F113">
    <cfRule type="cellIs" rank="0" priority="325" equalAverage="0" operator="greaterThan" aboveAverage="0" dxfId="10" text="" percent="0" bottom="0">
      <formula>30</formula>
    </cfRule>
  </conditionalFormatting>
  <conditionalFormatting sqref="G114">
    <cfRule type="cellIs" rank="0" priority="326" equalAverage="0" operator="greaterThan" aboveAverage="0" dxfId="1" text="" percent="0" bottom="0">
      <formula>0</formula>
    </cfRule>
    <cfRule type="cellIs" rank="0" priority="327" equalAverage="0" operator="lessThanOrEqual" aboveAverage="0" dxfId="0" text="" percent="0" bottom="0">
      <formula>0</formula>
    </cfRule>
  </conditionalFormatting>
  <conditionalFormatting sqref="F114">
    <cfRule type="cellIs" rank="0" priority="328" equalAverage="0" operator="greaterThan" aboveAverage="0" dxfId="10" text="" percent="0" bottom="0">
      <formula>30</formula>
    </cfRule>
  </conditionalFormatting>
  <conditionalFormatting sqref="G115">
    <cfRule type="cellIs" rank="0" priority="329" equalAverage="0" operator="greaterThan" aboveAverage="0" dxfId="1" text="" percent="0" bottom="0">
      <formula>0</formula>
    </cfRule>
    <cfRule type="cellIs" rank="0" priority="330" equalAverage="0" operator="lessThanOrEqual" aboveAverage="0" dxfId="0" text="" percent="0" bottom="0">
      <formula>0</formula>
    </cfRule>
  </conditionalFormatting>
  <conditionalFormatting sqref="F115">
    <cfRule type="cellIs" rank="0" priority="331" equalAverage="0" operator="greaterThan" aboveAverage="0" dxfId="10" text="" percent="0" bottom="0">
      <formula>30</formula>
    </cfRule>
  </conditionalFormatting>
  <conditionalFormatting sqref="G116">
    <cfRule type="cellIs" rank="0" priority="332" equalAverage="0" operator="greaterThan" aboveAverage="0" dxfId="1" text="" percent="0" bottom="0">
      <formula>0</formula>
    </cfRule>
    <cfRule type="cellIs" rank="0" priority="333" equalAverage="0" operator="lessThanOrEqual" aboveAverage="0" dxfId="0" text="" percent="0" bottom="0">
      <formula>0</formula>
    </cfRule>
  </conditionalFormatting>
  <conditionalFormatting sqref="F116">
    <cfRule type="cellIs" rank="0" priority="334" equalAverage="0" operator="greaterThan" aboveAverage="0" dxfId="10" text="" percent="0" bottom="0">
      <formula>30</formula>
    </cfRule>
  </conditionalFormatting>
  <conditionalFormatting sqref="G117">
    <cfRule type="cellIs" rank="0" priority="335" equalAverage="0" operator="greaterThan" aboveAverage="0" dxfId="1" text="" percent="0" bottom="0">
      <formula>0</formula>
    </cfRule>
    <cfRule type="cellIs" rank="0" priority="336" equalAverage="0" operator="lessThanOrEqual" aboveAverage="0" dxfId="0" text="" percent="0" bottom="0">
      <formula>0</formula>
    </cfRule>
  </conditionalFormatting>
  <conditionalFormatting sqref="F117">
    <cfRule type="cellIs" rank="0" priority="337" equalAverage="0" operator="greaterThan" aboveAverage="0" dxfId="10" text="" percent="0" bottom="0">
      <formula>30</formula>
    </cfRule>
  </conditionalFormatting>
  <conditionalFormatting sqref="G118">
    <cfRule type="cellIs" rank="0" priority="338" equalAverage="0" operator="greaterThan" aboveAverage="0" dxfId="1" text="" percent="0" bottom="0">
      <formula>0</formula>
    </cfRule>
    <cfRule type="cellIs" rank="0" priority="339" equalAverage="0" operator="lessThanOrEqual" aboveAverage="0" dxfId="0" text="" percent="0" bottom="0">
      <formula>0</formula>
    </cfRule>
  </conditionalFormatting>
  <conditionalFormatting sqref="F118">
    <cfRule type="cellIs" rank="0" priority="340" equalAverage="0" operator="greaterThan" aboveAverage="0" dxfId="10" text="" percent="0" bottom="0">
      <formula>30</formula>
    </cfRule>
  </conditionalFormatting>
  <conditionalFormatting sqref="G119">
    <cfRule type="cellIs" rank="0" priority="341" equalAverage="0" operator="greaterThan" aboveAverage="0" dxfId="1" text="" percent="0" bottom="0">
      <formula>0</formula>
    </cfRule>
    <cfRule type="cellIs" rank="0" priority="342" equalAverage="0" operator="lessThanOrEqual" aboveAverage="0" dxfId="0" text="" percent="0" bottom="0">
      <formula>0</formula>
    </cfRule>
  </conditionalFormatting>
  <conditionalFormatting sqref="F119">
    <cfRule type="cellIs" rank="0" priority="343" equalAverage="0" operator="greaterThan" aboveAverage="0" dxfId="10" text="" percent="0" bottom="0">
      <formula>30</formula>
    </cfRule>
  </conditionalFormatting>
  <conditionalFormatting sqref="G120">
    <cfRule type="cellIs" rank="0" priority="344" equalAverage="0" operator="greaterThan" aboveAverage="0" dxfId="1" text="" percent="0" bottom="0">
      <formula>0</formula>
    </cfRule>
    <cfRule type="cellIs" rank="0" priority="345" equalAverage="0" operator="lessThanOrEqual" aboveAverage="0" dxfId="0" text="" percent="0" bottom="0">
      <formula>0</formula>
    </cfRule>
  </conditionalFormatting>
  <conditionalFormatting sqref="F120">
    <cfRule type="cellIs" rank="0" priority="346" equalAverage="0" operator="greaterThan" aboveAverage="0" dxfId="10" text="" percent="0" bottom="0">
      <formula>30</formula>
    </cfRule>
  </conditionalFormatting>
  <conditionalFormatting sqref="G121">
    <cfRule type="cellIs" rank="0" priority="347" equalAverage="0" operator="greaterThan" aboveAverage="0" dxfId="1" text="" percent="0" bottom="0">
      <formula>0</formula>
    </cfRule>
    <cfRule type="cellIs" rank="0" priority="348" equalAverage="0" operator="lessThanOrEqual" aboveAverage="0" dxfId="0" text="" percent="0" bottom="0">
      <formula>0</formula>
    </cfRule>
  </conditionalFormatting>
  <conditionalFormatting sqref="F121">
    <cfRule type="cellIs" rank="0" priority="349" equalAverage="0" operator="greaterThan" aboveAverage="0" dxfId="10" text="" percent="0" bottom="0">
      <formula>30</formula>
    </cfRule>
  </conditionalFormatting>
  <conditionalFormatting sqref="G122">
    <cfRule type="cellIs" rank="0" priority="350" equalAverage="0" operator="greaterThan" aboveAverage="0" dxfId="1" text="" percent="0" bottom="0">
      <formula>0</formula>
    </cfRule>
    <cfRule type="cellIs" rank="0" priority="351" equalAverage="0" operator="lessThanOrEqual" aboveAverage="0" dxfId="0" text="" percent="0" bottom="0">
      <formula>0</formula>
    </cfRule>
  </conditionalFormatting>
  <conditionalFormatting sqref="F122">
    <cfRule type="cellIs" rank="0" priority="352" equalAverage="0" operator="greaterThan" aboveAverage="0" dxfId="10" text="" percent="0" bottom="0">
      <formula>30</formula>
    </cfRule>
  </conditionalFormatting>
  <conditionalFormatting sqref="G123">
    <cfRule type="cellIs" rank="0" priority="353" equalAverage="0" operator="greaterThan" aboveAverage="0" dxfId="1" text="" percent="0" bottom="0">
      <formula>0</formula>
    </cfRule>
    <cfRule type="cellIs" rank="0" priority="354" equalAverage="0" operator="lessThanOrEqual" aboveAverage="0" dxfId="0" text="" percent="0" bottom="0">
      <formula>0</formula>
    </cfRule>
  </conditionalFormatting>
  <conditionalFormatting sqref="F123">
    <cfRule type="cellIs" rank="0" priority="355" equalAverage="0" operator="greaterThan" aboveAverage="0" dxfId="10" text="" percent="0" bottom="0">
      <formula>30</formula>
    </cfRule>
  </conditionalFormatting>
  <conditionalFormatting sqref="G124">
    <cfRule type="cellIs" rank="0" priority="356" equalAverage="0" operator="greaterThan" aboveAverage="0" dxfId="1" text="" percent="0" bottom="0">
      <formula>0</formula>
    </cfRule>
    <cfRule type="cellIs" rank="0" priority="357" equalAverage="0" operator="lessThanOrEqual" aboveAverage="0" dxfId="0" text="" percent="0" bottom="0">
      <formula>0</formula>
    </cfRule>
  </conditionalFormatting>
  <conditionalFormatting sqref="F124">
    <cfRule type="cellIs" rank="0" priority="358" equalAverage="0" operator="greaterThan" aboveAverage="0" dxfId="10" text="" percent="0" bottom="0">
      <formula>30</formula>
    </cfRule>
  </conditionalFormatting>
  <conditionalFormatting sqref="G125">
    <cfRule type="cellIs" rank="0" priority="359" equalAverage="0" operator="greaterThan" aboveAverage="0" dxfId="1" text="" percent="0" bottom="0">
      <formula>0</formula>
    </cfRule>
    <cfRule type="cellIs" rank="0" priority="360" equalAverage="0" operator="lessThanOrEqual" aboveAverage="0" dxfId="0" text="" percent="0" bottom="0">
      <formula>0</formula>
    </cfRule>
  </conditionalFormatting>
  <conditionalFormatting sqref="F125">
    <cfRule type="cellIs" rank="0" priority="361" equalAverage="0" operator="greaterThan" aboveAverage="0" dxfId="10" text="" percent="0" bottom="0">
      <formula>30</formula>
    </cfRule>
  </conditionalFormatting>
  <conditionalFormatting sqref="G126">
    <cfRule type="cellIs" rank="0" priority="362" equalAverage="0" operator="greaterThan" aboveAverage="0" dxfId="1" text="" percent="0" bottom="0">
      <formula>0</formula>
    </cfRule>
    <cfRule type="cellIs" rank="0" priority="363" equalAverage="0" operator="lessThanOrEqual" aboveAverage="0" dxfId="0" text="" percent="0" bottom="0">
      <formula>0</formula>
    </cfRule>
  </conditionalFormatting>
  <conditionalFormatting sqref="F126">
    <cfRule type="cellIs" rank="0" priority="364" equalAverage="0" operator="greaterThan" aboveAverage="0" dxfId="10" text="" percent="0" bottom="0">
      <formula>30</formula>
    </cfRule>
  </conditionalFormatting>
  <conditionalFormatting sqref="G127">
    <cfRule type="cellIs" rank="0" priority="365" equalAverage="0" operator="greaterThan" aboveAverage="0" dxfId="1" text="" percent="0" bottom="0">
      <formula>0</formula>
    </cfRule>
    <cfRule type="cellIs" rank="0" priority="366" equalAverage="0" operator="lessThanOrEqual" aboveAverage="0" dxfId="0" text="" percent="0" bottom="0">
      <formula>0</formula>
    </cfRule>
  </conditionalFormatting>
  <conditionalFormatting sqref="F127">
    <cfRule type="cellIs" rank="0" priority="367" equalAverage="0" operator="greaterThan" aboveAverage="0" dxfId="10" text="" percent="0" bottom="0">
      <formula>30</formula>
    </cfRule>
  </conditionalFormatting>
  <conditionalFormatting sqref="G128">
    <cfRule type="cellIs" rank="0" priority="368" equalAverage="0" operator="greaterThan" aboveAverage="0" dxfId="1" text="" percent="0" bottom="0">
      <formula>0</formula>
    </cfRule>
    <cfRule type="cellIs" rank="0" priority="369" equalAverage="0" operator="lessThanOrEqual" aboveAverage="0" dxfId="0" text="" percent="0" bottom="0">
      <formula>0</formula>
    </cfRule>
  </conditionalFormatting>
  <conditionalFormatting sqref="F128">
    <cfRule type="cellIs" rank="0" priority="370" equalAverage="0" operator="greaterThan" aboveAverage="0" dxfId="10" text="" percent="0" bottom="0">
      <formula>30</formula>
    </cfRule>
  </conditionalFormatting>
  <conditionalFormatting sqref="G129">
    <cfRule type="cellIs" rank="0" priority="371" equalAverage="0" operator="greaterThan" aboveAverage="0" dxfId="1" text="" percent="0" bottom="0">
      <formula>0</formula>
    </cfRule>
    <cfRule type="cellIs" rank="0" priority="372" equalAverage="0" operator="lessThanOrEqual" aboveAverage="0" dxfId="0" text="" percent="0" bottom="0">
      <formula>0</formula>
    </cfRule>
  </conditionalFormatting>
  <conditionalFormatting sqref="F129">
    <cfRule type="cellIs" rank="0" priority="373" equalAverage="0" operator="greaterThan" aboveAverage="0" dxfId="10" text="" percent="0" bottom="0">
      <formula>30</formula>
    </cfRule>
  </conditionalFormatting>
  <conditionalFormatting sqref="G130">
    <cfRule type="cellIs" rank="0" priority="374" equalAverage="0" operator="greaterThan" aboveAverage="0" dxfId="1" text="" percent="0" bottom="0">
      <formula>0</formula>
    </cfRule>
    <cfRule type="cellIs" rank="0" priority="375" equalAverage="0" operator="lessThanOrEqual" aboveAverage="0" dxfId="0" text="" percent="0" bottom="0">
      <formula>0</formula>
    </cfRule>
  </conditionalFormatting>
  <conditionalFormatting sqref="F130">
    <cfRule type="cellIs" rank="0" priority="376" equalAverage="0" operator="greaterThan" aboveAverage="0" dxfId="10" text="" percent="0" bottom="0">
      <formula>30</formula>
    </cfRule>
  </conditionalFormatting>
  <conditionalFormatting sqref="G131">
    <cfRule type="cellIs" rank="0" priority="377" equalAverage="0" operator="greaterThan" aboveAverage="0" dxfId="1" text="" percent="0" bottom="0">
      <formula>0</formula>
    </cfRule>
    <cfRule type="cellIs" rank="0" priority="378" equalAverage="0" operator="lessThanOrEqual" aboveAverage="0" dxfId="0" text="" percent="0" bottom="0">
      <formula>0</formula>
    </cfRule>
  </conditionalFormatting>
  <conditionalFormatting sqref="F131">
    <cfRule type="cellIs" rank="0" priority="379" equalAverage="0" operator="greaterThan" aboveAverage="0" dxfId="10" text="" percent="0" bottom="0">
      <formula>30</formula>
    </cfRule>
  </conditionalFormatting>
  <conditionalFormatting sqref="G132">
    <cfRule type="cellIs" rank="0" priority="380" equalAverage="0" operator="greaterThan" aboveAverage="0" dxfId="1" text="" percent="0" bottom="0">
      <formula>0</formula>
    </cfRule>
    <cfRule type="cellIs" rank="0" priority="381" equalAverage="0" operator="lessThanOrEqual" aboveAverage="0" dxfId="0" text="" percent="0" bottom="0">
      <formula>0</formula>
    </cfRule>
  </conditionalFormatting>
  <conditionalFormatting sqref="F132">
    <cfRule type="cellIs" rank="0" priority="382" equalAverage="0" operator="greaterThan" aboveAverage="0" dxfId="10" text="" percent="0" bottom="0">
      <formula>30</formula>
    </cfRule>
  </conditionalFormatting>
  <conditionalFormatting sqref="G133">
    <cfRule type="cellIs" rank="0" priority="383" equalAverage="0" operator="greaterThan" aboveAverage="0" dxfId="1" text="" percent="0" bottom="0">
      <formula>0</formula>
    </cfRule>
    <cfRule type="cellIs" rank="0" priority="384" equalAverage="0" operator="lessThanOrEqual" aboveAverage="0" dxfId="0" text="" percent="0" bottom="0">
      <formula>0</formula>
    </cfRule>
  </conditionalFormatting>
  <conditionalFormatting sqref="F133">
    <cfRule type="cellIs" rank="0" priority="385" equalAverage="0" operator="greaterThan" aboveAverage="0" dxfId="10" text="" percent="0" bottom="0">
      <formula>30</formula>
    </cfRule>
  </conditionalFormatting>
  <conditionalFormatting sqref="G134">
    <cfRule type="cellIs" rank="0" priority="386" equalAverage="0" operator="greaterThan" aboveAverage="0" dxfId="1" text="" percent="0" bottom="0">
      <formula>0</formula>
    </cfRule>
    <cfRule type="cellIs" rank="0" priority="387" equalAverage="0" operator="lessThanOrEqual" aboveAverage="0" dxfId="0" text="" percent="0" bottom="0">
      <formula>0</formula>
    </cfRule>
  </conditionalFormatting>
  <conditionalFormatting sqref="F134">
    <cfRule type="cellIs" rank="0" priority="388" equalAverage="0" operator="greaterThan" aboveAverage="0" dxfId="10" text="" percent="0" bottom="0">
      <formula>30</formula>
    </cfRule>
  </conditionalFormatting>
  <conditionalFormatting sqref="G135">
    <cfRule type="cellIs" rank="0" priority="389" equalAverage="0" operator="greaterThan" aboveAverage="0" dxfId="1" text="" percent="0" bottom="0">
      <formula>0</formula>
    </cfRule>
    <cfRule type="cellIs" rank="0" priority="390" equalAverage="0" operator="lessThanOrEqual" aboveAverage="0" dxfId="0" text="" percent="0" bottom="0">
      <formula>0</formula>
    </cfRule>
  </conditionalFormatting>
  <conditionalFormatting sqref="F135">
    <cfRule type="cellIs" rank="0" priority="391" equalAverage="0" operator="greaterThan" aboveAverage="0" dxfId="10" text="" percent="0" bottom="0">
      <formula>30</formula>
    </cfRule>
  </conditionalFormatting>
  <conditionalFormatting sqref="G136">
    <cfRule type="cellIs" rank="0" priority="392" equalAverage="0" operator="greaterThan" aboveAverage="0" dxfId="1" text="" percent="0" bottom="0">
      <formula>0</formula>
    </cfRule>
    <cfRule type="cellIs" rank="0" priority="393" equalAverage="0" operator="lessThanOrEqual" aboveAverage="0" dxfId="0" text="" percent="0" bottom="0">
      <formula>0</formula>
    </cfRule>
  </conditionalFormatting>
  <conditionalFormatting sqref="F136">
    <cfRule type="cellIs" rank="0" priority="394" equalAverage="0" operator="greaterThan" aboveAverage="0" dxfId="10" text="" percent="0" bottom="0">
      <formula>30</formula>
    </cfRule>
  </conditionalFormatting>
  <conditionalFormatting sqref="G137">
    <cfRule type="cellIs" rank="0" priority="395" equalAverage="0" operator="greaterThan" aboveAverage="0" dxfId="1" text="" percent="0" bottom="0">
      <formula>0</formula>
    </cfRule>
    <cfRule type="cellIs" rank="0" priority="396" equalAverage="0" operator="lessThanOrEqual" aboveAverage="0" dxfId="0" text="" percent="0" bottom="0">
      <formula>0</formula>
    </cfRule>
  </conditionalFormatting>
  <conditionalFormatting sqref="F137">
    <cfRule type="cellIs" rank="0" priority="397" equalAverage="0" operator="greaterThan" aboveAverage="0" dxfId="10" text="" percent="0" bottom="0">
      <formula>30</formula>
    </cfRule>
  </conditionalFormatting>
  <conditionalFormatting sqref="G138">
    <cfRule type="cellIs" rank="0" priority="398" equalAverage="0" operator="greaterThan" aboveAverage="0" dxfId="1" text="" percent="0" bottom="0">
      <formula>0</formula>
    </cfRule>
    <cfRule type="cellIs" rank="0" priority="399" equalAverage="0" operator="lessThanOrEqual" aboveAverage="0" dxfId="0" text="" percent="0" bottom="0">
      <formula>0</formula>
    </cfRule>
  </conditionalFormatting>
  <conditionalFormatting sqref="F138">
    <cfRule type="cellIs" rank="0" priority="400" equalAverage="0" operator="greaterThan" aboveAverage="0" dxfId="10" text="" percent="0" bottom="0">
      <formula>30</formula>
    </cfRule>
  </conditionalFormatting>
  <conditionalFormatting sqref="G139">
    <cfRule type="cellIs" rank="0" priority="401" equalAverage="0" operator="greaterThan" aboveAverage="0" dxfId="1" text="" percent="0" bottom="0">
      <formula>0</formula>
    </cfRule>
    <cfRule type="cellIs" rank="0" priority="402" equalAverage="0" operator="lessThanOrEqual" aboveAverage="0" dxfId="0" text="" percent="0" bottom="0">
      <formula>0</formula>
    </cfRule>
  </conditionalFormatting>
  <conditionalFormatting sqref="F139">
    <cfRule type="cellIs" rank="0" priority="403" equalAverage="0" operator="greaterThan" aboveAverage="0" dxfId="10" text="" percent="0" bottom="0">
      <formula>30</formula>
    </cfRule>
  </conditionalFormatting>
  <conditionalFormatting sqref="G140">
    <cfRule type="cellIs" rank="0" priority="404" equalAverage="0" operator="greaterThan" aboveAverage="0" dxfId="1" text="" percent="0" bottom="0">
      <formula>0</formula>
    </cfRule>
    <cfRule type="cellIs" rank="0" priority="405" equalAverage="0" operator="lessThanOrEqual" aboveAverage="0" dxfId="0" text="" percent="0" bottom="0">
      <formula>0</formula>
    </cfRule>
  </conditionalFormatting>
  <conditionalFormatting sqref="F140">
    <cfRule type="cellIs" rank="0" priority="406" equalAverage="0" operator="greaterThan" aboveAverage="0" dxfId="10" text="" percent="0" bottom="0">
      <formula>30</formula>
    </cfRule>
  </conditionalFormatting>
  <conditionalFormatting sqref="G141">
    <cfRule type="cellIs" rank="0" priority="407" equalAverage="0" operator="greaterThan" aboveAverage="0" dxfId="1" text="" percent="0" bottom="0">
      <formula>0</formula>
    </cfRule>
    <cfRule type="cellIs" rank="0" priority="408" equalAverage="0" operator="lessThanOrEqual" aboveAverage="0" dxfId="0" text="" percent="0" bottom="0">
      <formula>0</formula>
    </cfRule>
  </conditionalFormatting>
  <conditionalFormatting sqref="F141">
    <cfRule type="cellIs" rank="0" priority="409" equalAverage="0" operator="greaterThan" aboveAverage="0" dxfId="10" text="" percent="0" bottom="0">
      <formula>30</formula>
    </cfRule>
  </conditionalFormatting>
  <conditionalFormatting sqref="G142">
    <cfRule type="cellIs" rank="0" priority="410" equalAverage="0" operator="greaterThan" aboveAverage="0" dxfId="1" text="" percent="0" bottom="0">
      <formula>0</formula>
    </cfRule>
    <cfRule type="cellIs" rank="0" priority="411" equalAverage="0" operator="lessThanOrEqual" aboveAverage="0" dxfId="0" text="" percent="0" bottom="0">
      <formula>0</formula>
    </cfRule>
  </conditionalFormatting>
  <conditionalFormatting sqref="F142">
    <cfRule type="cellIs" rank="0" priority="412" equalAverage="0" operator="greaterThan" aboveAverage="0" dxfId="10" text="" percent="0" bottom="0">
      <formula>30</formula>
    </cfRule>
  </conditionalFormatting>
  <conditionalFormatting sqref="G143">
    <cfRule type="cellIs" rank="0" priority="413" equalAverage="0" operator="greaterThan" aboveAverage="0" dxfId="1" text="" percent="0" bottom="0">
      <formula>0</formula>
    </cfRule>
    <cfRule type="cellIs" rank="0" priority="414" equalAverage="0" operator="lessThanOrEqual" aboveAverage="0" dxfId="0" text="" percent="0" bottom="0">
      <formula>0</formula>
    </cfRule>
  </conditionalFormatting>
  <conditionalFormatting sqref="F143">
    <cfRule type="cellIs" rank="0" priority="415" equalAverage="0" operator="greaterThan" aboveAverage="0" dxfId="10" text="" percent="0" bottom="0">
      <formula>30</formula>
    </cfRule>
  </conditionalFormatting>
  <conditionalFormatting sqref="G144">
    <cfRule type="cellIs" rank="0" priority="416" equalAverage="0" operator="greaterThan" aboveAverage="0" dxfId="1" text="" percent="0" bottom="0">
      <formula>0</formula>
    </cfRule>
    <cfRule type="cellIs" rank="0" priority="417" equalAverage="0" operator="lessThanOrEqual" aboveAverage="0" dxfId="0" text="" percent="0" bottom="0">
      <formula>0</formula>
    </cfRule>
  </conditionalFormatting>
  <conditionalFormatting sqref="F144">
    <cfRule type="cellIs" rank="0" priority="418" equalAverage="0" operator="greaterThan" aboveAverage="0" dxfId="10" text="" percent="0" bottom="0">
      <formula>30</formula>
    </cfRule>
  </conditionalFormatting>
  <conditionalFormatting sqref="G145">
    <cfRule type="cellIs" rank="0" priority="419" equalAverage="0" operator="greaterThan" aboveAverage="0" dxfId="1" text="" percent="0" bottom="0">
      <formula>0</formula>
    </cfRule>
    <cfRule type="cellIs" rank="0" priority="420" equalAverage="0" operator="lessThanOrEqual" aboveAverage="0" dxfId="0" text="" percent="0" bottom="0">
      <formula>0</formula>
    </cfRule>
  </conditionalFormatting>
  <conditionalFormatting sqref="F145">
    <cfRule type="cellIs" rank="0" priority="421" equalAverage="0" operator="greaterThan" aboveAverage="0" dxfId="10" text="" percent="0" bottom="0">
      <formula>30</formula>
    </cfRule>
  </conditionalFormatting>
  <conditionalFormatting sqref="G146">
    <cfRule type="cellIs" rank="0" priority="422" equalAverage="0" operator="greaterThan" aboveAverage="0" dxfId="1" text="" percent="0" bottom="0">
      <formula>0</formula>
    </cfRule>
    <cfRule type="cellIs" rank="0" priority="423" equalAverage="0" operator="lessThanOrEqual" aboveAverage="0" dxfId="0" text="" percent="0" bottom="0">
      <formula>0</formula>
    </cfRule>
  </conditionalFormatting>
  <conditionalFormatting sqref="F146">
    <cfRule type="cellIs" rank="0" priority="424" equalAverage="0" operator="greaterThan" aboveAverage="0" dxfId="10" text="" percent="0" bottom="0">
      <formula>30</formula>
    </cfRule>
  </conditionalFormatting>
  <conditionalFormatting sqref="G147">
    <cfRule type="cellIs" rank="0" priority="425" equalAverage="0" operator="greaterThan" aboveAverage="0" dxfId="1" text="" percent="0" bottom="0">
      <formula>0</formula>
    </cfRule>
    <cfRule type="cellIs" rank="0" priority="426" equalAverage="0" operator="lessThanOrEqual" aboveAverage="0" dxfId="0" text="" percent="0" bottom="0">
      <formula>0</formula>
    </cfRule>
  </conditionalFormatting>
  <conditionalFormatting sqref="F147">
    <cfRule type="cellIs" rank="0" priority="427" equalAverage="0" operator="greaterThan" aboveAverage="0" dxfId="10" text="" percent="0" bottom="0">
      <formula>30</formula>
    </cfRule>
  </conditionalFormatting>
  <conditionalFormatting sqref="G148">
    <cfRule type="cellIs" rank="0" priority="428" equalAverage="0" operator="greaterThan" aboveAverage="0" dxfId="1" text="" percent="0" bottom="0">
      <formula>0</formula>
    </cfRule>
    <cfRule type="cellIs" rank="0" priority="429" equalAverage="0" operator="lessThanOrEqual" aboveAverage="0" dxfId="0" text="" percent="0" bottom="0">
      <formula>0</formula>
    </cfRule>
  </conditionalFormatting>
  <conditionalFormatting sqref="F148">
    <cfRule type="cellIs" rank="0" priority="430" equalAverage="0" operator="greaterThan" aboveAverage="0" dxfId="10" text="" percent="0" bottom="0">
      <formula>30</formula>
    </cfRule>
  </conditionalFormatting>
  <conditionalFormatting sqref="G149">
    <cfRule type="cellIs" rank="0" priority="431" equalAverage="0" operator="greaterThan" aboveAverage="0" dxfId="1" text="" percent="0" bottom="0">
      <formula>0</formula>
    </cfRule>
    <cfRule type="cellIs" rank="0" priority="432" equalAverage="0" operator="lessThanOrEqual" aboveAverage="0" dxfId="0" text="" percent="0" bottom="0">
      <formula>0</formula>
    </cfRule>
  </conditionalFormatting>
  <conditionalFormatting sqref="F149">
    <cfRule type="cellIs" rank="0" priority="433" equalAverage="0" operator="greaterThan" aboveAverage="0" dxfId="10" text="" percent="0" bottom="0">
      <formula>30</formula>
    </cfRule>
  </conditionalFormatting>
  <conditionalFormatting sqref="G150">
    <cfRule type="cellIs" rank="0" priority="434" equalAverage="0" operator="greaterThan" aboveAverage="0" dxfId="1" text="" percent="0" bottom="0">
      <formula>0</formula>
    </cfRule>
    <cfRule type="cellIs" rank="0" priority="435" equalAverage="0" operator="lessThanOrEqual" aboveAverage="0" dxfId="0" text="" percent="0" bottom="0">
      <formula>0</formula>
    </cfRule>
  </conditionalFormatting>
  <conditionalFormatting sqref="F150">
    <cfRule type="cellIs" rank="0" priority="436" equalAverage="0" operator="greaterThan" aboveAverage="0" dxfId="10" text="" percent="0" bottom="0">
      <formula>30</formula>
    </cfRule>
  </conditionalFormatting>
  <conditionalFormatting sqref="G151">
    <cfRule type="cellIs" rank="0" priority="437" equalAverage="0" operator="greaterThan" aboveAverage="0" dxfId="1" text="" percent="0" bottom="0">
      <formula>0</formula>
    </cfRule>
    <cfRule type="cellIs" rank="0" priority="438" equalAverage="0" operator="lessThanOrEqual" aboveAverage="0" dxfId="0" text="" percent="0" bottom="0">
      <formula>0</formula>
    </cfRule>
  </conditionalFormatting>
  <conditionalFormatting sqref="F151">
    <cfRule type="cellIs" rank="0" priority="439" equalAverage="0" operator="greaterThan" aboveAverage="0" dxfId="10" text="" percent="0" bottom="0">
      <formula>30</formula>
    </cfRule>
  </conditionalFormatting>
  <conditionalFormatting sqref="G152">
    <cfRule type="cellIs" rank="0" priority="440" equalAverage="0" operator="greaterThan" aboveAverage="0" dxfId="1" text="" percent="0" bottom="0">
      <formula>0</formula>
    </cfRule>
    <cfRule type="cellIs" rank="0" priority="441" equalAverage="0" operator="lessThanOrEqual" aboveAverage="0" dxfId="0" text="" percent="0" bottom="0">
      <formula>0</formula>
    </cfRule>
  </conditionalFormatting>
  <conditionalFormatting sqref="F152">
    <cfRule type="cellIs" rank="0" priority="442" equalAverage="0" operator="greaterThan" aboveAverage="0" dxfId="10" text="" percent="0" bottom="0">
      <formula>30</formula>
    </cfRule>
  </conditionalFormatting>
  <conditionalFormatting sqref="G153">
    <cfRule type="cellIs" rank="0" priority="443" equalAverage="0" operator="greaterThan" aboveAverage="0" dxfId="1" text="" percent="0" bottom="0">
      <formula>0</formula>
    </cfRule>
    <cfRule type="cellIs" rank="0" priority="444" equalAverage="0" operator="lessThanOrEqual" aboveAverage="0" dxfId="0" text="" percent="0" bottom="0">
      <formula>0</formula>
    </cfRule>
  </conditionalFormatting>
  <conditionalFormatting sqref="F153">
    <cfRule type="cellIs" rank="0" priority="445" equalAverage="0" operator="greaterThan" aboveAverage="0" dxfId="10" text="" percent="0" bottom="0">
      <formula>30</formula>
    </cfRule>
  </conditionalFormatting>
  <conditionalFormatting sqref="G154">
    <cfRule type="cellIs" rank="0" priority="446" equalAverage="0" operator="greaterThan" aboveAverage="0" dxfId="1" text="" percent="0" bottom="0">
      <formula>0</formula>
    </cfRule>
    <cfRule type="cellIs" rank="0" priority="447" equalAverage="0" operator="lessThanOrEqual" aboveAverage="0" dxfId="0" text="" percent="0" bottom="0">
      <formula>0</formula>
    </cfRule>
  </conditionalFormatting>
  <conditionalFormatting sqref="F154">
    <cfRule type="cellIs" rank="0" priority="448" equalAverage="0" operator="greaterThan" aboveAverage="0" dxfId="10" text="" percent="0" bottom="0">
      <formula>30</formula>
    </cfRule>
  </conditionalFormatting>
  <conditionalFormatting sqref="G155">
    <cfRule type="cellIs" rank="0" priority="449" equalAverage="0" operator="greaterThan" aboveAverage="0" dxfId="1" text="" percent="0" bottom="0">
      <formula>0</formula>
    </cfRule>
    <cfRule type="cellIs" rank="0" priority="450" equalAverage="0" operator="lessThanOrEqual" aboveAverage="0" dxfId="0" text="" percent="0" bottom="0">
      <formula>0</formula>
    </cfRule>
  </conditionalFormatting>
  <conditionalFormatting sqref="F155">
    <cfRule type="cellIs" rank="0" priority="451" equalAverage="0" operator="greaterThan" aboveAverage="0" dxfId="10" text="" percent="0" bottom="0">
      <formula>30</formula>
    </cfRule>
  </conditionalFormatting>
  <conditionalFormatting sqref="G156">
    <cfRule type="cellIs" rank="0" priority="452" equalAverage="0" operator="greaterThan" aboveAverage="0" dxfId="1" text="" percent="0" bottom="0">
      <formula>0</formula>
    </cfRule>
    <cfRule type="cellIs" rank="0" priority="453" equalAverage="0" operator="lessThanOrEqual" aboveAverage="0" dxfId="0" text="" percent="0" bottom="0">
      <formula>0</formula>
    </cfRule>
  </conditionalFormatting>
  <conditionalFormatting sqref="F156">
    <cfRule type="cellIs" rank="0" priority="454" equalAverage="0" operator="greaterThan" aboveAverage="0" dxfId="10" text="" percent="0" bottom="0">
      <formula>30</formula>
    </cfRule>
  </conditionalFormatting>
  <conditionalFormatting sqref="G157">
    <cfRule type="cellIs" rank="0" priority="455" equalAverage="0" operator="greaterThan" aboveAverage="0" dxfId="1" text="" percent="0" bottom="0">
      <formula>0</formula>
    </cfRule>
    <cfRule type="cellIs" rank="0" priority="456" equalAverage="0" operator="lessThanOrEqual" aboveAverage="0" dxfId="0" text="" percent="0" bottom="0">
      <formula>0</formula>
    </cfRule>
  </conditionalFormatting>
  <conditionalFormatting sqref="F157">
    <cfRule type="cellIs" rank="0" priority="457" equalAverage="0" operator="greaterThan" aboveAverage="0" dxfId="10" text="" percent="0" bottom="0">
      <formula>30</formula>
    </cfRule>
  </conditionalFormatting>
  <conditionalFormatting sqref="G158">
    <cfRule type="cellIs" rank="0" priority="458" equalAverage="0" operator="greaterThan" aboveAverage="0" dxfId="1" text="" percent="0" bottom="0">
      <formula>0</formula>
    </cfRule>
    <cfRule type="cellIs" rank="0" priority="459" equalAverage="0" operator="lessThanOrEqual" aboveAverage="0" dxfId="0" text="" percent="0" bottom="0">
      <formula>0</formula>
    </cfRule>
  </conditionalFormatting>
  <conditionalFormatting sqref="F158">
    <cfRule type="cellIs" rank="0" priority="460" equalAverage="0" operator="greaterThan" aboveAverage="0" dxfId="10" text="" percent="0" bottom="0">
      <formula>30</formula>
    </cfRule>
  </conditionalFormatting>
  <conditionalFormatting sqref="G159">
    <cfRule type="cellIs" rank="0" priority="461" equalAverage="0" operator="greaterThan" aboveAverage="0" dxfId="1" text="" percent="0" bottom="0">
      <formula>0</formula>
    </cfRule>
    <cfRule type="cellIs" rank="0" priority="462" equalAverage="0" operator="lessThanOrEqual" aboveAverage="0" dxfId="0" text="" percent="0" bottom="0">
      <formula>0</formula>
    </cfRule>
  </conditionalFormatting>
  <conditionalFormatting sqref="F159">
    <cfRule type="cellIs" rank="0" priority="463" equalAverage="0" operator="greaterThan" aboveAverage="0" dxfId="10" text="" percent="0" bottom="0">
      <formula>30</formula>
    </cfRule>
  </conditionalFormatting>
  <conditionalFormatting sqref="G160">
    <cfRule type="cellIs" rank="0" priority="464" equalAverage="0" operator="greaterThan" aboveAverage="0" dxfId="1" text="" percent="0" bottom="0">
      <formula>0</formula>
    </cfRule>
    <cfRule type="cellIs" rank="0" priority="465" equalAverage="0" operator="lessThanOrEqual" aboveAverage="0" dxfId="0" text="" percent="0" bottom="0">
      <formula>0</formula>
    </cfRule>
  </conditionalFormatting>
  <conditionalFormatting sqref="F160">
    <cfRule type="cellIs" rank="0" priority="466" equalAverage="0" operator="greaterThan" aboveAverage="0" dxfId="10" text="" percent="0" bottom="0">
      <formula>30</formula>
    </cfRule>
  </conditionalFormatting>
  <conditionalFormatting sqref="G161">
    <cfRule type="cellIs" rank="0" priority="467" equalAverage="0" operator="greaterThan" aboveAverage="0" dxfId="1" text="" percent="0" bottom="0">
      <formula>0</formula>
    </cfRule>
    <cfRule type="cellIs" rank="0" priority="468" equalAverage="0" operator="lessThanOrEqual" aboveAverage="0" dxfId="0" text="" percent="0" bottom="0">
      <formula>0</formula>
    </cfRule>
  </conditionalFormatting>
  <conditionalFormatting sqref="F161">
    <cfRule type="cellIs" rank="0" priority="469" equalAverage="0" operator="greaterThan" aboveAverage="0" dxfId="10" text="" percent="0" bottom="0">
      <formula>30</formula>
    </cfRule>
  </conditionalFormatting>
  <conditionalFormatting sqref="G162">
    <cfRule type="cellIs" rank="0" priority="470" equalAverage="0" operator="greaterThan" aboveAverage="0" dxfId="1" text="" percent="0" bottom="0">
      <formula>0</formula>
    </cfRule>
    <cfRule type="cellIs" rank="0" priority="471" equalAverage="0" operator="lessThanOrEqual" aboveAverage="0" dxfId="0" text="" percent="0" bottom="0">
      <formula>0</formula>
    </cfRule>
  </conditionalFormatting>
  <conditionalFormatting sqref="F162">
    <cfRule type="cellIs" rank="0" priority="472" equalAverage="0" operator="greaterThan" aboveAverage="0" dxfId="10" text="" percent="0" bottom="0">
      <formula>30</formula>
    </cfRule>
  </conditionalFormatting>
  <conditionalFormatting sqref="G163">
    <cfRule type="cellIs" rank="0" priority="473" equalAverage="0" operator="greaterThan" aboveAverage="0" dxfId="1" text="" percent="0" bottom="0">
      <formula>0</formula>
    </cfRule>
    <cfRule type="cellIs" rank="0" priority="474" equalAverage="0" operator="lessThanOrEqual" aboveAverage="0" dxfId="0" text="" percent="0" bottom="0">
      <formula>0</formula>
    </cfRule>
  </conditionalFormatting>
  <conditionalFormatting sqref="F163">
    <cfRule type="cellIs" rank="0" priority="475" equalAverage="0" operator="greaterThan" aboveAverage="0" dxfId="10" text="" percent="0" bottom="0">
      <formula>30</formula>
    </cfRule>
  </conditionalFormatting>
  <conditionalFormatting sqref="G164">
    <cfRule type="cellIs" rank="0" priority="476" equalAverage="0" operator="greaterThan" aboveAverage="0" dxfId="1" text="" percent="0" bottom="0">
      <formula>0</formula>
    </cfRule>
    <cfRule type="cellIs" rank="0" priority="477" equalAverage="0" operator="lessThanOrEqual" aboveAverage="0" dxfId="0" text="" percent="0" bottom="0">
      <formula>0</formula>
    </cfRule>
  </conditionalFormatting>
  <conditionalFormatting sqref="F164">
    <cfRule type="cellIs" rank="0" priority="478" equalAverage="0" operator="greaterThan" aboveAverage="0" dxfId="10" text="" percent="0" bottom="0">
      <formula>30</formula>
    </cfRule>
  </conditionalFormatting>
  <conditionalFormatting sqref="G165">
    <cfRule type="cellIs" rank="0" priority="479" equalAverage="0" operator="greaterThan" aboveAverage="0" dxfId="1" text="" percent="0" bottom="0">
      <formula>0</formula>
    </cfRule>
    <cfRule type="cellIs" rank="0" priority="480" equalAverage="0" operator="lessThanOrEqual" aboveAverage="0" dxfId="0" text="" percent="0" bottom="0">
      <formula>0</formula>
    </cfRule>
  </conditionalFormatting>
  <conditionalFormatting sqref="F165">
    <cfRule type="cellIs" rank="0" priority="481" equalAverage="0" operator="greaterThan" aboveAverage="0" dxfId="10" text="" percent="0" bottom="0">
      <formula>30</formula>
    </cfRule>
  </conditionalFormatting>
  <conditionalFormatting sqref="G166">
    <cfRule type="cellIs" rank="0" priority="482" equalAverage="0" operator="greaterThan" aboveAverage="0" dxfId="1" text="" percent="0" bottom="0">
      <formula>0</formula>
    </cfRule>
    <cfRule type="cellIs" rank="0" priority="483" equalAverage="0" operator="lessThanOrEqual" aboveAverage="0" dxfId="0" text="" percent="0" bottom="0">
      <formula>0</formula>
    </cfRule>
  </conditionalFormatting>
  <conditionalFormatting sqref="F166">
    <cfRule type="cellIs" rank="0" priority="484" equalAverage="0" operator="greaterThan" aboveAverage="0" dxfId="10" text="" percent="0" bottom="0">
      <formula>30</formula>
    </cfRule>
  </conditionalFormatting>
  <conditionalFormatting sqref="G167">
    <cfRule type="cellIs" rank="0" priority="485" equalAverage="0" operator="greaterThan" aboveAverage="0" dxfId="1" text="" percent="0" bottom="0">
      <formula>0</formula>
    </cfRule>
    <cfRule type="cellIs" rank="0" priority="486" equalAverage="0" operator="lessThanOrEqual" aboveAverage="0" dxfId="0" text="" percent="0" bottom="0">
      <formula>0</formula>
    </cfRule>
  </conditionalFormatting>
  <conditionalFormatting sqref="F167">
    <cfRule type="cellIs" rank="0" priority="487" equalAverage="0" operator="greaterThan" aboveAverage="0" dxfId="10" text="" percent="0" bottom="0">
      <formula>30</formula>
    </cfRule>
  </conditionalFormatting>
  <conditionalFormatting sqref="G168">
    <cfRule type="cellIs" rank="0" priority="488" equalAverage="0" operator="greaterThan" aboveAverage="0" dxfId="1" text="" percent="0" bottom="0">
      <formula>0</formula>
    </cfRule>
    <cfRule type="cellIs" rank="0" priority="489" equalAverage="0" operator="lessThanOrEqual" aboveAverage="0" dxfId="0" text="" percent="0" bottom="0">
      <formula>0</formula>
    </cfRule>
  </conditionalFormatting>
  <conditionalFormatting sqref="F168">
    <cfRule type="cellIs" rank="0" priority="490" equalAverage="0" operator="greaterThan" aboveAverage="0" dxfId="10" text="" percent="0" bottom="0">
      <formula>30</formula>
    </cfRule>
  </conditionalFormatting>
  <conditionalFormatting sqref="G169">
    <cfRule type="cellIs" rank="0" priority="491" equalAverage="0" operator="greaterThan" aboveAverage="0" dxfId="1" text="" percent="0" bottom="0">
      <formula>0</formula>
    </cfRule>
    <cfRule type="cellIs" rank="0" priority="492" equalAverage="0" operator="lessThanOrEqual" aboveAverage="0" dxfId="0" text="" percent="0" bottom="0">
      <formula>0</formula>
    </cfRule>
  </conditionalFormatting>
  <conditionalFormatting sqref="F169">
    <cfRule type="cellIs" rank="0" priority="493" equalAverage="0" operator="greaterThan" aboveAverage="0" dxfId="10" text="" percent="0" bottom="0">
      <formula>30</formula>
    </cfRule>
  </conditionalFormatting>
  <conditionalFormatting sqref="G170">
    <cfRule type="cellIs" rank="0" priority="494" equalAverage="0" operator="greaterThan" aboveAverage="0" dxfId="1" text="" percent="0" bottom="0">
      <formula>0</formula>
    </cfRule>
    <cfRule type="cellIs" rank="0" priority="495" equalAverage="0" operator="lessThanOrEqual" aboveAverage="0" dxfId="0" text="" percent="0" bottom="0">
      <formula>0</formula>
    </cfRule>
  </conditionalFormatting>
  <conditionalFormatting sqref="F170">
    <cfRule type="cellIs" rank="0" priority="496" equalAverage="0" operator="greaterThan" aboveAverage="0" dxfId="10" text="" percent="0" bottom="0">
      <formula>30</formula>
    </cfRule>
  </conditionalFormatting>
  <conditionalFormatting sqref="G171">
    <cfRule type="cellIs" rank="0" priority="497" equalAverage="0" operator="greaterThan" aboveAverage="0" dxfId="1" text="" percent="0" bottom="0">
      <formula>0</formula>
    </cfRule>
    <cfRule type="cellIs" rank="0" priority="498" equalAverage="0" operator="lessThanOrEqual" aboveAverage="0" dxfId="0" text="" percent="0" bottom="0">
      <formula>0</formula>
    </cfRule>
  </conditionalFormatting>
  <conditionalFormatting sqref="F171">
    <cfRule type="cellIs" rank="0" priority="499" equalAverage="0" operator="greaterThan" aboveAverage="0" dxfId="10" text="" percent="0" bottom="0">
      <formula>30</formula>
    </cfRule>
  </conditionalFormatting>
  <conditionalFormatting sqref="G172">
    <cfRule type="cellIs" rank="0" priority="500" equalAverage="0" operator="greaterThan" aboveAverage="0" dxfId="1" text="" percent="0" bottom="0">
      <formula>0</formula>
    </cfRule>
    <cfRule type="cellIs" rank="0" priority="501" equalAverage="0" operator="lessThanOrEqual" aboveAverage="0" dxfId="0" text="" percent="0" bottom="0">
      <formula>0</formula>
    </cfRule>
  </conditionalFormatting>
  <conditionalFormatting sqref="F172">
    <cfRule type="cellIs" rank="0" priority="502" equalAverage="0" operator="greaterThan" aboveAverage="0" dxfId="10" text="" percent="0" bottom="0">
      <formula>30</formula>
    </cfRule>
  </conditionalFormatting>
  <conditionalFormatting sqref="G173">
    <cfRule type="cellIs" rank="0" priority="503" equalAverage="0" operator="greaterThan" aboveAverage="0" dxfId="1" text="" percent="0" bottom="0">
      <formula>0</formula>
    </cfRule>
    <cfRule type="cellIs" rank="0" priority="504" equalAverage="0" operator="lessThanOrEqual" aboveAverage="0" dxfId="0" text="" percent="0" bottom="0">
      <formula>0</formula>
    </cfRule>
  </conditionalFormatting>
  <conditionalFormatting sqref="F173">
    <cfRule type="cellIs" rank="0" priority="505" equalAverage="0" operator="greaterThan" aboveAverage="0" dxfId="10" text="" percent="0" bottom="0">
      <formula>30</formula>
    </cfRule>
  </conditionalFormatting>
  <conditionalFormatting sqref="G174">
    <cfRule type="cellIs" rank="0" priority="506" equalAverage="0" operator="greaterThan" aboveAverage="0" dxfId="1" text="" percent="0" bottom="0">
      <formula>0</formula>
    </cfRule>
    <cfRule type="cellIs" rank="0" priority="507" equalAverage="0" operator="lessThanOrEqual" aboveAverage="0" dxfId="0" text="" percent="0" bottom="0">
      <formula>0</formula>
    </cfRule>
  </conditionalFormatting>
  <conditionalFormatting sqref="F174">
    <cfRule type="cellIs" rank="0" priority="508" equalAverage="0" operator="greaterThan" aboveAverage="0" dxfId="10" text="" percent="0" bottom="0">
      <formula>30</formula>
    </cfRule>
  </conditionalFormatting>
  <conditionalFormatting sqref="G175">
    <cfRule type="cellIs" rank="0" priority="509" equalAverage="0" operator="greaterThan" aboveAverage="0" dxfId="1" text="" percent="0" bottom="0">
      <formula>0</formula>
    </cfRule>
    <cfRule type="cellIs" rank="0" priority="510" equalAverage="0" operator="lessThanOrEqual" aboveAverage="0" dxfId="0" text="" percent="0" bottom="0">
      <formula>0</formula>
    </cfRule>
  </conditionalFormatting>
  <conditionalFormatting sqref="F175">
    <cfRule type="cellIs" rank="0" priority="511" equalAverage="0" operator="greaterThan" aboveAverage="0" dxfId="10" text="" percent="0" bottom="0">
      <formula>30</formula>
    </cfRule>
  </conditionalFormatting>
  <conditionalFormatting sqref="G176">
    <cfRule type="cellIs" rank="0" priority="512" equalAverage="0" operator="greaterThan" aboveAverage="0" dxfId="1" text="" percent="0" bottom="0">
      <formula>0</formula>
    </cfRule>
    <cfRule type="cellIs" rank="0" priority="513" equalAverage="0" operator="lessThanOrEqual" aboveAverage="0" dxfId="0" text="" percent="0" bottom="0">
      <formula>0</formula>
    </cfRule>
  </conditionalFormatting>
  <conditionalFormatting sqref="F176">
    <cfRule type="cellIs" rank="0" priority="514" equalAverage="0" operator="greaterThan" aboveAverage="0" dxfId="10" text="" percent="0" bottom="0">
      <formula>30</formula>
    </cfRule>
  </conditionalFormatting>
  <conditionalFormatting sqref="G177">
    <cfRule type="cellIs" rank="0" priority="515" equalAverage="0" operator="greaterThan" aboveAverage="0" dxfId="1" text="" percent="0" bottom="0">
      <formula>0</formula>
    </cfRule>
    <cfRule type="cellIs" rank="0" priority="516" equalAverage="0" operator="lessThanOrEqual" aboveAverage="0" dxfId="0" text="" percent="0" bottom="0">
      <formula>0</formula>
    </cfRule>
  </conditionalFormatting>
  <conditionalFormatting sqref="F177">
    <cfRule type="cellIs" rank="0" priority="517" equalAverage="0" operator="greaterThan" aboveAverage="0" dxfId="10" text="" percent="0" bottom="0">
      <formula>30</formula>
    </cfRule>
  </conditionalFormatting>
  <conditionalFormatting sqref="G178">
    <cfRule type="cellIs" rank="0" priority="518" equalAverage="0" operator="greaterThan" aboveAverage="0" dxfId="1" text="" percent="0" bottom="0">
      <formula>0</formula>
    </cfRule>
    <cfRule type="cellIs" rank="0" priority="519" equalAverage="0" operator="lessThanOrEqual" aboveAverage="0" dxfId="0" text="" percent="0" bottom="0">
      <formula>0</formula>
    </cfRule>
  </conditionalFormatting>
  <conditionalFormatting sqref="F178">
    <cfRule type="cellIs" rank="0" priority="520" equalAverage="0" operator="greaterThan" aboveAverage="0" dxfId="10" text="" percent="0" bottom="0">
      <formula>30</formula>
    </cfRule>
  </conditionalFormatting>
  <conditionalFormatting sqref="G179">
    <cfRule type="cellIs" rank="0" priority="521" equalAverage="0" operator="greaterThan" aboveAverage="0" dxfId="1" text="" percent="0" bottom="0">
      <formula>0</formula>
    </cfRule>
    <cfRule type="cellIs" rank="0" priority="522" equalAverage="0" operator="lessThanOrEqual" aboveAverage="0" dxfId="0" text="" percent="0" bottom="0">
      <formula>0</formula>
    </cfRule>
  </conditionalFormatting>
  <conditionalFormatting sqref="F179">
    <cfRule type="cellIs" rank="0" priority="523" equalAverage="0" operator="greaterThan" aboveAverage="0" dxfId="10" text="" percent="0" bottom="0">
      <formula>30</formula>
    </cfRule>
  </conditionalFormatting>
  <conditionalFormatting sqref="G180">
    <cfRule type="cellIs" rank="0" priority="524" equalAverage="0" operator="greaterThan" aboveAverage="0" dxfId="1" text="" percent="0" bottom="0">
      <formula>0</formula>
    </cfRule>
    <cfRule type="cellIs" rank="0" priority="525" equalAverage="0" operator="lessThanOrEqual" aboveAverage="0" dxfId="0" text="" percent="0" bottom="0">
      <formula>0</formula>
    </cfRule>
  </conditionalFormatting>
  <conditionalFormatting sqref="F180">
    <cfRule type="cellIs" rank="0" priority="526" equalAverage="0" operator="greaterThan" aboveAverage="0" dxfId="10" text="" percent="0" bottom="0">
      <formula>30</formula>
    </cfRule>
  </conditionalFormatting>
  <conditionalFormatting sqref="G181">
    <cfRule type="cellIs" rank="0" priority="527" equalAverage="0" operator="greaterThan" aboveAverage="0" dxfId="1" text="" percent="0" bottom="0">
      <formula>0</formula>
    </cfRule>
    <cfRule type="cellIs" rank="0" priority="528" equalAverage="0" operator="lessThanOrEqual" aboveAverage="0" dxfId="0" text="" percent="0" bottom="0">
      <formula>0</formula>
    </cfRule>
  </conditionalFormatting>
  <conditionalFormatting sqref="F181">
    <cfRule type="cellIs" rank="0" priority="529" equalAverage="0" operator="greaterThan" aboveAverage="0" dxfId="10" text="" percent="0" bottom="0">
      <formula>30</formula>
    </cfRule>
  </conditionalFormatting>
  <conditionalFormatting sqref="G182">
    <cfRule type="cellIs" rank="0" priority="530" equalAverage="0" operator="greaterThan" aboveAverage="0" dxfId="1" text="" percent="0" bottom="0">
      <formula>0</formula>
    </cfRule>
    <cfRule type="cellIs" rank="0" priority="531" equalAverage="0" operator="lessThanOrEqual" aboveAverage="0" dxfId="0" text="" percent="0" bottom="0">
      <formula>0</formula>
    </cfRule>
  </conditionalFormatting>
  <conditionalFormatting sqref="F182">
    <cfRule type="cellIs" rank="0" priority="532" equalAverage="0" operator="greaterThan" aboveAverage="0" dxfId="10" text="" percent="0" bottom="0">
      <formula>30</formula>
    </cfRule>
  </conditionalFormatting>
  <conditionalFormatting sqref="G183">
    <cfRule type="cellIs" rank="0" priority="533" equalAverage="0" operator="greaterThan" aboveAverage="0" dxfId="1" text="" percent="0" bottom="0">
      <formula>0</formula>
    </cfRule>
    <cfRule type="cellIs" rank="0" priority="534" equalAverage="0" operator="lessThanOrEqual" aboveAverage="0" dxfId="0" text="" percent="0" bottom="0">
      <formula>0</formula>
    </cfRule>
  </conditionalFormatting>
  <conditionalFormatting sqref="F183">
    <cfRule type="cellIs" rank="0" priority="535" equalAverage="0" operator="greaterThan" aboveAverage="0" dxfId="10" text="" percent="0" bottom="0">
      <formula>30</formula>
    </cfRule>
  </conditionalFormatting>
  <conditionalFormatting sqref="G184">
    <cfRule type="cellIs" rank="0" priority="536" equalAverage="0" operator="greaterThan" aboveAverage="0" dxfId="1" text="" percent="0" bottom="0">
      <formula>0</formula>
    </cfRule>
    <cfRule type="cellIs" rank="0" priority="537" equalAverage="0" operator="lessThanOrEqual" aboveAverage="0" dxfId="0" text="" percent="0" bottom="0">
      <formula>0</formula>
    </cfRule>
  </conditionalFormatting>
  <conditionalFormatting sqref="F184">
    <cfRule type="cellIs" rank="0" priority="538" equalAverage="0" operator="greaterThan" aboveAverage="0" dxfId="10" text="" percent="0" bottom="0">
      <formula>30</formula>
    </cfRule>
  </conditionalFormatting>
  <conditionalFormatting sqref="G185">
    <cfRule type="cellIs" rank="0" priority="539" equalAverage="0" operator="greaterThan" aboveAverage="0" dxfId="1" text="" percent="0" bottom="0">
      <formula>0</formula>
    </cfRule>
    <cfRule type="cellIs" rank="0" priority="540" equalAverage="0" operator="lessThanOrEqual" aboveAverage="0" dxfId="0" text="" percent="0" bottom="0">
      <formula>0</formula>
    </cfRule>
  </conditionalFormatting>
  <conditionalFormatting sqref="F185">
    <cfRule type="cellIs" rank="0" priority="541" equalAverage="0" operator="greaterThan" aboveAverage="0" dxfId="10" text="" percent="0" bottom="0">
      <formula>30</formula>
    </cfRule>
  </conditionalFormatting>
  <conditionalFormatting sqref="G186">
    <cfRule type="cellIs" rank="0" priority="542" equalAverage="0" operator="greaterThan" aboveAverage="0" dxfId="1" text="" percent="0" bottom="0">
      <formula>0</formula>
    </cfRule>
    <cfRule type="cellIs" rank="0" priority="543" equalAverage="0" operator="lessThanOrEqual" aboveAverage="0" dxfId="0" text="" percent="0" bottom="0">
      <formula>0</formula>
    </cfRule>
  </conditionalFormatting>
  <conditionalFormatting sqref="F186">
    <cfRule type="cellIs" rank="0" priority="544" equalAverage="0" operator="greaterThan" aboveAverage="0" dxfId="10" text="" percent="0" bottom="0">
      <formula>30</formula>
    </cfRule>
  </conditionalFormatting>
  <conditionalFormatting sqref="G187">
    <cfRule type="cellIs" rank="0" priority="545" equalAverage="0" operator="greaterThan" aboveAverage="0" dxfId="1" text="" percent="0" bottom="0">
      <formula>0</formula>
    </cfRule>
    <cfRule type="cellIs" rank="0" priority="546" equalAverage="0" operator="lessThanOrEqual" aboveAverage="0" dxfId="0" text="" percent="0" bottom="0">
      <formula>0</formula>
    </cfRule>
  </conditionalFormatting>
  <conditionalFormatting sqref="F187">
    <cfRule type="cellIs" rank="0" priority="547" equalAverage="0" operator="greaterThan" aboveAverage="0" dxfId="10" text="" percent="0" bottom="0">
      <formula>30</formula>
    </cfRule>
  </conditionalFormatting>
  <conditionalFormatting sqref="G188">
    <cfRule type="cellIs" rank="0" priority="548" equalAverage="0" operator="greaterThan" aboveAverage="0" dxfId="1" text="" percent="0" bottom="0">
      <formula>0</formula>
    </cfRule>
    <cfRule type="cellIs" rank="0" priority="549" equalAverage="0" operator="lessThanOrEqual" aboveAverage="0" dxfId="0" text="" percent="0" bottom="0">
      <formula>0</formula>
    </cfRule>
  </conditionalFormatting>
  <conditionalFormatting sqref="F188">
    <cfRule type="cellIs" rank="0" priority="550" equalAverage="0" operator="greaterThan" aboveAverage="0" dxfId="10" text="" percent="0" bottom="0">
      <formula>30</formula>
    </cfRule>
  </conditionalFormatting>
  <conditionalFormatting sqref="G189">
    <cfRule type="cellIs" rank="0" priority="551" equalAverage="0" operator="greaterThan" aboveAverage="0" dxfId="1" text="" percent="0" bottom="0">
      <formula>0</formula>
    </cfRule>
    <cfRule type="cellIs" rank="0" priority="552" equalAverage="0" operator="lessThanOrEqual" aboveAverage="0" dxfId="0" text="" percent="0" bottom="0">
      <formula>0</formula>
    </cfRule>
  </conditionalFormatting>
  <conditionalFormatting sqref="F189">
    <cfRule type="cellIs" rank="0" priority="553" equalAverage="0" operator="greaterThan" aboveAverage="0" dxfId="10" text="" percent="0" bottom="0">
      <formula>30</formula>
    </cfRule>
  </conditionalFormatting>
  <conditionalFormatting sqref="G190">
    <cfRule type="cellIs" rank="0" priority="554" equalAverage="0" operator="greaterThan" aboveAverage="0" dxfId="1" text="" percent="0" bottom="0">
      <formula>0</formula>
    </cfRule>
    <cfRule type="cellIs" rank="0" priority="555" equalAverage="0" operator="lessThanOrEqual" aboveAverage="0" dxfId="0" text="" percent="0" bottom="0">
      <formula>0</formula>
    </cfRule>
  </conditionalFormatting>
  <conditionalFormatting sqref="F190">
    <cfRule type="cellIs" rank="0" priority="556" equalAverage="0" operator="greaterThan" aboveAverage="0" dxfId="10" text="" percent="0" bottom="0">
      <formula>30</formula>
    </cfRule>
  </conditionalFormatting>
  <conditionalFormatting sqref="G191">
    <cfRule type="cellIs" rank="0" priority="557" equalAverage="0" operator="greaterThan" aboveAverage="0" dxfId="1" text="" percent="0" bottom="0">
      <formula>0</formula>
    </cfRule>
    <cfRule type="cellIs" rank="0" priority="558" equalAverage="0" operator="lessThanOrEqual" aboveAverage="0" dxfId="0" text="" percent="0" bottom="0">
      <formula>0</formula>
    </cfRule>
  </conditionalFormatting>
  <conditionalFormatting sqref="F191">
    <cfRule type="cellIs" rank="0" priority="559" equalAverage="0" operator="greaterThan" aboveAverage="0" dxfId="10" text="" percent="0" bottom="0">
      <formula>30</formula>
    </cfRule>
  </conditionalFormatting>
  <conditionalFormatting sqref="G192">
    <cfRule type="cellIs" rank="0" priority="560" equalAverage="0" operator="greaterThan" aboveAverage="0" dxfId="1" text="" percent="0" bottom="0">
      <formula>0</formula>
    </cfRule>
    <cfRule type="cellIs" rank="0" priority="561" equalAverage="0" operator="lessThanOrEqual" aboveAverage="0" dxfId="0" text="" percent="0" bottom="0">
      <formula>0</formula>
    </cfRule>
  </conditionalFormatting>
  <conditionalFormatting sqref="F192">
    <cfRule type="cellIs" rank="0" priority="562" equalAverage="0" operator="greaterThan" aboveAverage="0" dxfId="10" text="" percent="0" bottom="0">
      <formula>30</formula>
    </cfRule>
  </conditionalFormatting>
  <conditionalFormatting sqref="G193">
    <cfRule type="cellIs" rank="0" priority="563" equalAverage="0" operator="greaterThan" aboveAverage="0" dxfId="1" text="" percent="0" bottom="0">
      <formula>0</formula>
    </cfRule>
    <cfRule type="cellIs" rank="0" priority="564" equalAverage="0" operator="lessThanOrEqual" aboveAverage="0" dxfId="0" text="" percent="0" bottom="0">
      <formula>0</formula>
    </cfRule>
  </conditionalFormatting>
  <conditionalFormatting sqref="F193">
    <cfRule type="cellIs" rank="0" priority="565" equalAverage="0" operator="greaterThan" aboveAverage="0" dxfId="10" text="" percent="0" bottom="0">
      <formula>30</formula>
    </cfRule>
  </conditionalFormatting>
  <conditionalFormatting sqref="G194">
    <cfRule type="cellIs" rank="0" priority="566" equalAverage="0" operator="greaterThan" aboveAverage="0" dxfId="1" text="" percent="0" bottom="0">
      <formula>0</formula>
    </cfRule>
    <cfRule type="cellIs" rank="0" priority="567" equalAverage="0" operator="lessThanOrEqual" aboveAverage="0" dxfId="0" text="" percent="0" bottom="0">
      <formula>0</formula>
    </cfRule>
  </conditionalFormatting>
  <conditionalFormatting sqref="F194">
    <cfRule type="cellIs" rank="0" priority="568" equalAverage="0" operator="greaterThan" aboveAverage="0" dxfId="10" text="" percent="0" bottom="0">
      <formula>30</formula>
    </cfRule>
  </conditionalFormatting>
  <conditionalFormatting sqref="G195">
    <cfRule type="cellIs" rank="0" priority="569" equalAverage="0" operator="greaterThan" aboveAverage="0" dxfId="1" text="" percent="0" bottom="0">
      <formula>0</formula>
    </cfRule>
    <cfRule type="cellIs" rank="0" priority="570" equalAverage="0" operator="lessThanOrEqual" aboveAverage="0" dxfId="0" text="" percent="0" bottom="0">
      <formula>0</formula>
    </cfRule>
  </conditionalFormatting>
  <conditionalFormatting sqref="F195">
    <cfRule type="cellIs" rank="0" priority="571" equalAverage="0" operator="greaterThan" aboveAverage="0" dxfId="10" text="" percent="0" bottom="0">
      <formula>30</formula>
    </cfRule>
  </conditionalFormatting>
  <conditionalFormatting sqref="G196">
    <cfRule type="cellIs" rank="0" priority="572" equalAverage="0" operator="greaterThan" aboveAverage="0" dxfId="1" text="" percent="0" bottom="0">
      <formula>0</formula>
    </cfRule>
    <cfRule type="cellIs" rank="0" priority="573" equalAverage="0" operator="lessThanOrEqual" aboveAverage="0" dxfId="0" text="" percent="0" bottom="0">
      <formula>0</formula>
    </cfRule>
  </conditionalFormatting>
  <conditionalFormatting sqref="F196">
    <cfRule type="cellIs" rank="0" priority="574" equalAverage="0" operator="greaterThan" aboveAverage="0" dxfId="10" text="" percent="0" bottom="0">
      <formula>30</formula>
    </cfRule>
  </conditionalFormatting>
  <conditionalFormatting sqref="G197">
    <cfRule type="cellIs" rank="0" priority="575" equalAverage="0" operator="greaterThan" aboveAverage="0" dxfId="1" text="" percent="0" bottom="0">
      <formula>0</formula>
    </cfRule>
    <cfRule type="cellIs" rank="0" priority="576" equalAverage="0" operator="lessThanOrEqual" aboveAverage="0" dxfId="0" text="" percent="0" bottom="0">
      <formula>0</formula>
    </cfRule>
  </conditionalFormatting>
  <conditionalFormatting sqref="F197">
    <cfRule type="cellIs" rank="0" priority="577" equalAverage="0" operator="greaterThan" aboveAverage="0" dxfId="10" text="" percent="0" bottom="0">
      <formula>30</formula>
    </cfRule>
  </conditionalFormatting>
  <conditionalFormatting sqref="G198">
    <cfRule type="cellIs" rank="0" priority="578" equalAverage="0" operator="greaterThan" aboveAverage="0" dxfId="1" text="" percent="0" bottom="0">
      <formula>0</formula>
    </cfRule>
    <cfRule type="cellIs" rank="0" priority="579" equalAverage="0" operator="lessThanOrEqual" aboveAverage="0" dxfId="0" text="" percent="0" bottom="0">
      <formula>0</formula>
    </cfRule>
  </conditionalFormatting>
  <conditionalFormatting sqref="F198">
    <cfRule type="cellIs" rank="0" priority="580" equalAverage="0" operator="greaterThan" aboveAverage="0" dxfId="10" text="" percent="0" bottom="0">
      <formula>30</formula>
    </cfRule>
  </conditionalFormatting>
  <conditionalFormatting sqref="G199">
    <cfRule type="cellIs" rank="0" priority="581" equalAverage="0" operator="greaterThan" aboveAverage="0" dxfId="1" text="" percent="0" bottom="0">
      <formula>0</formula>
    </cfRule>
    <cfRule type="cellIs" rank="0" priority="582" equalAverage="0" operator="lessThanOrEqual" aboveAverage="0" dxfId="0" text="" percent="0" bottom="0">
      <formula>0</formula>
    </cfRule>
  </conditionalFormatting>
  <conditionalFormatting sqref="F199">
    <cfRule type="cellIs" rank="0" priority="583" equalAverage="0" operator="greaterThan" aboveAverage="0" dxfId="10" text="" percent="0" bottom="0">
      <formula>30</formula>
    </cfRule>
  </conditionalFormatting>
  <conditionalFormatting sqref="G200">
    <cfRule type="cellIs" rank="0" priority="584" equalAverage="0" operator="greaterThan" aboveAverage="0" dxfId="1" text="" percent="0" bottom="0">
      <formula>0</formula>
    </cfRule>
    <cfRule type="cellIs" rank="0" priority="585" equalAverage="0" operator="lessThanOrEqual" aboveAverage="0" dxfId="0" text="" percent="0" bottom="0">
      <formula>0</formula>
    </cfRule>
  </conditionalFormatting>
  <conditionalFormatting sqref="F200">
    <cfRule type="cellIs" rank="0" priority="586" equalAverage="0" operator="greaterThan" aboveAverage="0" dxfId="10" text="" percent="0" bottom="0">
      <formula>30</formula>
    </cfRule>
  </conditionalFormatting>
  <conditionalFormatting sqref="G201">
    <cfRule type="cellIs" rank="0" priority="587" equalAverage="0" operator="greaterThan" aboveAverage="0" dxfId="1" text="" percent="0" bottom="0">
      <formula>0</formula>
    </cfRule>
    <cfRule type="cellIs" rank="0" priority="588" equalAverage="0" operator="lessThanOrEqual" aboveAverage="0" dxfId="0" text="" percent="0" bottom="0">
      <formula>0</formula>
    </cfRule>
  </conditionalFormatting>
  <conditionalFormatting sqref="F201">
    <cfRule type="cellIs" rank="0" priority="589" equalAverage="0" operator="greaterThan" aboveAverage="0" dxfId="10" text="" percent="0" bottom="0">
      <formula>30</formula>
    </cfRule>
  </conditionalFormatting>
  <conditionalFormatting sqref="G202">
    <cfRule type="cellIs" rank="0" priority="590" equalAverage="0" operator="greaterThan" aboveAverage="0" dxfId="1" text="" percent="0" bottom="0">
      <formula>0</formula>
    </cfRule>
    <cfRule type="cellIs" rank="0" priority="591" equalAverage="0" operator="lessThanOrEqual" aboveAverage="0" dxfId="0" text="" percent="0" bottom="0">
      <formula>0</formula>
    </cfRule>
  </conditionalFormatting>
  <conditionalFormatting sqref="F202">
    <cfRule type="cellIs" rank="0" priority="592" equalAverage="0" operator="greaterThan" aboveAverage="0" dxfId="10" text="" percent="0" bottom="0">
      <formula>30</formula>
    </cfRule>
  </conditionalFormatting>
  <conditionalFormatting sqref="G203">
    <cfRule type="cellIs" rank="0" priority="593" equalAverage="0" operator="greaterThan" aboveAverage="0" dxfId="1" text="" percent="0" bottom="0">
      <formula>0</formula>
    </cfRule>
    <cfRule type="cellIs" rank="0" priority="594" equalAverage="0" operator="lessThanOrEqual" aboveAverage="0" dxfId="0" text="" percent="0" bottom="0">
      <formula>0</formula>
    </cfRule>
  </conditionalFormatting>
  <conditionalFormatting sqref="F203">
    <cfRule type="cellIs" rank="0" priority="595" equalAverage="0" operator="greaterThan" aboveAverage="0" dxfId="10" text="" percent="0" bottom="0">
      <formula>30</formula>
    </cfRule>
  </conditionalFormatting>
  <conditionalFormatting sqref="G204">
    <cfRule type="cellIs" rank="0" priority="596" equalAverage="0" operator="greaterThan" aboveAverage="0" dxfId="1" text="" percent="0" bottom="0">
      <formula>0</formula>
    </cfRule>
    <cfRule type="cellIs" rank="0" priority="597" equalAverage="0" operator="lessThanOrEqual" aboveAverage="0" dxfId="0" text="" percent="0" bottom="0">
      <formula>0</formula>
    </cfRule>
  </conditionalFormatting>
  <conditionalFormatting sqref="F204">
    <cfRule type="cellIs" rank="0" priority="598" equalAverage="0" operator="greaterThan" aboveAverage="0" dxfId="10" text="" percent="0" bottom="0">
      <formula>30</formula>
    </cfRule>
  </conditionalFormatting>
  <conditionalFormatting sqref="G205">
    <cfRule type="cellIs" rank="0" priority="599" equalAverage="0" operator="greaterThan" aboveAverage="0" dxfId="1" text="" percent="0" bottom="0">
      <formula>0</formula>
    </cfRule>
    <cfRule type="cellIs" rank="0" priority="600" equalAverage="0" operator="lessThanOrEqual" aboveAverage="0" dxfId="0" text="" percent="0" bottom="0">
      <formula>0</formula>
    </cfRule>
  </conditionalFormatting>
  <conditionalFormatting sqref="F205">
    <cfRule type="cellIs" rank="0" priority="601" equalAverage="0" operator="greaterThan" aboveAverage="0" dxfId="10" text="" percent="0" bottom="0">
      <formula>30</formula>
    </cfRule>
  </conditionalFormatting>
  <conditionalFormatting sqref="G206">
    <cfRule type="cellIs" rank="0" priority="602" equalAverage="0" operator="greaterThan" aboveAverage="0" dxfId="1" text="" percent="0" bottom="0">
      <formula>0</formula>
    </cfRule>
    <cfRule type="cellIs" rank="0" priority="603" equalAverage="0" operator="lessThanOrEqual" aboveAverage="0" dxfId="0" text="" percent="0" bottom="0">
      <formula>0</formula>
    </cfRule>
  </conditionalFormatting>
  <conditionalFormatting sqref="F206">
    <cfRule type="cellIs" rank="0" priority="604" equalAverage="0" operator="greaterThan" aboveAverage="0" dxfId="10" text="" percent="0" bottom="0">
      <formula>30</formula>
    </cfRule>
  </conditionalFormatting>
  <conditionalFormatting sqref="G207">
    <cfRule type="cellIs" rank="0" priority="605" equalAverage="0" operator="greaterThan" aboveAverage="0" dxfId="1" text="" percent="0" bottom="0">
      <formula>0</formula>
    </cfRule>
    <cfRule type="cellIs" rank="0" priority="606" equalAverage="0" operator="lessThanOrEqual" aboveAverage="0" dxfId="0" text="" percent="0" bottom="0">
      <formula>0</formula>
    </cfRule>
  </conditionalFormatting>
  <conditionalFormatting sqref="F207">
    <cfRule type="cellIs" rank="0" priority="607" equalAverage="0" operator="greaterThan" aboveAverage="0" dxfId="10" text="" percent="0" bottom="0">
      <formula>30</formula>
    </cfRule>
  </conditionalFormatting>
  <conditionalFormatting sqref="G208">
    <cfRule type="cellIs" rank="0" priority="608" equalAverage="0" operator="greaterThan" aboveAverage="0" dxfId="1" text="" percent="0" bottom="0">
      <formula>0</formula>
    </cfRule>
    <cfRule type="cellIs" rank="0" priority="609" equalAverage="0" operator="lessThanOrEqual" aboveAverage="0" dxfId="0" text="" percent="0" bottom="0">
      <formula>0</formula>
    </cfRule>
  </conditionalFormatting>
  <conditionalFormatting sqref="F208">
    <cfRule type="cellIs" rank="0" priority="610" equalAverage="0" operator="greaterThan" aboveAverage="0" dxfId="10" text="" percent="0" bottom="0">
      <formula>30</formula>
    </cfRule>
  </conditionalFormatting>
  <conditionalFormatting sqref="G209">
    <cfRule type="cellIs" rank="0" priority="611" equalAverage="0" operator="greaterThan" aboveAverage="0" dxfId="1" text="" percent="0" bottom="0">
      <formula>0</formula>
    </cfRule>
    <cfRule type="cellIs" rank="0" priority="612" equalAverage="0" operator="lessThanOrEqual" aboveAverage="0" dxfId="0" text="" percent="0" bottom="0">
      <formula>0</formula>
    </cfRule>
  </conditionalFormatting>
  <conditionalFormatting sqref="F209">
    <cfRule type="cellIs" rank="0" priority="613" equalAverage="0" operator="greaterThan" aboveAverage="0" dxfId="10" text="" percent="0" bottom="0">
      <formula>30</formula>
    </cfRule>
  </conditionalFormatting>
  <conditionalFormatting sqref="G210">
    <cfRule type="cellIs" rank="0" priority="614" equalAverage="0" operator="greaterThan" aboveAverage="0" dxfId="1" text="" percent="0" bottom="0">
      <formula>0</formula>
    </cfRule>
    <cfRule type="cellIs" rank="0" priority="615" equalAverage="0" operator="lessThanOrEqual" aboveAverage="0" dxfId="0" text="" percent="0" bottom="0">
      <formula>0</formula>
    </cfRule>
  </conditionalFormatting>
  <conditionalFormatting sqref="F210">
    <cfRule type="cellIs" rank="0" priority="616" equalAverage="0" operator="greaterThan" aboveAverage="0" dxfId="10" text="" percent="0" bottom="0">
      <formula>30</formula>
    </cfRule>
  </conditionalFormatting>
  <conditionalFormatting sqref="G211">
    <cfRule type="cellIs" rank="0" priority="617" equalAverage="0" operator="greaterThan" aboveAverage="0" dxfId="1" text="" percent="0" bottom="0">
      <formula>0</formula>
    </cfRule>
    <cfRule type="cellIs" rank="0" priority="618" equalAverage="0" operator="lessThanOrEqual" aboveAverage="0" dxfId="0" text="" percent="0" bottom="0">
      <formula>0</formula>
    </cfRule>
  </conditionalFormatting>
  <conditionalFormatting sqref="F211">
    <cfRule type="cellIs" rank="0" priority="619" equalAverage="0" operator="greaterThan" aboveAverage="0" dxfId="10" text="" percent="0" bottom="0">
      <formula>30</formula>
    </cfRule>
  </conditionalFormatting>
  <conditionalFormatting sqref="G212">
    <cfRule type="cellIs" rank="0" priority="620" equalAverage="0" operator="greaterThan" aboveAverage="0" dxfId="1" text="" percent="0" bottom="0">
      <formula>0</formula>
    </cfRule>
    <cfRule type="cellIs" rank="0" priority="621" equalAverage="0" operator="lessThanOrEqual" aboveAverage="0" dxfId="0" text="" percent="0" bottom="0">
      <formula>0</formula>
    </cfRule>
  </conditionalFormatting>
  <conditionalFormatting sqref="F212">
    <cfRule type="cellIs" rank="0" priority="622" equalAverage="0" operator="greaterThan" aboveAverage="0" dxfId="10" text="" percent="0" bottom="0">
      <formula>30</formula>
    </cfRule>
  </conditionalFormatting>
  <conditionalFormatting sqref="G213">
    <cfRule type="cellIs" rank="0" priority="623" equalAverage="0" operator="greaterThan" aboveAverage="0" dxfId="1" text="" percent="0" bottom="0">
      <formula>0</formula>
    </cfRule>
    <cfRule type="cellIs" rank="0" priority="624" equalAverage="0" operator="lessThanOrEqual" aboveAverage="0" dxfId="0" text="" percent="0" bottom="0">
      <formula>0</formula>
    </cfRule>
  </conditionalFormatting>
  <conditionalFormatting sqref="F213">
    <cfRule type="cellIs" rank="0" priority="625" equalAverage="0" operator="greaterThan" aboveAverage="0" dxfId="10" text="" percent="0" bottom="0">
      <formula>30</formula>
    </cfRule>
  </conditionalFormatting>
  <conditionalFormatting sqref="G214">
    <cfRule type="cellIs" rank="0" priority="626" equalAverage="0" operator="greaterThan" aboveAverage="0" dxfId="1" text="" percent="0" bottom="0">
      <formula>0</formula>
    </cfRule>
    <cfRule type="cellIs" rank="0" priority="627" equalAverage="0" operator="lessThanOrEqual" aboveAverage="0" dxfId="0" text="" percent="0" bottom="0">
      <formula>0</formula>
    </cfRule>
  </conditionalFormatting>
  <conditionalFormatting sqref="F214">
    <cfRule type="cellIs" rank="0" priority="628" equalAverage="0" operator="greaterThan" aboveAverage="0" dxfId="10" text="" percent="0" bottom="0">
      <formula>30</formula>
    </cfRule>
  </conditionalFormatting>
  <conditionalFormatting sqref="G215">
    <cfRule type="cellIs" rank="0" priority="629" equalAverage="0" operator="greaterThan" aboveAverage="0" dxfId="1" text="" percent="0" bottom="0">
      <formula>0</formula>
    </cfRule>
    <cfRule type="cellIs" rank="0" priority="630" equalAverage="0" operator="lessThanOrEqual" aboveAverage="0" dxfId="0" text="" percent="0" bottom="0">
      <formula>0</formula>
    </cfRule>
  </conditionalFormatting>
  <conditionalFormatting sqref="F215">
    <cfRule type="cellIs" rank="0" priority="631" equalAverage="0" operator="greaterThan" aboveAverage="0" dxfId="10" text="" percent="0" bottom="0">
      <formula>30</formula>
    </cfRule>
  </conditionalFormatting>
  <conditionalFormatting sqref="G216">
    <cfRule type="cellIs" rank="0" priority="632" equalAverage="0" operator="greaterThan" aboveAverage="0" dxfId="1" text="" percent="0" bottom="0">
      <formula>0</formula>
    </cfRule>
    <cfRule type="cellIs" rank="0" priority="633" equalAverage="0" operator="lessThanOrEqual" aboveAverage="0" dxfId="0" text="" percent="0" bottom="0">
      <formula>0</formula>
    </cfRule>
  </conditionalFormatting>
  <conditionalFormatting sqref="F216">
    <cfRule type="cellIs" rank="0" priority="634" equalAverage="0" operator="greaterThan" aboveAverage="0" dxfId="10" text="" percent="0" bottom="0">
      <formula>30</formula>
    </cfRule>
  </conditionalFormatting>
  <conditionalFormatting sqref="G217">
    <cfRule type="cellIs" rank="0" priority="635" equalAverage="0" operator="greaterThan" aboveAverage="0" dxfId="1" text="" percent="0" bottom="0">
      <formula>0</formula>
    </cfRule>
    <cfRule type="cellIs" rank="0" priority="636" equalAverage="0" operator="lessThanOrEqual" aboveAverage="0" dxfId="0" text="" percent="0" bottom="0">
      <formula>0</formula>
    </cfRule>
  </conditionalFormatting>
  <conditionalFormatting sqref="F217">
    <cfRule type="cellIs" rank="0" priority="637" equalAverage="0" operator="greaterThan" aboveAverage="0" dxfId="10" text="" percent="0" bottom="0">
      <formula>30</formula>
    </cfRule>
  </conditionalFormatting>
  <conditionalFormatting sqref="G218">
    <cfRule type="cellIs" rank="0" priority="638" equalAverage="0" operator="greaterThan" aboveAverage="0" dxfId="1" text="" percent="0" bottom="0">
      <formula>0</formula>
    </cfRule>
    <cfRule type="cellIs" rank="0" priority="639" equalAverage="0" operator="lessThanOrEqual" aboveAverage="0" dxfId="0" text="" percent="0" bottom="0">
      <formula>0</formula>
    </cfRule>
  </conditionalFormatting>
  <conditionalFormatting sqref="F218">
    <cfRule type="cellIs" rank="0" priority="640" equalAverage="0" operator="greaterThan" aboveAverage="0" dxfId="10" text="" percent="0" bottom="0">
      <formula>30</formula>
    </cfRule>
  </conditionalFormatting>
  <conditionalFormatting sqref="G219">
    <cfRule type="cellIs" rank="0" priority="641" equalAverage="0" operator="greaterThan" aboveAverage="0" dxfId="1" text="" percent="0" bottom="0">
      <formula>0</formula>
    </cfRule>
    <cfRule type="cellIs" rank="0" priority="642" equalAverage="0" operator="lessThanOrEqual" aboveAverage="0" dxfId="0" text="" percent="0" bottom="0">
      <formula>0</formula>
    </cfRule>
  </conditionalFormatting>
  <conditionalFormatting sqref="F219">
    <cfRule type="cellIs" rank="0" priority="643" equalAverage="0" operator="greaterThan" aboveAverage="0" dxfId="10" text="" percent="0" bottom="0">
      <formula>30</formula>
    </cfRule>
  </conditionalFormatting>
  <conditionalFormatting sqref="G220">
    <cfRule type="cellIs" rank="0" priority="644" equalAverage="0" operator="greaterThan" aboveAverage="0" dxfId="1" text="" percent="0" bottom="0">
      <formula>0</formula>
    </cfRule>
    <cfRule type="cellIs" rank="0" priority="645" equalAverage="0" operator="lessThanOrEqual" aboveAverage="0" dxfId="0" text="" percent="0" bottom="0">
      <formula>0</formula>
    </cfRule>
  </conditionalFormatting>
  <conditionalFormatting sqref="F220">
    <cfRule type="cellIs" rank="0" priority="646" equalAverage="0" operator="greaterThan" aboveAverage="0" dxfId="10" text="" percent="0" bottom="0">
      <formula>30</formula>
    </cfRule>
  </conditionalFormatting>
  <conditionalFormatting sqref="G221">
    <cfRule type="cellIs" rank="0" priority="647" equalAverage="0" operator="greaterThan" aboveAverage="0" dxfId="1" text="" percent="0" bottom="0">
      <formula>0</formula>
    </cfRule>
    <cfRule type="cellIs" rank="0" priority="648" equalAverage="0" operator="lessThanOrEqual" aboveAverage="0" dxfId="0" text="" percent="0" bottom="0">
      <formula>0</formula>
    </cfRule>
  </conditionalFormatting>
  <conditionalFormatting sqref="F221">
    <cfRule type="cellIs" rank="0" priority="649" equalAverage="0" operator="greaterThan" aboveAverage="0" dxfId="10" text="" percent="0" bottom="0">
      <formula>30</formula>
    </cfRule>
  </conditionalFormatting>
  <conditionalFormatting sqref="G222">
    <cfRule type="cellIs" rank="0" priority="650" equalAverage="0" operator="greaterThan" aboveAverage="0" dxfId="1" text="" percent="0" bottom="0">
      <formula>0</formula>
    </cfRule>
    <cfRule type="cellIs" rank="0" priority="651" equalAverage="0" operator="lessThanOrEqual" aboveAverage="0" dxfId="0" text="" percent="0" bottom="0">
      <formula>0</formula>
    </cfRule>
  </conditionalFormatting>
  <conditionalFormatting sqref="F222">
    <cfRule type="cellIs" rank="0" priority="652" equalAverage="0" operator="greaterThan" aboveAverage="0" dxfId="10" text="" percent="0" bottom="0">
      <formula>30</formula>
    </cfRule>
  </conditionalFormatting>
  <conditionalFormatting sqref="G223">
    <cfRule type="cellIs" rank="0" priority="653" equalAverage="0" operator="greaterThan" aboveAverage="0" dxfId="1" text="" percent="0" bottom="0">
      <formula>0</formula>
    </cfRule>
    <cfRule type="cellIs" rank="0" priority="654" equalAverage="0" operator="lessThanOrEqual" aboveAverage="0" dxfId="0" text="" percent="0" bottom="0">
      <formula>0</formula>
    </cfRule>
  </conditionalFormatting>
  <conditionalFormatting sqref="F223">
    <cfRule type="cellIs" rank="0" priority="655" equalAverage="0" operator="greaterThan" aboveAverage="0" dxfId="10" text="" percent="0" bottom="0">
      <formula>30</formula>
    </cfRule>
  </conditionalFormatting>
  <conditionalFormatting sqref="G224">
    <cfRule type="cellIs" rank="0" priority="656" equalAverage="0" operator="greaterThan" aboveAverage="0" dxfId="1" text="" percent="0" bottom="0">
      <formula>0</formula>
    </cfRule>
    <cfRule type="cellIs" rank="0" priority="657" equalAverage="0" operator="lessThanOrEqual" aboveAverage="0" dxfId="0" text="" percent="0" bottom="0">
      <formula>0</formula>
    </cfRule>
  </conditionalFormatting>
  <conditionalFormatting sqref="F224">
    <cfRule type="cellIs" rank="0" priority="658" equalAverage="0" operator="greaterThan" aboveAverage="0" dxfId="10" text="" percent="0" bottom="0">
      <formula>30</formula>
    </cfRule>
  </conditionalFormatting>
  <conditionalFormatting sqref="G225">
    <cfRule type="cellIs" rank="0" priority="659" equalAverage="0" operator="greaterThan" aboveAverage="0" dxfId="1" text="" percent="0" bottom="0">
      <formula>0</formula>
    </cfRule>
    <cfRule type="cellIs" rank="0" priority="660" equalAverage="0" operator="lessThanOrEqual" aboveAverage="0" dxfId="0" text="" percent="0" bottom="0">
      <formula>0</formula>
    </cfRule>
  </conditionalFormatting>
  <conditionalFormatting sqref="F225">
    <cfRule type="cellIs" rank="0" priority="661" equalAverage="0" operator="greaterThan" aboveAverage="0" dxfId="10" text="" percent="0" bottom="0">
      <formula>30</formula>
    </cfRule>
  </conditionalFormatting>
  <conditionalFormatting sqref="G226">
    <cfRule type="cellIs" rank="0" priority="662" equalAverage="0" operator="greaterThan" aboveAverage="0" dxfId="1" text="" percent="0" bottom="0">
      <formula>0</formula>
    </cfRule>
    <cfRule type="cellIs" rank="0" priority="663" equalAverage="0" operator="lessThanOrEqual" aboveAverage="0" dxfId="0" text="" percent="0" bottom="0">
      <formula>0</formula>
    </cfRule>
  </conditionalFormatting>
  <conditionalFormatting sqref="F226">
    <cfRule type="cellIs" rank="0" priority="664" equalAverage="0" operator="greaterThan" aboveAverage="0" dxfId="10" text="" percent="0" bottom="0">
      <formula>30</formula>
    </cfRule>
  </conditionalFormatting>
  <conditionalFormatting sqref="G227">
    <cfRule type="cellIs" rank="0" priority="665" equalAverage="0" operator="greaterThan" aboveAverage="0" dxfId="1" text="" percent="0" bottom="0">
      <formula>0</formula>
    </cfRule>
    <cfRule type="cellIs" rank="0" priority="666" equalAverage="0" operator="lessThanOrEqual" aboveAverage="0" dxfId="0" text="" percent="0" bottom="0">
      <formula>0</formula>
    </cfRule>
  </conditionalFormatting>
  <conditionalFormatting sqref="F227">
    <cfRule type="cellIs" rank="0" priority="667" equalAverage="0" operator="greaterThan" aboveAverage="0" dxfId="10" text="" percent="0" bottom="0">
      <formula>30</formula>
    </cfRule>
  </conditionalFormatting>
  <conditionalFormatting sqref="G228">
    <cfRule type="cellIs" rank="0" priority="668" equalAverage="0" operator="greaterThan" aboveAverage="0" dxfId="1" text="" percent="0" bottom="0">
      <formula>0</formula>
    </cfRule>
    <cfRule type="cellIs" rank="0" priority="669" equalAverage="0" operator="lessThanOrEqual" aboveAverage="0" dxfId="0" text="" percent="0" bottom="0">
      <formula>0</formula>
    </cfRule>
  </conditionalFormatting>
  <conditionalFormatting sqref="F228">
    <cfRule type="cellIs" rank="0" priority="670" equalAverage="0" operator="greaterThan" aboveAverage="0" dxfId="10" text="" percent="0" bottom="0">
      <formula>30</formula>
    </cfRule>
  </conditionalFormatting>
  <conditionalFormatting sqref="G229">
    <cfRule type="cellIs" rank="0" priority="671" equalAverage="0" operator="greaterThan" aboveAverage="0" dxfId="1" text="" percent="0" bottom="0">
      <formula>0</formula>
    </cfRule>
    <cfRule type="cellIs" rank="0" priority="672" equalAverage="0" operator="lessThanOrEqual" aboveAverage="0" dxfId="0" text="" percent="0" bottom="0">
      <formula>0</formula>
    </cfRule>
  </conditionalFormatting>
  <conditionalFormatting sqref="F229">
    <cfRule type="cellIs" rank="0" priority="673" equalAverage="0" operator="greaterThan" aboveAverage="0" dxfId="10" text="" percent="0" bottom="0">
      <formula>30</formula>
    </cfRule>
  </conditionalFormatting>
  <conditionalFormatting sqref="G230">
    <cfRule type="cellIs" rank="0" priority="674" equalAverage="0" operator="greaterThan" aboveAverage="0" dxfId="1" text="" percent="0" bottom="0">
      <formula>0</formula>
    </cfRule>
    <cfRule type="cellIs" rank="0" priority="675" equalAverage="0" operator="lessThanOrEqual" aboveAverage="0" dxfId="0" text="" percent="0" bottom="0">
      <formula>0</formula>
    </cfRule>
  </conditionalFormatting>
  <conditionalFormatting sqref="F230">
    <cfRule type="cellIs" rank="0" priority="676" equalAverage="0" operator="greaterThan" aboveAverage="0" dxfId="10" text="" percent="0" bottom="0">
      <formula>30</formula>
    </cfRule>
  </conditionalFormatting>
  <conditionalFormatting sqref="G231">
    <cfRule type="cellIs" rank="0" priority="677" equalAverage="0" operator="greaterThan" aboveAverage="0" dxfId="1" text="" percent="0" bottom="0">
      <formula>0</formula>
    </cfRule>
    <cfRule type="cellIs" rank="0" priority="678" equalAverage="0" operator="lessThanOrEqual" aboveAverage="0" dxfId="0" text="" percent="0" bottom="0">
      <formula>0</formula>
    </cfRule>
  </conditionalFormatting>
  <conditionalFormatting sqref="F231">
    <cfRule type="cellIs" rank="0" priority="679" equalAverage="0" operator="greaterThan" aboveAverage="0" dxfId="10" text="" percent="0" bottom="0">
      <formula>30</formula>
    </cfRule>
  </conditionalFormatting>
  <conditionalFormatting sqref="G232">
    <cfRule type="cellIs" rank="0" priority="680" equalAverage="0" operator="greaterThan" aboveAverage="0" dxfId="1" text="" percent="0" bottom="0">
      <formula>0</formula>
    </cfRule>
    <cfRule type="cellIs" rank="0" priority="681" equalAverage="0" operator="lessThanOrEqual" aboveAverage="0" dxfId="0" text="" percent="0" bottom="0">
      <formula>0</formula>
    </cfRule>
  </conditionalFormatting>
  <conditionalFormatting sqref="F232">
    <cfRule type="cellIs" rank="0" priority="682" equalAverage="0" operator="greaterThan" aboveAverage="0" dxfId="10" text="" percent="0" bottom="0">
      <formula>30</formula>
    </cfRule>
  </conditionalFormatting>
  <conditionalFormatting sqref="G233">
    <cfRule type="cellIs" rank="0" priority="683" equalAverage="0" operator="greaterThan" aboveAverage="0" dxfId="1" text="" percent="0" bottom="0">
      <formula>0</formula>
    </cfRule>
    <cfRule type="cellIs" rank="0" priority="684" equalAverage="0" operator="lessThanOrEqual" aboveAverage="0" dxfId="0" text="" percent="0" bottom="0">
      <formula>0</formula>
    </cfRule>
  </conditionalFormatting>
  <conditionalFormatting sqref="F233">
    <cfRule type="cellIs" rank="0" priority="685" equalAverage="0" operator="greaterThan" aboveAverage="0" dxfId="10" text="" percent="0" bottom="0">
      <formula>30</formula>
    </cfRule>
  </conditionalFormatting>
  <conditionalFormatting sqref="G234">
    <cfRule type="cellIs" rank="0" priority="686" equalAverage="0" operator="greaterThan" aboveAverage="0" dxfId="1" text="" percent="0" bottom="0">
      <formula>0</formula>
    </cfRule>
    <cfRule type="cellIs" rank="0" priority="687" equalAverage="0" operator="lessThanOrEqual" aboveAverage="0" dxfId="0" text="" percent="0" bottom="0">
      <formula>0</formula>
    </cfRule>
  </conditionalFormatting>
  <conditionalFormatting sqref="F234">
    <cfRule type="cellIs" rank="0" priority="688" equalAverage="0" operator="greaterThan" aboveAverage="0" dxfId="10" text="" percent="0" bottom="0">
      <formula>30</formula>
    </cfRule>
  </conditionalFormatting>
  <conditionalFormatting sqref="G235">
    <cfRule type="cellIs" rank="0" priority="689" equalAverage="0" operator="greaterThan" aboveAverage="0" dxfId="1" text="" percent="0" bottom="0">
      <formula>0</formula>
    </cfRule>
    <cfRule type="cellIs" rank="0" priority="690" equalAverage="0" operator="lessThanOrEqual" aboveAverage="0" dxfId="0" text="" percent="0" bottom="0">
      <formula>0</formula>
    </cfRule>
  </conditionalFormatting>
  <conditionalFormatting sqref="F235">
    <cfRule type="cellIs" rank="0" priority="691" equalAverage="0" operator="greaterThan" aboveAverage="0" dxfId="10" text="" percent="0" bottom="0">
      <formula>30</formula>
    </cfRule>
  </conditionalFormatting>
  <conditionalFormatting sqref="G236">
    <cfRule type="cellIs" rank="0" priority="692" equalAverage="0" operator="greaterThan" aboveAverage="0" dxfId="1" text="" percent="0" bottom="0">
      <formula>0</formula>
    </cfRule>
    <cfRule type="cellIs" rank="0" priority="693" equalAverage="0" operator="lessThanOrEqual" aboveAverage="0" dxfId="0" text="" percent="0" bottom="0">
      <formula>0</formula>
    </cfRule>
  </conditionalFormatting>
  <conditionalFormatting sqref="F236">
    <cfRule type="cellIs" rank="0" priority="694" equalAverage="0" operator="greaterThan" aboveAverage="0" dxfId="10" text="" percent="0" bottom="0">
      <formula>30</formula>
    </cfRule>
  </conditionalFormatting>
  <conditionalFormatting sqref="G237">
    <cfRule type="cellIs" rank="0" priority="695" equalAverage="0" operator="greaterThan" aboveAverage="0" dxfId="1" text="" percent="0" bottom="0">
      <formula>0</formula>
    </cfRule>
    <cfRule type="cellIs" rank="0" priority="696" equalAverage="0" operator="lessThanOrEqual" aboveAverage="0" dxfId="0" text="" percent="0" bottom="0">
      <formula>0</formula>
    </cfRule>
  </conditionalFormatting>
  <conditionalFormatting sqref="F237">
    <cfRule type="cellIs" rank="0" priority="697" equalAverage="0" operator="greaterThan" aboveAverage="0" dxfId="10" text="" percent="0" bottom="0">
      <formula>30</formula>
    </cfRule>
  </conditionalFormatting>
  <conditionalFormatting sqref="G238">
    <cfRule type="cellIs" rank="0" priority="698" equalAverage="0" operator="greaterThan" aboveAverage="0" dxfId="1" text="" percent="0" bottom="0">
      <formula>0</formula>
    </cfRule>
    <cfRule type="cellIs" rank="0" priority="699" equalAverage="0" operator="lessThanOrEqual" aboveAverage="0" dxfId="0" text="" percent="0" bottom="0">
      <formula>0</formula>
    </cfRule>
  </conditionalFormatting>
  <conditionalFormatting sqref="F238">
    <cfRule type="cellIs" rank="0" priority="700" equalAverage="0" operator="greaterThan" aboveAverage="0" dxfId="10" text="" percent="0" bottom="0">
      <formula>30</formula>
    </cfRule>
  </conditionalFormatting>
  <conditionalFormatting sqref="G239">
    <cfRule type="cellIs" rank="0" priority="701" equalAverage="0" operator="greaterThan" aboveAverage="0" dxfId="1" text="" percent="0" bottom="0">
      <formula>0</formula>
    </cfRule>
    <cfRule type="cellIs" rank="0" priority="702" equalAverage="0" operator="lessThanOrEqual" aboveAverage="0" dxfId="0" text="" percent="0" bottom="0">
      <formula>0</formula>
    </cfRule>
  </conditionalFormatting>
  <conditionalFormatting sqref="F239">
    <cfRule type="cellIs" rank="0" priority="703" equalAverage="0" operator="greaterThan" aboveAverage="0" dxfId="10" text="" percent="0" bottom="0">
      <formula>30</formula>
    </cfRule>
  </conditionalFormatting>
  <conditionalFormatting sqref="G240">
    <cfRule type="cellIs" rank="0" priority="704" equalAverage="0" operator="greaterThan" aboveAverage="0" dxfId="1" text="" percent="0" bottom="0">
      <formula>0</formula>
    </cfRule>
    <cfRule type="cellIs" rank="0" priority="705" equalAverage="0" operator="lessThanOrEqual" aboveAverage="0" dxfId="0" text="" percent="0" bottom="0">
      <formula>0</formula>
    </cfRule>
  </conditionalFormatting>
  <conditionalFormatting sqref="F240">
    <cfRule type="cellIs" rank="0" priority="706" equalAverage="0" operator="greaterThan" aboveAverage="0" dxfId="10" text="" percent="0" bottom="0">
      <formula>30</formula>
    </cfRule>
  </conditionalFormatting>
  <conditionalFormatting sqref="G241">
    <cfRule type="cellIs" rank="0" priority="707" equalAverage="0" operator="greaterThan" aboveAverage="0" dxfId="1" text="" percent="0" bottom="0">
      <formula>0</formula>
    </cfRule>
    <cfRule type="cellIs" rank="0" priority="708" equalAverage="0" operator="lessThanOrEqual" aboveAverage="0" dxfId="0" text="" percent="0" bottom="0">
      <formula>0</formula>
    </cfRule>
  </conditionalFormatting>
  <conditionalFormatting sqref="F241">
    <cfRule type="cellIs" rank="0" priority="709" equalAverage="0" operator="greaterThan" aboveAverage="0" dxfId="10" text="" percent="0" bottom="0">
      <formula>30</formula>
    </cfRule>
  </conditionalFormatting>
  <conditionalFormatting sqref="G242">
    <cfRule type="cellIs" rank="0" priority="710" equalAverage="0" operator="greaterThan" aboveAverage="0" dxfId="1" text="" percent="0" bottom="0">
      <formula>0</formula>
    </cfRule>
    <cfRule type="cellIs" rank="0" priority="711" equalAverage="0" operator="lessThanOrEqual" aboveAverage="0" dxfId="0" text="" percent="0" bottom="0">
      <formula>0</formula>
    </cfRule>
  </conditionalFormatting>
  <conditionalFormatting sqref="F242">
    <cfRule type="cellIs" rank="0" priority="712" equalAverage="0" operator="greaterThan" aboveAverage="0" dxfId="10" text="" percent="0" bottom="0">
      <formula>30</formula>
    </cfRule>
  </conditionalFormatting>
  <conditionalFormatting sqref="G243">
    <cfRule type="cellIs" rank="0" priority="713" equalAverage="0" operator="greaterThan" aboveAverage="0" dxfId="1" text="" percent="0" bottom="0">
      <formula>0</formula>
    </cfRule>
    <cfRule type="cellIs" rank="0" priority="714" equalAverage="0" operator="lessThanOrEqual" aboveAverage="0" dxfId="0" text="" percent="0" bottom="0">
      <formula>0</formula>
    </cfRule>
  </conditionalFormatting>
  <conditionalFormatting sqref="F243">
    <cfRule type="cellIs" rank="0" priority="715" equalAverage="0" operator="greaterThan" aboveAverage="0" dxfId="10" text="" percent="0" bottom="0">
      <formula>30</formula>
    </cfRule>
  </conditionalFormatting>
  <conditionalFormatting sqref="G244">
    <cfRule type="cellIs" rank="0" priority="716" equalAverage="0" operator="greaterThan" aboveAverage="0" dxfId="1" text="" percent="0" bottom="0">
      <formula>0</formula>
    </cfRule>
    <cfRule type="cellIs" rank="0" priority="717" equalAverage="0" operator="lessThanOrEqual" aboveAverage="0" dxfId="0" text="" percent="0" bottom="0">
      <formula>0</formula>
    </cfRule>
  </conditionalFormatting>
  <conditionalFormatting sqref="F244">
    <cfRule type="cellIs" rank="0" priority="718" equalAverage="0" operator="greaterThan" aboveAverage="0" dxfId="10" text="" percent="0" bottom="0">
      <formula>30</formula>
    </cfRule>
  </conditionalFormatting>
  <conditionalFormatting sqref="G245">
    <cfRule type="cellIs" rank="0" priority="719" equalAverage="0" operator="greaterThan" aboveAverage="0" dxfId="1" text="" percent="0" bottom="0">
      <formula>0</formula>
    </cfRule>
    <cfRule type="cellIs" rank="0" priority="720" equalAverage="0" operator="lessThanOrEqual" aboveAverage="0" dxfId="0" text="" percent="0" bottom="0">
      <formula>0</formula>
    </cfRule>
  </conditionalFormatting>
  <conditionalFormatting sqref="F245">
    <cfRule type="cellIs" rank="0" priority="721" equalAverage="0" operator="greaterThan" aboveAverage="0" dxfId="10" text="" percent="0" bottom="0">
      <formula>30</formula>
    </cfRule>
  </conditionalFormatting>
  <conditionalFormatting sqref="G246">
    <cfRule type="cellIs" rank="0" priority="722" equalAverage="0" operator="greaterThan" aboveAverage="0" dxfId="1" text="" percent="0" bottom="0">
      <formula>0</formula>
    </cfRule>
    <cfRule type="cellIs" rank="0" priority="723" equalAverage="0" operator="lessThanOrEqual" aboveAverage="0" dxfId="0" text="" percent="0" bottom="0">
      <formula>0</formula>
    </cfRule>
  </conditionalFormatting>
  <conditionalFormatting sqref="F246">
    <cfRule type="cellIs" rank="0" priority="724" equalAverage="0" operator="greaterThan" aboveAverage="0" dxfId="10" text="" percent="0" bottom="0">
      <formula>30</formula>
    </cfRule>
  </conditionalFormatting>
  <conditionalFormatting sqref="G247">
    <cfRule type="cellIs" rank="0" priority="725" equalAverage="0" operator="greaterThan" aboveAverage="0" dxfId="1" text="" percent="0" bottom="0">
      <formula>0</formula>
    </cfRule>
    <cfRule type="cellIs" rank="0" priority="726" equalAverage="0" operator="lessThanOrEqual" aboveAverage="0" dxfId="0" text="" percent="0" bottom="0">
      <formula>0</formula>
    </cfRule>
  </conditionalFormatting>
  <conditionalFormatting sqref="F247">
    <cfRule type="cellIs" rank="0" priority="727" equalAverage="0" operator="greaterThan" aboveAverage="0" dxfId="10" text="" percent="0" bottom="0">
      <formula>30</formula>
    </cfRule>
  </conditionalFormatting>
  <conditionalFormatting sqref="G248">
    <cfRule type="cellIs" rank="0" priority="728" equalAverage="0" operator="greaterThan" aboveAverage="0" dxfId="1" text="" percent="0" bottom="0">
      <formula>0</formula>
    </cfRule>
    <cfRule type="cellIs" rank="0" priority="729" equalAverage="0" operator="lessThanOrEqual" aboveAverage="0" dxfId="0" text="" percent="0" bottom="0">
      <formula>0</formula>
    </cfRule>
  </conditionalFormatting>
  <conditionalFormatting sqref="F248">
    <cfRule type="cellIs" rank="0" priority="730" equalAverage="0" operator="greaterThan" aboveAverage="0" dxfId="10" text="" percent="0" bottom="0">
      <formula>30</formula>
    </cfRule>
  </conditionalFormatting>
  <conditionalFormatting sqref="G249">
    <cfRule type="cellIs" rank="0" priority="731" equalAverage="0" operator="greaterThan" aboveAverage="0" dxfId="1" text="" percent="0" bottom="0">
      <formula>0</formula>
    </cfRule>
    <cfRule type="cellIs" rank="0" priority="732" equalAverage="0" operator="lessThanOrEqual" aboveAverage="0" dxfId="0" text="" percent="0" bottom="0">
      <formula>0</formula>
    </cfRule>
  </conditionalFormatting>
  <conditionalFormatting sqref="F249">
    <cfRule type="cellIs" rank="0" priority="733" equalAverage="0" operator="greaterThan" aboveAverage="0" dxfId="10" text="" percent="0" bottom="0">
      <formula>30</formula>
    </cfRule>
  </conditionalFormatting>
  <conditionalFormatting sqref="G250">
    <cfRule type="cellIs" rank="0" priority="734" equalAverage="0" operator="greaterThan" aboveAverage="0" dxfId="1" text="" percent="0" bottom="0">
      <formula>0</formula>
    </cfRule>
    <cfRule type="cellIs" rank="0" priority="735" equalAverage="0" operator="lessThanOrEqual" aboveAverage="0" dxfId="0" text="" percent="0" bottom="0">
      <formula>0</formula>
    </cfRule>
  </conditionalFormatting>
  <conditionalFormatting sqref="F250">
    <cfRule type="cellIs" rank="0" priority="736" equalAverage="0" operator="greaterThan" aboveAverage="0" dxfId="10" text="" percent="0" bottom="0">
      <formula>30</formula>
    </cfRule>
  </conditionalFormatting>
  <conditionalFormatting sqref="G251">
    <cfRule type="cellIs" rank="0" priority="737" equalAverage="0" operator="greaterThan" aboveAverage="0" dxfId="1" text="" percent="0" bottom="0">
      <formula>0</formula>
    </cfRule>
    <cfRule type="cellIs" rank="0" priority="738" equalAverage="0" operator="lessThanOrEqual" aboveAverage="0" dxfId="0" text="" percent="0" bottom="0">
      <formula>0</formula>
    </cfRule>
  </conditionalFormatting>
  <conditionalFormatting sqref="F251">
    <cfRule type="cellIs" rank="0" priority="739" equalAverage="0" operator="greaterThan" aboveAverage="0" dxfId="10" text="" percent="0" bottom="0">
      <formula>30</formula>
    </cfRule>
  </conditionalFormatting>
  <conditionalFormatting sqref="G252">
    <cfRule type="cellIs" rank="0" priority="740" equalAverage="0" operator="greaterThan" aboveAverage="0" dxfId="1" text="" percent="0" bottom="0">
      <formula>0</formula>
    </cfRule>
    <cfRule type="cellIs" rank="0" priority="741" equalAverage="0" operator="lessThanOrEqual" aboveAverage="0" dxfId="0" text="" percent="0" bottom="0">
      <formula>0</formula>
    </cfRule>
  </conditionalFormatting>
  <conditionalFormatting sqref="F252">
    <cfRule type="cellIs" rank="0" priority="742" equalAverage="0" operator="greaterThan" aboveAverage="0" dxfId="10" text="" percent="0" bottom="0">
      <formula>30</formula>
    </cfRule>
  </conditionalFormatting>
  <conditionalFormatting sqref="G253">
    <cfRule type="cellIs" rank="0" priority="743" equalAverage="0" operator="greaterThan" aboveAverage="0" dxfId="1" text="" percent="0" bottom="0">
      <formula>0</formula>
    </cfRule>
    <cfRule type="cellIs" rank="0" priority="744" equalAverage="0" operator="lessThanOrEqual" aboveAverage="0" dxfId="0" text="" percent="0" bottom="0">
      <formula>0</formula>
    </cfRule>
  </conditionalFormatting>
  <conditionalFormatting sqref="F253">
    <cfRule type="cellIs" rank="0" priority="745" equalAverage="0" operator="greaterThan" aboveAverage="0" dxfId="10" text="" percent="0" bottom="0">
      <formula>30</formula>
    </cfRule>
  </conditionalFormatting>
  <conditionalFormatting sqref="G254">
    <cfRule type="cellIs" rank="0" priority="746" equalAverage="0" operator="greaterThan" aboveAverage="0" dxfId="1" text="" percent="0" bottom="0">
      <formula>0</formula>
    </cfRule>
    <cfRule type="cellIs" rank="0" priority="747" equalAverage="0" operator="lessThanOrEqual" aboveAverage="0" dxfId="0" text="" percent="0" bottom="0">
      <formula>0</formula>
    </cfRule>
  </conditionalFormatting>
  <conditionalFormatting sqref="F254">
    <cfRule type="cellIs" rank="0" priority="748" equalAverage="0" operator="greaterThan" aboveAverage="0" dxfId="10" text="" percent="0" bottom="0">
      <formula>30</formula>
    </cfRule>
  </conditionalFormatting>
  <conditionalFormatting sqref="G255">
    <cfRule type="cellIs" rank="0" priority="749" equalAverage="0" operator="greaterThan" aboveAverage="0" dxfId="1" text="" percent="0" bottom="0">
      <formula>0</formula>
    </cfRule>
    <cfRule type="cellIs" rank="0" priority="750" equalAverage="0" operator="lessThanOrEqual" aboveAverage="0" dxfId="0" text="" percent="0" bottom="0">
      <formula>0</formula>
    </cfRule>
  </conditionalFormatting>
  <conditionalFormatting sqref="F255">
    <cfRule type="cellIs" rank="0" priority="751" equalAverage="0" operator="greaterThan" aboveAverage="0" dxfId="10" text="" percent="0" bottom="0">
      <formula>30</formula>
    </cfRule>
  </conditionalFormatting>
  <conditionalFormatting sqref="G256">
    <cfRule type="cellIs" rank="0" priority="752" equalAverage="0" operator="greaterThan" aboveAverage="0" dxfId="1" text="" percent="0" bottom="0">
      <formula>0</formula>
    </cfRule>
    <cfRule type="cellIs" rank="0" priority="753" equalAverage="0" operator="lessThanOrEqual" aboveAverage="0" dxfId="0" text="" percent="0" bottom="0">
      <formula>0</formula>
    </cfRule>
  </conditionalFormatting>
  <conditionalFormatting sqref="F256">
    <cfRule type="cellIs" rank="0" priority="754" equalAverage="0" operator="greaterThan" aboveAverage="0" dxfId="10" text="" percent="0" bottom="0">
      <formula>30</formula>
    </cfRule>
  </conditionalFormatting>
  <conditionalFormatting sqref="G257">
    <cfRule type="cellIs" rank="0" priority="755" equalAverage="0" operator="greaterThan" aboveAverage="0" dxfId="1" text="" percent="0" bottom="0">
      <formula>0</formula>
    </cfRule>
    <cfRule type="cellIs" rank="0" priority="756" equalAverage="0" operator="lessThanOrEqual" aboveAverage="0" dxfId="0" text="" percent="0" bottom="0">
      <formula>0</formula>
    </cfRule>
  </conditionalFormatting>
  <conditionalFormatting sqref="F257">
    <cfRule type="cellIs" rank="0" priority="757" equalAverage="0" operator="greaterThan" aboveAverage="0" dxfId="10" text="" percent="0" bottom="0">
      <formula>30</formula>
    </cfRule>
  </conditionalFormatting>
  <conditionalFormatting sqref="G258">
    <cfRule type="cellIs" rank="0" priority="758" equalAverage="0" operator="greaterThan" aboveAverage="0" dxfId="1" text="" percent="0" bottom="0">
      <formula>0</formula>
    </cfRule>
    <cfRule type="cellIs" rank="0" priority="759" equalAverage="0" operator="lessThanOrEqual" aboveAverage="0" dxfId="0" text="" percent="0" bottom="0">
      <formula>0</formula>
    </cfRule>
  </conditionalFormatting>
  <conditionalFormatting sqref="F258">
    <cfRule type="cellIs" rank="0" priority="760" equalAverage="0" operator="greaterThan" aboveAverage="0" dxfId="10" text="" percent="0" bottom="0">
      <formula>30</formula>
    </cfRule>
  </conditionalFormatting>
  <conditionalFormatting sqref="G259">
    <cfRule type="cellIs" rank="0" priority="761" equalAverage="0" operator="greaterThan" aboveAverage="0" dxfId="1" text="" percent="0" bottom="0">
      <formula>0</formula>
    </cfRule>
    <cfRule type="cellIs" rank="0" priority="762" equalAverage="0" operator="lessThanOrEqual" aboveAverage="0" dxfId="0" text="" percent="0" bottom="0">
      <formula>0</formula>
    </cfRule>
  </conditionalFormatting>
  <conditionalFormatting sqref="F259">
    <cfRule type="cellIs" rank="0" priority="763" equalAverage="0" operator="greaterThan" aboveAverage="0" dxfId="10" text="" percent="0" bottom="0">
      <formula>30</formula>
    </cfRule>
  </conditionalFormatting>
  <conditionalFormatting sqref="G260">
    <cfRule type="cellIs" rank="0" priority="764" equalAverage="0" operator="greaterThan" aboveAverage="0" dxfId="1" text="" percent="0" bottom="0">
      <formula>0</formula>
    </cfRule>
    <cfRule type="cellIs" rank="0" priority="765" equalAverage="0" operator="lessThanOrEqual" aboveAverage="0" dxfId="0" text="" percent="0" bottom="0">
      <formula>0</formula>
    </cfRule>
  </conditionalFormatting>
  <conditionalFormatting sqref="F260">
    <cfRule type="cellIs" rank="0" priority="766" equalAverage="0" operator="greaterThan" aboveAverage="0" dxfId="10" text="" percent="0" bottom="0">
      <formula>30</formula>
    </cfRule>
  </conditionalFormatting>
  <conditionalFormatting sqref="G261">
    <cfRule type="cellIs" rank="0" priority="767" equalAverage="0" operator="greaterThan" aboveAverage="0" dxfId="1" text="" percent="0" bottom="0">
      <formula>0</formula>
    </cfRule>
    <cfRule type="cellIs" rank="0" priority="768" equalAverage="0" operator="lessThanOrEqual" aboveAverage="0" dxfId="0" text="" percent="0" bottom="0">
      <formula>0</formula>
    </cfRule>
  </conditionalFormatting>
  <conditionalFormatting sqref="F261">
    <cfRule type="cellIs" rank="0" priority="769" equalAverage="0" operator="greaterThan" aboveAverage="0" dxfId="10" text="" percent="0" bottom="0">
      <formula>30</formula>
    </cfRule>
  </conditionalFormatting>
  <conditionalFormatting sqref="G262">
    <cfRule type="cellIs" rank="0" priority="770" equalAverage="0" operator="greaterThan" aboveAverage="0" dxfId="1" text="" percent="0" bottom="0">
      <formula>0</formula>
    </cfRule>
    <cfRule type="cellIs" rank="0" priority="771" equalAverage="0" operator="lessThanOrEqual" aboveAverage="0" dxfId="0" text="" percent="0" bottom="0">
      <formula>0</formula>
    </cfRule>
  </conditionalFormatting>
  <conditionalFormatting sqref="F262">
    <cfRule type="cellIs" rank="0" priority="772" equalAverage="0" operator="greaterThan" aboveAverage="0" dxfId="10" text="" percent="0" bottom="0">
      <formula>30</formula>
    </cfRule>
  </conditionalFormatting>
  <conditionalFormatting sqref="G263">
    <cfRule type="cellIs" rank="0" priority="773" equalAverage="0" operator="greaterThan" aboveAverage="0" dxfId="1" text="" percent="0" bottom="0">
      <formula>0</formula>
    </cfRule>
    <cfRule type="cellIs" rank="0" priority="774" equalAverage="0" operator="lessThanOrEqual" aboveAverage="0" dxfId="0" text="" percent="0" bottom="0">
      <formula>0</formula>
    </cfRule>
  </conditionalFormatting>
  <conditionalFormatting sqref="F263">
    <cfRule type="cellIs" rank="0" priority="775" equalAverage="0" operator="greaterThan" aboveAverage="0" dxfId="10" text="" percent="0" bottom="0">
      <formula>30</formula>
    </cfRule>
  </conditionalFormatting>
  <conditionalFormatting sqref="G264">
    <cfRule type="cellIs" rank="0" priority="776" equalAverage="0" operator="greaterThan" aboveAverage="0" dxfId="1" text="" percent="0" bottom="0">
      <formula>0</formula>
    </cfRule>
    <cfRule type="cellIs" rank="0" priority="777" equalAverage="0" operator="lessThanOrEqual" aboveAverage="0" dxfId="0" text="" percent="0" bottom="0">
      <formula>0</formula>
    </cfRule>
  </conditionalFormatting>
  <conditionalFormatting sqref="F264">
    <cfRule type="cellIs" rank="0" priority="778" equalAverage="0" operator="greaterThan" aboveAverage="0" dxfId="10" text="" percent="0" bottom="0">
      <formula>30</formula>
    </cfRule>
  </conditionalFormatting>
  <conditionalFormatting sqref="G265">
    <cfRule type="cellIs" rank="0" priority="779" equalAverage="0" operator="greaterThan" aboveAverage="0" dxfId="1" text="" percent="0" bottom="0">
      <formula>0</formula>
    </cfRule>
    <cfRule type="cellIs" rank="0" priority="780" equalAverage="0" operator="lessThanOrEqual" aboveAverage="0" dxfId="0" text="" percent="0" bottom="0">
      <formula>0</formula>
    </cfRule>
  </conditionalFormatting>
  <conditionalFormatting sqref="F265">
    <cfRule type="cellIs" rank="0" priority="781" equalAverage="0" operator="greaterThan" aboveAverage="0" dxfId="10" text="" percent="0" bottom="0">
      <formula>30</formula>
    </cfRule>
  </conditionalFormatting>
  <conditionalFormatting sqref="G266">
    <cfRule type="cellIs" rank="0" priority="782" equalAverage="0" operator="greaterThan" aboveAverage="0" dxfId="1" text="" percent="0" bottom="0">
      <formula>0</formula>
    </cfRule>
    <cfRule type="cellIs" rank="0" priority="783" equalAverage="0" operator="lessThanOrEqual" aboveAverage="0" dxfId="0" text="" percent="0" bottom="0">
      <formula>0</formula>
    </cfRule>
  </conditionalFormatting>
  <conditionalFormatting sqref="F266">
    <cfRule type="cellIs" rank="0" priority="784" equalAverage="0" operator="greaterThan" aboveAverage="0" dxfId="10" text="" percent="0" bottom="0">
      <formula>30</formula>
    </cfRule>
  </conditionalFormatting>
  <conditionalFormatting sqref="G267">
    <cfRule type="cellIs" rank="0" priority="785" equalAverage="0" operator="greaterThan" aboveAverage="0" dxfId="1" text="" percent="0" bottom="0">
      <formula>0</formula>
    </cfRule>
    <cfRule type="cellIs" rank="0" priority="786" equalAverage="0" operator="lessThanOrEqual" aboveAverage="0" dxfId="0" text="" percent="0" bottom="0">
      <formula>0</formula>
    </cfRule>
  </conditionalFormatting>
  <conditionalFormatting sqref="F267">
    <cfRule type="cellIs" rank="0" priority="787" equalAverage="0" operator="greaterThan" aboveAverage="0" dxfId="10" text="" percent="0" bottom="0">
      <formula>30</formula>
    </cfRule>
  </conditionalFormatting>
  <conditionalFormatting sqref="G268">
    <cfRule type="cellIs" rank="0" priority="788" equalAverage="0" operator="greaterThan" aboveAverage="0" dxfId="1" text="" percent="0" bottom="0">
      <formula>0</formula>
    </cfRule>
    <cfRule type="cellIs" rank="0" priority="789" equalAverage="0" operator="lessThanOrEqual" aboveAverage="0" dxfId="0" text="" percent="0" bottom="0">
      <formula>0</formula>
    </cfRule>
  </conditionalFormatting>
  <conditionalFormatting sqref="F268">
    <cfRule type="cellIs" rank="0" priority="790" equalAverage="0" operator="greaterThan" aboveAverage="0" dxfId="10" text="" percent="0" bottom="0">
      <formula>30</formula>
    </cfRule>
  </conditionalFormatting>
  <conditionalFormatting sqref="G269">
    <cfRule type="cellIs" rank="0" priority="791" equalAverage="0" operator="greaterThan" aboveAverage="0" dxfId="1" text="" percent="0" bottom="0">
      <formula>0</formula>
    </cfRule>
    <cfRule type="cellIs" rank="0" priority="792" equalAverage="0" operator="lessThanOrEqual" aboveAverage="0" dxfId="0" text="" percent="0" bottom="0">
      <formula>0</formula>
    </cfRule>
  </conditionalFormatting>
  <conditionalFormatting sqref="F269">
    <cfRule type="cellIs" rank="0" priority="793" equalAverage="0" operator="greaterThan" aboveAverage="0" dxfId="10" text="" percent="0" bottom="0">
      <formula>30</formula>
    </cfRule>
  </conditionalFormatting>
  <conditionalFormatting sqref="G270">
    <cfRule type="cellIs" rank="0" priority="794" equalAverage="0" operator="greaterThan" aboveAverage="0" dxfId="1" text="" percent="0" bottom="0">
      <formula>0</formula>
    </cfRule>
    <cfRule type="cellIs" rank="0" priority="795" equalAverage="0" operator="lessThanOrEqual" aboveAverage="0" dxfId="0" text="" percent="0" bottom="0">
      <formula>0</formula>
    </cfRule>
  </conditionalFormatting>
  <conditionalFormatting sqref="F270">
    <cfRule type="cellIs" rank="0" priority="796" equalAverage="0" operator="greaterThan" aboveAverage="0" dxfId="10" text="" percent="0" bottom="0">
      <formula>30</formula>
    </cfRule>
  </conditionalFormatting>
  <conditionalFormatting sqref="G271">
    <cfRule type="cellIs" rank="0" priority="797" equalAverage="0" operator="greaterThan" aboveAverage="0" dxfId="1" text="" percent="0" bottom="0">
      <formula>0</formula>
    </cfRule>
    <cfRule type="cellIs" rank="0" priority="798" equalAverage="0" operator="lessThanOrEqual" aboveAverage="0" dxfId="0" text="" percent="0" bottom="0">
      <formula>0</formula>
    </cfRule>
  </conditionalFormatting>
  <conditionalFormatting sqref="F271">
    <cfRule type="cellIs" rank="0" priority="799" equalAverage="0" operator="greaterThan" aboveAverage="0" dxfId="10" text="" percent="0" bottom="0">
      <formula>30</formula>
    </cfRule>
  </conditionalFormatting>
  <conditionalFormatting sqref="G272">
    <cfRule type="cellIs" rank="0" priority="800" equalAverage="0" operator="greaterThan" aboveAverage="0" dxfId="1" text="" percent="0" bottom="0">
      <formula>0</formula>
    </cfRule>
    <cfRule type="cellIs" rank="0" priority="801" equalAverage="0" operator="lessThanOrEqual" aboveAverage="0" dxfId="0" text="" percent="0" bottom="0">
      <formula>0</formula>
    </cfRule>
  </conditionalFormatting>
  <conditionalFormatting sqref="F272">
    <cfRule type="cellIs" rank="0" priority="802" equalAverage="0" operator="greaterThan" aboveAverage="0" dxfId="10" text="" percent="0" bottom="0">
      <formula>30</formula>
    </cfRule>
  </conditionalFormatting>
  <conditionalFormatting sqref="G273">
    <cfRule type="cellIs" rank="0" priority="803" equalAverage="0" operator="greaterThan" aboveAverage="0" dxfId="1" text="" percent="0" bottom="0">
      <formula>0</formula>
    </cfRule>
    <cfRule type="cellIs" rank="0" priority="804" equalAverage="0" operator="lessThanOrEqual" aboveAverage="0" dxfId="0" text="" percent="0" bottom="0">
      <formula>0</formula>
    </cfRule>
  </conditionalFormatting>
  <conditionalFormatting sqref="F273">
    <cfRule type="cellIs" rank="0" priority="805" equalAverage="0" operator="greaterThan" aboveAverage="0" dxfId="10" text="" percent="0" bottom="0">
      <formula>30</formula>
    </cfRule>
  </conditionalFormatting>
  <conditionalFormatting sqref="G274">
    <cfRule type="cellIs" rank="0" priority="806" equalAverage="0" operator="greaterThan" aboveAverage="0" dxfId="1" text="" percent="0" bottom="0">
      <formula>0</formula>
    </cfRule>
    <cfRule type="cellIs" rank="0" priority="807" equalAverage="0" operator="lessThanOrEqual" aboveAverage="0" dxfId="0" text="" percent="0" bottom="0">
      <formula>0</formula>
    </cfRule>
  </conditionalFormatting>
  <conditionalFormatting sqref="F274">
    <cfRule type="cellIs" rank="0" priority="808" equalAverage="0" operator="greaterThan" aboveAverage="0" dxfId="10" text="" percent="0" bottom="0">
      <formula>30</formula>
    </cfRule>
  </conditionalFormatting>
  <conditionalFormatting sqref="G275">
    <cfRule type="cellIs" rank="0" priority="809" equalAverage="0" operator="greaterThan" aboveAverage="0" dxfId="1" text="" percent="0" bottom="0">
      <formula>0</formula>
    </cfRule>
    <cfRule type="cellIs" rank="0" priority="810" equalAverage="0" operator="lessThanOrEqual" aboveAverage="0" dxfId="0" text="" percent="0" bottom="0">
      <formula>0</formula>
    </cfRule>
  </conditionalFormatting>
  <conditionalFormatting sqref="F275">
    <cfRule type="cellIs" rank="0" priority="811" equalAverage="0" operator="greaterThan" aboveAverage="0" dxfId="10" text="" percent="0" bottom="0">
      <formula>30</formula>
    </cfRule>
  </conditionalFormatting>
  <conditionalFormatting sqref="G276">
    <cfRule type="cellIs" rank="0" priority="812" equalAverage="0" operator="greaterThan" aboveAverage="0" dxfId="1" text="" percent="0" bottom="0">
      <formula>0</formula>
    </cfRule>
    <cfRule type="cellIs" rank="0" priority="813" equalAverage="0" operator="lessThanOrEqual" aboveAverage="0" dxfId="0" text="" percent="0" bottom="0">
      <formula>0</formula>
    </cfRule>
  </conditionalFormatting>
  <conditionalFormatting sqref="F276">
    <cfRule type="cellIs" rank="0" priority="814" equalAverage="0" operator="greaterThan" aboveAverage="0" dxfId="10" text="" percent="0" bottom="0">
      <formula>30</formula>
    </cfRule>
  </conditionalFormatting>
  <conditionalFormatting sqref="G277">
    <cfRule type="cellIs" rank="0" priority="815" equalAverage="0" operator="greaterThan" aboveAverage="0" dxfId="1" text="" percent="0" bottom="0">
      <formula>0</formula>
    </cfRule>
    <cfRule type="cellIs" rank="0" priority="816" equalAverage="0" operator="lessThanOrEqual" aboveAverage="0" dxfId="0" text="" percent="0" bottom="0">
      <formula>0</formula>
    </cfRule>
  </conditionalFormatting>
  <conditionalFormatting sqref="F277">
    <cfRule type="cellIs" rank="0" priority="817" equalAverage="0" operator="greaterThan" aboveAverage="0" dxfId="10" text="" percent="0" bottom="0">
      <formula>30</formula>
    </cfRule>
  </conditionalFormatting>
  <conditionalFormatting sqref="G278">
    <cfRule type="cellIs" rank="0" priority="818" equalAverage="0" operator="greaterThan" aboveAverage="0" dxfId="1" text="" percent="0" bottom="0">
      <formula>0</formula>
    </cfRule>
    <cfRule type="cellIs" rank="0" priority="819" equalAverage="0" operator="lessThanOrEqual" aboveAverage="0" dxfId="0" text="" percent="0" bottom="0">
      <formula>0</formula>
    </cfRule>
  </conditionalFormatting>
  <conditionalFormatting sqref="F278">
    <cfRule type="cellIs" rank="0" priority="820" equalAverage="0" operator="greaterThan" aboveAverage="0" dxfId="10" text="" percent="0" bottom="0">
      <formula>30</formula>
    </cfRule>
  </conditionalFormatting>
  <conditionalFormatting sqref="G279">
    <cfRule type="cellIs" rank="0" priority="821" equalAverage="0" operator="greaterThan" aboveAverage="0" dxfId="1" text="" percent="0" bottom="0">
      <formula>0</formula>
    </cfRule>
    <cfRule type="cellIs" rank="0" priority="822" equalAverage="0" operator="lessThanOrEqual" aboveAverage="0" dxfId="0" text="" percent="0" bottom="0">
      <formula>0</formula>
    </cfRule>
  </conditionalFormatting>
  <conditionalFormatting sqref="F279">
    <cfRule type="cellIs" rank="0" priority="823" equalAverage="0" operator="greaterThan" aboveAverage="0" dxfId="10" text="" percent="0" bottom="0">
      <formula>30</formula>
    </cfRule>
  </conditionalFormatting>
  <conditionalFormatting sqref="G280">
    <cfRule type="cellIs" rank="0" priority="824" equalAverage="0" operator="greaterThan" aboveAverage="0" dxfId="1" text="" percent="0" bottom="0">
      <formula>0</formula>
    </cfRule>
    <cfRule type="cellIs" rank="0" priority="825" equalAverage="0" operator="lessThanOrEqual" aboveAverage="0" dxfId="0" text="" percent="0" bottom="0">
      <formula>0</formula>
    </cfRule>
  </conditionalFormatting>
  <conditionalFormatting sqref="F280">
    <cfRule type="cellIs" rank="0" priority="826" equalAverage="0" operator="greaterThan" aboveAverage="0" dxfId="10" text="" percent="0" bottom="0">
      <formula>30</formula>
    </cfRule>
  </conditionalFormatting>
  <conditionalFormatting sqref="G281">
    <cfRule type="cellIs" rank="0" priority="827" equalAverage="0" operator="greaterThan" aboveAverage="0" dxfId="1" text="" percent="0" bottom="0">
      <formula>0</formula>
    </cfRule>
    <cfRule type="cellIs" rank="0" priority="828" equalAverage="0" operator="lessThanOrEqual" aboveAverage="0" dxfId="0" text="" percent="0" bottom="0">
      <formula>0</formula>
    </cfRule>
  </conditionalFormatting>
  <conditionalFormatting sqref="F281">
    <cfRule type="cellIs" rank="0" priority="829" equalAverage="0" operator="greaterThan" aboveAverage="0" dxfId="10" text="" percent="0" bottom="0">
      <formula>30</formula>
    </cfRule>
  </conditionalFormatting>
  <conditionalFormatting sqref="G282">
    <cfRule type="cellIs" rank="0" priority="830" equalAverage="0" operator="greaterThan" aboveAverage="0" dxfId="1" text="" percent="0" bottom="0">
      <formula>0</formula>
    </cfRule>
    <cfRule type="cellIs" rank="0" priority="831" equalAverage="0" operator="lessThanOrEqual" aboveAverage="0" dxfId="0" text="" percent="0" bottom="0">
      <formula>0</formula>
    </cfRule>
  </conditionalFormatting>
  <conditionalFormatting sqref="F282">
    <cfRule type="cellIs" rank="0" priority="832" equalAverage="0" operator="greaterThan" aboveAverage="0" dxfId="10" text="" percent="0" bottom="0">
      <formula>30</formula>
    </cfRule>
  </conditionalFormatting>
  <conditionalFormatting sqref="G283">
    <cfRule type="cellIs" rank="0" priority="833" equalAverage="0" operator="greaterThan" aboveAverage="0" dxfId="1" text="" percent="0" bottom="0">
      <formula>0</formula>
    </cfRule>
    <cfRule type="cellIs" rank="0" priority="834" equalAverage="0" operator="lessThanOrEqual" aboveAverage="0" dxfId="0" text="" percent="0" bottom="0">
      <formula>0</formula>
    </cfRule>
  </conditionalFormatting>
  <conditionalFormatting sqref="F283">
    <cfRule type="cellIs" rank="0" priority="835" equalAverage="0" operator="greaterThan" aboveAverage="0" dxfId="10" text="" percent="0" bottom="0">
      <formula>30</formula>
    </cfRule>
  </conditionalFormatting>
  <conditionalFormatting sqref="G284">
    <cfRule type="cellIs" rank="0" priority="836" equalAverage="0" operator="greaterThan" aboveAverage="0" dxfId="1" text="" percent="0" bottom="0">
      <formula>0</formula>
    </cfRule>
    <cfRule type="cellIs" rank="0" priority="837" equalAverage="0" operator="lessThanOrEqual" aboveAverage="0" dxfId="0" text="" percent="0" bottom="0">
      <formula>0</formula>
    </cfRule>
  </conditionalFormatting>
  <conditionalFormatting sqref="F284">
    <cfRule type="cellIs" rank="0" priority="838" equalAverage="0" operator="greaterThan" aboveAverage="0" dxfId="10" text="" percent="0" bottom="0">
      <formula>30</formula>
    </cfRule>
  </conditionalFormatting>
  <conditionalFormatting sqref="G285">
    <cfRule type="cellIs" rank="0" priority="839" equalAverage="0" operator="greaterThan" aboveAverage="0" dxfId="1" text="" percent="0" bottom="0">
      <formula>0</formula>
    </cfRule>
    <cfRule type="cellIs" rank="0" priority="840" equalAverage="0" operator="lessThanOrEqual" aboveAverage="0" dxfId="0" text="" percent="0" bottom="0">
      <formula>0</formula>
    </cfRule>
  </conditionalFormatting>
  <conditionalFormatting sqref="F285">
    <cfRule type="cellIs" rank="0" priority="841" equalAverage="0" operator="greaterThan" aboveAverage="0" dxfId="10" text="" percent="0" bottom="0">
      <formula>30</formula>
    </cfRule>
  </conditionalFormatting>
  <conditionalFormatting sqref="G286">
    <cfRule type="cellIs" rank="0" priority="842" equalAverage="0" operator="greaterThan" aboveAverage="0" dxfId="1" text="" percent="0" bottom="0">
      <formula>0</formula>
    </cfRule>
    <cfRule type="cellIs" rank="0" priority="843" equalAverage="0" operator="lessThanOrEqual" aboveAverage="0" dxfId="0" text="" percent="0" bottom="0">
      <formula>0</formula>
    </cfRule>
  </conditionalFormatting>
  <conditionalFormatting sqref="F286">
    <cfRule type="cellIs" rank="0" priority="844" equalAverage="0" operator="greaterThan" aboveAverage="0" dxfId="10" text="" percent="0" bottom="0">
      <formula>30</formula>
    </cfRule>
  </conditionalFormatting>
  <conditionalFormatting sqref="G287">
    <cfRule type="cellIs" rank="0" priority="845" equalAverage="0" operator="greaterThan" aboveAverage="0" dxfId="1" text="" percent="0" bottom="0">
      <formula>0</formula>
    </cfRule>
    <cfRule type="cellIs" rank="0" priority="846" equalAverage="0" operator="lessThanOrEqual" aboveAverage="0" dxfId="0" text="" percent="0" bottom="0">
      <formula>0</formula>
    </cfRule>
  </conditionalFormatting>
  <conditionalFormatting sqref="F287">
    <cfRule type="cellIs" rank="0" priority="847" equalAverage="0" operator="greaterThan" aboveAverage="0" dxfId="10" text="" percent="0" bottom="0">
      <formula>30</formula>
    </cfRule>
  </conditionalFormatting>
  <conditionalFormatting sqref="G288">
    <cfRule type="cellIs" rank="0" priority="848" equalAverage="0" operator="greaterThan" aboveAverage="0" dxfId="1" text="" percent="0" bottom="0">
      <formula>0</formula>
    </cfRule>
    <cfRule type="cellIs" rank="0" priority="849" equalAverage="0" operator="lessThanOrEqual" aboveAverage="0" dxfId="0" text="" percent="0" bottom="0">
      <formula>0</formula>
    </cfRule>
  </conditionalFormatting>
  <conditionalFormatting sqref="F288">
    <cfRule type="cellIs" rank="0" priority="850" equalAverage="0" operator="greaterThan" aboveAverage="0" dxfId="10" text="" percent="0" bottom="0">
      <formula>30</formula>
    </cfRule>
  </conditionalFormatting>
  <conditionalFormatting sqref="G289">
    <cfRule type="cellIs" rank="0" priority="851" equalAverage="0" operator="greaterThan" aboveAverage="0" dxfId="1" text="" percent="0" bottom="0">
      <formula>0</formula>
    </cfRule>
    <cfRule type="cellIs" rank="0" priority="852" equalAverage="0" operator="lessThanOrEqual" aboveAverage="0" dxfId="0" text="" percent="0" bottom="0">
      <formula>0</formula>
    </cfRule>
  </conditionalFormatting>
  <conditionalFormatting sqref="F289">
    <cfRule type="cellIs" rank="0" priority="853" equalAverage="0" operator="greaterThan" aboveAverage="0" dxfId="10" text="" percent="0" bottom="0">
      <formula>30</formula>
    </cfRule>
  </conditionalFormatting>
  <conditionalFormatting sqref="G290">
    <cfRule type="cellIs" rank="0" priority="854" equalAverage="0" operator="greaterThan" aboveAverage="0" dxfId="1" text="" percent="0" bottom="0">
      <formula>0</formula>
    </cfRule>
    <cfRule type="cellIs" rank="0" priority="855" equalAverage="0" operator="lessThanOrEqual" aboveAverage="0" dxfId="0" text="" percent="0" bottom="0">
      <formula>0</formula>
    </cfRule>
  </conditionalFormatting>
  <conditionalFormatting sqref="F290">
    <cfRule type="cellIs" rank="0" priority="856" equalAverage="0" operator="greaterThan" aboveAverage="0" dxfId="10" text="" percent="0" bottom="0">
      <formula>30</formula>
    </cfRule>
  </conditionalFormatting>
  <conditionalFormatting sqref="G291">
    <cfRule type="cellIs" rank="0" priority="857" equalAverage="0" operator="greaterThan" aboveAverage="0" dxfId="1" text="" percent="0" bottom="0">
      <formula>0</formula>
    </cfRule>
    <cfRule type="cellIs" rank="0" priority="858" equalAverage="0" operator="lessThanOrEqual" aboveAverage="0" dxfId="0" text="" percent="0" bottom="0">
      <formula>0</formula>
    </cfRule>
  </conditionalFormatting>
  <conditionalFormatting sqref="F291">
    <cfRule type="cellIs" rank="0" priority="859" equalAverage="0" operator="greaterThan" aboveAverage="0" dxfId="10" text="" percent="0" bottom="0">
      <formula>30</formula>
    </cfRule>
  </conditionalFormatting>
  <conditionalFormatting sqref="G292">
    <cfRule type="cellIs" rank="0" priority="860" equalAverage="0" operator="greaterThan" aboveAverage="0" dxfId="1" text="" percent="0" bottom="0">
      <formula>0</formula>
    </cfRule>
    <cfRule type="cellIs" rank="0" priority="861" equalAverage="0" operator="lessThanOrEqual" aboveAverage="0" dxfId="0" text="" percent="0" bottom="0">
      <formula>0</formula>
    </cfRule>
  </conditionalFormatting>
  <conditionalFormatting sqref="F292">
    <cfRule type="cellIs" rank="0" priority="862" equalAverage="0" operator="greaterThan" aboveAverage="0" dxfId="10" text="" percent="0" bottom="0">
      <formula>30</formula>
    </cfRule>
  </conditionalFormatting>
  <conditionalFormatting sqref="G293">
    <cfRule type="cellIs" rank="0" priority="863" equalAverage="0" operator="greaterThan" aboveAverage="0" dxfId="1" text="" percent="0" bottom="0">
      <formula>0</formula>
    </cfRule>
    <cfRule type="cellIs" rank="0" priority="864" equalAverage="0" operator="lessThanOrEqual" aboveAverage="0" dxfId="0" text="" percent="0" bottom="0">
      <formula>0</formula>
    </cfRule>
  </conditionalFormatting>
  <conditionalFormatting sqref="F293">
    <cfRule type="cellIs" rank="0" priority="865" equalAverage="0" operator="greaterThan" aboveAverage="0" dxfId="10" text="" percent="0" bottom="0">
      <formula>30</formula>
    </cfRule>
  </conditionalFormatting>
  <conditionalFormatting sqref="G294">
    <cfRule type="cellIs" rank="0" priority="866" equalAverage="0" operator="greaterThan" aboveAverage="0" dxfId="1" text="" percent="0" bottom="0">
      <formula>0</formula>
    </cfRule>
    <cfRule type="cellIs" rank="0" priority="867" equalAverage="0" operator="lessThanOrEqual" aboveAverage="0" dxfId="0" text="" percent="0" bottom="0">
      <formula>0</formula>
    </cfRule>
  </conditionalFormatting>
  <conditionalFormatting sqref="F294">
    <cfRule type="cellIs" rank="0" priority="868" equalAverage="0" operator="greaterThan" aboveAverage="0" dxfId="10" text="" percent="0" bottom="0">
      <formula>30</formula>
    </cfRule>
  </conditionalFormatting>
  <conditionalFormatting sqref="G295">
    <cfRule type="cellIs" rank="0" priority="869" equalAverage="0" operator="greaterThan" aboveAverage="0" dxfId="1" text="" percent="0" bottom="0">
      <formula>0</formula>
    </cfRule>
    <cfRule type="cellIs" rank="0" priority="870" equalAverage="0" operator="lessThanOrEqual" aboveAverage="0" dxfId="0" text="" percent="0" bottom="0">
      <formula>0</formula>
    </cfRule>
  </conditionalFormatting>
  <conditionalFormatting sqref="F295">
    <cfRule type="cellIs" rank="0" priority="871" equalAverage="0" operator="greaterThan" aboveAverage="0" dxfId="10" text="" percent="0" bottom="0">
      <formula>30</formula>
    </cfRule>
  </conditionalFormatting>
  <conditionalFormatting sqref="G296">
    <cfRule type="cellIs" rank="0" priority="872" equalAverage="0" operator="greaterThan" aboveAverage="0" dxfId="1" text="" percent="0" bottom="0">
      <formula>0</formula>
    </cfRule>
    <cfRule type="cellIs" rank="0" priority="873" equalAverage="0" operator="lessThanOrEqual" aboveAverage="0" dxfId="0" text="" percent="0" bottom="0">
      <formula>0</formula>
    </cfRule>
  </conditionalFormatting>
  <conditionalFormatting sqref="F296">
    <cfRule type="cellIs" rank="0" priority="874" equalAverage="0" operator="greaterThan" aboveAverage="0" dxfId="10" text="" percent="0" bottom="0">
      <formula>30</formula>
    </cfRule>
  </conditionalFormatting>
  <conditionalFormatting sqref="G297">
    <cfRule type="cellIs" rank="0" priority="875" equalAverage="0" operator="greaterThan" aboveAverage="0" dxfId="1" text="" percent="0" bottom="0">
      <formula>0</formula>
    </cfRule>
    <cfRule type="cellIs" rank="0" priority="876" equalAverage="0" operator="lessThanOrEqual" aboveAverage="0" dxfId="0" text="" percent="0" bottom="0">
      <formula>0</formula>
    </cfRule>
  </conditionalFormatting>
  <conditionalFormatting sqref="F297">
    <cfRule type="cellIs" rank="0" priority="877" equalAverage="0" operator="greaterThan" aboveAverage="0" dxfId="10" text="" percent="0" bottom="0">
      <formula>30</formula>
    </cfRule>
  </conditionalFormatting>
  <conditionalFormatting sqref="G298">
    <cfRule type="cellIs" rank="0" priority="878" equalAverage="0" operator="greaterThan" aboveAverage="0" dxfId="1" text="" percent="0" bottom="0">
      <formula>0</formula>
    </cfRule>
    <cfRule type="cellIs" rank="0" priority="879" equalAverage="0" operator="lessThanOrEqual" aboveAverage="0" dxfId="0" text="" percent="0" bottom="0">
      <formula>0</formula>
    </cfRule>
  </conditionalFormatting>
  <conditionalFormatting sqref="F298">
    <cfRule type="cellIs" rank="0" priority="880" equalAverage="0" operator="greaterThan" aboveAverage="0" dxfId="10" text="" percent="0" bottom="0">
      <formula>30</formula>
    </cfRule>
  </conditionalFormatting>
  <conditionalFormatting sqref="G299">
    <cfRule type="cellIs" rank="0" priority="881" equalAverage="0" operator="greaterThan" aboveAverage="0" dxfId="1" text="" percent="0" bottom="0">
      <formula>0</formula>
    </cfRule>
    <cfRule type="cellIs" rank="0" priority="882" equalAverage="0" operator="lessThanOrEqual" aboveAverage="0" dxfId="0" text="" percent="0" bottom="0">
      <formula>0</formula>
    </cfRule>
  </conditionalFormatting>
  <conditionalFormatting sqref="F299">
    <cfRule type="cellIs" rank="0" priority="883" equalAverage="0" operator="greaterThan" aboveAverage="0" dxfId="10" text="" percent="0" bottom="0">
      <formula>30</formula>
    </cfRule>
  </conditionalFormatting>
  <conditionalFormatting sqref="G300">
    <cfRule type="cellIs" rank="0" priority="884" equalAverage="0" operator="greaterThan" aboveAverage="0" dxfId="1" text="" percent="0" bottom="0">
      <formula>0</formula>
    </cfRule>
    <cfRule type="cellIs" rank="0" priority="885" equalAverage="0" operator="lessThanOrEqual" aboveAverage="0" dxfId="0" text="" percent="0" bottom="0">
      <formula>0</formula>
    </cfRule>
  </conditionalFormatting>
  <conditionalFormatting sqref="F300">
    <cfRule type="cellIs" rank="0" priority="886" equalAverage="0" operator="greaterThan" aboveAverage="0" dxfId="10" text="" percent="0" bottom="0">
      <formula>30</formula>
    </cfRule>
  </conditionalFormatting>
  <conditionalFormatting sqref="G301">
    <cfRule type="cellIs" rank="0" priority="887" equalAverage="0" operator="greaterThan" aboveAverage="0" dxfId="1" text="" percent="0" bottom="0">
      <formula>0</formula>
    </cfRule>
    <cfRule type="cellIs" rank="0" priority="888" equalAverage="0" operator="lessThanOrEqual" aboveAverage="0" dxfId="0" text="" percent="0" bottom="0">
      <formula>0</formula>
    </cfRule>
  </conditionalFormatting>
  <conditionalFormatting sqref="F301">
    <cfRule type="cellIs" rank="0" priority="889" equalAverage="0" operator="greaterThan" aboveAverage="0" dxfId="10" text="" percent="0" bottom="0">
      <formula>30</formula>
    </cfRule>
  </conditionalFormatting>
  <conditionalFormatting sqref="G302">
    <cfRule type="cellIs" rank="0" priority="890" equalAverage="0" operator="greaterThan" aboveAverage="0" dxfId="1" text="" percent="0" bottom="0">
      <formula>0</formula>
    </cfRule>
    <cfRule type="cellIs" rank="0" priority="891" equalAverage="0" operator="lessThanOrEqual" aboveAverage="0" dxfId="0" text="" percent="0" bottom="0">
      <formula>0</formula>
    </cfRule>
  </conditionalFormatting>
  <conditionalFormatting sqref="F302">
    <cfRule type="cellIs" rank="0" priority="892" equalAverage="0" operator="greaterThan" aboveAverage="0" dxfId="10" text="" percent="0" bottom="0">
      <formula>30</formula>
    </cfRule>
  </conditionalFormatting>
  <conditionalFormatting sqref="G303">
    <cfRule type="cellIs" rank="0" priority="893" equalAverage="0" operator="greaterThan" aboveAverage="0" dxfId="1" text="" percent="0" bottom="0">
      <formula>0</formula>
    </cfRule>
    <cfRule type="cellIs" rank="0" priority="894" equalAverage="0" operator="lessThanOrEqual" aboveAverage="0" dxfId="0" text="" percent="0" bottom="0">
      <formula>0</formula>
    </cfRule>
  </conditionalFormatting>
  <conditionalFormatting sqref="F303">
    <cfRule type="cellIs" rank="0" priority="895" equalAverage="0" operator="greaterThan" aboveAverage="0" dxfId="10" text="" percent="0" bottom="0">
      <formula>30</formula>
    </cfRule>
  </conditionalFormatting>
  <conditionalFormatting sqref="G304">
    <cfRule type="cellIs" rank="0" priority="896" equalAverage="0" operator="greaterThan" aboveAverage="0" dxfId="1" text="" percent="0" bottom="0">
      <formula>0</formula>
    </cfRule>
    <cfRule type="cellIs" rank="0" priority="897" equalAverage="0" operator="lessThanOrEqual" aboveAverage="0" dxfId="0" text="" percent="0" bottom="0">
      <formula>0</formula>
    </cfRule>
  </conditionalFormatting>
  <conditionalFormatting sqref="F304">
    <cfRule type="cellIs" rank="0" priority="898" equalAverage="0" operator="greaterThan" aboveAverage="0" dxfId="10" text="" percent="0" bottom="0">
      <formula>30</formula>
    </cfRule>
  </conditionalFormatting>
  <conditionalFormatting sqref="G305">
    <cfRule type="cellIs" rank="0" priority="899" equalAverage="0" operator="greaterThan" aboveAverage="0" dxfId="1" text="" percent="0" bottom="0">
      <formula>0</formula>
    </cfRule>
    <cfRule type="cellIs" rank="0" priority="900" equalAverage="0" operator="lessThanOrEqual" aboveAverage="0" dxfId="0" text="" percent="0" bottom="0">
      <formula>0</formula>
    </cfRule>
  </conditionalFormatting>
  <conditionalFormatting sqref="F305">
    <cfRule type="cellIs" rank="0" priority="901" equalAverage="0" operator="greaterThan" aboveAverage="0" dxfId="10" text="" percent="0" bottom="0">
      <formula>30</formula>
    </cfRule>
  </conditionalFormatting>
  <conditionalFormatting sqref="G306">
    <cfRule type="cellIs" rank="0" priority="902" equalAverage="0" operator="greaterThan" aboveAverage="0" dxfId="1" text="" percent="0" bottom="0">
      <formula>0</formula>
    </cfRule>
    <cfRule type="cellIs" rank="0" priority="903" equalAverage="0" operator="lessThanOrEqual" aboveAverage="0" dxfId="0" text="" percent="0" bottom="0">
      <formula>0</formula>
    </cfRule>
  </conditionalFormatting>
  <conditionalFormatting sqref="F306">
    <cfRule type="cellIs" rank="0" priority="904" equalAverage="0" operator="greaterThan" aboveAverage="0" dxfId="10" text="" percent="0" bottom="0">
      <formula>30</formula>
    </cfRule>
  </conditionalFormatting>
  <conditionalFormatting sqref="G307">
    <cfRule type="cellIs" rank="0" priority="905" equalAverage="0" operator="greaterThan" aboveAverage="0" dxfId="1" text="" percent="0" bottom="0">
      <formula>0</formula>
    </cfRule>
    <cfRule type="cellIs" rank="0" priority="906" equalAverage="0" operator="lessThanOrEqual" aboveAverage="0" dxfId="0" text="" percent="0" bottom="0">
      <formula>0</formula>
    </cfRule>
  </conditionalFormatting>
  <conditionalFormatting sqref="F307">
    <cfRule type="cellIs" rank="0" priority="907" equalAverage="0" operator="greaterThan" aboveAverage="0" dxfId="10" text="" percent="0" bottom="0">
      <formula>30</formula>
    </cfRule>
  </conditionalFormatting>
  <conditionalFormatting sqref="G308">
    <cfRule type="cellIs" rank="0" priority="908" equalAverage="0" operator="greaterThan" aboveAverage="0" dxfId="1" text="" percent="0" bottom="0">
      <formula>0</formula>
    </cfRule>
    <cfRule type="cellIs" rank="0" priority="909" equalAverage="0" operator="lessThanOrEqual" aboveAverage="0" dxfId="0" text="" percent="0" bottom="0">
      <formula>0</formula>
    </cfRule>
  </conditionalFormatting>
  <conditionalFormatting sqref="F308">
    <cfRule type="cellIs" rank="0" priority="910" equalAverage="0" operator="greaterThan" aboveAverage="0" dxfId="10" text="" percent="0" bottom="0">
      <formula>30</formula>
    </cfRule>
  </conditionalFormatting>
  <conditionalFormatting sqref="G309">
    <cfRule type="cellIs" rank="0" priority="911" equalAverage="0" operator="greaterThan" aboveAverage="0" dxfId="1" text="" percent="0" bottom="0">
      <formula>0</formula>
    </cfRule>
    <cfRule type="cellIs" rank="0" priority="912" equalAverage="0" operator="lessThanOrEqual" aboveAverage="0" dxfId="0" text="" percent="0" bottom="0">
      <formula>0</formula>
    </cfRule>
  </conditionalFormatting>
  <conditionalFormatting sqref="F309">
    <cfRule type="cellIs" rank="0" priority="913" equalAverage="0" operator="greaterThan" aboveAverage="0" dxfId="10" text="" percent="0" bottom="0">
      <formula>30</formula>
    </cfRule>
  </conditionalFormatting>
  <conditionalFormatting sqref="G310">
    <cfRule type="cellIs" rank="0" priority="914" equalAverage="0" operator="greaterThan" aboveAverage="0" dxfId="1" text="" percent="0" bottom="0">
      <formula>0</formula>
    </cfRule>
    <cfRule type="cellIs" rank="0" priority="915" equalAverage="0" operator="lessThanOrEqual" aboveAverage="0" dxfId="0" text="" percent="0" bottom="0">
      <formula>0</formula>
    </cfRule>
  </conditionalFormatting>
  <conditionalFormatting sqref="F310">
    <cfRule type="cellIs" rank="0" priority="916" equalAverage="0" operator="greaterThan" aboveAverage="0" dxfId="10" text="" percent="0" bottom="0">
      <formula>30</formula>
    </cfRule>
  </conditionalFormatting>
  <conditionalFormatting sqref="G311">
    <cfRule type="cellIs" rank="0" priority="917" equalAverage="0" operator="greaterThan" aboveAverage="0" dxfId="1" text="" percent="0" bottom="0">
      <formula>0</formula>
    </cfRule>
    <cfRule type="cellIs" rank="0" priority="918" equalAverage="0" operator="lessThanOrEqual" aboveAverage="0" dxfId="0" text="" percent="0" bottom="0">
      <formula>0</formula>
    </cfRule>
  </conditionalFormatting>
  <conditionalFormatting sqref="F311">
    <cfRule type="cellIs" rank="0" priority="919" equalAverage="0" operator="greaterThan" aboveAverage="0" dxfId="10" text="" percent="0" bottom="0">
      <formula>30</formula>
    </cfRule>
  </conditionalFormatting>
  <conditionalFormatting sqref="G312">
    <cfRule type="cellIs" rank="0" priority="920" equalAverage="0" operator="greaterThan" aboveAverage="0" dxfId="1" text="" percent="0" bottom="0">
      <formula>0</formula>
    </cfRule>
    <cfRule type="cellIs" rank="0" priority="921" equalAverage="0" operator="lessThanOrEqual" aboveAverage="0" dxfId="0" text="" percent="0" bottom="0">
      <formula>0</formula>
    </cfRule>
  </conditionalFormatting>
  <conditionalFormatting sqref="F312">
    <cfRule type="cellIs" rank="0" priority="922" equalAverage="0" operator="greaterThan" aboveAverage="0" dxfId="10" text="" percent="0" bottom="0">
      <formula>30</formula>
    </cfRule>
  </conditionalFormatting>
  <conditionalFormatting sqref="G313">
    <cfRule type="cellIs" rank="0" priority="923" equalAverage="0" operator="greaterThan" aboveAverage="0" dxfId="1" text="" percent="0" bottom="0">
      <formula>0</formula>
    </cfRule>
    <cfRule type="cellIs" rank="0" priority="924" equalAverage="0" operator="lessThanOrEqual" aboveAverage="0" dxfId="0" text="" percent="0" bottom="0">
      <formula>0</formula>
    </cfRule>
  </conditionalFormatting>
  <conditionalFormatting sqref="F313">
    <cfRule type="cellIs" rank="0" priority="925" equalAverage="0" operator="greaterThan" aboveAverage="0" dxfId="10" text="" percent="0" bottom="0">
      <formula>30</formula>
    </cfRule>
  </conditionalFormatting>
  <conditionalFormatting sqref="G314">
    <cfRule type="cellIs" rank="0" priority="926" equalAverage="0" operator="greaterThan" aboveAverage="0" dxfId="1" text="" percent="0" bottom="0">
      <formula>0</formula>
    </cfRule>
    <cfRule type="cellIs" rank="0" priority="927" equalAverage="0" operator="lessThanOrEqual" aboveAverage="0" dxfId="0" text="" percent="0" bottom="0">
      <formula>0</formula>
    </cfRule>
  </conditionalFormatting>
  <conditionalFormatting sqref="F314">
    <cfRule type="cellIs" rank="0" priority="928" equalAverage="0" operator="greaterThan" aboveAverage="0" dxfId="10" text="" percent="0" bottom="0">
      <formula>30</formula>
    </cfRule>
  </conditionalFormatting>
  <conditionalFormatting sqref="G315">
    <cfRule type="cellIs" rank="0" priority="929" equalAverage="0" operator="greaterThan" aboveAverage="0" dxfId="1" text="" percent="0" bottom="0">
      <formula>0</formula>
    </cfRule>
    <cfRule type="cellIs" rank="0" priority="930" equalAverage="0" operator="lessThanOrEqual" aboveAverage="0" dxfId="0" text="" percent="0" bottom="0">
      <formula>0</formula>
    </cfRule>
  </conditionalFormatting>
  <conditionalFormatting sqref="F315">
    <cfRule type="cellIs" rank="0" priority="931" equalAverage="0" operator="greaterThan" aboveAverage="0" dxfId="10" text="" percent="0" bottom="0">
      <formula>30</formula>
    </cfRule>
  </conditionalFormatting>
  <conditionalFormatting sqref="G316">
    <cfRule type="cellIs" rank="0" priority="932" equalAverage="0" operator="greaterThan" aboveAverage="0" dxfId="1" text="" percent="0" bottom="0">
      <formula>0</formula>
    </cfRule>
    <cfRule type="cellIs" rank="0" priority="933" equalAverage="0" operator="lessThanOrEqual" aboveAverage="0" dxfId="0" text="" percent="0" bottom="0">
      <formula>0</formula>
    </cfRule>
  </conditionalFormatting>
  <conditionalFormatting sqref="F316">
    <cfRule type="cellIs" rank="0" priority="934" equalAverage="0" operator="greaterThan" aboveAverage="0" dxfId="10" text="" percent="0" bottom="0">
      <formula>30</formula>
    </cfRule>
  </conditionalFormatting>
  <conditionalFormatting sqref="G317">
    <cfRule type="cellIs" rank="0" priority="935" equalAverage="0" operator="greaterThan" aboveAverage="0" dxfId="1" text="" percent="0" bottom="0">
      <formula>0</formula>
    </cfRule>
    <cfRule type="cellIs" rank="0" priority="936" equalAverage="0" operator="lessThanOrEqual" aboveAverage="0" dxfId="0" text="" percent="0" bottom="0">
      <formula>0</formula>
    </cfRule>
  </conditionalFormatting>
  <conditionalFormatting sqref="F317">
    <cfRule type="cellIs" rank="0" priority="937" equalAverage="0" operator="greaterThan" aboveAverage="0" dxfId="10" text="" percent="0" bottom="0">
      <formula>30</formula>
    </cfRule>
  </conditionalFormatting>
  <conditionalFormatting sqref="G318">
    <cfRule type="cellIs" rank="0" priority="938" equalAverage="0" operator="greaterThan" aboveAverage="0" dxfId="1" text="" percent="0" bottom="0">
      <formula>0</formula>
    </cfRule>
    <cfRule type="cellIs" rank="0" priority="939" equalAverage="0" operator="lessThanOrEqual" aboveAverage="0" dxfId="0" text="" percent="0" bottom="0">
      <formula>0</formula>
    </cfRule>
  </conditionalFormatting>
  <conditionalFormatting sqref="F318">
    <cfRule type="cellIs" rank="0" priority="940" equalAverage="0" operator="greaterThan" aboveAverage="0" dxfId="10" text="" percent="0" bottom="0">
      <formula>30</formula>
    </cfRule>
  </conditionalFormatting>
  <conditionalFormatting sqref="G319">
    <cfRule type="cellIs" rank="0" priority="941" equalAverage="0" operator="greaterThan" aboveAverage="0" dxfId="1" text="" percent="0" bottom="0">
      <formula>0</formula>
    </cfRule>
    <cfRule type="cellIs" rank="0" priority="942" equalAverage="0" operator="lessThanOrEqual" aboveAverage="0" dxfId="0" text="" percent="0" bottom="0">
      <formula>0</formula>
    </cfRule>
  </conditionalFormatting>
  <conditionalFormatting sqref="F319">
    <cfRule type="cellIs" rank="0" priority="943" equalAverage="0" operator="greaterThan" aboveAverage="0" dxfId="10" text="" percent="0" bottom="0">
      <formula>30</formula>
    </cfRule>
  </conditionalFormatting>
  <conditionalFormatting sqref="G320">
    <cfRule type="cellIs" rank="0" priority="944" equalAverage="0" operator="greaterThan" aboveAverage="0" dxfId="1" text="" percent="0" bottom="0">
      <formula>0</formula>
    </cfRule>
    <cfRule type="cellIs" rank="0" priority="945" equalAverage="0" operator="lessThanOrEqual" aboveAverage="0" dxfId="0" text="" percent="0" bottom="0">
      <formula>0</formula>
    </cfRule>
  </conditionalFormatting>
  <conditionalFormatting sqref="F320">
    <cfRule type="cellIs" rank="0" priority="946" equalAverage="0" operator="greaterThan" aboveAverage="0" dxfId="10" text="" percent="0" bottom="0">
      <formula>30</formula>
    </cfRule>
  </conditionalFormatting>
  <conditionalFormatting sqref="G321">
    <cfRule type="cellIs" rank="0" priority="947" equalAverage="0" operator="greaterThan" aboveAverage="0" dxfId="1" text="" percent="0" bottom="0">
      <formula>0</formula>
    </cfRule>
    <cfRule type="cellIs" rank="0" priority="948" equalAverage="0" operator="lessThanOrEqual" aboveAverage="0" dxfId="0" text="" percent="0" bottom="0">
      <formula>0</formula>
    </cfRule>
  </conditionalFormatting>
  <conditionalFormatting sqref="F321">
    <cfRule type="cellIs" rank="0" priority="949" equalAverage="0" operator="greaterThan" aboveAverage="0" dxfId="10" text="" percent="0" bottom="0">
      <formula>30</formula>
    </cfRule>
  </conditionalFormatting>
  <conditionalFormatting sqref="G322">
    <cfRule type="cellIs" rank="0" priority="950" equalAverage="0" operator="greaterThan" aboveAverage="0" dxfId="1" text="" percent="0" bottom="0">
      <formula>0</formula>
    </cfRule>
    <cfRule type="cellIs" rank="0" priority="951" equalAverage="0" operator="lessThanOrEqual" aboveAverage="0" dxfId="0" text="" percent="0" bottom="0">
      <formula>0</formula>
    </cfRule>
  </conditionalFormatting>
  <conditionalFormatting sqref="F322">
    <cfRule type="cellIs" rank="0" priority="952" equalAverage="0" operator="greaterThan" aboveAverage="0" dxfId="10" text="" percent="0" bottom="0">
      <formula>30</formula>
    </cfRule>
  </conditionalFormatting>
  <conditionalFormatting sqref="G323">
    <cfRule type="cellIs" rank="0" priority="953" equalAverage="0" operator="greaterThan" aboveAverage="0" dxfId="1" text="" percent="0" bottom="0">
      <formula>0</formula>
    </cfRule>
    <cfRule type="cellIs" rank="0" priority="954" equalAverage="0" operator="lessThanOrEqual" aboveAverage="0" dxfId="0" text="" percent="0" bottom="0">
      <formula>0</formula>
    </cfRule>
  </conditionalFormatting>
  <conditionalFormatting sqref="F323">
    <cfRule type="cellIs" rank="0" priority="955" equalAverage="0" operator="greaterThan" aboveAverage="0" dxfId="10" text="" percent="0" bottom="0">
      <formula>30</formula>
    </cfRule>
  </conditionalFormatting>
  <conditionalFormatting sqref="G324">
    <cfRule type="cellIs" rank="0" priority="956" equalAverage="0" operator="greaterThan" aboveAverage="0" dxfId="1" text="" percent="0" bottom="0">
      <formula>0</formula>
    </cfRule>
    <cfRule type="cellIs" rank="0" priority="957" equalAverage="0" operator="lessThanOrEqual" aboveAverage="0" dxfId="0" text="" percent="0" bottom="0">
      <formula>0</formula>
    </cfRule>
  </conditionalFormatting>
  <conditionalFormatting sqref="F324">
    <cfRule type="cellIs" rank="0" priority="958" equalAverage="0" operator="greaterThan" aboveAverage="0" dxfId="10" text="" percent="0" bottom="0">
      <formula>30</formula>
    </cfRule>
  </conditionalFormatting>
  <conditionalFormatting sqref="G325">
    <cfRule type="cellIs" rank="0" priority="959" equalAverage="0" operator="greaterThan" aboveAverage="0" dxfId="1" text="" percent="0" bottom="0">
      <formula>0</formula>
    </cfRule>
    <cfRule type="cellIs" rank="0" priority="960" equalAverage="0" operator="lessThanOrEqual" aboveAverage="0" dxfId="0" text="" percent="0" bottom="0">
      <formula>0</formula>
    </cfRule>
  </conditionalFormatting>
  <conditionalFormatting sqref="F325">
    <cfRule type="cellIs" rank="0" priority="961" equalAverage="0" operator="greaterThan" aboveAverage="0" dxfId="10" text="" percent="0" bottom="0">
      <formula>30</formula>
    </cfRule>
  </conditionalFormatting>
  <conditionalFormatting sqref="G326">
    <cfRule type="cellIs" rank="0" priority="962" equalAverage="0" operator="greaterThan" aboveAverage="0" dxfId="1" text="" percent="0" bottom="0">
      <formula>0</formula>
    </cfRule>
    <cfRule type="cellIs" rank="0" priority="963" equalAverage="0" operator="lessThanOrEqual" aboveAverage="0" dxfId="0" text="" percent="0" bottom="0">
      <formula>0</formula>
    </cfRule>
  </conditionalFormatting>
  <conditionalFormatting sqref="F326">
    <cfRule type="cellIs" rank="0" priority="964" equalAverage="0" operator="greaterThan" aboveAverage="0" dxfId="10" text="" percent="0" bottom="0">
      <formula>30</formula>
    </cfRule>
  </conditionalFormatting>
  <conditionalFormatting sqref="G327">
    <cfRule type="cellIs" rank="0" priority="965" equalAverage="0" operator="greaterThan" aboveAverage="0" dxfId="1" text="" percent="0" bottom="0">
      <formula>0</formula>
    </cfRule>
    <cfRule type="cellIs" rank="0" priority="966" equalAverage="0" operator="lessThanOrEqual" aboveAverage="0" dxfId="0" text="" percent="0" bottom="0">
      <formula>0</formula>
    </cfRule>
  </conditionalFormatting>
  <conditionalFormatting sqref="F327">
    <cfRule type="cellIs" rank="0" priority="967" equalAverage="0" operator="greaterThan" aboveAverage="0" dxfId="10" text="" percent="0" bottom="0">
      <formula>30</formula>
    </cfRule>
  </conditionalFormatting>
  <conditionalFormatting sqref="G328">
    <cfRule type="cellIs" rank="0" priority="968" equalAverage="0" operator="greaterThan" aboveAverage="0" dxfId="1" text="" percent="0" bottom="0">
      <formula>0</formula>
    </cfRule>
    <cfRule type="cellIs" rank="0" priority="969" equalAverage="0" operator="lessThanOrEqual" aboveAverage="0" dxfId="0" text="" percent="0" bottom="0">
      <formula>0</formula>
    </cfRule>
  </conditionalFormatting>
  <conditionalFormatting sqref="F328">
    <cfRule type="cellIs" rank="0" priority="970" equalAverage="0" operator="greaterThan" aboveAverage="0" dxfId="10" text="" percent="0" bottom="0">
      <formula>30</formula>
    </cfRule>
  </conditionalFormatting>
  <conditionalFormatting sqref="G329">
    <cfRule type="cellIs" rank="0" priority="971" equalAverage="0" operator="greaterThan" aboveAverage="0" dxfId="1" text="" percent="0" bottom="0">
      <formula>0</formula>
    </cfRule>
    <cfRule type="cellIs" rank="0" priority="972" equalAverage="0" operator="lessThanOrEqual" aboveAverage="0" dxfId="0" text="" percent="0" bottom="0">
      <formula>0</formula>
    </cfRule>
  </conditionalFormatting>
  <conditionalFormatting sqref="F329">
    <cfRule type="cellIs" rank="0" priority="973" equalAverage="0" operator="greaterThan" aboveAverage="0" dxfId="10" text="" percent="0" bottom="0">
      <formula>30</formula>
    </cfRule>
  </conditionalFormatting>
  <conditionalFormatting sqref="G330">
    <cfRule type="cellIs" rank="0" priority="974" equalAverage="0" operator="greaterThan" aboveAverage="0" dxfId="1" text="" percent="0" bottom="0">
      <formula>0</formula>
    </cfRule>
    <cfRule type="cellIs" rank="0" priority="975" equalAverage="0" operator="lessThanOrEqual" aboveAverage="0" dxfId="0" text="" percent="0" bottom="0">
      <formula>0</formula>
    </cfRule>
  </conditionalFormatting>
  <conditionalFormatting sqref="F330">
    <cfRule type="cellIs" rank="0" priority="976" equalAverage="0" operator="greaterThan" aboveAverage="0" dxfId="10" text="" percent="0" bottom="0">
      <formula>30</formula>
    </cfRule>
  </conditionalFormatting>
  <conditionalFormatting sqref="G331">
    <cfRule type="cellIs" rank="0" priority="977" equalAverage="0" operator="greaterThan" aboveAverage="0" dxfId="1" text="" percent="0" bottom="0">
      <formula>0</formula>
    </cfRule>
    <cfRule type="cellIs" rank="0" priority="978" equalAverage="0" operator="lessThanOrEqual" aboveAverage="0" dxfId="0" text="" percent="0" bottom="0">
      <formula>0</formula>
    </cfRule>
  </conditionalFormatting>
  <conditionalFormatting sqref="F331">
    <cfRule type="cellIs" rank="0" priority="979" equalAverage="0" operator="greaterThan" aboveAverage="0" dxfId="10" text="" percent="0" bottom="0">
      <formula>30</formula>
    </cfRule>
  </conditionalFormatting>
  <conditionalFormatting sqref="G332">
    <cfRule type="cellIs" rank="0" priority="980" equalAverage="0" operator="greaterThan" aboveAverage="0" dxfId="1" text="" percent="0" bottom="0">
      <formula>0</formula>
    </cfRule>
    <cfRule type="cellIs" rank="0" priority="981" equalAverage="0" operator="lessThanOrEqual" aboveAverage="0" dxfId="0" text="" percent="0" bottom="0">
      <formula>0</formula>
    </cfRule>
  </conditionalFormatting>
  <conditionalFormatting sqref="F332">
    <cfRule type="cellIs" rank="0" priority="982" equalAverage="0" operator="greaterThan" aboveAverage="0" dxfId="10" text="" percent="0" bottom="0">
      <formula>30</formula>
    </cfRule>
  </conditionalFormatting>
  <conditionalFormatting sqref="G333">
    <cfRule type="cellIs" rank="0" priority="983" equalAverage="0" operator="greaterThan" aboveAverage="0" dxfId="1" text="" percent="0" bottom="0">
      <formula>0</formula>
    </cfRule>
    <cfRule type="cellIs" rank="0" priority="984" equalAverage="0" operator="lessThanOrEqual" aboveAverage="0" dxfId="0" text="" percent="0" bottom="0">
      <formula>0</formula>
    </cfRule>
  </conditionalFormatting>
  <conditionalFormatting sqref="F333">
    <cfRule type="cellIs" rank="0" priority="985" equalAverage="0" operator="greaterThan" aboveAverage="0" dxfId="10" text="" percent="0" bottom="0">
      <formula>30</formula>
    </cfRule>
  </conditionalFormatting>
  <conditionalFormatting sqref="G334">
    <cfRule type="cellIs" rank="0" priority="986" equalAverage="0" operator="greaterThan" aboveAverage="0" dxfId="1" text="" percent="0" bottom="0">
      <formula>0</formula>
    </cfRule>
    <cfRule type="cellIs" rank="0" priority="987" equalAverage="0" operator="lessThanOrEqual" aboveAverage="0" dxfId="0" text="" percent="0" bottom="0">
      <formula>0</formula>
    </cfRule>
  </conditionalFormatting>
  <conditionalFormatting sqref="F334">
    <cfRule type="cellIs" rank="0" priority="988" equalAverage="0" operator="greaterThan" aboveAverage="0" dxfId="10" text="" percent="0" bottom="0">
      <formula>30</formula>
    </cfRule>
  </conditionalFormatting>
  <conditionalFormatting sqref="G335">
    <cfRule type="cellIs" rank="0" priority="989" equalAverage="0" operator="greaterThan" aboveAverage="0" dxfId="1" text="" percent="0" bottom="0">
      <formula>0</formula>
    </cfRule>
    <cfRule type="cellIs" rank="0" priority="990" equalAverage="0" operator="lessThanOrEqual" aboveAverage="0" dxfId="0" text="" percent="0" bottom="0">
      <formula>0</formula>
    </cfRule>
  </conditionalFormatting>
  <conditionalFormatting sqref="F335">
    <cfRule type="cellIs" rank="0" priority="991" equalAverage="0" operator="greaterThan" aboveAverage="0" dxfId="10" text="" percent="0" bottom="0">
      <formula>30</formula>
    </cfRule>
  </conditionalFormatting>
  <conditionalFormatting sqref="G336">
    <cfRule type="cellIs" rank="0" priority="992" equalAverage="0" operator="greaterThan" aboveAverage="0" dxfId="1" text="" percent="0" bottom="0">
      <formula>0</formula>
    </cfRule>
    <cfRule type="cellIs" rank="0" priority="993" equalAverage="0" operator="lessThanOrEqual" aboveAverage="0" dxfId="0" text="" percent="0" bottom="0">
      <formula>0</formula>
    </cfRule>
  </conditionalFormatting>
  <conditionalFormatting sqref="F336">
    <cfRule type="cellIs" rank="0" priority="994" equalAverage="0" operator="greaterThan" aboveAverage="0" dxfId="10" text="" percent="0" bottom="0">
      <formula>30</formula>
    </cfRule>
  </conditionalFormatting>
  <conditionalFormatting sqref="G337">
    <cfRule type="cellIs" rank="0" priority="995" equalAverage="0" operator="greaterThan" aboveAverage="0" dxfId="1" text="" percent="0" bottom="0">
      <formula>0</formula>
    </cfRule>
    <cfRule type="cellIs" rank="0" priority="996" equalAverage="0" operator="lessThanOrEqual" aboveAverage="0" dxfId="0" text="" percent="0" bottom="0">
      <formula>0</formula>
    </cfRule>
  </conditionalFormatting>
  <conditionalFormatting sqref="F337">
    <cfRule type="cellIs" rank="0" priority="997" equalAverage="0" operator="greaterThan" aboveAverage="0" dxfId="10" text="" percent="0" bottom="0">
      <formula>30</formula>
    </cfRule>
  </conditionalFormatting>
  <conditionalFormatting sqref="G338">
    <cfRule type="cellIs" rank="0" priority="998" equalAverage="0" operator="greaterThan" aboveAverage="0" dxfId="1" text="" percent="0" bottom="0">
      <formula>0</formula>
    </cfRule>
    <cfRule type="cellIs" rank="0" priority="999" equalAverage="0" operator="lessThanOrEqual" aboveAverage="0" dxfId="0" text="" percent="0" bottom="0">
      <formula>0</formula>
    </cfRule>
  </conditionalFormatting>
  <conditionalFormatting sqref="F338">
    <cfRule type="cellIs" rank="0" priority="1000" equalAverage="0" operator="greaterThan" aboveAverage="0" dxfId="10" text="" percent="0" bottom="0">
      <formula>30</formula>
    </cfRule>
  </conditionalFormatting>
  <conditionalFormatting sqref="G339">
    <cfRule type="cellIs" rank="0" priority="1001" equalAverage="0" operator="greaterThan" aboveAverage="0" dxfId="1" text="" percent="0" bottom="0">
      <formula>0</formula>
    </cfRule>
    <cfRule type="cellIs" rank="0" priority="1002" equalAverage="0" operator="lessThanOrEqual" aboveAverage="0" dxfId="0" text="" percent="0" bottom="0">
      <formula>0</formula>
    </cfRule>
  </conditionalFormatting>
  <conditionalFormatting sqref="F339">
    <cfRule type="cellIs" rank="0" priority="1003" equalAverage="0" operator="greaterThan" aboveAverage="0" dxfId="10" text="" percent="0" bottom="0">
      <formula>30</formula>
    </cfRule>
  </conditionalFormatting>
  <conditionalFormatting sqref="G340">
    <cfRule type="cellIs" rank="0" priority="1004" equalAverage="0" operator="greaterThan" aboveAverage="0" dxfId="1" text="" percent="0" bottom="0">
      <formula>0</formula>
    </cfRule>
    <cfRule type="cellIs" rank="0" priority="1005" equalAverage="0" operator="lessThanOrEqual" aboveAverage="0" dxfId="0" text="" percent="0" bottom="0">
      <formula>0</formula>
    </cfRule>
  </conditionalFormatting>
  <conditionalFormatting sqref="F340">
    <cfRule type="cellIs" rank="0" priority="1006" equalAverage="0" operator="greaterThan" aboveAverage="0" dxfId="10" text="" percent="0" bottom="0">
      <formula>30</formula>
    </cfRule>
  </conditionalFormatting>
  <conditionalFormatting sqref="G341">
    <cfRule type="cellIs" rank="0" priority="1007" equalAverage="0" operator="greaterThan" aboveAverage="0" dxfId="1" text="" percent="0" bottom="0">
      <formula>0</formula>
    </cfRule>
    <cfRule type="cellIs" rank="0" priority="1008" equalAverage="0" operator="lessThanOrEqual" aboveAverage="0" dxfId="0" text="" percent="0" bottom="0">
      <formula>0</formula>
    </cfRule>
  </conditionalFormatting>
  <conditionalFormatting sqref="F341">
    <cfRule type="cellIs" rank="0" priority="1009" equalAverage="0" operator="greaterThan" aboveAverage="0" dxfId="10" text="" percent="0" bottom="0">
      <formula>30</formula>
    </cfRule>
  </conditionalFormatting>
  <conditionalFormatting sqref="G342">
    <cfRule type="cellIs" rank="0" priority="1010" equalAverage="0" operator="greaterThan" aboveAverage="0" dxfId="1" text="" percent="0" bottom="0">
      <formula>0</formula>
    </cfRule>
    <cfRule type="cellIs" rank="0" priority="1011" equalAverage="0" operator="lessThanOrEqual" aboveAverage="0" dxfId="0" text="" percent="0" bottom="0">
      <formula>0</formula>
    </cfRule>
  </conditionalFormatting>
  <conditionalFormatting sqref="F342">
    <cfRule type="cellIs" rank="0" priority="1012" equalAverage="0" operator="greaterThan" aboveAverage="0" dxfId="10" text="" percent="0" bottom="0">
      <formula>30</formula>
    </cfRule>
  </conditionalFormatting>
  <conditionalFormatting sqref="G343">
    <cfRule type="cellIs" rank="0" priority="1013" equalAverage="0" operator="greaterThan" aboveAverage="0" dxfId="1" text="" percent="0" bottom="0">
      <formula>0</formula>
    </cfRule>
    <cfRule type="cellIs" rank="0" priority="1014" equalAverage="0" operator="lessThanOrEqual" aboveAverage="0" dxfId="0" text="" percent="0" bottom="0">
      <formula>0</formula>
    </cfRule>
  </conditionalFormatting>
  <conditionalFormatting sqref="F343">
    <cfRule type="cellIs" rank="0" priority="1015" equalAverage="0" operator="greaterThan" aboveAverage="0" dxfId="10" text="" percent="0" bottom="0">
      <formula>30</formula>
    </cfRule>
  </conditionalFormatting>
  <conditionalFormatting sqref="G344">
    <cfRule type="cellIs" rank="0" priority="1016" equalAverage="0" operator="greaterThan" aboveAverage="0" dxfId="1" text="" percent="0" bottom="0">
      <formula>0</formula>
    </cfRule>
    <cfRule type="cellIs" rank="0" priority="1017" equalAverage="0" operator="lessThanOrEqual" aboveAverage="0" dxfId="0" text="" percent="0" bottom="0">
      <formula>0</formula>
    </cfRule>
  </conditionalFormatting>
  <conditionalFormatting sqref="F344">
    <cfRule type="cellIs" rank="0" priority="1018" equalAverage="0" operator="greaterThan" aboveAverage="0" dxfId="10" text="" percent="0" bottom="0">
      <formula>30</formula>
    </cfRule>
  </conditionalFormatting>
  <conditionalFormatting sqref="G345">
    <cfRule type="cellIs" rank="0" priority="1019" equalAverage="0" operator="greaterThan" aboveAverage="0" dxfId="1" text="" percent="0" bottom="0">
      <formula>0</formula>
    </cfRule>
    <cfRule type="cellIs" rank="0" priority="1020" equalAverage="0" operator="lessThanOrEqual" aboveAverage="0" dxfId="0" text="" percent="0" bottom="0">
      <formula>0</formula>
    </cfRule>
  </conditionalFormatting>
  <conditionalFormatting sqref="F345">
    <cfRule type="cellIs" rank="0" priority="1021" equalAverage="0" operator="greaterThan" aboveAverage="0" dxfId="10" text="" percent="0" bottom="0">
      <formula>30</formula>
    </cfRule>
  </conditionalFormatting>
  <conditionalFormatting sqref="G346">
    <cfRule type="cellIs" rank="0" priority="1022" equalAverage="0" operator="greaterThan" aboveAverage="0" dxfId="1" text="" percent="0" bottom="0">
      <formula>0</formula>
    </cfRule>
    <cfRule type="cellIs" rank="0" priority="1023" equalAverage="0" operator="lessThanOrEqual" aboveAverage="0" dxfId="0" text="" percent="0" bottom="0">
      <formula>0</formula>
    </cfRule>
  </conditionalFormatting>
  <conditionalFormatting sqref="F346">
    <cfRule type="cellIs" rank="0" priority="1024" equalAverage="0" operator="greaterThan" aboveAverage="0" dxfId="10" text="" percent="0" bottom="0">
      <formula>30</formula>
    </cfRule>
  </conditionalFormatting>
  <conditionalFormatting sqref="G347">
    <cfRule type="cellIs" rank="0" priority="1025" equalAverage="0" operator="greaterThan" aboveAverage="0" dxfId="1" text="" percent="0" bottom="0">
      <formula>0</formula>
    </cfRule>
    <cfRule type="cellIs" rank="0" priority="1026" equalAverage="0" operator="lessThanOrEqual" aboveAverage="0" dxfId="0" text="" percent="0" bottom="0">
      <formula>0</formula>
    </cfRule>
  </conditionalFormatting>
  <conditionalFormatting sqref="F347">
    <cfRule type="cellIs" rank="0" priority="1027" equalAverage="0" operator="greaterThan" aboveAverage="0" dxfId="10" text="" percent="0" bottom="0">
      <formula>30</formula>
    </cfRule>
  </conditionalFormatting>
  <conditionalFormatting sqref="G348">
    <cfRule type="cellIs" rank="0" priority="1028" equalAverage="0" operator="greaterThan" aboveAverage="0" dxfId="1" text="" percent="0" bottom="0">
      <formula>0</formula>
    </cfRule>
    <cfRule type="cellIs" rank="0" priority="1029" equalAverage="0" operator="lessThanOrEqual" aboveAverage="0" dxfId="0" text="" percent="0" bottom="0">
      <formula>0</formula>
    </cfRule>
  </conditionalFormatting>
  <conditionalFormatting sqref="F348">
    <cfRule type="cellIs" rank="0" priority="1030" equalAverage="0" operator="greaterThan" aboveAverage="0" dxfId="10" text="" percent="0" bottom="0">
      <formula>30</formula>
    </cfRule>
  </conditionalFormatting>
  <conditionalFormatting sqref="G349">
    <cfRule type="cellIs" rank="0" priority="1031" equalAverage="0" operator="greaterThan" aboveAverage="0" dxfId="1" text="" percent="0" bottom="0">
      <formula>0</formula>
    </cfRule>
    <cfRule type="cellIs" rank="0" priority="1032" equalAverage="0" operator="lessThanOrEqual" aboveAverage="0" dxfId="0" text="" percent="0" bottom="0">
      <formula>0</formula>
    </cfRule>
  </conditionalFormatting>
  <conditionalFormatting sqref="F349">
    <cfRule type="cellIs" rank="0" priority="1033" equalAverage="0" operator="greaterThan" aboveAverage="0" dxfId="10" text="" percent="0" bottom="0">
      <formula>30</formula>
    </cfRule>
  </conditionalFormatting>
  <conditionalFormatting sqref="G350">
    <cfRule type="cellIs" rank="0" priority="1034" equalAverage="0" operator="greaterThan" aboveAverage="0" dxfId="1" text="" percent="0" bottom="0">
      <formula>0</formula>
    </cfRule>
    <cfRule type="cellIs" rank="0" priority="1035" equalAverage="0" operator="lessThanOrEqual" aboveAverage="0" dxfId="0" text="" percent="0" bottom="0">
      <formula>0</formula>
    </cfRule>
  </conditionalFormatting>
  <conditionalFormatting sqref="F350">
    <cfRule type="cellIs" rank="0" priority="1036" equalAverage="0" operator="greaterThan" aboveAverage="0" dxfId="10" text="" percent="0" bottom="0">
      <formula>30</formula>
    </cfRule>
  </conditionalFormatting>
  <conditionalFormatting sqref="G351">
    <cfRule type="cellIs" rank="0" priority="1037" equalAverage="0" operator="greaterThan" aboveAverage="0" dxfId="1" text="" percent="0" bottom="0">
      <formula>0</formula>
    </cfRule>
    <cfRule type="cellIs" rank="0" priority="1038" equalAverage="0" operator="lessThanOrEqual" aboveAverage="0" dxfId="0" text="" percent="0" bottom="0">
      <formula>0</formula>
    </cfRule>
  </conditionalFormatting>
  <conditionalFormatting sqref="F351">
    <cfRule type="cellIs" rank="0" priority="1039" equalAverage="0" operator="greaterThan" aboveAverage="0" dxfId="10" text="" percent="0" bottom="0">
      <formula>30</formula>
    </cfRule>
  </conditionalFormatting>
  <conditionalFormatting sqref="G352">
    <cfRule type="cellIs" rank="0" priority="1040" equalAverage="0" operator="greaterThan" aboveAverage="0" dxfId="1" text="" percent="0" bottom="0">
      <formula>0</formula>
    </cfRule>
    <cfRule type="cellIs" rank="0" priority="1041" equalAverage="0" operator="lessThanOrEqual" aboveAverage="0" dxfId="0" text="" percent="0" bottom="0">
      <formula>0</formula>
    </cfRule>
  </conditionalFormatting>
  <conditionalFormatting sqref="F352">
    <cfRule type="cellIs" rank="0" priority="1042" equalAverage="0" operator="greaterThan" aboveAverage="0" dxfId="10" text="" percent="0" bottom="0">
      <formula>30</formula>
    </cfRule>
  </conditionalFormatting>
  <conditionalFormatting sqref="G353">
    <cfRule type="cellIs" rank="0" priority="1043" equalAverage="0" operator="greaterThan" aboveAverage="0" dxfId="1" text="" percent="0" bottom="0">
      <formula>0</formula>
    </cfRule>
    <cfRule type="cellIs" rank="0" priority="1044" equalAverage="0" operator="lessThanOrEqual" aboveAverage="0" dxfId="0" text="" percent="0" bottom="0">
      <formula>0</formula>
    </cfRule>
  </conditionalFormatting>
  <conditionalFormatting sqref="F353">
    <cfRule type="cellIs" rank="0" priority="1045" equalAverage="0" operator="greaterThan" aboveAverage="0" dxfId="10" text="" percent="0" bottom="0">
      <formula>30</formula>
    </cfRule>
  </conditionalFormatting>
  <conditionalFormatting sqref="G354">
    <cfRule type="cellIs" rank="0" priority="1046" equalAverage="0" operator="greaterThan" aboveAverage="0" dxfId="1" text="" percent="0" bottom="0">
      <formula>0</formula>
    </cfRule>
    <cfRule type="cellIs" rank="0" priority="1047" equalAverage="0" operator="lessThanOrEqual" aboveAverage="0" dxfId="0" text="" percent="0" bottom="0">
      <formula>0</formula>
    </cfRule>
  </conditionalFormatting>
  <conditionalFormatting sqref="F354">
    <cfRule type="cellIs" rank="0" priority="1048" equalAverage="0" operator="greaterThan" aboveAverage="0" dxfId="10" text="" percent="0" bottom="0">
      <formula>30</formula>
    </cfRule>
  </conditionalFormatting>
  <conditionalFormatting sqref="G355">
    <cfRule type="cellIs" rank="0" priority="1049" equalAverage="0" operator="greaterThan" aboveAverage="0" dxfId="1" text="" percent="0" bottom="0">
      <formula>0</formula>
    </cfRule>
    <cfRule type="cellIs" rank="0" priority="1050" equalAverage="0" operator="lessThanOrEqual" aboveAverage="0" dxfId="0" text="" percent="0" bottom="0">
      <formula>0</formula>
    </cfRule>
  </conditionalFormatting>
  <conditionalFormatting sqref="F355">
    <cfRule type="cellIs" rank="0" priority="1051" equalAverage="0" operator="greaterThan" aboveAverage="0" dxfId="10" text="" percent="0" bottom="0">
      <formula>30</formula>
    </cfRule>
  </conditionalFormatting>
  <conditionalFormatting sqref="G356">
    <cfRule type="cellIs" rank="0" priority="1052" equalAverage="0" operator="greaterThan" aboveAverage="0" dxfId="1" text="" percent="0" bottom="0">
      <formula>0</formula>
    </cfRule>
    <cfRule type="cellIs" rank="0" priority="1053" equalAverage="0" operator="lessThanOrEqual" aboveAverage="0" dxfId="0" text="" percent="0" bottom="0">
      <formula>0</formula>
    </cfRule>
  </conditionalFormatting>
  <conditionalFormatting sqref="F356">
    <cfRule type="cellIs" rank="0" priority="1054" equalAverage="0" operator="greaterThan" aboveAverage="0" dxfId="10" text="" percent="0" bottom="0">
      <formula>30</formula>
    </cfRule>
  </conditionalFormatting>
  <conditionalFormatting sqref="G357">
    <cfRule type="cellIs" rank="0" priority="1055" equalAverage="0" operator="greaterThan" aboveAverage="0" dxfId="1" text="" percent="0" bottom="0">
      <formula>0</formula>
    </cfRule>
    <cfRule type="cellIs" rank="0" priority="1056" equalAverage="0" operator="lessThanOrEqual" aboveAverage="0" dxfId="0" text="" percent="0" bottom="0">
      <formula>0</formula>
    </cfRule>
  </conditionalFormatting>
  <conditionalFormatting sqref="F357">
    <cfRule type="cellIs" rank="0" priority="1057" equalAverage="0" operator="greaterThan" aboveAverage="0" dxfId="10" text="" percent="0" bottom="0">
      <formula>30</formula>
    </cfRule>
  </conditionalFormatting>
  <conditionalFormatting sqref="G358">
    <cfRule type="cellIs" rank="0" priority="1058" equalAverage="0" operator="greaterThan" aboveAverage="0" dxfId="1" text="" percent="0" bottom="0">
      <formula>0</formula>
    </cfRule>
    <cfRule type="cellIs" rank="0" priority="1059" equalAverage="0" operator="lessThanOrEqual" aboveAverage="0" dxfId="0" text="" percent="0" bottom="0">
      <formula>0</formula>
    </cfRule>
  </conditionalFormatting>
  <conditionalFormatting sqref="F358">
    <cfRule type="cellIs" rank="0" priority="1060" equalAverage="0" operator="greaterThan" aboveAverage="0" dxfId="10" text="" percent="0" bottom="0">
      <formula>30</formula>
    </cfRule>
  </conditionalFormatting>
  <conditionalFormatting sqref="G359">
    <cfRule type="cellIs" rank="0" priority="1061" equalAverage="0" operator="greaterThan" aboveAverage="0" dxfId="1" text="" percent="0" bottom="0">
      <formula>0</formula>
    </cfRule>
    <cfRule type="cellIs" rank="0" priority="1062" equalAverage="0" operator="lessThanOrEqual" aboveAverage="0" dxfId="0" text="" percent="0" bottom="0">
      <formula>0</formula>
    </cfRule>
  </conditionalFormatting>
  <conditionalFormatting sqref="F359">
    <cfRule type="cellIs" rank="0" priority="1063" equalAverage="0" operator="greaterThan" aboveAverage="0" dxfId="10" text="" percent="0" bottom="0">
      <formula>30</formula>
    </cfRule>
  </conditionalFormatting>
  <conditionalFormatting sqref="G360">
    <cfRule type="cellIs" rank="0" priority="1064" equalAverage="0" operator="greaterThan" aboveAverage="0" dxfId="1" text="" percent="0" bottom="0">
      <formula>0</formula>
    </cfRule>
    <cfRule type="cellIs" rank="0" priority="1065" equalAverage="0" operator="lessThanOrEqual" aboveAverage="0" dxfId="0" text="" percent="0" bottom="0">
      <formula>0</formula>
    </cfRule>
  </conditionalFormatting>
  <conditionalFormatting sqref="F360">
    <cfRule type="cellIs" rank="0" priority="1066" equalAverage="0" operator="greaterThan" aboveAverage="0" dxfId="10" text="" percent="0" bottom="0">
      <formula>30</formula>
    </cfRule>
  </conditionalFormatting>
  <conditionalFormatting sqref="G361">
    <cfRule type="cellIs" rank="0" priority="1067" equalAverage="0" operator="greaterThan" aboveAverage="0" dxfId="1" text="" percent="0" bottom="0">
      <formula>0</formula>
    </cfRule>
    <cfRule type="cellIs" rank="0" priority="1068" equalAverage="0" operator="lessThanOrEqual" aboveAverage="0" dxfId="0" text="" percent="0" bottom="0">
      <formula>0</formula>
    </cfRule>
  </conditionalFormatting>
  <conditionalFormatting sqref="F361">
    <cfRule type="cellIs" rank="0" priority="1069" equalAverage="0" operator="greaterThan" aboveAverage="0" dxfId="10" text="" percent="0" bottom="0">
      <formula>30</formula>
    </cfRule>
  </conditionalFormatting>
  <conditionalFormatting sqref="G362">
    <cfRule type="cellIs" rank="0" priority="1070" equalAverage="0" operator="greaterThan" aboveAverage="0" dxfId="1" text="" percent="0" bottom="0">
      <formula>0</formula>
    </cfRule>
    <cfRule type="cellIs" rank="0" priority="1071" equalAverage="0" operator="lessThanOrEqual" aboveAverage="0" dxfId="0" text="" percent="0" bottom="0">
      <formula>0</formula>
    </cfRule>
  </conditionalFormatting>
  <conditionalFormatting sqref="F362">
    <cfRule type="cellIs" rank="0" priority="1072" equalAverage="0" operator="greaterThan" aboveAverage="0" dxfId="10" text="" percent="0" bottom="0">
      <formula>30</formula>
    </cfRule>
  </conditionalFormatting>
  <conditionalFormatting sqref="G363">
    <cfRule type="cellIs" rank="0" priority="1073" equalAverage="0" operator="greaterThan" aboveAverage="0" dxfId="1" text="" percent="0" bottom="0">
      <formula>0</formula>
    </cfRule>
    <cfRule type="cellIs" rank="0" priority="1074" equalAverage="0" operator="lessThanOrEqual" aboveAverage="0" dxfId="0" text="" percent="0" bottom="0">
      <formula>0</formula>
    </cfRule>
  </conditionalFormatting>
  <conditionalFormatting sqref="F363">
    <cfRule type="cellIs" rank="0" priority="1075" equalAverage="0" operator="greaterThan" aboveAverage="0" dxfId="10" text="" percent="0" bottom="0">
      <formula>30</formula>
    </cfRule>
  </conditionalFormatting>
  <conditionalFormatting sqref="G364">
    <cfRule type="cellIs" rank="0" priority="1076" equalAverage="0" operator="greaterThan" aboveAverage="0" dxfId="1" text="" percent="0" bottom="0">
      <formula>0</formula>
    </cfRule>
    <cfRule type="cellIs" rank="0" priority="1077" equalAverage="0" operator="lessThanOrEqual" aboveAverage="0" dxfId="0" text="" percent="0" bottom="0">
      <formula>0</formula>
    </cfRule>
  </conditionalFormatting>
  <conditionalFormatting sqref="F364">
    <cfRule type="cellIs" rank="0" priority="1078" equalAverage="0" operator="greaterThan" aboveAverage="0" dxfId="10" text="" percent="0" bottom="0">
      <formula>30</formula>
    </cfRule>
  </conditionalFormatting>
  <conditionalFormatting sqref="G365">
    <cfRule type="cellIs" rank="0" priority="1079" equalAverage="0" operator="greaterThan" aboveAverage="0" dxfId="1" text="" percent="0" bottom="0">
      <formula>0</formula>
    </cfRule>
    <cfRule type="cellIs" rank="0" priority="1080" equalAverage="0" operator="lessThanOrEqual" aboveAverage="0" dxfId="0" text="" percent="0" bottom="0">
      <formula>0</formula>
    </cfRule>
  </conditionalFormatting>
  <conditionalFormatting sqref="F365">
    <cfRule type="cellIs" rank="0" priority="1081" equalAverage="0" operator="greaterThan" aboveAverage="0" dxfId="10" text="" percent="0" bottom="0">
      <formula>30</formula>
    </cfRule>
  </conditionalFormatting>
  <conditionalFormatting sqref="G366">
    <cfRule type="cellIs" rank="0" priority="1082" equalAverage="0" operator="greaterThan" aboveAverage="0" dxfId="1" text="" percent="0" bottom="0">
      <formula>0</formula>
    </cfRule>
    <cfRule type="cellIs" rank="0" priority="1083" equalAverage="0" operator="lessThanOrEqual" aboveAverage="0" dxfId="0" text="" percent="0" bottom="0">
      <formula>0</formula>
    </cfRule>
  </conditionalFormatting>
  <conditionalFormatting sqref="F366">
    <cfRule type="cellIs" rank="0" priority="1084" equalAverage="0" operator="greaterThan" aboveAverage="0" dxfId="10" text="" percent="0" bottom="0">
      <formula>30</formula>
    </cfRule>
  </conditionalFormatting>
  <conditionalFormatting sqref="G367">
    <cfRule type="cellIs" rank="0" priority="1085" equalAverage="0" operator="greaterThan" aboveAverage="0" dxfId="1" text="" percent="0" bottom="0">
      <formula>0</formula>
    </cfRule>
    <cfRule type="cellIs" rank="0" priority="1086" equalAverage="0" operator="lessThanOrEqual" aboveAverage="0" dxfId="0" text="" percent="0" bottom="0">
      <formula>0</formula>
    </cfRule>
  </conditionalFormatting>
  <conditionalFormatting sqref="F367">
    <cfRule type="cellIs" rank="0" priority="1087" equalAverage="0" operator="greaterThan" aboveAverage="0" dxfId="10" text="" percent="0" bottom="0">
      <formula>30</formula>
    </cfRule>
  </conditionalFormatting>
  <conditionalFormatting sqref="G368">
    <cfRule type="cellIs" rank="0" priority="1088" equalAverage="0" operator="greaterThan" aboveAverage="0" dxfId="1" text="" percent="0" bottom="0">
      <formula>0</formula>
    </cfRule>
    <cfRule type="cellIs" rank="0" priority="1089" equalAverage="0" operator="lessThanOrEqual" aboveAverage="0" dxfId="0" text="" percent="0" bottom="0">
      <formula>0</formula>
    </cfRule>
  </conditionalFormatting>
  <conditionalFormatting sqref="F368">
    <cfRule type="cellIs" rank="0" priority="1090" equalAverage="0" operator="greaterThan" aboveAverage="0" dxfId="10" text="" percent="0" bottom="0">
      <formula>30</formula>
    </cfRule>
  </conditionalFormatting>
  <conditionalFormatting sqref="G369">
    <cfRule type="cellIs" rank="0" priority="1091" equalAverage="0" operator="greaterThan" aboveAverage="0" dxfId="1" text="" percent="0" bottom="0">
      <formula>0</formula>
    </cfRule>
    <cfRule type="cellIs" rank="0" priority="1092" equalAverage="0" operator="lessThanOrEqual" aboveAverage="0" dxfId="0" text="" percent="0" bottom="0">
      <formula>0</formula>
    </cfRule>
  </conditionalFormatting>
  <conditionalFormatting sqref="F369">
    <cfRule type="cellIs" rank="0" priority="1093" equalAverage="0" operator="greaterThan" aboveAverage="0" dxfId="10" text="" percent="0" bottom="0">
      <formula>30</formula>
    </cfRule>
  </conditionalFormatting>
  <conditionalFormatting sqref="G370">
    <cfRule type="cellIs" rank="0" priority="1094" equalAverage="0" operator="greaterThan" aboveAverage="0" dxfId="1" text="" percent="0" bottom="0">
      <formula>0</formula>
    </cfRule>
    <cfRule type="cellIs" rank="0" priority="1095" equalAverage="0" operator="lessThanOrEqual" aboveAverage="0" dxfId="0" text="" percent="0" bottom="0">
      <formula>0</formula>
    </cfRule>
  </conditionalFormatting>
  <conditionalFormatting sqref="F370">
    <cfRule type="cellIs" rank="0" priority="1096" equalAverage="0" operator="greaterThan" aboveAverage="0" dxfId="10" text="" percent="0" bottom="0">
      <formula>30</formula>
    </cfRule>
  </conditionalFormatting>
  <conditionalFormatting sqref="G371">
    <cfRule type="cellIs" rank="0" priority="1097" equalAverage="0" operator="greaterThan" aboveAverage="0" dxfId="1" text="" percent="0" bottom="0">
      <formula>0</formula>
    </cfRule>
    <cfRule type="cellIs" rank="0" priority="1098" equalAverage="0" operator="lessThanOrEqual" aboveAverage="0" dxfId="0" text="" percent="0" bottom="0">
      <formula>0</formula>
    </cfRule>
  </conditionalFormatting>
  <conditionalFormatting sqref="F371">
    <cfRule type="cellIs" rank="0" priority="1099" equalAverage="0" operator="greaterThan" aboveAverage="0" dxfId="10" text="" percent="0" bottom="0">
      <formula>30</formula>
    </cfRule>
  </conditionalFormatting>
  <conditionalFormatting sqref="G372">
    <cfRule type="cellIs" rank="0" priority="1100" equalAverage="0" operator="greaterThan" aboveAverage="0" dxfId="1" text="" percent="0" bottom="0">
      <formula>0</formula>
    </cfRule>
    <cfRule type="cellIs" rank="0" priority="1101" equalAverage="0" operator="lessThanOrEqual" aboveAverage="0" dxfId="0" text="" percent="0" bottom="0">
      <formula>0</formula>
    </cfRule>
  </conditionalFormatting>
  <conditionalFormatting sqref="F372">
    <cfRule type="cellIs" rank="0" priority="1102" equalAverage="0" operator="greaterThan" aboveAverage="0" dxfId="10" text="" percent="0" bottom="0">
      <formula>30</formula>
    </cfRule>
  </conditionalFormatting>
  <conditionalFormatting sqref="G373">
    <cfRule type="cellIs" rank="0" priority="1103" equalAverage="0" operator="greaterThan" aboveAverage="0" dxfId="1" text="" percent="0" bottom="0">
      <formula>0</formula>
    </cfRule>
    <cfRule type="cellIs" rank="0" priority="1104" equalAverage="0" operator="lessThanOrEqual" aboveAverage="0" dxfId="0" text="" percent="0" bottom="0">
      <formula>0</formula>
    </cfRule>
  </conditionalFormatting>
  <conditionalFormatting sqref="F373">
    <cfRule type="cellIs" rank="0" priority="1105" equalAverage="0" operator="greaterThan" aboveAverage="0" dxfId="10" text="" percent="0" bottom="0">
      <formula>30</formula>
    </cfRule>
  </conditionalFormatting>
  <conditionalFormatting sqref="G374">
    <cfRule type="cellIs" rank="0" priority="1106" equalAverage="0" operator="greaterThan" aboveAverage="0" dxfId="1" text="" percent="0" bottom="0">
      <formula>0</formula>
    </cfRule>
    <cfRule type="cellIs" rank="0" priority="1107" equalAverage="0" operator="lessThanOrEqual" aboveAverage="0" dxfId="0" text="" percent="0" bottom="0">
      <formula>0</formula>
    </cfRule>
  </conditionalFormatting>
  <conditionalFormatting sqref="F374">
    <cfRule type="cellIs" rank="0" priority="1108" equalAverage="0" operator="greaterThan" aboveAverage="0" dxfId="10" text="" percent="0" bottom="0">
      <formula>30</formula>
    </cfRule>
  </conditionalFormatting>
  <conditionalFormatting sqref="G375">
    <cfRule type="cellIs" rank="0" priority="1109" equalAverage="0" operator="greaterThan" aboveAverage="0" dxfId="1" text="" percent="0" bottom="0">
      <formula>0</formula>
    </cfRule>
    <cfRule type="cellIs" rank="0" priority="1110" equalAverage="0" operator="lessThanOrEqual" aboveAverage="0" dxfId="0" text="" percent="0" bottom="0">
      <formula>0</formula>
    </cfRule>
  </conditionalFormatting>
  <conditionalFormatting sqref="F375">
    <cfRule type="cellIs" rank="0" priority="1111" equalAverage="0" operator="greaterThan" aboveAverage="0" dxfId="10" text="" percent="0" bottom="0">
      <formula>30</formula>
    </cfRule>
  </conditionalFormatting>
  <conditionalFormatting sqref="G376">
    <cfRule type="cellIs" rank="0" priority="1112" equalAverage="0" operator="greaterThan" aboveAverage="0" dxfId="1" text="" percent="0" bottom="0">
      <formula>0</formula>
    </cfRule>
    <cfRule type="cellIs" rank="0" priority="1113" equalAverage="0" operator="lessThanOrEqual" aboveAverage="0" dxfId="0" text="" percent="0" bottom="0">
      <formula>0</formula>
    </cfRule>
  </conditionalFormatting>
  <conditionalFormatting sqref="F376">
    <cfRule type="cellIs" rank="0" priority="1114" equalAverage="0" operator="greaterThan" aboveAverage="0" dxfId="10" text="" percent="0" bottom="0">
      <formula>30</formula>
    </cfRule>
  </conditionalFormatting>
  <conditionalFormatting sqref="G377">
    <cfRule type="cellIs" rank="0" priority="1115" equalAverage="0" operator="greaterThan" aboveAverage="0" dxfId="1" text="" percent="0" bottom="0">
      <formula>0</formula>
    </cfRule>
    <cfRule type="cellIs" rank="0" priority="1116" equalAverage="0" operator="lessThanOrEqual" aboveAverage="0" dxfId="0" text="" percent="0" bottom="0">
      <formula>0</formula>
    </cfRule>
  </conditionalFormatting>
  <conditionalFormatting sqref="F377">
    <cfRule type="cellIs" rank="0" priority="1117" equalAverage="0" operator="greaterThan" aboveAverage="0" dxfId="10" text="" percent="0" bottom="0">
      <formula>30</formula>
    </cfRule>
  </conditionalFormatting>
  <conditionalFormatting sqref="G378">
    <cfRule type="cellIs" rank="0" priority="1118" equalAverage="0" operator="greaterThan" aboveAverage="0" dxfId="1" text="" percent="0" bottom="0">
      <formula>0</formula>
    </cfRule>
    <cfRule type="cellIs" rank="0" priority="1119" equalAverage="0" operator="lessThanOrEqual" aboveAverage="0" dxfId="0" text="" percent="0" bottom="0">
      <formula>0</formula>
    </cfRule>
  </conditionalFormatting>
  <conditionalFormatting sqref="F378">
    <cfRule type="cellIs" rank="0" priority="1120" equalAverage="0" operator="greaterThan" aboveAverage="0" dxfId="10" text="" percent="0" bottom="0">
      <formula>30</formula>
    </cfRule>
  </conditionalFormatting>
  <conditionalFormatting sqref="G379">
    <cfRule type="cellIs" rank="0" priority="1121" equalAverage="0" operator="greaterThan" aboveAverage="0" dxfId="1" text="" percent="0" bottom="0">
      <formula>0</formula>
    </cfRule>
    <cfRule type="cellIs" rank="0" priority="1122" equalAverage="0" operator="lessThanOrEqual" aboveAverage="0" dxfId="0" text="" percent="0" bottom="0">
      <formula>0</formula>
    </cfRule>
  </conditionalFormatting>
  <conditionalFormatting sqref="F379">
    <cfRule type="cellIs" rank="0" priority="1123" equalAverage="0" operator="greaterThan" aboveAverage="0" dxfId="10" text="" percent="0" bottom="0">
      <formula>30</formula>
    </cfRule>
  </conditionalFormatting>
  <conditionalFormatting sqref="G380">
    <cfRule type="cellIs" rank="0" priority="1124" equalAverage="0" operator="greaterThan" aboveAverage="0" dxfId="1" text="" percent="0" bottom="0">
      <formula>0</formula>
    </cfRule>
    <cfRule type="cellIs" rank="0" priority="1125" equalAverage="0" operator="lessThanOrEqual" aboveAverage="0" dxfId="0" text="" percent="0" bottom="0">
      <formula>0</formula>
    </cfRule>
  </conditionalFormatting>
  <conditionalFormatting sqref="F380">
    <cfRule type="cellIs" rank="0" priority="1126" equalAverage="0" operator="greaterThan" aboveAverage="0" dxfId="10" text="" percent="0" bottom="0">
      <formula>30</formula>
    </cfRule>
  </conditionalFormatting>
  <conditionalFormatting sqref="G381">
    <cfRule type="cellIs" rank="0" priority="1127" equalAverage="0" operator="greaterThan" aboveAverage="0" dxfId="1" text="" percent="0" bottom="0">
      <formula>0</formula>
    </cfRule>
    <cfRule type="cellIs" rank="0" priority="1128" equalAverage="0" operator="lessThanOrEqual" aboveAverage="0" dxfId="0" text="" percent="0" bottom="0">
      <formula>0</formula>
    </cfRule>
  </conditionalFormatting>
  <conditionalFormatting sqref="F381">
    <cfRule type="cellIs" rank="0" priority="1129" equalAverage="0" operator="greaterThan" aboveAverage="0" dxfId="10" text="" percent="0" bottom="0">
      <formula>30</formula>
    </cfRule>
  </conditionalFormatting>
  <conditionalFormatting sqref="G382">
    <cfRule type="cellIs" rank="0" priority="1130" equalAverage="0" operator="greaterThan" aboveAverage="0" dxfId="1" text="" percent="0" bottom="0">
      <formula>0</formula>
    </cfRule>
    <cfRule type="cellIs" rank="0" priority="1131" equalAverage="0" operator="lessThanOrEqual" aboveAverage="0" dxfId="0" text="" percent="0" bottom="0">
      <formula>0</formula>
    </cfRule>
  </conditionalFormatting>
  <conditionalFormatting sqref="F382">
    <cfRule type="cellIs" rank="0" priority="1132" equalAverage="0" operator="greaterThan" aboveAverage="0" dxfId="10" text="" percent="0" bottom="0">
      <formula>30</formula>
    </cfRule>
  </conditionalFormatting>
  <conditionalFormatting sqref="G383">
    <cfRule type="cellIs" rank="0" priority="1133" equalAverage="0" operator="greaterThan" aboveAverage="0" dxfId="1" text="" percent="0" bottom="0">
      <formula>0</formula>
    </cfRule>
    <cfRule type="cellIs" rank="0" priority="1134" equalAverage="0" operator="lessThanOrEqual" aboveAverage="0" dxfId="0" text="" percent="0" bottom="0">
      <formula>0</formula>
    </cfRule>
  </conditionalFormatting>
  <conditionalFormatting sqref="F383">
    <cfRule type="cellIs" rank="0" priority="1135" equalAverage="0" operator="greaterThan" aboveAverage="0" dxfId="10" text="" percent="0" bottom="0">
      <formula>30</formula>
    </cfRule>
  </conditionalFormatting>
  <conditionalFormatting sqref="G384">
    <cfRule type="cellIs" rank="0" priority="1136" equalAverage="0" operator="greaterThan" aboveAverage="0" dxfId="1" text="" percent="0" bottom="0">
      <formula>0</formula>
    </cfRule>
    <cfRule type="cellIs" rank="0" priority="1137" equalAverage="0" operator="lessThanOrEqual" aboveAverage="0" dxfId="0" text="" percent="0" bottom="0">
      <formula>0</formula>
    </cfRule>
  </conditionalFormatting>
  <conditionalFormatting sqref="F384">
    <cfRule type="cellIs" rank="0" priority="1138" equalAverage="0" operator="greaterThan" aboveAverage="0" dxfId="10" text="" percent="0" bottom="0">
      <formula>30</formula>
    </cfRule>
  </conditionalFormatting>
  <conditionalFormatting sqref="G385">
    <cfRule type="cellIs" rank="0" priority="1139" equalAverage="0" operator="greaterThan" aboveAverage="0" dxfId="1" text="" percent="0" bottom="0">
      <formula>0</formula>
    </cfRule>
    <cfRule type="cellIs" rank="0" priority="1140" equalAverage="0" operator="lessThanOrEqual" aboveAverage="0" dxfId="0" text="" percent="0" bottom="0">
      <formula>0</formula>
    </cfRule>
  </conditionalFormatting>
  <conditionalFormatting sqref="F385">
    <cfRule type="cellIs" rank="0" priority="1141" equalAverage="0" operator="greaterThan" aboveAverage="0" dxfId="10" text="" percent="0" bottom="0">
      <formula>30</formula>
    </cfRule>
  </conditionalFormatting>
  <conditionalFormatting sqref="G386">
    <cfRule type="cellIs" rank="0" priority="1142" equalAverage="0" operator="greaterThan" aboveAverage="0" dxfId="1" text="" percent="0" bottom="0">
      <formula>0</formula>
    </cfRule>
    <cfRule type="cellIs" rank="0" priority="1143" equalAverage="0" operator="lessThanOrEqual" aboveAverage="0" dxfId="0" text="" percent="0" bottom="0">
      <formula>0</formula>
    </cfRule>
  </conditionalFormatting>
  <conditionalFormatting sqref="F386">
    <cfRule type="cellIs" rank="0" priority="1144" equalAverage="0" operator="greaterThan" aboveAverage="0" dxfId="10" text="" percent="0" bottom="0">
      <formula>30</formula>
    </cfRule>
  </conditionalFormatting>
  <conditionalFormatting sqref="G387">
    <cfRule type="cellIs" rank="0" priority="1145" equalAverage="0" operator="greaterThan" aboveAverage="0" dxfId="1" text="" percent="0" bottom="0">
      <formula>0</formula>
    </cfRule>
    <cfRule type="cellIs" rank="0" priority="1146" equalAverage="0" operator="lessThanOrEqual" aboveAverage="0" dxfId="0" text="" percent="0" bottom="0">
      <formula>0</formula>
    </cfRule>
  </conditionalFormatting>
  <conditionalFormatting sqref="F387">
    <cfRule type="cellIs" rank="0" priority="1147" equalAverage="0" operator="greaterThan" aboveAverage="0" dxfId="10" text="" percent="0" bottom="0">
      <formula>30</formula>
    </cfRule>
  </conditionalFormatting>
  <conditionalFormatting sqref="G388">
    <cfRule type="cellIs" rank="0" priority="1148" equalAverage="0" operator="greaterThan" aboveAverage="0" dxfId="1" text="" percent="0" bottom="0">
      <formula>0</formula>
    </cfRule>
    <cfRule type="cellIs" rank="0" priority="1149" equalAverage="0" operator="lessThanOrEqual" aboveAverage="0" dxfId="0" text="" percent="0" bottom="0">
      <formula>0</formula>
    </cfRule>
  </conditionalFormatting>
  <conditionalFormatting sqref="F388">
    <cfRule type="cellIs" rank="0" priority="1150" equalAverage="0" operator="greaterThan" aboveAverage="0" dxfId="10" text="" percent="0" bottom="0">
      <formula>30</formula>
    </cfRule>
  </conditionalFormatting>
  <conditionalFormatting sqref="G389">
    <cfRule type="cellIs" rank="0" priority="1151" equalAverage="0" operator="greaterThan" aboveAverage="0" dxfId="1" text="" percent="0" bottom="0">
      <formula>0</formula>
    </cfRule>
    <cfRule type="cellIs" rank="0" priority="1152" equalAverage="0" operator="lessThanOrEqual" aboveAverage="0" dxfId="0" text="" percent="0" bottom="0">
      <formula>0</formula>
    </cfRule>
  </conditionalFormatting>
  <conditionalFormatting sqref="F389">
    <cfRule type="cellIs" rank="0" priority="1153" equalAverage="0" operator="greaterThan" aboveAverage="0" dxfId="10" text="" percent="0" bottom="0">
      <formula>30</formula>
    </cfRule>
  </conditionalFormatting>
  <conditionalFormatting sqref="G390">
    <cfRule type="cellIs" rank="0" priority="1154" equalAverage="0" operator="greaterThan" aboveAverage="0" dxfId="1" text="" percent="0" bottom="0">
      <formula>0</formula>
    </cfRule>
    <cfRule type="cellIs" rank="0" priority="1155" equalAverage="0" operator="lessThanOrEqual" aboveAverage="0" dxfId="0" text="" percent="0" bottom="0">
      <formula>0</formula>
    </cfRule>
  </conditionalFormatting>
  <conditionalFormatting sqref="F390">
    <cfRule type="cellIs" rank="0" priority="1156" equalAverage="0" operator="greaterThan" aboveAverage="0" dxfId="10" text="" percent="0" bottom="0">
      <formula>30</formula>
    </cfRule>
  </conditionalFormatting>
  <conditionalFormatting sqref="G391">
    <cfRule type="cellIs" rank="0" priority="1157" equalAverage="0" operator="greaterThan" aboveAverage="0" dxfId="1" text="" percent="0" bottom="0">
      <formula>0</formula>
    </cfRule>
    <cfRule type="cellIs" rank="0" priority="1158" equalAverage="0" operator="lessThanOrEqual" aboveAverage="0" dxfId="0" text="" percent="0" bottom="0">
      <formula>0</formula>
    </cfRule>
  </conditionalFormatting>
  <conditionalFormatting sqref="F391">
    <cfRule type="cellIs" rank="0" priority="1159" equalAverage="0" operator="greaterThan" aboveAverage="0" dxfId="10" text="" percent="0" bottom="0">
      <formula>30</formula>
    </cfRule>
  </conditionalFormatting>
  <conditionalFormatting sqref="G392">
    <cfRule type="cellIs" rank="0" priority="1160" equalAverage="0" operator="greaterThan" aboveAverage="0" dxfId="1" text="" percent="0" bottom="0">
      <formula>0</formula>
    </cfRule>
    <cfRule type="cellIs" rank="0" priority="1161" equalAverage="0" operator="lessThanOrEqual" aboveAverage="0" dxfId="0" text="" percent="0" bottom="0">
      <formula>0</formula>
    </cfRule>
  </conditionalFormatting>
  <conditionalFormatting sqref="F392">
    <cfRule type="cellIs" rank="0" priority="1162" equalAverage="0" operator="greaterThan" aboveAverage="0" dxfId="10" text="" percent="0" bottom="0">
      <formula>30</formula>
    </cfRule>
  </conditionalFormatting>
  <conditionalFormatting sqref="G393">
    <cfRule type="cellIs" rank="0" priority="1163" equalAverage="0" operator="greaterThan" aboveAverage="0" dxfId="1" text="" percent="0" bottom="0">
      <formula>0</formula>
    </cfRule>
    <cfRule type="cellIs" rank="0" priority="1164" equalAverage="0" operator="lessThanOrEqual" aboveAverage="0" dxfId="0" text="" percent="0" bottom="0">
      <formula>0</formula>
    </cfRule>
  </conditionalFormatting>
  <conditionalFormatting sqref="F393">
    <cfRule type="cellIs" rank="0" priority="1165" equalAverage="0" operator="greaterThan" aboveAverage="0" dxfId="10" text="" percent="0" bottom="0">
      <formula>30</formula>
    </cfRule>
  </conditionalFormatting>
  <conditionalFormatting sqref="G394">
    <cfRule type="cellIs" rank="0" priority="1166" equalAverage="0" operator="greaterThan" aboveAverage="0" dxfId="1" text="" percent="0" bottom="0">
      <formula>0</formula>
    </cfRule>
    <cfRule type="cellIs" rank="0" priority="1167" equalAverage="0" operator="lessThanOrEqual" aboveAverage="0" dxfId="0" text="" percent="0" bottom="0">
      <formula>0</formula>
    </cfRule>
  </conditionalFormatting>
  <conditionalFormatting sqref="F394">
    <cfRule type="cellIs" rank="0" priority="1168" equalAverage="0" operator="greaterThan" aboveAverage="0" dxfId="10" text="" percent="0" bottom="0">
      <formula>30</formula>
    </cfRule>
  </conditionalFormatting>
  <conditionalFormatting sqref="G395">
    <cfRule type="cellIs" rank="0" priority="1169" equalAverage="0" operator="greaterThan" aboveAverage="0" dxfId="1" text="" percent="0" bottom="0">
      <formula>0</formula>
    </cfRule>
    <cfRule type="cellIs" rank="0" priority="1170" equalAverage="0" operator="lessThanOrEqual" aboveAverage="0" dxfId="0" text="" percent="0" bottom="0">
      <formula>0</formula>
    </cfRule>
  </conditionalFormatting>
  <conditionalFormatting sqref="F395">
    <cfRule type="cellIs" rank="0" priority="1171" equalAverage="0" operator="greaterThan" aboveAverage="0" dxfId="10" text="" percent="0" bottom="0">
      <formula>30</formula>
    </cfRule>
  </conditionalFormatting>
  <conditionalFormatting sqref="G396">
    <cfRule type="cellIs" rank="0" priority="1172" equalAverage="0" operator="greaterThan" aboveAverage="0" dxfId="1" text="" percent="0" bottom="0">
      <formula>0</formula>
    </cfRule>
    <cfRule type="cellIs" rank="0" priority="1173" equalAverage="0" operator="lessThanOrEqual" aboveAverage="0" dxfId="0" text="" percent="0" bottom="0">
      <formula>0</formula>
    </cfRule>
  </conditionalFormatting>
  <conditionalFormatting sqref="F396">
    <cfRule type="cellIs" rank="0" priority="1174" equalAverage="0" operator="greaterThan" aboveAverage="0" dxfId="10" text="" percent="0" bottom="0">
      <formula>30</formula>
    </cfRule>
  </conditionalFormatting>
  <conditionalFormatting sqref="G397">
    <cfRule type="cellIs" rank="0" priority="1175" equalAverage="0" operator="greaterThan" aboveAverage="0" dxfId="1" text="" percent="0" bottom="0">
      <formula>0</formula>
    </cfRule>
    <cfRule type="cellIs" rank="0" priority="1176" equalAverage="0" operator="lessThanOrEqual" aboveAverage="0" dxfId="0" text="" percent="0" bottom="0">
      <formula>0</formula>
    </cfRule>
  </conditionalFormatting>
  <conditionalFormatting sqref="F397">
    <cfRule type="cellIs" rank="0" priority="1177" equalAverage="0" operator="greaterThan" aboveAverage="0" dxfId="10" text="" percent="0" bottom="0">
      <formula>30</formula>
    </cfRule>
  </conditionalFormatting>
  <conditionalFormatting sqref="G398">
    <cfRule type="cellIs" rank="0" priority="1178" equalAverage="0" operator="greaterThan" aboveAverage="0" dxfId="1" text="" percent="0" bottom="0">
      <formula>0</formula>
    </cfRule>
    <cfRule type="cellIs" rank="0" priority="1179" equalAverage="0" operator="lessThanOrEqual" aboveAverage="0" dxfId="0" text="" percent="0" bottom="0">
      <formula>0</formula>
    </cfRule>
  </conditionalFormatting>
  <conditionalFormatting sqref="F398">
    <cfRule type="cellIs" rank="0" priority="1180" equalAverage="0" operator="greaterThan" aboveAverage="0" dxfId="10" text="" percent="0" bottom="0">
      <formula>30</formula>
    </cfRule>
  </conditionalFormatting>
  <conditionalFormatting sqref="G399">
    <cfRule type="cellIs" rank="0" priority="1181" equalAverage="0" operator="greaterThan" aboveAverage="0" dxfId="1" text="" percent="0" bottom="0">
      <formula>0</formula>
    </cfRule>
    <cfRule type="cellIs" rank="0" priority="1182" equalAverage="0" operator="lessThanOrEqual" aboveAverage="0" dxfId="0" text="" percent="0" bottom="0">
      <formula>0</formula>
    </cfRule>
  </conditionalFormatting>
  <conditionalFormatting sqref="F399">
    <cfRule type="cellIs" rank="0" priority="1183" equalAverage="0" operator="greaterThan" aboveAverage="0" dxfId="10" text="" percent="0" bottom="0">
      <formula>30</formula>
    </cfRule>
  </conditionalFormatting>
  <conditionalFormatting sqref="G400">
    <cfRule type="cellIs" rank="0" priority="1184" equalAverage="0" operator="greaterThan" aboveAverage="0" dxfId="1" text="" percent="0" bottom="0">
      <formula>0</formula>
    </cfRule>
    <cfRule type="cellIs" rank="0" priority="1185" equalAverage="0" operator="lessThanOrEqual" aboveAverage="0" dxfId="0" text="" percent="0" bottom="0">
      <formula>0</formula>
    </cfRule>
  </conditionalFormatting>
  <conditionalFormatting sqref="F400">
    <cfRule type="cellIs" rank="0" priority="1186" equalAverage="0" operator="greaterThan" aboveAverage="0" dxfId="10" text="" percent="0" bottom="0">
      <formula>30</formula>
    </cfRule>
  </conditionalFormatting>
  <conditionalFormatting sqref="G401">
    <cfRule type="cellIs" rank="0" priority="1187" equalAverage="0" operator="greaterThan" aboveAverage="0" dxfId="1" text="" percent="0" bottom="0">
      <formula>0</formula>
    </cfRule>
    <cfRule type="cellIs" rank="0" priority="1188" equalAverage="0" operator="lessThanOrEqual" aboveAverage="0" dxfId="0" text="" percent="0" bottom="0">
      <formula>0</formula>
    </cfRule>
  </conditionalFormatting>
  <conditionalFormatting sqref="F401">
    <cfRule type="cellIs" rank="0" priority="1189" equalAverage="0" operator="greaterThan" aboveAverage="0" dxfId="10" text="" percent="0" bottom="0">
      <formula>30</formula>
    </cfRule>
  </conditionalFormatting>
  <conditionalFormatting sqref="G402">
    <cfRule type="cellIs" rank="0" priority="1190" equalAverage="0" operator="greaterThan" aboveAverage="0" dxfId="1" text="" percent="0" bottom="0">
      <formula>0</formula>
    </cfRule>
    <cfRule type="cellIs" rank="0" priority="1191" equalAverage="0" operator="lessThanOrEqual" aboveAverage="0" dxfId="0" text="" percent="0" bottom="0">
      <formula>0</formula>
    </cfRule>
  </conditionalFormatting>
  <conditionalFormatting sqref="F402">
    <cfRule type="cellIs" rank="0" priority="1192" equalAverage="0" operator="greaterThan" aboveAverage="0" dxfId="10" text="" percent="0" bottom="0">
      <formula>30</formula>
    </cfRule>
  </conditionalFormatting>
  <conditionalFormatting sqref="G403">
    <cfRule type="cellIs" rank="0" priority="1193" equalAverage="0" operator="greaterThan" aboveAverage="0" dxfId="1" text="" percent="0" bottom="0">
      <formula>0</formula>
    </cfRule>
    <cfRule type="cellIs" rank="0" priority="1194" equalAverage="0" operator="lessThanOrEqual" aboveAverage="0" dxfId="0" text="" percent="0" bottom="0">
      <formula>0</formula>
    </cfRule>
  </conditionalFormatting>
  <conditionalFormatting sqref="F403">
    <cfRule type="cellIs" rank="0" priority="1195" equalAverage="0" operator="greaterThan" aboveAverage="0" dxfId="10" text="" percent="0" bottom="0">
      <formula>30</formula>
    </cfRule>
  </conditionalFormatting>
  <conditionalFormatting sqref="G404">
    <cfRule type="cellIs" rank="0" priority="1196" equalAverage="0" operator="greaterThan" aboveAverage="0" dxfId="1" text="" percent="0" bottom="0">
      <formula>0</formula>
    </cfRule>
    <cfRule type="cellIs" rank="0" priority="1197" equalAverage="0" operator="lessThanOrEqual" aboveAverage="0" dxfId="0" text="" percent="0" bottom="0">
      <formula>0</formula>
    </cfRule>
  </conditionalFormatting>
  <conditionalFormatting sqref="F404">
    <cfRule type="cellIs" rank="0" priority="1198" equalAverage="0" operator="greaterThan" aboveAverage="0" dxfId="10" text="" percent="0" bottom="0">
      <formula>30</formula>
    </cfRule>
  </conditionalFormatting>
  <conditionalFormatting sqref="G405">
    <cfRule type="cellIs" rank="0" priority="1199" equalAverage="0" operator="greaterThan" aboveAverage="0" dxfId="1" text="" percent="0" bottom="0">
      <formula>0</formula>
    </cfRule>
    <cfRule type="cellIs" rank="0" priority="1200" equalAverage="0" operator="lessThanOrEqual" aboveAverage="0" dxfId="0" text="" percent="0" bottom="0">
      <formula>0</formula>
    </cfRule>
  </conditionalFormatting>
  <conditionalFormatting sqref="F405">
    <cfRule type="cellIs" rank="0" priority="1201" equalAverage="0" operator="greaterThan" aboveAverage="0" dxfId="10" text="" percent="0" bottom="0">
      <formula>30</formula>
    </cfRule>
  </conditionalFormatting>
  <conditionalFormatting sqref="G406">
    <cfRule type="cellIs" rank="0" priority="1202" equalAverage="0" operator="greaterThan" aboveAverage="0" dxfId="1" text="" percent="0" bottom="0">
      <formula>0</formula>
    </cfRule>
    <cfRule type="cellIs" rank="0" priority="1203" equalAverage="0" operator="lessThanOrEqual" aboveAverage="0" dxfId="0" text="" percent="0" bottom="0">
      <formula>0</formula>
    </cfRule>
  </conditionalFormatting>
  <conditionalFormatting sqref="F406">
    <cfRule type="cellIs" rank="0" priority="1204" equalAverage="0" operator="greaterThan" aboveAverage="0" dxfId="10" text="" percent="0" bottom="0">
      <formula>30</formula>
    </cfRule>
  </conditionalFormatting>
  <conditionalFormatting sqref="G407">
    <cfRule type="cellIs" rank="0" priority="1205" equalAverage="0" operator="greaterThan" aboveAverage="0" dxfId="1" text="" percent="0" bottom="0">
      <formula>0</formula>
    </cfRule>
    <cfRule type="cellIs" rank="0" priority="1206" equalAverage="0" operator="lessThanOrEqual" aboveAverage="0" dxfId="0" text="" percent="0" bottom="0">
      <formula>0</formula>
    </cfRule>
  </conditionalFormatting>
  <conditionalFormatting sqref="F407">
    <cfRule type="cellIs" rank="0" priority="1207" equalAverage="0" operator="greaterThan" aboveAverage="0" dxfId="10" text="" percent="0" bottom="0">
      <formula>30</formula>
    </cfRule>
  </conditionalFormatting>
  <conditionalFormatting sqref="G408">
    <cfRule type="cellIs" rank="0" priority="1208" equalAverage="0" operator="greaterThan" aboveAverage="0" dxfId="1" text="" percent="0" bottom="0">
      <formula>0</formula>
    </cfRule>
    <cfRule type="cellIs" rank="0" priority="1209" equalAverage="0" operator="lessThanOrEqual" aboveAverage="0" dxfId="0" text="" percent="0" bottom="0">
      <formula>0</formula>
    </cfRule>
  </conditionalFormatting>
  <conditionalFormatting sqref="F408">
    <cfRule type="cellIs" rank="0" priority="1210" equalAverage="0" operator="greaterThan" aboveAverage="0" dxfId="10" text="" percent="0" bottom="0">
      <formula>30</formula>
    </cfRule>
  </conditionalFormatting>
  <conditionalFormatting sqref="G409">
    <cfRule type="cellIs" rank="0" priority="1211" equalAverage="0" operator="greaterThan" aboveAverage="0" dxfId="1" text="" percent="0" bottom="0">
      <formula>0</formula>
    </cfRule>
    <cfRule type="cellIs" rank="0" priority="1212" equalAverage="0" operator="lessThanOrEqual" aboveAverage="0" dxfId="0" text="" percent="0" bottom="0">
      <formula>0</formula>
    </cfRule>
  </conditionalFormatting>
  <conditionalFormatting sqref="F409">
    <cfRule type="cellIs" rank="0" priority="1213" equalAverage="0" operator="greaterThan" aboveAverage="0" dxfId="10" text="" percent="0" bottom="0">
      <formula>30</formula>
    </cfRule>
  </conditionalFormatting>
  <conditionalFormatting sqref="G410">
    <cfRule type="cellIs" rank="0" priority="1214" equalAverage="0" operator="greaterThan" aboveAverage="0" dxfId="1" text="" percent="0" bottom="0">
      <formula>0</formula>
    </cfRule>
    <cfRule type="cellIs" rank="0" priority="1215" equalAverage="0" operator="lessThanOrEqual" aboveAverage="0" dxfId="0" text="" percent="0" bottom="0">
      <formula>0</formula>
    </cfRule>
  </conditionalFormatting>
  <conditionalFormatting sqref="F410">
    <cfRule type="cellIs" rank="0" priority="1216" equalAverage="0" operator="greaterThan" aboveAverage="0" dxfId="10" text="" percent="0" bottom="0">
      <formula>30</formula>
    </cfRule>
  </conditionalFormatting>
  <conditionalFormatting sqref="G411">
    <cfRule type="cellIs" rank="0" priority="1217" equalAverage="0" operator="greaterThan" aboveAverage="0" dxfId="1" text="" percent="0" bottom="0">
      <formula>0</formula>
    </cfRule>
    <cfRule type="cellIs" rank="0" priority="1218" equalAverage="0" operator="lessThanOrEqual" aboveAverage="0" dxfId="0" text="" percent="0" bottom="0">
      <formula>0</formula>
    </cfRule>
  </conditionalFormatting>
  <conditionalFormatting sqref="F411">
    <cfRule type="cellIs" rank="0" priority="1219" equalAverage="0" operator="greaterThan" aboveAverage="0" dxfId="10" text="" percent="0" bottom="0">
      <formula>30</formula>
    </cfRule>
  </conditionalFormatting>
  <conditionalFormatting sqref="G412">
    <cfRule type="cellIs" rank="0" priority="1220" equalAverage="0" operator="greaterThan" aboveAverage="0" dxfId="1" text="" percent="0" bottom="0">
      <formula>0</formula>
    </cfRule>
    <cfRule type="cellIs" rank="0" priority="1221" equalAverage="0" operator="lessThanOrEqual" aboveAverage="0" dxfId="0" text="" percent="0" bottom="0">
      <formula>0</formula>
    </cfRule>
  </conditionalFormatting>
  <conditionalFormatting sqref="F412">
    <cfRule type="cellIs" rank="0" priority="1222" equalAverage="0" operator="greaterThan" aboveAverage="0" dxfId="10" text="" percent="0" bottom="0">
      <formula>30</formula>
    </cfRule>
  </conditionalFormatting>
  <conditionalFormatting sqref="G413">
    <cfRule type="cellIs" rank="0" priority="1223" equalAverage="0" operator="greaterThan" aboveAverage="0" dxfId="1" text="" percent="0" bottom="0">
      <formula>0</formula>
    </cfRule>
    <cfRule type="cellIs" rank="0" priority="1224" equalAverage="0" operator="lessThanOrEqual" aboveAverage="0" dxfId="0" text="" percent="0" bottom="0">
      <formula>0</formula>
    </cfRule>
  </conditionalFormatting>
  <conditionalFormatting sqref="F413">
    <cfRule type="cellIs" rank="0" priority="1225" equalAverage="0" operator="greaterThan" aboveAverage="0" dxfId="10" text="" percent="0" bottom="0">
      <formula>30</formula>
    </cfRule>
  </conditionalFormatting>
  <conditionalFormatting sqref="G414">
    <cfRule type="cellIs" rank="0" priority="1226" equalAverage="0" operator="greaterThan" aboveAverage="0" dxfId="1" text="" percent="0" bottom="0">
      <formula>0</formula>
    </cfRule>
    <cfRule type="cellIs" rank="0" priority="1227" equalAverage="0" operator="lessThanOrEqual" aboveAverage="0" dxfId="0" text="" percent="0" bottom="0">
      <formula>0</formula>
    </cfRule>
  </conditionalFormatting>
  <conditionalFormatting sqref="F414">
    <cfRule type="cellIs" rank="0" priority="1228" equalAverage="0" operator="greaterThan" aboveAverage="0" dxfId="10" text="" percent="0" bottom="0">
      <formula>30</formula>
    </cfRule>
  </conditionalFormatting>
  <conditionalFormatting sqref="G415">
    <cfRule type="cellIs" rank="0" priority="1229" equalAverage="0" operator="greaterThan" aboveAverage="0" dxfId="1" text="" percent="0" bottom="0">
      <formula>0</formula>
    </cfRule>
    <cfRule type="cellIs" rank="0" priority="1230" equalAverage="0" operator="lessThanOrEqual" aboveAverage="0" dxfId="0" text="" percent="0" bottom="0">
      <formula>0</formula>
    </cfRule>
  </conditionalFormatting>
  <conditionalFormatting sqref="F415">
    <cfRule type="cellIs" rank="0" priority="1231" equalAverage="0" operator="greaterThan" aboveAverage="0" dxfId="10" text="" percent="0" bottom="0">
      <formula>30</formula>
    </cfRule>
  </conditionalFormatting>
  <conditionalFormatting sqref="G416">
    <cfRule type="cellIs" rank="0" priority="1232" equalAverage="0" operator="greaterThan" aboveAverage="0" dxfId="1" text="" percent="0" bottom="0">
      <formula>0</formula>
    </cfRule>
    <cfRule type="cellIs" rank="0" priority="1233" equalAverage="0" operator="lessThanOrEqual" aboveAverage="0" dxfId="0" text="" percent="0" bottom="0">
      <formula>0</formula>
    </cfRule>
  </conditionalFormatting>
  <conditionalFormatting sqref="F416">
    <cfRule type="cellIs" rank="0" priority="1234" equalAverage="0" operator="greaterThan" aboveAverage="0" dxfId="10" text="" percent="0" bottom="0">
      <formula>30</formula>
    </cfRule>
  </conditionalFormatting>
  <conditionalFormatting sqref="G417">
    <cfRule type="cellIs" rank="0" priority="1235" equalAverage="0" operator="greaterThan" aboveAverage="0" dxfId="1" text="" percent="0" bottom="0">
      <formula>0</formula>
    </cfRule>
    <cfRule type="cellIs" rank="0" priority="1236" equalAverage="0" operator="lessThanOrEqual" aboveAverage="0" dxfId="0" text="" percent="0" bottom="0">
      <formula>0</formula>
    </cfRule>
  </conditionalFormatting>
  <conditionalFormatting sqref="F417">
    <cfRule type="cellIs" rank="0" priority="1237" equalAverage="0" operator="greaterThan" aboveAverage="0" dxfId="10" text="" percent="0" bottom="0">
      <formula>30</formula>
    </cfRule>
  </conditionalFormatting>
  <conditionalFormatting sqref="G418">
    <cfRule type="cellIs" rank="0" priority="1238" equalAverage="0" operator="greaterThan" aboveAverage="0" dxfId="1" text="" percent="0" bottom="0">
      <formula>0</formula>
    </cfRule>
    <cfRule type="cellIs" rank="0" priority="1239" equalAverage="0" operator="lessThanOrEqual" aboveAverage="0" dxfId="0" text="" percent="0" bottom="0">
      <formula>0</formula>
    </cfRule>
  </conditionalFormatting>
  <conditionalFormatting sqref="F418">
    <cfRule type="cellIs" rank="0" priority="1240" equalAverage="0" operator="greaterThan" aboveAverage="0" dxfId="10" text="" percent="0" bottom="0">
      <formula>30</formula>
    </cfRule>
  </conditionalFormatting>
  <conditionalFormatting sqref="G419">
    <cfRule type="cellIs" rank="0" priority="1241" equalAverage="0" operator="greaterThan" aboveAverage="0" dxfId="1" text="" percent="0" bottom="0">
      <formula>0</formula>
    </cfRule>
    <cfRule type="cellIs" rank="0" priority="1242" equalAverage="0" operator="lessThanOrEqual" aboveAverage="0" dxfId="0" text="" percent="0" bottom="0">
      <formula>0</formula>
    </cfRule>
  </conditionalFormatting>
  <conditionalFormatting sqref="F419">
    <cfRule type="cellIs" rank="0" priority="1243" equalAverage="0" operator="greaterThan" aboveAverage="0" dxfId="10" text="" percent="0" bottom="0">
      <formula>30</formula>
    </cfRule>
  </conditionalFormatting>
  <conditionalFormatting sqref="G420">
    <cfRule type="cellIs" rank="0" priority="1244" equalAverage="0" operator="greaterThan" aboveAverage="0" dxfId="1" text="" percent="0" bottom="0">
      <formula>0</formula>
    </cfRule>
    <cfRule type="cellIs" rank="0" priority="1245" equalAverage="0" operator="lessThanOrEqual" aboveAverage="0" dxfId="0" text="" percent="0" bottom="0">
      <formula>0</formula>
    </cfRule>
  </conditionalFormatting>
  <conditionalFormatting sqref="F420">
    <cfRule type="cellIs" rank="0" priority="1246" equalAverage="0" operator="greaterThan" aboveAverage="0" dxfId="10" text="" percent="0" bottom="0">
      <formula>30</formula>
    </cfRule>
  </conditionalFormatting>
  <conditionalFormatting sqref="G421">
    <cfRule type="cellIs" rank="0" priority="1247" equalAverage="0" operator="greaterThan" aboveAverage="0" dxfId="1" text="" percent="0" bottom="0">
      <formula>0</formula>
    </cfRule>
    <cfRule type="cellIs" rank="0" priority="1248" equalAverage="0" operator="lessThanOrEqual" aboveAverage="0" dxfId="0" text="" percent="0" bottom="0">
      <formula>0</formula>
    </cfRule>
  </conditionalFormatting>
  <conditionalFormatting sqref="F421">
    <cfRule type="cellIs" rank="0" priority="1249" equalAverage="0" operator="greaterThan" aboveAverage="0" dxfId="10" text="" percent="0" bottom="0">
      <formula>30</formula>
    </cfRule>
  </conditionalFormatting>
  <conditionalFormatting sqref="G422">
    <cfRule type="cellIs" rank="0" priority="1250" equalAverage="0" operator="greaterThan" aboveAverage="0" dxfId="1" text="" percent="0" bottom="0">
      <formula>0</formula>
    </cfRule>
    <cfRule type="cellIs" rank="0" priority="1251" equalAverage="0" operator="lessThanOrEqual" aboveAverage="0" dxfId="0" text="" percent="0" bottom="0">
      <formula>0</formula>
    </cfRule>
  </conditionalFormatting>
  <conditionalFormatting sqref="F422">
    <cfRule type="cellIs" rank="0" priority="1252" equalAverage="0" operator="greaterThan" aboveAverage="0" dxfId="10" text="" percent="0" bottom="0">
      <formula>30</formula>
    </cfRule>
  </conditionalFormatting>
  <conditionalFormatting sqref="G423">
    <cfRule type="cellIs" rank="0" priority="1253" equalAverage="0" operator="greaterThan" aboveAverage="0" dxfId="1" text="" percent="0" bottom="0">
      <formula>0</formula>
    </cfRule>
    <cfRule type="cellIs" rank="0" priority="1254" equalAverage="0" operator="lessThanOrEqual" aboveAverage="0" dxfId="0" text="" percent="0" bottom="0">
      <formula>0</formula>
    </cfRule>
  </conditionalFormatting>
  <conditionalFormatting sqref="F423">
    <cfRule type="cellIs" rank="0" priority="1255" equalAverage="0" operator="greaterThan" aboveAverage="0" dxfId="10" text="" percent="0" bottom="0">
      <formula>30</formula>
    </cfRule>
  </conditionalFormatting>
  <conditionalFormatting sqref="G424">
    <cfRule type="cellIs" rank="0" priority="1256" equalAverage="0" operator="greaterThan" aboveAverage="0" dxfId="1" text="" percent="0" bottom="0">
      <formula>0</formula>
    </cfRule>
    <cfRule type="cellIs" rank="0" priority="1257" equalAverage="0" operator="lessThanOrEqual" aboveAverage="0" dxfId="0" text="" percent="0" bottom="0">
      <formula>0</formula>
    </cfRule>
  </conditionalFormatting>
  <conditionalFormatting sqref="F424">
    <cfRule type="cellIs" rank="0" priority="1258" equalAverage="0" operator="greaterThan" aboveAverage="0" dxfId="10" text="" percent="0" bottom="0">
      <formula>30</formula>
    </cfRule>
  </conditionalFormatting>
  <conditionalFormatting sqref="G425">
    <cfRule type="cellIs" rank="0" priority="1259" equalAverage="0" operator="greaterThan" aboveAverage="0" dxfId="1" text="" percent="0" bottom="0">
      <formula>0</formula>
    </cfRule>
    <cfRule type="cellIs" rank="0" priority="1260" equalAverage="0" operator="lessThanOrEqual" aboveAverage="0" dxfId="0" text="" percent="0" bottom="0">
      <formula>0</formula>
    </cfRule>
  </conditionalFormatting>
  <conditionalFormatting sqref="F425">
    <cfRule type="cellIs" rank="0" priority="1261" equalAverage="0" operator="greaterThan" aboveAverage="0" dxfId="10" text="" percent="0" bottom="0">
      <formula>30</formula>
    </cfRule>
  </conditionalFormatting>
  <conditionalFormatting sqref="G426">
    <cfRule type="cellIs" rank="0" priority="1262" equalAverage="0" operator="greaterThan" aboveAverage="0" dxfId="1" text="" percent="0" bottom="0">
      <formula>0</formula>
    </cfRule>
    <cfRule type="cellIs" rank="0" priority="1263" equalAverage="0" operator="lessThanOrEqual" aboveAverage="0" dxfId="0" text="" percent="0" bottom="0">
      <formula>0</formula>
    </cfRule>
  </conditionalFormatting>
  <conditionalFormatting sqref="F426">
    <cfRule type="cellIs" rank="0" priority="1264" equalAverage="0" operator="greaterThan" aboveAverage="0" dxfId="10" text="" percent="0" bottom="0">
      <formula>30</formula>
    </cfRule>
  </conditionalFormatting>
  <conditionalFormatting sqref="G427">
    <cfRule type="cellIs" rank="0" priority="1265" equalAverage="0" operator="greaterThan" aboveAverage="0" dxfId="1" text="" percent="0" bottom="0">
      <formula>0</formula>
    </cfRule>
    <cfRule type="cellIs" rank="0" priority="1266" equalAverage="0" operator="lessThanOrEqual" aboveAverage="0" dxfId="0" text="" percent="0" bottom="0">
      <formula>0</formula>
    </cfRule>
  </conditionalFormatting>
  <conditionalFormatting sqref="F427">
    <cfRule type="cellIs" rank="0" priority="1267" equalAverage="0" operator="greaterThan" aboveAverage="0" dxfId="10" text="" percent="0" bottom="0">
      <formula>30</formula>
    </cfRule>
  </conditionalFormatting>
  <conditionalFormatting sqref="G428">
    <cfRule type="cellIs" rank="0" priority="1268" equalAverage="0" operator="greaterThan" aboveAverage="0" dxfId="1" text="" percent="0" bottom="0">
      <formula>0</formula>
    </cfRule>
    <cfRule type="cellIs" rank="0" priority="1269" equalAverage="0" operator="lessThanOrEqual" aboveAverage="0" dxfId="0" text="" percent="0" bottom="0">
      <formula>0</formula>
    </cfRule>
  </conditionalFormatting>
  <conditionalFormatting sqref="F428">
    <cfRule type="cellIs" rank="0" priority="1270" equalAverage="0" operator="greaterThan" aboveAverage="0" dxfId="10" text="" percent="0" bottom="0">
      <formula>30</formula>
    </cfRule>
  </conditionalFormatting>
  <conditionalFormatting sqref="G429">
    <cfRule type="cellIs" rank="0" priority="1271" equalAverage="0" operator="greaterThan" aboveAverage="0" dxfId="1" text="" percent="0" bottom="0">
      <formula>0</formula>
    </cfRule>
    <cfRule type="cellIs" rank="0" priority="1272" equalAverage="0" operator="lessThanOrEqual" aboveAverage="0" dxfId="0" text="" percent="0" bottom="0">
      <formula>0</formula>
    </cfRule>
  </conditionalFormatting>
  <conditionalFormatting sqref="F429">
    <cfRule type="cellIs" rank="0" priority="1273" equalAverage="0" operator="greaterThan" aboveAverage="0" dxfId="10" text="" percent="0" bottom="0">
      <formula>30</formula>
    </cfRule>
  </conditionalFormatting>
  <conditionalFormatting sqref="G430">
    <cfRule type="cellIs" rank="0" priority="1274" equalAverage="0" operator="greaterThan" aboveAverage="0" dxfId="1" text="" percent="0" bottom="0">
      <formula>0</formula>
    </cfRule>
    <cfRule type="cellIs" rank="0" priority="1275" equalAverage="0" operator="lessThanOrEqual" aboveAverage="0" dxfId="0" text="" percent="0" bottom="0">
      <formula>0</formula>
    </cfRule>
  </conditionalFormatting>
  <conditionalFormatting sqref="F430">
    <cfRule type="cellIs" rank="0" priority="1276" equalAverage="0" operator="greaterThan" aboveAverage="0" dxfId="10" text="" percent="0" bottom="0">
      <formula>30</formula>
    </cfRule>
  </conditionalFormatting>
  <conditionalFormatting sqref="G431">
    <cfRule type="cellIs" rank="0" priority="1277" equalAverage="0" operator="greaterThan" aboveAverage="0" dxfId="1" text="" percent="0" bottom="0">
      <formula>0</formula>
    </cfRule>
    <cfRule type="cellIs" rank="0" priority="1278" equalAverage="0" operator="lessThanOrEqual" aboveAverage="0" dxfId="0" text="" percent="0" bottom="0">
      <formula>0</formula>
    </cfRule>
  </conditionalFormatting>
  <conditionalFormatting sqref="F431">
    <cfRule type="cellIs" rank="0" priority="1279" equalAverage="0" operator="greaterThan" aboveAverage="0" dxfId="10" text="" percent="0" bottom="0">
      <formula>30</formula>
    </cfRule>
  </conditionalFormatting>
  <conditionalFormatting sqref="G432">
    <cfRule type="cellIs" rank="0" priority="1280" equalAverage="0" operator="greaterThan" aboveAverage="0" dxfId="1" text="" percent="0" bottom="0">
      <formula>0</formula>
    </cfRule>
    <cfRule type="cellIs" rank="0" priority="1281" equalAverage="0" operator="lessThanOrEqual" aboveAverage="0" dxfId="0" text="" percent="0" bottom="0">
      <formula>0</formula>
    </cfRule>
  </conditionalFormatting>
  <conditionalFormatting sqref="F432">
    <cfRule type="cellIs" rank="0" priority="1282" equalAverage="0" operator="greaterThan" aboveAverage="0" dxfId="10" text="" percent="0" bottom="0">
      <formula>30</formula>
    </cfRule>
  </conditionalFormatting>
  <conditionalFormatting sqref="G433">
    <cfRule type="cellIs" rank="0" priority="1283" equalAverage="0" operator="greaterThan" aboveAverage="0" dxfId="1" text="" percent="0" bottom="0">
      <formula>0</formula>
    </cfRule>
    <cfRule type="cellIs" rank="0" priority="1284" equalAverage="0" operator="lessThanOrEqual" aboveAverage="0" dxfId="0" text="" percent="0" bottom="0">
      <formula>0</formula>
    </cfRule>
  </conditionalFormatting>
  <conditionalFormatting sqref="F433">
    <cfRule type="cellIs" rank="0" priority="1285" equalAverage="0" operator="greaterThan" aboveAverage="0" dxfId="10" text="" percent="0" bottom="0">
      <formula>30</formula>
    </cfRule>
  </conditionalFormatting>
  <conditionalFormatting sqref="G434">
    <cfRule type="cellIs" rank="0" priority="1286" equalAverage="0" operator="greaterThan" aboveAverage="0" dxfId="1" text="" percent="0" bottom="0">
      <formula>0</formula>
    </cfRule>
    <cfRule type="cellIs" rank="0" priority="1287" equalAverage="0" operator="lessThanOrEqual" aboveAverage="0" dxfId="0" text="" percent="0" bottom="0">
      <formula>0</formula>
    </cfRule>
  </conditionalFormatting>
  <conditionalFormatting sqref="F434">
    <cfRule type="cellIs" rank="0" priority="1288" equalAverage="0" operator="greaterThan" aboveAverage="0" dxfId="10" text="" percent="0" bottom="0">
      <formula>30</formula>
    </cfRule>
  </conditionalFormatting>
  <conditionalFormatting sqref="G435">
    <cfRule type="cellIs" rank="0" priority="1289" equalAverage="0" operator="greaterThan" aboveAverage="0" dxfId="1" text="" percent="0" bottom="0">
      <formula>0</formula>
    </cfRule>
    <cfRule type="cellIs" rank="0" priority="1290" equalAverage="0" operator="lessThanOrEqual" aboveAverage="0" dxfId="0" text="" percent="0" bottom="0">
      <formula>0</formula>
    </cfRule>
  </conditionalFormatting>
  <conditionalFormatting sqref="F435">
    <cfRule type="cellIs" rank="0" priority="1291" equalAverage="0" operator="greaterThan" aboveAverage="0" dxfId="10" text="" percent="0" bottom="0">
      <formula>30</formula>
    </cfRule>
  </conditionalFormatting>
  <conditionalFormatting sqref="G436">
    <cfRule type="cellIs" rank="0" priority="1292" equalAverage="0" operator="greaterThan" aboveAverage="0" dxfId="1" text="" percent="0" bottom="0">
      <formula>0</formula>
    </cfRule>
    <cfRule type="cellIs" rank="0" priority="1293" equalAverage="0" operator="lessThanOrEqual" aboveAverage="0" dxfId="0" text="" percent="0" bottom="0">
      <formula>0</formula>
    </cfRule>
  </conditionalFormatting>
  <conditionalFormatting sqref="F436">
    <cfRule type="cellIs" rank="0" priority="1294" equalAverage="0" operator="greaterThan" aboveAverage="0" dxfId="10" text="" percent="0" bottom="0">
      <formula>30</formula>
    </cfRule>
  </conditionalFormatting>
  <conditionalFormatting sqref="G437">
    <cfRule type="cellIs" rank="0" priority="1295" equalAverage="0" operator="greaterThan" aboveAverage="0" dxfId="1" text="" percent="0" bottom="0">
      <formula>0</formula>
    </cfRule>
    <cfRule type="cellIs" rank="0" priority="1296" equalAverage="0" operator="lessThanOrEqual" aboveAverage="0" dxfId="0" text="" percent="0" bottom="0">
      <formula>0</formula>
    </cfRule>
  </conditionalFormatting>
  <conditionalFormatting sqref="F437">
    <cfRule type="cellIs" rank="0" priority="1297" equalAverage="0" operator="greaterThan" aboveAverage="0" dxfId="10" text="" percent="0" bottom="0">
      <formula>30</formula>
    </cfRule>
  </conditionalFormatting>
  <conditionalFormatting sqref="G438">
    <cfRule type="cellIs" rank="0" priority="1298" equalAverage="0" operator="greaterThan" aboveAverage="0" dxfId="1" text="" percent="0" bottom="0">
      <formula>0</formula>
    </cfRule>
    <cfRule type="cellIs" rank="0" priority="1299" equalAverage="0" operator="lessThanOrEqual" aboveAverage="0" dxfId="0" text="" percent="0" bottom="0">
      <formula>0</formula>
    </cfRule>
  </conditionalFormatting>
  <conditionalFormatting sqref="F438">
    <cfRule type="cellIs" rank="0" priority="1300" equalAverage="0" operator="greaterThan" aboveAverage="0" dxfId="10" text="" percent="0" bottom="0">
      <formula>30</formula>
    </cfRule>
  </conditionalFormatting>
  <conditionalFormatting sqref="G439">
    <cfRule type="cellIs" rank="0" priority="1301" equalAverage="0" operator="greaterThan" aboveAverage="0" dxfId="1" text="" percent="0" bottom="0">
      <formula>0</formula>
    </cfRule>
    <cfRule type="cellIs" rank="0" priority="1302" equalAverage="0" operator="lessThanOrEqual" aboveAverage="0" dxfId="0" text="" percent="0" bottom="0">
      <formula>0</formula>
    </cfRule>
  </conditionalFormatting>
  <conditionalFormatting sqref="F439">
    <cfRule type="cellIs" rank="0" priority="1303" equalAverage="0" operator="greaterThan" aboveAverage="0" dxfId="10" text="" percent="0" bottom="0">
      <formula>30</formula>
    </cfRule>
  </conditionalFormatting>
  <conditionalFormatting sqref="G440">
    <cfRule type="cellIs" rank="0" priority="1304" equalAverage="0" operator="greaterThan" aboveAverage="0" dxfId="1" text="" percent="0" bottom="0">
      <formula>0</formula>
    </cfRule>
    <cfRule type="cellIs" rank="0" priority="1305" equalAverage="0" operator="lessThanOrEqual" aboveAverage="0" dxfId="0" text="" percent="0" bottom="0">
      <formula>0</formula>
    </cfRule>
  </conditionalFormatting>
  <conditionalFormatting sqref="F440">
    <cfRule type="cellIs" rank="0" priority="1306" equalAverage="0" operator="greaterThan" aboveAverage="0" dxfId="10" text="" percent="0" bottom="0">
      <formula>30</formula>
    </cfRule>
  </conditionalFormatting>
  <conditionalFormatting sqref="G441">
    <cfRule type="cellIs" rank="0" priority="1307" equalAverage="0" operator="greaterThan" aboveAverage="0" dxfId="1" text="" percent="0" bottom="0">
      <formula>0</formula>
    </cfRule>
    <cfRule type="cellIs" rank="0" priority="1308" equalAverage="0" operator="lessThanOrEqual" aboveAverage="0" dxfId="0" text="" percent="0" bottom="0">
      <formula>0</formula>
    </cfRule>
  </conditionalFormatting>
  <conditionalFormatting sqref="F441">
    <cfRule type="cellIs" rank="0" priority="1309" equalAverage="0" operator="greaterThan" aboveAverage="0" dxfId="10" text="" percent="0" bottom="0">
      <formula>30</formula>
    </cfRule>
  </conditionalFormatting>
  <conditionalFormatting sqref="G442">
    <cfRule type="cellIs" rank="0" priority="1310" equalAverage="0" operator="greaterThan" aboveAverage="0" dxfId="1" text="" percent="0" bottom="0">
      <formula>0</formula>
    </cfRule>
    <cfRule type="cellIs" rank="0" priority="1311" equalAverage="0" operator="lessThanOrEqual" aboveAverage="0" dxfId="0" text="" percent="0" bottom="0">
      <formula>0</formula>
    </cfRule>
  </conditionalFormatting>
  <conditionalFormatting sqref="F442">
    <cfRule type="cellIs" rank="0" priority="1312" equalAverage="0" operator="greaterThan" aboveAverage="0" dxfId="10" text="" percent="0" bottom="0">
      <formula>30</formula>
    </cfRule>
  </conditionalFormatting>
  <conditionalFormatting sqref="G443">
    <cfRule type="cellIs" rank="0" priority="1313" equalAverage="0" operator="greaterThan" aboveAverage="0" dxfId="1" text="" percent="0" bottom="0">
      <formula>0</formula>
    </cfRule>
    <cfRule type="cellIs" rank="0" priority="1314" equalAverage="0" operator="lessThanOrEqual" aboveAverage="0" dxfId="0" text="" percent="0" bottom="0">
      <formula>0</formula>
    </cfRule>
  </conditionalFormatting>
  <conditionalFormatting sqref="F443">
    <cfRule type="cellIs" rank="0" priority="1315" equalAverage="0" operator="greaterThan" aboveAverage="0" dxfId="10" text="" percent="0" bottom="0">
      <formula>30</formula>
    </cfRule>
  </conditionalFormatting>
  <conditionalFormatting sqref="G444">
    <cfRule type="cellIs" rank="0" priority="1316" equalAverage="0" operator="greaterThan" aboveAverage="0" dxfId="1" text="" percent="0" bottom="0">
      <formula>0</formula>
    </cfRule>
    <cfRule type="cellIs" rank="0" priority="1317" equalAverage="0" operator="lessThanOrEqual" aboveAverage="0" dxfId="0" text="" percent="0" bottom="0">
      <formula>0</formula>
    </cfRule>
  </conditionalFormatting>
  <conditionalFormatting sqref="F444">
    <cfRule type="cellIs" rank="0" priority="1318" equalAverage="0" operator="greaterThan" aboveAverage="0" dxfId="10" text="" percent="0" bottom="0">
      <formula>30</formula>
    </cfRule>
  </conditionalFormatting>
  <conditionalFormatting sqref="G445">
    <cfRule type="cellIs" rank="0" priority="1319" equalAverage="0" operator="greaterThan" aboveAverage="0" dxfId="1" text="" percent="0" bottom="0">
      <formula>0</formula>
    </cfRule>
    <cfRule type="cellIs" rank="0" priority="1320" equalAverage="0" operator="lessThanOrEqual" aboveAverage="0" dxfId="0" text="" percent="0" bottom="0">
      <formula>0</formula>
    </cfRule>
  </conditionalFormatting>
  <conditionalFormatting sqref="F445">
    <cfRule type="cellIs" rank="0" priority="1321" equalAverage="0" operator="greaterThan" aboveAverage="0" dxfId="10" text="" percent="0" bottom="0">
      <formula>30</formula>
    </cfRule>
  </conditionalFormatting>
  <conditionalFormatting sqref="G446">
    <cfRule type="cellIs" rank="0" priority="1322" equalAverage="0" operator="greaterThan" aboveAverage="0" dxfId="1" text="" percent="0" bottom="0">
      <formula>0</formula>
    </cfRule>
    <cfRule type="cellIs" rank="0" priority="1323" equalAverage="0" operator="lessThanOrEqual" aboveAverage="0" dxfId="0" text="" percent="0" bottom="0">
      <formula>0</formula>
    </cfRule>
  </conditionalFormatting>
  <conditionalFormatting sqref="F446">
    <cfRule type="cellIs" rank="0" priority="1324" equalAverage="0" operator="greaterThan" aboveAverage="0" dxfId="10" text="" percent="0" bottom="0">
      <formula>30</formula>
    </cfRule>
  </conditionalFormatting>
  <conditionalFormatting sqref="G447">
    <cfRule type="cellIs" rank="0" priority="1325" equalAverage="0" operator="greaterThan" aboveAverage="0" dxfId="1" text="" percent="0" bottom="0">
      <formula>0</formula>
    </cfRule>
    <cfRule type="cellIs" rank="0" priority="1326" equalAverage="0" operator="lessThanOrEqual" aboveAverage="0" dxfId="0" text="" percent="0" bottom="0">
      <formula>0</formula>
    </cfRule>
  </conditionalFormatting>
  <conditionalFormatting sqref="F447">
    <cfRule type="cellIs" rank="0" priority="1327" equalAverage="0" operator="greaterThan" aboveAverage="0" dxfId="10" text="" percent="0" bottom="0">
      <formula>30</formula>
    </cfRule>
  </conditionalFormatting>
  <conditionalFormatting sqref="G448">
    <cfRule type="cellIs" rank="0" priority="1328" equalAverage="0" operator="greaterThan" aboveAverage="0" dxfId="1" text="" percent="0" bottom="0">
      <formula>0</formula>
    </cfRule>
    <cfRule type="cellIs" rank="0" priority="1329" equalAverage="0" operator="lessThanOrEqual" aboveAverage="0" dxfId="0" text="" percent="0" bottom="0">
      <formula>0</formula>
    </cfRule>
  </conditionalFormatting>
  <conditionalFormatting sqref="F448">
    <cfRule type="cellIs" rank="0" priority="1330" equalAverage="0" operator="greaterThan" aboveAverage="0" dxfId="10" text="" percent="0" bottom="0">
      <formula>30</formula>
    </cfRule>
  </conditionalFormatting>
  <conditionalFormatting sqref="G449">
    <cfRule type="cellIs" rank="0" priority="1331" equalAverage="0" operator="greaterThan" aboveAverage="0" dxfId="1" text="" percent="0" bottom="0">
      <formula>0</formula>
    </cfRule>
    <cfRule type="cellIs" rank="0" priority="1332" equalAverage="0" operator="lessThanOrEqual" aboveAverage="0" dxfId="0" text="" percent="0" bottom="0">
      <formula>0</formula>
    </cfRule>
  </conditionalFormatting>
  <conditionalFormatting sqref="F449">
    <cfRule type="cellIs" rank="0" priority="1333" equalAverage="0" operator="greaterThan" aboveAverage="0" dxfId="10" text="" percent="0" bottom="0">
      <formula>30</formula>
    </cfRule>
  </conditionalFormatting>
  <conditionalFormatting sqref="G450">
    <cfRule type="cellIs" rank="0" priority="1334" equalAverage="0" operator="greaterThan" aboveAverage="0" dxfId="1" text="" percent="0" bottom="0">
      <formula>0</formula>
    </cfRule>
    <cfRule type="cellIs" rank="0" priority="1335" equalAverage="0" operator="lessThanOrEqual" aboveAverage="0" dxfId="0" text="" percent="0" bottom="0">
      <formula>0</formula>
    </cfRule>
  </conditionalFormatting>
  <conditionalFormatting sqref="F450">
    <cfRule type="cellIs" rank="0" priority="1336" equalAverage="0" operator="greaterThan" aboveAverage="0" dxfId="10" text="" percent="0" bottom="0">
      <formula>30</formula>
    </cfRule>
  </conditionalFormatting>
  <conditionalFormatting sqref="G451">
    <cfRule type="cellIs" rank="0" priority="1337" equalAverage="0" operator="greaterThan" aboveAverage="0" dxfId="1" text="" percent="0" bottom="0">
      <formula>0</formula>
    </cfRule>
    <cfRule type="cellIs" rank="0" priority="1338" equalAverage="0" operator="lessThanOrEqual" aboveAverage="0" dxfId="0" text="" percent="0" bottom="0">
      <formula>0</formula>
    </cfRule>
  </conditionalFormatting>
  <conditionalFormatting sqref="F451">
    <cfRule type="cellIs" rank="0" priority="1339" equalAverage="0" operator="greaterThan" aboveAverage="0" dxfId="10" text="" percent="0" bottom="0">
      <formula>30</formula>
    </cfRule>
  </conditionalFormatting>
  <conditionalFormatting sqref="G452">
    <cfRule type="cellIs" rank="0" priority="1340" equalAverage="0" operator="greaterThan" aboveAverage="0" dxfId="1" text="" percent="0" bottom="0">
      <formula>0</formula>
    </cfRule>
    <cfRule type="cellIs" rank="0" priority="1341" equalAverage="0" operator="lessThanOrEqual" aboveAverage="0" dxfId="0" text="" percent="0" bottom="0">
      <formula>0</formula>
    </cfRule>
  </conditionalFormatting>
  <conditionalFormatting sqref="F452">
    <cfRule type="cellIs" rank="0" priority="1342" equalAverage="0" operator="greaterThan" aboveAverage="0" dxfId="10" text="" percent="0" bottom="0">
      <formula>30</formula>
    </cfRule>
  </conditionalFormatting>
  <conditionalFormatting sqref="G453">
    <cfRule type="cellIs" rank="0" priority="1343" equalAverage="0" operator="greaterThan" aboveAverage="0" dxfId="1" text="" percent="0" bottom="0">
      <formula>0</formula>
    </cfRule>
    <cfRule type="cellIs" rank="0" priority="1344" equalAverage="0" operator="lessThanOrEqual" aboveAverage="0" dxfId="0" text="" percent="0" bottom="0">
      <formula>0</formula>
    </cfRule>
  </conditionalFormatting>
  <conditionalFormatting sqref="F453">
    <cfRule type="cellIs" rank="0" priority="1345" equalAverage="0" operator="greaterThan" aboveAverage="0" dxfId="10" text="" percent="0" bottom="0">
      <formula>30</formula>
    </cfRule>
  </conditionalFormatting>
  <conditionalFormatting sqref="G454">
    <cfRule type="cellIs" rank="0" priority="1346" equalAverage="0" operator="greaterThan" aboveAverage="0" dxfId="1" text="" percent="0" bottom="0">
      <formula>0</formula>
    </cfRule>
    <cfRule type="cellIs" rank="0" priority="1347" equalAverage="0" operator="lessThanOrEqual" aboveAverage="0" dxfId="0" text="" percent="0" bottom="0">
      <formula>0</formula>
    </cfRule>
  </conditionalFormatting>
  <conditionalFormatting sqref="F454">
    <cfRule type="cellIs" rank="0" priority="1348" equalAverage="0" operator="greaterThan" aboveAverage="0" dxfId="10" text="" percent="0" bottom="0">
      <formula>30</formula>
    </cfRule>
  </conditionalFormatting>
  <conditionalFormatting sqref="G455">
    <cfRule type="cellIs" rank="0" priority="1349" equalAverage="0" operator="greaterThan" aboveAverage="0" dxfId="1" text="" percent="0" bottom="0">
      <formula>0</formula>
    </cfRule>
    <cfRule type="cellIs" rank="0" priority="1350" equalAverage="0" operator="lessThanOrEqual" aboveAverage="0" dxfId="0" text="" percent="0" bottom="0">
      <formula>0</formula>
    </cfRule>
  </conditionalFormatting>
  <conditionalFormatting sqref="F455">
    <cfRule type="cellIs" rank="0" priority="1351" equalAverage="0" operator="greaterThan" aboveAverage="0" dxfId="10" text="" percent="0" bottom="0">
      <formula>30</formula>
    </cfRule>
  </conditionalFormatting>
  <conditionalFormatting sqref="G456">
    <cfRule type="cellIs" rank="0" priority="1352" equalAverage="0" operator="greaterThan" aboveAverage="0" dxfId="1" text="" percent="0" bottom="0">
      <formula>0</formula>
    </cfRule>
    <cfRule type="cellIs" rank="0" priority="1353" equalAverage="0" operator="lessThanOrEqual" aboveAverage="0" dxfId="0" text="" percent="0" bottom="0">
      <formula>0</formula>
    </cfRule>
  </conditionalFormatting>
  <conditionalFormatting sqref="F456">
    <cfRule type="cellIs" rank="0" priority="1354" equalAverage="0" operator="greaterThan" aboveAverage="0" dxfId="10" text="" percent="0" bottom="0">
      <formula>30</formula>
    </cfRule>
  </conditionalFormatting>
  <conditionalFormatting sqref="G457">
    <cfRule type="cellIs" rank="0" priority="1355" equalAverage="0" operator="greaterThan" aboveAverage="0" dxfId="1" text="" percent="0" bottom="0">
      <formula>0</formula>
    </cfRule>
    <cfRule type="cellIs" rank="0" priority="1356" equalAverage="0" operator="lessThanOrEqual" aboveAverage="0" dxfId="0" text="" percent="0" bottom="0">
      <formula>0</formula>
    </cfRule>
  </conditionalFormatting>
  <conditionalFormatting sqref="F457">
    <cfRule type="cellIs" rank="0" priority="1357" equalAverage="0" operator="greaterThan" aboveAverage="0" dxfId="10" text="" percent="0" bottom="0">
      <formula>30</formula>
    </cfRule>
  </conditionalFormatting>
  <conditionalFormatting sqref="G458">
    <cfRule type="cellIs" rank="0" priority="1358" equalAverage="0" operator="greaterThan" aboveAverage="0" dxfId="1" text="" percent="0" bottom="0">
      <formula>0</formula>
    </cfRule>
    <cfRule type="cellIs" rank="0" priority="1359" equalAverage="0" operator="lessThanOrEqual" aboveAverage="0" dxfId="0" text="" percent="0" bottom="0">
      <formula>0</formula>
    </cfRule>
  </conditionalFormatting>
  <conditionalFormatting sqref="F458">
    <cfRule type="cellIs" rank="0" priority="1360" equalAverage="0" operator="greaterThan" aboveAverage="0" dxfId="10" text="" percent="0" bottom="0">
      <formula>30</formula>
    </cfRule>
  </conditionalFormatting>
  <conditionalFormatting sqref="G459">
    <cfRule type="cellIs" rank="0" priority="1361" equalAverage="0" operator="greaterThan" aboveAverage="0" dxfId="1" text="" percent="0" bottom="0">
      <formula>0</formula>
    </cfRule>
    <cfRule type="cellIs" rank="0" priority="1362" equalAverage="0" operator="lessThanOrEqual" aboveAverage="0" dxfId="0" text="" percent="0" bottom="0">
      <formula>0</formula>
    </cfRule>
  </conditionalFormatting>
  <conditionalFormatting sqref="F459">
    <cfRule type="cellIs" rank="0" priority="1363" equalAverage="0" operator="greaterThan" aboveAverage="0" dxfId="10" text="" percent="0" bottom="0">
      <formula>30</formula>
    </cfRule>
  </conditionalFormatting>
  <conditionalFormatting sqref="G460">
    <cfRule type="cellIs" rank="0" priority="1364" equalAverage="0" operator="greaterThan" aboveAverage="0" dxfId="1" text="" percent="0" bottom="0">
      <formula>0</formula>
    </cfRule>
    <cfRule type="cellIs" rank="0" priority="1365" equalAverage="0" operator="lessThanOrEqual" aboveAverage="0" dxfId="0" text="" percent="0" bottom="0">
      <formula>0</formula>
    </cfRule>
  </conditionalFormatting>
  <conditionalFormatting sqref="F460">
    <cfRule type="cellIs" rank="0" priority="1366" equalAverage="0" operator="greaterThan" aboveAverage="0" dxfId="10" text="" percent="0" bottom="0">
      <formula>30</formula>
    </cfRule>
  </conditionalFormatting>
  <conditionalFormatting sqref="G461">
    <cfRule type="cellIs" rank="0" priority="1367" equalAverage="0" operator="greaterThan" aboveAverage="0" dxfId="1" text="" percent="0" bottom="0">
      <formula>0</formula>
    </cfRule>
    <cfRule type="cellIs" rank="0" priority="1368" equalAverage="0" operator="lessThanOrEqual" aboveAverage="0" dxfId="0" text="" percent="0" bottom="0">
      <formula>0</formula>
    </cfRule>
  </conditionalFormatting>
  <conditionalFormatting sqref="F461">
    <cfRule type="cellIs" rank="0" priority="1369" equalAverage="0" operator="greaterThan" aboveAverage="0" dxfId="10" text="" percent="0" bottom="0">
      <formula>30</formula>
    </cfRule>
  </conditionalFormatting>
  <conditionalFormatting sqref="G462">
    <cfRule type="cellIs" rank="0" priority="1370" equalAverage="0" operator="greaterThan" aboveAverage="0" dxfId="1" text="" percent="0" bottom="0">
      <formula>0</formula>
    </cfRule>
    <cfRule type="cellIs" rank="0" priority="1371" equalAverage="0" operator="lessThanOrEqual" aboveAverage="0" dxfId="0" text="" percent="0" bottom="0">
      <formula>0</formula>
    </cfRule>
  </conditionalFormatting>
  <conditionalFormatting sqref="F462">
    <cfRule type="cellIs" rank="0" priority="1372" equalAverage="0" operator="greaterThan" aboveAverage="0" dxfId="10" text="" percent="0" bottom="0">
      <formula>30</formula>
    </cfRule>
  </conditionalFormatting>
  <conditionalFormatting sqref="G463">
    <cfRule type="cellIs" rank="0" priority="1373" equalAverage="0" operator="greaterThan" aboveAverage="0" dxfId="1" text="" percent="0" bottom="0">
      <formula>0</formula>
    </cfRule>
    <cfRule type="cellIs" rank="0" priority="1374" equalAverage="0" operator="lessThanOrEqual" aboveAverage="0" dxfId="0" text="" percent="0" bottom="0">
      <formula>0</formula>
    </cfRule>
  </conditionalFormatting>
  <conditionalFormatting sqref="F463">
    <cfRule type="cellIs" rank="0" priority="1375" equalAverage="0" operator="greaterThan" aboveAverage="0" dxfId="10" text="" percent="0" bottom="0">
      <formula>30</formula>
    </cfRule>
  </conditionalFormatting>
  <conditionalFormatting sqref="G464">
    <cfRule type="cellIs" rank="0" priority="1376" equalAverage="0" operator="greaterThan" aboveAverage="0" dxfId="1" text="" percent="0" bottom="0">
      <formula>0</formula>
    </cfRule>
    <cfRule type="cellIs" rank="0" priority="1377" equalAverage="0" operator="lessThanOrEqual" aboveAverage="0" dxfId="0" text="" percent="0" bottom="0">
      <formula>0</formula>
    </cfRule>
  </conditionalFormatting>
  <conditionalFormatting sqref="F464">
    <cfRule type="cellIs" rank="0" priority="1378" equalAverage="0" operator="greaterThan" aboveAverage="0" dxfId="10" text="" percent="0" bottom="0">
      <formula>30</formula>
    </cfRule>
  </conditionalFormatting>
  <conditionalFormatting sqref="G465">
    <cfRule type="cellIs" rank="0" priority="1379" equalAverage="0" operator="greaterThan" aboveAverage="0" dxfId="1" text="" percent="0" bottom="0">
      <formula>0</formula>
    </cfRule>
    <cfRule type="cellIs" rank="0" priority="1380" equalAverage="0" operator="lessThanOrEqual" aboveAverage="0" dxfId="0" text="" percent="0" bottom="0">
      <formula>0</formula>
    </cfRule>
  </conditionalFormatting>
  <conditionalFormatting sqref="F465">
    <cfRule type="cellIs" rank="0" priority="1381" equalAverage="0" operator="greaterThan" aboveAverage="0" dxfId="10" text="" percent="0" bottom="0">
      <formula>30</formula>
    </cfRule>
  </conditionalFormatting>
  <conditionalFormatting sqref="G466">
    <cfRule type="cellIs" rank="0" priority="1382" equalAverage="0" operator="greaterThan" aboveAverage="0" dxfId="1" text="" percent="0" bottom="0">
      <formula>0</formula>
    </cfRule>
    <cfRule type="cellIs" rank="0" priority="1383" equalAverage="0" operator="lessThanOrEqual" aboveAverage="0" dxfId="0" text="" percent="0" bottom="0">
      <formula>0</formula>
    </cfRule>
  </conditionalFormatting>
  <conditionalFormatting sqref="F466">
    <cfRule type="cellIs" rank="0" priority="1384" equalAverage="0" operator="greaterThan" aboveAverage="0" dxfId="10" text="" percent="0" bottom="0">
      <formula>30</formula>
    </cfRule>
  </conditionalFormatting>
  <conditionalFormatting sqref="G467">
    <cfRule type="cellIs" rank="0" priority="1385" equalAverage="0" operator="greaterThan" aboveAverage="0" dxfId="1" text="" percent="0" bottom="0">
      <formula>0</formula>
    </cfRule>
    <cfRule type="cellIs" rank="0" priority="1386" equalAverage="0" operator="lessThanOrEqual" aboveAverage="0" dxfId="0" text="" percent="0" bottom="0">
      <formula>0</formula>
    </cfRule>
  </conditionalFormatting>
  <conditionalFormatting sqref="F467">
    <cfRule type="cellIs" rank="0" priority="1387" equalAverage="0" operator="greaterThan" aboveAverage="0" dxfId="10" text="" percent="0" bottom="0">
      <formula>30</formula>
    </cfRule>
  </conditionalFormatting>
  <conditionalFormatting sqref="G468">
    <cfRule type="cellIs" rank="0" priority="1388" equalAverage="0" operator="greaterThan" aboveAverage="0" dxfId="1" text="" percent="0" bottom="0">
      <formula>0</formula>
    </cfRule>
    <cfRule type="cellIs" rank="0" priority="1389" equalAverage="0" operator="lessThanOrEqual" aboveAverage="0" dxfId="0" text="" percent="0" bottom="0">
      <formula>0</formula>
    </cfRule>
  </conditionalFormatting>
  <conditionalFormatting sqref="F468">
    <cfRule type="cellIs" rank="0" priority="1390" equalAverage="0" operator="greaterThan" aboveAverage="0" dxfId="10" text="" percent="0" bottom="0">
      <formula>30</formula>
    </cfRule>
  </conditionalFormatting>
  <conditionalFormatting sqref="G469">
    <cfRule type="cellIs" rank="0" priority="1391" equalAverage="0" operator="greaterThan" aboveAverage="0" dxfId="1" text="" percent="0" bottom="0">
      <formula>0</formula>
    </cfRule>
    <cfRule type="cellIs" rank="0" priority="1392" equalAverage="0" operator="lessThanOrEqual" aboveAverage="0" dxfId="0" text="" percent="0" bottom="0">
      <formula>0</formula>
    </cfRule>
  </conditionalFormatting>
  <conditionalFormatting sqref="F469">
    <cfRule type="cellIs" rank="0" priority="1393" equalAverage="0" operator="greaterThan" aboveAverage="0" dxfId="10" text="" percent="0" bottom="0">
      <formula>30</formula>
    </cfRule>
  </conditionalFormatting>
  <conditionalFormatting sqref="G470">
    <cfRule type="cellIs" rank="0" priority="1394" equalAverage="0" operator="greaterThan" aboveAverage="0" dxfId="1" text="" percent="0" bottom="0">
      <formula>0</formula>
    </cfRule>
    <cfRule type="cellIs" rank="0" priority="1395" equalAverage="0" operator="lessThanOrEqual" aboveAverage="0" dxfId="0" text="" percent="0" bottom="0">
      <formula>0</formula>
    </cfRule>
  </conditionalFormatting>
  <conditionalFormatting sqref="F470">
    <cfRule type="cellIs" rank="0" priority="1396" equalAverage="0" operator="greaterThan" aboveAverage="0" dxfId="10" text="" percent="0" bottom="0">
      <formula>30</formula>
    </cfRule>
  </conditionalFormatting>
  <conditionalFormatting sqref="G471">
    <cfRule type="cellIs" rank="0" priority="1397" equalAverage="0" operator="greaterThan" aboveAverage="0" dxfId="1" text="" percent="0" bottom="0">
      <formula>0</formula>
    </cfRule>
    <cfRule type="cellIs" rank="0" priority="1398" equalAverage="0" operator="lessThanOrEqual" aboveAverage="0" dxfId="0" text="" percent="0" bottom="0">
      <formula>0</formula>
    </cfRule>
  </conditionalFormatting>
  <conditionalFormatting sqref="F471">
    <cfRule type="cellIs" rank="0" priority="1399" equalAverage="0" operator="greaterThan" aboveAverage="0" dxfId="10" text="" percent="0" bottom="0">
      <formula>30</formula>
    </cfRule>
  </conditionalFormatting>
  <conditionalFormatting sqref="G472">
    <cfRule type="cellIs" rank="0" priority="1400" equalAverage="0" operator="greaterThan" aboveAverage="0" dxfId="1" text="" percent="0" bottom="0">
      <formula>0</formula>
    </cfRule>
    <cfRule type="cellIs" rank="0" priority="1401" equalAverage="0" operator="lessThanOrEqual" aboveAverage="0" dxfId="0" text="" percent="0" bottom="0">
      <formula>0</formula>
    </cfRule>
  </conditionalFormatting>
  <conditionalFormatting sqref="F472">
    <cfRule type="cellIs" rank="0" priority="1402" equalAverage="0" operator="greaterThan" aboveAverage="0" dxfId="10" text="" percent="0" bottom="0">
      <formula>30</formula>
    </cfRule>
  </conditionalFormatting>
  <conditionalFormatting sqref="G473">
    <cfRule type="cellIs" rank="0" priority="1403" equalAverage="0" operator="greaterThan" aboveAverage="0" dxfId="1" text="" percent="0" bottom="0">
      <formula>0</formula>
    </cfRule>
    <cfRule type="cellIs" rank="0" priority="1404" equalAverage="0" operator="lessThanOrEqual" aboveAverage="0" dxfId="0" text="" percent="0" bottom="0">
      <formula>0</formula>
    </cfRule>
  </conditionalFormatting>
  <conditionalFormatting sqref="F473">
    <cfRule type="cellIs" rank="0" priority="1405" equalAverage="0" operator="greaterThan" aboveAverage="0" dxfId="10" text="" percent="0" bottom="0">
      <formula>30</formula>
    </cfRule>
  </conditionalFormatting>
  <conditionalFormatting sqref="G474">
    <cfRule type="cellIs" rank="0" priority="1406" equalAverage="0" operator="greaterThan" aboveAverage="0" dxfId="1" text="" percent="0" bottom="0">
      <formula>0</formula>
    </cfRule>
    <cfRule type="cellIs" rank="0" priority="1407" equalAverage="0" operator="lessThanOrEqual" aboveAverage="0" dxfId="0" text="" percent="0" bottom="0">
      <formula>0</formula>
    </cfRule>
  </conditionalFormatting>
  <conditionalFormatting sqref="F474">
    <cfRule type="cellIs" rank="0" priority="1408" equalAverage="0" operator="greaterThan" aboveAverage="0" dxfId="10" text="" percent="0" bottom="0">
      <formula>30</formula>
    </cfRule>
  </conditionalFormatting>
  <conditionalFormatting sqref="G475">
    <cfRule type="cellIs" rank="0" priority="1409" equalAverage="0" operator="greaterThan" aboveAverage="0" dxfId="1" text="" percent="0" bottom="0">
      <formula>0</formula>
    </cfRule>
    <cfRule type="cellIs" rank="0" priority="1410" equalAverage="0" operator="lessThanOrEqual" aboveAverage="0" dxfId="0" text="" percent="0" bottom="0">
      <formula>0</formula>
    </cfRule>
  </conditionalFormatting>
  <conditionalFormatting sqref="F475">
    <cfRule type="cellIs" rank="0" priority="1411" equalAverage="0" operator="greaterThan" aboveAverage="0" dxfId="10" text="" percent="0" bottom="0">
      <formula>30</formula>
    </cfRule>
  </conditionalFormatting>
  <conditionalFormatting sqref="G476">
    <cfRule type="cellIs" rank="0" priority="1412" equalAverage="0" operator="greaterThan" aboveAverage="0" dxfId="1" text="" percent="0" bottom="0">
      <formula>0</formula>
    </cfRule>
    <cfRule type="cellIs" rank="0" priority="1413" equalAverage="0" operator="lessThanOrEqual" aboveAverage="0" dxfId="0" text="" percent="0" bottom="0">
      <formula>0</formula>
    </cfRule>
  </conditionalFormatting>
  <conditionalFormatting sqref="F476">
    <cfRule type="cellIs" rank="0" priority="1414" equalAverage="0" operator="greaterThan" aboveAverage="0" dxfId="10" text="" percent="0" bottom="0">
      <formula>30</formula>
    </cfRule>
  </conditionalFormatting>
  <conditionalFormatting sqref="G477">
    <cfRule type="cellIs" rank="0" priority="1415" equalAverage="0" operator="greaterThan" aboveAverage="0" dxfId="1" text="" percent="0" bottom="0">
      <formula>0</formula>
    </cfRule>
    <cfRule type="cellIs" rank="0" priority="1416" equalAverage="0" operator="lessThanOrEqual" aboveAverage="0" dxfId="0" text="" percent="0" bottom="0">
      <formula>0</formula>
    </cfRule>
  </conditionalFormatting>
  <conditionalFormatting sqref="F477">
    <cfRule type="cellIs" rank="0" priority="1417" equalAverage="0" operator="greaterThan" aboveAverage="0" dxfId="10" text="" percent="0" bottom="0">
      <formula>30</formula>
    </cfRule>
  </conditionalFormatting>
  <conditionalFormatting sqref="G478">
    <cfRule type="cellIs" rank="0" priority="1418" equalAverage="0" operator="greaterThan" aboveAverage="0" dxfId="1" text="" percent="0" bottom="0">
      <formula>0</formula>
    </cfRule>
    <cfRule type="cellIs" rank="0" priority="1419" equalAverage="0" operator="lessThanOrEqual" aboveAverage="0" dxfId="0" text="" percent="0" bottom="0">
      <formula>0</formula>
    </cfRule>
  </conditionalFormatting>
  <conditionalFormatting sqref="F478">
    <cfRule type="cellIs" rank="0" priority="1420" equalAverage="0" operator="greaterThan" aboveAverage="0" dxfId="10" text="" percent="0" bottom="0">
      <formula>30</formula>
    </cfRule>
  </conditionalFormatting>
  <conditionalFormatting sqref="G479">
    <cfRule type="cellIs" rank="0" priority="1421" equalAverage="0" operator="greaterThan" aboveAverage="0" dxfId="1" text="" percent="0" bottom="0">
      <formula>0</formula>
    </cfRule>
    <cfRule type="cellIs" rank="0" priority="1422" equalAverage="0" operator="lessThanOrEqual" aboveAverage="0" dxfId="0" text="" percent="0" bottom="0">
      <formula>0</formula>
    </cfRule>
  </conditionalFormatting>
  <conditionalFormatting sqref="F479">
    <cfRule type="cellIs" rank="0" priority="1423" equalAverage="0" operator="greaterThan" aboveAverage="0" dxfId="10" text="" percent="0" bottom="0">
      <formula>30</formula>
    </cfRule>
  </conditionalFormatting>
  <conditionalFormatting sqref="G480">
    <cfRule type="cellIs" rank="0" priority="1424" equalAverage="0" operator="greaterThan" aboveAverage="0" dxfId="1" text="" percent="0" bottom="0">
      <formula>0</formula>
    </cfRule>
    <cfRule type="cellIs" rank="0" priority="1425" equalAverage="0" operator="lessThanOrEqual" aboveAverage="0" dxfId="0" text="" percent="0" bottom="0">
      <formula>0</formula>
    </cfRule>
  </conditionalFormatting>
  <conditionalFormatting sqref="F480">
    <cfRule type="cellIs" rank="0" priority="1426" equalAverage="0" operator="greaterThan" aboveAverage="0" dxfId="10" text="" percent="0" bottom="0">
      <formula>30</formula>
    </cfRule>
  </conditionalFormatting>
  <conditionalFormatting sqref="G481">
    <cfRule type="cellIs" rank="0" priority="1427" equalAverage="0" operator="greaterThan" aboveAverage="0" dxfId="1" text="" percent="0" bottom="0">
      <formula>0</formula>
    </cfRule>
    <cfRule type="cellIs" rank="0" priority="1428" equalAverage="0" operator="lessThanOrEqual" aboveAverage="0" dxfId="0" text="" percent="0" bottom="0">
      <formula>0</formula>
    </cfRule>
  </conditionalFormatting>
  <conditionalFormatting sqref="F481">
    <cfRule type="cellIs" rank="0" priority="1429" equalAverage="0" operator="greaterThan" aboveAverage="0" dxfId="10" text="" percent="0" bottom="0">
      <formula>30</formula>
    </cfRule>
  </conditionalFormatting>
  <conditionalFormatting sqref="G482">
    <cfRule type="cellIs" rank="0" priority="1430" equalAverage="0" operator="greaterThan" aboveAverage="0" dxfId="1" text="" percent="0" bottom="0">
      <formula>0</formula>
    </cfRule>
    <cfRule type="cellIs" rank="0" priority="1431" equalAverage="0" operator="lessThanOrEqual" aboveAverage="0" dxfId="0" text="" percent="0" bottom="0">
      <formula>0</formula>
    </cfRule>
  </conditionalFormatting>
  <conditionalFormatting sqref="F482">
    <cfRule type="cellIs" rank="0" priority="1432" equalAverage="0" operator="greaterThan" aboveAverage="0" dxfId="10" text="" percent="0" bottom="0">
      <formula>30</formula>
    </cfRule>
  </conditionalFormatting>
  <conditionalFormatting sqref="G483">
    <cfRule type="cellIs" rank="0" priority="1433" equalAverage="0" operator="greaterThan" aboveAverage="0" dxfId="1" text="" percent="0" bottom="0">
      <formula>0</formula>
    </cfRule>
    <cfRule type="cellIs" rank="0" priority="1434" equalAverage="0" operator="lessThanOrEqual" aboveAverage="0" dxfId="0" text="" percent="0" bottom="0">
      <formula>0</formula>
    </cfRule>
  </conditionalFormatting>
  <conditionalFormatting sqref="F483">
    <cfRule type="cellIs" rank="0" priority="1435" equalAverage="0" operator="greaterThan" aboveAverage="0" dxfId="10" text="" percent="0" bottom="0">
      <formula>30</formula>
    </cfRule>
  </conditionalFormatting>
  <conditionalFormatting sqref="G484">
    <cfRule type="cellIs" rank="0" priority="1436" equalAverage="0" operator="greaterThan" aboveAverage="0" dxfId="1" text="" percent="0" bottom="0">
      <formula>0</formula>
    </cfRule>
    <cfRule type="cellIs" rank="0" priority="1437" equalAverage="0" operator="lessThanOrEqual" aboveAverage="0" dxfId="0" text="" percent="0" bottom="0">
      <formula>0</formula>
    </cfRule>
  </conditionalFormatting>
  <conditionalFormatting sqref="F484">
    <cfRule type="cellIs" rank="0" priority="1438" equalAverage="0" operator="greaterThan" aboveAverage="0" dxfId="10" text="" percent="0" bottom="0">
      <formula>30</formula>
    </cfRule>
  </conditionalFormatting>
  <conditionalFormatting sqref="G485">
    <cfRule type="cellIs" rank="0" priority="1439" equalAverage="0" operator="greaterThan" aboveAverage="0" dxfId="1" text="" percent="0" bottom="0">
      <formula>0</formula>
    </cfRule>
    <cfRule type="cellIs" rank="0" priority="1440" equalAverage="0" operator="lessThanOrEqual" aboveAverage="0" dxfId="0" text="" percent="0" bottom="0">
      <formula>0</formula>
    </cfRule>
  </conditionalFormatting>
  <conditionalFormatting sqref="F485">
    <cfRule type="cellIs" rank="0" priority="1441" equalAverage="0" operator="greaterThan" aboveAverage="0" dxfId="10" text="" percent="0" bottom="0">
      <formula>30</formula>
    </cfRule>
  </conditionalFormatting>
  <conditionalFormatting sqref="G486">
    <cfRule type="cellIs" rank="0" priority="1442" equalAverage="0" operator="greaterThan" aboveAverage="0" dxfId="1" text="" percent="0" bottom="0">
      <formula>0</formula>
    </cfRule>
    <cfRule type="cellIs" rank="0" priority="1443" equalAverage="0" operator="lessThanOrEqual" aboveAverage="0" dxfId="0" text="" percent="0" bottom="0">
      <formula>0</formula>
    </cfRule>
  </conditionalFormatting>
  <conditionalFormatting sqref="F486">
    <cfRule type="cellIs" rank="0" priority="1444" equalAverage="0" operator="greaterThan" aboveAverage="0" dxfId="10" text="" percent="0" bottom="0">
      <formula>30</formula>
    </cfRule>
  </conditionalFormatting>
  <conditionalFormatting sqref="G487">
    <cfRule type="cellIs" rank="0" priority="1445" equalAverage="0" operator="greaterThan" aboveAverage="0" dxfId="1" text="" percent="0" bottom="0">
      <formula>0</formula>
    </cfRule>
    <cfRule type="cellIs" rank="0" priority="1446" equalAverage="0" operator="lessThanOrEqual" aboveAverage="0" dxfId="0" text="" percent="0" bottom="0">
      <formula>0</formula>
    </cfRule>
  </conditionalFormatting>
  <conditionalFormatting sqref="F487">
    <cfRule type="cellIs" rank="0" priority="1447" equalAverage="0" operator="greaterThan" aboveAverage="0" dxfId="10" text="" percent="0" bottom="0">
      <formula>30</formula>
    </cfRule>
  </conditionalFormatting>
  <conditionalFormatting sqref="G488">
    <cfRule type="cellIs" rank="0" priority="1448" equalAverage="0" operator="greaterThan" aboveAverage="0" dxfId="1" text="" percent="0" bottom="0">
      <formula>0</formula>
    </cfRule>
    <cfRule type="cellIs" rank="0" priority="1449" equalAverage="0" operator="lessThanOrEqual" aboveAverage="0" dxfId="0" text="" percent="0" bottom="0">
      <formula>0</formula>
    </cfRule>
  </conditionalFormatting>
  <conditionalFormatting sqref="F488">
    <cfRule type="cellIs" rank="0" priority="1450" equalAverage="0" operator="greaterThan" aboveAverage="0" dxfId="10" text="" percent="0" bottom="0">
      <formula>30</formula>
    </cfRule>
  </conditionalFormatting>
  <conditionalFormatting sqref="G489">
    <cfRule type="cellIs" rank="0" priority="1451" equalAverage="0" operator="greaterThan" aboveAverage="0" dxfId="1" text="" percent="0" bottom="0">
      <formula>0</formula>
    </cfRule>
    <cfRule type="cellIs" rank="0" priority="1452" equalAverage="0" operator="lessThanOrEqual" aboveAverage="0" dxfId="0" text="" percent="0" bottom="0">
      <formula>0</formula>
    </cfRule>
  </conditionalFormatting>
  <conditionalFormatting sqref="F489">
    <cfRule type="cellIs" rank="0" priority="1453" equalAverage="0" operator="greaterThan" aboveAverage="0" dxfId="10" text="" percent="0" bottom="0">
      <formula>30</formula>
    </cfRule>
  </conditionalFormatting>
  <conditionalFormatting sqref="G490">
    <cfRule type="cellIs" rank="0" priority="1454" equalAverage="0" operator="greaterThan" aboveAverage="0" dxfId="1" text="" percent="0" bottom="0">
      <formula>0</formula>
    </cfRule>
    <cfRule type="cellIs" rank="0" priority="1455" equalAverage="0" operator="lessThanOrEqual" aboveAverage="0" dxfId="0" text="" percent="0" bottom="0">
      <formula>0</formula>
    </cfRule>
  </conditionalFormatting>
  <conditionalFormatting sqref="F490">
    <cfRule type="cellIs" rank="0" priority="1456" equalAverage="0" operator="greaterThan" aboveAverage="0" dxfId="10" text="" percent="0" bottom="0">
      <formula>30</formula>
    </cfRule>
  </conditionalFormatting>
  <conditionalFormatting sqref="G491">
    <cfRule type="cellIs" rank="0" priority="1457" equalAverage="0" operator="greaterThan" aboveAverage="0" dxfId="1" text="" percent="0" bottom="0">
      <formula>0</formula>
    </cfRule>
    <cfRule type="cellIs" rank="0" priority="1458" equalAverage="0" operator="lessThanOrEqual" aboveAverage="0" dxfId="0" text="" percent="0" bottom="0">
      <formula>0</formula>
    </cfRule>
  </conditionalFormatting>
  <conditionalFormatting sqref="F491">
    <cfRule type="cellIs" rank="0" priority="1459" equalAverage="0" operator="greaterThan" aboveAverage="0" dxfId="10" text="" percent="0" bottom="0">
      <formula>30</formula>
    </cfRule>
  </conditionalFormatting>
  <conditionalFormatting sqref="G492">
    <cfRule type="cellIs" rank="0" priority="1460" equalAverage="0" operator="greaterThan" aboveAverage="0" dxfId="1" text="" percent="0" bottom="0">
      <formula>0</formula>
    </cfRule>
    <cfRule type="cellIs" rank="0" priority="1461" equalAverage="0" operator="lessThanOrEqual" aboveAverage="0" dxfId="0" text="" percent="0" bottom="0">
      <formula>0</formula>
    </cfRule>
  </conditionalFormatting>
  <conditionalFormatting sqref="F492">
    <cfRule type="cellIs" rank="0" priority="1462" equalAverage="0" operator="greaterThan" aboveAverage="0" dxfId="10" text="" percent="0" bottom="0">
      <formula>30</formula>
    </cfRule>
  </conditionalFormatting>
  <conditionalFormatting sqref="G493">
    <cfRule type="cellIs" rank="0" priority="1463" equalAverage="0" operator="greaterThan" aboveAverage="0" dxfId="1" text="" percent="0" bottom="0">
      <formula>0</formula>
    </cfRule>
    <cfRule type="cellIs" rank="0" priority="1464" equalAverage="0" operator="lessThanOrEqual" aboveAverage="0" dxfId="0" text="" percent="0" bottom="0">
      <formula>0</formula>
    </cfRule>
  </conditionalFormatting>
  <conditionalFormatting sqref="F493">
    <cfRule type="cellIs" rank="0" priority="1465" equalAverage="0" operator="greaterThan" aboveAverage="0" dxfId="10" text="" percent="0" bottom="0">
      <formula>30</formula>
    </cfRule>
  </conditionalFormatting>
  <conditionalFormatting sqref="G494">
    <cfRule type="cellIs" rank="0" priority="1466" equalAverage="0" operator="greaterThan" aboveAverage="0" dxfId="1" text="" percent="0" bottom="0">
      <formula>0</formula>
    </cfRule>
    <cfRule type="cellIs" rank="0" priority="1467" equalAverage="0" operator="lessThanOrEqual" aboveAverage="0" dxfId="0" text="" percent="0" bottom="0">
      <formula>0</formula>
    </cfRule>
  </conditionalFormatting>
  <conditionalFormatting sqref="F494">
    <cfRule type="cellIs" rank="0" priority="1468" equalAverage="0" operator="greaterThan" aboveAverage="0" dxfId="10" text="" percent="0" bottom="0">
      <formula>30</formula>
    </cfRule>
  </conditionalFormatting>
  <conditionalFormatting sqref="G495">
    <cfRule type="cellIs" rank="0" priority="1469" equalAverage="0" operator="greaterThan" aboveAverage="0" dxfId="1" text="" percent="0" bottom="0">
      <formula>0</formula>
    </cfRule>
    <cfRule type="cellIs" rank="0" priority="1470" equalAverage="0" operator="lessThanOrEqual" aboveAverage="0" dxfId="0" text="" percent="0" bottom="0">
      <formula>0</formula>
    </cfRule>
  </conditionalFormatting>
  <conditionalFormatting sqref="F495">
    <cfRule type="cellIs" rank="0" priority="1471" equalAverage="0" operator="greaterThan" aboveAverage="0" dxfId="10" text="" percent="0" bottom="0">
      <formula>30</formula>
    </cfRule>
  </conditionalFormatting>
  <conditionalFormatting sqref="G496">
    <cfRule type="cellIs" rank="0" priority="1472" equalAverage="0" operator="greaterThan" aboveAverage="0" dxfId="1" text="" percent="0" bottom="0">
      <formula>0</formula>
    </cfRule>
    <cfRule type="cellIs" rank="0" priority="1473" equalAverage="0" operator="lessThanOrEqual" aboveAverage="0" dxfId="0" text="" percent="0" bottom="0">
      <formula>0</formula>
    </cfRule>
  </conditionalFormatting>
  <conditionalFormatting sqref="F496">
    <cfRule type="cellIs" rank="0" priority="1474" equalAverage="0" operator="greaterThan" aboveAverage="0" dxfId="10" text="" percent="0" bottom="0">
      <formula>30</formula>
    </cfRule>
  </conditionalFormatting>
  <conditionalFormatting sqref="G497">
    <cfRule type="cellIs" rank="0" priority="1475" equalAverage="0" operator="greaterThan" aboveAverage="0" dxfId="1" text="" percent="0" bottom="0">
      <formula>0</formula>
    </cfRule>
    <cfRule type="cellIs" rank="0" priority="1476" equalAverage="0" operator="lessThanOrEqual" aboveAverage="0" dxfId="0" text="" percent="0" bottom="0">
      <formula>0</formula>
    </cfRule>
  </conditionalFormatting>
  <conditionalFormatting sqref="F497">
    <cfRule type="cellIs" rank="0" priority="1477" equalAverage="0" operator="greaterThan" aboveAverage="0" dxfId="10" text="" percent="0" bottom="0">
      <formula>30</formula>
    </cfRule>
  </conditionalFormatting>
  <conditionalFormatting sqref="G498">
    <cfRule type="cellIs" rank="0" priority="1478" equalAverage="0" operator="greaterThan" aboveAverage="0" dxfId="1" text="" percent="0" bottom="0">
      <formula>0</formula>
    </cfRule>
    <cfRule type="cellIs" rank="0" priority="1479" equalAverage="0" operator="lessThanOrEqual" aboveAverage="0" dxfId="0" text="" percent="0" bottom="0">
      <formula>0</formula>
    </cfRule>
  </conditionalFormatting>
  <conditionalFormatting sqref="F498">
    <cfRule type="cellIs" rank="0" priority="1480" equalAverage="0" operator="greaterThan" aboveAverage="0" dxfId="10" text="" percent="0" bottom="0">
      <formula>30</formula>
    </cfRule>
  </conditionalFormatting>
  <conditionalFormatting sqref="G499">
    <cfRule type="cellIs" rank="0" priority="1481" equalAverage="0" operator="greaterThan" aboveAverage="0" dxfId="1" text="" percent="0" bottom="0">
      <formula>0</formula>
    </cfRule>
    <cfRule type="cellIs" rank="0" priority="1482" equalAverage="0" operator="lessThanOrEqual" aboveAverage="0" dxfId="0" text="" percent="0" bottom="0">
      <formula>0</formula>
    </cfRule>
  </conditionalFormatting>
  <conditionalFormatting sqref="F499">
    <cfRule type="cellIs" rank="0" priority="1483" equalAverage="0" operator="greaterThan" aboveAverage="0" dxfId="10" text="" percent="0" bottom="0">
      <formula>30</formula>
    </cfRule>
  </conditionalFormatting>
  <conditionalFormatting sqref="G500">
    <cfRule type="cellIs" rank="0" priority="1484" equalAverage="0" operator="greaterThan" aboveAverage="0" dxfId="1" text="" percent="0" bottom="0">
      <formula>0</formula>
    </cfRule>
    <cfRule type="cellIs" rank="0" priority="1485" equalAverage="0" operator="lessThanOrEqual" aboveAverage="0" dxfId="0" text="" percent="0" bottom="0">
      <formula>0</formula>
    </cfRule>
  </conditionalFormatting>
  <conditionalFormatting sqref="F500">
    <cfRule type="cellIs" rank="0" priority="1486" equalAverage="0" operator="greaterThan" aboveAverage="0" dxfId="10" text="" percent="0" bottom="0">
      <formula>30</formula>
    </cfRule>
  </conditionalFormatting>
  <conditionalFormatting sqref="G501">
    <cfRule type="cellIs" rank="0" priority="1487" equalAverage="0" operator="greaterThan" aboveAverage="0" dxfId="1" text="" percent="0" bottom="0">
      <formula>0</formula>
    </cfRule>
    <cfRule type="cellIs" rank="0" priority="1488" equalAverage="0" operator="lessThanOrEqual" aboveAverage="0" dxfId="0" text="" percent="0" bottom="0">
      <formula>0</formula>
    </cfRule>
  </conditionalFormatting>
  <conditionalFormatting sqref="F501">
    <cfRule type="cellIs" rank="0" priority="1489" equalAverage="0" operator="greaterThan" aboveAverage="0" dxfId="10" text="" percent="0" bottom="0">
      <formula>30</formula>
    </cfRule>
  </conditionalFormatting>
  <conditionalFormatting sqref="G502">
    <cfRule type="cellIs" rank="0" priority="1490" equalAverage="0" operator="greaterThan" aboveAverage="0" dxfId="1" text="" percent="0" bottom="0">
      <formula>0</formula>
    </cfRule>
    <cfRule type="cellIs" rank="0" priority="1491" equalAverage="0" operator="lessThanOrEqual" aboveAverage="0" dxfId="0" text="" percent="0" bottom="0">
      <formula>0</formula>
    </cfRule>
  </conditionalFormatting>
  <conditionalFormatting sqref="F502">
    <cfRule type="cellIs" rank="0" priority="1492" equalAverage="0" operator="greaterThan" aboveAverage="0" dxfId="10" text="" percent="0" bottom="0">
      <formula>30</formula>
    </cfRule>
  </conditionalFormatting>
  <conditionalFormatting sqref="G503">
    <cfRule type="cellIs" rank="0" priority="1493" equalAverage="0" operator="greaterThan" aboveAverage="0" dxfId="1" text="" percent="0" bottom="0">
      <formula>0</formula>
    </cfRule>
    <cfRule type="cellIs" rank="0" priority="1494" equalAverage="0" operator="lessThanOrEqual" aboveAverage="0" dxfId="0" text="" percent="0" bottom="0">
      <formula>0</formula>
    </cfRule>
  </conditionalFormatting>
  <conditionalFormatting sqref="F503">
    <cfRule type="cellIs" rank="0" priority="1495" equalAverage="0" operator="greaterThan" aboveAverage="0" dxfId="10" text="" percent="0" bottom="0">
      <formula>30</formula>
    </cfRule>
  </conditionalFormatting>
  <conditionalFormatting sqref="G504">
    <cfRule type="cellIs" rank="0" priority="1496" equalAverage="0" operator="greaterThan" aboveAverage="0" dxfId="1" text="" percent="0" bottom="0">
      <formula>0</formula>
    </cfRule>
    <cfRule type="cellIs" rank="0" priority="1497" equalAverage="0" operator="lessThanOrEqual" aboveAverage="0" dxfId="0" text="" percent="0" bottom="0">
      <formula>0</formula>
    </cfRule>
  </conditionalFormatting>
  <conditionalFormatting sqref="F504">
    <cfRule type="cellIs" rank="0" priority="1498" equalAverage="0" operator="greaterThan" aboveAverage="0" dxfId="10" text="" percent="0" bottom="0">
      <formula>30</formula>
    </cfRule>
  </conditionalFormatting>
  <conditionalFormatting sqref="G505">
    <cfRule type="cellIs" rank="0" priority="1499" equalAverage="0" operator="greaterThan" aboveAverage="0" dxfId="1" text="" percent="0" bottom="0">
      <formula>0</formula>
    </cfRule>
    <cfRule type="cellIs" rank="0" priority="1500" equalAverage="0" operator="lessThanOrEqual" aboveAverage="0" dxfId="0" text="" percent="0" bottom="0">
      <formula>0</formula>
    </cfRule>
  </conditionalFormatting>
  <conditionalFormatting sqref="F505">
    <cfRule type="cellIs" rank="0" priority="1501" equalAverage="0" operator="greaterThan" aboveAverage="0" dxfId="10" text="" percent="0" bottom="0">
      <formula>30</formula>
    </cfRule>
  </conditionalFormatting>
  <conditionalFormatting sqref="G506">
    <cfRule type="cellIs" rank="0" priority="1502" equalAverage="0" operator="greaterThan" aboveAverage="0" dxfId="1" text="" percent="0" bottom="0">
      <formula>0</formula>
    </cfRule>
    <cfRule type="cellIs" rank="0" priority="1503" equalAverage="0" operator="lessThanOrEqual" aboveAverage="0" dxfId="0" text="" percent="0" bottom="0">
      <formula>0</formula>
    </cfRule>
  </conditionalFormatting>
  <conditionalFormatting sqref="F506">
    <cfRule type="cellIs" rank="0" priority="1504" equalAverage="0" operator="greaterThan" aboveAverage="0" dxfId="10" text="" percent="0" bottom="0">
      <formula>30</formula>
    </cfRule>
  </conditionalFormatting>
  <conditionalFormatting sqref="G507">
    <cfRule type="cellIs" rank="0" priority="1505" equalAverage="0" operator="greaterThan" aboveAverage="0" dxfId="1" text="" percent="0" bottom="0">
      <formula>0</formula>
    </cfRule>
    <cfRule type="cellIs" rank="0" priority="1506" equalAverage="0" operator="lessThanOrEqual" aboveAverage="0" dxfId="0" text="" percent="0" bottom="0">
      <formula>0</formula>
    </cfRule>
  </conditionalFormatting>
  <conditionalFormatting sqref="F507">
    <cfRule type="cellIs" rank="0" priority="1507" equalAverage="0" operator="greaterThan" aboveAverage="0" dxfId="10" text="" percent="0" bottom="0">
      <formula>30</formula>
    </cfRule>
  </conditionalFormatting>
  <conditionalFormatting sqref="G508">
    <cfRule type="cellIs" rank="0" priority="1508" equalAverage="0" operator="greaterThan" aboveAverage="0" dxfId="1" text="" percent="0" bottom="0">
      <formula>0</formula>
    </cfRule>
    <cfRule type="cellIs" rank="0" priority="1509" equalAverage="0" operator="lessThanOrEqual" aboveAverage="0" dxfId="0" text="" percent="0" bottom="0">
      <formula>0</formula>
    </cfRule>
  </conditionalFormatting>
  <conditionalFormatting sqref="F508">
    <cfRule type="cellIs" rank="0" priority="1510" equalAverage="0" operator="greaterThan" aboveAverage="0" dxfId="10" text="" percent="0" bottom="0">
      <formula>30</formula>
    </cfRule>
  </conditionalFormatting>
  <conditionalFormatting sqref="G509">
    <cfRule type="cellIs" rank="0" priority="1511" equalAverage="0" operator="greaterThan" aboveAverage="0" dxfId="1" text="" percent="0" bottom="0">
      <formula>0</formula>
    </cfRule>
    <cfRule type="cellIs" rank="0" priority="1512" equalAverage="0" operator="lessThanOrEqual" aboveAverage="0" dxfId="0" text="" percent="0" bottom="0">
      <formula>0</formula>
    </cfRule>
  </conditionalFormatting>
  <conditionalFormatting sqref="F509">
    <cfRule type="cellIs" rank="0" priority="1513" equalAverage="0" operator="greaterThan" aboveAverage="0" dxfId="10" text="" percent="0" bottom="0">
      <formula>30</formula>
    </cfRule>
  </conditionalFormatting>
  <conditionalFormatting sqref="G510">
    <cfRule type="cellIs" rank="0" priority="1514" equalAverage="0" operator="greaterThan" aboveAverage="0" dxfId="1" text="" percent="0" bottom="0">
      <formula>0</formula>
    </cfRule>
    <cfRule type="cellIs" rank="0" priority="1515" equalAverage="0" operator="lessThanOrEqual" aboveAverage="0" dxfId="0" text="" percent="0" bottom="0">
      <formula>0</formula>
    </cfRule>
  </conditionalFormatting>
  <conditionalFormatting sqref="F510">
    <cfRule type="cellIs" rank="0" priority="1516" equalAverage="0" operator="greaterThan" aboveAverage="0" dxfId="10" text="" percent="0" bottom="0">
      <formula>30</formula>
    </cfRule>
  </conditionalFormatting>
  <conditionalFormatting sqref="G511">
    <cfRule type="cellIs" rank="0" priority="1517" equalAverage="0" operator="greaterThan" aboveAverage="0" dxfId="1" text="" percent="0" bottom="0">
      <formula>0</formula>
    </cfRule>
    <cfRule type="cellIs" rank="0" priority="1518" equalAverage="0" operator="lessThanOrEqual" aboveAverage="0" dxfId="0" text="" percent="0" bottom="0">
      <formula>0</formula>
    </cfRule>
  </conditionalFormatting>
  <conditionalFormatting sqref="F511">
    <cfRule type="cellIs" rank="0" priority="1519" equalAverage="0" operator="greaterThan" aboveAverage="0" dxfId="10" text="" percent="0" bottom="0">
      <formula>30</formula>
    </cfRule>
  </conditionalFormatting>
  <conditionalFormatting sqref="G512">
    <cfRule type="cellIs" rank="0" priority="1520" equalAverage="0" operator="greaterThan" aboveAverage="0" dxfId="1" text="" percent="0" bottom="0">
      <formula>0</formula>
    </cfRule>
    <cfRule type="cellIs" rank="0" priority="1521" equalAverage="0" operator="lessThanOrEqual" aboveAverage="0" dxfId="0" text="" percent="0" bottom="0">
      <formula>0</formula>
    </cfRule>
  </conditionalFormatting>
  <conditionalFormatting sqref="F512">
    <cfRule type="cellIs" rank="0" priority="1522" equalAverage="0" operator="greaterThan" aboveAverage="0" dxfId="10" text="" percent="0" bottom="0">
      <formula>30</formula>
    </cfRule>
  </conditionalFormatting>
  <conditionalFormatting sqref="G513">
    <cfRule type="cellIs" rank="0" priority="1523" equalAverage="0" operator="greaterThan" aboveAverage="0" dxfId="1" text="" percent="0" bottom="0">
      <formula>0</formula>
    </cfRule>
    <cfRule type="cellIs" rank="0" priority="1524" equalAverage="0" operator="lessThanOrEqual" aboveAverage="0" dxfId="0" text="" percent="0" bottom="0">
      <formula>0</formula>
    </cfRule>
  </conditionalFormatting>
  <conditionalFormatting sqref="F513">
    <cfRule type="cellIs" rank="0" priority="1525" equalAverage="0" operator="greaterThan" aboveAverage="0" dxfId="10" text="" percent="0" bottom="0">
      <formula>30</formula>
    </cfRule>
  </conditionalFormatting>
  <conditionalFormatting sqref="G514">
    <cfRule type="cellIs" rank="0" priority="1526" equalAverage="0" operator="greaterThan" aboveAverage="0" dxfId="1" text="" percent="0" bottom="0">
      <formula>0</formula>
    </cfRule>
    <cfRule type="cellIs" rank="0" priority="1527" equalAverage="0" operator="lessThanOrEqual" aboveAverage="0" dxfId="0" text="" percent="0" bottom="0">
      <formula>0</formula>
    </cfRule>
  </conditionalFormatting>
  <conditionalFormatting sqref="F514">
    <cfRule type="cellIs" rank="0" priority="1528" equalAverage="0" operator="greaterThan" aboveAverage="0" dxfId="10" text="" percent="0" bottom="0">
      <formula>30</formula>
    </cfRule>
  </conditionalFormatting>
  <conditionalFormatting sqref="G515">
    <cfRule type="cellIs" rank="0" priority="1529" equalAverage="0" operator="greaterThan" aboveAverage="0" dxfId="1" text="" percent="0" bottom="0">
      <formula>0</formula>
    </cfRule>
    <cfRule type="cellIs" rank="0" priority="1530" equalAverage="0" operator="lessThanOrEqual" aboveAverage="0" dxfId="0" text="" percent="0" bottom="0">
      <formula>0</formula>
    </cfRule>
  </conditionalFormatting>
  <conditionalFormatting sqref="F515">
    <cfRule type="cellIs" rank="0" priority="1531" equalAverage="0" operator="greaterThan" aboveAverage="0" dxfId="10" text="" percent="0" bottom="0">
      <formula>30</formula>
    </cfRule>
  </conditionalFormatting>
  <conditionalFormatting sqref="G516">
    <cfRule type="cellIs" rank="0" priority="1532" equalAverage="0" operator="greaterThan" aboveAverage="0" dxfId="1" text="" percent="0" bottom="0">
      <formula>0</formula>
    </cfRule>
    <cfRule type="cellIs" rank="0" priority="1533" equalAverage="0" operator="lessThanOrEqual" aboveAverage="0" dxfId="0" text="" percent="0" bottom="0">
      <formula>0</formula>
    </cfRule>
  </conditionalFormatting>
  <conditionalFormatting sqref="F516">
    <cfRule type="cellIs" rank="0" priority="1534" equalAverage="0" operator="greaterThan" aboveAverage="0" dxfId="10" text="" percent="0" bottom="0">
      <formula>30</formula>
    </cfRule>
  </conditionalFormatting>
  <conditionalFormatting sqref="G517">
    <cfRule type="cellIs" rank="0" priority="1535" equalAverage="0" operator="greaterThan" aboveAverage="0" dxfId="1" text="" percent="0" bottom="0">
      <formula>0</formula>
    </cfRule>
    <cfRule type="cellIs" rank="0" priority="1536" equalAverage="0" operator="lessThanOrEqual" aboveAverage="0" dxfId="0" text="" percent="0" bottom="0">
      <formula>0</formula>
    </cfRule>
  </conditionalFormatting>
  <conditionalFormatting sqref="F517">
    <cfRule type="cellIs" rank="0" priority="1537" equalAverage="0" operator="greaterThan" aboveAverage="0" dxfId="10" text="" percent="0" bottom="0">
      <formula>30</formula>
    </cfRule>
  </conditionalFormatting>
  <conditionalFormatting sqref="G518">
    <cfRule type="cellIs" rank="0" priority="1538" equalAverage="0" operator="greaterThan" aboveAverage="0" dxfId="1" text="" percent="0" bottom="0">
      <formula>0</formula>
    </cfRule>
    <cfRule type="cellIs" rank="0" priority="1539" equalAverage="0" operator="lessThanOrEqual" aboveAverage="0" dxfId="0" text="" percent="0" bottom="0">
      <formula>0</formula>
    </cfRule>
  </conditionalFormatting>
  <conditionalFormatting sqref="F518">
    <cfRule type="cellIs" rank="0" priority="1540" equalAverage="0" operator="greaterThan" aboveAverage="0" dxfId="10" text="" percent="0" bottom="0">
      <formula>30</formula>
    </cfRule>
  </conditionalFormatting>
  <conditionalFormatting sqref="G519">
    <cfRule type="cellIs" rank="0" priority="1541" equalAverage="0" operator="greaterThan" aboveAverage="0" dxfId="1" text="" percent="0" bottom="0">
      <formula>0</formula>
    </cfRule>
    <cfRule type="cellIs" rank="0" priority="1542" equalAverage="0" operator="lessThanOrEqual" aboveAverage="0" dxfId="0" text="" percent="0" bottom="0">
      <formula>0</formula>
    </cfRule>
  </conditionalFormatting>
  <conditionalFormatting sqref="F519">
    <cfRule type="cellIs" rank="0" priority="1543" equalAverage="0" operator="greaterThan" aboveAverage="0" dxfId="10" text="" percent="0" bottom="0">
      <formula>30</formula>
    </cfRule>
  </conditionalFormatting>
  <conditionalFormatting sqref="G520">
    <cfRule type="cellIs" rank="0" priority="1544" equalAverage="0" operator="greaterThan" aboveAverage="0" dxfId="1" text="" percent="0" bottom="0">
      <formula>0</formula>
    </cfRule>
    <cfRule type="cellIs" rank="0" priority="1545" equalAverage="0" operator="lessThanOrEqual" aboveAverage="0" dxfId="0" text="" percent="0" bottom="0">
      <formula>0</formula>
    </cfRule>
  </conditionalFormatting>
  <conditionalFormatting sqref="F520">
    <cfRule type="cellIs" rank="0" priority="1546" equalAverage="0" operator="greaterThan" aboveAverage="0" dxfId="10" text="" percent="0" bottom="0">
      <formula>30</formula>
    </cfRule>
  </conditionalFormatting>
  <conditionalFormatting sqref="G521">
    <cfRule type="cellIs" rank="0" priority="1547" equalAverage="0" operator="greaterThan" aboveAverage="0" dxfId="1" text="" percent="0" bottom="0">
      <formula>0</formula>
    </cfRule>
    <cfRule type="cellIs" rank="0" priority="1548" equalAverage="0" operator="lessThanOrEqual" aboveAverage="0" dxfId="0" text="" percent="0" bottom="0">
      <formula>0</formula>
    </cfRule>
  </conditionalFormatting>
  <conditionalFormatting sqref="F521">
    <cfRule type="cellIs" rank="0" priority="1549" equalAverage="0" operator="greaterThan" aboveAverage="0" dxfId="10" text="" percent="0" bottom="0">
      <formula>30</formula>
    </cfRule>
  </conditionalFormatting>
  <conditionalFormatting sqref="G522">
    <cfRule type="cellIs" rank="0" priority="1550" equalAverage="0" operator="greaterThan" aboveAverage="0" dxfId="1" text="" percent="0" bottom="0">
      <formula>0</formula>
    </cfRule>
    <cfRule type="cellIs" rank="0" priority="1551" equalAverage="0" operator="lessThanOrEqual" aboveAverage="0" dxfId="0" text="" percent="0" bottom="0">
      <formula>0</formula>
    </cfRule>
  </conditionalFormatting>
  <conditionalFormatting sqref="F522">
    <cfRule type="cellIs" rank="0" priority="1552" equalAverage="0" operator="greaterThan" aboveAverage="0" dxfId="10" text="" percent="0" bottom="0">
      <formula>30</formula>
    </cfRule>
  </conditionalFormatting>
  <conditionalFormatting sqref="G523">
    <cfRule type="cellIs" rank="0" priority="1553" equalAverage="0" operator="greaterThan" aboveAverage="0" dxfId="1" text="" percent="0" bottom="0">
      <formula>0</formula>
    </cfRule>
    <cfRule type="cellIs" rank="0" priority="1554" equalAverage="0" operator="lessThanOrEqual" aboveAverage="0" dxfId="0" text="" percent="0" bottom="0">
      <formula>0</formula>
    </cfRule>
  </conditionalFormatting>
  <conditionalFormatting sqref="F523">
    <cfRule type="cellIs" rank="0" priority="1555" equalAverage="0" operator="greaterThan" aboveAverage="0" dxfId="10" text="" percent="0" bottom="0">
      <formula>30</formula>
    </cfRule>
  </conditionalFormatting>
  <conditionalFormatting sqref="G524">
    <cfRule type="cellIs" rank="0" priority="1556" equalAverage="0" operator="greaterThan" aboveAverage="0" dxfId="1" text="" percent="0" bottom="0">
      <formula>0</formula>
    </cfRule>
    <cfRule type="cellIs" rank="0" priority="1557" equalAverage="0" operator="lessThanOrEqual" aboveAverage="0" dxfId="0" text="" percent="0" bottom="0">
      <formula>0</formula>
    </cfRule>
  </conditionalFormatting>
  <conditionalFormatting sqref="F524">
    <cfRule type="cellIs" rank="0" priority="1558" equalAverage="0" operator="greaterThan" aboveAverage="0" dxfId="10" text="" percent="0" bottom="0">
      <formula>30</formula>
    </cfRule>
  </conditionalFormatting>
  <conditionalFormatting sqref="G525">
    <cfRule type="cellIs" rank="0" priority="1559" equalAverage="0" operator="greaterThan" aboveAverage="0" dxfId="1" text="" percent="0" bottom="0">
      <formula>0</formula>
    </cfRule>
    <cfRule type="cellIs" rank="0" priority="1560" equalAverage="0" operator="lessThanOrEqual" aboveAverage="0" dxfId="0" text="" percent="0" bottom="0">
      <formula>0</formula>
    </cfRule>
  </conditionalFormatting>
  <conditionalFormatting sqref="F525">
    <cfRule type="cellIs" rank="0" priority="1561" equalAverage="0" operator="greaterThan" aboveAverage="0" dxfId="10" text="" percent="0" bottom="0">
      <formula>30</formula>
    </cfRule>
  </conditionalFormatting>
  <conditionalFormatting sqref="G526">
    <cfRule type="cellIs" rank="0" priority="1562" equalAverage="0" operator="greaterThan" aboveAverage="0" dxfId="1" text="" percent="0" bottom="0">
      <formula>0</formula>
    </cfRule>
    <cfRule type="cellIs" rank="0" priority="1563" equalAverage="0" operator="lessThanOrEqual" aboveAverage="0" dxfId="0" text="" percent="0" bottom="0">
      <formula>0</formula>
    </cfRule>
  </conditionalFormatting>
  <conditionalFormatting sqref="F526">
    <cfRule type="cellIs" rank="0" priority="1564" equalAverage="0" operator="greaterThan" aboveAverage="0" dxfId="10" text="" percent="0" bottom="0">
      <formula>30</formula>
    </cfRule>
  </conditionalFormatting>
  <conditionalFormatting sqref="G527">
    <cfRule type="cellIs" rank="0" priority="1565" equalAverage="0" operator="greaterThan" aboveAverage="0" dxfId="1" text="" percent="0" bottom="0">
      <formula>0</formula>
    </cfRule>
    <cfRule type="cellIs" rank="0" priority="1566" equalAverage="0" operator="lessThanOrEqual" aboveAverage="0" dxfId="0" text="" percent="0" bottom="0">
      <formula>0</formula>
    </cfRule>
  </conditionalFormatting>
  <conditionalFormatting sqref="F527">
    <cfRule type="cellIs" rank="0" priority="1567" equalAverage="0" operator="greaterThan" aboveAverage="0" dxfId="10" text="" percent="0" bottom="0">
      <formula>30</formula>
    </cfRule>
  </conditionalFormatting>
  <conditionalFormatting sqref="G528">
    <cfRule type="cellIs" rank="0" priority="1568" equalAverage="0" operator="greaterThan" aboveAverage="0" dxfId="1" text="" percent="0" bottom="0">
      <formula>0</formula>
    </cfRule>
    <cfRule type="cellIs" rank="0" priority="1569" equalAverage="0" operator="lessThanOrEqual" aboveAverage="0" dxfId="0" text="" percent="0" bottom="0">
      <formula>0</formula>
    </cfRule>
  </conditionalFormatting>
  <conditionalFormatting sqref="F528">
    <cfRule type="cellIs" rank="0" priority="1570" equalAverage="0" operator="greaterThan" aboveAverage="0" dxfId="10" text="" percent="0" bottom="0">
      <formula>30</formula>
    </cfRule>
  </conditionalFormatting>
  <conditionalFormatting sqref="G529">
    <cfRule type="cellIs" rank="0" priority="1571" equalAverage="0" operator="greaterThan" aboveAverage="0" dxfId="1" text="" percent="0" bottom="0">
      <formula>0</formula>
    </cfRule>
    <cfRule type="cellIs" rank="0" priority="1572" equalAverage="0" operator="lessThanOrEqual" aboveAverage="0" dxfId="0" text="" percent="0" bottom="0">
      <formula>0</formula>
    </cfRule>
  </conditionalFormatting>
  <conditionalFormatting sqref="F529">
    <cfRule type="cellIs" rank="0" priority="1573" equalAverage="0" operator="greaterThan" aboveAverage="0" dxfId="10" text="" percent="0" bottom="0">
      <formula>30</formula>
    </cfRule>
  </conditionalFormatting>
  <conditionalFormatting sqref="G530">
    <cfRule type="cellIs" rank="0" priority="1574" equalAverage="0" operator="greaterThan" aboveAverage="0" dxfId="1" text="" percent="0" bottom="0">
      <formula>0</formula>
    </cfRule>
    <cfRule type="cellIs" rank="0" priority="1575" equalAverage="0" operator="lessThanOrEqual" aboveAverage="0" dxfId="0" text="" percent="0" bottom="0">
      <formula>0</formula>
    </cfRule>
  </conditionalFormatting>
  <conditionalFormatting sqref="F530">
    <cfRule type="cellIs" rank="0" priority="1576" equalAverage="0" operator="greaterThan" aboveAverage="0" dxfId="10" text="" percent="0" bottom="0">
      <formula>30</formula>
    </cfRule>
  </conditionalFormatting>
  <conditionalFormatting sqref="G531">
    <cfRule type="cellIs" rank="0" priority="1577" equalAverage="0" operator="greaterThan" aboveAverage="0" dxfId="1" text="" percent="0" bottom="0">
      <formula>0</formula>
    </cfRule>
    <cfRule type="cellIs" rank="0" priority="1578" equalAverage="0" operator="lessThanOrEqual" aboveAverage="0" dxfId="0" text="" percent="0" bottom="0">
      <formula>0</formula>
    </cfRule>
  </conditionalFormatting>
  <conditionalFormatting sqref="F531">
    <cfRule type="cellIs" rank="0" priority="1579" equalAverage="0" operator="greaterThan" aboveAverage="0" dxfId="10" text="" percent="0" bottom="0">
      <formula>30</formula>
    </cfRule>
  </conditionalFormatting>
  <conditionalFormatting sqref="G532">
    <cfRule type="cellIs" rank="0" priority="1580" equalAverage="0" operator="greaterThan" aboveAverage="0" dxfId="1" text="" percent="0" bottom="0">
      <formula>0</formula>
    </cfRule>
    <cfRule type="cellIs" rank="0" priority="1581" equalAverage="0" operator="lessThanOrEqual" aboveAverage="0" dxfId="0" text="" percent="0" bottom="0">
      <formula>0</formula>
    </cfRule>
  </conditionalFormatting>
  <conditionalFormatting sqref="F532">
    <cfRule type="cellIs" rank="0" priority="1582" equalAverage="0" operator="greaterThan" aboveAverage="0" dxfId="10" text="" percent="0" bottom="0">
      <formula>30</formula>
    </cfRule>
  </conditionalFormatting>
  <conditionalFormatting sqref="G533">
    <cfRule type="cellIs" rank="0" priority="1583" equalAverage="0" operator="greaterThan" aboveAverage="0" dxfId="1" text="" percent="0" bottom="0">
      <formula>0</formula>
    </cfRule>
    <cfRule type="cellIs" rank="0" priority="1584" equalAverage="0" operator="lessThanOrEqual" aboveAverage="0" dxfId="0" text="" percent="0" bottom="0">
      <formula>0</formula>
    </cfRule>
  </conditionalFormatting>
  <conditionalFormatting sqref="F533">
    <cfRule type="cellIs" rank="0" priority="1585" equalAverage="0" operator="greaterThan" aboveAverage="0" dxfId="10" text="" percent="0" bottom="0">
      <formula>30</formula>
    </cfRule>
  </conditionalFormatting>
  <conditionalFormatting sqref="G534">
    <cfRule type="cellIs" rank="0" priority="1586" equalAverage="0" operator="greaterThan" aboveAverage="0" dxfId="1" text="" percent="0" bottom="0">
      <formula>0</formula>
    </cfRule>
    <cfRule type="cellIs" rank="0" priority="1587" equalAverage="0" operator="lessThanOrEqual" aboveAverage="0" dxfId="0" text="" percent="0" bottom="0">
      <formula>0</formula>
    </cfRule>
  </conditionalFormatting>
  <conditionalFormatting sqref="F534">
    <cfRule type="cellIs" rank="0" priority="1588" equalAverage="0" operator="greaterThan" aboveAverage="0" dxfId="10" text="" percent="0" bottom="0">
      <formula>30</formula>
    </cfRule>
  </conditionalFormatting>
  <conditionalFormatting sqref="G535">
    <cfRule type="cellIs" rank="0" priority="1589" equalAverage="0" operator="greaterThan" aboveAverage="0" dxfId="1" text="" percent="0" bottom="0">
      <formula>0</formula>
    </cfRule>
    <cfRule type="cellIs" rank="0" priority="1590" equalAverage="0" operator="lessThanOrEqual" aboveAverage="0" dxfId="0" text="" percent="0" bottom="0">
      <formula>0</formula>
    </cfRule>
  </conditionalFormatting>
  <conditionalFormatting sqref="F535">
    <cfRule type="cellIs" rank="0" priority="1591" equalAverage="0" operator="greaterThan" aboveAverage="0" dxfId="10" text="" percent="0" bottom="0">
      <formula>30</formula>
    </cfRule>
  </conditionalFormatting>
  <conditionalFormatting sqref="G536">
    <cfRule type="cellIs" rank="0" priority="1592" equalAverage="0" operator="greaterThan" aboveAverage="0" dxfId="1" text="" percent="0" bottom="0">
      <formula>0</formula>
    </cfRule>
    <cfRule type="cellIs" rank="0" priority="1593" equalAverage="0" operator="lessThanOrEqual" aboveAverage="0" dxfId="0" text="" percent="0" bottom="0">
      <formula>0</formula>
    </cfRule>
  </conditionalFormatting>
  <conditionalFormatting sqref="F536">
    <cfRule type="cellIs" rank="0" priority="1594" equalAverage="0" operator="greaterThan" aboveAverage="0" dxfId="10" text="" percent="0" bottom="0">
      <formula>30</formula>
    </cfRule>
  </conditionalFormatting>
  <conditionalFormatting sqref="G537">
    <cfRule type="cellIs" rank="0" priority="1595" equalAverage="0" operator="greaterThan" aboveAverage="0" dxfId="1" text="" percent="0" bottom="0">
      <formula>0</formula>
    </cfRule>
    <cfRule type="cellIs" rank="0" priority="1596" equalAverage="0" operator="lessThanOrEqual" aboveAverage="0" dxfId="0" text="" percent="0" bottom="0">
      <formula>0</formula>
    </cfRule>
  </conditionalFormatting>
  <conditionalFormatting sqref="F537">
    <cfRule type="cellIs" rank="0" priority="1597" equalAverage="0" operator="greaterThan" aboveAverage="0" dxfId="10" text="" percent="0" bottom="0">
      <formula>30</formula>
    </cfRule>
  </conditionalFormatting>
  <conditionalFormatting sqref="G538">
    <cfRule type="cellIs" rank="0" priority="1598" equalAverage="0" operator="greaterThan" aboveAverage="0" dxfId="1" text="" percent="0" bottom="0">
      <formula>0</formula>
    </cfRule>
    <cfRule type="cellIs" rank="0" priority="1599" equalAverage="0" operator="lessThanOrEqual" aboveAverage="0" dxfId="0" text="" percent="0" bottom="0">
      <formula>0</formula>
    </cfRule>
  </conditionalFormatting>
  <conditionalFormatting sqref="F538">
    <cfRule type="cellIs" rank="0" priority="1600" equalAverage="0" operator="greaterThan" aboveAverage="0" dxfId="10" text="" percent="0" bottom="0">
      <formula>30</formula>
    </cfRule>
  </conditionalFormatting>
  <conditionalFormatting sqref="G539">
    <cfRule type="cellIs" rank="0" priority="1601" equalAverage="0" operator="greaterThan" aboveAverage="0" dxfId="1" text="" percent="0" bottom="0">
      <formula>0</formula>
    </cfRule>
    <cfRule type="cellIs" rank="0" priority="1602" equalAverage="0" operator="lessThanOrEqual" aboveAverage="0" dxfId="0" text="" percent="0" bottom="0">
      <formula>0</formula>
    </cfRule>
  </conditionalFormatting>
  <conditionalFormatting sqref="F539">
    <cfRule type="cellIs" rank="0" priority="1603" equalAverage="0" operator="greaterThan" aboveAverage="0" dxfId="10" text="" percent="0" bottom="0">
      <formula>30</formula>
    </cfRule>
  </conditionalFormatting>
  <conditionalFormatting sqref="G540">
    <cfRule type="cellIs" rank="0" priority="1604" equalAverage="0" operator="greaterThan" aboveAverage="0" dxfId="1" text="" percent="0" bottom="0">
      <formula>0</formula>
    </cfRule>
    <cfRule type="cellIs" rank="0" priority="1605" equalAverage="0" operator="lessThanOrEqual" aboveAverage="0" dxfId="0" text="" percent="0" bottom="0">
      <formula>0</formula>
    </cfRule>
  </conditionalFormatting>
  <conditionalFormatting sqref="F540">
    <cfRule type="cellIs" rank="0" priority="1606" equalAverage="0" operator="greaterThan" aboveAverage="0" dxfId="10" text="" percent="0" bottom="0">
      <formula>30</formula>
    </cfRule>
  </conditionalFormatting>
  <conditionalFormatting sqref="G541">
    <cfRule type="cellIs" rank="0" priority="1607" equalAverage="0" operator="greaterThan" aboveAverage="0" dxfId="1" text="" percent="0" bottom="0">
      <formula>0</formula>
    </cfRule>
    <cfRule type="cellIs" rank="0" priority="1608" equalAverage="0" operator="lessThanOrEqual" aboveAverage="0" dxfId="0" text="" percent="0" bottom="0">
      <formula>0</formula>
    </cfRule>
  </conditionalFormatting>
  <conditionalFormatting sqref="F541">
    <cfRule type="cellIs" rank="0" priority="1609" equalAverage="0" operator="greaterThan" aboveAverage="0" dxfId="10" text="" percent="0" bottom="0">
      <formula>30</formula>
    </cfRule>
  </conditionalFormatting>
  <conditionalFormatting sqref="G542">
    <cfRule type="cellIs" rank="0" priority="1610" equalAverage="0" operator="greaterThan" aboveAverage="0" dxfId="1" text="" percent="0" bottom="0">
      <formula>0</formula>
    </cfRule>
    <cfRule type="cellIs" rank="0" priority="1611" equalAverage="0" operator="lessThanOrEqual" aboveAverage="0" dxfId="0" text="" percent="0" bottom="0">
      <formula>0</formula>
    </cfRule>
  </conditionalFormatting>
  <conditionalFormatting sqref="F542">
    <cfRule type="cellIs" rank="0" priority="1612" equalAverage="0" operator="greaterThan" aboveAverage="0" dxfId="10" text="" percent="0" bottom="0">
      <formula>30</formula>
    </cfRule>
  </conditionalFormatting>
  <conditionalFormatting sqref="G543">
    <cfRule type="cellIs" rank="0" priority="1613" equalAverage="0" operator="greaterThan" aboveAverage="0" dxfId="1" text="" percent="0" bottom="0">
      <formula>0</formula>
    </cfRule>
    <cfRule type="cellIs" rank="0" priority="1614" equalAverage="0" operator="lessThanOrEqual" aboveAverage="0" dxfId="0" text="" percent="0" bottom="0">
      <formula>0</formula>
    </cfRule>
  </conditionalFormatting>
  <conditionalFormatting sqref="F543">
    <cfRule type="cellIs" rank="0" priority="1615" equalAverage="0" operator="greaterThan" aboveAverage="0" dxfId="10" text="" percent="0" bottom="0">
      <formula>30</formula>
    </cfRule>
  </conditionalFormatting>
  <conditionalFormatting sqref="G544">
    <cfRule type="cellIs" rank="0" priority="1616" equalAverage="0" operator="greaterThan" aboveAverage="0" dxfId="1" text="" percent="0" bottom="0">
      <formula>0</formula>
    </cfRule>
    <cfRule type="cellIs" rank="0" priority="1617" equalAverage="0" operator="lessThanOrEqual" aboveAverage="0" dxfId="0" text="" percent="0" bottom="0">
      <formula>0</formula>
    </cfRule>
  </conditionalFormatting>
  <conditionalFormatting sqref="F544">
    <cfRule type="cellIs" rank="0" priority="1618" equalAverage="0" operator="greaterThan" aboveAverage="0" dxfId="10" text="" percent="0" bottom="0">
      <formula>30</formula>
    </cfRule>
  </conditionalFormatting>
  <conditionalFormatting sqref="G545">
    <cfRule type="cellIs" rank="0" priority="1619" equalAverage="0" operator="greaterThan" aboveAverage="0" dxfId="1" text="" percent="0" bottom="0">
      <formula>0</formula>
    </cfRule>
    <cfRule type="cellIs" rank="0" priority="1620" equalAverage="0" operator="lessThanOrEqual" aboveAverage="0" dxfId="0" text="" percent="0" bottom="0">
      <formula>0</formula>
    </cfRule>
  </conditionalFormatting>
  <conditionalFormatting sqref="F545">
    <cfRule type="cellIs" rank="0" priority="1621" equalAverage="0" operator="greaterThan" aboveAverage="0" dxfId="10" text="" percent="0" bottom="0">
      <formula>30</formula>
    </cfRule>
  </conditionalFormatting>
  <conditionalFormatting sqref="G546">
    <cfRule type="cellIs" rank="0" priority="1622" equalAverage="0" operator="greaterThan" aboveAverage="0" dxfId="1" text="" percent="0" bottom="0">
      <formula>0</formula>
    </cfRule>
    <cfRule type="cellIs" rank="0" priority="1623" equalAverage="0" operator="lessThanOrEqual" aboveAverage="0" dxfId="0" text="" percent="0" bottom="0">
      <formula>0</formula>
    </cfRule>
  </conditionalFormatting>
  <conditionalFormatting sqref="F546">
    <cfRule type="cellIs" rank="0" priority="1624" equalAverage="0" operator="greaterThan" aboveAverage="0" dxfId="10" text="" percent="0" bottom="0">
      <formula>30</formula>
    </cfRule>
  </conditionalFormatting>
  <conditionalFormatting sqref="G547">
    <cfRule type="cellIs" rank="0" priority="1625" equalAverage="0" operator="greaterThan" aboveAverage="0" dxfId="1" text="" percent="0" bottom="0">
      <formula>0</formula>
    </cfRule>
    <cfRule type="cellIs" rank="0" priority="1626" equalAverage="0" operator="lessThanOrEqual" aboveAverage="0" dxfId="0" text="" percent="0" bottom="0">
      <formula>0</formula>
    </cfRule>
  </conditionalFormatting>
  <conditionalFormatting sqref="F547">
    <cfRule type="cellIs" rank="0" priority="1627" equalAverage="0" operator="greaterThan" aboveAverage="0" dxfId="10" text="" percent="0" bottom="0">
      <formula>30</formula>
    </cfRule>
  </conditionalFormatting>
  <conditionalFormatting sqref="G548">
    <cfRule type="cellIs" rank="0" priority="1628" equalAverage="0" operator="greaterThan" aboveAverage="0" dxfId="1" text="" percent="0" bottom="0">
      <formula>0</formula>
    </cfRule>
    <cfRule type="cellIs" rank="0" priority="1629" equalAverage="0" operator="lessThanOrEqual" aboveAverage="0" dxfId="0" text="" percent="0" bottom="0">
      <formula>0</formula>
    </cfRule>
  </conditionalFormatting>
  <conditionalFormatting sqref="F548">
    <cfRule type="cellIs" rank="0" priority="1630" equalAverage="0" operator="greaterThan" aboveAverage="0" dxfId="10" text="" percent="0" bottom="0">
      <formula>30</formula>
    </cfRule>
  </conditionalFormatting>
  <conditionalFormatting sqref="G549">
    <cfRule type="cellIs" rank="0" priority="1631" equalAverage="0" operator="greaterThan" aboveAverage="0" dxfId="1" text="" percent="0" bottom="0">
      <formula>0</formula>
    </cfRule>
    <cfRule type="cellIs" rank="0" priority="1632" equalAverage="0" operator="lessThanOrEqual" aboveAverage="0" dxfId="0" text="" percent="0" bottom="0">
      <formula>0</formula>
    </cfRule>
  </conditionalFormatting>
  <conditionalFormatting sqref="F549">
    <cfRule type="cellIs" rank="0" priority="1633" equalAverage="0" operator="greaterThan" aboveAverage="0" dxfId="10" text="" percent="0" bottom="0">
      <formula>30</formula>
    </cfRule>
  </conditionalFormatting>
  <conditionalFormatting sqref="G550">
    <cfRule type="cellIs" rank="0" priority="1634" equalAverage="0" operator="greaterThan" aboveAverage="0" dxfId="1" text="" percent="0" bottom="0">
      <formula>0</formula>
    </cfRule>
    <cfRule type="cellIs" rank="0" priority="1635" equalAverage="0" operator="lessThanOrEqual" aboveAverage="0" dxfId="0" text="" percent="0" bottom="0">
      <formula>0</formula>
    </cfRule>
  </conditionalFormatting>
  <conditionalFormatting sqref="F550">
    <cfRule type="cellIs" rank="0" priority="1636" equalAverage="0" operator="greaterThan" aboveAverage="0" dxfId="10" text="" percent="0" bottom="0">
      <formula>30</formula>
    </cfRule>
  </conditionalFormatting>
  <conditionalFormatting sqref="G551">
    <cfRule type="cellIs" rank="0" priority="1637" equalAverage="0" operator="greaterThan" aboveAverage="0" dxfId="1" text="" percent="0" bottom="0">
      <formula>0</formula>
    </cfRule>
    <cfRule type="cellIs" rank="0" priority="1638" equalAverage="0" operator="lessThanOrEqual" aboveAverage="0" dxfId="0" text="" percent="0" bottom="0">
      <formula>0</formula>
    </cfRule>
  </conditionalFormatting>
  <conditionalFormatting sqref="F551">
    <cfRule type="cellIs" rank="0" priority="1639" equalAverage="0" operator="greaterThan" aboveAverage="0" dxfId="10" text="" percent="0" bottom="0">
      <formula>30</formula>
    </cfRule>
  </conditionalFormatting>
  <conditionalFormatting sqref="G552">
    <cfRule type="cellIs" rank="0" priority="1640" equalAverage="0" operator="greaterThan" aboveAverage="0" dxfId="1" text="" percent="0" bottom="0">
      <formula>0</formula>
    </cfRule>
    <cfRule type="cellIs" rank="0" priority="1641" equalAverage="0" operator="lessThanOrEqual" aboveAverage="0" dxfId="0" text="" percent="0" bottom="0">
      <formula>0</formula>
    </cfRule>
  </conditionalFormatting>
  <conditionalFormatting sqref="F552">
    <cfRule type="cellIs" rank="0" priority="1642" equalAverage="0" operator="greaterThan" aboveAverage="0" dxfId="10" text="" percent="0" bottom="0">
      <formula>30</formula>
    </cfRule>
  </conditionalFormatting>
  <conditionalFormatting sqref="G553">
    <cfRule type="cellIs" rank="0" priority="1643" equalAverage="0" operator="greaterThan" aboveAverage="0" dxfId="1" text="" percent="0" bottom="0">
      <formula>0</formula>
    </cfRule>
    <cfRule type="cellIs" rank="0" priority="1644" equalAverage="0" operator="lessThanOrEqual" aboveAverage="0" dxfId="0" text="" percent="0" bottom="0">
      <formula>0</formula>
    </cfRule>
  </conditionalFormatting>
  <conditionalFormatting sqref="F553">
    <cfRule type="cellIs" rank="0" priority="1645" equalAverage="0" operator="greaterThan" aboveAverage="0" dxfId="10" text="" percent="0" bottom="0">
      <formula>30</formula>
    </cfRule>
  </conditionalFormatting>
  <conditionalFormatting sqref="G554">
    <cfRule type="cellIs" rank="0" priority="1646" equalAverage="0" operator="greaterThan" aboveAverage="0" dxfId="1" text="" percent="0" bottom="0">
      <formula>0</formula>
    </cfRule>
    <cfRule type="cellIs" rank="0" priority="1647" equalAverage="0" operator="lessThanOrEqual" aboveAverage="0" dxfId="0" text="" percent="0" bottom="0">
      <formula>0</formula>
    </cfRule>
  </conditionalFormatting>
  <conditionalFormatting sqref="F554">
    <cfRule type="cellIs" rank="0" priority="1648" equalAverage="0" operator="greaterThan" aboveAverage="0" dxfId="10" text="" percent="0" bottom="0">
      <formula>30</formula>
    </cfRule>
  </conditionalFormatting>
  <conditionalFormatting sqref="G555">
    <cfRule type="cellIs" rank="0" priority="1649" equalAverage="0" operator="greaterThan" aboveAverage="0" dxfId="1" text="" percent="0" bottom="0">
      <formula>0</formula>
    </cfRule>
    <cfRule type="cellIs" rank="0" priority="1650" equalAverage="0" operator="lessThanOrEqual" aboveAverage="0" dxfId="0" text="" percent="0" bottom="0">
      <formula>0</formula>
    </cfRule>
  </conditionalFormatting>
  <conditionalFormatting sqref="F555">
    <cfRule type="cellIs" rank="0" priority="1651" equalAverage="0" operator="greaterThan" aboveAverage="0" dxfId="10" text="" percent="0" bottom="0">
      <formula>30</formula>
    </cfRule>
  </conditionalFormatting>
  <conditionalFormatting sqref="G556">
    <cfRule type="cellIs" rank="0" priority="1652" equalAverage="0" operator="greaterThan" aboveAverage="0" dxfId="1" text="" percent="0" bottom="0">
      <formula>0</formula>
    </cfRule>
    <cfRule type="cellIs" rank="0" priority="1653" equalAverage="0" operator="lessThanOrEqual" aboveAverage="0" dxfId="0" text="" percent="0" bottom="0">
      <formula>0</formula>
    </cfRule>
  </conditionalFormatting>
  <conditionalFormatting sqref="F556">
    <cfRule type="cellIs" rank="0" priority="1654" equalAverage="0" operator="greaterThan" aboveAverage="0" dxfId="10" text="" percent="0" bottom="0">
      <formula>30</formula>
    </cfRule>
  </conditionalFormatting>
  <conditionalFormatting sqref="G557">
    <cfRule type="cellIs" rank="0" priority="1655" equalAverage="0" operator="greaterThan" aboveAverage="0" dxfId="1" text="" percent="0" bottom="0">
      <formula>0</formula>
    </cfRule>
    <cfRule type="cellIs" rank="0" priority="1656" equalAverage="0" operator="lessThanOrEqual" aboveAverage="0" dxfId="0" text="" percent="0" bottom="0">
      <formula>0</formula>
    </cfRule>
  </conditionalFormatting>
  <conditionalFormatting sqref="F557">
    <cfRule type="cellIs" rank="0" priority="1657" equalAverage="0" operator="greaterThan" aboveAverage="0" dxfId="10" text="" percent="0" bottom="0">
      <formula>30</formula>
    </cfRule>
  </conditionalFormatting>
  <conditionalFormatting sqref="G558">
    <cfRule type="cellIs" rank="0" priority="1658" equalAverage="0" operator="greaterThan" aboveAverage="0" dxfId="1" text="" percent="0" bottom="0">
      <formula>0</formula>
    </cfRule>
    <cfRule type="cellIs" rank="0" priority="1659" equalAverage="0" operator="lessThanOrEqual" aboveAverage="0" dxfId="0" text="" percent="0" bottom="0">
      <formula>0</formula>
    </cfRule>
  </conditionalFormatting>
  <conditionalFormatting sqref="F558">
    <cfRule type="cellIs" rank="0" priority="1660" equalAverage="0" operator="greaterThan" aboveAverage="0" dxfId="10" text="" percent="0" bottom="0">
      <formula>30</formula>
    </cfRule>
  </conditionalFormatting>
  <conditionalFormatting sqref="G559">
    <cfRule type="cellIs" rank="0" priority="1661" equalAverage="0" operator="greaterThan" aboveAverage="0" dxfId="1" text="" percent="0" bottom="0">
      <formula>0</formula>
    </cfRule>
    <cfRule type="cellIs" rank="0" priority="1662" equalAverage="0" operator="lessThanOrEqual" aboveAverage="0" dxfId="0" text="" percent="0" bottom="0">
      <formula>0</formula>
    </cfRule>
  </conditionalFormatting>
  <conditionalFormatting sqref="F559">
    <cfRule type="cellIs" rank="0" priority="1663" equalAverage="0" operator="greaterThan" aboveAverage="0" dxfId="10" text="" percent="0" bottom="0">
      <formula>30</formula>
    </cfRule>
  </conditionalFormatting>
  <conditionalFormatting sqref="G560">
    <cfRule type="cellIs" rank="0" priority="1664" equalAverage="0" operator="greaterThan" aboveAverage="0" dxfId="1" text="" percent="0" bottom="0">
      <formula>0</formula>
    </cfRule>
    <cfRule type="cellIs" rank="0" priority="1665" equalAverage="0" operator="lessThanOrEqual" aboveAverage="0" dxfId="0" text="" percent="0" bottom="0">
      <formula>0</formula>
    </cfRule>
  </conditionalFormatting>
  <conditionalFormatting sqref="F560">
    <cfRule type="cellIs" rank="0" priority="1666" equalAverage="0" operator="greaterThan" aboveAverage="0" dxfId="10" text="" percent="0" bottom="0">
      <formula>30</formula>
    </cfRule>
  </conditionalFormatting>
  <conditionalFormatting sqref="G561">
    <cfRule type="cellIs" rank="0" priority="1667" equalAverage="0" operator="greaterThan" aboveAverage="0" dxfId="1" text="" percent="0" bottom="0">
      <formula>0</formula>
    </cfRule>
    <cfRule type="cellIs" rank="0" priority="1668" equalAverage="0" operator="lessThanOrEqual" aboveAverage="0" dxfId="0" text="" percent="0" bottom="0">
      <formula>0</formula>
    </cfRule>
  </conditionalFormatting>
  <conditionalFormatting sqref="F561">
    <cfRule type="cellIs" rank="0" priority="1669" equalAverage="0" operator="greaterThan" aboveAverage="0" dxfId="10" text="" percent="0" bottom="0">
      <formula>30</formula>
    </cfRule>
  </conditionalFormatting>
  <conditionalFormatting sqref="G562">
    <cfRule type="cellIs" rank="0" priority="1670" equalAverage="0" operator="greaterThan" aboveAverage="0" dxfId="1" text="" percent="0" bottom="0">
      <formula>0</formula>
    </cfRule>
    <cfRule type="cellIs" rank="0" priority="1671" equalAverage="0" operator="lessThanOrEqual" aboveAverage="0" dxfId="0" text="" percent="0" bottom="0">
      <formula>0</formula>
    </cfRule>
  </conditionalFormatting>
  <conditionalFormatting sqref="F562">
    <cfRule type="cellIs" rank="0" priority="1672" equalAverage="0" operator="greaterThan" aboveAverage="0" dxfId="10" text="" percent="0" bottom="0">
      <formula>30</formula>
    </cfRule>
  </conditionalFormatting>
  <conditionalFormatting sqref="G563">
    <cfRule type="cellIs" rank="0" priority="1673" equalAverage="0" operator="greaterThan" aboveAverage="0" dxfId="1" text="" percent="0" bottom="0">
      <formula>0</formula>
    </cfRule>
    <cfRule type="cellIs" rank="0" priority="1674" equalAverage="0" operator="lessThanOrEqual" aboveAverage="0" dxfId="0" text="" percent="0" bottom="0">
      <formula>0</formula>
    </cfRule>
  </conditionalFormatting>
  <conditionalFormatting sqref="F563">
    <cfRule type="cellIs" rank="0" priority="1675" equalAverage="0" operator="greaterThan" aboveAverage="0" dxfId="10" text="" percent="0" bottom="0">
      <formula>30</formula>
    </cfRule>
  </conditionalFormatting>
  <conditionalFormatting sqref="G564">
    <cfRule type="cellIs" rank="0" priority="1676" equalAverage="0" operator="greaterThan" aboveAverage="0" dxfId="1" text="" percent="0" bottom="0">
      <formula>0</formula>
    </cfRule>
    <cfRule type="cellIs" rank="0" priority="1677" equalAverage="0" operator="lessThanOrEqual" aboveAverage="0" dxfId="0" text="" percent="0" bottom="0">
      <formula>0</formula>
    </cfRule>
  </conditionalFormatting>
  <conditionalFormatting sqref="F564">
    <cfRule type="cellIs" rank="0" priority="1678" equalAverage="0" operator="greaterThan" aboveAverage="0" dxfId="10" text="" percent="0" bottom="0">
      <formula>30</formula>
    </cfRule>
  </conditionalFormatting>
  <conditionalFormatting sqref="G565">
    <cfRule type="cellIs" rank="0" priority="1679" equalAverage="0" operator="greaterThan" aboveAverage="0" dxfId="1" text="" percent="0" bottom="0">
      <formula>0</formula>
    </cfRule>
    <cfRule type="cellIs" rank="0" priority="1680" equalAverage="0" operator="lessThanOrEqual" aboveAverage="0" dxfId="0" text="" percent="0" bottom="0">
      <formula>0</formula>
    </cfRule>
  </conditionalFormatting>
  <conditionalFormatting sqref="F565">
    <cfRule type="cellIs" rank="0" priority="1681" equalAverage="0" operator="greaterThan" aboveAverage="0" dxfId="10" text="" percent="0" bottom="0">
      <formula>30</formula>
    </cfRule>
  </conditionalFormatting>
  <conditionalFormatting sqref="G566">
    <cfRule type="cellIs" rank="0" priority="1682" equalAverage="0" operator="greaterThan" aboveAverage="0" dxfId="1" text="" percent="0" bottom="0">
      <formula>0</formula>
    </cfRule>
    <cfRule type="cellIs" rank="0" priority="1683" equalAverage="0" operator="lessThanOrEqual" aboveAverage="0" dxfId="0" text="" percent="0" bottom="0">
      <formula>0</formula>
    </cfRule>
  </conditionalFormatting>
  <conditionalFormatting sqref="F566">
    <cfRule type="cellIs" rank="0" priority="1684" equalAverage="0" operator="greaterThan" aboveAverage="0" dxfId="10" text="" percent="0" bottom="0">
      <formula>30</formula>
    </cfRule>
  </conditionalFormatting>
  <conditionalFormatting sqref="G567">
    <cfRule type="cellIs" rank="0" priority="1685" equalAverage="0" operator="greaterThan" aboveAverage="0" dxfId="1" text="" percent="0" bottom="0">
      <formula>0</formula>
    </cfRule>
    <cfRule type="cellIs" rank="0" priority="1686" equalAverage="0" operator="lessThanOrEqual" aboveAverage="0" dxfId="0" text="" percent="0" bottom="0">
      <formula>0</formula>
    </cfRule>
  </conditionalFormatting>
  <conditionalFormatting sqref="F567">
    <cfRule type="cellIs" rank="0" priority="1687" equalAverage="0" operator="greaterThan" aboveAverage="0" dxfId="10" text="" percent="0" bottom="0">
      <formula>30</formula>
    </cfRule>
  </conditionalFormatting>
  <conditionalFormatting sqref="G568">
    <cfRule type="cellIs" rank="0" priority="1688" equalAverage="0" operator="greaterThan" aboveAverage="0" dxfId="1" text="" percent="0" bottom="0">
      <formula>0</formula>
    </cfRule>
    <cfRule type="cellIs" rank="0" priority="1689" equalAverage="0" operator="lessThanOrEqual" aboveAverage="0" dxfId="0" text="" percent="0" bottom="0">
      <formula>0</formula>
    </cfRule>
  </conditionalFormatting>
  <conditionalFormatting sqref="F568">
    <cfRule type="cellIs" rank="0" priority="1690" equalAverage="0" operator="greaterThan" aboveAverage="0" dxfId="10" text="" percent="0" bottom="0">
      <formula>30</formula>
    </cfRule>
  </conditionalFormatting>
  <conditionalFormatting sqref="G569">
    <cfRule type="cellIs" rank="0" priority="1691" equalAverage="0" operator="greaterThan" aboveAverage="0" dxfId="1" text="" percent="0" bottom="0">
      <formula>0</formula>
    </cfRule>
    <cfRule type="cellIs" rank="0" priority="1692" equalAverage="0" operator="lessThanOrEqual" aboveAverage="0" dxfId="0" text="" percent="0" bottom="0">
      <formula>0</formula>
    </cfRule>
  </conditionalFormatting>
  <conditionalFormatting sqref="F569">
    <cfRule type="cellIs" rank="0" priority="1693" equalAverage="0" operator="greaterThan" aboveAverage="0" dxfId="10" text="" percent="0" bottom="0">
      <formula>30</formula>
    </cfRule>
  </conditionalFormatting>
  <conditionalFormatting sqref="G570">
    <cfRule type="cellIs" rank="0" priority="1694" equalAverage="0" operator="greaterThan" aboveAverage="0" dxfId="1" text="" percent="0" bottom="0">
      <formula>0</formula>
    </cfRule>
    <cfRule type="cellIs" rank="0" priority="1695" equalAverage="0" operator="lessThanOrEqual" aboveAverage="0" dxfId="0" text="" percent="0" bottom="0">
      <formula>0</formula>
    </cfRule>
  </conditionalFormatting>
  <conditionalFormatting sqref="F570">
    <cfRule type="cellIs" rank="0" priority="1696" equalAverage="0" operator="greaterThan" aboveAverage="0" dxfId="10" text="" percent="0" bottom="0">
      <formula>30</formula>
    </cfRule>
  </conditionalFormatting>
  <conditionalFormatting sqref="G571">
    <cfRule type="cellIs" rank="0" priority="1697" equalAverage="0" operator="greaterThan" aboveAverage="0" dxfId="1" text="" percent="0" bottom="0">
      <formula>0</formula>
    </cfRule>
    <cfRule type="cellIs" rank="0" priority="1698" equalAverage="0" operator="lessThanOrEqual" aboveAverage="0" dxfId="0" text="" percent="0" bottom="0">
      <formula>0</formula>
    </cfRule>
  </conditionalFormatting>
  <conditionalFormatting sqref="F571">
    <cfRule type="cellIs" rank="0" priority="1699" equalAverage="0" operator="greaterThan" aboveAverage="0" dxfId="10" text="" percent="0" bottom="0">
      <formula>30</formula>
    </cfRule>
  </conditionalFormatting>
  <conditionalFormatting sqref="G572">
    <cfRule type="cellIs" rank="0" priority="1700" equalAverage="0" operator="greaterThan" aboveAverage="0" dxfId="1" text="" percent="0" bottom="0">
      <formula>0</formula>
    </cfRule>
    <cfRule type="cellIs" rank="0" priority="1701" equalAverage="0" operator="lessThanOrEqual" aboveAverage="0" dxfId="0" text="" percent="0" bottom="0">
      <formula>0</formula>
    </cfRule>
  </conditionalFormatting>
  <conditionalFormatting sqref="F572">
    <cfRule type="cellIs" rank="0" priority="1702" equalAverage="0" operator="greaterThan" aboveAverage="0" dxfId="10" text="" percent="0" bottom="0">
      <formula>30</formula>
    </cfRule>
  </conditionalFormatting>
  <conditionalFormatting sqref="G573">
    <cfRule type="cellIs" rank="0" priority="1703" equalAverage="0" operator="greaterThan" aboveAverage="0" dxfId="1" text="" percent="0" bottom="0">
      <formula>0</formula>
    </cfRule>
    <cfRule type="cellIs" rank="0" priority="1704" equalAverage="0" operator="lessThanOrEqual" aboveAverage="0" dxfId="0" text="" percent="0" bottom="0">
      <formula>0</formula>
    </cfRule>
  </conditionalFormatting>
  <conditionalFormatting sqref="F573">
    <cfRule type="cellIs" rank="0" priority="1705" equalAverage="0" operator="greaterThan" aboveAverage="0" dxfId="10" text="" percent="0" bottom="0">
      <formula>30</formula>
    </cfRule>
  </conditionalFormatting>
  <conditionalFormatting sqref="G574">
    <cfRule type="cellIs" rank="0" priority="1706" equalAverage="0" operator="greaterThan" aboveAverage="0" dxfId="1" text="" percent="0" bottom="0">
      <formula>0</formula>
    </cfRule>
    <cfRule type="cellIs" rank="0" priority="1707" equalAverage="0" operator="lessThanOrEqual" aboveAverage="0" dxfId="0" text="" percent="0" bottom="0">
      <formula>0</formula>
    </cfRule>
  </conditionalFormatting>
  <conditionalFormatting sqref="F574">
    <cfRule type="cellIs" rank="0" priority="1708" equalAverage="0" operator="greaterThan" aboveAverage="0" dxfId="10" text="" percent="0" bottom="0">
      <formula>30</formula>
    </cfRule>
  </conditionalFormatting>
  <conditionalFormatting sqref="G575">
    <cfRule type="cellIs" rank="0" priority="1709" equalAverage="0" operator="greaterThan" aboveAverage="0" dxfId="1" text="" percent="0" bottom="0">
      <formula>0</formula>
    </cfRule>
    <cfRule type="cellIs" rank="0" priority="1710" equalAverage="0" operator="lessThanOrEqual" aboveAverage="0" dxfId="0" text="" percent="0" bottom="0">
      <formula>0</formula>
    </cfRule>
  </conditionalFormatting>
  <conditionalFormatting sqref="F575">
    <cfRule type="cellIs" rank="0" priority="1711" equalAverage="0" operator="greaterThan" aboveAverage="0" dxfId="10" text="" percent="0" bottom="0">
      <formula>30</formula>
    </cfRule>
  </conditionalFormatting>
  <conditionalFormatting sqref="G576">
    <cfRule type="cellIs" rank="0" priority="1712" equalAverage="0" operator="greaterThan" aboveAverage="0" dxfId="1" text="" percent="0" bottom="0">
      <formula>0</formula>
    </cfRule>
    <cfRule type="cellIs" rank="0" priority="1713" equalAverage="0" operator="lessThanOrEqual" aboveAverage="0" dxfId="0" text="" percent="0" bottom="0">
      <formula>0</formula>
    </cfRule>
  </conditionalFormatting>
  <conditionalFormatting sqref="F576">
    <cfRule type="cellIs" rank="0" priority="1714" equalAverage="0" operator="greaterThan" aboveAverage="0" dxfId="10" text="" percent="0" bottom="0">
      <formula>30</formula>
    </cfRule>
  </conditionalFormatting>
  <conditionalFormatting sqref="G577">
    <cfRule type="cellIs" rank="0" priority="1715" equalAverage="0" operator="greaterThan" aboveAverage="0" dxfId="1" text="" percent="0" bottom="0">
      <formula>0</formula>
    </cfRule>
    <cfRule type="cellIs" rank="0" priority="1716" equalAverage="0" operator="lessThanOrEqual" aboveAverage="0" dxfId="0" text="" percent="0" bottom="0">
      <formula>0</formula>
    </cfRule>
  </conditionalFormatting>
  <conditionalFormatting sqref="F577">
    <cfRule type="cellIs" rank="0" priority="1717" equalAverage="0" operator="greaterThan" aboveAverage="0" dxfId="10" text="" percent="0" bottom="0">
      <formula>30</formula>
    </cfRule>
  </conditionalFormatting>
  <conditionalFormatting sqref="G578">
    <cfRule type="cellIs" rank="0" priority="1718" equalAverage="0" operator="greaterThan" aboveAverage="0" dxfId="1" text="" percent="0" bottom="0">
      <formula>0</formula>
    </cfRule>
    <cfRule type="cellIs" rank="0" priority="1719" equalAverage="0" operator="lessThanOrEqual" aboveAverage="0" dxfId="0" text="" percent="0" bottom="0">
      <formula>0</formula>
    </cfRule>
  </conditionalFormatting>
  <conditionalFormatting sqref="F578">
    <cfRule type="cellIs" rank="0" priority="1720" equalAverage="0" operator="greaterThan" aboveAverage="0" dxfId="10" text="" percent="0" bottom="0">
      <formula>30</formula>
    </cfRule>
  </conditionalFormatting>
  <conditionalFormatting sqref="G579">
    <cfRule type="cellIs" rank="0" priority="1721" equalAverage="0" operator="greaterThan" aboveAverage="0" dxfId="1" text="" percent="0" bottom="0">
      <formula>0</formula>
    </cfRule>
    <cfRule type="cellIs" rank="0" priority="1722" equalAverage="0" operator="lessThanOrEqual" aboveAverage="0" dxfId="0" text="" percent="0" bottom="0">
      <formula>0</formula>
    </cfRule>
  </conditionalFormatting>
  <conditionalFormatting sqref="F579">
    <cfRule type="cellIs" rank="0" priority="1723" equalAverage="0" operator="greaterThan" aboveAverage="0" dxfId="10" text="" percent="0" bottom="0">
      <formula>30</formula>
    </cfRule>
  </conditionalFormatting>
  <conditionalFormatting sqref="G580">
    <cfRule type="cellIs" rank="0" priority="1724" equalAverage="0" operator="greaterThan" aboveAverage="0" dxfId="1" text="" percent="0" bottom="0">
      <formula>0</formula>
    </cfRule>
    <cfRule type="cellIs" rank="0" priority="1725" equalAverage="0" operator="lessThanOrEqual" aboveAverage="0" dxfId="0" text="" percent="0" bottom="0">
      <formula>0</formula>
    </cfRule>
  </conditionalFormatting>
  <conditionalFormatting sqref="F580">
    <cfRule type="cellIs" rank="0" priority="1726" equalAverage="0" operator="greaterThan" aboveAverage="0" dxfId="10" text="" percent="0" bottom="0">
      <formula>30</formula>
    </cfRule>
  </conditionalFormatting>
  <conditionalFormatting sqref="G581">
    <cfRule type="cellIs" rank="0" priority="1727" equalAverage="0" operator="greaterThan" aboveAverage="0" dxfId="1" text="" percent="0" bottom="0">
      <formula>0</formula>
    </cfRule>
    <cfRule type="cellIs" rank="0" priority="1728" equalAverage="0" operator="lessThanOrEqual" aboveAverage="0" dxfId="0" text="" percent="0" bottom="0">
      <formula>0</formula>
    </cfRule>
  </conditionalFormatting>
  <conditionalFormatting sqref="F581">
    <cfRule type="cellIs" rank="0" priority="1729" equalAverage="0" operator="greaterThan" aboveAverage="0" dxfId="10" text="" percent="0" bottom="0">
      <formula>30</formula>
    </cfRule>
  </conditionalFormatting>
  <conditionalFormatting sqref="G582">
    <cfRule type="cellIs" rank="0" priority="1730" equalAverage="0" operator="greaterThan" aboveAverage="0" dxfId="1" text="" percent="0" bottom="0">
      <formula>0</formula>
    </cfRule>
    <cfRule type="cellIs" rank="0" priority="1731" equalAverage="0" operator="lessThanOrEqual" aboveAverage="0" dxfId="0" text="" percent="0" bottom="0">
      <formula>0</formula>
    </cfRule>
  </conditionalFormatting>
  <conditionalFormatting sqref="F582">
    <cfRule type="cellIs" rank="0" priority="1732" equalAverage="0" operator="greaterThan" aboveAverage="0" dxfId="10" text="" percent="0" bottom="0">
      <formula>30</formula>
    </cfRule>
  </conditionalFormatting>
  <conditionalFormatting sqref="G583">
    <cfRule type="cellIs" rank="0" priority="1733" equalAverage="0" operator="greaterThan" aboveAverage="0" dxfId="1" text="" percent="0" bottom="0">
      <formula>0</formula>
    </cfRule>
    <cfRule type="cellIs" rank="0" priority="1734" equalAverage="0" operator="lessThanOrEqual" aboveAverage="0" dxfId="0" text="" percent="0" bottom="0">
      <formula>0</formula>
    </cfRule>
  </conditionalFormatting>
  <conditionalFormatting sqref="F583">
    <cfRule type="cellIs" rank="0" priority="1735" equalAverage="0" operator="greaterThan" aboveAverage="0" dxfId="10" text="" percent="0" bottom="0">
      <formula>30</formula>
    </cfRule>
  </conditionalFormatting>
  <conditionalFormatting sqref="G584">
    <cfRule type="cellIs" rank="0" priority="1736" equalAverage="0" operator="greaterThan" aboveAverage="0" dxfId="1" text="" percent="0" bottom="0">
      <formula>0</formula>
    </cfRule>
    <cfRule type="cellIs" rank="0" priority="1737" equalAverage="0" operator="lessThanOrEqual" aboveAverage="0" dxfId="0" text="" percent="0" bottom="0">
      <formula>0</formula>
    </cfRule>
  </conditionalFormatting>
  <conditionalFormatting sqref="F584">
    <cfRule type="cellIs" rank="0" priority="1738" equalAverage="0" operator="greaterThan" aboveAverage="0" dxfId="10" text="" percent="0" bottom="0">
      <formula>30</formula>
    </cfRule>
  </conditionalFormatting>
  <conditionalFormatting sqref="G585">
    <cfRule type="cellIs" rank="0" priority="1739" equalAverage="0" operator="greaterThan" aboveAverage="0" dxfId="1" text="" percent="0" bottom="0">
      <formula>0</formula>
    </cfRule>
    <cfRule type="cellIs" rank="0" priority="1740" equalAverage="0" operator="lessThanOrEqual" aboveAverage="0" dxfId="0" text="" percent="0" bottom="0">
      <formula>0</formula>
    </cfRule>
  </conditionalFormatting>
  <conditionalFormatting sqref="F585">
    <cfRule type="cellIs" rank="0" priority="1741" equalAverage="0" operator="greaterThan" aboveAverage="0" dxfId="10" text="" percent="0" bottom="0">
      <formula>30</formula>
    </cfRule>
  </conditionalFormatting>
  <conditionalFormatting sqref="G586">
    <cfRule type="cellIs" rank="0" priority="1742" equalAverage="0" operator="greaterThan" aboveAverage="0" dxfId="1" text="" percent="0" bottom="0">
      <formula>0</formula>
    </cfRule>
    <cfRule type="cellIs" rank="0" priority="1743" equalAverage="0" operator="lessThanOrEqual" aboveAverage="0" dxfId="0" text="" percent="0" bottom="0">
      <formula>0</formula>
    </cfRule>
  </conditionalFormatting>
  <conditionalFormatting sqref="F586">
    <cfRule type="cellIs" rank="0" priority="1744" equalAverage="0" operator="greaterThan" aboveAverage="0" dxfId="10" text="" percent="0" bottom="0">
      <formula>30</formula>
    </cfRule>
  </conditionalFormatting>
  <conditionalFormatting sqref="G587">
    <cfRule type="cellIs" rank="0" priority="1745" equalAverage="0" operator="greaterThan" aboveAverage="0" dxfId="1" text="" percent="0" bottom="0">
      <formula>0</formula>
    </cfRule>
    <cfRule type="cellIs" rank="0" priority="1746" equalAverage="0" operator="lessThanOrEqual" aboveAverage="0" dxfId="0" text="" percent="0" bottom="0">
      <formula>0</formula>
    </cfRule>
  </conditionalFormatting>
  <conditionalFormatting sqref="F587">
    <cfRule type="cellIs" rank="0" priority="1747" equalAverage="0" operator="greaterThan" aboveAverage="0" dxfId="10" text="" percent="0" bottom="0">
      <formula>30</formula>
    </cfRule>
  </conditionalFormatting>
  <conditionalFormatting sqref="G588">
    <cfRule type="cellIs" rank="0" priority="1748" equalAverage="0" operator="greaterThan" aboveAverage="0" dxfId="1" text="" percent="0" bottom="0">
      <formula>0</formula>
    </cfRule>
    <cfRule type="cellIs" rank="0" priority="1749" equalAverage="0" operator="lessThanOrEqual" aboveAverage="0" dxfId="0" text="" percent="0" bottom="0">
      <formula>0</formula>
    </cfRule>
  </conditionalFormatting>
  <conditionalFormatting sqref="F588">
    <cfRule type="cellIs" rank="0" priority="1750" equalAverage="0" operator="greaterThan" aboveAverage="0" dxfId="10" text="" percent="0" bottom="0">
      <formula>30</formula>
    </cfRule>
  </conditionalFormatting>
  <conditionalFormatting sqref="G589">
    <cfRule type="cellIs" rank="0" priority="1751" equalAverage="0" operator="greaterThan" aboveAverage="0" dxfId="1" text="" percent="0" bottom="0">
      <formula>0</formula>
    </cfRule>
    <cfRule type="cellIs" rank="0" priority="1752" equalAverage="0" operator="lessThanOrEqual" aboveAverage="0" dxfId="0" text="" percent="0" bottom="0">
      <formula>0</formula>
    </cfRule>
  </conditionalFormatting>
  <conditionalFormatting sqref="F589">
    <cfRule type="cellIs" rank="0" priority="1753" equalAverage="0" operator="greaterThan" aboveAverage="0" dxfId="10" text="" percent="0" bottom="0">
      <formula>30</formula>
    </cfRule>
  </conditionalFormatting>
  <conditionalFormatting sqref="G590">
    <cfRule type="cellIs" rank="0" priority="1754" equalAverage="0" operator="greaterThan" aboveAverage="0" dxfId="1" text="" percent="0" bottom="0">
      <formula>0</formula>
    </cfRule>
    <cfRule type="cellIs" rank="0" priority="1755" equalAverage="0" operator="lessThanOrEqual" aboveAverage="0" dxfId="0" text="" percent="0" bottom="0">
      <formula>0</formula>
    </cfRule>
  </conditionalFormatting>
  <conditionalFormatting sqref="F590">
    <cfRule type="cellIs" rank="0" priority="1756" equalAverage="0" operator="greaterThan" aboveAverage="0" dxfId="10" text="" percent="0" bottom="0">
      <formula>30</formula>
    </cfRule>
  </conditionalFormatting>
  <conditionalFormatting sqref="G591">
    <cfRule type="cellIs" rank="0" priority="1757" equalAverage="0" operator="greaterThan" aboveAverage="0" dxfId="1" text="" percent="0" bottom="0">
      <formula>0</formula>
    </cfRule>
    <cfRule type="cellIs" rank="0" priority="1758" equalAverage="0" operator="lessThanOrEqual" aboveAverage="0" dxfId="0" text="" percent="0" bottom="0">
      <formula>0</formula>
    </cfRule>
  </conditionalFormatting>
  <conditionalFormatting sqref="F591">
    <cfRule type="cellIs" rank="0" priority="1759" equalAverage="0" operator="greaterThan" aboveAverage="0" dxfId="10" text="" percent="0" bottom="0">
      <formula>30</formula>
    </cfRule>
  </conditionalFormatting>
  <conditionalFormatting sqref="G592">
    <cfRule type="cellIs" rank="0" priority="1760" equalAverage="0" operator="greaterThan" aboveAverage="0" dxfId="1" text="" percent="0" bottom="0">
      <formula>0</formula>
    </cfRule>
    <cfRule type="cellIs" rank="0" priority="1761" equalAverage="0" operator="lessThanOrEqual" aboveAverage="0" dxfId="0" text="" percent="0" bottom="0">
      <formula>0</formula>
    </cfRule>
  </conditionalFormatting>
  <conditionalFormatting sqref="F592">
    <cfRule type="cellIs" rank="0" priority="1762" equalAverage="0" operator="greaterThan" aboveAverage="0" dxfId="10" text="" percent="0" bottom="0">
      <formula>30</formula>
    </cfRule>
  </conditionalFormatting>
  <conditionalFormatting sqref="G593">
    <cfRule type="cellIs" rank="0" priority="1763" equalAverage="0" operator="greaterThan" aboveAverage="0" dxfId="1" text="" percent="0" bottom="0">
      <formula>0</formula>
    </cfRule>
    <cfRule type="cellIs" rank="0" priority="1764" equalAverage="0" operator="lessThanOrEqual" aboveAverage="0" dxfId="0" text="" percent="0" bottom="0">
      <formula>0</formula>
    </cfRule>
  </conditionalFormatting>
  <conditionalFormatting sqref="F593">
    <cfRule type="cellIs" rank="0" priority="1765" equalAverage="0" operator="greaterThan" aboveAverage="0" dxfId="10" text="" percent="0" bottom="0">
      <formula>30</formula>
    </cfRule>
  </conditionalFormatting>
  <conditionalFormatting sqref="G594">
    <cfRule type="cellIs" rank="0" priority="1766" equalAverage="0" operator="greaterThan" aboveAverage="0" dxfId="1" text="" percent="0" bottom="0">
      <formula>0</formula>
    </cfRule>
    <cfRule type="cellIs" rank="0" priority="1767" equalAverage="0" operator="lessThanOrEqual" aboveAverage="0" dxfId="0" text="" percent="0" bottom="0">
      <formula>0</formula>
    </cfRule>
  </conditionalFormatting>
  <conditionalFormatting sqref="F594">
    <cfRule type="cellIs" rank="0" priority="1768" equalAverage="0" operator="greaterThan" aboveAverage="0" dxfId="10" text="" percent="0" bottom="0">
      <formula>30</formula>
    </cfRule>
  </conditionalFormatting>
  <conditionalFormatting sqref="G595">
    <cfRule type="cellIs" rank="0" priority="1769" equalAverage="0" operator="greaterThan" aboveAverage="0" dxfId="1" text="" percent="0" bottom="0">
      <formula>0</formula>
    </cfRule>
    <cfRule type="cellIs" rank="0" priority="1770" equalAverage="0" operator="lessThanOrEqual" aboveAverage="0" dxfId="0" text="" percent="0" bottom="0">
      <formula>0</formula>
    </cfRule>
  </conditionalFormatting>
  <conditionalFormatting sqref="F595">
    <cfRule type="cellIs" rank="0" priority="1771" equalAverage="0" operator="greaterThan" aboveAverage="0" dxfId="10" text="" percent="0" bottom="0">
      <formula>30</formula>
    </cfRule>
  </conditionalFormatting>
  <conditionalFormatting sqref="G596">
    <cfRule type="cellIs" rank="0" priority="1772" equalAverage="0" operator="greaterThan" aboveAverage="0" dxfId="1" text="" percent="0" bottom="0">
      <formula>0</formula>
    </cfRule>
    <cfRule type="cellIs" rank="0" priority="1773" equalAverage="0" operator="lessThanOrEqual" aboveAverage="0" dxfId="0" text="" percent="0" bottom="0">
      <formula>0</formula>
    </cfRule>
  </conditionalFormatting>
  <conditionalFormatting sqref="F596">
    <cfRule type="cellIs" rank="0" priority="1774" equalAverage="0" operator="greaterThan" aboveAverage="0" dxfId="10" text="" percent="0" bottom="0">
      <formula>30</formula>
    </cfRule>
  </conditionalFormatting>
  <conditionalFormatting sqref="G597">
    <cfRule type="cellIs" rank="0" priority="1775" equalAverage="0" operator="greaterThan" aboveAverage="0" dxfId="1" text="" percent="0" bottom="0">
      <formula>0</formula>
    </cfRule>
    <cfRule type="cellIs" rank="0" priority="1776" equalAverage="0" operator="lessThanOrEqual" aboveAverage="0" dxfId="0" text="" percent="0" bottom="0">
      <formula>0</formula>
    </cfRule>
  </conditionalFormatting>
  <conditionalFormatting sqref="F597">
    <cfRule type="cellIs" rank="0" priority="1777" equalAverage="0" operator="greaterThan" aboveAverage="0" dxfId="10" text="" percent="0" bottom="0">
      <formula>30</formula>
    </cfRule>
  </conditionalFormatting>
  <conditionalFormatting sqref="G598">
    <cfRule type="cellIs" rank="0" priority="1778" equalAverage="0" operator="greaterThan" aboveAverage="0" dxfId="1" text="" percent="0" bottom="0">
      <formula>0</formula>
    </cfRule>
    <cfRule type="cellIs" rank="0" priority="1779" equalAverage="0" operator="lessThanOrEqual" aboveAverage="0" dxfId="0" text="" percent="0" bottom="0">
      <formula>0</formula>
    </cfRule>
  </conditionalFormatting>
  <conditionalFormatting sqref="F598">
    <cfRule type="cellIs" rank="0" priority="1780" equalAverage="0" operator="greaterThan" aboveAverage="0" dxfId="10" text="" percent="0" bottom="0">
      <formula>30</formula>
    </cfRule>
  </conditionalFormatting>
  <conditionalFormatting sqref="G599">
    <cfRule type="cellIs" rank="0" priority="1781" equalAverage="0" operator="greaterThan" aboveAverage="0" dxfId="1" text="" percent="0" bottom="0">
      <formula>0</formula>
    </cfRule>
    <cfRule type="cellIs" rank="0" priority="1782" equalAverage="0" operator="lessThanOrEqual" aboveAverage="0" dxfId="0" text="" percent="0" bottom="0">
      <formula>0</formula>
    </cfRule>
  </conditionalFormatting>
  <conditionalFormatting sqref="F599">
    <cfRule type="cellIs" rank="0" priority="1783" equalAverage="0" operator="greaterThan" aboveAverage="0" dxfId="10" text="" percent="0" bottom="0">
      <formula>30</formula>
    </cfRule>
  </conditionalFormatting>
  <conditionalFormatting sqref="G600">
    <cfRule type="cellIs" rank="0" priority="1784" equalAverage="0" operator="greaterThan" aboveAverage="0" dxfId="1" text="" percent="0" bottom="0">
      <formula>0</formula>
    </cfRule>
    <cfRule type="cellIs" rank="0" priority="1785" equalAverage="0" operator="lessThanOrEqual" aboveAverage="0" dxfId="0" text="" percent="0" bottom="0">
      <formula>0</formula>
    </cfRule>
  </conditionalFormatting>
  <conditionalFormatting sqref="F600">
    <cfRule type="cellIs" rank="0" priority="1786" equalAverage="0" operator="greaterThan" aboveAverage="0" dxfId="10" text="" percent="0" bottom="0">
      <formula>30</formula>
    </cfRule>
  </conditionalFormatting>
  <conditionalFormatting sqref="G601">
    <cfRule type="cellIs" rank="0" priority="1787" equalAverage="0" operator="greaterThan" aboveAverage="0" dxfId="1" text="" percent="0" bottom="0">
      <formula>0</formula>
    </cfRule>
    <cfRule type="cellIs" rank="0" priority="1788" equalAverage="0" operator="lessThanOrEqual" aboveAverage="0" dxfId="0" text="" percent="0" bottom="0">
      <formula>0</formula>
    </cfRule>
  </conditionalFormatting>
  <conditionalFormatting sqref="F601">
    <cfRule type="cellIs" rank="0" priority="1789" equalAverage="0" operator="greaterThan" aboveAverage="0" dxfId="10" text="" percent="0" bottom="0">
      <formula>30</formula>
    </cfRule>
  </conditionalFormatting>
  <conditionalFormatting sqref="G602">
    <cfRule type="cellIs" rank="0" priority="1790" equalAverage="0" operator="greaterThan" aboveAverage="0" dxfId="1" text="" percent="0" bottom="0">
      <formula>0</formula>
    </cfRule>
    <cfRule type="cellIs" rank="0" priority="1791" equalAverage="0" operator="lessThanOrEqual" aboveAverage="0" dxfId="0" text="" percent="0" bottom="0">
      <formula>0</formula>
    </cfRule>
  </conditionalFormatting>
  <conditionalFormatting sqref="F602">
    <cfRule type="cellIs" rank="0" priority="1792" equalAverage="0" operator="greaterThan" aboveAverage="0" dxfId="10" text="" percent="0" bottom="0">
      <formula>30</formula>
    </cfRule>
  </conditionalFormatting>
  <conditionalFormatting sqref="G603">
    <cfRule type="cellIs" rank="0" priority="1793" equalAverage="0" operator="greaterThan" aboveAverage="0" dxfId="1" text="" percent="0" bottom="0">
      <formula>0</formula>
    </cfRule>
    <cfRule type="cellIs" rank="0" priority="1794" equalAverage="0" operator="lessThanOrEqual" aboveAverage="0" dxfId="0" text="" percent="0" bottom="0">
      <formula>0</formula>
    </cfRule>
  </conditionalFormatting>
  <conditionalFormatting sqref="F603">
    <cfRule type="cellIs" rank="0" priority="1795" equalAverage="0" operator="greaterThan" aboveAverage="0" dxfId="10" text="" percent="0" bottom="0">
      <formula>30</formula>
    </cfRule>
  </conditionalFormatting>
  <conditionalFormatting sqref="G604">
    <cfRule type="cellIs" rank="0" priority="1796" equalAverage="0" operator="greaterThan" aboveAverage="0" dxfId="1" text="" percent="0" bottom="0">
      <formula>0</formula>
    </cfRule>
    <cfRule type="cellIs" rank="0" priority="1797" equalAverage="0" operator="lessThanOrEqual" aboveAverage="0" dxfId="0" text="" percent="0" bottom="0">
      <formula>0</formula>
    </cfRule>
  </conditionalFormatting>
  <conditionalFormatting sqref="F604">
    <cfRule type="cellIs" rank="0" priority="1798" equalAverage="0" operator="greaterThan" aboveAverage="0" dxfId="10" text="" percent="0" bottom="0">
      <formula>30</formula>
    </cfRule>
  </conditionalFormatting>
  <conditionalFormatting sqref="G605">
    <cfRule type="cellIs" rank="0" priority="1799" equalAverage="0" operator="greaterThan" aboveAverage="0" dxfId="1" text="" percent="0" bottom="0">
      <formula>0</formula>
    </cfRule>
    <cfRule type="cellIs" rank="0" priority="1800" equalAverage="0" operator="lessThanOrEqual" aboveAverage="0" dxfId="0" text="" percent="0" bottom="0">
      <formula>0</formula>
    </cfRule>
  </conditionalFormatting>
  <conditionalFormatting sqref="F605">
    <cfRule type="cellIs" rank="0" priority="1801" equalAverage="0" operator="greaterThan" aboveAverage="0" dxfId="10" text="" percent="0" bottom="0">
      <formula>30</formula>
    </cfRule>
  </conditionalFormatting>
  <conditionalFormatting sqref="G606">
    <cfRule type="cellIs" rank="0" priority="1802" equalAverage="0" operator="greaterThan" aboveAverage="0" dxfId="1" text="" percent="0" bottom="0">
      <formula>0</formula>
    </cfRule>
    <cfRule type="cellIs" rank="0" priority="1803" equalAverage="0" operator="lessThanOrEqual" aboveAverage="0" dxfId="0" text="" percent="0" bottom="0">
      <formula>0</formula>
    </cfRule>
  </conditionalFormatting>
  <conditionalFormatting sqref="F606">
    <cfRule type="cellIs" rank="0" priority="1804" equalAverage="0" operator="greaterThan" aboveAverage="0" dxfId="10" text="" percent="0" bottom="0">
      <formula>30</formula>
    </cfRule>
  </conditionalFormatting>
  <conditionalFormatting sqref="G607">
    <cfRule type="cellIs" rank="0" priority="1805" equalAverage="0" operator="greaterThan" aboveAverage="0" dxfId="1" text="" percent="0" bottom="0">
      <formula>0</formula>
    </cfRule>
    <cfRule type="cellIs" rank="0" priority="1806" equalAverage="0" operator="lessThanOrEqual" aboveAverage="0" dxfId="0" text="" percent="0" bottom="0">
      <formula>0</formula>
    </cfRule>
  </conditionalFormatting>
  <conditionalFormatting sqref="F607">
    <cfRule type="cellIs" rank="0" priority="1807" equalAverage="0" operator="greaterThan" aboveAverage="0" dxfId="10" text="" percent="0" bottom="0">
      <formula>30</formula>
    </cfRule>
  </conditionalFormatting>
  <conditionalFormatting sqref="G608">
    <cfRule type="cellIs" rank="0" priority="1808" equalAverage="0" operator="greaterThan" aboveAverage="0" dxfId="1" text="" percent="0" bottom="0">
      <formula>0</formula>
    </cfRule>
    <cfRule type="cellIs" rank="0" priority="1809" equalAverage="0" operator="lessThanOrEqual" aboveAverage="0" dxfId="0" text="" percent="0" bottom="0">
      <formula>0</formula>
    </cfRule>
  </conditionalFormatting>
  <conditionalFormatting sqref="F608">
    <cfRule type="cellIs" rank="0" priority="1810" equalAverage="0" operator="greaterThan" aboveAverage="0" dxfId="10" text="" percent="0" bottom="0">
      <formula>30</formula>
    </cfRule>
  </conditionalFormatting>
  <conditionalFormatting sqref="G609">
    <cfRule type="cellIs" rank="0" priority="1811" equalAverage="0" operator="greaterThan" aboveAverage="0" dxfId="1" text="" percent="0" bottom="0">
      <formula>0</formula>
    </cfRule>
    <cfRule type="cellIs" rank="0" priority="1812" equalAverage="0" operator="lessThanOrEqual" aboveAverage="0" dxfId="0" text="" percent="0" bottom="0">
      <formula>0</formula>
    </cfRule>
  </conditionalFormatting>
  <conditionalFormatting sqref="F609">
    <cfRule type="cellIs" rank="0" priority="1813" equalAverage="0" operator="greaterThan" aboveAverage="0" dxfId="10" text="" percent="0" bottom="0">
      <formula>30</formula>
    </cfRule>
  </conditionalFormatting>
  <conditionalFormatting sqref="G610">
    <cfRule type="cellIs" rank="0" priority="1814" equalAverage="0" operator="greaterThan" aboveAverage="0" dxfId="1" text="" percent="0" bottom="0">
      <formula>0</formula>
    </cfRule>
    <cfRule type="cellIs" rank="0" priority="1815" equalAverage="0" operator="lessThanOrEqual" aboveAverage="0" dxfId="0" text="" percent="0" bottom="0">
      <formula>0</formula>
    </cfRule>
  </conditionalFormatting>
  <conditionalFormatting sqref="F610">
    <cfRule type="cellIs" rank="0" priority="1816" equalAverage="0" operator="greaterThan" aboveAverage="0" dxfId="10" text="" percent="0" bottom="0">
      <formula>30</formula>
    </cfRule>
  </conditionalFormatting>
  <conditionalFormatting sqref="G611">
    <cfRule type="cellIs" rank="0" priority="1817" equalAverage="0" operator="greaterThan" aboveAverage="0" dxfId="1" text="" percent="0" bottom="0">
      <formula>0</formula>
    </cfRule>
    <cfRule type="cellIs" rank="0" priority="1818" equalAverage="0" operator="lessThanOrEqual" aboveAverage="0" dxfId="0" text="" percent="0" bottom="0">
      <formula>0</formula>
    </cfRule>
  </conditionalFormatting>
  <conditionalFormatting sqref="F611">
    <cfRule type="cellIs" rank="0" priority="1819" equalAverage="0" operator="greaterThan" aboveAverage="0" dxfId="10" text="" percent="0" bottom="0">
      <formula>30</formula>
    </cfRule>
  </conditionalFormatting>
  <conditionalFormatting sqref="G612">
    <cfRule type="cellIs" rank="0" priority="1820" equalAverage="0" operator="greaterThan" aboveAverage="0" dxfId="1" text="" percent="0" bottom="0">
      <formula>0</formula>
    </cfRule>
    <cfRule type="cellIs" rank="0" priority="1821" equalAverage="0" operator="lessThanOrEqual" aboveAverage="0" dxfId="0" text="" percent="0" bottom="0">
      <formula>0</formula>
    </cfRule>
  </conditionalFormatting>
  <conditionalFormatting sqref="F612">
    <cfRule type="cellIs" rank="0" priority="1822" equalAverage="0" operator="greaterThan" aboveAverage="0" dxfId="10" text="" percent="0" bottom="0">
      <formula>30</formula>
    </cfRule>
  </conditionalFormatting>
  <conditionalFormatting sqref="G613">
    <cfRule type="cellIs" rank="0" priority="1823" equalAverage="0" operator="greaterThan" aboveAverage="0" dxfId="1" text="" percent="0" bottom="0">
      <formula>0</formula>
    </cfRule>
    <cfRule type="cellIs" rank="0" priority="1824" equalAverage="0" operator="lessThanOrEqual" aboveAverage="0" dxfId="0" text="" percent="0" bottom="0">
      <formula>0</formula>
    </cfRule>
  </conditionalFormatting>
  <conditionalFormatting sqref="F613">
    <cfRule type="cellIs" rank="0" priority="1825" equalAverage="0" operator="greaterThan" aboveAverage="0" dxfId="10" text="" percent="0" bottom="0">
      <formula>30</formula>
    </cfRule>
  </conditionalFormatting>
  <conditionalFormatting sqref="G614">
    <cfRule type="cellIs" rank="0" priority="1826" equalAverage="0" operator="greaterThan" aboveAverage="0" dxfId="1" text="" percent="0" bottom="0">
      <formula>0</formula>
    </cfRule>
    <cfRule type="cellIs" rank="0" priority="1827" equalAverage="0" operator="lessThanOrEqual" aboveAverage="0" dxfId="0" text="" percent="0" bottom="0">
      <formula>0</formula>
    </cfRule>
  </conditionalFormatting>
  <conditionalFormatting sqref="F614">
    <cfRule type="cellIs" rank="0" priority="1828" equalAverage="0" operator="greaterThan" aboveAverage="0" dxfId="10" text="" percent="0" bottom="0">
      <formula>30</formula>
    </cfRule>
  </conditionalFormatting>
  <conditionalFormatting sqref="G615">
    <cfRule type="cellIs" rank="0" priority="1829" equalAverage="0" operator="greaterThan" aboveAverage="0" dxfId="1" text="" percent="0" bottom="0">
      <formula>0</formula>
    </cfRule>
    <cfRule type="cellIs" rank="0" priority="1830" equalAverage="0" operator="lessThanOrEqual" aboveAverage="0" dxfId="0" text="" percent="0" bottom="0">
      <formula>0</formula>
    </cfRule>
  </conditionalFormatting>
  <conditionalFormatting sqref="F615">
    <cfRule type="cellIs" rank="0" priority="1831" equalAverage="0" operator="greaterThan" aboveAverage="0" dxfId="10" text="" percent="0" bottom="0">
      <formula>30</formula>
    </cfRule>
  </conditionalFormatting>
  <conditionalFormatting sqref="G616">
    <cfRule type="cellIs" rank="0" priority="1832" equalAverage="0" operator="greaterThan" aboveAverage="0" dxfId="1" text="" percent="0" bottom="0">
      <formula>0</formula>
    </cfRule>
    <cfRule type="cellIs" rank="0" priority="1833" equalAverage="0" operator="lessThanOrEqual" aboveAverage="0" dxfId="0" text="" percent="0" bottom="0">
      <formula>0</formula>
    </cfRule>
  </conditionalFormatting>
  <conditionalFormatting sqref="F616">
    <cfRule type="cellIs" rank="0" priority="1834" equalAverage="0" operator="greaterThan" aboveAverage="0" dxfId="10" text="" percent="0" bottom="0">
      <formula>30</formula>
    </cfRule>
  </conditionalFormatting>
  <conditionalFormatting sqref="G617">
    <cfRule type="cellIs" rank="0" priority="1835" equalAverage="0" operator="greaterThan" aboveAverage="0" dxfId="1" text="" percent="0" bottom="0">
      <formula>0</formula>
    </cfRule>
    <cfRule type="cellIs" rank="0" priority="1836" equalAverage="0" operator="lessThanOrEqual" aboveAverage="0" dxfId="0" text="" percent="0" bottom="0">
      <formula>0</formula>
    </cfRule>
  </conditionalFormatting>
  <conditionalFormatting sqref="F617">
    <cfRule type="cellIs" rank="0" priority="1837" equalAverage="0" operator="greaterThan" aboveAverage="0" dxfId="10" text="" percent="0" bottom="0">
      <formula>30</formula>
    </cfRule>
  </conditionalFormatting>
  <conditionalFormatting sqref="G618">
    <cfRule type="cellIs" rank="0" priority="1838" equalAverage="0" operator="greaterThan" aboveAverage="0" dxfId="1" text="" percent="0" bottom="0">
      <formula>0</formula>
    </cfRule>
    <cfRule type="cellIs" rank="0" priority="1839" equalAverage="0" operator="lessThanOrEqual" aboveAverage="0" dxfId="0" text="" percent="0" bottom="0">
      <formula>0</formula>
    </cfRule>
  </conditionalFormatting>
  <conditionalFormatting sqref="F618">
    <cfRule type="cellIs" rank="0" priority="1840" equalAverage="0" operator="greaterThan" aboveAverage="0" dxfId="10" text="" percent="0" bottom="0">
      <formula>30</formula>
    </cfRule>
  </conditionalFormatting>
  <conditionalFormatting sqref="G619">
    <cfRule type="cellIs" rank="0" priority="1841" equalAverage="0" operator="greaterThan" aboveAverage="0" dxfId="1" text="" percent="0" bottom="0">
      <formula>0</formula>
    </cfRule>
    <cfRule type="cellIs" rank="0" priority="1842" equalAverage="0" operator="lessThanOrEqual" aboveAverage="0" dxfId="0" text="" percent="0" bottom="0">
      <formula>0</formula>
    </cfRule>
  </conditionalFormatting>
  <conditionalFormatting sqref="F619">
    <cfRule type="cellIs" rank="0" priority="1843" equalAverage="0" operator="greaterThan" aboveAverage="0" dxfId="10" text="" percent="0" bottom="0">
      <formula>30</formula>
    </cfRule>
  </conditionalFormatting>
  <conditionalFormatting sqref="G620">
    <cfRule type="cellIs" rank="0" priority="1844" equalAverage="0" operator="greaterThan" aboveAverage="0" dxfId="1" text="" percent="0" bottom="0">
      <formula>0</formula>
    </cfRule>
    <cfRule type="cellIs" rank="0" priority="1845" equalAverage="0" operator="lessThanOrEqual" aboveAverage="0" dxfId="0" text="" percent="0" bottom="0">
      <formula>0</formula>
    </cfRule>
  </conditionalFormatting>
  <conditionalFormatting sqref="F620">
    <cfRule type="cellIs" rank="0" priority="1846" equalAverage="0" operator="greaterThan" aboveAverage="0" dxfId="10" text="" percent="0" bottom="0">
      <formula>30</formula>
    </cfRule>
  </conditionalFormatting>
  <conditionalFormatting sqref="G621">
    <cfRule type="cellIs" rank="0" priority="1847" equalAverage="0" operator="greaterThan" aboveAverage="0" dxfId="1" text="" percent="0" bottom="0">
      <formula>0</formula>
    </cfRule>
    <cfRule type="cellIs" rank="0" priority="1848" equalAverage="0" operator="lessThanOrEqual" aboveAverage="0" dxfId="0" text="" percent="0" bottom="0">
      <formula>0</formula>
    </cfRule>
  </conditionalFormatting>
  <conditionalFormatting sqref="F621">
    <cfRule type="cellIs" rank="0" priority="1849" equalAverage="0" operator="greaterThan" aboveAverage="0" dxfId="10" text="" percent="0" bottom="0">
      <formula>30</formula>
    </cfRule>
  </conditionalFormatting>
  <conditionalFormatting sqref="G622">
    <cfRule type="cellIs" rank="0" priority="1850" equalAverage="0" operator="greaterThan" aboveAverage="0" dxfId="1" text="" percent="0" bottom="0">
      <formula>0</formula>
    </cfRule>
    <cfRule type="cellIs" rank="0" priority="1851" equalAverage="0" operator="lessThanOrEqual" aboveAverage="0" dxfId="0" text="" percent="0" bottom="0">
      <formula>0</formula>
    </cfRule>
  </conditionalFormatting>
  <conditionalFormatting sqref="F622">
    <cfRule type="cellIs" rank="0" priority="1852" equalAverage="0" operator="greaterThan" aboveAverage="0" dxfId="10" text="" percent="0" bottom="0">
      <formula>30</formula>
    </cfRule>
  </conditionalFormatting>
  <conditionalFormatting sqref="G623">
    <cfRule type="cellIs" rank="0" priority="1853" equalAverage="0" operator="greaterThan" aboveAverage="0" dxfId="1" text="" percent="0" bottom="0">
      <formula>0</formula>
    </cfRule>
    <cfRule type="cellIs" rank="0" priority="1854" equalAverage="0" operator="lessThanOrEqual" aboveAverage="0" dxfId="0" text="" percent="0" bottom="0">
      <formula>0</formula>
    </cfRule>
  </conditionalFormatting>
  <conditionalFormatting sqref="F623">
    <cfRule type="cellIs" rank="0" priority="1855" equalAverage="0" operator="greaterThan" aboveAverage="0" dxfId="10" text="" percent="0" bottom="0">
      <formula>30</formula>
    </cfRule>
  </conditionalFormatting>
  <conditionalFormatting sqref="G624">
    <cfRule type="cellIs" rank="0" priority="1856" equalAverage="0" operator="greaterThan" aboveAverage="0" dxfId="1" text="" percent="0" bottom="0">
      <formula>0</formula>
    </cfRule>
    <cfRule type="cellIs" rank="0" priority="1857" equalAverage="0" operator="lessThanOrEqual" aboveAverage="0" dxfId="0" text="" percent="0" bottom="0">
      <formula>0</formula>
    </cfRule>
  </conditionalFormatting>
  <conditionalFormatting sqref="F624">
    <cfRule type="cellIs" rank="0" priority="1858" equalAverage="0" operator="greaterThan" aboveAverage="0" dxfId="10" text="" percent="0" bottom="0">
      <formula>30</formula>
    </cfRule>
  </conditionalFormatting>
  <conditionalFormatting sqref="G625">
    <cfRule type="cellIs" rank="0" priority="1859" equalAverage="0" operator="greaterThan" aboveAverage="0" dxfId="1" text="" percent="0" bottom="0">
      <formula>0</formula>
    </cfRule>
    <cfRule type="cellIs" rank="0" priority="1860" equalAverage="0" operator="lessThanOrEqual" aboveAverage="0" dxfId="0" text="" percent="0" bottom="0">
      <formula>0</formula>
    </cfRule>
  </conditionalFormatting>
  <conditionalFormatting sqref="F625">
    <cfRule type="cellIs" rank="0" priority="1861" equalAverage="0" operator="greaterThan" aboveAverage="0" dxfId="10" text="" percent="0" bottom="0">
      <formula>30</formula>
    </cfRule>
  </conditionalFormatting>
  <conditionalFormatting sqref="G626">
    <cfRule type="cellIs" rank="0" priority="1862" equalAverage="0" operator="greaterThan" aboveAverage="0" dxfId="1" text="" percent="0" bottom="0">
      <formula>0</formula>
    </cfRule>
    <cfRule type="cellIs" rank="0" priority="1863" equalAverage="0" operator="lessThanOrEqual" aboveAverage="0" dxfId="0" text="" percent="0" bottom="0">
      <formula>0</formula>
    </cfRule>
  </conditionalFormatting>
  <conditionalFormatting sqref="F626">
    <cfRule type="cellIs" rank="0" priority="1864" equalAverage="0" operator="greaterThan" aboveAverage="0" dxfId="10" text="" percent="0" bottom="0">
      <formula>30</formula>
    </cfRule>
  </conditionalFormatting>
  <conditionalFormatting sqref="G627">
    <cfRule type="cellIs" rank="0" priority="1865" equalAverage="0" operator="greaterThan" aboveAverage="0" dxfId="1" text="" percent="0" bottom="0">
      <formula>0</formula>
    </cfRule>
    <cfRule type="cellIs" rank="0" priority="1866" equalAverage="0" operator="lessThanOrEqual" aboveAverage="0" dxfId="0" text="" percent="0" bottom="0">
      <formula>0</formula>
    </cfRule>
  </conditionalFormatting>
  <conditionalFormatting sqref="F627">
    <cfRule type="cellIs" rank="0" priority="1867" equalAverage="0" operator="greaterThan" aboveAverage="0" dxfId="10" text="" percent="0" bottom="0">
      <formula>30</formula>
    </cfRule>
  </conditionalFormatting>
  <conditionalFormatting sqref="G628">
    <cfRule type="cellIs" rank="0" priority="1868" equalAverage="0" operator="greaterThan" aboveAverage="0" dxfId="1" text="" percent="0" bottom="0">
      <formula>0</formula>
    </cfRule>
    <cfRule type="cellIs" rank="0" priority="1869" equalAverage="0" operator="lessThanOrEqual" aboveAverage="0" dxfId="0" text="" percent="0" bottom="0">
      <formula>0</formula>
    </cfRule>
  </conditionalFormatting>
  <conditionalFormatting sqref="F628">
    <cfRule type="cellIs" rank="0" priority="1870" equalAverage="0" operator="greaterThan" aboveAverage="0" dxfId="10" text="" percent="0" bottom="0">
      <formula>30</formula>
    </cfRule>
  </conditionalFormatting>
  <conditionalFormatting sqref="G629">
    <cfRule type="cellIs" rank="0" priority="1871" equalAverage="0" operator="greaterThan" aboveAverage="0" dxfId="1" text="" percent="0" bottom="0">
      <formula>0</formula>
    </cfRule>
    <cfRule type="cellIs" rank="0" priority="1872" equalAverage="0" operator="lessThanOrEqual" aboveAverage="0" dxfId="0" text="" percent="0" bottom="0">
      <formula>0</formula>
    </cfRule>
  </conditionalFormatting>
  <conditionalFormatting sqref="F629">
    <cfRule type="cellIs" rank="0" priority="1873" equalAverage="0" operator="greaterThan" aboveAverage="0" dxfId="10" text="" percent="0" bottom="0">
      <formula>30</formula>
    </cfRule>
  </conditionalFormatting>
  <conditionalFormatting sqref="G630">
    <cfRule type="cellIs" rank="0" priority="1874" equalAverage="0" operator="greaterThan" aboveAverage="0" dxfId="1" text="" percent="0" bottom="0">
      <formula>0</formula>
    </cfRule>
    <cfRule type="cellIs" rank="0" priority="1875" equalAverage="0" operator="lessThanOrEqual" aboveAverage="0" dxfId="0" text="" percent="0" bottom="0">
      <formula>0</formula>
    </cfRule>
  </conditionalFormatting>
  <conditionalFormatting sqref="F630">
    <cfRule type="cellIs" rank="0" priority="1876" equalAverage="0" operator="greaterThan" aboveAverage="0" dxfId="10" text="" percent="0" bottom="0">
      <formula>30</formula>
    </cfRule>
  </conditionalFormatting>
  <conditionalFormatting sqref="G631">
    <cfRule type="cellIs" rank="0" priority="1877" equalAverage="0" operator="greaterThan" aboveAverage="0" dxfId="1" text="" percent="0" bottom="0">
      <formula>0</formula>
    </cfRule>
    <cfRule type="cellIs" rank="0" priority="1878" equalAverage="0" operator="lessThanOrEqual" aboveAverage="0" dxfId="0" text="" percent="0" bottom="0">
      <formula>0</formula>
    </cfRule>
  </conditionalFormatting>
  <conditionalFormatting sqref="F631">
    <cfRule type="cellIs" rank="0" priority="1879" equalAverage="0" operator="greaterThan" aboveAverage="0" dxfId="10" text="" percent="0" bottom="0">
      <formula>30</formula>
    </cfRule>
  </conditionalFormatting>
  <conditionalFormatting sqref="G632">
    <cfRule type="cellIs" rank="0" priority="1880" equalAverage="0" operator="greaterThan" aboveAverage="0" dxfId="1" text="" percent="0" bottom="0">
      <formula>0</formula>
    </cfRule>
    <cfRule type="cellIs" rank="0" priority="1881" equalAverage="0" operator="lessThanOrEqual" aboveAverage="0" dxfId="0" text="" percent="0" bottom="0">
      <formula>0</formula>
    </cfRule>
  </conditionalFormatting>
  <conditionalFormatting sqref="F632">
    <cfRule type="cellIs" rank="0" priority="1882" equalAverage="0" operator="greaterThan" aboveAverage="0" dxfId="10" text="" percent="0" bottom="0">
      <formula>30</formula>
    </cfRule>
  </conditionalFormatting>
  <conditionalFormatting sqref="G633">
    <cfRule type="cellIs" rank="0" priority="1883" equalAverage="0" operator="greaterThan" aboveAverage="0" dxfId="1" text="" percent="0" bottom="0">
      <formula>0</formula>
    </cfRule>
    <cfRule type="cellIs" rank="0" priority="1884" equalAverage="0" operator="lessThanOrEqual" aboveAverage="0" dxfId="0" text="" percent="0" bottom="0">
      <formula>0</formula>
    </cfRule>
  </conditionalFormatting>
  <conditionalFormatting sqref="F633">
    <cfRule type="cellIs" rank="0" priority="1885" equalAverage="0" operator="greaterThan" aboveAverage="0" dxfId="10" text="" percent="0" bottom="0">
      <formula>30</formula>
    </cfRule>
  </conditionalFormatting>
  <conditionalFormatting sqref="G634">
    <cfRule type="cellIs" rank="0" priority="1886" equalAverage="0" operator="greaterThan" aboveAverage="0" dxfId="1" text="" percent="0" bottom="0">
      <formula>0</formula>
    </cfRule>
    <cfRule type="cellIs" rank="0" priority="1887" equalAverage="0" operator="lessThanOrEqual" aboveAverage="0" dxfId="0" text="" percent="0" bottom="0">
      <formula>0</formula>
    </cfRule>
  </conditionalFormatting>
  <conditionalFormatting sqref="F634">
    <cfRule type="cellIs" rank="0" priority="1888" equalAverage="0" operator="greaterThan" aboveAverage="0" dxfId="10" text="" percent="0" bottom="0">
      <formula>30</formula>
    </cfRule>
  </conditionalFormatting>
  <conditionalFormatting sqref="G635">
    <cfRule type="cellIs" rank="0" priority="1889" equalAverage="0" operator="greaterThan" aboveAverage="0" dxfId="1" text="" percent="0" bottom="0">
      <formula>0</formula>
    </cfRule>
    <cfRule type="cellIs" rank="0" priority="1890" equalAverage="0" operator="lessThanOrEqual" aboveAverage="0" dxfId="0" text="" percent="0" bottom="0">
      <formula>0</formula>
    </cfRule>
  </conditionalFormatting>
  <conditionalFormatting sqref="F635">
    <cfRule type="cellIs" rank="0" priority="1891" equalAverage="0" operator="greaterThan" aboveAverage="0" dxfId="10" text="" percent="0" bottom="0">
      <formula>30</formula>
    </cfRule>
  </conditionalFormatting>
  <conditionalFormatting sqref="G636">
    <cfRule type="cellIs" rank="0" priority="1892" equalAverage="0" operator="greaterThan" aboveAverage="0" dxfId="1" text="" percent="0" bottom="0">
      <formula>0</formula>
    </cfRule>
    <cfRule type="cellIs" rank="0" priority="1893" equalAverage="0" operator="lessThanOrEqual" aboveAverage="0" dxfId="0" text="" percent="0" bottom="0">
      <formula>0</formula>
    </cfRule>
  </conditionalFormatting>
  <conditionalFormatting sqref="F636">
    <cfRule type="cellIs" rank="0" priority="1894" equalAverage="0" operator="greaterThan" aboveAverage="0" dxfId="10" text="" percent="0" bottom="0">
      <formula>30</formula>
    </cfRule>
  </conditionalFormatting>
  <conditionalFormatting sqref="G637">
    <cfRule type="cellIs" rank="0" priority="1895" equalAverage="0" operator="greaterThan" aboveAverage="0" dxfId="1" text="" percent="0" bottom="0">
      <formula>0</formula>
    </cfRule>
    <cfRule type="cellIs" rank="0" priority="1896" equalAverage="0" operator="lessThanOrEqual" aboveAverage="0" dxfId="0" text="" percent="0" bottom="0">
      <formula>0</formula>
    </cfRule>
  </conditionalFormatting>
  <conditionalFormatting sqref="F637">
    <cfRule type="cellIs" rank="0" priority="1897" equalAverage="0" operator="greaterThan" aboveAverage="0" dxfId="10" text="" percent="0" bottom="0">
      <formula>30</formula>
    </cfRule>
  </conditionalFormatting>
  <conditionalFormatting sqref="G638">
    <cfRule type="cellIs" rank="0" priority="1898" equalAverage="0" operator="greaterThan" aboveAverage="0" dxfId="1" text="" percent="0" bottom="0">
      <formula>0</formula>
    </cfRule>
    <cfRule type="cellIs" rank="0" priority="1899" equalAverage="0" operator="lessThanOrEqual" aboveAverage="0" dxfId="0" text="" percent="0" bottom="0">
      <formula>0</formula>
    </cfRule>
  </conditionalFormatting>
  <conditionalFormatting sqref="F638">
    <cfRule type="cellIs" rank="0" priority="1900" equalAverage="0" operator="greaterThan" aboveAverage="0" dxfId="10" text="" percent="0" bottom="0">
      <formula>30</formula>
    </cfRule>
  </conditionalFormatting>
  <conditionalFormatting sqref="G639">
    <cfRule type="cellIs" rank="0" priority="1901" equalAverage="0" operator="greaterThan" aboveAverage="0" dxfId="1" text="" percent="0" bottom="0">
      <formula>0</formula>
    </cfRule>
    <cfRule type="cellIs" rank="0" priority="1902" equalAverage="0" operator="lessThanOrEqual" aboveAverage="0" dxfId="0" text="" percent="0" bottom="0">
      <formula>0</formula>
    </cfRule>
  </conditionalFormatting>
  <conditionalFormatting sqref="F639">
    <cfRule type="cellIs" rank="0" priority="1903" equalAverage="0" operator="greaterThan" aboveAverage="0" dxfId="10" text="" percent="0" bottom="0">
      <formula>30</formula>
    </cfRule>
  </conditionalFormatting>
  <conditionalFormatting sqref="G640">
    <cfRule type="cellIs" rank="0" priority="1904" equalAverage="0" operator="greaterThan" aboveAverage="0" dxfId="1" text="" percent="0" bottom="0">
      <formula>0</formula>
    </cfRule>
    <cfRule type="cellIs" rank="0" priority="1905" equalAverage="0" operator="lessThanOrEqual" aboveAverage="0" dxfId="0" text="" percent="0" bottom="0">
      <formula>0</formula>
    </cfRule>
  </conditionalFormatting>
  <conditionalFormatting sqref="F640">
    <cfRule type="cellIs" rank="0" priority="1906" equalAverage="0" operator="greaterThan" aboveAverage="0" dxfId="10" text="" percent="0" bottom="0">
      <formula>30</formula>
    </cfRule>
  </conditionalFormatting>
  <conditionalFormatting sqref="G641">
    <cfRule type="cellIs" rank="0" priority="1907" equalAverage="0" operator="greaterThan" aboveAverage="0" dxfId="1" text="" percent="0" bottom="0">
      <formula>0</formula>
    </cfRule>
    <cfRule type="cellIs" rank="0" priority="1908" equalAverage="0" operator="lessThanOrEqual" aboveAverage="0" dxfId="0" text="" percent="0" bottom="0">
      <formula>0</formula>
    </cfRule>
  </conditionalFormatting>
  <conditionalFormatting sqref="F641">
    <cfRule type="cellIs" rank="0" priority="1909" equalAverage="0" operator="greaterThan" aboveAverage="0" dxfId="10" text="" percent="0" bottom="0">
      <formula>30</formula>
    </cfRule>
  </conditionalFormatting>
  <conditionalFormatting sqref="G642">
    <cfRule type="cellIs" rank="0" priority="1910" equalAverage="0" operator="greaterThan" aboveAverage="0" dxfId="1" text="" percent="0" bottom="0">
      <formula>0</formula>
    </cfRule>
    <cfRule type="cellIs" rank="0" priority="1911" equalAverage="0" operator="lessThanOrEqual" aboveAverage="0" dxfId="0" text="" percent="0" bottom="0">
      <formula>0</formula>
    </cfRule>
  </conditionalFormatting>
  <conditionalFormatting sqref="F642">
    <cfRule type="cellIs" rank="0" priority="1912" equalAverage="0" operator="greaterThan" aboveAverage="0" dxfId="10" text="" percent="0" bottom="0">
      <formula>30</formula>
    </cfRule>
  </conditionalFormatting>
  <conditionalFormatting sqref="G643">
    <cfRule type="cellIs" rank="0" priority="1913" equalAverage="0" operator="greaterThan" aboveAverage="0" dxfId="1" text="" percent="0" bottom="0">
      <formula>0</formula>
    </cfRule>
    <cfRule type="cellIs" rank="0" priority="1914" equalAverage="0" operator="lessThanOrEqual" aboveAverage="0" dxfId="0" text="" percent="0" bottom="0">
      <formula>0</formula>
    </cfRule>
  </conditionalFormatting>
  <conditionalFormatting sqref="F643">
    <cfRule type="cellIs" rank="0" priority="1915" equalAverage="0" operator="greaterThan" aboveAverage="0" dxfId="10" text="" percent="0" bottom="0">
      <formula>30</formula>
    </cfRule>
  </conditionalFormatting>
  <conditionalFormatting sqref="G644">
    <cfRule type="cellIs" rank="0" priority="1916" equalAverage="0" operator="greaterThan" aboveAverage="0" dxfId="1" text="" percent="0" bottom="0">
      <formula>0</formula>
    </cfRule>
    <cfRule type="cellIs" rank="0" priority="1917" equalAverage="0" operator="lessThanOrEqual" aboveAverage="0" dxfId="0" text="" percent="0" bottom="0">
      <formula>0</formula>
    </cfRule>
  </conditionalFormatting>
  <conditionalFormatting sqref="F644">
    <cfRule type="cellIs" rank="0" priority="1918" equalAverage="0" operator="greaterThan" aboveAverage="0" dxfId="10" text="" percent="0" bottom="0">
      <formula>30</formula>
    </cfRule>
  </conditionalFormatting>
  <conditionalFormatting sqref="G645">
    <cfRule type="cellIs" rank="0" priority="1919" equalAverage="0" operator="greaterThan" aboveAverage="0" dxfId="1" text="" percent="0" bottom="0">
      <formula>0</formula>
    </cfRule>
    <cfRule type="cellIs" rank="0" priority="1920" equalAverage="0" operator="lessThanOrEqual" aboveAverage="0" dxfId="0" text="" percent="0" bottom="0">
      <formula>0</formula>
    </cfRule>
  </conditionalFormatting>
  <conditionalFormatting sqref="F645">
    <cfRule type="cellIs" rank="0" priority="1921" equalAverage="0" operator="greaterThan" aboveAverage="0" dxfId="10" text="" percent="0" bottom="0">
      <formula>30</formula>
    </cfRule>
  </conditionalFormatting>
  <conditionalFormatting sqref="G646">
    <cfRule type="cellIs" rank="0" priority="1922" equalAverage="0" operator="greaterThan" aboveAverage="0" dxfId="1" text="" percent="0" bottom="0">
      <formula>0</formula>
    </cfRule>
    <cfRule type="cellIs" rank="0" priority="1923" equalAverage="0" operator="lessThanOrEqual" aboveAverage="0" dxfId="0" text="" percent="0" bottom="0">
      <formula>0</formula>
    </cfRule>
  </conditionalFormatting>
  <conditionalFormatting sqref="F646">
    <cfRule type="cellIs" rank="0" priority="1924" equalAverage="0" operator="greaterThan" aboveAverage="0" dxfId="10" text="" percent="0" bottom="0">
      <formula>30</formula>
    </cfRule>
  </conditionalFormatting>
  <conditionalFormatting sqref="G647">
    <cfRule type="cellIs" rank="0" priority="1925" equalAverage="0" operator="greaterThan" aboveAverage="0" dxfId="1" text="" percent="0" bottom="0">
      <formula>0</formula>
    </cfRule>
    <cfRule type="cellIs" rank="0" priority="1926" equalAverage="0" operator="lessThanOrEqual" aboveAverage="0" dxfId="0" text="" percent="0" bottom="0">
      <formula>0</formula>
    </cfRule>
  </conditionalFormatting>
  <conditionalFormatting sqref="F647">
    <cfRule type="cellIs" rank="0" priority="1927" equalAverage="0" operator="greaterThan" aboveAverage="0" dxfId="10" text="" percent="0" bottom="0">
      <formula>30</formula>
    </cfRule>
  </conditionalFormatting>
  <conditionalFormatting sqref="G648">
    <cfRule type="cellIs" rank="0" priority="1928" equalAverage="0" operator="greaterThan" aboveAverage="0" dxfId="1" text="" percent="0" bottom="0">
      <formula>0</formula>
    </cfRule>
    <cfRule type="cellIs" rank="0" priority="1929" equalAverage="0" operator="lessThanOrEqual" aboveAverage="0" dxfId="0" text="" percent="0" bottom="0">
      <formula>0</formula>
    </cfRule>
  </conditionalFormatting>
  <conditionalFormatting sqref="F648">
    <cfRule type="cellIs" rank="0" priority="1930" equalAverage="0" operator="greaterThan" aboveAverage="0" dxfId="10" text="" percent="0" bottom="0">
      <formula>30</formula>
    </cfRule>
  </conditionalFormatting>
  <conditionalFormatting sqref="G649">
    <cfRule type="cellIs" rank="0" priority="1931" equalAverage="0" operator="greaterThan" aboveAverage="0" dxfId="1" text="" percent="0" bottom="0">
      <formula>0</formula>
    </cfRule>
    <cfRule type="cellIs" rank="0" priority="1932" equalAverage="0" operator="lessThanOrEqual" aboveAverage="0" dxfId="0" text="" percent="0" bottom="0">
      <formula>0</formula>
    </cfRule>
  </conditionalFormatting>
  <conditionalFormatting sqref="F649">
    <cfRule type="cellIs" rank="0" priority="1933" equalAverage="0" operator="greaterThan" aboveAverage="0" dxfId="10" text="" percent="0" bottom="0">
      <formula>30</formula>
    </cfRule>
  </conditionalFormatting>
  <conditionalFormatting sqref="G650">
    <cfRule type="cellIs" rank="0" priority="1934" equalAverage="0" operator="greaterThan" aboveAverage="0" dxfId="1" text="" percent="0" bottom="0">
      <formula>0</formula>
    </cfRule>
    <cfRule type="cellIs" rank="0" priority="1935" equalAverage="0" operator="lessThanOrEqual" aboveAverage="0" dxfId="0" text="" percent="0" bottom="0">
      <formula>0</formula>
    </cfRule>
  </conditionalFormatting>
  <conditionalFormatting sqref="F650">
    <cfRule type="cellIs" rank="0" priority="1936" equalAverage="0" operator="greaterThan" aboveAverage="0" dxfId="10" text="" percent="0" bottom="0">
      <formula>30</formula>
    </cfRule>
  </conditionalFormatting>
  <conditionalFormatting sqref="G651">
    <cfRule type="cellIs" rank="0" priority="1937" equalAverage="0" operator="greaterThan" aboveAverage="0" dxfId="1" text="" percent="0" bottom="0">
      <formula>0</formula>
    </cfRule>
    <cfRule type="cellIs" rank="0" priority="1938" equalAverage="0" operator="lessThanOrEqual" aboveAverage="0" dxfId="0" text="" percent="0" bottom="0">
      <formula>0</formula>
    </cfRule>
  </conditionalFormatting>
  <conditionalFormatting sqref="F651">
    <cfRule type="cellIs" rank="0" priority="1939" equalAverage="0" operator="greaterThan" aboveAverage="0" dxfId="10" text="" percent="0" bottom="0">
      <formula>30</formula>
    </cfRule>
  </conditionalFormatting>
  <conditionalFormatting sqref="G652">
    <cfRule type="cellIs" rank="0" priority="1940" equalAverage="0" operator="greaterThan" aboveAverage="0" dxfId="1" text="" percent="0" bottom="0">
      <formula>0</formula>
    </cfRule>
    <cfRule type="cellIs" rank="0" priority="1941" equalAverage="0" operator="lessThanOrEqual" aboveAverage="0" dxfId="0" text="" percent="0" bottom="0">
      <formula>0</formula>
    </cfRule>
  </conditionalFormatting>
  <conditionalFormatting sqref="F652">
    <cfRule type="cellIs" rank="0" priority="1942" equalAverage="0" operator="greaterThan" aboveAverage="0" dxfId="10" text="" percent="0" bottom="0">
      <formula>30</formula>
    </cfRule>
  </conditionalFormatting>
  <conditionalFormatting sqref="G653">
    <cfRule type="cellIs" rank="0" priority="1943" equalAverage="0" operator="greaterThan" aboveAverage="0" dxfId="1" text="" percent="0" bottom="0">
      <formula>0</formula>
    </cfRule>
    <cfRule type="cellIs" rank="0" priority="1944" equalAverage="0" operator="lessThanOrEqual" aboveAverage="0" dxfId="0" text="" percent="0" bottom="0">
      <formula>0</formula>
    </cfRule>
  </conditionalFormatting>
  <conditionalFormatting sqref="F653">
    <cfRule type="cellIs" rank="0" priority="1945" equalAverage="0" operator="greaterThan" aboveAverage="0" dxfId="10" text="" percent="0" bottom="0">
      <formula>30</formula>
    </cfRule>
  </conditionalFormatting>
  <conditionalFormatting sqref="G654">
    <cfRule type="cellIs" rank="0" priority="1946" equalAverage="0" operator="greaterThan" aboveAverage="0" dxfId="1" text="" percent="0" bottom="0">
      <formula>0</formula>
    </cfRule>
    <cfRule type="cellIs" rank="0" priority="1947" equalAverage="0" operator="lessThanOrEqual" aboveAverage="0" dxfId="0" text="" percent="0" bottom="0">
      <formula>0</formula>
    </cfRule>
  </conditionalFormatting>
  <conditionalFormatting sqref="F654">
    <cfRule type="cellIs" rank="0" priority="1948" equalAverage="0" operator="greaterThan" aboveAverage="0" dxfId="10" text="" percent="0" bottom="0">
      <formula>30</formula>
    </cfRule>
  </conditionalFormatting>
  <conditionalFormatting sqref="G655">
    <cfRule type="cellIs" rank="0" priority="1949" equalAverage="0" operator="greaterThan" aboveAverage="0" dxfId="1" text="" percent="0" bottom="0">
      <formula>0</formula>
    </cfRule>
    <cfRule type="cellIs" rank="0" priority="1950" equalAverage="0" operator="lessThanOrEqual" aboveAverage="0" dxfId="0" text="" percent="0" bottom="0">
      <formula>0</formula>
    </cfRule>
  </conditionalFormatting>
  <conditionalFormatting sqref="F655">
    <cfRule type="cellIs" rank="0" priority="1951" equalAverage="0" operator="greaterThan" aboveAverage="0" dxfId="10" text="" percent="0" bottom="0">
      <formula>30</formula>
    </cfRule>
  </conditionalFormatting>
  <conditionalFormatting sqref="G656">
    <cfRule type="cellIs" rank="0" priority="1952" equalAverage="0" operator="greaterThan" aboveAverage="0" dxfId="1" text="" percent="0" bottom="0">
      <formula>0</formula>
    </cfRule>
    <cfRule type="cellIs" rank="0" priority="1953" equalAverage="0" operator="lessThanOrEqual" aboveAverage="0" dxfId="0" text="" percent="0" bottom="0">
      <formula>0</formula>
    </cfRule>
  </conditionalFormatting>
  <conditionalFormatting sqref="F656">
    <cfRule type="cellIs" rank="0" priority="1954" equalAverage="0" operator="greaterThan" aboveAverage="0" dxfId="10" text="" percent="0" bottom="0">
      <formula>30</formula>
    </cfRule>
  </conditionalFormatting>
  <conditionalFormatting sqref="G657">
    <cfRule type="cellIs" rank="0" priority="1955" equalAverage="0" operator="greaterThan" aboveAverage="0" dxfId="1" text="" percent="0" bottom="0">
      <formula>0</formula>
    </cfRule>
    <cfRule type="cellIs" rank="0" priority="1956" equalAverage="0" operator="lessThanOrEqual" aboveAverage="0" dxfId="0" text="" percent="0" bottom="0">
      <formula>0</formula>
    </cfRule>
  </conditionalFormatting>
  <conditionalFormatting sqref="F657">
    <cfRule type="cellIs" rank="0" priority="1957" equalAverage="0" operator="greaterThan" aboveAverage="0" dxfId="10" text="" percent="0" bottom="0">
      <formula>30</formula>
    </cfRule>
  </conditionalFormatting>
  <conditionalFormatting sqref="G658">
    <cfRule type="cellIs" rank="0" priority="1958" equalAverage="0" operator="greaterThan" aboveAverage="0" dxfId="1" text="" percent="0" bottom="0">
      <formula>0</formula>
    </cfRule>
    <cfRule type="cellIs" rank="0" priority="1959" equalAverage="0" operator="lessThanOrEqual" aboveAverage="0" dxfId="0" text="" percent="0" bottom="0">
      <formula>0</formula>
    </cfRule>
  </conditionalFormatting>
  <conditionalFormatting sqref="F658">
    <cfRule type="cellIs" rank="0" priority="1960" equalAverage="0" operator="greaterThan" aboveAverage="0" dxfId="10" text="" percent="0" bottom="0">
      <formula>30</formula>
    </cfRule>
  </conditionalFormatting>
  <conditionalFormatting sqref="G659">
    <cfRule type="cellIs" rank="0" priority="1961" equalAverage="0" operator="greaterThan" aboveAverage="0" dxfId="1" text="" percent="0" bottom="0">
      <formula>0</formula>
    </cfRule>
    <cfRule type="cellIs" rank="0" priority="1962" equalAverage="0" operator="lessThanOrEqual" aboveAverage="0" dxfId="0" text="" percent="0" bottom="0">
      <formula>0</formula>
    </cfRule>
  </conditionalFormatting>
  <conditionalFormatting sqref="F659">
    <cfRule type="cellIs" rank="0" priority="1963" equalAverage="0" operator="greaterThan" aboveAverage="0" dxfId="10" text="" percent="0" bottom="0">
      <formula>30</formula>
    </cfRule>
  </conditionalFormatting>
  <conditionalFormatting sqref="G660">
    <cfRule type="cellIs" rank="0" priority="1964" equalAverage="0" operator="greaterThan" aboveAverage="0" dxfId="1" text="" percent="0" bottom="0">
      <formula>0</formula>
    </cfRule>
    <cfRule type="cellIs" rank="0" priority="1965" equalAverage="0" operator="lessThanOrEqual" aboveAverage="0" dxfId="0" text="" percent="0" bottom="0">
      <formula>0</formula>
    </cfRule>
  </conditionalFormatting>
  <conditionalFormatting sqref="F660">
    <cfRule type="cellIs" rank="0" priority="1966" equalAverage="0" operator="greaterThan" aboveAverage="0" dxfId="10" text="" percent="0" bottom="0">
      <formula>30</formula>
    </cfRule>
  </conditionalFormatting>
  <conditionalFormatting sqref="G661">
    <cfRule type="cellIs" rank="0" priority="1967" equalAverage="0" operator="greaterThan" aboveAverage="0" dxfId="1" text="" percent="0" bottom="0">
      <formula>0</formula>
    </cfRule>
    <cfRule type="cellIs" rank="0" priority="1968" equalAverage="0" operator="lessThanOrEqual" aboveAverage="0" dxfId="0" text="" percent="0" bottom="0">
      <formula>0</formula>
    </cfRule>
  </conditionalFormatting>
  <conditionalFormatting sqref="F661">
    <cfRule type="cellIs" rank="0" priority="1969" equalAverage="0" operator="greaterThan" aboveAverage="0" dxfId="10" text="" percent="0" bottom="0">
      <formula>30</formula>
    </cfRule>
  </conditionalFormatting>
  <conditionalFormatting sqref="G662">
    <cfRule type="cellIs" rank="0" priority="1970" equalAverage="0" operator="greaterThan" aboveAverage="0" dxfId="1" text="" percent="0" bottom="0">
      <formula>0</formula>
    </cfRule>
    <cfRule type="cellIs" rank="0" priority="1971" equalAverage="0" operator="lessThanOrEqual" aboveAverage="0" dxfId="0" text="" percent="0" bottom="0">
      <formula>0</formula>
    </cfRule>
  </conditionalFormatting>
  <conditionalFormatting sqref="F662">
    <cfRule type="cellIs" rank="0" priority="1972" equalAverage="0" operator="greaterThan" aboveAverage="0" dxfId="10" text="" percent="0" bottom="0">
      <formula>30</formula>
    </cfRule>
  </conditionalFormatting>
  <conditionalFormatting sqref="G663">
    <cfRule type="cellIs" rank="0" priority="1973" equalAverage="0" operator="greaterThan" aboveAverage="0" dxfId="1" text="" percent="0" bottom="0">
      <formula>0</formula>
    </cfRule>
    <cfRule type="cellIs" rank="0" priority="1974" equalAverage="0" operator="lessThanOrEqual" aboveAverage="0" dxfId="0" text="" percent="0" bottom="0">
      <formula>0</formula>
    </cfRule>
  </conditionalFormatting>
  <conditionalFormatting sqref="F663">
    <cfRule type="cellIs" rank="0" priority="1975" equalAverage="0" operator="greaterThan" aboveAverage="0" dxfId="10" text="" percent="0" bottom="0">
      <formula>30</formula>
    </cfRule>
  </conditionalFormatting>
  <conditionalFormatting sqref="G664">
    <cfRule type="cellIs" rank="0" priority="1976" equalAverage="0" operator="greaterThan" aboveAverage="0" dxfId="1" text="" percent="0" bottom="0">
      <formula>0</formula>
    </cfRule>
    <cfRule type="cellIs" rank="0" priority="1977" equalAverage="0" operator="lessThanOrEqual" aboveAverage="0" dxfId="0" text="" percent="0" bottom="0">
      <formula>0</formula>
    </cfRule>
  </conditionalFormatting>
  <conditionalFormatting sqref="F664">
    <cfRule type="cellIs" rank="0" priority="1978" equalAverage="0" operator="greaterThan" aboveAverage="0" dxfId="10" text="" percent="0" bottom="0">
      <formula>30</formula>
    </cfRule>
  </conditionalFormatting>
  <conditionalFormatting sqref="G665">
    <cfRule type="cellIs" rank="0" priority="1979" equalAverage="0" operator="greaterThan" aboveAverage="0" dxfId="1" text="" percent="0" bottom="0">
      <formula>0</formula>
    </cfRule>
    <cfRule type="cellIs" rank="0" priority="1980" equalAverage="0" operator="lessThanOrEqual" aboveAverage="0" dxfId="0" text="" percent="0" bottom="0">
      <formula>0</formula>
    </cfRule>
  </conditionalFormatting>
  <conditionalFormatting sqref="F665">
    <cfRule type="cellIs" rank="0" priority="1981" equalAverage="0" operator="greaterThan" aboveAverage="0" dxfId="10" text="" percent="0" bottom="0">
      <formula>30</formula>
    </cfRule>
  </conditionalFormatting>
  <conditionalFormatting sqref="G666">
    <cfRule type="cellIs" rank="0" priority="1982" equalAverage="0" operator="greaterThan" aboveAverage="0" dxfId="1" text="" percent="0" bottom="0">
      <formula>0</formula>
    </cfRule>
    <cfRule type="cellIs" rank="0" priority="1983" equalAverage="0" operator="lessThanOrEqual" aboveAverage="0" dxfId="0" text="" percent="0" bottom="0">
      <formula>0</formula>
    </cfRule>
  </conditionalFormatting>
  <conditionalFormatting sqref="F666">
    <cfRule type="cellIs" rank="0" priority="1984" equalAverage="0" operator="greaterThan" aboveAverage="0" dxfId="10" text="" percent="0" bottom="0">
      <formula>30</formula>
    </cfRule>
  </conditionalFormatting>
  <conditionalFormatting sqref="G667">
    <cfRule type="cellIs" rank="0" priority="1985" equalAverage="0" operator="greaterThan" aboveAverage="0" dxfId="1" text="" percent="0" bottom="0">
      <formula>0</formula>
    </cfRule>
    <cfRule type="cellIs" rank="0" priority="1986" equalAverage="0" operator="lessThanOrEqual" aboveAverage="0" dxfId="0" text="" percent="0" bottom="0">
      <formula>0</formula>
    </cfRule>
  </conditionalFormatting>
  <conditionalFormatting sqref="F667">
    <cfRule type="cellIs" rank="0" priority="1987" equalAverage="0" operator="greaterThan" aboveAverage="0" dxfId="10" text="" percent="0" bottom="0">
      <formula>30</formula>
    </cfRule>
  </conditionalFormatting>
  <conditionalFormatting sqref="G668">
    <cfRule type="cellIs" rank="0" priority="1988" equalAverage="0" operator="greaterThan" aboveAverage="0" dxfId="1" text="" percent="0" bottom="0">
      <formula>0</formula>
    </cfRule>
    <cfRule type="cellIs" rank="0" priority="1989" equalAverage="0" operator="lessThanOrEqual" aboveAverage="0" dxfId="0" text="" percent="0" bottom="0">
      <formula>0</formula>
    </cfRule>
  </conditionalFormatting>
  <conditionalFormatting sqref="F668">
    <cfRule type="cellIs" rank="0" priority="1990" equalAverage="0" operator="greaterThan" aboveAverage="0" dxfId="10" text="" percent="0" bottom="0">
      <formula>30</formula>
    </cfRule>
  </conditionalFormatting>
  <conditionalFormatting sqref="G669">
    <cfRule type="cellIs" rank="0" priority="1991" equalAverage="0" operator="greaterThan" aboveAverage="0" dxfId="1" text="" percent="0" bottom="0">
      <formula>0</formula>
    </cfRule>
    <cfRule type="cellIs" rank="0" priority="1992" equalAverage="0" operator="lessThanOrEqual" aboveAverage="0" dxfId="0" text="" percent="0" bottom="0">
      <formula>0</formula>
    </cfRule>
  </conditionalFormatting>
  <conditionalFormatting sqref="F669">
    <cfRule type="cellIs" rank="0" priority="1993" equalAverage="0" operator="greaterThan" aboveAverage="0" dxfId="10" text="" percent="0" bottom="0">
      <formula>30</formula>
    </cfRule>
  </conditionalFormatting>
  <conditionalFormatting sqref="G670">
    <cfRule type="cellIs" rank="0" priority="1994" equalAverage="0" operator="greaterThan" aboveAverage="0" dxfId="1" text="" percent="0" bottom="0">
      <formula>0</formula>
    </cfRule>
    <cfRule type="cellIs" rank="0" priority="1995" equalAverage="0" operator="lessThanOrEqual" aboveAverage="0" dxfId="0" text="" percent="0" bottom="0">
      <formula>0</formula>
    </cfRule>
  </conditionalFormatting>
  <conditionalFormatting sqref="F670">
    <cfRule type="cellIs" rank="0" priority="1996" equalAverage="0" operator="greaterThan" aboveAverage="0" dxfId="10" text="" percent="0" bottom="0">
      <formula>30</formula>
    </cfRule>
  </conditionalFormatting>
  <conditionalFormatting sqref="G671">
    <cfRule type="cellIs" rank="0" priority="1997" equalAverage="0" operator="greaterThan" aboveAverage="0" dxfId="1" text="" percent="0" bottom="0">
      <formula>0</formula>
    </cfRule>
    <cfRule type="cellIs" rank="0" priority="1998" equalAverage="0" operator="lessThanOrEqual" aboveAverage="0" dxfId="0" text="" percent="0" bottom="0">
      <formula>0</formula>
    </cfRule>
  </conditionalFormatting>
  <conditionalFormatting sqref="F671">
    <cfRule type="cellIs" rank="0" priority="1999" equalAverage="0" operator="greaterThan" aboveAverage="0" dxfId="10" text="" percent="0" bottom="0">
      <formula>30</formula>
    </cfRule>
  </conditionalFormatting>
  <conditionalFormatting sqref="G672">
    <cfRule type="cellIs" rank="0" priority="2000" equalAverage="0" operator="greaterThan" aboveAverage="0" dxfId="1" text="" percent="0" bottom="0">
      <formula>0</formula>
    </cfRule>
    <cfRule type="cellIs" rank="0" priority="2001" equalAverage="0" operator="lessThanOrEqual" aboveAverage="0" dxfId="0" text="" percent="0" bottom="0">
      <formula>0</formula>
    </cfRule>
  </conditionalFormatting>
  <conditionalFormatting sqref="F672">
    <cfRule type="cellIs" rank="0" priority="2002" equalAverage="0" operator="greaterThan" aboveAverage="0" dxfId="10" text="" percent="0" bottom="0">
      <formula>30</formula>
    </cfRule>
  </conditionalFormatting>
  <conditionalFormatting sqref="G673">
    <cfRule type="cellIs" rank="0" priority="2003" equalAverage="0" operator="greaterThan" aboveAverage="0" dxfId="1" text="" percent="0" bottom="0">
      <formula>0</formula>
    </cfRule>
    <cfRule type="cellIs" rank="0" priority="2004" equalAverage="0" operator="lessThanOrEqual" aboveAverage="0" dxfId="0" text="" percent="0" bottom="0">
      <formula>0</formula>
    </cfRule>
  </conditionalFormatting>
  <conditionalFormatting sqref="F673">
    <cfRule type="cellIs" rank="0" priority="2005" equalAverage="0" operator="greaterThan" aboveAverage="0" dxfId="10" text="" percent="0" bottom="0">
      <formula>30</formula>
    </cfRule>
  </conditionalFormatting>
  <conditionalFormatting sqref="G674">
    <cfRule type="cellIs" rank="0" priority="2006" equalAverage="0" operator="greaterThan" aboveAverage="0" dxfId="1" text="" percent="0" bottom="0">
      <formula>0</formula>
    </cfRule>
    <cfRule type="cellIs" rank="0" priority="2007" equalAverage="0" operator="lessThanOrEqual" aboveAverage="0" dxfId="0" text="" percent="0" bottom="0">
      <formula>0</formula>
    </cfRule>
  </conditionalFormatting>
  <conditionalFormatting sqref="F674">
    <cfRule type="cellIs" rank="0" priority="2008" equalAverage="0" operator="greaterThan" aboveAverage="0" dxfId="10" text="" percent="0" bottom="0">
      <formula>30</formula>
    </cfRule>
  </conditionalFormatting>
  <conditionalFormatting sqref="G675">
    <cfRule type="cellIs" rank="0" priority="2009" equalAverage="0" operator="greaterThan" aboveAverage="0" dxfId="1" text="" percent="0" bottom="0">
      <formula>0</formula>
    </cfRule>
    <cfRule type="cellIs" rank="0" priority="2010" equalAverage="0" operator="lessThanOrEqual" aboveAverage="0" dxfId="0" text="" percent="0" bottom="0">
      <formula>0</formula>
    </cfRule>
  </conditionalFormatting>
  <conditionalFormatting sqref="F675">
    <cfRule type="cellIs" rank="0" priority="2011" equalAverage="0" operator="greaterThan" aboveAverage="0" dxfId="10" text="" percent="0" bottom="0">
      <formula>30</formula>
    </cfRule>
  </conditionalFormatting>
  <conditionalFormatting sqref="G676">
    <cfRule type="cellIs" rank="0" priority="2012" equalAverage="0" operator="greaterThan" aboveAverage="0" dxfId="1" text="" percent="0" bottom="0">
      <formula>0</formula>
    </cfRule>
    <cfRule type="cellIs" rank="0" priority="2013" equalAverage="0" operator="lessThanOrEqual" aboveAverage="0" dxfId="0" text="" percent="0" bottom="0">
      <formula>0</formula>
    </cfRule>
  </conditionalFormatting>
  <conditionalFormatting sqref="F676">
    <cfRule type="cellIs" rank="0" priority="2014" equalAverage="0" operator="greaterThan" aboveAverage="0" dxfId="10" text="" percent="0" bottom="0">
      <formula>30</formula>
    </cfRule>
  </conditionalFormatting>
  <conditionalFormatting sqref="G677">
    <cfRule type="cellIs" rank="0" priority="2015" equalAverage="0" operator="greaterThan" aboveAverage="0" dxfId="1" text="" percent="0" bottom="0">
      <formula>0</formula>
    </cfRule>
    <cfRule type="cellIs" rank="0" priority="2016" equalAverage="0" operator="lessThanOrEqual" aboveAverage="0" dxfId="0" text="" percent="0" bottom="0">
      <formula>0</formula>
    </cfRule>
  </conditionalFormatting>
  <conditionalFormatting sqref="F677">
    <cfRule type="cellIs" rank="0" priority="2017" equalAverage="0" operator="greaterThan" aboveAverage="0" dxfId="10" text="" percent="0" bottom="0">
      <formula>30</formula>
    </cfRule>
  </conditionalFormatting>
  <conditionalFormatting sqref="G678">
    <cfRule type="cellIs" rank="0" priority="2018" equalAverage="0" operator="greaterThan" aboveAverage="0" dxfId="1" text="" percent="0" bottom="0">
      <formula>0</formula>
    </cfRule>
    <cfRule type="cellIs" rank="0" priority="2019" equalAverage="0" operator="lessThanOrEqual" aboveAverage="0" dxfId="0" text="" percent="0" bottom="0">
      <formula>0</formula>
    </cfRule>
  </conditionalFormatting>
  <conditionalFormatting sqref="F678">
    <cfRule type="cellIs" rank="0" priority="2020" equalAverage="0" operator="greaterThan" aboveAverage="0" dxfId="10" text="" percent="0" bottom="0">
      <formula>30</formula>
    </cfRule>
  </conditionalFormatting>
  <conditionalFormatting sqref="G679">
    <cfRule type="cellIs" rank="0" priority="2021" equalAverage="0" operator="greaterThan" aboveAverage="0" dxfId="1" text="" percent="0" bottom="0">
      <formula>0</formula>
    </cfRule>
    <cfRule type="cellIs" rank="0" priority="2022" equalAverage="0" operator="lessThanOrEqual" aboveAverage="0" dxfId="0" text="" percent="0" bottom="0">
      <formula>0</formula>
    </cfRule>
  </conditionalFormatting>
  <conditionalFormatting sqref="F679">
    <cfRule type="cellIs" rank="0" priority="2023" equalAverage="0" operator="greaterThan" aboveAverage="0" dxfId="10" text="" percent="0" bottom="0">
      <formula>30</formula>
    </cfRule>
  </conditionalFormatting>
  <conditionalFormatting sqref="G680">
    <cfRule type="cellIs" rank="0" priority="2024" equalAverage="0" operator="greaterThan" aboveAverage="0" dxfId="1" text="" percent="0" bottom="0">
      <formula>0</formula>
    </cfRule>
    <cfRule type="cellIs" rank="0" priority="2025" equalAverage="0" operator="lessThanOrEqual" aboveAverage="0" dxfId="0" text="" percent="0" bottom="0">
      <formula>0</formula>
    </cfRule>
  </conditionalFormatting>
  <conditionalFormatting sqref="F680">
    <cfRule type="cellIs" rank="0" priority="2026" equalAverage="0" operator="greaterThan" aboveAverage="0" dxfId="10" text="" percent="0" bottom="0">
      <formula>30</formula>
    </cfRule>
  </conditionalFormatting>
  <conditionalFormatting sqref="G681">
    <cfRule type="cellIs" rank="0" priority="2027" equalAverage="0" operator="greaterThan" aboveAverage="0" dxfId="1" text="" percent="0" bottom="0">
      <formula>0</formula>
    </cfRule>
    <cfRule type="cellIs" rank="0" priority="2028" equalAverage="0" operator="lessThanOrEqual" aboveAverage="0" dxfId="0" text="" percent="0" bottom="0">
      <formula>0</formula>
    </cfRule>
  </conditionalFormatting>
  <conditionalFormatting sqref="F681">
    <cfRule type="cellIs" rank="0" priority="2029" equalAverage="0" operator="greaterThan" aboveAverage="0" dxfId="10" text="" percent="0" bottom="0">
      <formula>30</formula>
    </cfRule>
  </conditionalFormatting>
  <conditionalFormatting sqref="G682">
    <cfRule type="cellIs" rank="0" priority="2030" equalAverage="0" operator="greaterThan" aboveAverage="0" dxfId="1" text="" percent="0" bottom="0">
      <formula>0</formula>
    </cfRule>
    <cfRule type="cellIs" rank="0" priority="2031" equalAverage="0" operator="lessThanOrEqual" aboveAverage="0" dxfId="0" text="" percent="0" bottom="0">
      <formula>0</formula>
    </cfRule>
  </conditionalFormatting>
  <conditionalFormatting sqref="F682">
    <cfRule type="cellIs" rank="0" priority="2032" equalAverage="0" operator="greaterThan" aboveAverage="0" dxfId="10" text="" percent="0" bottom="0">
      <formula>30</formula>
    </cfRule>
  </conditionalFormatting>
  <conditionalFormatting sqref="G683">
    <cfRule type="cellIs" rank="0" priority="2033" equalAverage="0" operator="greaterThan" aboveAverage="0" dxfId="1" text="" percent="0" bottom="0">
      <formula>0</formula>
    </cfRule>
    <cfRule type="cellIs" rank="0" priority="2034" equalAverage="0" operator="lessThanOrEqual" aboveAverage="0" dxfId="0" text="" percent="0" bottom="0">
      <formula>0</formula>
    </cfRule>
  </conditionalFormatting>
  <conditionalFormatting sqref="F683">
    <cfRule type="cellIs" rank="0" priority="2035" equalAverage="0" operator="greaterThan" aboveAverage="0" dxfId="10" text="" percent="0" bottom="0">
      <formula>30</formula>
    </cfRule>
  </conditionalFormatting>
  <conditionalFormatting sqref="G684">
    <cfRule type="cellIs" rank="0" priority="2036" equalAverage="0" operator="greaterThan" aboveAverage="0" dxfId="1" text="" percent="0" bottom="0">
      <formula>0</formula>
    </cfRule>
    <cfRule type="cellIs" rank="0" priority="2037" equalAverage="0" operator="lessThanOrEqual" aboveAverage="0" dxfId="0" text="" percent="0" bottom="0">
      <formula>0</formula>
    </cfRule>
  </conditionalFormatting>
  <conditionalFormatting sqref="F684">
    <cfRule type="cellIs" rank="0" priority="2038" equalAverage="0" operator="greaterThan" aboveAverage="0" dxfId="10" text="" percent="0" bottom="0">
      <formula>30</formula>
    </cfRule>
  </conditionalFormatting>
  <conditionalFormatting sqref="G685">
    <cfRule type="cellIs" rank="0" priority="2039" equalAverage="0" operator="greaterThan" aboveAverage="0" dxfId="1" text="" percent="0" bottom="0">
      <formula>0</formula>
    </cfRule>
    <cfRule type="cellIs" rank="0" priority="2040" equalAverage="0" operator="lessThanOrEqual" aboveAverage="0" dxfId="0" text="" percent="0" bottom="0">
      <formula>0</formula>
    </cfRule>
  </conditionalFormatting>
  <conditionalFormatting sqref="F685">
    <cfRule type="cellIs" rank="0" priority="2041" equalAverage="0" operator="greaterThan" aboveAverage="0" dxfId="10" text="" percent="0" bottom="0">
      <formula>30</formula>
    </cfRule>
  </conditionalFormatting>
  <conditionalFormatting sqref="G686">
    <cfRule type="cellIs" rank="0" priority="2042" equalAverage="0" operator="greaterThan" aboveAverage="0" dxfId="1" text="" percent="0" bottom="0">
      <formula>0</formula>
    </cfRule>
    <cfRule type="cellIs" rank="0" priority="2043" equalAverage="0" operator="lessThanOrEqual" aboveAverage="0" dxfId="0" text="" percent="0" bottom="0">
      <formula>0</formula>
    </cfRule>
  </conditionalFormatting>
  <conditionalFormatting sqref="F686">
    <cfRule type="cellIs" rank="0" priority="2044" equalAverage="0" operator="greaterThan" aboveAverage="0" dxfId="10" text="" percent="0" bottom="0">
      <formula>30</formula>
    </cfRule>
  </conditionalFormatting>
  <conditionalFormatting sqref="G687">
    <cfRule type="cellIs" rank="0" priority="2045" equalAverage="0" operator="greaterThan" aboveAverage="0" dxfId="1" text="" percent="0" bottom="0">
      <formula>0</formula>
    </cfRule>
    <cfRule type="cellIs" rank="0" priority="2046" equalAverage="0" operator="lessThanOrEqual" aboveAverage="0" dxfId="0" text="" percent="0" bottom="0">
      <formula>0</formula>
    </cfRule>
  </conditionalFormatting>
  <conditionalFormatting sqref="F687">
    <cfRule type="cellIs" rank="0" priority="2047" equalAverage="0" operator="greaterThan" aboveAverage="0" dxfId="10" text="" percent="0" bottom="0">
      <formula>30</formula>
    </cfRule>
  </conditionalFormatting>
  <conditionalFormatting sqref="G688">
    <cfRule type="cellIs" rank="0" priority="2048" equalAverage="0" operator="greaterThan" aboveAverage="0" dxfId="1" text="" percent="0" bottom="0">
      <formula>0</formula>
    </cfRule>
    <cfRule type="cellIs" rank="0" priority="2049" equalAverage="0" operator="lessThanOrEqual" aboveAverage="0" dxfId="0" text="" percent="0" bottom="0">
      <formula>0</formula>
    </cfRule>
  </conditionalFormatting>
  <conditionalFormatting sqref="F688">
    <cfRule type="cellIs" rank="0" priority="2050" equalAverage="0" operator="greaterThan" aboveAverage="0" dxfId="10" text="" percent="0" bottom="0">
      <formula>30</formula>
    </cfRule>
  </conditionalFormatting>
  <conditionalFormatting sqref="G689">
    <cfRule type="cellIs" rank="0" priority="2051" equalAverage="0" operator="greaterThan" aboveAverage="0" dxfId="1" text="" percent="0" bottom="0">
      <formula>0</formula>
    </cfRule>
    <cfRule type="cellIs" rank="0" priority="2052" equalAverage="0" operator="lessThanOrEqual" aboveAverage="0" dxfId="0" text="" percent="0" bottom="0">
      <formula>0</formula>
    </cfRule>
  </conditionalFormatting>
  <conditionalFormatting sqref="F689">
    <cfRule type="cellIs" rank="0" priority="2053" equalAverage="0" operator="greaterThan" aboveAverage="0" dxfId="10" text="" percent="0" bottom="0">
      <formula>30</formula>
    </cfRule>
  </conditionalFormatting>
  <conditionalFormatting sqref="G690">
    <cfRule type="cellIs" rank="0" priority="2054" equalAverage="0" operator="greaterThan" aboveAverage="0" dxfId="1" text="" percent="0" bottom="0">
      <formula>0</formula>
    </cfRule>
    <cfRule type="cellIs" rank="0" priority="2055" equalAverage="0" operator="lessThanOrEqual" aboveAverage="0" dxfId="0" text="" percent="0" bottom="0">
      <formula>0</formula>
    </cfRule>
  </conditionalFormatting>
  <conditionalFormatting sqref="F690">
    <cfRule type="cellIs" rank="0" priority="2056" equalAverage="0" operator="greaterThan" aboveAverage="0" dxfId="10" text="" percent="0" bottom="0">
      <formula>30</formula>
    </cfRule>
  </conditionalFormatting>
  <conditionalFormatting sqref="G691">
    <cfRule type="cellIs" rank="0" priority="2057" equalAverage="0" operator="greaterThan" aboveAverage="0" dxfId="1" text="" percent="0" bottom="0">
      <formula>0</formula>
    </cfRule>
    <cfRule type="cellIs" rank="0" priority="2058" equalAverage="0" operator="lessThanOrEqual" aboveAverage="0" dxfId="0" text="" percent="0" bottom="0">
      <formula>0</formula>
    </cfRule>
  </conditionalFormatting>
  <conditionalFormatting sqref="F691">
    <cfRule type="cellIs" rank="0" priority="2059" equalAverage="0" operator="greaterThan" aboveAverage="0" dxfId="10" text="" percent="0" bottom="0">
      <formula>30</formula>
    </cfRule>
  </conditionalFormatting>
  <conditionalFormatting sqref="G692">
    <cfRule type="cellIs" rank="0" priority="2060" equalAverage="0" operator="greaterThan" aboveAverage="0" dxfId="1" text="" percent="0" bottom="0">
      <formula>0</formula>
    </cfRule>
    <cfRule type="cellIs" rank="0" priority="2061" equalAverage="0" operator="lessThanOrEqual" aboveAverage="0" dxfId="0" text="" percent="0" bottom="0">
      <formula>0</formula>
    </cfRule>
  </conditionalFormatting>
  <conditionalFormatting sqref="F692">
    <cfRule type="cellIs" rank="0" priority="2062" equalAverage="0" operator="greaterThan" aboveAverage="0" dxfId="10" text="" percent="0" bottom="0">
      <formula>30</formula>
    </cfRule>
  </conditionalFormatting>
  <conditionalFormatting sqref="G693">
    <cfRule type="cellIs" rank="0" priority="2063" equalAverage="0" operator="greaterThan" aboveAverage="0" dxfId="1" text="" percent="0" bottom="0">
      <formula>0</formula>
    </cfRule>
    <cfRule type="cellIs" rank="0" priority="2064" equalAverage="0" operator="lessThanOrEqual" aboveAverage="0" dxfId="0" text="" percent="0" bottom="0">
      <formula>0</formula>
    </cfRule>
  </conditionalFormatting>
  <conditionalFormatting sqref="F693">
    <cfRule type="cellIs" rank="0" priority="2065" equalAverage="0" operator="greaterThan" aboveAverage="0" dxfId="10" text="" percent="0" bottom="0">
      <formula>30</formula>
    </cfRule>
  </conditionalFormatting>
  <conditionalFormatting sqref="G694">
    <cfRule type="cellIs" rank="0" priority="2066" equalAverage="0" operator="greaterThan" aboveAverage="0" dxfId="1" text="" percent="0" bottom="0">
      <formula>0</formula>
    </cfRule>
    <cfRule type="cellIs" rank="0" priority="2067" equalAverage="0" operator="lessThanOrEqual" aboveAverage="0" dxfId="0" text="" percent="0" bottom="0">
      <formula>0</formula>
    </cfRule>
  </conditionalFormatting>
  <conditionalFormatting sqref="F694">
    <cfRule type="cellIs" rank="0" priority="2068" equalAverage="0" operator="greaterThan" aboveAverage="0" dxfId="10" text="" percent="0" bottom="0">
      <formula>30</formula>
    </cfRule>
  </conditionalFormatting>
  <conditionalFormatting sqref="G695">
    <cfRule type="cellIs" rank="0" priority="2069" equalAverage="0" operator="greaterThan" aboveAverage="0" dxfId="1" text="" percent="0" bottom="0">
      <formula>0</formula>
    </cfRule>
    <cfRule type="cellIs" rank="0" priority="2070" equalAverage="0" operator="lessThanOrEqual" aboveAverage="0" dxfId="0" text="" percent="0" bottom="0">
      <formula>0</formula>
    </cfRule>
  </conditionalFormatting>
  <conditionalFormatting sqref="F695">
    <cfRule type="cellIs" rank="0" priority="2071" equalAverage="0" operator="greaterThan" aboveAverage="0" dxfId="10" text="" percent="0" bottom="0">
      <formula>30</formula>
    </cfRule>
  </conditionalFormatting>
  <conditionalFormatting sqref="G696">
    <cfRule type="cellIs" rank="0" priority="2072" equalAverage="0" operator="greaterThan" aboveAverage="0" dxfId="1" text="" percent="0" bottom="0">
      <formula>0</formula>
    </cfRule>
    <cfRule type="cellIs" rank="0" priority="2073" equalAverage="0" operator="lessThanOrEqual" aboveAverage="0" dxfId="0" text="" percent="0" bottom="0">
      <formula>0</formula>
    </cfRule>
  </conditionalFormatting>
  <conditionalFormatting sqref="F696">
    <cfRule type="cellIs" rank="0" priority="2074" equalAverage="0" operator="greaterThan" aboveAverage="0" dxfId="10" text="" percent="0" bottom="0">
      <formula>30</formula>
    </cfRule>
  </conditionalFormatting>
  <conditionalFormatting sqref="G697">
    <cfRule type="cellIs" rank="0" priority="2075" equalAverage="0" operator="greaterThan" aboveAverage="0" dxfId="1" text="" percent="0" bottom="0">
      <formula>0</formula>
    </cfRule>
    <cfRule type="cellIs" rank="0" priority="2076" equalAverage="0" operator="lessThanOrEqual" aboveAverage="0" dxfId="0" text="" percent="0" bottom="0">
      <formula>0</formula>
    </cfRule>
  </conditionalFormatting>
  <conditionalFormatting sqref="F697">
    <cfRule type="cellIs" rank="0" priority="2077" equalAverage="0" operator="greaterThan" aboveAverage="0" dxfId="10" text="" percent="0" bottom="0">
      <formula>30</formula>
    </cfRule>
  </conditionalFormatting>
  <conditionalFormatting sqref="G698">
    <cfRule type="cellIs" rank="0" priority="2078" equalAverage="0" operator="greaterThan" aboveAverage="0" dxfId="1" text="" percent="0" bottom="0">
      <formula>0</formula>
    </cfRule>
    <cfRule type="cellIs" rank="0" priority="2079" equalAverage="0" operator="lessThanOrEqual" aboveAverage="0" dxfId="0" text="" percent="0" bottom="0">
      <formula>0</formula>
    </cfRule>
  </conditionalFormatting>
  <conditionalFormatting sqref="F698">
    <cfRule type="cellIs" rank="0" priority="2080" equalAverage="0" operator="greaterThan" aboveAverage="0" dxfId="10" text="" percent="0" bottom="0">
      <formula>30</formula>
    </cfRule>
  </conditionalFormatting>
  <conditionalFormatting sqref="G699">
    <cfRule type="cellIs" rank="0" priority="2081" equalAverage="0" operator="greaterThan" aboveAverage="0" dxfId="1" text="" percent="0" bottom="0">
      <formula>0</formula>
    </cfRule>
    <cfRule type="cellIs" rank="0" priority="2082" equalAverage="0" operator="lessThanOrEqual" aboveAverage="0" dxfId="0" text="" percent="0" bottom="0">
      <formula>0</formula>
    </cfRule>
  </conditionalFormatting>
  <conditionalFormatting sqref="F699">
    <cfRule type="cellIs" rank="0" priority="2083" equalAverage="0" operator="greaterThan" aboveAverage="0" dxfId="10" text="" percent="0" bottom="0">
      <formula>30</formula>
    </cfRule>
  </conditionalFormatting>
  <conditionalFormatting sqref="G700">
    <cfRule type="cellIs" rank="0" priority="2084" equalAverage="0" operator="greaterThan" aboveAverage="0" dxfId="1" text="" percent="0" bottom="0">
      <formula>0</formula>
    </cfRule>
    <cfRule type="cellIs" rank="0" priority="2085" equalAverage="0" operator="lessThanOrEqual" aboveAverage="0" dxfId="0" text="" percent="0" bottom="0">
      <formula>0</formula>
    </cfRule>
  </conditionalFormatting>
  <conditionalFormatting sqref="F700">
    <cfRule type="cellIs" rank="0" priority="2086" equalAverage="0" operator="greaterThan" aboveAverage="0" dxfId="10" text="" percent="0" bottom="0">
      <formula>30</formula>
    </cfRule>
  </conditionalFormatting>
  <conditionalFormatting sqref="G701">
    <cfRule type="cellIs" rank="0" priority="2087" equalAverage="0" operator="greaterThan" aboveAverage="0" dxfId="1" text="" percent="0" bottom="0">
      <formula>0</formula>
    </cfRule>
    <cfRule type="cellIs" rank="0" priority="2088" equalAverage="0" operator="lessThanOrEqual" aboveAverage="0" dxfId="0" text="" percent="0" bottom="0">
      <formula>0</formula>
    </cfRule>
  </conditionalFormatting>
  <conditionalFormatting sqref="F701">
    <cfRule type="cellIs" rank="0" priority="2089" equalAverage="0" operator="greaterThan" aboveAverage="0" dxfId="10" text="" percent="0" bottom="0">
      <formula>30</formula>
    </cfRule>
  </conditionalFormatting>
  <conditionalFormatting sqref="G702">
    <cfRule type="cellIs" rank="0" priority="2090" equalAverage="0" operator="greaterThan" aboveAverage="0" dxfId="1" text="" percent="0" bottom="0">
      <formula>0</formula>
    </cfRule>
    <cfRule type="cellIs" rank="0" priority="2091" equalAverage="0" operator="lessThanOrEqual" aboveAverage="0" dxfId="0" text="" percent="0" bottom="0">
      <formula>0</formula>
    </cfRule>
  </conditionalFormatting>
  <conditionalFormatting sqref="F702">
    <cfRule type="cellIs" rank="0" priority="2092" equalAverage="0" operator="greaterThan" aboveAverage="0" dxfId="10" text="" percent="0" bottom="0">
      <formula>30</formula>
    </cfRule>
  </conditionalFormatting>
  <conditionalFormatting sqref="G703">
    <cfRule type="cellIs" rank="0" priority="2093" equalAverage="0" operator="greaterThan" aboveAverage="0" dxfId="1" text="" percent="0" bottom="0">
      <formula>0</formula>
    </cfRule>
    <cfRule type="cellIs" rank="0" priority="2094" equalAverage="0" operator="lessThanOrEqual" aboveAverage="0" dxfId="0" text="" percent="0" bottom="0">
      <formula>0</formula>
    </cfRule>
  </conditionalFormatting>
  <conditionalFormatting sqref="F703">
    <cfRule type="cellIs" rank="0" priority="2095" equalAverage="0" operator="greaterThan" aboveAverage="0" dxfId="10" text="" percent="0" bottom="0">
      <formula>30</formula>
    </cfRule>
  </conditionalFormatting>
  <conditionalFormatting sqref="G704">
    <cfRule type="cellIs" rank="0" priority="2096" equalAverage="0" operator="greaterThan" aboveAverage="0" dxfId="1" text="" percent="0" bottom="0">
      <formula>0</formula>
    </cfRule>
    <cfRule type="cellIs" rank="0" priority="2097" equalAverage="0" operator="lessThanOrEqual" aboveAverage="0" dxfId="0" text="" percent="0" bottom="0">
      <formula>0</formula>
    </cfRule>
  </conditionalFormatting>
  <conditionalFormatting sqref="F704">
    <cfRule type="cellIs" rank="0" priority="2098" equalAverage="0" operator="greaterThan" aboveAverage="0" dxfId="10" text="" percent="0" bottom="0">
      <formula>30</formula>
    </cfRule>
  </conditionalFormatting>
  <conditionalFormatting sqref="G705">
    <cfRule type="cellIs" rank="0" priority="2099" equalAverage="0" operator="greaterThan" aboveAverage="0" dxfId="1" text="" percent="0" bottom="0">
      <formula>0</formula>
    </cfRule>
    <cfRule type="cellIs" rank="0" priority="2100" equalAverage="0" operator="lessThanOrEqual" aboveAverage="0" dxfId="0" text="" percent="0" bottom="0">
      <formula>0</formula>
    </cfRule>
  </conditionalFormatting>
  <conditionalFormatting sqref="F705">
    <cfRule type="cellIs" rank="0" priority="2101" equalAverage="0" operator="greaterThan" aboveAverage="0" dxfId="10" text="" percent="0" bottom="0">
      <formula>30</formula>
    </cfRule>
  </conditionalFormatting>
  <conditionalFormatting sqref="G706">
    <cfRule type="cellIs" rank="0" priority="2102" equalAverage="0" operator="greaterThan" aboveAverage="0" dxfId="1" text="" percent="0" bottom="0">
      <formula>0</formula>
    </cfRule>
    <cfRule type="cellIs" rank="0" priority="2103" equalAverage="0" operator="lessThanOrEqual" aboveAverage="0" dxfId="0" text="" percent="0" bottom="0">
      <formula>0</formula>
    </cfRule>
  </conditionalFormatting>
  <conditionalFormatting sqref="F706">
    <cfRule type="cellIs" rank="0" priority="2104" equalAverage="0" operator="greaterThan" aboveAverage="0" dxfId="10" text="" percent="0" bottom="0">
      <formula>30</formula>
    </cfRule>
  </conditionalFormatting>
  <conditionalFormatting sqref="G707">
    <cfRule type="cellIs" rank="0" priority="2105" equalAverage="0" operator="greaterThan" aboveAverage="0" dxfId="1" text="" percent="0" bottom="0">
      <formula>0</formula>
    </cfRule>
    <cfRule type="cellIs" rank="0" priority="2106" equalAverage="0" operator="lessThanOrEqual" aboveAverage="0" dxfId="0" text="" percent="0" bottom="0">
      <formula>0</formula>
    </cfRule>
  </conditionalFormatting>
  <conditionalFormatting sqref="F707">
    <cfRule type="cellIs" rank="0" priority="2107" equalAverage="0" operator="greaterThan" aboveAverage="0" dxfId="10" text="" percent="0" bottom="0">
      <formula>30</formula>
    </cfRule>
  </conditionalFormatting>
  <conditionalFormatting sqref="G708">
    <cfRule type="cellIs" rank="0" priority="2108" equalAverage="0" operator="greaterThan" aboveAverage="0" dxfId="1" text="" percent="0" bottom="0">
      <formula>0</formula>
    </cfRule>
    <cfRule type="cellIs" rank="0" priority="2109" equalAverage="0" operator="lessThanOrEqual" aboveAverage="0" dxfId="0" text="" percent="0" bottom="0">
      <formula>0</formula>
    </cfRule>
  </conditionalFormatting>
  <conditionalFormatting sqref="F708">
    <cfRule type="cellIs" rank="0" priority="2110" equalAverage="0" operator="greaterThan" aboveAverage="0" dxfId="10" text="" percent="0" bottom="0">
      <formula>30</formula>
    </cfRule>
  </conditionalFormatting>
  <conditionalFormatting sqref="G709">
    <cfRule type="cellIs" rank="0" priority="2111" equalAverage="0" operator="greaterThan" aboveAverage="0" dxfId="1" text="" percent="0" bottom="0">
      <formula>0</formula>
    </cfRule>
    <cfRule type="cellIs" rank="0" priority="2112" equalAverage="0" operator="lessThanOrEqual" aboveAverage="0" dxfId="0" text="" percent="0" bottom="0">
      <formula>0</formula>
    </cfRule>
  </conditionalFormatting>
  <conditionalFormatting sqref="F709">
    <cfRule type="cellIs" rank="0" priority="2113" equalAverage="0" operator="greaterThan" aboveAverage="0" dxfId="10" text="" percent="0" bottom="0">
      <formula>30</formula>
    </cfRule>
  </conditionalFormatting>
  <conditionalFormatting sqref="G710">
    <cfRule type="cellIs" rank="0" priority="2114" equalAverage="0" operator="greaterThan" aboveAverage="0" dxfId="1" text="" percent="0" bottom="0">
      <formula>0</formula>
    </cfRule>
    <cfRule type="cellIs" rank="0" priority="2115" equalAverage="0" operator="lessThanOrEqual" aboveAverage="0" dxfId="0" text="" percent="0" bottom="0">
      <formula>0</formula>
    </cfRule>
  </conditionalFormatting>
  <conditionalFormatting sqref="F710">
    <cfRule type="cellIs" rank="0" priority="2116" equalAverage="0" operator="greaterThan" aboveAverage="0" dxfId="10" text="" percent="0" bottom="0">
      <formula>30</formula>
    </cfRule>
  </conditionalFormatting>
  <conditionalFormatting sqref="G711">
    <cfRule type="cellIs" rank="0" priority="2117" equalAverage="0" operator="greaterThan" aboveAverage="0" dxfId="1" text="" percent="0" bottom="0">
      <formula>0</formula>
    </cfRule>
    <cfRule type="cellIs" rank="0" priority="2118" equalAverage="0" operator="lessThanOrEqual" aboveAverage="0" dxfId="0" text="" percent="0" bottom="0">
      <formula>0</formula>
    </cfRule>
  </conditionalFormatting>
  <conditionalFormatting sqref="F711">
    <cfRule type="cellIs" rank="0" priority="2119" equalAverage="0" operator="greaterThan" aboveAverage="0" dxfId="10" text="" percent="0" bottom="0">
      <formula>30</formula>
    </cfRule>
  </conditionalFormatting>
  <conditionalFormatting sqref="G712">
    <cfRule type="cellIs" rank="0" priority="2120" equalAverage="0" operator="greaterThan" aboveAverage="0" dxfId="1" text="" percent="0" bottom="0">
      <formula>0</formula>
    </cfRule>
    <cfRule type="cellIs" rank="0" priority="2121" equalAverage="0" operator="lessThanOrEqual" aboveAverage="0" dxfId="0" text="" percent="0" bottom="0">
      <formula>0</formula>
    </cfRule>
  </conditionalFormatting>
  <conditionalFormatting sqref="F712">
    <cfRule type="cellIs" rank="0" priority="2122" equalAverage="0" operator="greaterThan" aboveAverage="0" dxfId="10" text="" percent="0" bottom="0">
      <formula>30</formula>
    </cfRule>
  </conditionalFormatting>
  <conditionalFormatting sqref="G713">
    <cfRule type="cellIs" rank="0" priority="2123" equalAverage="0" operator="greaterThan" aboveAverage="0" dxfId="1" text="" percent="0" bottom="0">
      <formula>0</formula>
    </cfRule>
    <cfRule type="cellIs" rank="0" priority="2124" equalAverage="0" operator="lessThanOrEqual" aboveAverage="0" dxfId="0" text="" percent="0" bottom="0">
      <formula>0</formula>
    </cfRule>
  </conditionalFormatting>
  <conditionalFormatting sqref="F713">
    <cfRule type="cellIs" rank="0" priority="2125" equalAverage="0" operator="greaterThan" aboveAverage="0" dxfId="10" text="" percent="0" bottom="0">
      <formula>30</formula>
    </cfRule>
  </conditionalFormatting>
  <conditionalFormatting sqref="G714">
    <cfRule type="cellIs" rank="0" priority="2126" equalAverage="0" operator="greaterThan" aboveAverage="0" dxfId="1" text="" percent="0" bottom="0">
      <formula>0</formula>
    </cfRule>
    <cfRule type="cellIs" rank="0" priority="2127" equalAverage="0" operator="lessThanOrEqual" aboveAverage="0" dxfId="0" text="" percent="0" bottom="0">
      <formula>0</formula>
    </cfRule>
  </conditionalFormatting>
  <conditionalFormatting sqref="F714">
    <cfRule type="cellIs" rank="0" priority="2128" equalAverage="0" operator="greaterThan" aboveAverage="0" dxfId="10" text="" percent="0" bottom="0">
      <formula>30</formula>
    </cfRule>
  </conditionalFormatting>
  <conditionalFormatting sqref="G715">
    <cfRule type="cellIs" rank="0" priority="2129" equalAverage="0" operator="greaterThan" aboveAverage="0" dxfId="1" text="" percent="0" bottom="0">
      <formula>0</formula>
    </cfRule>
    <cfRule type="cellIs" rank="0" priority="2130" equalAverage="0" operator="lessThanOrEqual" aboveAverage="0" dxfId="0" text="" percent="0" bottom="0">
      <formula>0</formula>
    </cfRule>
  </conditionalFormatting>
  <conditionalFormatting sqref="F715">
    <cfRule type="cellIs" rank="0" priority="2131" equalAverage="0" operator="greaterThan" aboveAverage="0" dxfId="10" text="" percent="0" bottom="0">
      <formula>30</formula>
    </cfRule>
  </conditionalFormatting>
  <conditionalFormatting sqref="G716">
    <cfRule type="cellIs" rank="0" priority="2132" equalAverage="0" operator="greaterThan" aboveAverage="0" dxfId="1" text="" percent="0" bottom="0">
      <formula>0</formula>
    </cfRule>
    <cfRule type="cellIs" rank="0" priority="2133" equalAverage="0" operator="lessThanOrEqual" aboveAverage="0" dxfId="0" text="" percent="0" bottom="0">
      <formula>0</formula>
    </cfRule>
  </conditionalFormatting>
  <conditionalFormatting sqref="F716">
    <cfRule type="cellIs" rank="0" priority="2134" equalAverage="0" operator="greaterThan" aboveAverage="0" dxfId="10" text="" percent="0" bottom="0">
      <formula>30</formula>
    </cfRule>
  </conditionalFormatting>
  <conditionalFormatting sqref="G717">
    <cfRule type="cellIs" rank="0" priority="2135" equalAverage="0" operator="greaterThan" aboveAverage="0" dxfId="1" text="" percent="0" bottom="0">
      <formula>0</formula>
    </cfRule>
    <cfRule type="cellIs" rank="0" priority="2136" equalAverage="0" operator="lessThanOrEqual" aboveAverage="0" dxfId="0" text="" percent="0" bottom="0">
      <formula>0</formula>
    </cfRule>
  </conditionalFormatting>
  <conditionalFormatting sqref="F717">
    <cfRule type="cellIs" rank="0" priority="2137" equalAverage="0" operator="greaterThan" aboveAverage="0" dxfId="10" text="" percent="0" bottom="0">
      <formula>30</formula>
    </cfRule>
  </conditionalFormatting>
  <conditionalFormatting sqref="G718">
    <cfRule type="cellIs" rank="0" priority="2138" equalAverage="0" operator="greaterThan" aboveAverage="0" dxfId="1" text="" percent="0" bottom="0">
      <formula>0</formula>
    </cfRule>
    <cfRule type="cellIs" rank="0" priority="2139" equalAverage="0" operator="lessThanOrEqual" aboveAverage="0" dxfId="0" text="" percent="0" bottom="0">
      <formula>0</formula>
    </cfRule>
  </conditionalFormatting>
  <conditionalFormatting sqref="F718">
    <cfRule type="cellIs" rank="0" priority="2140" equalAverage="0" operator="greaterThan" aboveAverage="0" dxfId="10" text="" percent="0" bottom="0">
      <formula>30</formula>
    </cfRule>
  </conditionalFormatting>
  <conditionalFormatting sqref="G719">
    <cfRule type="cellIs" rank="0" priority="2141" equalAverage="0" operator="greaterThan" aboveAverage="0" dxfId="1" text="" percent="0" bottom="0">
      <formula>0</formula>
    </cfRule>
    <cfRule type="cellIs" rank="0" priority="2142" equalAverage="0" operator="lessThanOrEqual" aboveAverage="0" dxfId="0" text="" percent="0" bottom="0">
      <formula>0</formula>
    </cfRule>
  </conditionalFormatting>
  <conditionalFormatting sqref="F719">
    <cfRule type="cellIs" rank="0" priority="2143" equalAverage="0" operator="greaterThan" aboveAverage="0" dxfId="10" text="" percent="0" bottom="0">
      <formula>30</formula>
    </cfRule>
  </conditionalFormatting>
  <conditionalFormatting sqref="G720">
    <cfRule type="cellIs" rank="0" priority="2144" equalAverage="0" operator="greaterThan" aboveAverage="0" dxfId="1" text="" percent="0" bottom="0">
      <formula>0</formula>
    </cfRule>
    <cfRule type="cellIs" rank="0" priority="2145" equalAverage="0" operator="lessThanOrEqual" aboveAverage="0" dxfId="0" text="" percent="0" bottom="0">
      <formula>0</formula>
    </cfRule>
  </conditionalFormatting>
  <conditionalFormatting sqref="F720">
    <cfRule type="cellIs" rank="0" priority="2146" equalAverage="0" operator="greaterThan" aboveAverage="0" dxfId="10" text="" percent="0" bottom="0">
      <formula>30</formula>
    </cfRule>
  </conditionalFormatting>
  <conditionalFormatting sqref="G721">
    <cfRule type="cellIs" rank="0" priority="2147" equalAverage="0" operator="greaterThan" aboveAverage="0" dxfId="1" text="" percent="0" bottom="0">
      <formula>0</formula>
    </cfRule>
    <cfRule type="cellIs" rank="0" priority="2148" equalAverage="0" operator="lessThanOrEqual" aboveAverage="0" dxfId="0" text="" percent="0" bottom="0">
      <formula>0</formula>
    </cfRule>
  </conditionalFormatting>
  <conditionalFormatting sqref="F721">
    <cfRule type="cellIs" rank="0" priority="2149" equalAverage="0" operator="greaterThan" aboveAverage="0" dxfId="10" text="" percent="0" bottom="0">
      <formula>30</formula>
    </cfRule>
  </conditionalFormatting>
  <conditionalFormatting sqref="G722">
    <cfRule type="cellIs" rank="0" priority="2150" equalAverage="0" operator="greaterThan" aboveAverage="0" dxfId="1" text="" percent="0" bottom="0">
      <formula>0</formula>
    </cfRule>
    <cfRule type="cellIs" rank="0" priority="2151" equalAverage="0" operator="lessThanOrEqual" aboveAverage="0" dxfId="0" text="" percent="0" bottom="0">
      <formula>0</formula>
    </cfRule>
  </conditionalFormatting>
  <conditionalFormatting sqref="F722">
    <cfRule type="cellIs" rank="0" priority="2152" equalAverage="0" operator="greaterThan" aboveAverage="0" dxfId="10" text="" percent="0" bottom="0">
      <formula>30</formula>
    </cfRule>
  </conditionalFormatting>
  <conditionalFormatting sqref="G723">
    <cfRule type="cellIs" rank="0" priority="2153" equalAverage="0" operator="greaterThan" aboveAverage="0" dxfId="1" text="" percent="0" bottom="0">
      <formula>0</formula>
    </cfRule>
    <cfRule type="cellIs" rank="0" priority="2154" equalAverage="0" operator="lessThanOrEqual" aboveAverage="0" dxfId="0" text="" percent="0" bottom="0">
      <formula>0</formula>
    </cfRule>
  </conditionalFormatting>
  <conditionalFormatting sqref="F723">
    <cfRule type="cellIs" rank="0" priority="2155" equalAverage="0" operator="greaterThan" aboveAverage="0" dxfId="10" text="" percent="0" bottom="0">
      <formula>30</formula>
    </cfRule>
  </conditionalFormatting>
  <conditionalFormatting sqref="G724">
    <cfRule type="cellIs" rank="0" priority="2156" equalAverage="0" operator="greaterThan" aboveAverage="0" dxfId="1" text="" percent="0" bottom="0">
      <formula>0</formula>
    </cfRule>
    <cfRule type="cellIs" rank="0" priority="2157" equalAverage="0" operator="lessThanOrEqual" aboveAverage="0" dxfId="0" text="" percent="0" bottom="0">
      <formula>0</formula>
    </cfRule>
  </conditionalFormatting>
  <conditionalFormatting sqref="F724">
    <cfRule type="cellIs" rank="0" priority="2158" equalAverage="0" operator="greaterThan" aboveAverage="0" dxfId="10" text="" percent="0" bottom="0">
      <formula>30</formula>
    </cfRule>
  </conditionalFormatting>
  <conditionalFormatting sqref="G725">
    <cfRule type="cellIs" rank="0" priority="2159" equalAverage="0" operator="greaterThan" aboveAverage="0" dxfId="1" text="" percent="0" bottom="0">
      <formula>0</formula>
    </cfRule>
    <cfRule type="cellIs" rank="0" priority="2160" equalAverage="0" operator="lessThanOrEqual" aboveAverage="0" dxfId="0" text="" percent="0" bottom="0">
      <formula>0</formula>
    </cfRule>
  </conditionalFormatting>
  <conditionalFormatting sqref="F725">
    <cfRule type="cellIs" rank="0" priority="2161" equalAverage="0" operator="greaterThan" aboveAverage="0" dxfId="10" text="" percent="0" bottom="0">
      <formula>30</formula>
    </cfRule>
  </conditionalFormatting>
  <conditionalFormatting sqref="G726">
    <cfRule type="cellIs" rank="0" priority="2162" equalAverage="0" operator="greaterThan" aboveAverage="0" dxfId="1" text="" percent="0" bottom="0">
      <formula>0</formula>
    </cfRule>
    <cfRule type="cellIs" rank="0" priority="2163" equalAverage="0" operator="lessThanOrEqual" aboveAverage="0" dxfId="0" text="" percent="0" bottom="0">
      <formula>0</formula>
    </cfRule>
  </conditionalFormatting>
  <conditionalFormatting sqref="F726">
    <cfRule type="cellIs" rank="0" priority="2164" equalAverage="0" operator="greaterThan" aboveAverage="0" dxfId="10" text="" percent="0" bottom="0">
      <formula>30</formula>
    </cfRule>
  </conditionalFormatting>
  <conditionalFormatting sqref="G727">
    <cfRule type="cellIs" rank="0" priority="2165" equalAverage="0" operator="greaterThan" aboveAverage="0" dxfId="1" text="" percent="0" bottom="0">
      <formula>0</formula>
    </cfRule>
    <cfRule type="cellIs" rank="0" priority="2166" equalAverage="0" operator="lessThanOrEqual" aboveAverage="0" dxfId="0" text="" percent="0" bottom="0">
      <formula>0</formula>
    </cfRule>
  </conditionalFormatting>
  <conditionalFormatting sqref="F727">
    <cfRule type="cellIs" rank="0" priority="2167" equalAverage="0" operator="greaterThan" aboveAverage="0" dxfId="10" text="" percent="0" bottom="0">
      <formula>30</formula>
    </cfRule>
  </conditionalFormatting>
  <conditionalFormatting sqref="G728">
    <cfRule type="cellIs" rank="0" priority="2168" equalAverage="0" operator="greaterThan" aboveAverage="0" dxfId="1" text="" percent="0" bottom="0">
      <formula>0</formula>
    </cfRule>
    <cfRule type="cellIs" rank="0" priority="2169" equalAverage="0" operator="lessThanOrEqual" aboveAverage="0" dxfId="0" text="" percent="0" bottom="0">
      <formula>0</formula>
    </cfRule>
  </conditionalFormatting>
  <conditionalFormatting sqref="F728">
    <cfRule type="cellIs" rank="0" priority="2170" equalAverage="0" operator="greaterThan" aboveAverage="0" dxfId="10" text="" percent="0" bottom="0">
      <formula>30</formula>
    </cfRule>
  </conditionalFormatting>
  <conditionalFormatting sqref="G729">
    <cfRule type="cellIs" rank="0" priority="2171" equalAverage="0" operator="greaterThan" aboveAverage="0" dxfId="1" text="" percent="0" bottom="0">
      <formula>0</formula>
    </cfRule>
    <cfRule type="cellIs" rank="0" priority="2172" equalAverage="0" operator="lessThanOrEqual" aboveAverage="0" dxfId="0" text="" percent="0" bottom="0">
      <formula>0</formula>
    </cfRule>
  </conditionalFormatting>
  <conditionalFormatting sqref="F729">
    <cfRule type="cellIs" rank="0" priority="2173" equalAverage="0" operator="greaterThan" aboveAverage="0" dxfId="10" text="" percent="0" bottom="0">
      <formula>30</formula>
    </cfRule>
  </conditionalFormatting>
  <conditionalFormatting sqref="G730">
    <cfRule type="cellIs" rank="0" priority="2174" equalAverage="0" operator="greaterThan" aboveAverage="0" dxfId="1" text="" percent="0" bottom="0">
      <formula>0</formula>
    </cfRule>
    <cfRule type="cellIs" rank="0" priority="2175" equalAverage="0" operator="lessThanOrEqual" aboveAverage="0" dxfId="0" text="" percent="0" bottom="0">
      <formula>0</formula>
    </cfRule>
  </conditionalFormatting>
  <conditionalFormatting sqref="F730">
    <cfRule type="cellIs" rank="0" priority="2176" equalAverage="0" operator="greaterThan" aboveAverage="0" dxfId="10" text="" percent="0" bottom="0">
      <formula>30</formula>
    </cfRule>
  </conditionalFormatting>
  <conditionalFormatting sqref="G731">
    <cfRule type="cellIs" rank="0" priority="2177" equalAverage="0" operator="greaterThan" aboveAverage="0" dxfId="1" text="" percent="0" bottom="0">
      <formula>0</formula>
    </cfRule>
    <cfRule type="cellIs" rank="0" priority="2178" equalAverage="0" operator="lessThanOrEqual" aboveAverage="0" dxfId="0" text="" percent="0" bottom="0">
      <formula>0</formula>
    </cfRule>
  </conditionalFormatting>
  <conditionalFormatting sqref="F731">
    <cfRule type="cellIs" rank="0" priority="2179" equalAverage="0" operator="greaterThan" aboveAverage="0" dxfId="10" text="" percent="0" bottom="0">
      <formula>30</formula>
    </cfRule>
  </conditionalFormatting>
  <conditionalFormatting sqref="G732">
    <cfRule type="cellIs" rank="0" priority="2180" equalAverage="0" operator="greaterThan" aboveAverage="0" dxfId="1" text="" percent="0" bottom="0">
      <formula>0</formula>
    </cfRule>
    <cfRule type="cellIs" rank="0" priority="2181" equalAverage="0" operator="lessThanOrEqual" aboveAverage="0" dxfId="0" text="" percent="0" bottom="0">
      <formula>0</formula>
    </cfRule>
  </conditionalFormatting>
  <conditionalFormatting sqref="F732">
    <cfRule type="cellIs" rank="0" priority="2182" equalAverage="0" operator="greaterThan" aboveAverage="0" dxfId="10" text="" percent="0" bottom="0">
      <formula>30</formula>
    </cfRule>
  </conditionalFormatting>
  <conditionalFormatting sqref="G733">
    <cfRule type="cellIs" rank="0" priority="2183" equalAverage="0" operator="greaterThan" aboveAverage="0" dxfId="1" text="" percent="0" bottom="0">
      <formula>0</formula>
    </cfRule>
    <cfRule type="cellIs" rank="0" priority="2184" equalAverage="0" operator="lessThanOrEqual" aboveAverage="0" dxfId="0" text="" percent="0" bottom="0">
      <formula>0</formula>
    </cfRule>
  </conditionalFormatting>
  <conditionalFormatting sqref="F733">
    <cfRule type="cellIs" rank="0" priority="2185" equalAverage="0" operator="greaterThan" aboveAverage="0" dxfId="10" text="" percent="0" bottom="0">
      <formula>30</formula>
    </cfRule>
  </conditionalFormatting>
  <conditionalFormatting sqref="G734">
    <cfRule type="cellIs" rank="0" priority="2186" equalAverage="0" operator="greaterThan" aboveAverage="0" dxfId="1" text="" percent="0" bottom="0">
      <formula>0</formula>
    </cfRule>
    <cfRule type="cellIs" rank="0" priority="2187" equalAverage="0" operator="lessThanOrEqual" aboveAverage="0" dxfId="0" text="" percent="0" bottom="0">
      <formula>0</formula>
    </cfRule>
  </conditionalFormatting>
  <conditionalFormatting sqref="F734">
    <cfRule type="cellIs" rank="0" priority="2188" equalAverage="0" operator="greaterThan" aboveAverage="0" dxfId="10" text="" percent="0" bottom="0">
      <formula>30</formula>
    </cfRule>
  </conditionalFormatting>
  <conditionalFormatting sqref="G735">
    <cfRule type="cellIs" rank="0" priority="2189" equalAverage="0" operator="greaterThan" aboveAverage="0" dxfId="1" text="" percent="0" bottom="0">
      <formula>0</formula>
    </cfRule>
    <cfRule type="cellIs" rank="0" priority="2190" equalAverage="0" operator="lessThanOrEqual" aboveAverage="0" dxfId="0" text="" percent="0" bottom="0">
      <formula>0</formula>
    </cfRule>
  </conditionalFormatting>
  <conditionalFormatting sqref="F735">
    <cfRule type="cellIs" rank="0" priority="2191" equalAverage="0" operator="greaterThan" aboveAverage="0" dxfId="10" text="" percent="0" bottom="0">
      <formula>30</formula>
    </cfRule>
  </conditionalFormatting>
  <conditionalFormatting sqref="G736">
    <cfRule type="cellIs" rank="0" priority="2192" equalAverage="0" operator="greaterThan" aboveAverage="0" dxfId="1" text="" percent="0" bottom="0">
      <formula>0</formula>
    </cfRule>
    <cfRule type="cellIs" rank="0" priority="2193" equalAverage="0" operator="lessThanOrEqual" aboveAverage="0" dxfId="0" text="" percent="0" bottom="0">
      <formula>0</formula>
    </cfRule>
  </conditionalFormatting>
  <conditionalFormatting sqref="F736">
    <cfRule type="cellIs" rank="0" priority="2194" equalAverage="0" operator="greaterThan" aboveAverage="0" dxfId="10" text="" percent="0" bottom="0">
      <formula>30</formula>
    </cfRule>
  </conditionalFormatting>
  <conditionalFormatting sqref="G737">
    <cfRule type="cellIs" rank="0" priority="2195" equalAverage="0" operator="greaterThan" aboveAverage="0" dxfId="1" text="" percent="0" bottom="0">
      <formula>0</formula>
    </cfRule>
    <cfRule type="cellIs" rank="0" priority="2196" equalAverage="0" operator="lessThanOrEqual" aboveAverage="0" dxfId="0" text="" percent="0" bottom="0">
      <formula>0</formula>
    </cfRule>
  </conditionalFormatting>
  <conditionalFormatting sqref="F737">
    <cfRule type="cellIs" rank="0" priority="2197" equalAverage="0" operator="greaterThan" aboveAverage="0" dxfId="10" text="" percent="0" bottom="0">
      <formula>30</formula>
    </cfRule>
  </conditionalFormatting>
  <conditionalFormatting sqref="G738">
    <cfRule type="cellIs" rank="0" priority="2198" equalAverage="0" operator="greaterThan" aboveAverage="0" dxfId="1" text="" percent="0" bottom="0">
      <formula>0</formula>
    </cfRule>
    <cfRule type="cellIs" rank="0" priority="2199" equalAverage="0" operator="lessThanOrEqual" aboveAverage="0" dxfId="0" text="" percent="0" bottom="0">
      <formula>0</formula>
    </cfRule>
  </conditionalFormatting>
  <conditionalFormatting sqref="F738">
    <cfRule type="cellIs" rank="0" priority="2200" equalAverage="0" operator="greaterThan" aboveAverage="0" dxfId="10" text="" percent="0" bottom="0">
      <formula>30</formula>
    </cfRule>
  </conditionalFormatting>
  <conditionalFormatting sqref="G739">
    <cfRule type="cellIs" rank="0" priority="2201" equalAverage="0" operator="greaterThan" aboveAverage="0" dxfId="1" text="" percent="0" bottom="0">
      <formula>0</formula>
    </cfRule>
    <cfRule type="cellIs" rank="0" priority="2202" equalAverage="0" operator="lessThanOrEqual" aboveAverage="0" dxfId="0" text="" percent="0" bottom="0">
      <formula>0</formula>
    </cfRule>
  </conditionalFormatting>
  <conditionalFormatting sqref="F739">
    <cfRule type="cellIs" rank="0" priority="2203" equalAverage="0" operator="greaterThan" aboveAverage="0" dxfId="10" text="" percent="0" bottom="0">
      <formula>30</formula>
    </cfRule>
  </conditionalFormatting>
  <conditionalFormatting sqref="G740">
    <cfRule type="cellIs" rank="0" priority="2204" equalAverage="0" operator="greaterThan" aboveAverage="0" dxfId="1" text="" percent="0" bottom="0">
      <formula>0</formula>
    </cfRule>
    <cfRule type="cellIs" rank="0" priority="2205" equalAverage="0" operator="lessThanOrEqual" aboveAverage="0" dxfId="0" text="" percent="0" bottom="0">
      <formula>0</formula>
    </cfRule>
  </conditionalFormatting>
  <conditionalFormatting sqref="F740">
    <cfRule type="cellIs" rank="0" priority="2206" equalAverage="0" operator="greaterThan" aboveAverage="0" dxfId="10" text="" percent="0" bottom="0">
      <formula>30</formula>
    </cfRule>
  </conditionalFormatting>
  <conditionalFormatting sqref="G741">
    <cfRule type="cellIs" rank="0" priority="2207" equalAverage="0" operator="greaterThan" aboveAverage="0" dxfId="1" text="" percent="0" bottom="0">
      <formula>0</formula>
    </cfRule>
    <cfRule type="cellIs" rank="0" priority="2208" equalAverage="0" operator="lessThanOrEqual" aboveAverage="0" dxfId="0" text="" percent="0" bottom="0">
      <formula>0</formula>
    </cfRule>
  </conditionalFormatting>
  <conditionalFormatting sqref="F741">
    <cfRule type="cellIs" rank="0" priority="2209" equalAverage="0" operator="greaterThan" aboveAverage="0" dxfId="10" text="" percent="0" bottom="0">
      <formula>30</formula>
    </cfRule>
  </conditionalFormatting>
  <conditionalFormatting sqref="G742">
    <cfRule type="cellIs" rank="0" priority="2210" equalAverage="0" operator="greaterThan" aboveAverage="0" dxfId="1" text="" percent="0" bottom="0">
      <formula>0</formula>
    </cfRule>
    <cfRule type="cellIs" rank="0" priority="2211" equalAverage="0" operator="lessThanOrEqual" aboveAverage="0" dxfId="0" text="" percent="0" bottom="0">
      <formula>0</formula>
    </cfRule>
  </conditionalFormatting>
  <conditionalFormatting sqref="F742">
    <cfRule type="cellIs" rank="0" priority="2212" equalAverage="0" operator="greaterThan" aboveAverage="0" dxfId="10" text="" percent="0" bottom="0">
      <formula>30</formula>
    </cfRule>
  </conditionalFormatting>
  <conditionalFormatting sqref="G743">
    <cfRule type="cellIs" rank="0" priority="2213" equalAverage="0" operator="greaterThan" aboveAverage="0" dxfId="1" text="" percent="0" bottom="0">
      <formula>0</formula>
    </cfRule>
    <cfRule type="cellIs" rank="0" priority="2214" equalAverage="0" operator="lessThanOrEqual" aboveAverage="0" dxfId="0" text="" percent="0" bottom="0">
      <formula>0</formula>
    </cfRule>
  </conditionalFormatting>
  <conditionalFormatting sqref="F743">
    <cfRule type="cellIs" rank="0" priority="2215" equalAverage="0" operator="greaterThan" aboveAverage="0" dxfId="10" text="" percent="0" bottom="0">
      <formula>30</formula>
    </cfRule>
  </conditionalFormatting>
  <conditionalFormatting sqref="G744">
    <cfRule type="cellIs" rank="0" priority="2216" equalAverage="0" operator="greaterThan" aboveAverage="0" dxfId="1" text="" percent="0" bottom="0">
      <formula>0</formula>
    </cfRule>
    <cfRule type="cellIs" rank="0" priority="2217" equalAverage="0" operator="lessThanOrEqual" aboveAverage="0" dxfId="0" text="" percent="0" bottom="0">
      <formula>0</formula>
    </cfRule>
  </conditionalFormatting>
  <conditionalFormatting sqref="F744">
    <cfRule type="cellIs" rank="0" priority="2218" equalAverage="0" operator="greaterThan" aboveAverage="0" dxfId="10" text="" percent="0" bottom="0">
      <formula>30</formula>
    </cfRule>
  </conditionalFormatting>
  <conditionalFormatting sqref="G745">
    <cfRule type="cellIs" rank="0" priority="2219" equalAverage="0" operator="greaterThan" aboveAverage="0" dxfId="1" text="" percent="0" bottom="0">
      <formula>0</formula>
    </cfRule>
    <cfRule type="cellIs" rank="0" priority="2220" equalAverage="0" operator="lessThanOrEqual" aboveAverage="0" dxfId="0" text="" percent="0" bottom="0">
      <formula>0</formula>
    </cfRule>
  </conditionalFormatting>
  <conditionalFormatting sqref="F745">
    <cfRule type="cellIs" rank="0" priority="2221" equalAverage="0" operator="greaterThan" aboveAverage="0" dxfId="10" text="" percent="0" bottom="0">
      <formula>30</formula>
    </cfRule>
  </conditionalFormatting>
  <conditionalFormatting sqref="G746">
    <cfRule type="cellIs" rank="0" priority="2222" equalAverage="0" operator="greaterThan" aboveAverage="0" dxfId="1" text="" percent="0" bottom="0">
      <formula>0</formula>
    </cfRule>
    <cfRule type="cellIs" rank="0" priority="2223" equalAverage="0" operator="lessThanOrEqual" aboveAverage="0" dxfId="0" text="" percent="0" bottom="0">
      <formula>0</formula>
    </cfRule>
  </conditionalFormatting>
  <conditionalFormatting sqref="F746">
    <cfRule type="cellIs" rank="0" priority="2224" equalAverage="0" operator="greaterThan" aboveAverage="0" dxfId="10" text="" percent="0" bottom="0">
      <formula>30</formula>
    </cfRule>
  </conditionalFormatting>
  <conditionalFormatting sqref="G747">
    <cfRule type="cellIs" rank="0" priority="2225" equalAverage="0" operator="greaterThan" aboveAverage="0" dxfId="1" text="" percent="0" bottom="0">
      <formula>0</formula>
    </cfRule>
    <cfRule type="cellIs" rank="0" priority="2226" equalAverage="0" operator="lessThanOrEqual" aboveAverage="0" dxfId="0" text="" percent="0" bottom="0">
      <formula>0</formula>
    </cfRule>
  </conditionalFormatting>
  <conditionalFormatting sqref="F747">
    <cfRule type="cellIs" rank="0" priority="2227" equalAverage="0" operator="greaterThan" aboveAverage="0" dxfId="10" text="" percent="0" bottom="0">
      <formula>30</formula>
    </cfRule>
  </conditionalFormatting>
  <conditionalFormatting sqref="G748">
    <cfRule type="cellIs" rank="0" priority="2228" equalAverage="0" operator="greaterThan" aboveAverage="0" dxfId="1" text="" percent="0" bottom="0">
      <formula>0</formula>
    </cfRule>
    <cfRule type="cellIs" rank="0" priority="2229" equalAverage="0" operator="lessThanOrEqual" aboveAverage="0" dxfId="0" text="" percent="0" bottom="0">
      <formula>0</formula>
    </cfRule>
  </conditionalFormatting>
  <conditionalFormatting sqref="F748">
    <cfRule type="cellIs" rank="0" priority="2230" equalAverage="0" operator="greaterThan" aboveAverage="0" dxfId="10" text="" percent="0" bottom="0">
      <formula>30</formula>
    </cfRule>
  </conditionalFormatting>
  <conditionalFormatting sqref="G749">
    <cfRule type="cellIs" rank="0" priority="2231" equalAverage="0" operator="greaterThan" aboveAverage="0" dxfId="1" text="" percent="0" bottom="0">
      <formula>0</formula>
    </cfRule>
    <cfRule type="cellIs" rank="0" priority="2232" equalAverage="0" operator="lessThanOrEqual" aboveAverage="0" dxfId="0" text="" percent="0" bottom="0">
      <formula>0</formula>
    </cfRule>
  </conditionalFormatting>
  <conditionalFormatting sqref="F749">
    <cfRule type="cellIs" rank="0" priority="2233" equalAverage="0" operator="greaterThan" aboveAverage="0" dxfId="10" text="" percent="0" bottom="0">
      <formula>30</formula>
    </cfRule>
  </conditionalFormatting>
  <conditionalFormatting sqref="G750">
    <cfRule type="cellIs" rank="0" priority="2234" equalAverage="0" operator="greaterThan" aboveAverage="0" dxfId="1" text="" percent="0" bottom="0">
      <formula>0</formula>
    </cfRule>
    <cfRule type="cellIs" rank="0" priority="2235" equalAverage="0" operator="lessThanOrEqual" aboveAverage="0" dxfId="0" text="" percent="0" bottom="0">
      <formula>0</formula>
    </cfRule>
  </conditionalFormatting>
  <conditionalFormatting sqref="F750">
    <cfRule type="cellIs" rank="0" priority="2236" equalAverage="0" operator="greaterThan" aboveAverage="0" dxfId="10" text="" percent="0" bottom="0">
      <formula>30</formula>
    </cfRule>
  </conditionalFormatting>
  <conditionalFormatting sqref="G751">
    <cfRule type="cellIs" rank="0" priority="2237" equalAverage="0" operator="greaterThan" aboveAverage="0" dxfId="1" text="" percent="0" bottom="0">
      <formula>0</formula>
    </cfRule>
    <cfRule type="cellIs" rank="0" priority="2238" equalAverage="0" operator="lessThanOrEqual" aboveAverage="0" dxfId="0" text="" percent="0" bottom="0">
      <formula>0</formula>
    </cfRule>
  </conditionalFormatting>
  <conditionalFormatting sqref="F751">
    <cfRule type="cellIs" rank="0" priority="2239" equalAverage="0" operator="greaterThan" aboveAverage="0" dxfId="10" text="" percent="0" bottom="0">
      <formula>30</formula>
    </cfRule>
  </conditionalFormatting>
  <conditionalFormatting sqref="G752">
    <cfRule type="cellIs" rank="0" priority="2240" equalAverage="0" operator="greaterThan" aboveAverage="0" dxfId="1" text="" percent="0" bottom="0">
      <formula>0</formula>
    </cfRule>
    <cfRule type="cellIs" rank="0" priority="2241" equalAverage="0" operator="lessThanOrEqual" aboveAverage="0" dxfId="0" text="" percent="0" bottom="0">
      <formula>0</formula>
    </cfRule>
  </conditionalFormatting>
  <conditionalFormatting sqref="F752">
    <cfRule type="cellIs" rank="0" priority="2242" equalAverage="0" operator="greaterThan" aboveAverage="0" dxfId="10" text="" percent="0" bottom="0">
      <formula>30</formula>
    </cfRule>
  </conditionalFormatting>
  <conditionalFormatting sqref="G753">
    <cfRule type="cellIs" rank="0" priority="2243" equalAverage="0" operator="greaterThan" aboveAverage="0" dxfId="1" text="" percent="0" bottom="0">
      <formula>0</formula>
    </cfRule>
    <cfRule type="cellIs" rank="0" priority="2244" equalAverage="0" operator="lessThanOrEqual" aboveAverage="0" dxfId="0" text="" percent="0" bottom="0">
      <formula>0</formula>
    </cfRule>
  </conditionalFormatting>
  <conditionalFormatting sqref="F753">
    <cfRule type="cellIs" rank="0" priority="2245" equalAverage="0" operator="greaterThan" aboveAverage="0" dxfId="10" text="" percent="0" bottom="0">
      <formula>30</formula>
    </cfRule>
  </conditionalFormatting>
  <conditionalFormatting sqref="G754">
    <cfRule type="cellIs" rank="0" priority="2246" equalAverage="0" operator="greaterThan" aboveAverage="0" dxfId="1" text="" percent="0" bottom="0">
      <formula>0</formula>
    </cfRule>
    <cfRule type="cellIs" rank="0" priority="2247" equalAverage="0" operator="lessThanOrEqual" aboveAverage="0" dxfId="0" text="" percent="0" bottom="0">
      <formula>0</formula>
    </cfRule>
  </conditionalFormatting>
  <conditionalFormatting sqref="F754">
    <cfRule type="cellIs" rank="0" priority="2248" equalAverage="0" operator="greaterThan" aboveAverage="0" dxfId="10" text="" percent="0" bottom="0">
      <formula>30</formula>
    </cfRule>
  </conditionalFormatting>
  <conditionalFormatting sqref="G755">
    <cfRule type="cellIs" rank="0" priority="2249" equalAverage="0" operator="greaterThan" aboveAverage="0" dxfId="1" text="" percent="0" bottom="0">
      <formula>0</formula>
    </cfRule>
    <cfRule type="cellIs" rank="0" priority="2250" equalAverage="0" operator="lessThanOrEqual" aboveAverage="0" dxfId="0" text="" percent="0" bottom="0">
      <formula>0</formula>
    </cfRule>
  </conditionalFormatting>
  <conditionalFormatting sqref="F755">
    <cfRule type="cellIs" rank="0" priority="2251" equalAverage="0" operator="greaterThan" aboveAverage="0" dxfId="10" text="" percent="0" bottom="0">
      <formula>30</formula>
    </cfRule>
  </conditionalFormatting>
  <conditionalFormatting sqref="G756">
    <cfRule type="cellIs" rank="0" priority="2252" equalAverage="0" operator="greaterThan" aboveAverage="0" dxfId="1" text="" percent="0" bottom="0">
      <formula>0</formula>
    </cfRule>
    <cfRule type="cellIs" rank="0" priority="2253" equalAverage="0" operator="lessThanOrEqual" aboveAverage="0" dxfId="0" text="" percent="0" bottom="0">
      <formula>0</formula>
    </cfRule>
  </conditionalFormatting>
  <conditionalFormatting sqref="F756">
    <cfRule type="cellIs" rank="0" priority="2254" equalAverage="0" operator="greaterThan" aboveAverage="0" dxfId="10" text="" percent="0" bottom="0">
      <formula>30</formula>
    </cfRule>
  </conditionalFormatting>
  <conditionalFormatting sqref="G757">
    <cfRule type="cellIs" rank="0" priority="2255" equalAverage="0" operator="greaterThan" aboveAverage="0" dxfId="1" text="" percent="0" bottom="0">
      <formula>0</formula>
    </cfRule>
    <cfRule type="cellIs" rank="0" priority="2256" equalAverage="0" operator="lessThanOrEqual" aboveAverage="0" dxfId="0" text="" percent="0" bottom="0">
      <formula>0</formula>
    </cfRule>
  </conditionalFormatting>
  <conditionalFormatting sqref="F757">
    <cfRule type="cellIs" rank="0" priority="2257" equalAverage="0" operator="greaterThan" aboveAverage="0" dxfId="10" text="" percent="0" bottom="0">
      <formula>30</formula>
    </cfRule>
  </conditionalFormatting>
  <conditionalFormatting sqref="G758">
    <cfRule type="cellIs" rank="0" priority="2258" equalAverage="0" operator="greaterThan" aboveAverage="0" dxfId="1" text="" percent="0" bottom="0">
      <formula>0</formula>
    </cfRule>
    <cfRule type="cellIs" rank="0" priority="2259" equalAverage="0" operator="lessThanOrEqual" aboveAverage="0" dxfId="0" text="" percent="0" bottom="0">
      <formula>0</formula>
    </cfRule>
  </conditionalFormatting>
  <conditionalFormatting sqref="F758">
    <cfRule type="cellIs" rank="0" priority="2260" equalAverage="0" operator="greaterThan" aboveAverage="0" dxfId="10" text="" percent="0" bottom="0">
      <formula>30</formula>
    </cfRule>
  </conditionalFormatting>
  <conditionalFormatting sqref="G759">
    <cfRule type="cellIs" rank="0" priority="2261" equalAverage="0" operator="greaterThan" aboveAverage="0" dxfId="1" text="" percent="0" bottom="0">
      <formula>0</formula>
    </cfRule>
    <cfRule type="cellIs" rank="0" priority="2262" equalAverage="0" operator="lessThanOrEqual" aboveAverage="0" dxfId="0" text="" percent="0" bottom="0">
      <formula>0</formula>
    </cfRule>
  </conditionalFormatting>
  <conditionalFormatting sqref="F759">
    <cfRule type="cellIs" rank="0" priority="2263" equalAverage="0" operator="greaterThan" aboveAverage="0" dxfId="10" text="" percent="0" bottom="0">
      <formula>30</formula>
    </cfRule>
  </conditionalFormatting>
  <conditionalFormatting sqref="G760">
    <cfRule type="cellIs" rank="0" priority="2264" equalAverage="0" operator="greaterThan" aboveAverage="0" dxfId="1" text="" percent="0" bottom="0">
      <formula>0</formula>
    </cfRule>
    <cfRule type="cellIs" rank="0" priority="2265" equalAverage="0" operator="lessThanOrEqual" aboveAverage="0" dxfId="0" text="" percent="0" bottom="0">
      <formula>0</formula>
    </cfRule>
  </conditionalFormatting>
  <conditionalFormatting sqref="F760">
    <cfRule type="cellIs" rank="0" priority="2266" equalAverage="0" operator="greaterThan" aboveAverage="0" dxfId="10" text="" percent="0" bottom="0">
      <formula>30</formula>
    </cfRule>
  </conditionalFormatting>
  <conditionalFormatting sqref="G761">
    <cfRule type="cellIs" rank="0" priority="2267" equalAverage="0" operator="greaterThan" aboveAverage="0" dxfId="1" text="" percent="0" bottom="0">
      <formula>0</formula>
    </cfRule>
    <cfRule type="cellIs" rank="0" priority="2268" equalAverage="0" operator="lessThanOrEqual" aboveAverage="0" dxfId="0" text="" percent="0" bottom="0">
      <formula>0</formula>
    </cfRule>
  </conditionalFormatting>
  <conditionalFormatting sqref="F761">
    <cfRule type="cellIs" rank="0" priority="2269" equalAverage="0" operator="greaterThan" aboveAverage="0" dxfId="10" text="" percent="0" bottom="0">
      <formula>30</formula>
    </cfRule>
  </conditionalFormatting>
  <conditionalFormatting sqref="G762">
    <cfRule type="cellIs" rank="0" priority="2270" equalAverage="0" operator="greaterThan" aboveAverage="0" dxfId="1" text="" percent="0" bottom="0">
      <formula>0</formula>
    </cfRule>
    <cfRule type="cellIs" rank="0" priority="2271" equalAverage="0" operator="lessThanOrEqual" aboveAverage="0" dxfId="0" text="" percent="0" bottom="0">
      <formula>0</formula>
    </cfRule>
  </conditionalFormatting>
  <conditionalFormatting sqref="F762">
    <cfRule type="cellIs" rank="0" priority="2272" equalAverage="0" operator="greaterThan" aboveAverage="0" dxfId="10" text="" percent="0" bottom="0">
      <formula>30</formula>
    </cfRule>
  </conditionalFormatting>
  <conditionalFormatting sqref="G763">
    <cfRule type="cellIs" rank="0" priority="2273" equalAverage="0" operator="greaterThan" aboveAverage="0" dxfId="1" text="" percent="0" bottom="0">
      <formula>0</formula>
    </cfRule>
    <cfRule type="cellIs" rank="0" priority="2274" equalAverage="0" operator="lessThanOrEqual" aboveAverage="0" dxfId="0" text="" percent="0" bottom="0">
      <formula>0</formula>
    </cfRule>
  </conditionalFormatting>
  <conditionalFormatting sqref="F763">
    <cfRule type="cellIs" rank="0" priority="2275" equalAverage="0" operator="greaterThan" aboveAverage="0" dxfId="10" text="" percent="0" bottom="0">
      <formula>30</formula>
    </cfRule>
  </conditionalFormatting>
  <conditionalFormatting sqref="G764">
    <cfRule type="cellIs" rank="0" priority="2276" equalAverage="0" operator="greaterThan" aboveAverage="0" dxfId="1" text="" percent="0" bottom="0">
      <formula>0</formula>
    </cfRule>
    <cfRule type="cellIs" rank="0" priority="2277" equalAverage="0" operator="lessThanOrEqual" aboveAverage="0" dxfId="0" text="" percent="0" bottom="0">
      <formula>0</formula>
    </cfRule>
  </conditionalFormatting>
  <conditionalFormatting sqref="F764">
    <cfRule type="cellIs" rank="0" priority="2278" equalAverage="0" operator="greaterThan" aboveAverage="0" dxfId="10" text="" percent="0" bottom="0">
      <formula>30</formula>
    </cfRule>
  </conditionalFormatting>
  <conditionalFormatting sqref="G765">
    <cfRule type="cellIs" rank="0" priority="2279" equalAverage="0" operator="greaterThan" aboveAverage="0" dxfId="1" text="" percent="0" bottom="0">
      <formula>0</formula>
    </cfRule>
    <cfRule type="cellIs" rank="0" priority="2280" equalAverage="0" operator="lessThanOrEqual" aboveAverage="0" dxfId="0" text="" percent="0" bottom="0">
      <formula>0</formula>
    </cfRule>
  </conditionalFormatting>
  <conditionalFormatting sqref="F765">
    <cfRule type="cellIs" rank="0" priority="2281" equalAverage="0" operator="greaterThan" aboveAverage="0" dxfId="10" text="" percent="0" bottom="0">
      <formula>30</formula>
    </cfRule>
  </conditionalFormatting>
  <conditionalFormatting sqref="G766">
    <cfRule type="cellIs" rank="0" priority="2282" equalAverage="0" operator="greaterThan" aboveAverage="0" dxfId="1" text="" percent="0" bottom="0">
      <formula>0</formula>
    </cfRule>
    <cfRule type="cellIs" rank="0" priority="2283" equalAverage="0" operator="lessThanOrEqual" aboveAverage="0" dxfId="0" text="" percent="0" bottom="0">
      <formula>0</formula>
    </cfRule>
  </conditionalFormatting>
  <conditionalFormatting sqref="F766">
    <cfRule type="cellIs" rank="0" priority="2284" equalAverage="0" operator="greaterThan" aboveAverage="0" dxfId="10" text="" percent="0" bottom="0">
      <formula>30</formula>
    </cfRule>
  </conditionalFormatting>
  <conditionalFormatting sqref="G767">
    <cfRule type="cellIs" rank="0" priority="2285" equalAverage="0" operator="greaterThan" aboveAverage="0" dxfId="1" text="" percent="0" bottom="0">
      <formula>0</formula>
    </cfRule>
    <cfRule type="cellIs" rank="0" priority="2286" equalAverage="0" operator="lessThanOrEqual" aboveAverage="0" dxfId="0" text="" percent="0" bottom="0">
      <formula>0</formula>
    </cfRule>
  </conditionalFormatting>
  <conditionalFormatting sqref="F767">
    <cfRule type="cellIs" rank="0" priority="2287" equalAverage="0" operator="greaterThan" aboveAverage="0" dxfId="10" text="" percent="0" bottom="0">
      <formula>30</formula>
    </cfRule>
  </conditionalFormatting>
  <conditionalFormatting sqref="G768">
    <cfRule type="cellIs" rank="0" priority="2288" equalAverage="0" operator="greaterThan" aboveAverage="0" dxfId="1" text="" percent="0" bottom="0">
      <formula>0</formula>
    </cfRule>
    <cfRule type="cellIs" rank="0" priority="2289" equalAverage="0" operator="lessThanOrEqual" aboveAverage="0" dxfId="0" text="" percent="0" bottom="0">
      <formula>0</formula>
    </cfRule>
  </conditionalFormatting>
  <conditionalFormatting sqref="F768">
    <cfRule type="cellIs" rank="0" priority="2290" equalAverage="0" operator="greaterThan" aboveAverage="0" dxfId="10" text="" percent="0" bottom="0">
      <formula>30</formula>
    </cfRule>
  </conditionalFormatting>
  <conditionalFormatting sqref="G769">
    <cfRule type="cellIs" rank="0" priority="2291" equalAverage="0" operator="greaterThan" aboveAverage="0" dxfId="1" text="" percent="0" bottom="0">
      <formula>0</formula>
    </cfRule>
    <cfRule type="cellIs" rank="0" priority="2292" equalAverage="0" operator="lessThanOrEqual" aboveAverage="0" dxfId="0" text="" percent="0" bottom="0">
      <formula>0</formula>
    </cfRule>
  </conditionalFormatting>
  <conditionalFormatting sqref="F769">
    <cfRule type="cellIs" rank="0" priority="2293" equalAverage="0" operator="greaterThan" aboveAverage="0" dxfId="10" text="" percent="0" bottom="0">
      <formula>30</formula>
    </cfRule>
  </conditionalFormatting>
  <conditionalFormatting sqref="G770">
    <cfRule type="cellIs" rank="0" priority="2294" equalAverage="0" operator="greaterThan" aboveAverage="0" dxfId="1" text="" percent="0" bottom="0">
      <formula>0</formula>
    </cfRule>
    <cfRule type="cellIs" rank="0" priority="2295" equalAverage="0" operator="lessThanOrEqual" aboveAverage="0" dxfId="0" text="" percent="0" bottom="0">
      <formula>0</formula>
    </cfRule>
  </conditionalFormatting>
  <conditionalFormatting sqref="F770">
    <cfRule type="cellIs" rank="0" priority="2296" equalAverage="0" operator="greaterThan" aboveAverage="0" dxfId="10" text="" percent="0" bottom="0">
      <formula>30</formula>
    </cfRule>
  </conditionalFormatting>
  <conditionalFormatting sqref="G771">
    <cfRule type="cellIs" rank="0" priority="2297" equalAverage="0" operator="greaterThan" aboveAverage="0" dxfId="1" text="" percent="0" bottom="0">
      <formula>0</formula>
    </cfRule>
    <cfRule type="cellIs" rank="0" priority="2298" equalAverage="0" operator="lessThanOrEqual" aboveAverage="0" dxfId="0" text="" percent="0" bottom="0">
      <formula>0</formula>
    </cfRule>
  </conditionalFormatting>
  <conditionalFormatting sqref="F771">
    <cfRule type="cellIs" rank="0" priority="2299" equalAverage="0" operator="greaterThan" aboveAverage="0" dxfId="10" text="" percent="0" bottom="0">
      <formula>30</formula>
    </cfRule>
  </conditionalFormatting>
  <conditionalFormatting sqref="G772">
    <cfRule type="cellIs" rank="0" priority="2300" equalAverage="0" operator="greaterThan" aboveAverage="0" dxfId="1" text="" percent="0" bottom="0">
      <formula>0</formula>
    </cfRule>
    <cfRule type="cellIs" rank="0" priority="2301" equalAverage="0" operator="lessThanOrEqual" aboveAverage="0" dxfId="0" text="" percent="0" bottom="0">
      <formula>0</formula>
    </cfRule>
  </conditionalFormatting>
  <conditionalFormatting sqref="F772">
    <cfRule type="cellIs" rank="0" priority="2302" equalAverage="0" operator="greaterThan" aboveAverage="0" dxfId="10" text="" percent="0" bottom="0">
      <formula>30</formula>
    </cfRule>
  </conditionalFormatting>
  <conditionalFormatting sqref="G773">
    <cfRule type="cellIs" rank="0" priority="2303" equalAverage="0" operator="greaterThan" aboveAverage="0" dxfId="1" text="" percent="0" bottom="0">
      <formula>0</formula>
    </cfRule>
    <cfRule type="cellIs" rank="0" priority="2304" equalAverage="0" operator="lessThanOrEqual" aboveAverage="0" dxfId="0" text="" percent="0" bottom="0">
      <formula>0</formula>
    </cfRule>
  </conditionalFormatting>
  <conditionalFormatting sqref="F773">
    <cfRule type="cellIs" rank="0" priority="2305" equalAverage="0" operator="greaterThan" aboveAverage="0" dxfId="10" text="" percent="0" bottom="0">
      <formula>30</formula>
    </cfRule>
  </conditionalFormatting>
  <conditionalFormatting sqref="G774">
    <cfRule type="cellIs" rank="0" priority="2306" equalAverage="0" operator="greaterThan" aboveAverage="0" dxfId="1" text="" percent="0" bottom="0">
      <formula>0</formula>
    </cfRule>
    <cfRule type="cellIs" rank="0" priority="2307" equalAverage="0" operator="lessThanOrEqual" aboveAverage="0" dxfId="0" text="" percent="0" bottom="0">
      <formula>0</formula>
    </cfRule>
  </conditionalFormatting>
  <conditionalFormatting sqref="F774">
    <cfRule type="cellIs" rank="0" priority="2308" equalAverage="0" operator="greaterThan" aboveAverage="0" dxfId="10" text="" percent="0" bottom="0">
      <formula>30</formula>
    </cfRule>
  </conditionalFormatting>
  <conditionalFormatting sqref="G775">
    <cfRule type="cellIs" rank="0" priority="2309" equalAverage="0" operator="greaterThan" aboveAverage="0" dxfId="1" text="" percent="0" bottom="0">
      <formula>0</formula>
    </cfRule>
    <cfRule type="cellIs" rank="0" priority="2310" equalAverage="0" operator="lessThanOrEqual" aboveAverage="0" dxfId="0" text="" percent="0" bottom="0">
      <formula>0</formula>
    </cfRule>
  </conditionalFormatting>
  <conditionalFormatting sqref="F775">
    <cfRule type="cellIs" rank="0" priority="2311" equalAverage="0" operator="greaterThan" aboveAverage="0" dxfId="10" text="" percent="0" bottom="0">
      <formula>30</formula>
    </cfRule>
  </conditionalFormatting>
  <conditionalFormatting sqref="G776">
    <cfRule type="cellIs" rank="0" priority="2312" equalAverage="0" operator="greaterThan" aboveAverage="0" dxfId="1" text="" percent="0" bottom="0">
      <formula>0</formula>
    </cfRule>
    <cfRule type="cellIs" rank="0" priority="2313" equalAverage="0" operator="lessThanOrEqual" aboveAverage="0" dxfId="0" text="" percent="0" bottom="0">
      <formula>0</formula>
    </cfRule>
  </conditionalFormatting>
  <conditionalFormatting sqref="F776">
    <cfRule type="cellIs" rank="0" priority="2314" equalAverage="0" operator="greaterThan" aboveAverage="0" dxfId="10" text="" percent="0" bottom="0">
      <formula>30</formula>
    </cfRule>
  </conditionalFormatting>
  <conditionalFormatting sqref="G777">
    <cfRule type="cellIs" rank="0" priority="2315" equalAverage="0" operator="greaterThan" aboveAverage="0" dxfId="1" text="" percent="0" bottom="0">
      <formula>0</formula>
    </cfRule>
    <cfRule type="cellIs" rank="0" priority="2316" equalAverage="0" operator="lessThanOrEqual" aboveAverage="0" dxfId="0" text="" percent="0" bottom="0">
      <formula>0</formula>
    </cfRule>
  </conditionalFormatting>
  <conditionalFormatting sqref="F777">
    <cfRule type="cellIs" rank="0" priority="2317" equalAverage="0" operator="greaterThan" aboveAverage="0" dxfId="10" text="" percent="0" bottom="0">
      <formula>30</formula>
    </cfRule>
  </conditionalFormatting>
  <conditionalFormatting sqref="G778">
    <cfRule type="cellIs" rank="0" priority="2318" equalAverage="0" operator="greaterThan" aboveAverage="0" dxfId="1" text="" percent="0" bottom="0">
      <formula>0</formula>
    </cfRule>
    <cfRule type="cellIs" rank="0" priority="2319" equalAverage="0" operator="lessThanOrEqual" aboveAverage="0" dxfId="0" text="" percent="0" bottom="0">
      <formula>0</formula>
    </cfRule>
  </conditionalFormatting>
  <conditionalFormatting sqref="F778">
    <cfRule type="cellIs" rank="0" priority="2320" equalAverage="0" operator="greaterThan" aboveAverage="0" dxfId="10" text="" percent="0" bottom="0">
      <formula>30</formula>
    </cfRule>
  </conditionalFormatting>
  <conditionalFormatting sqref="G779">
    <cfRule type="cellIs" rank="0" priority="2321" equalAverage="0" operator="greaterThan" aboveAverage="0" dxfId="1" text="" percent="0" bottom="0">
      <formula>0</formula>
    </cfRule>
    <cfRule type="cellIs" rank="0" priority="2322" equalAverage="0" operator="lessThanOrEqual" aboveAverage="0" dxfId="0" text="" percent="0" bottom="0">
      <formula>0</formula>
    </cfRule>
  </conditionalFormatting>
  <conditionalFormatting sqref="F779">
    <cfRule type="cellIs" rank="0" priority="2323" equalAverage="0" operator="greaterThan" aboveAverage="0" dxfId="10" text="" percent="0" bottom="0">
      <formula>30</formula>
    </cfRule>
  </conditionalFormatting>
  <conditionalFormatting sqref="G780">
    <cfRule type="cellIs" rank="0" priority="2324" equalAverage="0" operator="greaterThan" aboveAverage="0" dxfId="1" text="" percent="0" bottom="0">
      <formula>0</formula>
    </cfRule>
    <cfRule type="cellIs" rank="0" priority="2325" equalAverage="0" operator="lessThanOrEqual" aboveAverage="0" dxfId="0" text="" percent="0" bottom="0">
      <formula>0</formula>
    </cfRule>
  </conditionalFormatting>
  <conditionalFormatting sqref="F780">
    <cfRule type="cellIs" rank="0" priority="2326" equalAverage="0" operator="greaterThan" aboveAverage="0" dxfId="10" text="" percent="0" bottom="0">
      <formula>30</formula>
    </cfRule>
  </conditionalFormatting>
  <conditionalFormatting sqref="G781">
    <cfRule type="cellIs" rank="0" priority="2327" equalAverage="0" operator="greaterThan" aboveAverage="0" dxfId="1" text="" percent="0" bottom="0">
      <formula>0</formula>
    </cfRule>
    <cfRule type="cellIs" rank="0" priority="2328" equalAverage="0" operator="lessThanOrEqual" aboveAverage="0" dxfId="0" text="" percent="0" bottom="0">
      <formula>0</formula>
    </cfRule>
  </conditionalFormatting>
  <conditionalFormatting sqref="F781">
    <cfRule type="cellIs" rank="0" priority="2329" equalAverage="0" operator="greaterThan" aboveAverage="0" dxfId="10" text="" percent="0" bottom="0">
      <formula>30</formula>
    </cfRule>
  </conditionalFormatting>
  <conditionalFormatting sqref="G782">
    <cfRule type="cellIs" rank="0" priority="2330" equalAverage="0" operator="greaterThan" aboveAverage="0" dxfId="1" text="" percent="0" bottom="0">
      <formula>0</formula>
    </cfRule>
    <cfRule type="cellIs" rank="0" priority="2331" equalAverage="0" operator="lessThanOrEqual" aboveAverage="0" dxfId="0" text="" percent="0" bottom="0">
      <formula>0</formula>
    </cfRule>
  </conditionalFormatting>
  <conditionalFormatting sqref="F782">
    <cfRule type="cellIs" rank="0" priority="2332" equalAverage="0" operator="greaterThan" aboveAverage="0" dxfId="10" text="" percent="0" bottom="0">
      <formula>30</formula>
    </cfRule>
  </conditionalFormatting>
  <conditionalFormatting sqref="G783">
    <cfRule type="cellIs" rank="0" priority="2333" equalAverage="0" operator="greaterThan" aboveAverage="0" dxfId="1" text="" percent="0" bottom="0">
      <formula>0</formula>
    </cfRule>
    <cfRule type="cellIs" rank="0" priority="2334" equalAverage="0" operator="lessThanOrEqual" aboveAverage="0" dxfId="0" text="" percent="0" bottom="0">
      <formula>0</formula>
    </cfRule>
  </conditionalFormatting>
  <conditionalFormatting sqref="F783">
    <cfRule type="cellIs" rank="0" priority="2335" equalAverage="0" operator="greaterThan" aboveAverage="0" dxfId="10" text="" percent="0" bottom="0">
      <formula>30</formula>
    </cfRule>
  </conditionalFormatting>
  <conditionalFormatting sqref="G784">
    <cfRule type="cellIs" rank="0" priority="2336" equalAverage="0" operator="greaterThan" aboveAverage="0" dxfId="1" text="" percent="0" bottom="0">
      <formula>0</formula>
    </cfRule>
    <cfRule type="cellIs" rank="0" priority="2337" equalAverage="0" operator="lessThanOrEqual" aboveAverage="0" dxfId="0" text="" percent="0" bottom="0">
      <formula>0</formula>
    </cfRule>
  </conditionalFormatting>
  <conditionalFormatting sqref="F784">
    <cfRule type="cellIs" rank="0" priority="2338" equalAverage="0" operator="greaterThan" aboveAverage="0" dxfId="10" text="" percent="0" bottom="0">
      <formula>30</formula>
    </cfRule>
  </conditionalFormatting>
  <conditionalFormatting sqref="G785">
    <cfRule type="cellIs" rank="0" priority="2339" equalAverage="0" operator="greaterThan" aboveAverage="0" dxfId="1" text="" percent="0" bottom="0">
      <formula>0</formula>
    </cfRule>
    <cfRule type="cellIs" rank="0" priority="2340" equalAverage="0" operator="lessThanOrEqual" aboveAverage="0" dxfId="0" text="" percent="0" bottom="0">
      <formula>0</formula>
    </cfRule>
  </conditionalFormatting>
  <conditionalFormatting sqref="F785">
    <cfRule type="cellIs" rank="0" priority="2341" equalAverage="0" operator="greaterThan" aboveAverage="0" dxfId="10" text="" percent="0" bottom="0">
      <formula>30</formula>
    </cfRule>
  </conditionalFormatting>
  <conditionalFormatting sqref="G786">
    <cfRule type="cellIs" rank="0" priority="2342" equalAverage="0" operator="greaterThan" aboveAverage="0" dxfId="1" text="" percent="0" bottom="0">
      <formula>0</formula>
    </cfRule>
    <cfRule type="cellIs" rank="0" priority="2343" equalAverage="0" operator="lessThanOrEqual" aboveAverage="0" dxfId="0" text="" percent="0" bottom="0">
      <formula>0</formula>
    </cfRule>
  </conditionalFormatting>
  <conditionalFormatting sqref="F786">
    <cfRule type="cellIs" rank="0" priority="2344" equalAverage="0" operator="greaterThan" aboveAverage="0" dxfId="10" text="" percent="0" bottom="0">
      <formula>30</formula>
    </cfRule>
  </conditionalFormatting>
  <conditionalFormatting sqref="G787">
    <cfRule type="cellIs" rank="0" priority="2345" equalAverage="0" operator="greaterThan" aboveAverage="0" dxfId="1" text="" percent="0" bottom="0">
      <formula>0</formula>
    </cfRule>
    <cfRule type="cellIs" rank="0" priority="2346" equalAverage="0" operator="lessThanOrEqual" aboveAverage="0" dxfId="0" text="" percent="0" bottom="0">
      <formula>0</formula>
    </cfRule>
  </conditionalFormatting>
  <conditionalFormatting sqref="F787">
    <cfRule type="cellIs" rank="0" priority="2347" equalAverage="0" operator="greaterThan" aboveAverage="0" dxfId="10" text="" percent="0" bottom="0">
      <formula>30</formula>
    </cfRule>
  </conditionalFormatting>
  <conditionalFormatting sqref="G788">
    <cfRule type="cellIs" rank="0" priority="2348" equalAverage="0" operator="greaterThan" aboveAverage="0" dxfId="1" text="" percent="0" bottom="0">
      <formula>0</formula>
    </cfRule>
    <cfRule type="cellIs" rank="0" priority="2349" equalAverage="0" operator="lessThanOrEqual" aboveAverage="0" dxfId="0" text="" percent="0" bottom="0">
      <formula>0</formula>
    </cfRule>
  </conditionalFormatting>
  <conditionalFormatting sqref="F788">
    <cfRule type="cellIs" rank="0" priority="2350" equalAverage="0" operator="greaterThan" aboveAverage="0" dxfId="10" text="" percent="0" bottom="0">
      <formula>30</formula>
    </cfRule>
  </conditionalFormatting>
  <conditionalFormatting sqref="G789">
    <cfRule type="cellIs" rank="0" priority="2351" equalAverage="0" operator="greaterThan" aboveAverage="0" dxfId="1" text="" percent="0" bottom="0">
      <formula>0</formula>
    </cfRule>
    <cfRule type="cellIs" rank="0" priority="2352" equalAverage="0" operator="lessThanOrEqual" aboveAverage="0" dxfId="0" text="" percent="0" bottom="0">
      <formula>0</formula>
    </cfRule>
  </conditionalFormatting>
  <conditionalFormatting sqref="F789">
    <cfRule type="cellIs" rank="0" priority="2353" equalAverage="0" operator="greaterThan" aboveAverage="0" dxfId="10" text="" percent="0" bottom="0">
      <formula>30</formula>
    </cfRule>
  </conditionalFormatting>
  <conditionalFormatting sqref="G790">
    <cfRule type="cellIs" rank="0" priority="2354" equalAverage="0" operator="greaterThan" aboveAverage="0" dxfId="1" text="" percent="0" bottom="0">
      <formula>0</formula>
    </cfRule>
    <cfRule type="cellIs" rank="0" priority="2355" equalAverage="0" operator="lessThanOrEqual" aboveAverage="0" dxfId="0" text="" percent="0" bottom="0">
      <formula>0</formula>
    </cfRule>
  </conditionalFormatting>
  <conditionalFormatting sqref="F790">
    <cfRule type="cellIs" rank="0" priority="2356" equalAverage="0" operator="greaterThan" aboveAverage="0" dxfId="10" text="" percent="0" bottom="0">
      <formula>30</formula>
    </cfRule>
  </conditionalFormatting>
  <conditionalFormatting sqref="G791">
    <cfRule type="cellIs" rank="0" priority="2357" equalAverage="0" operator="greaterThan" aboveAverage="0" dxfId="1" text="" percent="0" bottom="0">
      <formula>0</formula>
    </cfRule>
    <cfRule type="cellIs" rank="0" priority="2358" equalAverage="0" operator="lessThanOrEqual" aboveAverage="0" dxfId="0" text="" percent="0" bottom="0">
      <formula>0</formula>
    </cfRule>
  </conditionalFormatting>
  <conditionalFormatting sqref="F791">
    <cfRule type="cellIs" rank="0" priority="2359" equalAverage="0" operator="greaterThan" aboveAverage="0" dxfId="10" text="" percent="0" bottom="0">
      <formula>30</formula>
    </cfRule>
  </conditionalFormatting>
  <conditionalFormatting sqref="G792">
    <cfRule type="cellIs" rank="0" priority="2360" equalAverage="0" operator="greaterThan" aboveAverage="0" dxfId="1" text="" percent="0" bottom="0">
      <formula>0</formula>
    </cfRule>
    <cfRule type="cellIs" rank="0" priority="2361" equalAverage="0" operator="lessThanOrEqual" aboveAverage="0" dxfId="0" text="" percent="0" bottom="0">
      <formula>0</formula>
    </cfRule>
  </conditionalFormatting>
  <conditionalFormatting sqref="F792">
    <cfRule type="cellIs" rank="0" priority="2362" equalAverage="0" operator="greaterThan" aboveAverage="0" dxfId="10" text="" percent="0" bottom="0">
      <formula>30</formula>
    </cfRule>
  </conditionalFormatting>
  <conditionalFormatting sqref="G793">
    <cfRule type="cellIs" rank="0" priority="2363" equalAverage="0" operator="greaterThan" aboveAverage="0" dxfId="1" text="" percent="0" bottom="0">
      <formula>0</formula>
    </cfRule>
    <cfRule type="cellIs" rank="0" priority="2364" equalAverage="0" operator="lessThanOrEqual" aboveAverage="0" dxfId="0" text="" percent="0" bottom="0">
      <formula>0</formula>
    </cfRule>
  </conditionalFormatting>
  <conditionalFormatting sqref="F793">
    <cfRule type="cellIs" rank="0" priority="2365" equalAverage="0" operator="greaterThan" aboveAverage="0" dxfId="10" text="" percent="0" bottom="0">
      <formula>30</formula>
    </cfRule>
  </conditionalFormatting>
  <conditionalFormatting sqref="G794">
    <cfRule type="cellIs" rank="0" priority="2366" equalAverage="0" operator="greaterThan" aboveAverage="0" dxfId="1" text="" percent="0" bottom="0">
      <formula>0</formula>
    </cfRule>
    <cfRule type="cellIs" rank="0" priority="2367" equalAverage="0" operator="lessThanOrEqual" aboveAverage="0" dxfId="0" text="" percent="0" bottom="0">
      <formula>0</formula>
    </cfRule>
  </conditionalFormatting>
  <conditionalFormatting sqref="F794">
    <cfRule type="cellIs" rank="0" priority="2368" equalAverage="0" operator="greaterThan" aboveAverage="0" dxfId="10" text="" percent="0" bottom="0">
      <formula>30</formula>
    </cfRule>
  </conditionalFormatting>
  <conditionalFormatting sqref="G795">
    <cfRule type="cellIs" rank="0" priority="2369" equalAverage="0" operator="greaterThan" aboveAverage="0" dxfId="1" text="" percent="0" bottom="0">
      <formula>0</formula>
    </cfRule>
    <cfRule type="cellIs" rank="0" priority="2370" equalAverage="0" operator="lessThanOrEqual" aboveAverage="0" dxfId="0" text="" percent="0" bottom="0">
      <formula>0</formula>
    </cfRule>
  </conditionalFormatting>
  <conditionalFormatting sqref="F795">
    <cfRule type="cellIs" rank="0" priority="2371" equalAverage="0" operator="greaterThan" aboveAverage="0" dxfId="10" text="" percent="0" bottom="0">
      <formula>30</formula>
    </cfRule>
  </conditionalFormatting>
  <conditionalFormatting sqref="G796">
    <cfRule type="cellIs" rank="0" priority="2372" equalAverage="0" operator="greaterThan" aboveAverage="0" dxfId="1" text="" percent="0" bottom="0">
      <formula>0</formula>
    </cfRule>
    <cfRule type="cellIs" rank="0" priority="2373" equalAverage="0" operator="lessThanOrEqual" aboveAverage="0" dxfId="0" text="" percent="0" bottom="0">
      <formula>0</formula>
    </cfRule>
  </conditionalFormatting>
  <conditionalFormatting sqref="F796">
    <cfRule type="cellIs" rank="0" priority="2374" equalAverage="0" operator="greaterThan" aboveAverage="0" dxfId="10" text="" percent="0" bottom="0">
      <formula>30</formula>
    </cfRule>
  </conditionalFormatting>
  <conditionalFormatting sqref="G797">
    <cfRule type="cellIs" rank="0" priority="2375" equalAverage="0" operator="greaterThan" aboveAverage="0" dxfId="1" text="" percent="0" bottom="0">
      <formula>0</formula>
    </cfRule>
    <cfRule type="cellIs" rank="0" priority="2376" equalAverage="0" operator="lessThanOrEqual" aboveAverage="0" dxfId="0" text="" percent="0" bottom="0">
      <formula>0</formula>
    </cfRule>
  </conditionalFormatting>
  <conditionalFormatting sqref="F797">
    <cfRule type="cellIs" rank="0" priority="2377" equalAverage="0" operator="greaterThan" aboveAverage="0" dxfId="10" text="" percent="0" bottom="0">
      <formula>30</formula>
    </cfRule>
  </conditionalFormatting>
  <conditionalFormatting sqref="G798">
    <cfRule type="cellIs" rank="0" priority="2378" equalAverage="0" operator="greaterThan" aboveAverage="0" dxfId="1" text="" percent="0" bottom="0">
      <formula>0</formula>
    </cfRule>
    <cfRule type="cellIs" rank="0" priority="2379" equalAverage="0" operator="lessThanOrEqual" aboveAverage="0" dxfId="0" text="" percent="0" bottom="0">
      <formula>0</formula>
    </cfRule>
  </conditionalFormatting>
  <conditionalFormatting sqref="F798">
    <cfRule type="cellIs" rank="0" priority="2380" equalAverage="0" operator="greaterThan" aboveAverage="0" dxfId="10" text="" percent="0" bottom="0">
      <formula>30</formula>
    </cfRule>
  </conditionalFormatting>
  <conditionalFormatting sqref="G799">
    <cfRule type="cellIs" rank="0" priority="2381" equalAverage="0" operator="greaterThan" aboveAverage="0" dxfId="1" text="" percent="0" bottom="0">
      <formula>0</formula>
    </cfRule>
    <cfRule type="cellIs" rank="0" priority="2382" equalAverage="0" operator="lessThanOrEqual" aboveAverage="0" dxfId="0" text="" percent="0" bottom="0">
      <formula>0</formula>
    </cfRule>
  </conditionalFormatting>
  <conditionalFormatting sqref="F799">
    <cfRule type="cellIs" rank="0" priority="2383" equalAverage="0" operator="greaterThan" aboveAverage="0" dxfId="10" text="" percent="0" bottom="0">
      <formula>30</formula>
    </cfRule>
  </conditionalFormatting>
  <conditionalFormatting sqref="G800">
    <cfRule type="cellIs" rank="0" priority="2384" equalAverage="0" operator="greaterThan" aboveAverage="0" dxfId="1" text="" percent="0" bottom="0">
      <formula>0</formula>
    </cfRule>
    <cfRule type="cellIs" rank="0" priority="2385" equalAverage="0" operator="lessThanOrEqual" aboveAverage="0" dxfId="0" text="" percent="0" bottom="0">
      <formula>0</formula>
    </cfRule>
  </conditionalFormatting>
  <conditionalFormatting sqref="F800">
    <cfRule type="cellIs" rank="0" priority="2386" equalAverage="0" operator="greaterThan" aboveAverage="0" dxfId="10" text="" percent="0" bottom="0">
      <formula>30</formula>
    </cfRule>
  </conditionalFormatting>
  <conditionalFormatting sqref="G801">
    <cfRule type="cellIs" rank="0" priority="2387" equalAverage="0" operator="greaterThan" aboveAverage="0" dxfId="1" text="" percent="0" bottom="0">
      <formula>0</formula>
    </cfRule>
    <cfRule type="cellIs" rank="0" priority="2388" equalAverage="0" operator="lessThanOrEqual" aboveAverage="0" dxfId="0" text="" percent="0" bottom="0">
      <formula>0</formula>
    </cfRule>
  </conditionalFormatting>
  <conditionalFormatting sqref="F801">
    <cfRule type="cellIs" rank="0" priority="2389" equalAverage="0" operator="greaterThan" aboveAverage="0" dxfId="10" text="" percent="0" bottom="0">
      <formula>30</formula>
    </cfRule>
  </conditionalFormatting>
  <conditionalFormatting sqref="G802">
    <cfRule type="cellIs" rank="0" priority="2390" equalAverage="0" operator="greaterThan" aboveAverage="0" dxfId="1" text="" percent="0" bottom="0">
      <formula>0</formula>
    </cfRule>
    <cfRule type="cellIs" rank="0" priority="2391" equalAverage="0" operator="lessThanOrEqual" aboveAverage="0" dxfId="0" text="" percent="0" bottom="0">
      <formula>0</formula>
    </cfRule>
  </conditionalFormatting>
  <conditionalFormatting sqref="F802">
    <cfRule type="cellIs" rank="0" priority="2392" equalAverage="0" operator="greaterThan" aboveAverage="0" dxfId="10" text="" percent="0" bottom="0">
      <formula>30</formula>
    </cfRule>
  </conditionalFormatting>
  <conditionalFormatting sqref="G803">
    <cfRule type="cellIs" rank="0" priority="2393" equalAverage="0" operator="greaterThan" aboveAverage="0" dxfId="1" text="" percent="0" bottom="0">
      <formula>0</formula>
    </cfRule>
    <cfRule type="cellIs" rank="0" priority="2394" equalAverage="0" operator="lessThanOrEqual" aboveAverage="0" dxfId="0" text="" percent="0" bottom="0">
      <formula>0</formula>
    </cfRule>
  </conditionalFormatting>
  <conditionalFormatting sqref="F803">
    <cfRule type="cellIs" rank="0" priority="2395" equalAverage="0" operator="greaterThan" aboveAverage="0" dxfId="10" text="" percent="0" bottom="0">
      <formula>30</formula>
    </cfRule>
  </conditionalFormatting>
  <conditionalFormatting sqref="G804">
    <cfRule type="cellIs" rank="0" priority="2396" equalAverage="0" operator="greaterThan" aboveAverage="0" dxfId="1" text="" percent="0" bottom="0">
      <formula>0</formula>
    </cfRule>
    <cfRule type="cellIs" rank="0" priority="2397" equalAverage="0" operator="lessThanOrEqual" aboveAverage="0" dxfId="0" text="" percent="0" bottom="0">
      <formula>0</formula>
    </cfRule>
  </conditionalFormatting>
  <conditionalFormatting sqref="F804">
    <cfRule type="cellIs" rank="0" priority="2398" equalAverage="0" operator="greaterThan" aboveAverage="0" dxfId="10" text="" percent="0" bottom="0">
      <formula>30</formula>
    </cfRule>
  </conditionalFormatting>
  <conditionalFormatting sqref="G805">
    <cfRule type="cellIs" rank="0" priority="2399" equalAverage="0" operator="greaterThan" aboveAverage="0" dxfId="1" text="" percent="0" bottom="0">
      <formula>0</formula>
    </cfRule>
    <cfRule type="cellIs" rank="0" priority="2400" equalAverage="0" operator="lessThanOrEqual" aboveAverage="0" dxfId="0" text="" percent="0" bottom="0">
      <formula>0</formula>
    </cfRule>
  </conditionalFormatting>
  <conditionalFormatting sqref="F805">
    <cfRule type="cellIs" rank="0" priority="2401" equalAverage="0" operator="greaterThan" aboveAverage="0" dxfId="10" text="" percent="0" bottom="0">
      <formula>30</formula>
    </cfRule>
  </conditionalFormatting>
  <conditionalFormatting sqref="G806">
    <cfRule type="cellIs" rank="0" priority="2402" equalAverage="0" operator="greaterThan" aboveAverage="0" dxfId="1" text="" percent="0" bottom="0">
      <formula>0</formula>
    </cfRule>
    <cfRule type="cellIs" rank="0" priority="2403" equalAverage="0" operator="lessThanOrEqual" aboveAverage="0" dxfId="0" text="" percent="0" bottom="0">
      <formula>0</formula>
    </cfRule>
  </conditionalFormatting>
  <conditionalFormatting sqref="F806">
    <cfRule type="cellIs" rank="0" priority="2404" equalAverage="0" operator="greaterThan" aboveAverage="0" dxfId="10" text="" percent="0" bottom="0">
      <formula>30</formula>
    </cfRule>
  </conditionalFormatting>
  <conditionalFormatting sqref="G807">
    <cfRule type="cellIs" rank="0" priority="2405" equalAverage="0" operator="greaterThan" aboveAverage="0" dxfId="1" text="" percent="0" bottom="0">
      <formula>0</formula>
    </cfRule>
    <cfRule type="cellIs" rank="0" priority="2406" equalAverage="0" operator="lessThanOrEqual" aboveAverage="0" dxfId="0" text="" percent="0" bottom="0">
      <formula>0</formula>
    </cfRule>
  </conditionalFormatting>
  <conditionalFormatting sqref="F807">
    <cfRule type="cellIs" rank="0" priority="2407" equalAverage="0" operator="greaterThan" aboveAverage="0" dxfId="10" text="" percent="0" bottom="0">
      <formula>30</formula>
    </cfRule>
  </conditionalFormatting>
  <conditionalFormatting sqref="G808">
    <cfRule type="cellIs" rank="0" priority="2408" equalAverage="0" operator="greaterThan" aboveAverage="0" dxfId="1" text="" percent="0" bottom="0">
      <formula>0</formula>
    </cfRule>
    <cfRule type="cellIs" rank="0" priority="2409" equalAverage="0" operator="lessThanOrEqual" aboveAverage="0" dxfId="0" text="" percent="0" bottom="0">
      <formula>0</formula>
    </cfRule>
  </conditionalFormatting>
  <conditionalFormatting sqref="F808">
    <cfRule type="cellIs" rank="0" priority="2410" equalAverage="0" operator="greaterThan" aboveAverage="0" dxfId="10" text="" percent="0" bottom="0">
      <formula>30</formula>
    </cfRule>
  </conditionalFormatting>
  <conditionalFormatting sqref="G809">
    <cfRule type="cellIs" rank="0" priority="2411" equalAverage="0" operator="greaterThan" aboveAverage="0" dxfId="1" text="" percent="0" bottom="0">
      <formula>0</formula>
    </cfRule>
    <cfRule type="cellIs" rank="0" priority="2412" equalAverage="0" operator="lessThanOrEqual" aboveAverage="0" dxfId="0" text="" percent="0" bottom="0">
      <formula>0</formula>
    </cfRule>
  </conditionalFormatting>
  <conditionalFormatting sqref="F809">
    <cfRule type="cellIs" rank="0" priority="2413" equalAverage="0" operator="greaterThan" aboveAverage="0" dxfId="10" text="" percent="0" bottom="0">
      <formula>30</formula>
    </cfRule>
  </conditionalFormatting>
  <conditionalFormatting sqref="G810">
    <cfRule type="cellIs" rank="0" priority="2414" equalAverage="0" operator="greaterThan" aboveAverage="0" dxfId="1" text="" percent="0" bottom="0">
      <formula>0</formula>
    </cfRule>
    <cfRule type="cellIs" rank="0" priority="2415" equalAverage="0" operator="lessThanOrEqual" aboveAverage="0" dxfId="0" text="" percent="0" bottom="0">
      <formula>0</formula>
    </cfRule>
  </conditionalFormatting>
  <conditionalFormatting sqref="F810">
    <cfRule type="cellIs" rank="0" priority="2416" equalAverage="0" operator="greaterThan" aboveAverage="0" dxfId="10" text="" percent="0" bottom="0">
      <formula>30</formula>
    </cfRule>
  </conditionalFormatting>
  <conditionalFormatting sqref="G811">
    <cfRule type="cellIs" rank="0" priority="2417" equalAverage="0" operator="greaterThan" aboveAverage="0" dxfId="1" text="" percent="0" bottom="0">
      <formula>0</formula>
    </cfRule>
    <cfRule type="cellIs" rank="0" priority="2418" equalAverage="0" operator="lessThanOrEqual" aboveAverage="0" dxfId="0" text="" percent="0" bottom="0">
      <formula>0</formula>
    </cfRule>
  </conditionalFormatting>
  <conditionalFormatting sqref="F811">
    <cfRule type="cellIs" rank="0" priority="2419" equalAverage="0" operator="greaterThan" aboveAverage="0" dxfId="10" text="" percent="0" bottom="0">
      <formula>30</formula>
    </cfRule>
  </conditionalFormatting>
  <conditionalFormatting sqref="G812">
    <cfRule type="cellIs" rank="0" priority="2420" equalAverage="0" operator="greaterThan" aboveAverage="0" dxfId="1" text="" percent="0" bottom="0">
      <formula>0</formula>
    </cfRule>
    <cfRule type="cellIs" rank="0" priority="2421" equalAverage="0" operator="lessThanOrEqual" aboveAverage="0" dxfId="0" text="" percent="0" bottom="0">
      <formula>0</formula>
    </cfRule>
  </conditionalFormatting>
  <conditionalFormatting sqref="F812">
    <cfRule type="cellIs" rank="0" priority="2422" equalAverage="0" operator="greaterThan" aboveAverage="0" dxfId="10" text="" percent="0" bottom="0">
      <formula>30</formula>
    </cfRule>
  </conditionalFormatting>
  <conditionalFormatting sqref="G813">
    <cfRule type="cellIs" rank="0" priority="2423" equalAverage="0" operator="greaterThan" aboveAverage="0" dxfId="1" text="" percent="0" bottom="0">
      <formula>0</formula>
    </cfRule>
    <cfRule type="cellIs" rank="0" priority="2424" equalAverage="0" operator="lessThanOrEqual" aboveAverage="0" dxfId="0" text="" percent="0" bottom="0">
      <formula>0</formula>
    </cfRule>
  </conditionalFormatting>
  <conditionalFormatting sqref="F813">
    <cfRule type="cellIs" rank="0" priority="2425" equalAverage="0" operator="greaterThan" aboveAverage="0" dxfId="10" text="" percent="0" bottom="0">
      <formula>30</formula>
    </cfRule>
  </conditionalFormatting>
  <conditionalFormatting sqref="G814">
    <cfRule type="cellIs" rank="0" priority="2426" equalAverage="0" operator="greaterThan" aboveAverage="0" dxfId="1" text="" percent="0" bottom="0">
      <formula>0</formula>
    </cfRule>
    <cfRule type="cellIs" rank="0" priority="2427" equalAverage="0" operator="lessThanOrEqual" aboveAverage="0" dxfId="0" text="" percent="0" bottom="0">
      <formula>0</formula>
    </cfRule>
  </conditionalFormatting>
  <conditionalFormatting sqref="F814">
    <cfRule type="cellIs" rank="0" priority="2428" equalAverage="0" operator="greaterThan" aboveAverage="0" dxfId="10" text="" percent="0" bottom="0">
      <formula>30</formula>
    </cfRule>
  </conditionalFormatting>
  <conditionalFormatting sqref="G815">
    <cfRule type="cellIs" rank="0" priority="2429" equalAverage="0" operator="greaterThan" aboveAverage="0" dxfId="1" text="" percent="0" bottom="0">
      <formula>0</formula>
    </cfRule>
    <cfRule type="cellIs" rank="0" priority="2430" equalAverage="0" operator="lessThanOrEqual" aboveAverage="0" dxfId="0" text="" percent="0" bottom="0">
      <formula>0</formula>
    </cfRule>
  </conditionalFormatting>
  <conditionalFormatting sqref="F815">
    <cfRule type="cellIs" rank="0" priority="2431" equalAverage="0" operator="greaterThan" aboveAverage="0" dxfId="10" text="" percent="0" bottom="0">
      <formula>30</formula>
    </cfRule>
  </conditionalFormatting>
  <conditionalFormatting sqref="G816">
    <cfRule type="cellIs" rank="0" priority="2432" equalAverage="0" operator="greaterThan" aboveAverage="0" dxfId="1" text="" percent="0" bottom="0">
      <formula>0</formula>
    </cfRule>
    <cfRule type="cellIs" rank="0" priority="2433" equalAverage="0" operator="lessThanOrEqual" aboveAverage="0" dxfId="0" text="" percent="0" bottom="0">
      <formula>0</formula>
    </cfRule>
  </conditionalFormatting>
  <conditionalFormatting sqref="F816">
    <cfRule type="cellIs" rank="0" priority="2434" equalAverage="0" operator="greaterThan" aboveAverage="0" dxfId="10" text="" percent="0" bottom="0">
      <formula>30</formula>
    </cfRule>
  </conditionalFormatting>
  <conditionalFormatting sqref="G817">
    <cfRule type="cellIs" rank="0" priority="2435" equalAverage="0" operator="greaterThan" aboveAverage="0" dxfId="1" text="" percent="0" bottom="0">
      <formula>0</formula>
    </cfRule>
    <cfRule type="cellIs" rank="0" priority="2436" equalAverage="0" operator="lessThanOrEqual" aboveAverage="0" dxfId="0" text="" percent="0" bottom="0">
      <formula>0</formula>
    </cfRule>
  </conditionalFormatting>
  <conditionalFormatting sqref="F817">
    <cfRule type="cellIs" rank="0" priority="2437" equalAverage="0" operator="greaterThan" aboveAverage="0" dxfId="10" text="" percent="0" bottom="0">
      <formula>30</formula>
    </cfRule>
  </conditionalFormatting>
  <conditionalFormatting sqref="G818">
    <cfRule type="cellIs" rank="0" priority="2438" equalAverage="0" operator="greaterThan" aboveAverage="0" dxfId="1" text="" percent="0" bottom="0">
      <formula>0</formula>
    </cfRule>
    <cfRule type="cellIs" rank="0" priority="2439" equalAverage="0" operator="lessThanOrEqual" aboveAverage="0" dxfId="0" text="" percent="0" bottom="0">
      <formula>0</formula>
    </cfRule>
  </conditionalFormatting>
  <conditionalFormatting sqref="F818">
    <cfRule type="cellIs" rank="0" priority="2440" equalAverage="0" operator="greaterThan" aboveAverage="0" dxfId="10" text="" percent="0" bottom="0">
      <formula>30</formula>
    </cfRule>
  </conditionalFormatting>
  <conditionalFormatting sqref="G819">
    <cfRule type="cellIs" rank="0" priority="2441" equalAverage="0" operator="greaterThan" aboveAverage="0" dxfId="1" text="" percent="0" bottom="0">
      <formula>0</formula>
    </cfRule>
    <cfRule type="cellIs" rank="0" priority="2442" equalAverage="0" operator="lessThanOrEqual" aboveAverage="0" dxfId="0" text="" percent="0" bottom="0">
      <formula>0</formula>
    </cfRule>
  </conditionalFormatting>
  <conditionalFormatting sqref="F819">
    <cfRule type="cellIs" rank="0" priority="2443" equalAverage="0" operator="greaterThan" aboveAverage="0" dxfId="10" text="" percent="0" bottom="0">
      <formula>30</formula>
    </cfRule>
  </conditionalFormatting>
  <conditionalFormatting sqref="G820">
    <cfRule type="cellIs" rank="0" priority="2444" equalAverage="0" operator="greaterThan" aboveAverage="0" dxfId="1" text="" percent="0" bottom="0">
      <formula>0</formula>
    </cfRule>
    <cfRule type="cellIs" rank="0" priority="2445" equalAverage="0" operator="lessThanOrEqual" aboveAverage="0" dxfId="0" text="" percent="0" bottom="0">
      <formula>0</formula>
    </cfRule>
  </conditionalFormatting>
  <conditionalFormatting sqref="F820">
    <cfRule type="cellIs" rank="0" priority="2446" equalAverage="0" operator="greaterThan" aboveAverage="0" dxfId="10" text="" percent="0" bottom="0">
      <formula>30</formula>
    </cfRule>
  </conditionalFormatting>
  <conditionalFormatting sqref="G821">
    <cfRule type="cellIs" rank="0" priority="2447" equalAverage="0" operator="greaterThan" aboveAverage="0" dxfId="1" text="" percent="0" bottom="0">
      <formula>0</formula>
    </cfRule>
    <cfRule type="cellIs" rank="0" priority="2448" equalAverage="0" operator="lessThanOrEqual" aboveAverage="0" dxfId="0" text="" percent="0" bottom="0">
      <formula>0</formula>
    </cfRule>
  </conditionalFormatting>
  <conditionalFormatting sqref="F821">
    <cfRule type="cellIs" rank="0" priority="2449" equalAverage="0" operator="greaterThan" aboveAverage="0" dxfId="10" text="" percent="0" bottom="0">
      <formula>30</formula>
    </cfRule>
  </conditionalFormatting>
  <conditionalFormatting sqref="G822">
    <cfRule type="cellIs" rank="0" priority="2450" equalAverage="0" operator="greaterThan" aboveAverage="0" dxfId="1" text="" percent="0" bottom="0">
      <formula>0</formula>
    </cfRule>
    <cfRule type="cellIs" rank="0" priority="2451" equalAverage="0" operator="lessThanOrEqual" aboveAverage="0" dxfId="0" text="" percent="0" bottom="0">
      <formula>0</formula>
    </cfRule>
  </conditionalFormatting>
  <conditionalFormatting sqref="F822">
    <cfRule type="cellIs" rank="0" priority="2452" equalAverage="0" operator="greaterThan" aboveAverage="0" dxfId="10" text="" percent="0" bottom="0">
      <formula>30</formula>
    </cfRule>
  </conditionalFormatting>
  <conditionalFormatting sqref="G823">
    <cfRule type="cellIs" rank="0" priority="2453" equalAverage="0" operator="greaterThan" aboveAverage="0" dxfId="1" text="" percent="0" bottom="0">
      <formula>0</formula>
    </cfRule>
    <cfRule type="cellIs" rank="0" priority="2454" equalAverage="0" operator="lessThanOrEqual" aboveAverage="0" dxfId="0" text="" percent="0" bottom="0">
      <formula>0</formula>
    </cfRule>
  </conditionalFormatting>
  <conditionalFormatting sqref="F823">
    <cfRule type="cellIs" rank="0" priority="2455" equalAverage="0" operator="greaterThan" aboveAverage="0" dxfId="10" text="" percent="0" bottom="0">
      <formula>30</formula>
    </cfRule>
  </conditionalFormatting>
  <conditionalFormatting sqref="G824">
    <cfRule type="cellIs" rank="0" priority="2456" equalAverage="0" operator="greaterThan" aboveAverage="0" dxfId="1" text="" percent="0" bottom="0">
      <formula>0</formula>
    </cfRule>
    <cfRule type="cellIs" rank="0" priority="2457" equalAverage="0" operator="lessThanOrEqual" aboveAverage="0" dxfId="0" text="" percent="0" bottom="0">
      <formula>0</formula>
    </cfRule>
  </conditionalFormatting>
  <conditionalFormatting sqref="F824">
    <cfRule type="cellIs" rank="0" priority="2458" equalAverage="0" operator="greaterThan" aboveAverage="0" dxfId="10" text="" percent="0" bottom="0">
      <formula>30</formula>
    </cfRule>
  </conditionalFormatting>
  <conditionalFormatting sqref="G825">
    <cfRule type="cellIs" rank="0" priority="2459" equalAverage="0" operator="greaterThan" aboveAverage="0" dxfId="1" text="" percent="0" bottom="0">
      <formula>0</formula>
    </cfRule>
    <cfRule type="cellIs" rank="0" priority="2460" equalAverage="0" operator="lessThanOrEqual" aboveAverage="0" dxfId="0" text="" percent="0" bottom="0">
      <formula>0</formula>
    </cfRule>
  </conditionalFormatting>
  <conditionalFormatting sqref="F825">
    <cfRule type="cellIs" rank="0" priority="2461" equalAverage="0" operator="greaterThan" aboveAverage="0" dxfId="10" text="" percent="0" bottom="0">
      <formula>30</formula>
    </cfRule>
  </conditionalFormatting>
  <conditionalFormatting sqref="G826">
    <cfRule type="cellIs" rank="0" priority="2462" equalAverage="0" operator="greaterThan" aboveAverage="0" dxfId="1" text="" percent="0" bottom="0">
      <formula>0</formula>
    </cfRule>
    <cfRule type="cellIs" rank="0" priority="2463" equalAverage="0" operator="lessThanOrEqual" aboveAverage="0" dxfId="0" text="" percent="0" bottom="0">
      <formula>0</formula>
    </cfRule>
  </conditionalFormatting>
  <conditionalFormatting sqref="F826">
    <cfRule type="cellIs" rank="0" priority="2464" equalAverage="0" operator="greaterThan" aboveAverage="0" dxfId="10" text="" percent="0" bottom="0">
      <formula>30</formula>
    </cfRule>
  </conditionalFormatting>
  <conditionalFormatting sqref="G827">
    <cfRule type="cellIs" rank="0" priority="2465" equalAverage="0" operator="greaterThan" aboveAverage="0" dxfId="1" text="" percent="0" bottom="0">
      <formula>0</formula>
    </cfRule>
    <cfRule type="cellIs" rank="0" priority="2466" equalAverage="0" operator="lessThanOrEqual" aboveAverage="0" dxfId="0" text="" percent="0" bottom="0">
      <formula>0</formula>
    </cfRule>
  </conditionalFormatting>
  <conditionalFormatting sqref="F827">
    <cfRule type="cellIs" rank="0" priority="2467" equalAverage="0" operator="greaterThan" aboveAverage="0" dxfId="10" text="" percent="0" bottom="0">
      <formula>30</formula>
    </cfRule>
  </conditionalFormatting>
  <conditionalFormatting sqref="G828">
    <cfRule type="cellIs" rank="0" priority="2468" equalAverage="0" operator="greaterThan" aboveAverage="0" dxfId="1" text="" percent="0" bottom="0">
      <formula>0</formula>
    </cfRule>
    <cfRule type="cellIs" rank="0" priority="2469" equalAverage="0" operator="lessThanOrEqual" aboveAverage="0" dxfId="0" text="" percent="0" bottom="0">
      <formula>0</formula>
    </cfRule>
  </conditionalFormatting>
  <conditionalFormatting sqref="F828">
    <cfRule type="cellIs" rank="0" priority="2470" equalAverage="0" operator="greaterThan" aboveAverage="0" dxfId="10" text="" percent="0" bottom="0">
      <formula>30</formula>
    </cfRule>
  </conditionalFormatting>
  <conditionalFormatting sqref="G829">
    <cfRule type="cellIs" rank="0" priority="2471" equalAverage="0" operator="greaterThan" aboveAverage="0" dxfId="1" text="" percent="0" bottom="0">
      <formula>0</formula>
    </cfRule>
    <cfRule type="cellIs" rank="0" priority="2472" equalAverage="0" operator="lessThanOrEqual" aboveAverage="0" dxfId="0" text="" percent="0" bottom="0">
      <formula>0</formula>
    </cfRule>
  </conditionalFormatting>
  <conditionalFormatting sqref="F829">
    <cfRule type="cellIs" rank="0" priority="2473" equalAverage="0" operator="greaterThan" aboveAverage="0" dxfId="10" text="" percent="0" bottom="0">
      <formula>30</formula>
    </cfRule>
  </conditionalFormatting>
  <conditionalFormatting sqref="G830">
    <cfRule type="cellIs" rank="0" priority="2474" equalAverage="0" operator="greaterThan" aboveAverage="0" dxfId="1" text="" percent="0" bottom="0">
      <formula>0</formula>
    </cfRule>
    <cfRule type="cellIs" rank="0" priority="2475" equalAverage="0" operator="lessThanOrEqual" aboveAverage="0" dxfId="0" text="" percent="0" bottom="0">
      <formula>0</formula>
    </cfRule>
  </conditionalFormatting>
  <conditionalFormatting sqref="F830">
    <cfRule type="cellIs" rank="0" priority="2476" equalAverage="0" operator="greaterThan" aboveAverage="0" dxfId="10" text="" percent="0" bottom="0">
      <formula>30</formula>
    </cfRule>
  </conditionalFormatting>
  <conditionalFormatting sqref="G831">
    <cfRule type="cellIs" rank="0" priority="2477" equalAverage="0" operator="greaterThan" aboveAverage="0" dxfId="1" text="" percent="0" bottom="0">
      <formula>0</formula>
    </cfRule>
    <cfRule type="cellIs" rank="0" priority="2478" equalAverage="0" operator="lessThanOrEqual" aboveAverage="0" dxfId="0" text="" percent="0" bottom="0">
      <formula>0</formula>
    </cfRule>
  </conditionalFormatting>
  <conditionalFormatting sqref="F831">
    <cfRule type="cellIs" rank="0" priority="2479" equalAverage="0" operator="greaterThan" aboveAverage="0" dxfId="10" text="" percent="0" bottom="0">
      <formula>30</formula>
    </cfRule>
  </conditionalFormatting>
  <conditionalFormatting sqref="G832">
    <cfRule type="cellIs" rank="0" priority="2480" equalAverage="0" operator="greaterThan" aboveAverage="0" dxfId="1" text="" percent="0" bottom="0">
      <formula>0</formula>
    </cfRule>
    <cfRule type="cellIs" rank="0" priority="2481" equalAverage="0" operator="lessThanOrEqual" aboveAverage="0" dxfId="0" text="" percent="0" bottom="0">
      <formula>0</formula>
    </cfRule>
  </conditionalFormatting>
  <conditionalFormatting sqref="F832">
    <cfRule type="cellIs" rank="0" priority="2482" equalAverage="0" operator="greaterThan" aboveAverage="0" dxfId="10" text="" percent="0" bottom="0">
      <formula>30</formula>
    </cfRule>
  </conditionalFormatting>
  <conditionalFormatting sqref="G833">
    <cfRule type="cellIs" rank="0" priority="2483" equalAverage="0" operator="greaterThan" aboveAverage="0" dxfId="1" text="" percent="0" bottom="0">
      <formula>0</formula>
    </cfRule>
    <cfRule type="cellIs" rank="0" priority="2484" equalAverage="0" operator="lessThanOrEqual" aboveAverage="0" dxfId="0" text="" percent="0" bottom="0">
      <formula>0</formula>
    </cfRule>
  </conditionalFormatting>
  <conditionalFormatting sqref="F833">
    <cfRule type="cellIs" rank="0" priority="2485" equalAverage="0" operator="greaterThan" aboveAverage="0" dxfId="10" text="" percent="0" bottom="0">
      <formula>30</formula>
    </cfRule>
  </conditionalFormatting>
  <conditionalFormatting sqref="G834">
    <cfRule type="cellIs" rank="0" priority="2486" equalAverage="0" operator="greaterThan" aboveAverage="0" dxfId="1" text="" percent="0" bottom="0">
      <formula>0</formula>
    </cfRule>
    <cfRule type="cellIs" rank="0" priority="2487" equalAverage="0" operator="lessThanOrEqual" aboveAverage="0" dxfId="0" text="" percent="0" bottom="0">
      <formula>0</formula>
    </cfRule>
  </conditionalFormatting>
  <conditionalFormatting sqref="F834">
    <cfRule type="cellIs" rank="0" priority="2488" equalAverage="0" operator="greaterThan" aboveAverage="0" dxfId="10" text="" percent="0" bottom="0">
      <formula>30</formula>
    </cfRule>
  </conditionalFormatting>
  <conditionalFormatting sqref="G835">
    <cfRule type="cellIs" rank="0" priority="2489" equalAverage="0" operator="greaterThan" aboveAverage="0" dxfId="1" text="" percent="0" bottom="0">
      <formula>0</formula>
    </cfRule>
    <cfRule type="cellIs" rank="0" priority="2490" equalAverage="0" operator="lessThanOrEqual" aboveAverage="0" dxfId="0" text="" percent="0" bottom="0">
      <formula>0</formula>
    </cfRule>
  </conditionalFormatting>
  <conditionalFormatting sqref="F835">
    <cfRule type="cellIs" rank="0" priority="2491" equalAverage="0" operator="greaterThan" aboveAverage="0" dxfId="10" text="" percent="0" bottom="0">
      <formula>30</formula>
    </cfRule>
  </conditionalFormatting>
  <conditionalFormatting sqref="G836">
    <cfRule type="cellIs" rank="0" priority="2492" equalAverage="0" operator="greaterThan" aboveAverage="0" dxfId="1" text="" percent="0" bottom="0">
      <formula>0</formula>
    </cfRule>
    <cfRule type="cellIs" rank="0" priority="2493" equalAverage="0" operator="lessThanOrEqual" aboveAverage="0" dxfId="0" text="" percent="0" bottom="0">
      <formula>0</formula>
    </cfRule>
  </conditionalFormatting>
  <conditionalFormatting sqref="F836">
    <cfRule type="cellIs" rank="0" priority="2494" equalAverage="0" operator="greaterThan" aboveAverage="0" dxfId="10" text="" percent="0" bottom="0">
      <formula>30</formula>
    </cfRule>
  </conditionalFormatting>
  <conditionalFormatting sqref="G837">
    <cfRule type="cellIs" rank="0" priority="2495" equalAverage="0" operator="greaterThan" aboveAverage="0" dxfId="1" text="" percent="0" bottom="0">
      <formula>0</formula>
    </cfRule>
    <cfRule type="cellIs" rank="0" priority="2496" equalAverage="0" operator="lessThanOrEqual" aboveAverage="0" dxfId="0" text="" percent="0" bottom="0">
      <formula>0</formula>
    </cfRule>
  </conditionalFormatting>
  <conditionalFormatting sqref="F837">
    <cfRule type="cellIs" rank="0" priority="2497" equalAverage="0" operator="greaterThan" aboveAverage="0" dxfId="10" text="" percent="0" bottom="0">
      <formula>30</formula>
    </cfRule>
  </conditionalFormatting>
  <conditionalFormatting sqref="G838">
    <cfRule type="cellIs" rank="0" priority="2498" equalAverage="0" operator="greaterThan" aboveAverage="0" dxfId="1" text="" percent="0" bottom="0">
      <formula>0</formula>
    </cfRule>
    <cfRule type="cellIs" rank="0" priority="2499" equalAverage="0" operator="lessThanOrEqual" aboveAverage="0" dxfId="0" text="" percent="0" bottom="0">
      <formula>0</formula>
    </cfRule>
  </conditionalFormatting>
  <conditionalFormatting sqref="F838">
    <cfRule type="cellIs" rank="0" priority="2500" equalAverage="0" operator="greaterThan" aboveAverage="0" dxfId="10" text="" percent="0" bottom="0">
      <formula>30</formula>
    </cfRule>
  </conditionalFormatting>
  <conditionalFormatting sqref="G839">
    <cfRule type="cellIs" rank="0" priority="2501" equalAverage="0" operator="greaterThan" aboveAverage="0" dxfId="1" text="" percent="0" bottom="0">
      <formula>0</formula>
    </cfRule>
    <cfRule type="cellIs" rank="0" priority="2502" equalAverage="0" operator="lessThanOrEqual" aboveAverage="0" dxfId="0" text="" percent="0" bottom="0">
      <formula>0</formula>
    </cfRule>
  </conditionalFormatting>
  <conditionalFormatting sqref="F839">
    <cfRule type="cellIs" rank="0" priority="2503" equalAverage="0" operator="greaterThan" aboveAverage="0" dxfId="10" text="" percent="0" bottom="0">
      <formula>30</formula>
    </cfRule>
  </conditionalFormatting>
  <conditionalFormatting sqref="G840">
    <cfRule type="cellIs" rank="0" priority="2504" equalAverage="0" operator="greaterThan" aboveAverage="0" dxfId="1" text="" percent="0" bottom="0">
      <formula>0</formula>
    </cfRule>
    <cfRule type="cellIs" rank="0" priority="2505" equalAverage="0" operator="lessThanOrEqual" aboveAverage="0" dxfId="0" text="" percent="0" bottom="0">
      <formula>0</formula>
    </cfRule>
  </conditionalFormatting>
  <conditionalFormatting sqref="F840">
    <cfRule type="cellIs" rank="0" priority="2506" equalAverage="0" operator="greaterThan" aboveAverage="0" dxfId="10" text="" percent="0" bottom="0">
      <formula>30</formula>
    </cfRule>
  </conditionalFormatting>
  <conditionalFormatting sqref="G841">
    <cfRule type="cellIs" rank="0" priority="2507" equalAverage="0" operator="greaterThan" aboveAverage="0" dxfId="1" text="" percent="0" bottom="0">
      <formula>0</formula>
    </cfRule>
    <cfRule type="cellIs" rank="0" priority="2508" equalAverage="0" operator="lessThanOrEqual" aboveAverage="0" dxfId="0" text="" percent="0" bottom="0">
      <formula>0</formula>
    </cfRule>
  </conditionalFormatting>
  <conditionalFormatting sqref="F841">
    <cfRule type="cellIs" rank="0" priority="2509" equalAverage="0" operator="greaterThan" aboveAverage="0" dxfId="10" text="" percent="0" bottom="0">
      <formula>30</formula>
    </cfRule>
  </conditionalFormatting>
  <conditionalFormatting sqref="G842">
    <cfRule type="cellIs" rank="0" priority="2510" equalAverage="0" operator="greaterThan" aboveAverage="0" dxfId="1" text="" percent="0" bottom="0">
      <formula>0</formula>
    </cfRule>
    <cfRule type="cellIs" rank="0" priority="2511" equalAverage="0" operator="lessThanOrEqual" aboveAverage="0" dxfId="0" text="" percent="0" bottom="0">
      <formula>0</formula>
    </cfRule>
  </conditionalFormatting>
  <conditionalFormatting sqref="F842">
    <cfRule type="cellIs" rank="0" priority="2512" equalAverage="0" operator="greaterThan" aboveAverage="0" dxfId="10" text="" percent="0" bottom="0">
      <formula>30</formula>
    </cfRule>
  </conditionalFormatting>
  <conditionalFormatting sqref="G843">
    <cfRule type="cellIs" rank="0" priority="2513" equalAverage="0" operator="greaterThan" aboveAverage="0" dxfId="1" text="" percent="0" bottom="0">
      <formula>0</formula>
    </cfRule>
    <cfRule type="cellIs" rank="0" priority="2514" equalAverage="0" operator="lessThanOrEqual" aboveAverage="0" dxfId="0" text="" percent="0" bottom="0">
      <formula>0</formula>
    </cfRule>
  </conditionalFormatting>
  <conditionalFormatting sqref="F843">
    <cfRule type="cellIs" rank="0" priority="2515" equalAverage="0" operator="greaterThan" aboveAverage="0" dxfId="10" text="" percent="0" bottom="0">
      <formula>30</formula>
    </cfRule>
  </conditionalFormatting>
  <conditionalFormatting sqref="G844">
    <cfRule type="cellIs" rank="0" priority="2516" equalAverage="0" operator="greaterThan" aboveAverage="0" dxfId="1" text="" percent="0" bottom="0">
      <formula>0</formula>
    </cfRule>
    <cfRule type="cellIs" rank="0" priority="2517" equalAverage="0" operator="lessThanOrEqual" aboveAverage="0" dxfId="0" text="" percent="0" bottom="0">
      <formula>0</formula>
    </cfRule>
  </conditionalFormatting>
  <conditionalFormatting sqref="F844">
    <cfRule type="cellIs" rank="0" priority="2518" equalAverage="0" operator="greaterThan" aboveAverage="0" dxfId="10" text="" percent="0" bottom="0">
      <formula>30</formula>
    </cfRule>
  </conditionalFormatting>
  <conditionalFormatting sqref="G845">
    <cfRule type="cellIs" rank="0" priority="2519" equalAverage="0" operator="greaterThan" aboveAverage="0" dxfId="1" text="" percent="0" bottom="0">
      <formula>0</formula>
    </cfRule>
    <cfRule type="cellIs" rank="0" priority="2520" equalAverage="0" operator="lessThanOrEqual" aboveAverage="0" dxfId="0" text="" percent="0" bottom="0">
      <formula>0</formula>
    </cfRule>
  </conditionalFormatting>
  <conditionalFormatting sqref="F845">
    <cfRule type="cellIs" rank="0" priority="2521" equalAverage="0" operator="greaterThan" aboveAverage="0" dxfId="10" text="" percent="0" bottom="0">
      <formula>30</formula>
    </cfRule>
  </conditionalFormatting>
  <conditionalFormatting sqref="G846">
    <cfRule type="cellIs" rank="0" priority="2522" equalAverage="0" operator="greaterThan" aboveAverage="0" dxfId="1" text="" percent="0" bottom="0">
      <formula>0</formula>
    </cfRule>
    <cfRule type="cellIs" rank="0" priority="2523" equalAverage="0" operator="lessThanOrEqual" aboveAverage="0" dxfId="0" text="" percent="0" bottom="0">
      <formula>0</formula>
    </cfRule>
  </conditionalFormatting>
  <conditionalFormatting sqref="F846">
    <cfRule type="cellIs" rank="0" priority="2524" equalAverage="0" operator="greaterThan" aboveAverage="0" dxfId="10" text="" percent="0" bottom="0">
      <formula>30</formula>
    </cfRule>
  </conditionalFormatting>
  <conditionalFormatting sqref="G847">
    <cfRule type="cellIs" rank="0" priority="2525" equalAverage="0" operator="greaterThan" aboveAverage="0" dxfId="1" text="" percent="0" bottom="0">
      <formula>0</formula>
    </cfRule>
    <cfRule type="cellIs" rank="0" priority="2526" equalAverage="0" operator="lessThanOrEqual" aboveAverage="0" dxfId="0" text="" percent="0" bottom="0">
      <formula>0</formula>
    </cfRule>
  </conditionalFormatting>
  <conditionalFormatting sqref="F847">
    <cfRule type="cellIs" rank="0" priority="2527" equalAverage="0" operator="greaterThan" aboveAverage="0" dxfId="10" text="" percent="0" bottom="0">
      <formula>30</formula>
    </cfRule>
  </conditionalFormatting>
  <conditionalFormatting sqref="G848">
    <cfRule type="cellIs" rank="0" priority="2528" equalAverage="0" operator="greaterThan" aboveAverage="0" dxfId="1" text="" percent="0" bottom="0">
      <formula>0</formula>
    </cfRule>
    <cfRule type="cellIs" rank="0" priority="2529" equalAverage="0" operator="lessThanOrEqual" aboveAverage="0" dxfId="0" text="" percent="0" bottom="0">
      <formula>0</formula>
    </cfRule>
  </conditionalFormatting>
  <conditionalFormatting sqref="F848">
    <cfRule type="cellIs" rank="0" priority="2530" equalAverage="0" operator="greaterThan" aboveAverage="0" dxfId="10" text="" percent="0" bottom="0">
      <formula>30</formula>
    </cfRule>
  </conditionalFormatting>
  <conditionalFormatting sqref="G849">
    <cfRule type="cellIs" rank="0" priority="2531" equalAverage="0" operator="greaterThan" aboveAverage="0" dxfId="1" text="" percent="0" bottom="0">
      <formula>0</formula>
    </cfRule>
    <cfRule type="cellIs" rank="0" priority="2532" equalAverage="0" operator="lessThanOrEqual" aboveAverage="0" dxfId="0" text="" percent="0" bottom="0">
      <formula>0</formula>
    </cfRule>
  </conditionalFormatting>
  <conditionalFormatting sqref="F849">
    <cfRule type="cellIs" rank="0" priority="2533" equalAverage="0" operator="greaterThan" aboveAverage="0" dxfId="10" text="" percent="0" bottom="0">
      <formula>30</formula>
    </cfRule>
  </conditionalFormatting>
  <conditionalFormatting sqref="G850">
    <cfRule type="cellIs" rank="0" priority="2534" equalAverage="0" operator="greaterThan" aboveAverage="0" dxfId="1" text="" percent="0" bottom="0">
      <formula>0</formula>
    </cfRule>
    <cfRule type="cellIs" rank="0" priority="2535" equalAverage="0" operator="lessThanOrEqual" aboveAverage="0" dxfId="0" text="" percent="0" bottom="0">
      <formula>0</formula>
    </cfRule>
  </conditionalFormatting>
  <conditionalFormatting sqref="F850">
    <cfRule type="cellIs" rank="0" priority="2536" equalAverage="0" operator="greaterThan" aboveAverage="0" dxfId="10" text="" percent="0" bottom="0">
      <formula>30</formula>
    </cfRule>
  </conditionalFormatting>
  <conditionalFormatting sqref="G851">
    <cfRule type="cellIs" rank="0" priority="2537" equalAverage="0" operator="greaterThan" aboveAverage="0" dxfId="1" text="" percent="0" bottom="0">
      <formula>0</formula>
    </cfRule>
    <cfRule type="cellIs" rank="0" priority="2538" equalAverage="0" operator="lessThanOrEqual" aboveAverage="0" dxfId="0" text="" percent="0" bottom="0">
      <formula>0</formula>
    </cfRule>
  </conditionalFormatting>
  <conditionalFormatting sqref="F851">
    <cfRule type="cellIs" rank="0" priority="2539" equalAverage="0" operator="greaterThan" aboveAverage="0" dxfId="10" text="" percent="0" bottom="0">
      <formula>30</formula>
    </cfRule>
  </conditionalFormatting>
  <conditionalFormatting sqref="G852">
    <cfRule type="cellIs" rank="0" priority="2540" equalAverage="0" operator="greaterThan" aboveAverage="0" dxfId="1" text="" percent="0" bottom="0">
      <formula>0</formula>
    </cfRule>
    <cfRule type="cellIs" rank="0" priority="2541" equalAverage="0" operator="lessThanOrEqual" aboveAverage="0" dxfId="0" text="" percent="0" bottom="0">
      <formula>0</formula>
    </cfRule>
  </conditionalFormatting>
  <conditionalFormatting sqref="F852">
    <cfRule type="cellIs" rank="0" priority="2542" equalAverage="0" operator="greaterThan" aboveAverage="0" dxfId="10" text="" percent="0" bottom="0">
      <formula>30</formula>
    </cfRule>
  </conditionalFormatting>
  <conditionalFormatting sqref="G853">
    <cfRule type="cellIs" rank="0" priority="2543" equalAverage="0" operator="greaterThan" aboveAverage="0" dxfId="1" text="" percent="0" bottom="0">
      <formula>0</formula>
    </cfRule>
    <cfRule type="cellIs" rank="0" priority="2544" equalAverage="0" operator="lessThanOrEqual" aboveAverage="0" dxfId="0" text="" percent="0" bottom="0">
      <formula>0</formula>
    </cfRule>
  </conditionalFormatting>
  <conditionalFormatting sqref="F853">
    <cfRule type="cellIs" rank="0" priority="2545" equalAverage="0" operator="greaterThan" aboveAverage="0" dxfId="10" text="" percent="0" bottom="0">
      <formula>30</formula>
    </cfRule>
  </conditionalFormatting>
  <conditionalFormatting sqref="G854">
    <cfRule type="cellIs" rank="0" priority="2546" equalAverage="0" operator="greaterThan" aboveAverage="0" dxfId="1" text="" percent="0" bottom="0">
      <formula>0</formula>
    </cfRule>
    <cfRule type="cellIs" rank="0" priority="2547" equalAverage="0" operator="lessThanOrEqual" aboveAverage="0" dxfId="0" text="" percent="0" bottom="0">
      <formula>0</formula>
    </cfRule>
  </conditionalFormatting>
  <conditionalFormatting sqref="F854">
    <cfRule type="cellIs" rank="0" priority="2548" equalAverage="0" operator="greaterThan" aboveAverage="0" dxfId="10" text="" percent="0" bottom="0">
      <formula>30</formula>
    </cfRule>
  </conditionalFormatting>
  <conditionalFormatting sqref="G855">
    <cfRule type="cellIs" rank="0" priority="2549" equalAverage="0" operator="greaterThan" aboveAverage="0" dxfId="1" text="" percent="0" bottom="0">
      <formula>0</formula>
    </cfRule>
    <cfRule type="cellIs" rank="0" priority="2550" equalAverage="0" operator="lessThanOrEqual" aboveAverage="0" dxfId="0" text="" percent="0" bottom="0">
      <formula>0</formula>
    </cfRule>
  </conditionalFormatting>
  <conditionalFormatting sqref="F855">
    <cfRule type="cellIs" rank="0" priority="2551" equalAverage="0" operator="greaterThan" aboveAverage="0" dxfId="10" text="" percent="0" bottom="0">
      <formula>30</formula>
    </cfRule>
  </conditionalFormatting>
  <conditionalFormatting sqref="G856">
    <cfRule type="cellIs" rank="0" priority="2552" equalAverage="0" operator="greaterThan" aboveAverage="0" dxfId="1" text="" percent="0" bottom="0">
      <formula>0</formula>
    </cfRule>
    <cfRule type="cellIs" rank="0" priority="2553" equalAverage="0" operator="lessThanOrEqual" aboveAverage="0" dxfId="0" text="" percent="0" bottom="0">
      <formula>0</formula>
    </cfRule>
  </conditionalFormatting>
  <conditionalFormatting sqref="F856">
    <cfRule type="cellIs" rank="0" priority="2554" equalAverage="0" operator="greaterThan" aboveAverage="0" dxfId="10" text="" percent="0" bottom="0">
      <formula>30</formula>
    </cfRule>
  </conditionalFormatting>
  <conditionalFormatting sqref="G857">
    <cfRule type="cellIs" rank="0" priority="2555" equalAverage="0" operator="greaterThan" aboveAverage="0" dxfId="1" text="" percent="0" bottom="0">
      <formula>0</formula>
    </cfRule>
    <cfRule type="cellIs" rank="0" priority="2556" equalAverage="0" operator="lessThanOrEqual" aboveAverage="0" dxfId="0" text="" percent="0" bottom="0">
      <formula>0</formula>
    </cfRule>
  </conditionalFormatting>
  <conditionalFormatting sqref="F857">
    <cfRule type="cellIs" rank="0" priority="2557" equalAverage="0" operator="greaterThan" aboveAverage="0" dxfId="10" text="" percent="0" bottom="0">
      <formula>30</formula>
    </cfRule>
  </conditionalFormatting>
  <conditionalFormatting sqref="G858">
    <cfRule type="cellIs" rank="0" priority="2558" equalAverage="0" operator="greaterThan" aboveAverage="0" dxfId="1" text="" percent="0" bottom="0">
      <formula>0</formula>
    </cfRule>
    <cfRule type="cellIs" rank="0" priority="2559" equalAverage="0" operator="lessThanOrEqual" aboveAverage="0" dxfId="0" text="" percent="0" bottom="0">
      <formula>0</formula>
    </cfRule>
  </conditionalFormatting>
  <conditionalFormatting sqref="F858">
    <cfRule type="cellIs" rank="0" priority="2560" equalAverage="0" operator="greaterThan" aboveAverage="0" dxfId="10" text="" percent="0" bottom="0">
      <formula>30</formula>
    </cfRule>
  </conditionalFormatting>
  <conditionalFormatting sqref="G859">
    <cfRule type="cellIs" rank="0" priority="2561" equalAverage="0" operator="greaterThan" aboveAverage="0" dxfId="1" text="" percent="0" bottom="0">
      <formula>0</formula>
    </cfRule>
    <cfRule type="cellIs" rank="0" priority="2562" equalAverage="0" operator="lessThanOrEqual" aboveAverage="0" dxfId="0" text="" percent="0" bottom="0">
      <formula>0</formula>
    </cfRule>
  </conditionalFormatting>
  <conditionalFormatting sqref="F859">
    <cfRule type="cellIs" rank="0" priority="2563" equalAverage="0" operator="greaterThan" aboveAverage="0" dxfId="10" text="" percent="0" bottom="0">
      <formula>30</formula>
    </cfRule>
  </conditionalFormatting>
  <conditionalFormatting sqref="G860">
    <cfRule type="cellIs" rank="0" priority="2564" equalAverage="0" operator="greaterThan" aboveAverage="0" dxfId="1" text="" percent="0" bottom="0">
      <formula>0</formula>
    </cfRule>
    <cfRule type="cellIs" rank="0" priority="2565" equalAverage="0" operator="lessThanOrEqual" aboveAverage="0" dxfId="0" text="" percent="0" bottom="0">
      <formula>0</formula>
    </cfRule>
  </conditionalFormatting>
  <conditionalFormatting sqref="F860">
    <cfRule type="cellIs" rank="0" priority="2566" equalAverage="0" operator="greaterThan" aboveAverage="0" dxfId="10" text="" percent="0" bottom="0">
      <formula>30</formula>
    </cfRule>
  </conditionalFormatting>
  <conditionalFormatting sqref="G861">
    <cfRule type="cellIs" rank="0" priority="2567" equalAverage="0" operator="greaterThan" aboveAverage="0" dxfId="1" text="" percent="0" bottom="0">
      <formula>0</formula>
    </cfRule>
    <cfRule type="cellIs" rank="0" priority="2568" equalAverage="0" operator="lessThanOrEqual" aboveAverage="0" dxfId="0" text="" percent="0" bottom="0">
      <formula>0</formula>
    </cfRule>
  </conditionalFormatting>
  <conditionalFormatting sqref="F861">
    <cfRule type="cellIs" rank="0" priority="2569" equalAverage="0" operator="greaterThan" aboveAverage="0" dxfId="10" text="" percent="0" bottom="0">
      <formula>30</formula>
    </cfRule>
  </conditionalFormatting>
  <conditionalFormatting sqref="G862">
    <cfRule type="cellIs" rank="0" priority="2570" equalAverage="0" operator="greaterThan" aboveAverage="0" dxfId="1" text="" percent="0" bottom="0">
      <formula>0</formula>
    </cfRule>
    <cfRule type="cellIs" rank="0" priority="2571" equalAverage="0" operator="lessThanOrEqual" aboveAverage="0" dxfId="0" text="" percent="0" bottom="0">
      <formula>0</formula>
    </cfRule>
  </conditionalFormatting>
  <conditionalFormatting sqref="F862">
    <cfRule type="cellIs" rank="0" priority="2572" equalAverage="0" operator="greaterThan" aboveAverage="0" dxfId="10" text="" percent="0" bottom="0">
      <formula>30</formula>
    </cfRule>
  </conditionalFormatting>
  <conditionalFormatting sqref="G863">
    <cfRule type="cellIs" rank="0" priority="2573" equalAverage="0" operator="greaterThan" aboveAverage="0" dxfId="1" text="" percent="0" bottom="0">
      <formula>0</formula>
    </cfRule>
    <cfRule type="cellIs" rank="0" priority="2574" equalAverage="0" operator="lessThanOrEqual" aboveAverage="0" dxfId="0" text="" percent="0" bottom="0">
      <formula>0</formula>
    </cfRule>
  </conditionalFormatting>
  <conditionalFormatting sqref="F863">
    <cfRule type="cellIs" rank="0" priority="2575" equalAverage="0" operator="greaterThan" aboveAverage="0" dxfId="10" text="" percent="0" bottom="0">
      <formula>30</formula>
    </cfRule>
  </conditionalFormatting>
  <conditionalFormatting sqref="G864">
    <cfRule type="cellIs" rank="0" priority="2576" equalAverage="0" operator="greaterThan" aboveAverage="0" dxfId="1" text="" percent="0" bottom="0">
      <formula>0</formula>
    </cfRule>
    <cfRule type="cellIs" rank="0" priority="2577" equalAverage="0" operator="lessThanOrEqual" aboveAverage="0" dxfId="0" text="" percent="0" bottom="0">
      <formula>0</formula>
    </cfRule>
  </conditionalFormatting>
  <conditionalFormatting sqref="F864">
    <cfRule type="cellIs" rank="0" priority="2578" equalAverage="0" operator="greaterThan" aboveAverage="0" dxfId="10" text="" percent="0" bottom="0">
      <formula>30</formula>
    </cfRule>
  </conditionalFormatting>
  <conditionalFormatting sqref="G865">
    <cfRule type="cellIs" rank="0" priority="2579" equalAverage="0" operator="greaterThan" aboveAverage="0" dxfId="1" text="" percent="0" bottom="0">
      <formula>0</formula>
    </cfRule>
    <cfRule type="cellIs" rank="0" priority="2580" equalAverage="0" operator="lessThanOrEqual" aboveAverage="0" dxfId="0" text="" percent="0" bottom="0">
      <formula>0</formula>
    </cfRule>
  </conditionalFormatting>
  <conditionalFormatting sqref="F865">
    <cfRule type="cellIs" rank="0" priority="2581" equalAverage="0" operator="greaterThan" aboveAverage="0" dxfId="10" text="" percent="0" bottom="0">
      <formula>30</formula>
    </cfRule>
  </conditionalFormatting>
  <conditionalFormatting sqref="G866">
    <cfRule type="cellIs" rank="0" priority="2582" equalAverage="0" operator="greaterThan" aboveAverage="0" dxfId="1" text="" percent="0" bottom="0">
      <formula>0</formula>
    </cfRule>
    <cfRule type="cellIs" rank="0" priority="2583" equalAverage="0" operator="lessThanOrEqual" aboveAverage="0" dxfId="0" text="" percent="0" bottom="0">
      <formula>0</formula>
    </cfRule>
  </conditionalFormatting>
  <conditionalFormatting sqref="F866">
    <cfRule type="cellIs" rank="0" priority="2584" equalAverage="0" operator="greaterThan" aboveAverage="0" dxfId="10" text="" percent="0" bottom="0">
      <formula>30</formula>
    </cfRule>
  </conditionalFormatting>
  <conditionalFormatting sqref="G867">
    <cfRule type="cellIs" rank="0" priority="2585" equalAverage="0" operator="greaterThan" aboveAverage="0" dxfId="1" text="" percent="0" bottom="0">
      <formula>0</formula>
    </cfRule>
    <cfRule type="cellIs" rank="0" priority="2586" equalAverage="0" operator="lessThanOrEqual" aboveAverage="0" dxfId="0" text="" percent="0" bottom="0">
      <formula>0</formula>
    </cfRule>
  </conditionalFormatting>
  <conditionalFormatting sqref="F867">
    <cfRule type="cellIs" rank="0" priority="2587" equalAverage="0" operator="greaterThan" aboveAverage="0" dxfId="10" text="" percent="0" bottom="0">
      <formula>30</formula>
    </cfRule>
  </conditionalFormatting>
  <conditionalFormatting sqref="G868">
    <cfRule type="cellIs" rank="0" priority="2588" equalAverage="0" operator="greaterThan" aboveAverage="0" dxfId="1" text="" percent="0" bottom="0">
      <formula>0</formula>
    </cfRule>
    <cfRule type="cellIs" rank="0" priority="2589" equalAverage="0" operator="lessThanOrEqual" aboveAverage="0" dxfId="0" text="" percent="0" bottom="0">
      <formula>0</formula>
    </cfRule>
  </conditionalFormatting>
  <conditionalFormatting sqref="F868">
    <cfRule type="cellIs" rank="0" priority="2590" equalAverage="0" operator="greaterThan" aboveAverage="0" dxfId="10" text="" percent="0" bottom="0">
      <formula>30</formula>
    </cfRule>
  </conditionalFormatting>
  <conditionalFormatting sqref="G869">
    <cfRule type="cellIs" rank="0" priority="2591" equalAverage="0" operator="greaterThan" aboveAverage="0" dxfId="1" text="" percent="0" bottom="0">
      <formula>0</formula>
    </cfRule>
    <cfRule type="cellIs" rank="0" priority="2592" equalAverage="0" operator="lessThanOrEqual" aboveAverage="0" dxfId="0" text="" percent="0" bottom="0">
      <formula>0</formula>
    </cfRule>
  </conditionalFormatting>
  <conditionalFormatting sqref="F869">
    <cfRule type="cellIs" rank="0" priority="2593" equalAverage="0" operator="greaterThan" aboveAverage="0" dxfId="10" text="" percent="0" bottom="0">
      <formula>30</formula>
    </cfRule>
  </conditionalFormatting>
  <conditionalFormatting sqref="G870">
    <cfRule type="cellIs" rank="0" priority="2594" equalAverage="0" operator="greaterThan" aboveAverage="0" dxfId="1" text="" percent="0" bottom="0">
      <formula>0</formula>
    </cfRule>
    <cfRule type="cellIs" rank="0" priority="2595" equalAverage="0" operator="lessThanOrEqual" aboveAverage="0" dxfId="0" text="" percent="0" bottom="0">
      <formula>0</formula>
    </cfRule>
  </conditionalFormatting>
  <conditionalFormatting sqref="F870">
    <cfRule type="cellIs" rank="0" priority="2596" equalAverage="0" operator="greaterThan" aboveAverage="0" dxfId="10" text="" percent="0" bottom="0">
      <formula>30</formula>
    </cfRule>
  </conditionalFormatting>
  <conditionalFormatting sqref="G871">
    <cfRule type="cellIs" rank="0" priority="2597" equalAverage="0" operator="greaterThan" aboveAverage="0" dxfId="1" text="" percent="0" bottom="0">
      <formula>0</formula>
    </cfRule>
    <cfRule type="cellIs" rank="0" priority="2598" equalAverage="0" operator="lessThanOrEqual" aboveAverage="0" dxfId="0" text="" percent="0" bottom="0">
      <formula>0</formula>
    </cfRule>
  </conditionalFormatting>
  <conditionalFormatting sqref="F871">
    <cfRule type="cellIs" rank="0" priority="2599" equalAverage="0" operator="greaterThan" aboveAverage="0" dxfId="10" text="" percent="0" bottom="0">
      <formula>30</formula>
    </cfRule>
  </conditionalFormatting>
  <conditionalFormatting sqref="G872">
    <cfRule type="cellIs" rank="0" priority="2600" equalAverage="0" operator="greaterThan" aboveAverage="0" dxfId="1" text="" percent="0" bottom="0">
      <formula>0</formula>
    </cfRule>
    <cfRule type="cellIs" rank="0" priority="2601" equalAverage="0" operator="lessThanOrEqual" aboveAverage="0" dxfId="0" text="" percent="0" bottom="0">
      <formula>0</formula>
    </cfRule>
  </conditionalFormatting>
  <conditionalFormatting sqref="F872">
    <cfRule type="cellIs" rank="0" priority="2602" equalAverage="0" operator="greaterThan" aboveAverage="0" dxfId="10" text="" percent="0" bottom="0">
      <formula>30</formula>
    </cfRule>
  </conditionalFormatting>
  <conditionalFormatting sqref="G873">
    <cfRule type="cellIs" rank="0" priority="2603" equalAverage="0" operator="greaterThan" aboveAverage="0" dxfId="1" text="" percent="0" bottom="0">
      <formula>0</formula>
    </cfRule>
    <cfRule type="cellIs" rank="0" priority="2604" equalAverage="0" operator="lessThanOrEqual" aboveAverage="0" dxfId="0" text="" percent="0" bottom="0">
      <formula>0</formula>
    </cfRule>
  </conditionalFormatting>
  <conditionalFormatting sqref="F873">
    <cfRule type="cellIs" rank="0" priority="2605" equalAverage="0" operator="greaterThan" aboveAverage="0" dxfId="10" text="" percent="0" bottom="0">
      <formula>30</formula>
    </cfRule>
  </conditionalFormatting>
  <conditionalFormatting sqref="G874">
    <cfRule type="cellIs" rank="0" priority="2606" equalAverage="0" operator="greaterThan" aboveAverage="0" dxfId="1" text="" percent="0" bottom="0">
      <formula>0</formula>
    </cfRule>
    <cfRule type="cellIs" rank="0" priority="2607" equalAverage="0" operator="lessThanOrEqual" aboveAverage="0" dxfId="0" text="" percent="0" bottom="0">
      <formula>0</formula>
    </cfRule>
  </conditionalFormatting>
  <conditionalFormatting sqref="F874">
    <cfRule type="cellIs" rank="0" priority="2608" equalAverage="0" operator="greaterThan" aboveAverage="0" dxfId="10" text="" percent="0" bottom="0">
      <formula>30</formula>
    </cfRule>
  </conditionalFormatting>
  <conditionalFormatting sqref="G875">
    <cfRule type="cellIs" rank="0" priority="2609" equalAverage="0" operator="greaterThan" aboveAverage="0" dxfId="1" text="" percent="0" bottom="0">
      <formula>0</formula>
    </cfRule>
    <cfRule type="cellIs" rank="0" priority="2610" equalAverage="0" operator="lessThanOrEqual" aboveAverage="0" dxfId="0" text="" percent="0" bottom="0">
      <formula>0</formula>
    </cfRule>
  </conditionalFormatting>
  <conditionalFormatting sqref="F875">
    <cfRule type="cellIs" rank="0" priority="2611" equalAverage="0" operator="greaterThan" aboveAverage="0" dxfId="10" text="" percent="0" bottom="0">
      <formula>30</formula>
    </cfRule>
  </conditionalFormatting>
  <conditionalFormatting sqref="G876">
    <cfRule type="cellIs" rank="0" priority="2612" equalAverage="0" operator="greaterThan" aboveAverage="0" dxfId="1" text="" percent="0" bottom="0">
      <formula>0</formula>
    </cfRule>
    <cfRule type="cellIs" rank="0" priority="2613" equalAverage="0" operator="lessThanOrEqual" aboveAverage="0" dxfId="0" text="" percent="0" bottom="0">
      <formula>0</formula>
    </cfRule>
  </conditionalFormatting>
  <conditionalFormatting sqref="F876">
    <cfRule type="cellIs" rank="0" priority="2614" equalAverage="0" operator="greaterThan" aboveAverage="0" dxfId="10" text="" percent="0" bottom="0">
      <formula>30</formula>
    </cfRule>
  </conditionalFormatting>
  <conditionalFormatting sqref="G877">
    <cfRule type="cellIs" rank="0" priority="2615" equalAverage="0" operator="greaterThan" aboveAverage="0" dxfId="1" text="" percent="0" bottom="0">
      <formula>0</formula>
    </cfRule>
    <cfRule type="cellIs" rank="0" priority="2616" equalAverage="0" operator="lessThanOrEqual" aboveAverage="0" dxfId="0" text="" percent="0" bottom="0">
      <formula>0</formula>
    </cfRule>
  </conditionalFormatting>
  <conditionalFormatting sqref="F877">
    <cfRule type="cellIs" rank="0" priority="2617" equalAverage="0" operator="greaterThan" aboveAverage="0" dxfId="10" text="" percent="0" bottom="0">
      <formula>30</formula>
    </cfRule>
  </conditionalFormatting>
  <conditionalFormatting sqref="G878">
    <cfRule type="cellIs" rank="0" priority="2618" equalAverage="0" operator="greaterThan" aboveAverage="0" dxfId="1" text="" percent="0" bottom="0">
      <formula>0</formula>
    </cfRule>
    <cfRule type="cellIs" rank="0" priority="2619" equalAverage="0" operator="lessThanOrEqual" aboveAverage="0" dxfId="0" text="" percent="0" bottom="0">
      <formula>0</formula>
    </cfRule>
  </conditionalFormatting>
  <conditionalFormatting sqref="F878">
    <cfRule type="cellIs" rank="0" priority="2620" equalAverage="0" operator="greaterThan" aboveAverage="0" dxfId="10" text="" percent="0" bottom="0">
      <formula>30</formula>
    </cfRule>
  </conditionalFormatting>
  <conditionalFormatting sqref="G879">
    <cfRule type="cellIs" rank="0" priority="2621" equalAverage="0" operator="greaterThan" aboveAverage="0" dxfId="1" text="" percent="0" bottom="0">
      <formula>0</formula>
    </cfRule>
    <cfRule type="cellIs" rank="0" priority="2622" equalAverage="0" operator="lessThanOrEqual" aboveAverage="0" dxfId="0" text="" percent="0" bottom="0">
      <formula>0</formula>
    </cfRule>
  </conditionalFormatting>
  <conditionalFormatting sqref="F879">
    <cfRule type="cellIs" rank="0" priority="2623" equalAverage="0" operator="greaterThan" aboveAverage="0" dxfId="10" text="" percent="0" bottom="0">
      <formula>30</formula>
    </cfRule>
  </conditionalFormatting>
  <conditionalFormatting sqref="G880">
    <cfRule type="cellIs" rank="0" priority="2624" equalAverage="0" operator="greaterThan" aboveAverage="0" dxfId="1" text="" percent="0" bottom="0">
      <formula>0</formula>
    </cfRule>
    <cfRule type="cellIs" rank="0" priority="2625" equalAverage="0" operator="lessThanOrEqual" aboveAverage="0" dxfId="0" text="" percent="0" bottom="0">
      <formula>0</formula>
    </cfRule>
  </conditionalFormatting>
  <conditionalFormatting sqref="F880">
    <cfRule type="cellIs" rank="0" priority="2626" equalAverage="0" operator="greaterThan" aboveAverage="0" dxfId="10" text="" percent="0" bottom="0">
      <formula>30</formula>
    </cfRule>
  </conditionalFormatting>
  <conditionalFormatting sqref="G881">
    <cfRule type="cellIs" rank="0" priority="2627" equalAverage="0" operator="greaterThan" aboveAverage="0" dxfId="1" text="" percent="0" bottom="0">
      <formula>0</formula>
    </cfRule>
    <cfRule type="cellIs" rank="0" priority="2628" equalAverage="0" operator="lessThanOrEqual" aboveAverage="0" dxfId="0" text="" percent="0" bottom="0">
      <formula>0</formula>
    </cfRule>
  </conditionalFormatting>
  <conditionalFormatting sqref="F881">
    <cfRule type="cellIs" rank="0" priority="2629" equalAverage="0" operator="greaterThan" aboveAverage="0" dxfId="10" text="" percent="0" bottom="0">
      <formula>30</formula>
    </cfRule>
  </conditionalFormatting>
  <conditionalFormatting sqref="G882">
    <cfRule type="cellIs" rank="0" priority="2630" equalAverage="0" operator="greaterThan" aboveAverage="0" dxfId="1" text="" percent="0" bottom="0">
      <formula>0</formula>
    </cfRule>
    <cfRule type="cellIs" rank="0" priority="2631" equalAverage="0" operator="lessThanOrEqual" aboveAverage="0" dxfId="0" text="" percent="0" bottom="0">
      <formula>0</formula>
    </cfRule>
  </conditionalFormatting>
  <conditionalFormatting sqref="F882">
    <cfRule type="cellIs" rank="0" priority="2632" equalAverage="0" operator="greaterThan" aboveAverage="0" dxfId="10" text="" percent="0" bottom="0">
      <formula>30</formula>
    </cfRule>
  </conditionalFormatting>
  <conditionalFormatting sqref="G883">
    <cfRule type="cellIs" rank="0" priority="2633" equalAverage="0" operator="greaterThan" aboveAverage="0" dxfId="1" text="" percent="0" bottom="0">
      <formula>0</formula>
    </cfRule>
    <cfRule type="cellIs" rank="0" priority="2634" equalAverage="0" operator="lessThanOrEqual" aboveAverage="0" dxfId="0" text="" percent="0" bottom="0">
      <formula>0</formula>
    </cfRule>
  </conditionalFormatting>
  <conditionalFormatting sqref="F883">
    <cfRule type="cellIs" rank="0" priority="2635" equalAverage="0" operator="greaterThan" aboveAverage="0" dxfId="10" text="" percent="0" bottom="0">
      <formula>30</formula>
    </cfRule>
  </conditionalFormatting>
  <conditionalFormatting sqref="G884">
    <cfRule type="cellIs" rank="0" priority="2636" equalAverage="0" operator="greaterThan" aboveAverage="0" dxfId="1" text="" percent="0" bottom="0">
      <formula>0</formula>
    </cfRule>
    <cfRule type="cellIs" rank="0" priority="2637" equalAverage="0" operator="lessThanOrEqual" aboveAverage="0" dxfId="0" text="" percent="0" bottom="0">
      <formula>0</formula>
    </cfRule>
  </conditionalFormatting>
  <conditionalFormatting sqref="F884">
    <cfRule type="cellIs" rank="0" priority="2638" equalAverage="0" operator="greaterThan" aboveAverage="0" dxfId="10" text="" percent="0" bottom="0">
      <formula>30</formula>
    </cfRule>
  </conditionalFormatting>
  <conditionalFormatting sqref="G885">
    <cfRule type="cellIs" rank="0" priority="2639" equalAverage="0" operator="greaterThan" aboveAverage="0" dxfId="1" text="" percent="0" bottom="0">
      <formula>0</formula>
    </cfRule>
    <cfRule type="cellIs" rank="0" priority="2640" equalAverage="0" operator="lessThanOrEqual" aboveAverage="0" dxfId="0" text="" percent="0" bottom="0">
      <formula>0</formula>
    </cfRule>
  </conditionalFormatting>
  <conditionalFormatting sqref="F885">
    <cfRule type="cellIs" rank="0" priority="2641" equalAverage="0" operator="greaterThan" aboveAverage="0" dxfId="10" text="" percent="0" bottom="0">
      <formula>30</formula>
    </cfRule>
  </conditionalFormatting>
  <conditionalFormatting sqref="G886">
    <cfRule type="cellIs" rank="0" priority="2642" equalAverage="0" operator="greaterThan" aboveAverage="0" dxfId="1" text="" percent="0" bottom="0">
      <formula>0</formula>
    </cfRule>
    <cfRule type="cellIs" rank="0" priority="2643" equalAverage="0" operator="lessThanOrEqual" aboveAverage="0" dxfId="0" text="" percent="0" bottom="0">
      <formula>0</formula>
    </cfRule>
  </conditionalFormatting>
  <conditionalFormatting sqref="F886">
    <cfRule type="cellIs" rank="0" priority="2644" equalAverage="0" operator="greaterThan" aboveAverage="0" dxfId="10" text="" percent="0" bottom="0">
      <formula>30</formula>
    </cfRule>
  </conditionalFormatting>
  <conditionalFormatting sqref="G887">
    <cfRule type="cellIs" rank="0" priority="2645" equalAverage="0" operator="greaterThan" aboveAverage="0" dxfId="1" text="" percent="0" bottom="0">
      <formula>0</formula>
    </cfRule>
    <cfRule type="cellIs" rank="0" priority="2646" equalAverage="0" operator="lessThanOrEqual" aboveAverage="0" dxfId="0" text="" percent="0" bottom="0">
      <formula>0</formula>
    </cfRule>
  </conditionalFormatting>
  <conditionalFormatting sqref="F887">
    <cfRule type="cellIs" rank="0" priority="2647" equalAverage="0" operator="greaterThan" aboveAverage="0" dxfId="10" text="" percent="0" bottom="0">
      <formula>30</formula>
    </cfRule>
  </conditionalFormatting>
  <conditionalFormatting sqref="G888">
    <cfRule type="cellIs" rank="0" priority="2648" equalAverage="0" operator="greaterThan" aboveAverage="0" dxfId="1" text="" percent="0" bottom="0">
      <formula>0</formula>
    </cfRule>
    <cfRule type="cellIs" rank="0" priority="2649" equalAverage="0" operator="lessThanOrEqual" aboveAverage="0" dxfId="0" text="" percent="0" bottom="0">
      <formula>0</formula>
    </cfRule>
  </conditionalFormatting>
  <conditionalFormatting sqref="F888">
    <cfRule type="cellIs" rank="0" priority="2650" equalAverage="0" operator="greaterThan" aboveAverage="0" dxfId="10" text="" percent="0" bottom="0">
      <formula>30</formula>
    </cfRule>
  </conditionalFormatting>
  <conditionalFormatting sqref="G889">
    <cfRule type="cellIs" rank="0" priority="2651" equalAverage="0" operator="greaterThan" aboveAverage="0" dxfId="1" text="" percent="0" bottom="0">
      <formula>0</formula>
    </cfRule>
    <cfRule type="cellIs" rank="0" priority="2652" equalAverage="0" operator="lessThanOrEqual" aboveAverage="0" dxfId="0" text="" percent="0" bottom="0">
      <formula>0</formula>
    </cfRule>
  </conditionalFormatting>
  <conditionalFormatting sqref="F889">
    <cfRule type="cellIs" rank="0" priority="2653" equalAverage="0" operator="greaterThan" aboveAverage="0" dxfId="10" text="" percent="0" bottom="0">
      <formula>30</formula>
    </cfRule>
  </conditionalFormatting>
  <conditionalFormatting sqref="G890">
    <cfRule type="cellIs" rank="0" priority="2654" equalAverage="0" operator="greaterThan" aboveAverage="0" dxfId="1" text="" percent="0" bottom="0">
      <formula>0</formula>
    </cfRule>
    <cfRule type="cellIs" rank="0" priority="2655" equalAverage="0" operator="lessThanOrEqual" aboveAverage="0" dxfId="0" text="" percent="0" bottom="0">
      <formula>0</formula>
    </cfRule>
  </conditionalFormatting>
  <conditionalFormatting sqref="F890">
    <cfRule type="cellIs" rank="0" priority="2656" equalAverage="0" operator="greaterThan" aboveAverage="0" dxfId="10" text="" percent="0" bottom="0">
      <formula>30</formula>
    </cfRule>
  </conditionalFormatting>
  <conditionalFormatting sqref="G891">
    <cfRule type="cellIs" rank="0" priority="2657" equalAverage="0" operator="greaterThan" aboveAverage="0" dxfId="1" text="" percent="0" bottom="0">
      <formula>0</formula>
    </cfRule>
    <cfRule type="cellIs" rank="0" priority="2658" equalAverage="0" operator="lessThanOrEqual" aboveAverage="0" dxfId="0" text="" percent="0" bottom="0">
      <formula>0</formula>
    </cfRule>
  </conditionalFormatting>
  <conditionalFormatting sqref="F891">
    <cfRule type="cellIs" rank="0" priority="2659" equalAverage="0" operator="greaterThan" aboveAverage="0" dxfId="10" text="" percent="0" bottom="0">
      <formula>30</formula>
    </cfRule>
  </conditionalFormatting>
  <conditionalFormatting sqref="G892">
    <cfRule type="cellIs" rank="0" priority="2660" equalAverage="0" operator="greaterThan" aboveAverage="0" dxfId="1" text="" percent="0" bottom="0">
      <formula>0</formula>
    </cfRule>
    <cfRule type="cellIs" rank="0" priority="2661" equalAverage="0" operator="lessThanOrEqual" aboveAverage="0" dxfId="0" text="" percent="0" bottom="0">
      <formula>0</formula>
    </cfRule>
  </conditionalFormatting>
  <conditionalFormatting sqref="F892">
    <cfRule type="cellIs" rank="0" priority="2662" equalAverage="0" operator="greaterThan" aboveAverage="0" dxfId="10" text="" percent="0" bottom="0">
      <formula>30</formula>
    </cfRule>
  </conditionalFormatting>
  <conditionalFormatting sqref="G893">
    <cfRule type="cellIs" rank="0" priority="2663" equalAverage="0" operator="greaterThan" aboveAverage="0" dxfId="1" text="" percent="0" bottom="0">
      <formula>0</formula>
    </cfRule>
    <cfRule type="cellIs" rank="0" priority="2664" equalAverage="0" operator="lessThanOrEqual" aboveAverage="0" dxfId="0" text="" percent="0" bottom="0">
      <formula>0</formula>
    </cfRule>
  </conditionalFormatting>
  <conditionalFormatting sqref="F893">
    <cfRule type="cellIs" rank="0" priority="2665" equalAverage="0" operator="greaterThan" aboveAverage="0" dxfId="10" text="" percent="0" bottom="0">
      <formula>30</formula>
    </cfRule>
  </conditionalFormatting>
  <conditionalFormatting sqref="G894">
    <cfRule type="cellIs" rank="0" priority="2666" equalAverage="0" operator="greaterThan" aboveAverage="0" dxfId="1" text="" percent="0" bottom="0">
      <formula>0</formula>
    </cfRule>
    <cfRule type="cellIs" rank="0" priority="2667" equalAverage="0" operator="lessThanOrEqual" aboveAverage="0" dxfId="0" text="" percent="0" bottom="0">
      <formula>0</formula>
    </cfRule>
  </conditionalFormatting>
  <conditionalFormatting sqref="F894">
    <cfRule type="cellIs" rank="0" priority="2668" equalAverage="0" operator="greaterThan" aboveAverage="0" dxfId="10" text="" percent="0" bottom="0">
      <formula>30</formula>
    </cfRule>
  </conditionalFormatting>
  <conditionalFormatting sqref="G895">
    <cfRule type="cellIs" rank="0" priority="2669" equalAverage="0" operator="greaterThan" aboveAverage="0" dxfId="1" text="" percent="0" bottom="0">
      <formula>0</formula>
    </cfRule>
    <cfRule type="cellIs" rank="0" priority="2670" equalAverage="0" operator="lessThanOrEqual" aboveAverage="0" dxfId="0" text="" percent="0" bottom="0">
      <formula>0</formula>
    </cfRule>
  </conditionalFormatting>
  <conditionalFormatting sqref="F895">
    <cfRule type="cellIs" rank="0" priority="2671" equalAverage="0" operator="greaterThan" aboveAverage="0" dxfId="10" text="" percent="0" bottom="0">
      <formula>30</formula>
    </cfRule>
  </conditionalFormatting>
  <conditionalFormatting sqref="G896">
    <cfRule type="cellIs" rank="0" priority="2672" equalAverage="0" operator="greaterThan" aboveAverage="0" dxfId="1" text="" percent="0" bottom="0">
      <formula>0</formula>
    </cfRule>
    <cfRule type="cellIs" rank="0" priority="2673" equalAverage="0" operator="lessThanOrEqual" aboveAverage="0" dxfId="0" text="" percent="0" bottom="0">
      <formula>0</formula>
    </cfRule>
  </conditionalFormatting>
  <conditionalFormatting sqref="F896">
    <cfRule type="cellIs" rank="0" priority="2674" equalAverage="0" operator="greaterThan" aboveAverage="0" dxfId="10" text="" percent="0" bottom="0">
      <formula>30</formula>
    </cfRule>
  </conditionalFormatting>
  <conditionalFormatting sqref="G897">
    <cfRule type="cellIs" rank="0" priority="2675" equalAverage="0" operator="greaterThan" aboveAverage="0" dxfId="1" text="" percent="0" bottom="0">
      <formula>0</formula>
    </cfRule>
    <cfRule type="cellIs" rank="0" priority="2676" equalAverage="0" operator="lessThanOrEqual" aboveAverage="0" dxfId="0" text="" percent="0" bottom="0">
      <formula>0</formula>
    </cfRule>
  </conditionalFormatting>
  <conditionalFormatting sqref="F897">
    <cfRule type="cellIs" rank="0" priority="2677" equalAverage="0" operator="greaterThan" aboveAverage="0" dxfId="10" text="" percent="0" bottom="0">
      <formula>30</formula>
    </cfRule>
  </conditionalFormatting>
  <conditionalFormatting sqref="G898">
    <cfRule type="cellIs" rank="0" priority="2678" equalAverage="0" operator="greaterThan" aboveAverage="0" dxfId="1" text="" percent="0" bottom="0">
      <formula>0</formula>
    </cfRule>
    <cfRule type="cellIs" rank="0" priority="2679" equalAverage="0" operator="lessThanOrEqual" aboveAverage="0" dxfId="0" text="" percent="0" bottom="0">
      <formula>0</formula>
    </cfRule>
  </conditionalFormatting>
  <conditionalFormatting sqref="F898">
    <cfRule type="cellIs" rank="0" priority="2680" equalAverage="0" operator="greaterThan" aboveAverage="0" dxfId="10" text="" percent="0" bottom="0">
      <formula>30</formula>
    </cfRule>
  </conditionalFormatting>
  <conditionalFormatting sqref="G899">
    <cfRule type="cellIs" rank="0" priority="2681" equalAverage="0" operator="greaterThan" aboveAverage="0" dxfId="1" text="" percent="0" bottom="0">
      <formula>0</formula>
    </cfRule>
    <cfRule type="cellIs" rank="0" priority="2682" equalAverage="0" operator="lessThanOrEqual" aboveAverage="0" dxfId="0" text="" percent="0" bottom="0">
      <formula>0</formula>
    </cfRule>
  </conditionalFormatting>
  <conditionalFormatting sqref="F899">
    <cfRule type="cellIs" rank="0" priority="2683" equalAverage="0" operator="greaterThan" aboveAverage="0" dxfId="10" text="" percent="0" bottom="0">
      <formula>30</formula>
    </cfRule>
  </conditionalFormatting>
  <conditionalFormatting sqref="G900">
    <cfRule type="cellIs" rank="0" priority="2684" equalAverage="0" operator="greaterThan" aboveAverage="0" dxfId="1" text="" percent="0" bottom="0">
      <formula>0</formula>
    </cfRule>
    <cfRule type="cellIs" rank="0" priority="2685" equalAverage="0" operator="lessThanOrEqual" aboveAverage="0" dxfId="0" text="" percent="0" bottom="0">
      <formula>0</formula>
    </cfRule>
  </conditionalFormatting>
  <conditionalFormatting sqref="F900">
    <cfRule type="cellIs" rank="0" priority="2686" equalAverage="0" operator="greaterThan" aboveAverage="0" dxfId="10" text="" percent="0" bottom="0">
      <formula>30</formula>
    </cfRule>
  </conditionalFormatting>
  <conditionalFormatting sqref="G901">
    <cfRule type="cellIs" rank="0" priority="2687" equalAverage="0" operator="greaterThan" aboveAverage="0" dxfId="1" text="" percent="0" bottom="0">
      <formula>0</formula>
    </cfRule>
    <cfRule type="cellIs" rank="0" priority="2688" equalAverage="0" operator="lessThanOrEqual" aboveAverage="0" dxfId="0" text="" percent="0" bottom="0">
      <formula>0</formula>
    </cfRule>
  </conditionalFormatting>
  <conditionalFormatting sqref="F901">
    <cfRule type="cellIs" rank="0" priority="2689" equalAverage="0" operator="greaterThan" aboveAverage="0" dxfId="10" text="" percent="0" bottom="0">
      <formula>30</formula>
    </cfRule>
  </conditionalFormatting>
  <conditionalFormatting sqref="G902">
    <cfRule type="cellIs" rank="0" priority="2690" equalAverage="0" operator="greaterThan" aboveAverage="0" dxfId="1" text="" percent="0" bottom="0">
      <formula>0</formula>
    </cfRule>
    <cfRule type="cellIs" rank="0" priority="2691" equalAverage="0" operator="lessThanOrEqual" aboveAverage="0" dxfId="0" text="" percent="0" bottom="0">
      <formula>0</formula>
    </cfRule>
  </conditionalFormatting>
  <conditionalFormatting sqref="F902">
    <cfRule type="cellIs" rank="0" priority="2692" equalAverage="0" operator="greaterThan" aboveAverage="0" dxfId="10" text="" percent="0" bottom="0">
      <formula>30</formula>
    </cfRule>
  </conditionalFormatting>
  <conditionalFormatting sqref="G903">
    <cfRule type="cellIs" rank="0" priority="2693" equalAverage="0" operator="greaterThan" aboveAverage="0" dxfId="1" text="" percent="0" bottom="0">
      <formula>0</formula>
    </cfRule>
    <cfRule type="cellIs" rank="0" priority="2694" equalAverage="0" operator="lessThanOrEqual" aboveAverage="0" dxfId="0" text="" percent="0" bottom="0">
      <formula>0</formula>
    </cfRule>
  </conditionalFormatting>
  <conditionalFormatting sqref="F903">
    <cfRule type="cellIs" rank="0" priority="2695" equalAverage="0" operator="greaterThan" aboveAverage="0" dxfId="10" text="" percent="0" bottom="0">
      <formula>30</formula>
    </cfRule>
  </conditionalFormatting>
  <conditionalFormatting sqref="G904">
    <cfRule type="cellIs" rank="0" priority="2696" equalAverage="0" operator="greaterThan" aboveAverage="0" dxfId="1" text="" percent="0" bottom="0">
      <formula>0</formula>
    </cfRule>
    <cfRule type="cellIs" rank="0" priority="2697" equalAverage="0" operator="lessThanOrEqual" aboveAverage="0" dxfId="0" text="" percent="0" bottom="0">
      <formula>0</formula>
    </cfRule>
  </conditionalFormatting>
  <conditionalFormatting sqref="F904">
    <cfRule type="cellIs" rank="0" priority="2698" equalAverage="0" operator="greaterThan" aboveAverage="0" dxfId="10" text="" percent="0" bottom="0">
      <formula>30</formula>
    </cfRule>
  </conditionalFormatting>
  <conditionalFormatting sqref="G905">
    <cfRule type="cellIs" rank="0" priority="2699" equalAverage="0" operator="greaterThan" aboveAverage="0" dxfId="1" text="" percent="0" bottom="0">
      <formula>0</formula>
    </cfRule>
    <cfRule type="cellIs" rank="0" priority="2700" equalAverage="0" operator="lessThanOrEqual" aboveAverage="0" dxfId="0" text="" percent="0" bottom="0">
      <formula>0</formula>
    </cfRule>
  </conditionalFormatting>
  <conditionalFormatting sqref="F905">
    <cfRule type="cellIs" rank="0" priority="2701" equalAverage="0" operator="greaterThan" aboveAverage="0" dxfId="10" text="" percent="0" bottom="0">
      <formula>30</formula>
    </cfRule>
  </conditionalFormatting>
  <conditionalFormatting sqref="G906">
    <cfRule type="cellIs" rank="0" priority="2702" equalAverage="0" operator="greaterThan" aboveAverage="0" dxfId="1" text="" percent="0" bottom="0">
      <formula>0</formula>
    </cfRule>
    <cfRule type="cellIs" rank="0" priority="2703" equalAverage="0" operator="lessThanOrEqual" aboveAverage="0" dxfId="0" text="" percent="0" bottom="0">
      <formula>0</formula>
    </cfRule>
  </conditionalFormatting>
  <conditionalFormatting sqref="F906">
    <cfRule type="cellIs" rank="0" priority="2704" equalAverage="0" operator="greaterThan" aboveAverage="0" dxfId="10" text="" percent="0" bottom="0">
      <formula>30</formula>
    </cfRule>
  </conditionalFormatting>
  <conditionalFormatting sqref="G907">
    <cfRule type="cellIs" rank="0" priority="2705" equalAverage="0" operator="greaterThan" aboveAverage="0" dxfId="1" text="" percent="0" bottom="0">
      <formula>0</formula>
    </cfRule>
    <cfRule type="cellIs" rank="0" priority="2706" equalAverage="0" operator="lessThanOrEqual" aboveAverage="0" dxfId="0" text="" percent="0" bottom="0">
      <formula>0</formula>
    </cfRule>
  </conditionalFormatting>
  <conditionalFormatting sqref="F907">
    <cfRule type="cellIs" rank="0" priority="2707" equalAverage="0" operator="greaterThan" aboveAverage="0" dxfId="10" text="" percent="0" bottom="0">
      <formula>30</formula>
    </cfRule>
  </conditionalFormatting>
  <conditionalFormatting sqref="G908">
    <cfRule type="cellIs" rank="0" priority="2708" equalAverage="0" operator="greaterThan" aboveAverage="0" dxfId="1" text="" percent="0" bottom="0">
      <formula>0</formula>
    </cfRule>
    <cfRule type="cellIs" rank="0" priority="2709" equalAverage="0" operator="lessThanOrEqual" aboveAverage="0" dxfId="0" text="" percent="0" bottom="0">
      <formula>0</formula>
    </cfRule>
  </conditionalFormatting>
  <conditionalFormatting sqref="F908">
    <cfRule type="cellIs" rank="0" priority="2710" equalAverage="0" operator="greaterThan" aboveAverage="0" dxfId="10" text="" percent="0" bottom="0">
      <formula>30</formula>
    </cfRule>
  </conditionalFormatting>
  <conditionalFormatting sqref="G909">
    <cfRule type="cellIs" rank="0" priority="2711" equalAverage="0" operator="greaterThan" aboveAverage="0" dxfId="1" text="" percent="0" bottom="0">
      <formula>0</formula>
    </cfRule>
    <cfRule type="cellIs" rank="0" priority="2712" equalAverage="0" operator="lessThanOrEqual" aboveAverage="0" dxfId="0" text="" percent="0" bottom="0">
      <formula>0</formula>
    </cfRule>
  </conditionalFormatting>
  <conditionalFormatting sqref="F909">
    <cfRule type="cellIs" rank="0" priority="2713" equalAverage="0" operator="greaterThan" aboveAverage="0" dxfId="10" text="" percent="0" bottom="0">
      <formula>30</formula>
    </cfRule>
  </conditionalFormatting>
  <conditionalFormatting sqref="G910">
    <cfRule type="cellIs" rank="0" priority="2714" equalAverage="0" operator="greaterThan" aboveAverage="0" dxfId="1" text="" percent="0" bottom="0">
      <formula>0</formula>
    </cfRule>
    <cfRule type="cellIs" rank="0" priority="2715" equalAverage="0" operator="lessThanOrEqual" aboveAverage="0" dxfId="0" text="" percent="0" bottom="0">
      <formula>0</formula>
    </cfRule>
  </conditionalFormatting>
  <conditionalFormatting sqref="F910">
    <cfRule type="cellIs" rank="0" priority="2716" equalAverage="0" operator="greaterThan" aboveAverage="0" dxfId="10" text="" percent="0" bottom="0">
      <formula>30</formula>
    </cfRule>
  </conditionalFormatting>
  <conditionalFormatting sqref="G911">
    <cfRule type="cellIs" rank="0" priority="2717" equalAverage="0" operator="greaterThan" aboveAverage="0" dxfId="1" text="" percent="0" bottom="0">
      <formula>0</formula>
    </cfRule>
    <cfRule type="cellIs" rank="0" priority="2718" equalAverage="0" operator="lessThanOrEqual" aboveAverage="0" dxfId="0" text="" percent="0" bottom="0">
      <formula>0</formula>
    </cfRule>
  </conditionalFormatting>
  <conditionalFormatting sqref="F911">
    <cfRule type="cellIs" rank="0" priority="2719" equalAverage="0" operator="greaterThan" aboveAverage="0" dxfId="10" text="" percent="0" bottom="0">
      <formula>30</formula>
    </cfRule>
  </conditionalFormatting>
  <conditionalFormatting sqref="G912">
    <cfRule type="cellIs" rank="0" priority="2720" equalAverage="0" operator="greaterThan" aboveAverage="0" dxfId="1" text="" percent="0" bottom="0">
      <formula>0</formula>
    </cfRule>
    <cfRule type="cellIs" rank="0" priority="2721" equalAverage="0" operator="lessThanOrEqual" aboveAverage="0" dxfId="0" text="" percent="0" bottom="0">
      <formula>0</formula>
    </cfRule>
  </conditionalFormatting>
  <conditionalFormatting sqref="F912">
    <cfRule type="cellIs" rank="0" priority="2722" equalAverage="0" operator="greaterThan" aboveAverage="0" dxfId="10" text="" percent="0" bottom="0">
      <formula>30</formula>
    </cfRule>
  </conditionalFormatting>
  <conditionalFormatting sqref="G913">
    <cfRule type="cellIs" rank="0" priority="2723" equalAverage="0" operator="greaterThan" aboveAverage="0" dxfId="1" text="" percent="0" bottom="0">
      <formula>0</formula>
    </cfRule>
    <cfRule type="cellIs" rank="0" priority="2724" equalAverage="0" operator="lessThanOrEqual" aboveAverage="0" dxfId="0" text="" percent="0" bottom="0">
      <formula>0</formula>
    </cfRule>
  </conditionalFormatting>
  <conditionalFormatting sqref="F913">
    <cfRule type="cellIs" rank="0" priority="2725" equalAverage="0" operator="greaterThan" aboveAverage="0" dxfId="10" text="" percent="0" bottom="0">
      <formula>30</formula>
    </cfRule>
  </conditionalFormatting>
  <conditionalFormatting sqref="G914">
    <cfRule type="cellIs" rank="0" priority="2726" equalAverage="0" operator="greaterThan" aboveAverage="0" dxfId="1" text="" percent="0" bottom="0">
      <formula>0</formula>
    </cfRule>
    <cfRule type="cellIs" rank="0" priority="2727" equalAverage="0" operator="lessThanOrEqual" aboveAverage="0" dxfId="0" text="" percent="0" bottom="0">
      <formula>0</formula>
    </cfRule>
  </conditionalFormatting>
  <conditionalFormatting sqref="F914">
    <cfRule type="cellIs" rank="0" priority="2728" equalAverage="0" operator="greaterThan" aboveAverage="0" dxfId="10" text="" percent="0" bottom="0">
      <formula>30</formula>
    </cfRule>
  </conditionalFormatting>
  <conditionalFormatting sqref="G915">
    <cfRule type="cellIs" rank="0" priority="2729" equalAverage="0" operator="greaterThan" aboveAverage="0" dxfId="1" text="" percent="0" bottom="0">
      <formula>0</formula>
    </cfRule>
    <cfRule type="cellIs" rank="0" priority="2730" equalAverage="0" operator="lessThanOrEqual" aboveAverage="0" dxfId="0" text="" percent="0" bottom="0">
      <formula>0</formula>
    </cfRule>
  </conditionalFormatting>
  <conditionalFormatting sqref="F915">
    <cfRule type="cellIs" rank="0" priority="2731" equalAverage="0" operator="greaterThan" aboveAverage="0" dxfId="10" text="" percent="0" bottom="0">
      <formula>30</formula>
    </cfRule>
  </conditionalFormatting>
  <conditionalFormatting sqref="G916">
    <cfRule type="cellIs" rank="0" priority="2732" equalAverage="0" operator="greaterThan" aboveAverage="0" dxfId="1" text="" percent="0" bottom="0">
      <formula>0</formula>
    </cfRule>
    <cfRule type="cellIs" rank="0" priority="2733" equalAverage="0" operator="lessThanOrEqual" aboveAverage="0" dxfId="0" text="" percent="0" bottom="0">
      <formula>0</formula>
    </cfRule>
  </conditionalFormatting>
  <conditionalFormatting sqref="F916">
    <cfRule type="cellIs" rank="0" priority="2734" equalAverage="0" operator="greaterThan" aboveAverage="0" dxfId="10" text="" percent="0" bottom="0">
      <formula>30</formula>
    </cfRule>
  </conditionalFormatting>
  <conditionalFormatting sqref="G917">
    <cfRule type="cellIs" rank="0" priority="2735" equalAverage="0" operator="greaterThan" aboveAverage="0" dxfId="1" text="" percent="0" bottom="0">
      <formula>0</formula>
    </cfRule>
    <cfRule type="cellIs" rank="0" priority="2736" equalAverage="0" operator="lessThanOrEqual" aboveAverage="0" dxfId="0" text="" percent="0" bottom="0">
      <formula>0</formula>
    </cfRule>
  </conditionalFormatting>
  <conditionalFormatting sqref="F917">
    <cfRule type="cellIs" rank="0" priority="2737" equalAverage="0" operator="greaterThan" aboveAverage="0" dxfId="10" text="" percent="0" bottom="0">
      <formula>30</formula>
    </cfRule>
  </conditionalFormatting>
  <conditionalFormatting sqref="G918">
    <cfRule type="cellIs" rank="0" priority="2738" equalAverage="0" operator="greaterThan" aboveAverage="0" dxfId="1" text="" percent="0" bottom="0">
      <formula>0</formula>
    </cfRule>
    <cfRule type="cellIs" rank="0" priority="2739" equalAverage="0" operator="lessThanOrEqual" aboveAverage="0" dxfId="0" text="" percent="0" bottom="0">
      <formula>0</formula>
    </cfRule>
  </conditionalFormatting>
  <conditionalFormatting sqref="F918">
    <cfRule type="cellIs" rank="0" priority="2740" equalAverage="0" operator="greaterThan" aboveAverage="0" dxfId="10" text="" percent="0" bottom="0">
      <formula>30</formula>
    </cfRule>
  </conditionalFormatting>
  <conditionalFormatting sqref="G919">
    <cfRule type="cellIs" rank="0" priority="2741" equalAverage="0" operator="greaterThan" aboveAverage="0" dxfId="1" text="" percent="0" bottom="0">
      <formula>0</formula>
    </cfRule>
    <cfRule type="cellIs" rank="0" priority="2742" equalAverage="0" operator="lessThanOrEqual" aboveAverage="0" dxfId="0" text="" percent="0" bottom="0">
      <formula>0</formula>
    </cfRule>
  </conditionalFormatting>
  <conditionalFormatting sqref="F919">
    <cfRule type="cellIs" rank="0" priority="2743" equalAverage="0" operator="greaterThan" aboveAverage="0" dxfId="10" text="" percent="0" bottom="0">
      <formula>30</formula>
    </cfRule>
  </conditionalFormatting>
  <conditionalFormatting sqref="G920">
    <cfRule type="cellIs" rank="0" priority="2744" equalAverage="0" operator="greaterThan" aboveAverage="0" dxfId="1" text="" percent="0" bottom="0">
      <formula>0</formula>
    </cfRule>
    <cfRule type="cellIs" rank="0" priority="2745" equalAverage="0" operator="lessThanOrEqual" aboveAverage="0" dxfId="0" text="" percent="0" bottom="0">
      <formula>0</formula>
    </cfRule>
  </conditionalFormatting>
  <conditionalFormatting sqref="F920">
    <cfRule type="cellIs" rank="0" priority="2746" equalAverage="0" operator="greaterThan" aboveAverage="0" dxfId="10" text="" percent="0" bottom="0">
      <formula>30</formula>
    </cfRule>
  </conditionalFormatting>
  <conditionalFormatting sqref="G921">
    <cfRule type="cellIs" rank="0" priority="2747" equalAverage="0" operator="greaterThan" aboveAverage="0" dxfId="1" text="" percent="0" bottom="0">
      <formula>0</formula>
    </cfRule>
    <cfRule type="cellIs" rank="0" priority="2748" equalAverage="0" operator="lessThanOrEqual" aboveAverage="0" dxfId="0" text="" percent="0" bottom="0">
      <formula>0</formula>
    </cfRule>
  </conditionalFormatting>
  <conditionalFormatting sqref="F921">
    <cfRule type="cellIs" rank="0" priority="2749" equalAverage="0" operator="greaterThan" aboveAverage="0" dxfId="10" text="" percent="0" bottom="0">
      <formula>30</formula>
    </cfRule>
  </conditionalFormatting>
  <conditionalFormatting sqref="G922">
    <cfRule type="cellIs" rank="0" priority="2750" equalAverage="0" operator="greaterThan" aboveAverage="0" dxfId="1" text="" percent="0" bottom="0">
      <formula>0</formula>
    </cfRule>
    <cfRule type="cellIs" rank="0" priority="2751" equalAverage="0" operator="lessThanOrEqual" aboveAverage="0" dxfId="0" text="" percent="0" bottom="0">
      <formula>0</formula>
    </cfRule>
  </conditionalFormatting>
  <conditionalFormatting sqref="F922">
    <cfRule type="cellIs" rank="0" priority="2752" equalAverage="0" operator="greaterThan" aboveAverage="0" dxfId="10" text="" percent="0" bottom="0">
      <formula>30</formula>
    </cfRule>
  </conditionalFormatting>
  <conditionalFormatting sqref="G923">
    <cfRule type="cellIs" rank="0" priority="2753" equalAverage="0" operator="greaterThan" aboveAverage="0" dxfId="1" text="" percent="0" bottom="0">
      <formula>0</formula>
    </cfRule>
    <cfRule type="cellIs" rank="0" priority="2754" equalAverage="0" operator="lessThanOrEqual" aboveAverage="0" dxfId="0" text="" percent="0" bottom="0">
      <formula>0</formula>
    </cfRule>
  </conditionalFormatting>
  <conditionalFormatting sqref="F923">
    <cfRule type="cellIs" rank="0" priority="2755" equalAverage="0" operator="greaterThan" aboveAverage="0" dxfId="10" text="" percent="0" bottom="0">
      <formula>30</formula>
    </cfRule>
  </conditionalFormatting>
  <conditionalFormatting sqref="G924">
    <cfRule type="cellIs" rank="0" priority="2756" equalAverage="0" operator="greaterThan" aboveAverage="0" dxfId="1" text="" percent="0" bottom="0">
      <formula>0</formula>
    </cfRule>
    <cfRule type="cellIs" rank="0" priority="2757" equalAverage="0" operator="lessThanOrEqual" aboveAverage="0" dxfId="0" text="" percent="0" bottom="0">
      <formula>0</formula>
    </cfRule>
  </conditionalFormatting>
  <conditionalFormatting sqref="F924">
    <cfRule type="cellIs" rank="0" priority="2758" equalAverage="0" operator="greaterThan" aboveAverage="0" dxfId="10" text="" percent="0" bottom="0">
      <formula>30</formula>
    </cfRule>
  </conditionalFormatting>
  <conditionalFormatting sqref="G925">
    <cfRule type="cellIs" rank="0" priority="2759" equalAverage="0" operator="greaterThan" aboveAverage="0" dxfId="1" text="" percent="0" bottom="0">
      <formula>0</formula>
    </cfRule>
    <cfRule type="cellIs" rank="0" priority="2760" equalAverage="0" operator="lessThanOrEqual" aboveAverage="0" dxfId="0" text="" percent="0" bottom="0">
      <formula>0</formula>
    </cfRule>
  </conditionalFormatting>
  <conditionalFormatting sqref="F925">
    <cfRule type="cellIs" rank="0" priority="2761" equalAverage="0" operator="greaterThan" aboveAverage="0" dxfId="10" text="" percent="0" bottom="0">
      <formula>30</formula>
    </cfRule>
  </conditionalFormatting>
  <conditionalFormatting sqref="G926">
    <cfRule type="cellIs" rank="0" priority="2762" equalAverage="0" operator="greaterThan" aboveAverage="0" dxfId="1" text="" percent="0" bottom="0">
      <formula>0</formula>
    </cfRule>
    <cfRule type="cellIs" rank="0" priority="2763" equalAverage="0" operator="lessThanOrEqual" aboveAverage="0" dxfId="0" text="" percent="0" bottom="0">
      <formula>0</formula>
    </cfRule>
  </conditionalFormatting>
  <conditionalFormatting sqref="F926">
    <cfRule type="cellIs" rank="0" priority="2764" equalAverage="0" operator="greaterThan" aboveAverage="0" dxfId="10" text="" percent="0" bottom="0">
      <formula>30</formula>
    </cfRule>
  </conditionalFormatting>
  <conditionalFormatting sqref="G927">
    <cfRule type="cellIs" rank="0" priority="2765" equalAverage="0" operator="greaterThan" aboveAverage="0" dxfId="1" text="" percent="0" bottom="0">
      <formula>0</formula>
    </cfRule>
    <cfRule type="cellIs" rank="0" priority="2766" equalAverage="0" operator="lessThanOrEqual" aboveAverage="0" dxfId="0" text="" percent="0" bottom="0">
      <formula>0</formula>
    </cfRule>
  </conditionalFormatting>
  <conditionalFormatting sqref="F927">
    <cfRule type="cellIs" rank="0" priority="2767" equalAverage="0" operator="greaterThan" aboveAverage="0" dxfId="10" text="" percent="0" bottom="0">
      <formula>30</formula>
    </cfRule>
  </conditionalFormatting>
  <conditionalFormatting sqref="G928">
    <cfRule type="cellIs" rank="0" priority="2768" equalAverage="0" operator="greaterThan" aboveAverage="0" dxfId="1" text="" percent="0" bottom="0">
      <formula>0</formula>
    </cfRule>
    <cfRule type="cellIs" rank="0" priority="2769" equalAverage="0" operator="lessThanOrEqual" aboveAverage="0" dxfId="0" text="" percent="0" bottom="0">
      <formula>0</formula>
    </cfRule>
  </conditionalFormatting>
  <conditionalFormatting sqref="F928">
    <cfRule type="cellIs" rank="0" priority="2770" equalAverage="0" operator="greaterThan" aboveAverage="0" dxfId="10" text="" percent="0" bottom="0">
      <formula>30</formula>
    </cfRule>
  </conditionalFormatting>
  <conditionalFormatting sqref="G929">
    <cfRule type="cellIs" rank="0" priority="2771" equalAverage="0" operator="greaterThan" aboveAverage="0" dxfId="1" text="" percent="0" bottom="0">
      <formula>0</formula>
    </cfRule>
    <cfRule type="cellIs" rank="0" priority="2772" equalAverage="0" operator="lessThanOrEqual" aboveAverage="0" dxfId="0" text="" percent="0" bottom="0">
      <formula>0</formula>
    </cfRule>
  </conditionalFormatting>
  <conditionalFormatting sqref="F929">
    <cfRule type="cellIs" rank="0" priority="2773" equalAverage="0" operator="greaterThan" aboveAverage="0" dxfId="10" text="" percent="0" bottom="0">
      <formula>30</formula>
    </cfRule>
  </conditionalFormatting>
  <conditionalFormatting sqref="G930">
    <cfRule type="cellIs" rank="0" priority="2774" equalAverage="0" operator="greaterThan" aboveAverage="0" dxfId="1" text="" percent="0" bottom="0">
      <formula>0</formula>
    </cfRule>
    <cfRule type="cellIs" rank="0" priority="2775" equalAverage="0" operator="lessThanOrEqual" aboveAverage="0" dxfId="0" text="" percent="0" bottom="0">
      <formula>0</formula>
    </cfRule>
  </conditionalFormatting>
  <conditionalFormatting sqref="F930">
    <cfRule type="cellIs" rank="0" priority="2776" equalAverage="0" operator="greaterThan" aboveAverage="0" dxfId="10" text="" percent="0" bottom="0">
      <formula>30</formula>
    </cfRule>
  </conditionalFormatting>
  <conditionalFormatting sqref="G931">
    <cfRule type="cellIs" rank="0" priority="2777" equalAverage="0" operator="greaterThan" aboveAverage="0" dxfId="1" text="" percent="0" bottom="0">
      <formula>0</formula>
    </cfRule>
    <cfRule type="cellIs" rank="0" priority="2778" equalAverage="0" operator="lessThanOrEqual" aboveAverage="0" dxfId="0" text="" percent="0" bottom="0">
      <formula>0</formula>
    </cfRule>
  </conditionalFormatting>
  <conditionalFormatting sqref="F931">
    <cfRule type="cellIs" rank="0" priority="2779" equalAverage="0" operator="greaterThan" aboveAverage="0" dxfId="10" text="" percent="0" bottom="0">
      <formula>30</formula>
    </cfRule>
  </conditionalFormatting>
  <conditionalFormatting sqref="G932">
    <cfRule type="cellIs" rank="0" priority="2780" equalAverage="0" operator="greaterThan" aboveAverage="0" dxfId="1" text="" percent="0" bottom="0">
      <formula>0</formula>
    </cfRule>
    <cfRule type="cellIs" rank="0" priority="2781" equalAverage="0" operator="lessThanOrEqual" aboveAverage="0" dxfId="0" text="" percent="0" bottom="0">
      <formula>0</formula>
    </cfRule>
  </conditionalFormatting>
  <conditionalFormatting sqref="F932">
    <cfRule type="cellIs" rank="0" priority="2782" equalAverage="0" operator="greaterThan" aboveAverage="0" dxfId="10" text="" percent="0" bottom="0">
      <formula>30</formula>
    </cfRule>
  </conditionalFormatting>
  <conditionalFormatting sqref="G933">
    <cfRule type="cellIs" rank="0" priority="2783" equalAverage="0" operator="greaterThan" aboveAverage="0" dxfId="1" text="" percent="0" bottom="0">
      <formula>0</formula>
    </cfRule>
    <cfRule type="cellIs" rank="0" priority="2784" equalAverage="0" operator="lessThanOrEqual" aboveAverage="0" dxfId="0" text="" percent="0" bottom="0">
      <formula>0</formula>
    </cfRule>
  </conditionalFormatting>
  <conditionalFormatting sqref="F933">
    <cfRule type="cellIs" rank="0" priority="2785" equalAverage="0" operator="greaterThan" aboveAverage="0" dxfId="10" text="" percent="0" bottom="0">
      <formula>30</formula>
    </cfRule>
  </conditionalFormatting>
  <conditionalFormatting sqref="G934">
    <cfRule type="cellIs" rank="0" priority="2786" equalAverage="0" operator="greaterThan" aboveAverage="0" dxfId="1" text="" percent="0" bottom="0">
      <formula>0</formula>
    </cfRule>
    <cfRule type="cellIs" rank="0" priority="2787" equalAverage="0" operator="lessThanOrEqual" aboveAverage="0" dxfId="0" text="" percent="0" bottom="0">
      <formula>0</formula>
    </cfRule>
  </conditionalFormatting>
  <conditionalFormatting sqref="F934">
    <cfRule type="cellIs" rank="0" priority="2788" equalAverage="0" operator="greaterThan" aboveAverage="0" dxfId="10" text="" percent="0" bottom="0">
      <formula>30</formula>
    </cfRule>
  </conditionalFormatting>
  <conditionalFormatting sqref="G935">
    <cfRule type="cellIs" rank="0" priority="2789" equalAverage="0" operator="greaterThan" aboveAverage="0" dxfId="1" text="" percent="0" bottom="0">
      <formula>0</formula>
    </cfRule>
    <cfRule type="cellIs" rank="0" priority="2790" equalAverage="0" operator="lessThanOrEqual" aboveAverage="0" dxfId="0" text="" percent="0" bottom="0">
      <formula>0</formula>
    </cfRule>
  </conditionalFormatting>
  <conditionalFormatting sqref="F935">
    <cfRule type="cellIs" rank="0" priority="2791" equalAverage="0" operator="greaterThan" aboveAverage="0" dxfId="10" text="" percent="0" bottom="0">
      <formula>30</formula>
    </cfRule>
  </conditionalFormatting>
  <conditionalFormatting sqref="G936">
    <cfRule type="cellIs" rank="0" priority="2792" equalAverage="0" operator="greaterThan" aboveAverage="0" dxfId="1" text="" percent="0" bottom="0">
      <formula>0</formula>
    </cfRule>
    <cfRule type="cellIs" rank="0" priority="2793" equalAverage="0" operator="lessThanOrEqual" aboveAverage="0" dxfId="0" text="" percent="0" bottom="0">
      <formula>0</formula>
    </cfRule>
  </conditionalFormatting>
  <conditionalFormatting sqref="F936">
    <cfRule type="cellIs" rank="0" priority="2794" equalAverage="0" operator="greaterThan" aboveAverage="0" dxfId="10" text="" percent="0" bottom="0">
      <formula>30</formula>
    </cfRule>
  </conditionalFormatting>
  <conditionalFormatting sqref="G937">
    <cfRule type="cellIs" rank="0" priority="2795" equalAverage="0" operator="greaterThan" aboveAverage="0" dxfId="1" text="" percent="0" bottom="0">
      <formula>0</formula>
    </cfRule>
    <cfRule type="cellIs" rank="0" priority="2796" equalAverage="0" operator="lessThanOrEqual" aboveAverage="0" dxfId="0" text="" percent="0" bottom="0">
      <formula>0</formula>
    </cfRule>
  </conditionalFormatting>
  <conditionalFormatting sqref="F937">
    <cfRule type="cellIs" rank="0" priority="2797" equalAverage="0" operator="greaterThan" aboveAverage="0" dxfId="10" text="" percent="0" bottom="0">
      <formula>30</formula>
    </cfRule>
  </conditionalFormatting>
  <conditionalFormatting sqref="G938">
    <cfRule type="cellIs" rank="0" priority="2798" equalAverage="0" operator="greaterThan" aboveAverage="0" dxfId="1" text="" percent="0" bottom="0">
      <formula>0</formula>
    </cfRule>
    <cfRule type="cellIs" rank="0" priority="2799" equalAverage="0" operator="lessThanOrEqual" aboveAverage="0" dxfId="0" text="" percent="0" bottom="0">
      <formula>0</formula>
    </cfRule>
  </conditionalFormatting>
  <conditionalFormatting sqref="F938">
    <cfRule type="cellIs" rank="0" priority="2800" equalAverage="0" operator="greaterThan" aboveAverage="0" dxfId="10" text="" percent="0" bottom="0">
      <formula>30</formula>
    </cfRule>
  </conditionalFormatting>
  <conditionalFormatting sqref="G939">
    <cfRule type="cellIs" rank="0" priority="2801" equalAverage="0" operator="greaterThan" aboveAverage="0" dxfId="1" text="" percent="0" bottom="0">
      <formula>0</formula>
    </cfRule>
    <cfRule type="cellIs" rank="0" priority="2802" equalAverage="0" operator="lessThanOrEqual" aboveAverage="0" dxfId="0" text="" percent="0" bottom="0">
      <formula>0</formula>
    </cfRule>
  </conditionalFormatting>
  <conditionalFormatting sqref="F939">
    <cfRule type="cellIs" rank="0" priority="2803" equalAverage="0" operator="greaterThan" aboveAverage="0" dxfId="10" text="" percent="0" bottom="0">
      <formula>30</formula>
    </cfRule>
  </conditionalFormatting>
  <conditionalFormatting sqref="G940">
    <cfRule type="cellIs" rank="0" priority="2804" equalAverage="0" operator="greaterThan" aboveAverage="0" dxfId="1" text="" percent="0" bottom="0">
      <formula>0</formula>
    </cfRule>
    <cfRule type="cellIs" rank="0" priority="2805" equalAverage="0" operator="lessThanOrEqual" aboveAverage="0" dxfId="0" text="" percent="0" bottom="0">
      <formula>0</formula>
    </cfRule>
  </conditionalFormatting>
  <conditionalFormatting sqref="F940">
    <cfRule type="cellIs" rank="0" priority="2806" equalAverage="0" operator="greaterThan" aboveAverage="0" dxfId="10" text="" percent="0" bottom="0">
      <formula>30</formula>
    </cfRule>
  </conditionalFormatting>
  <conditionalFormatting sqref="G941">
    <cfRule type="cellIs" rank="0" priority="2807" equalAverage="0" operator="greaterThan" aboveAverage="0" dxfId="1" text="" percent="0" bottom="0">
      <formula>0</formula>
    </cfRule>
    <cfRule type="cellIs" rank="0" priority="2808" equalAverage="0" operator="lessThanOrEqual" aboveAverage="0" dxfId="0" text="" percent="0" bottom="0">
      <formula>0</formula>
    </cfRule>
  </conditionalFormatting>
  <conditionalFormatting sqref="F941">
    <cfRule type="cellIs" rank="0" priority="2809" equalAverage="0" operator="greaterThan" aboveAverage="0" dxfId="10" text="" percent="0" bottom="0">
      <formula>30</formula>
    </cfRule>
  </conditionalFormatting>
  <conditionalFormatting sqref="G942">
    <cfRule type="cellIs" rank="0" priority="2810" equalAverage="0" operator="greaterThan" aboveAverage="0" dxfId="1" text="" percent="0" bottom="0">
      <formula>0</formula>
    </cfRule>
    <cfRule type="cellIs" rank="0" priority="2811" equalAverage="0" operator="lessThanOrEqual" aboveAverage="0" dxfId="0" text="" percent="0" bottom="0">
      <formula>0</formula>
    </cfRule>
  </conditionalFormatting>
  <conditionalFormatting sqref="F942">
    <cfRule type="cellIs" rank="0" priority="2812" equalAverage="0" operator="greaterThan" aboveAverage="0" dxfId="10" text="" percent="0" bottom="0">
      <formula>30</formula>
    </cfRule>
  </conditionalFormatting>
  <conditionalFormatting sqref="G943">
    <cfRule type="cellIs" rank="0" priority="2813" equalAverage="0" operator="greaterThan" aboveAverage="0" dxfId="1" text="" percent="0" bottom="0">
      <formula>0</formula>
    </cfRule>
    <cfRule type="cellIs" rank="0" priority="2814" equalAverage="0" operator="lessThanOrEqual" aboveAverage="0" dxfId="0" text="" percent="0" bottom="0">
      <formula>0</formula>
    </cfRule>
  </conditionalFormatting>
  <conditionalFormatting sqref="F943">
    <cfRule type="cellIs" rank="0" priority="2815" equalAverage="0" operator="greaterThan" aboveAverage="0" dxfId="10" text="" percent="0" bottom="0">
      <formula>30</formula>
    </cfRule>
  </conditionalFormatting>
  <conditionalFormatting sqref="G944">
    <cfRule type="cellIs" rank="0" priority="2816" equalAverage="0" operator="greaterThan" aboveAverage="0" dxfId="1" text="" percent="0" bottom="0">
      <formula>0</formula>
    </cfRule>
    <cfRule type="cellIs" rank="0" priority="2817" equalAverage="0" operator="lessThanOrEqual" aboveAverage="0" dxfId="0" text="" percent="0" bottom="0">
      <formula>0</formula>
    </cfRule>
  </conditionalFormatting>
  <conditionalFormatting sqref="F944">
    <cfRule type="cellIs" rank="0" priority="2818" equalAverage="0" operator="greaterThan" aboveAverage="0" dxfId="10" text="" percent="0" bottom="0">
      <formula>30</formula>
    </cfRule>
  </conditionalFormatting>
  <conditionalFormatting sqref="G945">
    <cfRule type="cellIs" rank="0" priority="2819" equalAverage="0" operator="greaterThan" aboveAverage="0" dxfId="1" text="" percent="0" bottom="0">
      <formula>0</formula>
    </cfRule>
    <cfRule type="cellIs" rank="0" priority="2820" equalAverage="0" operator="lessThanOrEqual" aboveAverage="0" dxfId="0" text="" percent="0" bottom="0">
      <formula>0</formula>
    </cfRule>
  </conditionalFormatting>
  <conditionalFormatting sqref="F945">
    <cfRule type="cellIs" rank="0" priority="2821" equalAverage="0" operator="greaterThan" aboveAverage="0" dxfId="10" text="" percent="0" bottom="0">
      <formula>30</formula>
    </cfRule>
  </conditionalFormatting>
  <conditionalFormatting sqref="G946">
    <cfRule type="cellIs" rank="0" priority="2822" equalAverage="0" operator="greaterThan" aboveAverage="0" dxfId="1" text="" percent="0" bottom="0">
      <formula>0</formula>
    </cfRule>
    <cfRule type="cellIs" rank="0" priority="2823" equalAverage="0" operator="lessThanOrEqual" aboveAverage="0" dxfId="0" text="" percent="0" bottom="0">
      <formula>0</formula>
    </cfRule>
  </conditionalFormatting>
  <conditionalFormatting sqref="F946">
    <cfRule type="cellIs" rank="0" priority="2824" equalAverage="0" operator="greaterThan" aboveAverage="0" dxfId="10" text="" percent="0" bottom="0">
      <formula>30</formula>
    </cfRule>
  </conditionalFormatting>
  <conditionalFormatting sqref="G947">
    <cfRule type="cellIs" rank="0" priority="2825" equalAverage="0" operator="greaterThan" aboveAverage="0" dxfId="1" text="" percent="0" bottom="0">
      <formula>0</formula>
    </cfRule>
    <cfRule type="cellIs" rank="0" priority="2826" equalAverage="0" operator="lessThanOrEqual" aboveAverage="0" dxfId="0" text="" percent="0" bottom="0">
      <formula>0</formula>
    </cfRule>
  </conditionalFormatting>
  <conditionalFormatting sqref="F947">
    <cfRule type="cellIs" rank="0" priority="2827" equalAverage="0" operator="greaterThan" aboveAverage="0" dxfId="10" text="" percent="0" bottom="0">
      <formula>30</formula>
    </cfRule>
  </conditionalFormatting>
  <conditionalFormatting sqref="G948">
    <cfRule type="cellIs" rank="0" priority="2828" equalAverage="0" operator="greaterThan" aboveAverage="0" dxfId="1" text="" percent="0" bottom="0">
      <formula>0</formula>
    </cfRule>
    <cfRule type="cellIs" rank="0" priority="2829" equalAverage="0" operator="lessThanOrEqual" aboveAverage="0" dxfId="0" text="" percent="0" bottom="0">
      <formula>0</formula>
    </cfRule>
  </conditionalFormatting>
  <conditionalFormatting sqref="F948">
    <cfRule type="cellIs" rank="0" priority="2830" equalAverage="0" operator="greaterThan" aboveAverage="0" dxfId="10" text="" percent="0" bottom="0">
      <formula>30</formula>
    </cfRule>
  </conditionalFormatting>
  <conditionalFormatting sqref="G949">
    <cfRule type="cellIs" rank="0" priority="2831" equalAverage="0" operator="greaterThan" aboveAverage="0" dxfId="1" text="" percent="0" bottom="0">
      <formula>0</formula>
    </cfRule>
    <cfRule type="cellIs" rank="0" priority="2832" equalAverage="0" operator="lessThanOrEqual" aboveAverage="0" dxfId="0" text="" percent="0" bottom="0">
      <formula>0</formula>
    </cfRule>
  </conditionalFormatting>
  <conditionalFormatting sqref="F949">
    <cfRule type="cellIs" rank="0" priority="2833" equalAverage="0" operator="greaterThan" aboveAverage="0" dxfId="10" text="" percent="0" bottom="0">
      <formula>30</formula>
    </cfRule>
  </conditionalFormatting>
  <conditionalFormatting sqref="G950">
    <cfRule type="cellIs" rank="0" priority="2834" equalAverage="0" operator="greaterThan" aboveAverage="0" dxfId="1" text="" percent="0" bottom="0">
      <formula>0</formula>
    </cfRule>
    <cfRule type="cellIs" rank="0" priority="2835" equalAverage="0" operator="lessThanOrEqual" aboveAverage="0" dxfId="0" text="" percent="0" bottom="0">
      <formula>0</formula>
    </cfRule>
  </conditionalFormatting>
  <conditionalFormatting sqref="F950">
    <cfRule type="cellIs" rank="0" priority="2836" equalAverage="0" operator="greaterThan" aboveAverage="0" dxfId="10" text="" percent="0" bottom="0">
      <formula>30</formula>
    </cfRule>
  </conditionalFormatting>
  <conditionalFormatting sqref="G951">
    <cfRule type="cellIs" rank="0" priority="2837" equalAverage="0" operator="greaterThan" aboveAverage="0" dxfId="1" text="" percent="0" bottom="0">
      <formula>0</formula>
    </cfRule>
    <cfRule type="cellIs" rank="0" priority="2838" equalAverage="0" operator="lessThanOrEqual" aboveAverage="0" dxfId="0" text="" percent="0" bottom="0">
      <formula>0</formula>
    </cfRule>
  </conditionalFormatting>
  <conditionalFormatting sqref="F951">
    <cfRule type="cellIs" rank="0" priority="2839" equalAverage="0" operator="greaterThan" aboveAverage="0" dxfId="10" text="" percent="0" bottom="0">
      <formula>30</formula>
    </cfRule>
  </conditionalFormatting>
  <conditionalFormatting sqref="G952">
    <cfRule type="cellIs" rank="0" priority="2840" equalAverage="0" operator="greaterThan" aboveAverage="0" dxfId="1" text="" percent="0" bottom="0">
      <formula>0</formula>
    </cfRule>
    <cfRule type="cellIs" rank="0" priority="2841" equalAverage="0" operator="lessThanOrEqual" aboveAverage="0" dxfId="0" text="" percent="0" bottom="0">
      <formula>0</formula>
    </cfRule>
  </conditionalFormatting>
  <conditionalFormatting sqref="F952">
    <cfRule type="cellIs" rank="0" priority="2842" equalAverage="0" operator="greaterThan" aboveAverage="0" dxfId="10" text="" percent="0" bottom="0">
      <formula>30</formula>
    </cfRule>
  </conditionalFormatting>
  <conditionalFormatting sqref="G953">
    <cfRule type="cellIs" rank="0" priority="2843" equalAverage="0" operator="greaterThan" aboveAverage="0" dxfId="1" text="" percent="0" bottom="0">
      <formula>0</formula>
    </cfRule>
    <cfRule type="cellIs" rank="0" priority="2844" equalAverage="0" operator="lessThanOrEqual" aboveAverage="0" dxfId="0" text="" percent="0" bottom="0">
      <formula>0</formula>
    </cfRule>
  </conditionalFormatting>
  <conditionalFormatting sqref="F953">
    <cfRule type="cellIs" rank="0" priority="2845" equalAverage="0" operator="greaterThan" aboveAverage="0" dxfId="10" text="" percent="0" bottom="0">
      <formula>30</formula>
    </cfRule>
  </conditionalFormatting>
  <conditionalFormatting sqref="G954">
    <cfRule type="cellIs" rank="0" priority="2846" equalAverage="0" operator="greaterThan" aboveAverage="0" dxfId="1" text="" percent="0" bottom="0">
      <formula>0</formula>
    </cfRule>
    <cfRule type="cellIs" rank="0" priority="2847" equalAverage="0" operator="lessThanOrEqual" aboveAverage="0" dxfId="0" text="" percent="0" bottom="0">
      <formula>0</formula>
    </cfRule>
  </conditionalFormatting>
  <conditionalFormatting sqref="F954">
    <cfRule type="cellIs" rank="0" priority="2848" equalAverage="0" operator="greaterThan" aboveAverage="0" dxfId="10" text="" percent="0" bottom="0">
      <formula>30</formula>
    </cfRule>
  </conditionalFormatting>
  <conditionalFormatting sqref="G955">
    <cfRule type="cellIs" rank="0" priority="2849" equalAverage="0" operator="greaterThan" aboveAverage="0" dxfId="1" text="" percent="0" bottom="0">
      <formula>0</formula>
    </cfRule>
    <cfRule type="cellIs" rank="0" priority="2850" equalAverage="0" operator="lessThanOrEqual" aboveAverage="0" dxfId="0" text="" percent="0" bottom="0">
      <formula>0</formula>
    </cfRule>
  </conditionalFormatting>
  <conditionalFormatting sqref="F955">
    <cfRule type="cellIs" rank="0" priority="2851" equalAverage="0" operator="greaterThan" aboveAverage="0" dxfId="10" text="" percent="0" bottom="0">
      <formula>30</formula>
    </cfRule>
  </conditionalFormatting>
  <conditionalFormatting sqref="G956">
    <cfRule type="cellIs" rank="0" priority="2852" equalAverage="0" operator="greaterThan" aboveAverage="0" dxfId="1" text="" percent="0" bottom="0">
      <formula>0</formula>
    </cfRule>
    <cfRule type="cellIs" rank="0" priority="2853" equalAverage="0" operator="lessThanOrEqual" aboveAverage="0" dxfId="0" text="" percent="0" bottom="0">
      <formula>0</formula>
    </cfRule>
  </conditionalFormatting>
  <conditionalFormatting sqref="F956">
    <cfRule type="cellIs" rank="0" priority="2854" equalAverage="0" operator="greaterThan" aboveAverage="0" dxfId="10" text="" percent="0" bottom="0">
      <formula>30</formula>
    </cfRule>
  </conditionalFormatting>
  <conditionalFormatting sqref="G957">
    <cfRule type="cellIs" rank="0" priority="2855" equalAverage="0" operator="greaterThan" aboveAverage="0" dxfId="1" text="" percent="0" bottom="0">
      <formula>0</formula>
    </cfRule>
    <cfRule type="cellIs" rank="0" priority="2856" equalAverage="0" operator="lessThanOrEqual" aboveAverage="0" dxfId="0" text="" percent="0" bottom="0">
      <formula>0</formula>
    </cfRule>
  </conditionalFormatting>
  <conditionalFormatting sqref="F957">
    <cfRule type="cellIs" rank="0" priority="2857" equalAverage="0" operator="greaterThan" aboveAverage="0" dxfId="10" text="" percent="0" bottom="0">
      <formula>30</formula>
    </cfRule>
  </conditionalFormatting>
  <conditionalFormatting sqref="G958">
    <cfRule type="cellIs" rank="0" priority="2858" equalAverage="0" operator="greaterThan" aboveAverage="0" dxfId="1" text="" percent="0" bottom="0">
      <formula>0</formula>
    </cfRule>
    <cfRule type="cellIs" rank="0" priority="2859" equalAverage="0" operator="lessThanOrEqual" aboveAverage="0" dxfId="0" text="" percent="0" bottom="0">
      <formula>0</formula>
    </cfRule>
  </conditionalFormatting>
  <conditionalFormatting sqref="F958">
    <cfRule type="cellIs" rank="0" priority="2860" equalAverage="0" operator="greaterThan" aboveAverage="0" dxfId="10" text="" percent="0" bottom="0">
      <formula>30</formula>
    </cfRule>
  </conditionalFormatting>
  <conditionalFormatting sqref="G959">
    <cfRule type="cellIs" rank="0" priority="2861" equalAverage="0" operator="greaterThan" aboveAverage="0" dxfId="1" text="" percent="0" bottom="0">
      <formula>0</formula>
    </cfRule>
    <cfRule type="cellIs" rank="0" priority="2862" equalAverage="0" operator="lessThanOrEqual" aboveAverage="0" dxfId="0" text="" percent="0" bottom="0">
      <formula>0</formula>
    </cfRule>
  </conditionalFormatting>
  <conditionalFormatting sqref="F959">
    <cfRule type="cellIs" rank="0" priority="2863" equalAverage="0" operator="greaterThan" aboveAverage="0" dxfId="10" text="" percent="0" bottom="0">
      <formula>30</formula>
    </cfRule>
  </conditionalFormatting>
  <conditionalFormatting sqref="G960">
    <cfRule type="cellIs" rank="0" priority="2864" equalAverage="0" operator="greaterThan" aboveAverage="0" dxfId="1" text="" percent="0" bottom="0">
      <formula>0</formula>
    </cfRule>
    <cfRule type="cellIs" rank="0" priority="2865" equalAverage="0" operator="lessThanOrEqual" aboveAverage="0" dxfId="0" text="" percent="0" bottom="0">
      <formula>0</formula>
    </cfRule>
  </conditionalFormatting>
  <conditionalFormatting sqref="F960">
    <cfRule type="cellIs" rank="0" priority="2866" equalAverage="0" operator="greaterThan" aboveAverage="0" dxfId="10" text="" percent="0" bottom="0">
      <formula>30</formula>
    </cfRule>
  </conditionalFormatting>
  <conditionalFormatting sqref="G961">
    <cfRule type="cellIs" rank="0" priority="2867" equalAverage="0" operator="greaterThan" aboveAverage="0" dxfId="1" text="" percent="0" bottom="0">
      <formula>0</formula>
    </cfRule>
    <cfRule type="cellIs" rank="0" priority="2868" equalAverage="0" operator="lessThanOrEqual" aboveAverage="0" dxfId="0" text="" percent="0" bottom="0">
      <formula>0</formula>
    </cfRule>
  </conditionalFormatting>
  <conditionalFormatting sqref="F961">
    <cfRule type="cellIs" rank="0" priority="2869" equalAverage="0" operator="greaterThan" aboveAverage="0" dxfId="10" text="" percent="0" bottom="0">
      <formula>30</formula>
    </cfRule>
  </conditionalFormatting>
  <conditionalFormatting sqref="G962">
    <cfRule type="cellIs" rank="0" priority="2870" equalAverage="0" operator="greaterThan" aboveAverage="0" dxfId="1" text="" percent="0" bottom="0">
      <formula>0</formula>
    </cfRule>
    <cfRule type="cellIs" rank="0" priority="2871" equalAverage="0" operator="lessThanOrEqual" aboveAverage="0" dxfId="0" text="" percent="0" bottom="0">
      <formula>0</formula>
    </cfRule>
  </conditionalFormatting>
  <conditionalFormatting sqref="F962">
    <cfRule type="cellIs" rank="0" priority="2872" equalAverage="0" operator="greaterThan" aboveAverage="0" dxfId="10" text="" percent="0" bottom="0">
      <formula>30</formula>
    </cfRule>
  </conditionalFormatting>
  <conditionalFormatting sqref="G963">
    <cfRule type="cellIs" rank="0" priority="2873" equalAverage="0" operator="greaterThan" aboveAverage="0" dxfId="1" text="" percent="0" bottom="0">
      <formula>0</formula>
    </cfRule>
    <cfRule type="cellIs" rank="0" priority="2874" equalAverage="0" operator="lessThanOrEqual" aboveAverage="0" dxfId="0" text="" percent="0" bottom="0">
      <formula>0</formula>
    </cfRule>
  </conditionalFormatting>
  <conditionalFormatting sqref="F963">
    <cfRule type="cellIs" rank="0" priority="2875" equalAverage="0" operator="greaterThan" aboveAverage="0" dxfId="10" text="" percent="0" bottom="0">
      <formula>30</formula>
    </cfRule>
  </conditionalFormatting>
  <conditionalFormatting sqref="G964">
    <cfRule type="cellIs" rank="0" priority="2876" equalAverage="0" operator="greaterThan" aboveAverage="0" dxfId="1" text="" percent="0" bottom="0">
      <formula>0</formula>
    </cfRule>
    <cfRule type="cellIs" rank="0" priority="2877" equalAverage="0" operator="lessThanOrEqual" aboveAverage="0" dxfId="0" text="" percent="0" bottom="0">
      <formula>0</formula>
    </cfRule>
  </conditionalFormatting>
  <conditionalFormatting sqref="F964">
    <cfRule type="cellIs" rank="0" priority="2878" equalAverage="0" operator="greaterThan" aboveAverage="0" dxfId="10" text="" percent="0" bottom="0">
      <formula>30</formula>
    </cfRule>
  </conditionalFormatting>
  <conditionalFormatting sqref="G965">
    <cfRule type="cellIs" rank="0" priority="2879" equalAverage="0" operator="greaterThan" aboveAverage="0" dxfId="1" text="" percent="0" bottom="0">
      <formula>0</formula>
    </cfRule>
    <cfRule type="cellIs" rank="0" priority="2880" equalAverage="0" operator="lessThanOrEqual" aboveAverage="0" dxfId="0" text="" percent="0" bottom="0">
      <formula>0</formula>
    </cfRule>
  </conditionalFormatting>
  <conditionalFormatting sqref="F965">
    <cfRule type="cellIs" rank="0" priority="2881" equalAverage="0" operator="greaterThan" aboveAverage="0" dxfId="10" text="" percent="0" bottom="0">
      <formula>30</formula>
    </cfRule>
  </conditionalFormatting>
  <conditionalFormatting sqref="G966">
    <cfRule type="cellIs" rank="0" priority="2882" equalAverage="0" operator="greaterThan" aboveAverage="0" dxfId="1" text="" percent="0" bottom="0">
      <formula>0</formula>
    </cfRule>
    <cfRule type="cellIs" rank="0" priority="2883" equalAverage="0" operator="lessThanOrEqual" aboveAverage="0" dxfId="0" text="" percent="0" bottom="0">
      <formula>0</formula>
    </cfRule>
  </conditionalFormatting>
  <conditionalFormatting sqref="F966">
    <cfRule type="cellIs" rank="0" priority="2884" equalAverage="0" operator="greaterThan" aboveAverage="0" dxfId="10" text="" percent="0" bottom="0">
      <formula>30</formula>
    </cfRule>
  </conditionalFormatting>
  <conditionalFormatting sqref="G967">
    <cfRule type="cellIs" rank="0" priority="2885" equalAverage="0" operator="greaterThan" aboveAverage="0" dxfId="1" text="" percent="0" bottom="0">
      <formula>0</formula>
    </cfRule>
    <cfRule type="cellIs" rank="0" priority="2886" equalAverage="0" operator="lessThanOrEqual" aboveAverage="0" dxfId="0" text="" percent="0" bottom="0">
      <formula>0</formula>
    </cfRule>
  </conditionalFormatting>
  <conditionalFormatting sqref="F967">
    <cfRule type="cellIs" rank="0" priority="2887" equalAverage="0" operator="greaterThan" aboveAverage="0" dxfId="10" text="" percent="0" bottom="0">
      <formula>30</formula>
    </cfRule>
  </conditionalFormatting>
  <conditionalFormatting sqref="G968">
    <cfRule type="cellIs" rank="0" priority="2888" equalAverage="0" operator="greaterThan" aboveAverage="0" dxfId="1" text="" percent="0" bottom="0">
      <formula>0</formula>
    </cfRule>
    <cfRule type="cellIs" rank="0" priority="2889" equalAverage="0" operator="lessThanOrEqual" aboveAverage="0" dxfId="0" text="" percent="0" bottom="0">
      <formula>0</formula>
    </cfRule>
  </conditionalFormatting>
  <conditionalFormatting sqref="F968">
    <cfRule type="cellIs" rank="0" priority="2890" equalAverage="0" operator="greaterThan" aboveAverage="0" dxfId="10" text="" percent="0" bottom="0">
      <formula>30</formula>
    </cfRule>
  </conditionalFormatting>
  <conditionalFormatting sqref="G969">
    <cfRule type="cellIs" rank="0" priority="2891" equalAverage="0" operator="greaterThan" aboveAverage="0" dxfId="1" text="" percent="0" bottom="0">
      <formula>0</formula>
    </cfRule>
    <cfRule type="cellIs" rank="0" priority="2892" equalAverage="0" operator="lessThanOrEqual" aboveAverage="0" dxfId="0" text="" percent="0" bottom="0">
      <formula>0</formula>
    </cfRule>
  </conditionalFormatting>
  <conditionalFormatting sqref="F969">
    <cfRule type="cellIs" rank="0" priority="2893" equalAverage="0" operator="greaterThan" aboveAverage="0" dxfId="10" text="" percent="0" bottom="0">
      <formula>30</formula>
    </cfRule>
  </conditionalFormatting>
  <conditionalFormatting sqref="G970">
    <cfRule type="cellIs" rank="0" priority="2894" equalAverage="0" operator="greaterThan" aboveAverage="0" dxfId="1" text="" percent="0" bottom="0">
      <formula>0</formula>
    </cfRule>
    <cfRule type="cellIs" rank="0" priority="2895" equalAverage="0" operator="lessThanOrEqual" aboveAverage="0" dxfId="0" text="" percent="0" bottom="0">
      <formula>0</formula>
    </cfRule>
  </conditionalFormatting>
  <conditionalFormatting sqref="F970">
    <cfRule type="cellIs" rank="0" priority="2896" equalAverage="0" operator="greaterThan" aboveAverage="0" dxfId="10" text="" percent="0" bottom="0">
      <formula>30</formula>
    </cfRule>
  </conditionalFormatting>
  <conditionalFormatting sqref="G971">
    <cfRule type="cellIs" rank="0" priority="2897" equalAverage="0" operator="greaterThan" aboveAverage="0" dxfId="1" text="" percent="0" bottom="0">
      <formula>0</formula>
    </cfRule>
    <cfRule type="cellIs" rank="0" priority="2898" equalAverage="0" operator="lessThanOrEqual" aboveAverage="0" dxfId="0" text="" percent="0" bottom="0">
      <formula>0</formula>
    </cfRule>
  </conditionalFormatting>
  <conditionalFormatting sqref="F971">
    <cfRule type="cellIs" rank="0" priority="2899" equalAverage="0" operator="greaterThan" aboveAverage="0" dxfId="10" text="" percent="0" bottom="0">
      <formula>30</formula>
    </cfRule>
  </conditionalFormatting>
  <conditionalFormatting sqref="G972">
    <cfRule type="cellIs" rank="0" priority="2900" equalAverage="0" operator="greaterThan" aboveAverage="0" dxfId="1" text="" percent="0" bottom="0">
      <formula>0</formula>
    </cfRule>
    <cfRule type="cellIs" rank="0" priority="2901" equalAverage="0" operator="lessThanOrEqual" aboveAverage="0" dxfId="0" text="" percent="0" bottom="0">
      <formula>0</formula>
    </cfRule>
  </conditionalFormatting>
  <conditionalFormatting sqref="F972">
    <cfRule type="cellIs" rank="0" priority="2902" equalAverage="0" operator="greaterThan" aboveAverage="0" dxfId="10" text="" percent="0" bottom="0">
      <formula>30</formula>
    </cfRule>
  </conditionalFormatting>
  <conditionalFormatting sqref="G973">
    <cfRule type="cellIs" rank="0" priority="2903" equalAverage="0" operator="greaterThan" aboveAverage="0" dxfId="1" text="" percent="0" bottom="0">
      <formula>0</formula>
    </cfRule>
    <cfRule type="cellIs" rank="0" priority="2904" equalAverage="0" operator="lessThanOrEqual" aboveAverage="0" dxfId="0" text="" percent="0" bottom="0">
      <formula>0</formula>
    </cfRule>
  </conditionalFormatting>
  <conditionalFormatting sqref="F973">
    <cfRule type="cellIs" rank="0" priority="2905" equalAverage="0" operator="greaterThan" aboveAverage="0" dxfId="10" text="" percent="0" bottom="0">
      <formula>30</formula>
    </cfRule>
  </conditionalFormatting>
  <conditionalFormatting sqref="G974">
    <cfRule type="cellIs" rank="0" priority="2906" equalAverage="0" operator="greaterThan" aboveAverage="0" dxfId="1" text="" percent="0" bottom="0">
      <formula>0</formula>
    </cfRule>
    <cfRule type="cellIs" rank="0" priority="2907" equalAverage="0" operator="lessThanOrEqual" aboveAverage="0" dxfId="0" text="" percent="0" bottom="0">
      <formula>0</formula>
    </cfRule>
  </conditionalFormatting>
  <conditionalFormatting sqref="F974">
    <cfRule type="cellIs" rank="0" priority="2908" equalAverage="0" operator="greaterThan" aboveAverage="0" dxfId="10" text="" percent="0" bottom="0">
      <formula>30</formula>
    </cfRule>
  </conditionalFormatting>
  <conditionalFormatting sqref="G975">
    <cfRule type="cellIs" rank="0" priority="2909" equalAverage="0" operator="greaterThan" aboveAverage="0" dxfId="1" text="" percent="0" bottom="0">
      <formula>0</formula>
    </cfRule>
    <cfRule type="cellIs" rank="0" priority="2910" equalAverage="0" operator="lessThanOrEqual" aboveAverage="0" dxfId="0" text="" percent="0" bottom="0">
      <formula>0</formula>
    </cfRule>
  </conditionalFormatting>
  <conditionalFormatting sqref="F975">
    <cfRule type="cellIs" rank="0" priority="2911" equalAverage="0" operator="greaterThan" aboveAverage="0" dxfId="10" text="" percent="0" bottom="0">
      <formula>30</formula>
    </cfRule>
  </conditionalFormatting>
  <conditionalFormatting sqref="G976">
    <cfRule type="cellIs" rank="0" priority="2912" equalAverage="0" operator="greaterThan" aboveAverage="0" dxfId="1" text="" percent="0" bottom="0">
      <formula>0</formula>
    </cfRule>
    <cfRule type="cellIs" rank="0" priority="2913" equalAverage="0" operator="lessThanOrEqual" aboveAverage="0" dxfId="0" text="" percent="0" bottom="0">
      <formula>0</formula>
    </cfRule>
  </conditionalFormatting>
  <conditionalFormatting sqref="F976">
    <cfRule type="cellIs" rank="0" priority="2914" equalAverage="0" operator="greaterThan" aboveAverage="0" dxfId="10" text="" percent="0" bottom="0">
      <formula>30</formula>
    </cfRule>
  </conditionalFormatting>
  <conditionalFormatting sqref="G977">
    <cfRule type="cellIs" rank="0" priority="2915" equalAverage="0" operator="greaterThan" aboveAverage="0" dxfId="1" text="" percent="0" bottom="0">
      <formula>0</formula>
    </cfRule>
    <cfRule type="cellIs" rank="0" priority="2916" equalAverage="0" operator="lessThanOrEqual" aboveAverage="0" dxfId="0" text="" percent="0" bottom="0">
      <formula>0</formula>
    </cfRule>
  </conditionalFormatting>
  <conditionalFormatting sqref="F977">
    <cfRule type="cellIs" rank="0" priority="2917" equalAverage="0" operator="greaterThan" aboveAverage="0" dxfId="10" text="" percent="0" bottom="0">
      <formula>30</formula>
    </cfRule>
  </conditionalFormatting>
  <conditionalFormatting sqref="G978">
    <cfRule type="cellIs" rank="0" priority="2918" equalAverage="0" operator="greaterThan" aboveAverage="0" dxfId="1" text="" percent="0" bottom="0">
      <formula>0</formula>
    </cfRule>
    <cfRule type="cellIs" rank="0" priority="2919" equalAverage="0" operator="lessThanOrEqual" aboveAverage="0" dxfId="0" text="" percent="0" bottom="0">
      <formula>0</formula>
    </cfRule>
  </conditionalFormatting>
  <conditionalFormatting sqref="F978">
    <cfRule type="cellIs" rank="0" priority="2920" equalAverage="0" operator="greaterThan" aboveAverage="0" dxfId="10" text="" percent="0" bottom="0">
      <formula>30</formula>
    </cfRule>
  </conditionalFormatting>
  <conditionalFormatting sqref="G979">
    <cfRule type="cellIs" rank="0" priority="2921" equalAverage="0" operator="greaterThan" aboveAverage="0" dxfId="1" text="" percent="0" bottom="0">
      <formula>0</formula>
    </cfRule>
    <cfRule type="cellIs" rank="0" priority="2922" equalAverage="0" operator="lessThanOrEqual" aboveAverage="0" dxfId="0" text="" percent="0" bottom="0">
      <formula>0</formula>
    </cfRule>
  </conditionalFormatting>
  <conditionalFormatting sqref="F979">
    <cfRule type="cellIs" rank="0" priority="2923" equalAverage="0" operator="greaterThan" aboveAverage="0" dxfId="10" text="" percent="0" bottom="0">
      <formula>30</formula>
    </cfRule>
  </conditionalFormatting>
  <conditionalFormatting sqref="G980">
    <cfRule type="cellIs" rank="0" priority="2924" equalAverage="0" operator="greaterThan" aboveAverage="0" dxfId="1" text="" percent="0" bottom="0">
      <formula>0</formula>
    </cfRule>
    <cfRule type="cellIs" rank="0" priority="2925" equalAverage="0" operator="lessThanOrEqual" aboveAverage="0" dxfId="0" text="" percent="0" bottom="0">
      <formula>0</formula>
    </cfRule>
  </conditionalFormatting>
  <conditionalFormatting sqref="F980">
    <cfRule type="cellIs" rank="0" priority="2926" equalAverage="0" operator="greaterThan" aboveAverage="0" dxfId="10" text="" percent="0" bottom="0">
      <formula>30</formula>
    </cfRule>
  </conditionalFormatting>
  <conditionalFormatting sqref="G981">
    <cfRule type="cellIs" rank="0" priority="2927" equalAverage="0" operator="greaterThan" aboveAverage="0" dxfId="1" text="" percent="0" bottom="0">
      <formula>0</formula>
    </cfRule>
    <cfRule type="cellIs" rank="0" priority="2928" equalAverage="0" operator="lessThanOrEqual" aboveAverage="0" dxfId="0" text="" percent="0" bottom="0">
      <formula>0</formula>
    </cfRule>
  </conditionalFormatting>
  <conditionalFormatting sqref="F981">
    <cfRule type="cellIs" rank="0" priority="2929" equalAverage="0" operator="greaterThan" aboveAverage="0" dxfId="10" text="" percent="0" bottom="0">
      <formula>30</formula>
    </cfRule>
  </conditionalFormatting>
  <conditionalFormatting sqref="G982">
    <cfRule type="cellIs" rank="0" priority="2930" equalAverage="0" operator="greaterThan" aboveAverage="0" dxfId="1" text="" percent="0" bottom="0">
      <formula>0</formula>
    </cfRule>
    <cfRule type="cellIs" rank="0" priority="2931" equalAverage="0" operator="lessThanOrEqual" aboveAverage="0" dxfId="0" text="" percent="0" bottom="0">
      <formula>0</formula>
    </cfRule>
  </conditionalFormatting>
  <conditionalFormatting sqref="F982">
    <cfRule type="cellIs" rank="0" priority="2932" equalAverage="0" operator="greaterThan" aboveAverage="0" dxfId="10" text="" percent="0" bottom="0">
      <formula>30</formula>
    </cfRule>
  </conditionalFormatting>
  <conditionalFormatting sqref="G983">
    <cfRule type="cellIs" rank="0" priority="2933" equalAverage="0" operator="greaterThan" aboveAverage="0" dxfId="1" text="" percent="0" bottom="0">
      <formula>0</formula>
    </cfRule>
    <cfRule type="cellIs" rank="0" priority="2934" equalAverage="0" operator="lessThanOrEqual" aboveAverage="0" dxfId="0" text="" percent="0" bottom="0">
      <formula>0</formula>
    </cfRule>
  </conditionalFormatting>
  <conditionalFormatting sqref="F983">
    <cfRule type="cellIs" rank="0" priority="2935" equalAverage="0" operator="greaterThan" aboveAverage="0" dxfId="10" text="" percent="0" bottom="0">
      <formula>30</formula>
    </cfRule>
  </conditionalFormatting>
  <conditionalFormatting sqref="G984">
    <cfRule type="cellIs" rank="0" priority="2936" equalAverage="0" operator="greaterThan" aboveAverage="0" dxfId="1" text="" percent="0" bottom="0">
      <formula>0</formula>
    </cfRule>
    <cfRule type="cellIs" rank="0" priority="2937" equalAverage="0" operator="lessThanOrEqual" aboveAverage="0" dxfId="0" text="" percent="0" bottom="0">
      <formula>0</formula>
    </cfRule>
  </conditionalFormatting>
  <conditionalFormatting sqref="F984">
    <cfRule type="cellIs" rank="0" priority="2938" equalAverage="0" operator="greaterThan" aboveAverage="0" dxfId="10" text="" percent="0" bottom="0">
      <formula>30</formula>
    </cfRule>
  </conditionalFormatting>
  <conditionalFormatting sqref="G985">
    <cfRule type="cellIs" rank="0" priority="2939" equalAverage="0" operator="greaterThan" aboveAverage="0" dxfId="1" text="" percent="0" bottom="0">
      <formula>0</formula>
    </cfRule>
    <cfRule type="cellIs" rank="0" priority="2940" equalAverage="0" operator="lessThanOrEqual" aboveAverage="0" dxfId="0" text="" percent="0" bottom="0">
      <formula>0</formula>
    </cfRule>
  </conditionalFormatting>
  <conditionalFormatting sqref="F985">
    <cfRule type="cellIs" rank="0" priority="2941" equalAverage="0" operator="greaterThan" aboveAverage="0" dxfId="10" text="" percent="0" bottom="0">
      <formula>30</formula>
    </cfRule>
  </conditionalFormatting>
  <conditionalFormatting sqref="G986">
    <cfRule type="cellIs" rank="0" priority="2942" equalAverage="0" operator="greaterThan" aboveAverage="0" dxfId="1" text="" percent="0" bottom="0">
      <formula>0</formula>
    </cfRule>
    <cfRule type="cellIs" rank="0" priority="2943" equalAverage="0" operator="lessThanOrEqual" aboveAverage="0" dxfId="0" text="" percent="0" bottom="0">
      <formula>0</formula>
    </cfRule>
  </conditionalFormatting>
  <conditionalFormatting sqref="F986">
    <cfRule type="cellIs" rank="0" priority="2944" equalAverage="0" operator="greaterThan" aboveAverage="0" dxfId="10" text="" percent="0" bottom="0">
      <formula>30</formula>
    </cfRule>
  </conditionalFormatting>
  <conditionalFormatting sqref="G987">
    <cfRule type="cellIs" rank="0" priority="2945" equalAverage="0" operator="greaterThan" aboveAverage="0" dxfId="1" text="" percent="0" bottom="0">
      <formula>0</formula>
    </cfRule>
    <cfRule type="cellIs" rank="0" priority="2946" equalAverage="0" operator="lessThanOrEqual" aboveAverage="0" dxfId="0" text="" percent="0" bottom="0">
      <formula>0</formula>
    </cfRule>
  </conditionalFormatting>
  <conditionalFormatting sqref="F987">
    <cfRule type="cellIs" rank="0" priority="2947" equalAverage="0" operator="greaterThan" aboveAverage="0" dxfId="10" text="" percent="0" bottom="0">
      <formula>30</formula>
    </cfRule>
  </conditionalFormatting>
  <conditionalFormatting sqref="G988">
    <cfRule type="cellIs" rank="0" priority="2948" equalAverage="0" operator="greaterThan" aboveAverage="0" dxfId="1" text="" percent="0" bottom="0">
      <formula>0</formula>
    </cfRule>
    <cfRule type="cellIs" rank="0" priority="2949" equalAverage="0" operator="lessThanOrEqual" aboveAverage="0" dxfId="0" text="" percent="0" bottom="0">
      <formula>0</formula>
    </cfRule>
  </conditionalFormatting>
  <conditionalFormatting sqref="F988">
    <cfRule type="cellIs" rank="0" priority="2950" equalAverage="0" operator="greaterThan" aboveAverage="0" dxfId="10" text="" percent="0" bottom="0">
      <formula>30</formula>
    </cfRule>
  </conditionalFormatting>
  <conditionalFormatting sqref="G989">
    <cfRule type="cellIs" rank="0" priority="2951" equalAverage="0" operator="greaterThan" aboveAverage="0" dxfId="1" text="" percent="0" bottom="0">
      <formula>0</formula>
    </cfRule>
    <cfRule type="cellIs" rank="0" priority="2952" equalAverage="0" operator="lessThanOrEqual" aboveAverage="0" dxfId="0" text="" percent="0" bottom="0">
      <formula>0</formula>
    </cfRule>
  </conditionalFormatting>
  <conditionalFormatting sqref="F989">
    <cfRule type="cellIs" rank="0" priority="2953" equalAverage="0" operator="greaterThan" aboveAverage="0" dxfId="10" text="" percent="0" bottom="0">
      <formula>30</formula>
    </cfRule>
  </conditionalFormatting>
  <conditionalFormatting sqref="G990">
    <cfRule type="cellIs" rank="0" priority="2954" equalAverage="0" operator="greaterThan" aboveAverage="0" dxfId="1" text="" percent="0" bottom="0">
      <formula>0</formula>
    </cfRule>
    <cfRule type="cellIs" rank="0" priority="2955" equalAverage="0" operator="lessThanOrEqual" aboveAverage="0" dxfId="0" text="" percent="0" bottom="0">
      <formula>0</formula>
    </cfRule>
  </conditionalFormatting>
  <conditionalFormatting sqref="F990">
    <cfRule type="cellIs" rank="0" priority="2956" equalAverage="0" operator="greaterThan" aboveAverage="0" dxfId="10" text="" percent="0" bottom="0">
      <formula>30</formula>
    </cfRule>
  </conditionalFormatting>
  <conditionalFormatting sqref="G991">
    <cfRule type="cellIs" rank="0" priority="2957" equalAverage="0" operator="greaterThan" aboveAverage="0" dxfId="1" text="" percent="0" bottom="0">
      <formula>0</formula>
    </cfRule>
    <cfRule type="cellIs" rank="0" priority="2958" equalAverage="0" operator="lessThanOrEqual" aboveAverage="0" dxfId="0" text="" percent="0" bottom="0">
      <formula>0</formula>
    </cfRule>
  </conditionalFormatting>
  <conditionalFormatting sqref="F991">
    <cfRule type="cellIs" rank="0" priority="2959" equalAverage="0" operator="greaterThan" aboveAverage="0" dxfId="10" text="" percent="0" bottom="0">
      <formula>30</formula>
    </cfRule>
  </conditionalFormatting>
  <conditionalFormatting sqref="G992">
    <cfRule type="cellIs" rank="0" priority="2960" equalAverage="0" operator="greaterThan" aboveAverage="0" dxfId="1" text="" percent="0" bottom="0">
      <formula>0</formula>
    </cfRule>
    <cfRule type="cellIs" rank="0" priority="2961" equalAverage="0" operator="lessThanOrEqual" aboveAverage="0" dxfId="0" text="" percent="0" bottom="0">
      <formula>0</formula>
    </cfRule>
  </conditionalFormatting>
  <conditionalFormatting sqref="F992">
    <cfRule type="cellIs" rank="0" priority="2962" equalAverage="0" operator="greaterThan" aboveAverage="0" dxfId="10" text="" percent="0" bottom="0">
      <formula>30</formula>
    </cfRule>
  </conditionalFormatting>
  <conditionalFormatting sqref="G993">
    <cfRule type="cellIs" rank="0" priority="2963" equalAverage="0" operator="greaterThan" aboveAverage="0" dxfId="1" text="" percent="0" bottom="0">
      <formula>0</formula>
    </cfRule>
    <cfRule type="cellIs" rank="0" priority="2964" equalAverage="0" operator="lessThanOrEqual" aboveAverage="0" dxfId="0" text="" percent="0" bottom="0">
      <formula>0</formula>
    </cfRule>
  </conditionalFormatting>
  <conditionalFormatting sqref="F993">
    <cfRule type="cellIs" rank="0" priority="2965" equalAverage="0" operator="greaterThan" aboveAverage="0" dxfId="10" text="" percent="0" bottom="0">
      <formula>30</formula>
    </cfRule>
  </conditionalFormatting>
  <conditionalFormatting sqref="G994">
    <cfRule type="cellIs" rank="0" priority="2966" equalAverage="0" operator="greaterThan" aboveAverage="0" dxfId="1" text="" percent="0" bottom="0">
      <formula>0</formula>
    </cfRule>
    <cfRule type="cellIs" rank="0" priority="2967" equalAverage="0" operator="lessThanOrEqual" aboveAverage="0" dxfId="0" text="" percent="0" bottom="0">
      <formula>0</formula>
    </cfRule>
  </conditionalFormatting>
  <conditionalFormatting sqref="F994">
    <cfRule type="cellIs" rank="0" priority="2968" equalAverage="0" operator="greaterThan" aboveAverage="0" dxfId="10" text="" percent="0" bottom="0">
      <formula>30</formula>
    </cfRule>
  </conditionalFormatting>
  <conditionalFormatting sqref="G995">
    <cfRule type="cellIs" rank="0" priority="2969" equalAverage="0" operator="greaterThan" aboveAverage="0" dxfId="1" text="" percent="0" bottom="0">
      <formula>0</formula>
    </cfRule>
    <cfRule type="cellIs" rank="0" priority="2970" equalAverage="0" operator="lessThanOrEqual" aboveAverage="0" dxfId="0" text="" percent="0" bottom="0">
      <formula>0</formula>
    </cfRule>
  </conditionalFormatting>
  <conditionalFormatting sqref="F995">
    <cfRule type="cellIs" rank="0" priority="2971" equalAverage="0" operator="greaterThan" aboveAverage="0" dxfId="10" text="" percent="0" bottom="0">
      <formula>30</formula>
    </cfRule>
  </conditionalFormatting>
  <conditionalFormatting sqref="G996">
    <cfRule type="cellIs" rank="0" priority="2972" equalAverage="0" operator="greaterThan" aboveAverage="0" dxfId="1" text="" percent="0" bottom="0">
      <formula>0</formula>
    </cfRule>
    <cfRule type="cellIs" rank="0" priority="2973" equalAverage="0" operator="lessThanOrEqual" aboveAverage="0" dxfId="0" text="" percent="0" bottom="0">
      <formula>0</formula>
    </cfRule>
  </conditionalFormatting>
  <conditionalFormatting sqref="F996">
    <cfRule type="cellIs" rank="0" priority="2974" equalAverage="0" operator="greaterThan" aboveAverage="0" dxfId="10" text="" percent="0" bottom="0">
      <formula>30</formula>
    </cfRule>
  </conditionalFormatting>
  <conditionalFormatting sqref="G997">
    <cfRule type="cellIs" rank="0" priority="2975" equalAverage="0" operator="greaterThan" aboveAverage="0" dxfId="1" text="" percent="0" bottom="0">
      <formula>0</formula>
    </cfRule>
    <cfRule type="cellIs" rank="0" priority="2976" equalAverage="0" operator="lessThanOrEqual" aboveAverage="0" dxfId="0" text="" percent="0" bottom="0">
      <formula>0</formula>
    </cfRule>
  </conditionalFormatting>
  <conditionalFormatting sqref="F997">
    <cfRule type="cellIs" rank="0" priority="2977" equalAverage="0" operator="greaterThan" aboveAverage="0" dxfId="10" text="" percent="0" bottom="0">
      <formula>30</formula>
    </cfRule>
  </conditionalFormatting>
  <conditionalFormatting sqref="G998">
    <cfRule type="cellIs" rank="0" priority="2978" equalAverage="0" operator="greaterThan" aboveAverage="0" dxfId="1" text="" percent="0" bottom="0">
      <formula>0</formula>
    </cfRule>
    <cfRule type="cellIs" rank="0" priority="2979" equalAverage="0" operator="lessThanOrEqual" aboveAverage="0" dxfId="0" text="" percent="0" bottom="0">
      <formula>0</formula>
    </cfRule>
  </conditionalFormatting>
  <conditionalFormatting sqref="F998">
    <cfRule type="cellIs" rank="0" priority="2980" equalAverage="0" operator="greaterThan" aboveAverage="0" dxfId="10" text="" percent="0" bottom="0">
      <formula>30</formula>
    </cfRule>
  </conditionalFormatting>
  <conditionalFormatting sqref="G999">
    <cfRule type="cellIs" rank="0" priority="2981" equalAverage="0" operator="greaterThan" aboveAverage="0" dxfId="1" text="" percent="0" bottom="0">
      <formula>0</formula>
    </cfRule>
    <cfRule type="cellIs" rank="0" priority="2982" equalAverage="0" operator="lessThanOrEqual" aboveAverage="0" dxfId="0" text="" percent="0" bottom="0">
      <formula>0</formula>
    </cfRule>
  </conditionalFormatting>
  <conditionalFormatting sqref="F999">
    <cfRule type="cellIs" rank="0" priority="2983" equalAverage="0" operator="greaterThan" aboveAverage="0" dxfId="10" text="" percent="0" bottom="0">
      <formula>30</formula>
    </cfRule>
  </conditionalFormatting>
  <conditionalFormatting sqref="G1000">
    <cfRule type="cellIs" rank="0" priority="2984" equalAverage="0" operator="greaterThan" aboveAverage="0" dxfId="1" text="" percent="0" bottom="0">
      <formula>0</formula>
    </cfRule>
    <cfRule type="cellIs" rank="0" priority="2985" equalAverage="0" operator="lessThanOrEqual" aboveAverage="0" dxfId="0" text="" percent="0" bottom="0">
      <formula>0</formula>
    </cfRule>
  </conditionalFormatting>
  <conditionalFormatting sqref="F1000">
    <cfRule type="cellIs" rank="0" priority="2986" equalAverage="0" operator="greaterThan" aboveAverage="0" dxfId="10" text="" percent="0" bottom="0">
      <formula>30</formula>
    </cfRule>
  </conditionalFormatting>
  <conditionalFormatting sqref="G1001">
    <cfRule type="cellIs" rank="0" priority="2987" equalAverage="0" operator="greaterThan" aboveAverage="0" dxfId="1" text="" percent="0" bottom="0">
      <formula>0</formula>
    </cfRule>
    <cfRule type="cellIs" rank="0" priority="2988" equalAverage="0" operator="lessThanOrEqual" aboveAverage="0" dxfId="0" text="" percent="0" bottom="0">
      <formula>0</formula>
    </cfRule>
  </conditionalFormatting>
  <conditionalFormatting sqref="F1001">
    <cfRule type="cellIs" rank="0" priority="2989" equalAverage="0" operator="greaterThan" aboveAverage="0" dxfId="10" text="" percent="0" bottom="0">
      <formula>30</formula>
    </cfRule>
  </conditionalFormatting>
  <conditionalFormatting sqref="G1002">
    <cfRule type="cellIs" rank="0" priority="2990" equalAverage="0" operator="greaterThan" aboveAverage="0" dxfId="1" text="" percent="0" bottom="0">
      <formula>0</formula>
    </cfRule>
    <cfRule type="cellIs" rank="0" priority="2991" equalAverage="0" operator="lessThanOrEqual" aboveAverage="0" dxfId="0" text="" percent="0" bottom="0">
      <formula>0</formula>
    </cfRule>
  </conditionalFormatting>
  <conditionalFormatting sqref="F1002">
    <cfRule type="cellIs" rank="0" priority="2992" equalAverage="0" operator="greaterThan" aboveAverage="0" dxfId="10" text="" percent="0" bottom="0">
      <formula>30</formula>
    </cfRule>
  </conditionalFormatting>
  <conditionalFormatting sqref="G1003">
    <cfRule type="cellIs" rank="0" priority="2993" equalAverage="0" operator="greaterThan" aboveAverage="0" dxfId="1" text="" percent="0" bottom="0">
      <formula>0</formula>
    </cfRule>
    <cfRule type="cellIs" rank="0" priority="2994" equalAverage="0" operator="lessThanOrEqual" aboveAverage="0" dxfId="0" text="" percent="0" bottom="0">
      <formula>0</formula>
    </cfRule>
  </conditionalFormatting>
  <conditionalFormatting sqref="F1003">
    <cfRule type="cellIs" rank="0" priority="2995" equalAverage="0" operator="greaterThan" aboveAverage="0" dxfId="10" text="" percent="0" bottom="0">
      <formula>30</formula>
    </cfRule>
  </conditionalFormatting>
  <dataValidations count="1">
    <dataValidation sqref="C6:C1004" showDropDown="0" showInputMessage="1" showErrorMessage="1" allowBlank="1" errorTitle="Geçersiz tutar" error="Tutar 1 ₺'den büyük olmalı." promptTitle="Hakediş Tutarı (₺)" prompt="Dönem hakediş tutarını KDV hariç girin." type="whole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109" min="1" max="1"/>
    <col width="32" customWidth="1" style="109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  <col width="13" customWidth="1" style="83" min="11" max="11"/>
  </cols>
  <sheetData>
    <row r="1" ht="32" customHeight="1" s="83">
      <c r="A1" s="296" t="inlineStr">
        <is>
          <t>MOTOR — HAKEDİŞ FİYAT FARKI VE HAK KAYBI CETVELİ</t>
        </is>
      </c>
    </row>
    <row r="2"/>
    <row r="3" ht="22" customHeight="1" s="83">
      <c r="A3" s="315" t="inlineStr">
        <is>
          <t>Hesaplama Motoru — Fiyat Farkı ve Hak Kaybı</t>
        </is>
      </c>
    </row>
    <row r="4"/>
    <row r="5"/>
    <row r="6" ht="15" customHeight="1" s="83">
      <c r="A6" s="144" t="inlineStr">
        <is>
          <t>İşçilik Endeks Oranı (Gk/G0)</t>
        </is>
      </c>
      <c r="B6" s="128">
        <f>IFERROR(INDEX(tblEndeks[Değişim Oranı],MATCH("İşçilik",tblEndeks[Endeks Adı],0)),0)</f>
        <v/>
      </c>
    </row>
    <row r="7" ht="15" customHeight="1" s="83">
      <c r="A7" s="144" t="inlineStr">
        <is>
          <t>Malzeme Endeks Oranı (Bk/B0)</t>
        </is>
      </c>
      <c r="B7" s="128">
        <f>IFERROR(INDEX(tblEndeks[Değişim Oranı],MATCH("Malzeme",tblEndeks[Endeks Adı],0)),0)</f>
        <v/>
      </c>
    </row>
    <row r="8" ht="15" customHeight="1" s="83">
      <c r="A8" s="144" t="inlineStr">
        <is>
          <t>Makine Endeks Oranı (Yk/Y0)</t>
        </is>
      </c>
      <c r="B8" s="128">
        <f>IFERROR(INDEX(tblEndeks[Değişim Oranı],MATCH("Makine",tblEndeks[Endeks Adı],0)),0)</f>
        <v/>
      </c>
    </row>
    <row r="9" ht="15" customHeight="1" s="83">
      <c r="A9" s="144" t="inlineStr">
        <is>
          <t>Ağırlık Toplamı (a+b+c+d)</t>
        </is>
      </c>
      <c r="B9" s="128">
        <f>IFERROR(a+b+_c+d,0)</f>
        <v/>
      </c>
    </row>
    <row r="10" ht="15" customHeight="1" s="83">
      <c r="A10" s="145" t="inlineStr">
        <is>
          <t>Fiyat Farkı Katsayısı (F)</t>
        </is>
      </c>
      <c r="B10" s="128">
        <f>IF(OR(FiyatFarkiVarMi="Hayır",AgirlikToplam=0),0,IFERROR((a+b*(1+IsciEndeksOran)+_c*(1+MalzemeEndeksOran)+d*(1+MakineEndeksOran))-1,0))</f>
        <v/>
      </c>
    </row>
    <row r="11" ht="15" customHeight="1" s="83">
      <c r="A11" s="144" t="inlineStr">
        <is>
          <t>Dönem Fiyat Farkı Tutarı</t>
        </is>
      </c>
      <c r="B11" s="146">
        <f>IFERROR(ROUND(DonemHakedisToplam*FiyatFarkiKatsayi,0),0)</f>
        <v/>
      </c>
    </row>
    <row r="12" ht="15" customHeight="1" s="83">
      <c r="A12" s="144" t="inlineStr">
        <is>
          <t>Birikimli Fiyat Farkı</t>
        </is>
      </c>
      <c r="B12" s="146">
        <f>IFERROR(ROUND(DonemFiyatFarki*COUNTA(tblDonem[Dönem Numarası]),0),0)</f>
        <v/>
      </c>
    </row>
    <row r="13" ht="15" customHeight="1" s="83">
      <c r="A13" s="144" t="inlineStr">
        <is>
          <t>Hakediş Kalemleri Toplamı</t>
        </is>
      </c>
      <c r="B13" s="146">
        <f>IFERROR(ROUND(SUM(tblKalem[Hakediş Tutarı (₺)]),0),0)</f>
        <v/>
      </c>
    </row>
    <row r="14" ht="15" customHeight="1" s="83">
      <c r="A14" s="144" t="inlineStr">
        <is>
          <t>Piyasa Kalem Toplamı</t>
        </is>
      </c>
      <c r="B14" s="146">
        <f>IFERROR(ROUND(SUM(tblKalem[Piyasa Tutarı (₺)]),0),0)</f>
        <v/>
      </c>
    </row>
    <row r="15" ht="15" customHeight="1" s="83">
      <c r="A15" s="145" t="inlineStr">
        <is>
          <t>Toplam Hak Kaybı</t>
        </is>
      </c>
      <c r="B15" s="146">
        <f>IFERROR(ROUND(SUM(tblKalem[Kayıp (₺)]),0),0)</f>
        <v/>
      </c>
    </row>
    <row r="16" ht="15" customHeight="1" s="83">
      <c r="A16" s="144" t="inlineStr">
        <is>
          <t>Hak Kaybı Oranı</t>
        </is>
      </c>
      <c r="B16" s="128">
        <f>IFERROR(IF(HakedisKalemToplam=0,0,HakKaybiToplam/HakedisKalemToplam),0)</f>
        <v/>
      </c>
    </row>
    <row r="17" ht="15" customHeight="1" s="83">
      <c r="A17" s="144" t="inlineStr">
        <is>
          <t>Kayıp Durumu</t>
        </is>
      </c>
      <c r="B17" s="147">
        <f>IF(OR(HakedisKalemToplam=0,HakKaybiToplam=0),"VERİ YETERSİZ",IF(HakKaybiOran&lt;=KayipEsikOran,"NORMAL",IF(HakKaybiOran&lt;=KayipDikkatOran,"DİKKAT","KRİTİK")))</f>
        <v/>
      </c>
    </row>
    <row r="18" ht="15" customHeight="1" s="83">
      <c r="A18" s="144" t="inlineStr">
        <is>
          <t>Endeks Ortalama Değişim</t>
        </is>
      </c>
      <c r="B18" s="128">
        <f>IFERROR(AVERAGE(tblEndeks[Değişim Oranı]),0)</f>
        <v/>
      </c>
    </row>
    <row r="19" ht="15" customHeight="1" s="83">
      <c r="A19" s="144" t="inlineStr">
        <is>
          <t>Endeks Projeksiyonu (Sonraki Dönem)</t>
        </is>
      </c>
      <c r="B19" s="148">
        <f>IFERROR(forecast.lınear(COUNTA(tblEndeks[Endeks Adı])+1,tblEndeks[Dönem Endeksi],ROW(tblEndeks[Dönem Endeksi])-ROW(tblEndeks[[#Headers],[Dönem Endeksi]])),0)</f>
        <v/>
      </c>
    </row>
    <row r="20" ht="15" customHeight="1" s="83">
      <c r="A20" s="144" t="inlineStr">
        <is>
          <t>Tahmin Alt Sınırı</t>
        </is>
      </c>
      <c r="B20" s="148">
        <f>IFERROR(EndeksProjeksiyon-EndeksOrtalama*EndeksBantOrani,0)</f>
        <v/>
      </c>
    </row>
    <row r="21" ht="15" customHeight="1" s="83">
      <c r="A21" s="144" t="inlineStr">
        <is>
          <t>Tahmin Üst Sınırı</t>
        </is>
      </c>
      <c r="B21" s="148">
        <f>IFERROR(EndeksProjeksiyon+EndeksOrtalama*EndeksBantOrani,0)</f>
        <v/>
      </c>
    </row>
    <row r="22" ht="15" customHeight="1" s="83">
      <c r="A22" s="144" t="inlineStr">
        <is>
          <t>Anomali Endeks Adedi</t>
        </is>
      </c>
      <c r="B22" s="149">
        <f>SUMPRODUCT(--(tblEndeks[Değişim Oranı]&lt;&gt;""),--(ABS(tblEndeks[Değişim Oranı]-EndeksOrtalama)&gt;AnomaliZEsik*IFERROR(stdev.p(tblEndeks[Değişim Oranı]),0)))</f>
        <v/>
      </c>
    </row>
    <row r="23" ht="15" customHeight="1" s="83">
      <c r="A23" s="122" t="inlineStr">
        <is>
          <t>Analitik Modül Hesapları</t>
        </is>
      </c>
    </row>
    <row r="24" ht="15" customHeight="1" s="83">
      <c r="A24" s="144" t="inlineStr">
        <is>
          <t>Modül T2: Endeks Eğilimi (dönem başı)</t>
        </is>
      </c>
      <c r="B24" s="128">
        <f>IFERROR(SLOPE(tblEndeks[Dönem Endeksi],ROW(tblEndeks[Dönem Endeksi])-ROW(tblEndeks[[#Headers],[Dönem Endeksi]]))/MAX(1,AVERAGE(tblEndeks[Dönem Endeksi])),0)</f>
        <v/>
      </c>
    </row>
    <row r="25" ht="15" customHeight="1" s="83">
      <c r="A25" s="144" t="inlineStr">
        <is>
          <t>Modül T3: En Büyük Kalem Kaybının Payı</t>
        </is>
      </c>
      <c r="B25" s="128">
        <f>IFERROR(LARGE(tblKalem[Kayıp (₺)],1)/MAX(1,SUM(tblKalem[Kayıp (₺)])),0)</f>
        <v/>
      </c>
    </row>
    <row r="26" ht="15" customHeight="1" s="83">
      <c r="A26" s="144" t="inlineStr">
        <is>
          <t>Modül T5: Kalem-Piyasa Mutabakat Farkı</t>
        </is>
      </c>
      <c r="B26" s="146">
        <f>IFERROR(HakedisKalemToplam-DonemHakedisToplam,0)</f>
        <v/>
      </c>
    </row>
    <row r="27" ht="15" customHeight="1" s="83">
      <c r="A27" s="144" t="inlineStr">
        <is>
          <t>Modül T6: Kayıp Kırılım Oranı</t>
        </is>
      </c>
      <c r="B27" s="128">
        <f>IFERROR(IF(KayipDikkatOran=0,0,HakKaybiOran/KayipDikkatOran),0)</f>
        <v/>
      </c>
    </row>
    <row r="28" ht="15" customHeight="1" s="83">
      <c r="A28" s="144" t="inlineStr">
        <is>
          <t>Modül O1: Anomali Endeks Sayısı</t>
        </is>
      </c>
      <c r="B28" s="149">
        <f>AnomaliEndeksAdet</f>
        <v/>
      </c>
    </row>
    <row r="29" ht="15" customHeight="1" s="83">
      <c r="A29" s="144" t="inlineStr">
        <is>
          <t>Modül O2: En Etkili Değişken (Tornado)</t>
        </is>
      </c>
      <c r="B29" s="147">
        <f>IFERROR(INDEX(SENARYO_DUYARLILIK!$A$13:$A$15,MATCH(MAX(SENARYO_DUYARLILIK!$G$13:$G$15),SENARYO_DUYARLILIK!$G$13:$G$15,0)),"VERİ YETERSİZ")</f>
        <v/>
      </c>
    </row>
    <row r="30" ht="15" customHeight="1" s="83">
      <c r="A30" s="144" t="inlineStr">
        <is>
          <t>Modül O3: Baz Senaryo Katsayısı</t>
        </is>
      </c>
      <c r="B30" s="128">
        <f>SENARYO_DUYARLILIK!$D$8</f>
        <v/>
      </c>
    </row>
    <row r="31" ht="15" customHeight="1" s="83">
      <c r="A31" s="144" t="inlineStr">
        <is>
          <t>Modül O4: Ortalama Geç Ödeme Günü</t>
        </is>
      </c>
      <c r="B31" s="149">
        <f>IFERROR(AVERAGE(tblDonem[Geç Ödeme Gün]),0)</f>
        <v/>
      </c>
    </row>
    <row r="32" ht="15" customHeight="1" s="83">
      <c r="A32" s="144" t="inlineStr">
        <is>
          <t>Modül O8: Veri Kalite Skoru</t>
        </is>
      </c>
      <c r="B32" s="149">
        <f>KONTROL!$B$19</f>
        <v/>
      </c>
    </row>
    <row r="33" ht="15" customHeight="1" s="83">
      <c r="A33" s="144" t="inlineStr">
        <is>
          <t>Modül I1: Tahmin Orta Noktası</t>
        </is>
      </c>
      <c r="B33" s="148">
        <f>EndeksProjeksiyon</f>
        <v/>
      </c>
    </row>
    <row r="34" ht="15" customHeight="1" s="83">
      <c r="A34" s="144" t="inlineStr">
        <is>
          <t>Modül I2: Endeks P90</t>
        </is>
      </c>
      <c r="B34" s="148">
        <f>IFERROR(PERCENTILE(tblEndeks[Dönem Endeksi],P90Kuantil),0)</f>
        <v/>
      </c>
    </row>
    <row r="35" ht="15" customHeight="1" s="83">
      <c r="A35" s="144" t="inlineStr">
        <is>
          <t>Modül I7: Geç Ödeme Kaynaklı Nakit Açığı</t>
        </is>
      </c>
      <c r="B35" s="146">
        <f>IFERROR(ROUND(DonemHakedisToplam*KayipOraniEsik*MAX(0,modulO4NakitGunu-ODemeGecikmeEsik)/MAX(ODemeGecikmeEsik,1),0),0)</f>
        <v/>
      </c>
    </row>
    <row r="36" ht="15" customHeight="1" s="83">
      <c r="A36" s="144" t="inlineStr">
        <is>
          <t>Değer Ölçer: Toplam Kazanım</t>
        </is>
      </c>
      <c r="B36" s="146">
        <f>IFERROR(BirikimliFiyatFarki+MAX(0,HakKaybiToplam),0)</f>
        <v/>
      </c>
    </row>
    <row r="37" ht="15" customHeight="1" s="83">
      <c r="A37" s="144" t="inlineStr">
        <is>
          <t>Değer Ölçer: Kazanım Oranı</t>
        </is>
      </c>
      <c r="B37" s="128">
        <f>IFERROR(IF(SozlesmeBedeli=0,0,degerKazanim/SozlesmeBedeli),0)</f>
        <v/>
      </c>
    </row>
    <row r="38"/>
    <row r="39" ht="15" customHeight="1" s="83">
      <c r="A39" s="122" t="inlineStr">
        <is>
          <t>Modül Makine Yorumları</t>
        </is>
      </c>
    </row>
    <row r="40" ht="36.75" customHeight="1" s="83">
      <c r="A40" s="150" t="inlineStr">
        <is>
          <t>T2 Endeks Eğilimi</t>
        </is>
      </c>
      <c r="B40" s="151">
        <f>modulT2EndeksEgim</f>
        <v/>
      </c>
      <c r="C40" s="152">
        <f>_xlfn.TEXTJOIN(" | ",TRUE(),"T2: Endeks eğilimi dönem başına "&amp;TEXT(modulT2EndeksEgim*100,"0,0")&amp;"% değişim öngörüyor",IF(modulT2EndeksEgim&gt;0,"endeksler yükselme eğiliminde, fiyat farkı lehte","endeksler düşme eğiliminde, fiyat farkı sınırlı"))</f>
        <v/>
      </c>
    </row>
    <row r="41" ht="36.75" customHeight="1" s="83">
      <c r="A41" s="150" t="inlineStr">
        <is>
          <t>T3 Pareto Kayıp Payı</t>
        </is>
      </c>
      <c r="B41" s="151">
        <f>modulT3ParetoPayi</f>
        <v/>
      </c>
      <c r="C41" s="152">
        <f>_xlfn.TEXTJOIN(" | ",TRUE(),"T3: Kayıp yoğunlaşması — en büyük kalem toplam kaybın "&amp;TEXT(modulT3ParetoPayi*100,"0")&amp;"% tutarında",IF(modulT3ParetoPayi&gt;ParetoEsikOran,"kayıp tek kalemde yoğun, revize birim fiyat öncelikli","kayıp kalemlere dağılmış"))</f>
        <v/>
      </c>
    </row>
    <row r="42" ht="36.75" customHeight="1" s="83">
      <c r="A42" s="150" t="inlineStr">
        <is>
          <t>T5 Mutabakat Farkı</t>
        </is>
      </c>
      <c r="B42" s="153">
        <f>modulT5MutabakatFark</f>
        <v/>
      </c>
      <c r="C42" s="152">
        <f>_xlfn.TEXTJOIN(" | ",TRUE(),"T5: Kalem toplamı ile dönem hakedişi arası fark "&amp;TEXT(modulT5MutabakatFark,"#,##0")&amp;" TL",IF(ABS(modulT5MutabakatFark)&lt;=MutabakatTolerans,"mutabakat sağlandı","mutabakat farkı var, dönem kayıtlarını kontrol edin"))</f>
        <v/>
      </c>
    </row>
    <row r="43" ht="24.75" customHeight="1" s="83">
      <c r="A43" s="150" t="inlineStr">
        <is>
          <t>T6 Kırılım Oranı</t>
        </is>
      </c>
      <c r="B43" s="151">
        <f>modulT6KirilimOrani</f>
        <v/>
      </c>
      <c r="C43" s="152">
        <f>_xlfn.TEXTJOIN(" | ",TRUE(),"T6: Kayıp oranı dikkat eşiğinin "&amp;TEXT(modulT6KirilimOrani*100,"0")&amp;"% seviyesinde",IF(modulT6KirilimOrani&gt;=1,"kayıp kritik bölgede","kayıp eşik altında"))</f>
        <v/>
      </c>
    </row>
    <row r="44" ht="36.75" customHeight="1" s="83">
      <c r="A44" s="150" t="inlineStr">
        <is>
          <t>O1 Anomali Sayısı</t>
        </is>
      </c>
      <c r="B44" s="154">
        <f>modulO1AnomaliSayisi</f>
        <v/>
      </c>
      <c r="C44" s="152">
        <f>_xlfn.TEXTJOIN(" | ",TRUE(),"O1: Anomali — "&amp;modulO1AnomaliSayisi&amp;" endeks hareketi Z eşiğini aşıyor",IF(modulO1AnomaliSayisi&gt;0,"uç endeksleri TÜİK yayınıyla mutabakat edin","endeks hareketleri tutarlı"))</f>
        <v/>
      </c>
    </row>
    <row r="45" ht="24.75" customHeight="1" s="83">
      <c r="A45" s="150" t="inlineStr">
        <is>
          <t>O2 Tornado Zirve</t>
        </is>
      </c>
      <c r="B45" s="155">
        <f>modulO2TornadoZirve</f>
        <v/>
      </c>
      <c r="C45" s="152">
        <f>_xlfn.TEXTJOIN(" | ",TRUE(),"O2: Duyarlılık — katsayıyı en çok etkileyen değişken: "&amp;modulO2TornadoZirve,IF(modulO2TornadoZirve="İşçilik Endeksi","işçilik verisini sözleşme AND TÜİK endekslerinden teyit edin","ana değişken netleşti"))</f>
        <v/>
      </c>
    </row>
    <row r="46" ht="24.75" customHeight="1" s="83">
      <c r="A46" s="150" t="inlineStr">
        <is>
          <t>O3 Senaryo Baz</t>
        </is>
      </c>
      <c r="B46" s="151">
        <f>modulO3SenaryoBaz</f>
        <v/>
      </c>
      <c r="C46" s="152">
        <f>_xlfn.TEXTJOIN(" | ",TRUE(),"O3: Senaryo motoru — baz senaryo katsayısı "&amp;TEXT(modulO3SenaryoBaz,"0,0%"),IF(modulO3SenaryoBaz&lt;=0,"baz senaryo fiyat farkı üretmiyor","senaryo aralığı karar için yeterli"))</f>
        <v/>
      </c>
    </row>
    <row r="47" ht="36.75" customHeight="1" s="83">
      <c r="A47" s="150" t="inlineStr">
        <is>
          <t>O4 Nakit Dönüşüm Günü</t>
        </is>
      </c>
      <c r="B47" s="154">
        <f>modulO4NakitGunu</f>
        <v/>
      </c>
      <c r="C47" s="152">
        <f>_xlfn.TEXTJOIN(" | ",TRUE(),"O4: AVERAGE geç ödeme "&amp;modulO4NakitGunu&amp;" gün",IF(modulO4NakitGunu&gt;ODemeGecikmeEsik,"ödemeler eşik üstü gecikiyor, nakit planını gözden geçirin","ödemeler eşik içinde"))</f>
        <v/>
      </c>
    </row>
    <row r="48" ht="24.75" customHeight="1" s="83">
      <c r="A48" s="150" t="inlineStr">
        <is>
          <t>O8 Veri Kalite Skoru</t>
        </is>
      </c>
      <c r="B48" s="154">
        <f>modulO8KaliteSkoru</f>
        <v/>
      </c>
      <c r="C48" s="152">
        <f>_xlfn.TEXTJOIN(" | ",TRUE(),"O8: Veri kalitesi "&amp;modulO8KaliteSkoru&amp;"/100",IF(modulO8KaliteSkoru&lt;VeriKaliteOrtaEsik,"girişler eksik, karar güvenilir değil","giriş kalitesi karar için yeterli"))</f>
        <v/>
      </c>
    </row>
    <row r="49" ht="24.75" customHeight="1" s="83">
      <c r="A49" s="150" t="inlineStr">
        <is>
          <t>I1 Tahmin Orta</t>
        </is>
      </c>
      <c r="B49" s="156">
        <f>modulI1TahminOrta</f>
        <v/>
      </c>
      <c r="C49" s="152">
        <f>_xlfn.TEXTJOIN(" | ",TRUE(),"I1: Tahmin — sonraki dönem endeksi "&amp;TEXT(modulI1TahminOrta,"#,##0")&amp;" öngörülüyor",IF(modulI1TahminOrta&gt;MAX(tblEndeks[Dönem Endeksi]),"tahmin mevcut endekslerin üzerinde","tahmin mevcut seviyeye yakın"))</f>
        <v/>
      </c>
    </row>
    <row r="50" ht="24.75" customHeight="1" s="83">
      <c r="A50" s="150" t="inlineStr">
        <is>
          <t>I2 Yüzdelik P90</t>
        </is>
      </c>
      <c r="B50" s="156">
        <f>modulI2P90</f>
        <v/>
      </c>
      <c r="C50" s="152">
        <f>_xlfn.TEXTJOIN(" | ",TRUE(),"I2: Dağılım — endekslerin %90'ı "&amp;TEXT(modulI2P90,"#,##0")&amp;" değerinin altında",IF(modulI2P90&gt;0,"dağılım genişliği okunabilir","veri az, dağılım güvenilir değil"))</f>
        <v/>
      </c>
    </row>
    <row r="51" ht="36.75" customHeight="1" s="83">
      <c r="A51" s="150" t="inlineStr">
        <is>
          <t>I7 Nakit Açığı</t>
        </is>
      </c>
      <c r="B51" s="153">
        <f>modulI7NakitAcigi</f>
        <v/>
      </c>
      <c r="C51" s="152">
        <f>_xlfn.TEXTJOIN(" | ",TRUE(),"I7: Geç ödeme kaynaklı tahmini nakit ihtiyacı "&amp;TEXT(modulI7NakitAcigi,"#,##0")&amp;" TL",IF(modulI7NakitAcigi&gt;0,"nakit akışına eşik üstü gecikme maliyeti yansıyor","gecikme kaynaklı ek maliyet yok"))</f>
        <v/>
      </c>
    </row>
    <row r="52"/>
    <row r="53" ht="19.5" customHeight="1" s="83">
      <c r="A53" s="120" t="inlineStr">
        <is>
          <t>Fiyat farkı katsayısı sözleşme ağırlıkları ve endeks değişimlerinden üretilir; modül yorumları makinedir.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5">
    <mergeCell ref="C40:F40"/>
    <mergeCell ref="A1:J1"/>
    <mergeCell ref="A53:AN53"/>
    <mergeCell ref="C48:F48"/>
    <mergeCell ref="C45:F45"/>
    <mergeCell ref="C49:F49"/>
    <mergeCell ref="C41:F41"/>
    <mergeCell ref="C43:F43"/>
    <mergeCell ref="A3:J3"/>
    <mergeCell ref="C46:F46"/>
    <mergeCell ref="C51:F51"/>
    <mergeCell ref="C47:F47"/>
    <mergeCell ref="C42:F42"/>
    <mergeCell ref="C50:F50"/>
    <mergeCell ref="C44:F44"/>
  </mergeCells>
  <conditionalFormatting sqref="B10">
    <cfRule type="cellIs" rank="0" priority="2" equalAverage="0" operator="greaterThan" aboveAverage="0" dxfId="0" text="" percent="0" bottom="0">
      <formula>0</formula>
    </cfRule>
    <cfRule type="cellIs" rank="0" priority="3" equalAverage="0" operator="lessThanOrEqual" aboveAverage="0" dxfId="1" text="" percent="0" bottom="0">
      <formula>0</formula>
    </cfRule>
  </conditionalFormatting>
  <conditionalFormatting sqref="B15">
    <cfRule type="cellIs" rank="0" priority="4" equalAverage="0" operator="greaterThan" aboveAverage="0" dxfId="10" text="" percent="0" bottom="0">
      <formula>0</formula>
    </cfRule>
  </conditionalFormatting>
  <conditionalFormatting sqref="B9">
    <cfRule type="cellIs" rank="0" priority="5" equalAverage="0" operator="between" aboveAverage="0" dxfId="0" text="" percent="0" bottom="0">
      <formula>0.99</formula>
      <formula>1.01</formula>
    </cfRule>
    <cfRule type="cellIs" rank="0" priority="6" equalAverage="0" operator="notBetween" aboveAverage="0" dxfId="1" text="" percent="0" bottom="0">
      <formula>0.99</formula>
      <formula>1.01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109" min="1" max="1"/>
    <col width="14" customWidth="1" style="109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KONTROL — HAKEDİŞ FİYAT FARKI VE HAK KAYBI CETVELİ</t>
        </is>
      </c>
    </row>
    <row r="2"/>
    <row r="3" ht="22" customHeight="1" s="83">
      <c r="A3" s="315" t="inlineStr">
        <is>
          <t>Veri Kalitesi ve Sağlık Kontrolü</t>
        </is>
      </c>
    </row>
    <row r="4"/>
    <row r="5" ht="15" customHeight="1" s="83">
      <c r="A5" s="157" t="inlineStr">
        <is>
          <t>A. GİRİŞ TAMLIK KONTROLÜ</t>
        </is>
      </c>
    </row>
    <row r="6"/>
    <row r="7" ht="15" customHeight="1" s="83">
      <c r="A7" s="158" t="inlineStr">
        <is>
          <t>Sözleşme Adı Boş</t>
        </is>
      </c>
      <c r="B7" s="159">
        <f>IF(SozlesmeAdi="","FAIL","PASS")</f>
        <v/>
      </c>
    </row>
    <row r="8" ht="15" customHeight="1" s="83">
      <c r="A8" s="158" t="inlineStr">
        <is>
          <t>Sözleşme Bedeli Boş/Sıfır</t>
        </is>
      </c>
      <c r="B8" s="159">
        <f>IF(OR(SozlesmeBedeli="",SozlesmeBedeli&lt;=0),"FAIL","PASS")</f>
        <v/>
      </c>
    </row>
    <row r="9" ht="15" customHeight="1" s="83">
      <c r="A9" s="158" t="inlineStr">
        <is>
          <t>Ağırlık Toplamı ≠ 1</t>
        </is>
      </c>
      <c r="B9" s="159">
        <f>IF(ABS(AgirlikToplam-1)&gt;AgirlikTolerans,"FAIL","PASS")</f>
        <v/>
      </c>
    </row>
    <row r="10" ht="15" customHeight="1" s="83">
      <c r="A10" s="158" t="inlineStr">
        <is>
          <t>Fiyat Farkı Maddesi Boş</t>
        </is>
      </c>
      <c r="B10" s="159">
        <f>IF(FiyatFarkiVarMi="","FAIL","PASS")</f>
        <v/>
      </c>
    </row>
    <row r="11" ht="15" customHeight="1" s="83">
      <c r="A11" s="158" t="inlineStr">
        <is>
          <t>Endeks Kaydı Yok</t>
        </is>
      </c>
      <c r="B11" s="159">
        <f>IF(COUNT(tblEndeks[Dönem Endeksi])=0,"FAIL","PASS")</f>
        <v/>
      </c>
    </row>
    <row r="12" ht="15" customHeight="1" s="83">
      <c r="A12" s="158" t="inlineStr">
        <is>
          <t>Hakediş Kalemi Yok</t>
        </is>
      </c>
      <c r="B12" s="159">
        <f>IF(COUNT(tblKalem[Hakediş Tutarı (₺)])=0,"WARN","PASS")</f>
        <v/>
      </c>
    </row>
    <row r="13" ht="15" customHeight="1" s="83">
      <c r="A13" s="158" t="inlineStr">
        <is>
          <t>Hak Kaybı Dikkat</t>
        </is>
      </c>
      <c r="B13" s="159">
        <f>IF(KayipDurumu="DİKKAT","WARN",IF(KayipDurumu="KRİTİK","FAIL","PASS"))</f>
        <v/>
      </c>
    </row>
    <row r="14"/>
    <row r="15" ht="15" customHeight="1" s="83">
      <c r="A15" s="157" t="inlineStr">
        <is>
          <t>B. SKOR VE SAĞLIK</t>
        </is>
      </c>
    </row>
    <row r="16" ht="15" customHeight="1" s="83">
      <c r="A16" s="158" t="inlineStr">
        <is>
          <t>Dolu Giriş Hücresi</t>
        </is>
      </c>
      <c r="B16" s="160">
        <f>COUNTIF(tblKalem[Hakediş Miktarı],"&gt;0")+COUNTIF(tblEndeks[Dönem Endeksi],"&gt;0")+COUNTIF(tblDonem[Hakediş Tutarı (₺)],"&gt;0")</f>
        <v/>
      </c>
    </row>
    <row r="17" ht="15" customHeight="1" s="83">
      <c r="A17" s="158" t="inlineStr">
        <is>
          <t>PASS Sayısı</t>
        </is>
      </c>
      <c r="B17" s="160">
        <f>COUNTIF(B7:B13,"PASS")</f>
        <v/>
      </c>
    </row>
    <row r="18" ht="15" customHeight="1" s="83">
      <c r="A18" s="158" t="inlineStr">
        <is>
          <t>FAIL Sayısı</t>
        </is>
      </c>
      <c r="B18" s="160">
        <f>COUNTIF(B7:B13,"FAIL")</f>
        <v/>
      </c>
    </row>
    <row r="19" ht="15" customHeight="1" s="83">
      <c r="A19" s="161" t="inlineStr">
        <is>
          <t>Veri Kalite Skoru (0-100)</t>
        </is>
      </c>
      <c r="B19" s="162">
        <f>IF(COUNTIF(B7:B13,"FAIL")=0,ROUND(100-COUNTIF(B7:B13,"WARN")*VeriKaliteUyariCeza,0),0)</f>
        <v/>
      </c>
    </row>
    <row r="20" ht="15" customHeight="1" s="83">
      <c r="A20" s="158" t="inlineStr">
        <is>
          <t>Güven Seviyesi</t>
        </is>
      </c>
      <c r="B20" s="161">
        <f>IF(VeriKaliteSkoru=0,"VERİ YETERSİZ",IF(VeriKaliteSkoru&gt;=VeriKaliteIyiEsik,"YÜKSEK",IF(VeriKaliteSkoru&gt;=VeriKaliteOrtaEsik,"ORTA","DÜŞÜK")))</f>
        <v/>
      </c>
    </row>
    <row r="21"/>
    <row r="22" ht="15" customHeight="1" s="83">
      <c r="A22" s="158" t="inlineStr">
        <is>
          <t>Durum</t>
        </is>
      </c>
      <c r="B22" s="161">
        <f>IF(FAIL_Sayisi=0,"SAĞLIKLI","İNCELE")</f>
        <v/>
      </c>
    </row>
    <row r="23"/>
    <row r="24" ht="19.5" customHeight="1" s="83">
      <c r="A24" s="12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4:AN24"/>
    <mergeCell ref="A3:I3"/>
  </mergeCells>
  <conditionalFormatting sqref="B7">
    <cfRule type="cellIs" rank="0" priority="2" equalAverage="0" operator="equal" aboveAverage="0" dxfId="1" text="" percent="0" bottom="0">
      <formula>"FAIL"</formula>
    </cfRule>
    <cfRule type="cellIs" rank="0" priority="3" equalAverage="0" operator="equal" aboveAverage="0" dxfId="10" text="" percent="0" bottom="0">
      <formula>"WARN"</formula>
    </cfRule>
    <cfRule type="cellIs" rank="0" priority="4" equalAverage="0" operator="equal" aboveAverage="0" dxfId="0" text="" percent="0" bottom="0">
      <formula>"PASS"</formula>
    </cfRule>
  </conditionalFormatting>
  <conditionalFormatting sqref="B8">
    <cfRule type="cellIs" rank="0" priority="5" equalAverage="0" operator="equal" aboveAverage="0" dxfId="1" text="" percent="0" bottom="0">
      <formula>"FAIL"</formula>
    </cfRule>
    <cfRule type="cellIs" rank="0" priority="6" equalAverage="0" operator="equal" aboveAverage="0" dxfId="10" text="" percent="0" bottom="0">
      <formula>"WARN"</formula>
    </cfRule>
    <cfRule type="cellIs" rank="0" priority="7" equalAverage="0" operator="equal" aboveAverage="0" dxfId="0" text="" percent="0" bottom="0">
      <formula>"PASS"</formula>
    </cfRule>
  </conditionalFormatting>
  <conditionalFormatting sqref="B9">
    <cfRule type="cellIs" rank="0" priority="8" equalAverage="0" operator="equal" aboveAverage="0" dxfId="1" text="" percent="0" bottom="0">
      <formula>"FAIL"</formula>
    </cfRule>
    <cfRule type="cellIs" rank="0" priority="9" equalAverage="0" operator="equal" aboveAverage="0" dxfId="10" text="" percent="0" bottom="0">
      <formula>"WARN"</formula>
    </cfRule>
    <cfRule type="cellIs" rank="0" priority="10" equalAverage="0" operator="equal" aboveAverage="0" dxfId="0" text="" percent="0" bottom="0">
      <formula>"PASS"</formula>
    </cfRule>
  </conditionalFormatting>
  <conditionalFormatting sqref="B10">
    <cfRule type="cellIs" rank="0" priority="11" equalAverage="0" operator="equal" aboveAverage="0" dxfId="1" text="" percent="0" bottom="0">
      <formula>"FAIL"</formula>
    </cfRule>
    <cfRule type="cellIs" rank="0" priority="12" equalAverage="0" operator="equal" aboveAverage="0" dxfId="10" text="" percent="0" bottom="0">
      <formula>"WARN"</formula>
    </cfRule>
    <cfRule type="cellIs" rank="0" priority="13" equalAverage="0" operator="equal" aboveAverage="0" dxfId="0" text="" percent="0" bottom="0">
      <formula>"PASS"</formula>
    </cfRule>
  </conditionalFormatting>
  <conditionalFormatting sqref="B11">
    <cfRule type="cellIs" rank="0" priority="14" equalAverage="0" operator="equal" aboveAverage="0" dxfId="1" text="" percent="0" bottom="0">
      <formula>"FAIL"</formula>
    </cfRule>
    <cfRule type="cellIs" rank="0" priority="15" equalAverage="0" operator="equal" aboveAverage="0" dxfId="10" text="" percent="0" bottom="0">
      <formula>"WARN"</formula>
    </cfRule>
    <cfRule type="cellIs" rank="0" priority="16" equalAverage="0" operator="equal" aboveAverage="0" dxfId="0" text="" percent="0" bottom="0">
      <formula>"PASS"</formula>
    </cfRule>
  </conditionalFormatting>
  <conditionalFormatting sqref="B12">
    <cfRule type="cellIs" rank="0" priority="17" equalAverage="0" operator="equal" aboveAverage="0" dxfId="1" text="" percent="0" bottom="0">
      <formula>"FAIL"</formula>
    </cfRule>
    <cfRule type="cellIs" rank="0" priority="18" equalAverage="0" operator="equal" aboveAverage="0" dxfId="10" text="" percent="0" bottom="0">
      <formula>"WARN"</formula>
    </cfRule>
    <cfRule type="cellIs" rank="0" priority="19" equalAverage="0" operator="equal" aboveAverage="0" dxfId="0" text="" percent="0" bottom="0">
      <formula>"PASS"</formula>
    </cfRule>
  </conditionalFormatting>
  <conditionalFormatting sqref="B13">
    <cfRule type="cellIs" rank="0" priority="20" equalAverage="0" operator="equal" aboveAverage="0" dxfId="1" text="" percent="0" bottom="0">
      <formula>"FAIL"</formula>
    </cfRule>
    <cfRule type="cellIs" rank="0" priority="21" equalAverage="0" operator="equal" aboveAverage="0" dxfId="10" text="" percent="0" bottom="0">
      <formula>"WARN"</formula>
    </cfRule>
    <cfRule type="cellIs" rank="0" priority="22" equalAverage="0" operator="equal" aboveAverage="0" dxfId="0" text="" percent="0" bottom="0">
      <formula>"PASS"</formula>
    </cfRule>
  </conditionalFormatting>
  <conditionalFormatting sqref="B19">
    <cfRule type="cellIs" rank="0" priority="23" equalAverage="0" operator="greaterThanOrEqual" aboveAverage="0" dxfId="0" text="" percent="0" bottom="0">
      <formula>90</formula>
    </cfRule>
    <cfRule type="cellIs" rank="0" priority="24" equalAverage="0" operator="lessThan" aboveAverage="0" dxfId="1" text="" percent="0" bottom="0">
      <formula>70</formula>
    </cfRule>
  </conditionalFormatting>
  <conditionalFormatting sqref="B22">
    <cfRule type="cellIs" rank="0" priority="25" equalAverage="0" operator="equal" aboveAverage="0" dxfId="0" text="" percent="0" bottom="0">
      <formula>"SAĞLIKLI"</formula>
    </cfRule>
    <cfRule type="cellIs" rank="0" priority="26" equalAverage="0" operator="equal" aboveAverage="0" dxfId="10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109" min="1" max="1"/>
    <col width="26" customWidth="1" style="109" min="2" max="2"/>
    <col width="22" customWidth="1" style="109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KARAR — HAKEDİŞ FİYAT FARKI VE HAK KAYBI CETVELİ</t>
        </is>
      </c>
    </row>
    <row r="2"/>
    <row r="3" ht="15" customHeight="1" s="83">
      <c r="A3" s="122" t="inlineStr">
        <is>
          <t>Karar Motoru</t>
        </is>
      </c>
    </row>
    <row r="4"/>
    <row r="5" ht="15" customHeight="1" s="83">
      <c r="A5" s="157" t="inlineStr">
        <is>
          <t>FİYAT FARKI VE HAK KAYBI ÖZETİ</t>
        </is>
      </c>
    </row>
    <row r="6" ht="15" customHeight="1" s="83">
      <c r="A6" s="161" t="inlineStr">
        <is>
          <t>Fiyat Farkı Katsayısı</t>
        </is>
      </c>
      <c r="B6" s="128">
        <f>FiyatFarkiKatsayi</f>
        <v/>
      </c>
    </row>
    <row r="7" ht="15" customHeight="1" s="83">
      <c r="A7" s="161" t="inlineStr">
        <is>
          <t>Dönem Fiyat Farkı</t>
        </is>
      </c>
      <c r="B7" s="146">
        <f>DonemFiyatFarki</f>
        <v/>
      </c>
    </row>
    <row r="8" ht="15" customHeight="1" s="83">
      <c r="A8" s="161" t="inlineStr">
        <is>
          <t>Toplam Hak Kaybı</t>
        </is>
      </c>
      <c r="B8" s="146">
        <f>HakKaybiToplam</f>
        <v/>
      </c>
    </row>
    <row r="9" ht="15" customHeight="1" s="83">
      <c r="A9" s="161" t="inlineStr">
        <is>
          <t>Hak Kaybı Oranı</t>
        </is>
      </c>
      <c r="B9" s="128">
        <f>HakKaybiOran</f>
        <v/>
      </c>
    </row>
    <row r="10"/>
    <row r="11" ht="18.75" customHeight="1" s="83">
      <c r="A11" s="122" t="inlineStr">
        <is>
          <t>KARAR</t>
        </is>
      </c>
      <c r="B11" s="163">
        <f>IF(DoluGirisHucre=0,"VERİ YOK",IF(VeriKaliteSkoru=0,"VERİ YETERSİZ",IF(OR(AgirlikToplam&gt;1+AgirlikTolerans,AgirlikToplam&lt;1-AgirlikTolerans),"DURDUR",IF(KayipDurumu="KRİTİK","DURDUR",IF(OR(FiyatFarkiKatsayi&lt;=0,KayipDurumu="DİKKAT"),"İNCELE","UYGUN")))))</f>
        <v/>
      </c>
    </row>
    <row r="12" ht="27.75" customHeight="1" s="83">
      <c r="A12" s="161" t="inlineStr">
        <is>
          <t>GEREKÇE</t>
        </is>
      </c>
      <c r="B12" s="164">
        <f>IF(DoluGirisHucre=0,"Hiç veri girilmedi; lütfen sarı hücreleri doldurun.",IF(VeriKaliteSkoru=0,"Girdi eksik; lütfen sarı hücreleri doldurun.",IF(ABS(AgirlikToplam-1)&gt;AgirlikTolerans,"Ağırlık toplamı 1 değil: "&amp;TEXT(AgirlikToplam,"0.0%")&amp;". Katsayıları sözleşmeden kontrol edin.",IF(KayipDurumu="KRİTİK","Hak kaybı oranı "&amp;TEXT(HakKaybiOran,"0.0%")&amp;" ile kritik seviyede.",IF(FiyatFarkiKatsayi&lt;=0,"Fiyat farkı katsayısı pozitif değil; endeks AND ağırlıkları inceleyin.",IF(KayipDurumu="DİKKAT","Hak kaybı oranı "&amp;TEXT(HakKaybiOran,"0.0%")&amp;" ile dikkat seviyesinde.","Fiyat farkı AND hak kaybı kabul edilebilir aralıkta."))))))</f>
        <v/>
      </c>
    </row>
    <row r="13"/>
    <row r="14" ht="15" customHeight="1" s="83">
      <c r="A14" s="157" t="inlineStr">
        <is>
          <t>AKSİYONLAR</t>
        </is>
      </c>
    </row>
    <row r="15" ht="15" customHeight="1" s="83">
      <c r="A15" s="164">
        <f>IF(OR(KararSonuc="VERİ YOK",KararSonuc="VERİ YETERSİZ",KararSonuc="DURDUR"),"Ağırlık katsayılarını AND girdileri sözleşme/endeks belgelerinden kontrol edin",IF(FiyatFarkiKatsayi&lt;=0,"Endeks kayıtlarını güncelleyin; temel-dönem endeksi sıralamasını doğrulayın","Fiyat farkı tahakkukunu dönem hakedişine yansıtın"))</f>
        <v/>
      </c>
    </row>
    <row r="16" ht="15" customHeight="1" s="83">
      <c r="A16" s="164">
        <f>IF(HakKaybiOran&gt;KayipEsikOran,"Hak kaybını yüklenici ile görüşün; revize birim fiyat veya zam farkı gündemini değerlendirin","Hak kaybı kabul edilebilir aralıkta")</f>
        <v/>
      </c>
    </row>
    <row r="17" ht="15" customHeight="1" s="83">
      <c r="A17" s="164">
        <f>IF(KayipDurumu="KRİTİK","Piyasa birim fiyatlarını üçüncü taraftan teyit edin AND kayıp tutarını belgelendirin","Piyasa verisi normal görünüyor")</f>
        <v/>
      </c>
    </row>
    <row r="18" ht="15" customHeight="1" s="83">
      <c r="A18" s="164">
        <f>IF(AnomaliEndeksAdet&gt;0,"Uç endeks hareketlerini TÜİK yayınlarıyla mutabakat edin","Endeks hareketleri tutarlı")</f>
        <v/>
      </c>
    </row>
    <row r="19"/>
    <row r="20"/>
    <row r="21" ht="19.5" customHeight="1" s="83">
      <c r="A21" s="12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:I1"/>
    <mergeCell ref="A18:C18"/>
    <mergeCell ref="A15:C15"/>
    <mergeCell ref="A16:C16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  <cfRule type="cellIs" rank="0" priority="5" equalAverage="0" operator="equal" aboveAverage="0" dxfId="14" text="" percent="0" bottom="0">
      <formula>"VERİ YETERSİZ"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109" min="1" max="1"/>
    <col width="16" customWidth="1" style="109" min="2" max="2"/>
    <col width="22" customWidth="1" style="109" min="3" max="3"/>
    <col width="20" customWidth="1" style="109" min="4" max="4"/>
    <col width="24" customWidth="1" style="109" min="5" max="5"/>
    <col width="16" customWidth="1" style="109" min="6" max="6"/>
    <col width="14" customWidth="1" style="109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SENARYO DUYARLILIK — HAKEDİŞ FİYAT FARKI VE HAK KAYBI CETVELİ</t>
        </is>
      </c>
    </row>
    <row r="2"/>
    <row r="3" ht="22" customHeight="1" s="83">
      <c r="A3" s="315" t="inlineStr">
        <is>
          <t>Senaryo ve Duyarlılık Analizi</t>
        </is>
      </c>
    </row>
    <row r="4"/>
    <row r="5" ht="15" customHeight="1" s="83">
      <c r="A5" s="157" t="inlineStr">
        <is>
          <t>A. SENARYO MOTORU</t>
        </is>
      </c>
    </row>
    <row r="6" ht="30" customHeight="1" s="83">
      <c r="A6" s="129" t="inlineStr">
        <is>
          <t>Senaryo</t>
        </is>
      </c>
      <c r="B6" s="129" t="inlineStr">
        <is>
          <t>İşçilik Değişimi</t>
        </is>
      </c>
      <c r="C6" s="129" t="inlineStr">
        <is>
          <t>Malzeme Değişimi</t>
        </is>
      </c>
      <c r="D6" s="129" t="inlineStr">
        <is>
          <t>Fiyat Farkı Katsayısı</t>
        </is>
      </c>
      <c r="E6" s="129" t="inlineStr">
        <is>
          <t>Dönem Fiyat Farkı (₺)</t>
        </is>
      </c>
      <c r="F6" s="129" t="inlineStr">
        <is>
          <t>Hak Kaybı Oranı</t>
        </is>
      </c>
      <c r="G6" s="129" t="inlineStr">
        <is>
          <t>Karar</t>
        </is>
      </c>
    </row>
    <row r="7" ht="15" customHeight="1" s="83">
      <c r="A7" s="123" t="inlineStr">
        <is>
          <t>KÖTÜMSER</t>
        </is>
      </c>
      <c r="B7" s="128">
        <f>IsciEndeksOran*(1+SenaryoKotumserKat)</f>
        <v/>
      </c>
      <c r="C7" s="128">
        <f>MalzemeEndeksOran*(1+SenaryoKotumserKat)</f>
        <v/>
      </c>
      <c r="D7" s="128">
        <f>IF(FiyatFarkiVarMi="Hayır",0,(a+b*(1+B7)+_c*(1+C7)+d*(1+MakineEndeksOran))-1)</f>
        <v/>
      </c>
      <c r="E7" s="146">
        <f>ROUND(DonemHakedisToplam*D7,0)</f>
        <v/>
      </c>
      <c r="F7" s="128">
        <f>IFERROR(IF(HakedisKalemToplam=0,0,HakKaybiToplam/HakedisKalemToplam*(1+SenaryoKotumserKat)),0)</f>
        <v/>
      </c>
      <c r="G7" s="159">
        <f>IF(E7&lt;=0,"DURDUR",IF(F7&gt;KayipDikkatOran,"DURDUR","İNCELE"))</f>
        <v/>
      </c>
    </row>
    <row r="8" ht="15" customHeight="1" s="83">
      <c r="A8" s="123" t="inlineStr">
        <is>
          <t>BAZ</t>
        </is>
      </c>
      <c r="B8" s="128">
        <f>IsciEndeksOran</f>
        <v/>
      </c>
      <c r="C8" s="128">
        <f>MalzemeEndeksOran</f>
        <v/>
      </c>
      <c r="D8" s="128">
        <f>IF(FiyatFarkiVarMi="Hayır",0,(a+b*(1+B8)+_c*(1+C8)+d*(1+MakineEndeksOran))-1)</f>
        <v/>
      </c>
      <c r="E8" s="146">
        <f>ROUND(DonemHakedisToplam*D8,0)</f>
        <v/>
      </c>
      <c r="F8" s="128">
        <f>IFERROR(IF(HakedisKalemToplam=0,0,HakKaybiToplam/HakedisKalemToplam),0)</f>
        <v/>
      </c>
      <c r="G8" s="159">
        <f>IF(E8&lt;=0,"DURDUR",IF(F8&gt;KayipDikkatOran,"DURDUR","UYGUN"))</f>
        <v/>
      </c>
    </row>
    <row r="9" ht="15" customHeight="1" s="83">
      <c r="A9" s="123" t="inlineStr">
        <is>
          <t>İYİMSER</t>
        </is>
      </c>
      <c r="B9" s="128">
        <f>IsciEndeksOran*(1-SenaryoIyimserKat)</f>
        <v/>
      </c>
      <c r="C9" s="128">
        <f>MalzemeEndeksOran*(1-SenaryoIyimserKat)</f>
        <v/>
      </c>
      <c r="D9" s="128">
        <f>IF(FiyatFarkiVarMi="Hayır",0,(a+b*(1+B9)+_c*(1+C9)+d*(1+MakineEndeksOran))-1)</f>
        <v/>
      </c>
      <c r="E9" s="146">
        <f>ROUND(DonemHakedisToplam*D9,0)</f>
        <v/>
      </c>
      <c r="F9" s="128">
        <f>IFERROR(IF(HakedisKalemToplam=0,0,HakKaybiToplam/HakedisKalemToplam*(1-SenaryoIyimserKat)),0)</f>
        <v/>
      </c>
      <c r="G9" s="159">
        <f>IF(E9&lt;=0,"DURDUR",IF(F9&gt;KayipDikkatOran,"DURDUR","UYGUN"))</f>
        <v/>
      </c>
    </row>
    <row r="10"/>
    <row r="11" ht="15" customHeight="1" s="83">
      <c r="A11" s="157" t="inlineStr">
        <is>
          <t>B. TORNADO / DUYARLILIK</t>
        </is>
      </c>
    </row>
    <row r="12" ht="30" customHeight="1" s="83">
      <c r="A12" s="129" t="inlineStr">
        <is>
          <t>Değişken</t>
        </is>
      </c>
      <c r="B12" s="129" t="inlineStr">
        <is>
          <t>Alt (-%5)</t>
        </is>
      </c>
      <c r="C12" s="129" t="inlineStr">
        <is>
          <t>Baz</t>
        </is>
      </c>
      <c r="D12" s="129" t="inlineStr">
        <is>
          <t>Üst (+%5)</t>
        </is>
      </c>
      <c r="E12" s="129" t="inlineStr">
        <is>
          <t>Katsayı Alt</t>
        </is>
      </c>
      <c r="F12" s="129" t="inlineStr">
        <is>
          <t>Katsayı Üst</t>
        </is>
      </c>
      <c r="G12" s="129" t="inlineStr">
        <is>
          <t>Etki (puan)</t>
        </is>
      </c>
    </row>
    <row r="13" ht="15" customHeight="1" s="83">
      <c r="A13" s="161" t="inlineStr">
        <is>
          <t>İşçilik Endeksi</t>
        </is>
      </c>
      <c r="B13" s="128">
        <f>IsciEndeksOran-DuyarliDegisim</f>
        <v/>
      </c>
      <c r="C13" s="128">
        <f>IsciEndeksOran</f>
        <v/>
      </c>
      <c r="D13" s="128">
        <f>IsciEndeksOran+DuyarliDegisim</f>
        <v/>
      </c>
      <c r="E13" s="128">
        <f>IF(FiyatFarkiVarMi="Hayır",0,(a+b*(1+B13)+_c*(1+MalzemeEndeksOran)+d*(1+MakineEndeksOran))-1)</f>
        <v/>
      </c>
      <c r="F13" s="128">
        <f>IF(FiyatFarkiVarMi="Hayır",0,(a+b*(1+D13)+_c*(1+MalzemeEndeksOran)+d*(1+MakineEndeksOran))-1)</f>
        <v/>
      </c>
      <c r="G13" s="128">
        <f>ABS(F13-E13)</f>
        <v/>
      </c>
    </row>
    <row r="14" ht="15" customHeight="1" s="83">
      <c r="A14" s="161" t="inlineStr">
        <is>
          <t>Malzeme Endeksi</t>
        </is>
      </c>
      <c r="B14" s="128">
        <f>MalzemeEndeksOran-DuyarliDegisim</f>
        <v/>
      </c>
      <c r="C14" s="128">
        <f>MalzemeEndeksOran</f>
        <v/>
      </c>
      <c r="D14" s="128">
        <f>MalzemeEndeksOran+DuyarliDegisim</f>
        <v/>
      </c>
      <c r="E14" s="128">
        <f>IF(FiyatFarkiVarMi="Hayır",0,(a+b*(1+IsciEndeksOran)+_c*(1+B14)+d*(1+MakineEndeksOran))-1)</f>
        <v/>
      </c>
      <c r="F14" s="128">
        <f>IF(FiyatFarkiVarMi="Hayır",0,(a+b*(1+IsciEndeksOran)+_c*(1+D14)+d*(1+MakineEndeksOran))-1)</f>
        <v/>
      </c>
      <c r="G14" s="128">
        <f>ABS(F14-E14)</f>
        <v/>
      </c>
    </row>
    <row r="15" ht="15" customHeight="1" s="83">
      <c r="A15" s="161" t="inlineStr">
        <is>
          <t>b Ağırlığı</t>
        </is>
      </c>
      <c r="B15" s="128">
        <f>MAX(0,b-DuyarliDegisim)</f>
        <v/>
      </c>
      <c r="C15" s="128">
        <f>b</f>
        <v/>
      </c>
      <c r="D15" s="128">
        <f>MIN(1,b+DuyarliDegisim)</f>
        <v/>
      </c>
      <c r="E15" s="128">
        <f>IF(FiyatFarkiVarMi="Hayır",0,(a+B15*(1+IsciEndeksOran)+_c*(1+MalzemeEndeksOran)+d*(1+MakineEndeksOran))-1)</f>
        <v/>
      </c>
      <c r="F15" s="128">
        <f>IF(FiyatFarkiVarMi="Hayır",0,(a+D15*(1+IsciEndeksOran)+_c*(1+MalzemeEndeksOran)+d*(1+MakineEndeksOran))-1)</f>
        <v/>
      </c>
      <c r="G15" s="128">
        <f>ABS(F15-E15)</f>
        <v/>
      </c>
    </row>
    <row r="16"/>
    <row r="17" ht="15" customHeight="1" s="83">
      <c r="A17" s="157" t="inlineStr">
        <is>
          <t>C. EŞİK / KIRILIM ANALİZİ</t>
        </is>
      </c>
    </row>
    <row r="18" ht="15" customHeight="1" s="83">
      <c r="A18" s="161" t="inlineStr">
        <is>
          <t>Kırılım: Fiyat Farkının Sıfırlandığı Endeks Değişimi</t>
        </is>
      </c>
      <c r="B18" s="128">
        <f>IFERROR(-(a-1)/(b+_c+d),0)</f>
        <v/>
      </c>
    </row>
    <row r="19" ht="15" customHeight="1" s="83">
      <c r="A19" s="161" t="inlineStr">
        <is>
          <t>Eşik Farkı (Mevcut Kayıp Oranı - Kabul Edilebilir)</t>
        </is>
      </c>
      <c r="B19" s="128">
        <f>IFERROR(HakKaybiOran-KayipEsikOran,0)</f>
        <v/>
      </c>
    </row>
    <row r="20" ht="15" customHeight="1" s="83">
      <c r="A20" s="161" t="inlineStr">
        <is>
          <t>Değer Ölçer: Toplam Fiyat Farkı + Fark</t>
        </is>
      </c>
      <c r="B20" s="146">
        <f>IFERROR(BirikimliFiyatFarki+HakKaybiToplam,0)</f>
        <v/>
      </c>
    </row>
    <row r="21"/>
    <row r="22"/>
    <row r="23" ht="19.5" customHeight="1" s="83">
      <c r="A23" s="12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3:AN23"/>
  </mergeCells>
  <conditionalFormatting sqref="G7">
    <cfRule type="cellIs" rank="0" priority="2" equalAverage="0" operator="equal" aboveAverage="0" dxfId="0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" text="" percent="0" bottom="0">
      <formula>"DURDUR"</formula>
    </cfRule>
  </conditionalFormatting>
  <conditionalFormatting sqref="G8">
    <cfRule type="cellIs" rank="0" priority="5" equalAverage="0" operator="equal" aboveAverage="0" dxfId="0" text="" percent="0" bottom="0">
      <formula>"UYGUN"</formula>
    </cfRule>
    <cfRule type="cellIs" rank="0" priority="6" equalAverage="0" operator="equal" aboveAverage="0" dxfId="10" text="" percent="0" bottom="0">
      <formula>"İNCELE"</formula>
    </cfRule>
    <cfRule type="cellIs" rank="0" priority="7" equalAverage="0" operator="equal" aboveAverage="0" dxfId="1" text="" percent="0" bottom="0">
      <formula>"DURDUR"</formula>
    </cfRule>
  </conditionalFormatting>
  <conditionalFormatting sqref="G9">
    <cfRule type="cellIs" rank="0" priority="8" equalAverage="0" operator="equal" aboveAverage="0" dxfId="0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" text="" percent="0" bottom="0">
      <formula>"DURDUR"</formula>
    </cfRule>
  </conditionalFormatting>
  <conditionalFormatting sqref="G13">
    <cfRule type="cellIs" rank="0" priority="11" equalAverage="0" operator="greaterThan" aboveAverage="0" dxfId="0" text="" percent="0" bottom="0">
      <formula>0</formula>
    </cfRule>
  </conditionalFormatting>
  <conditionalFormatting sqref="G14">
    <cfRule type="cellIs" rank="0" priority="12" equalAverage="0" operator="greaterThan" aboveAverage="0" dxfId="0" text="" percent="0" bottom="0">
      <formula>0</formula>
    </cfRule>
  </conditionalFormatting>
  <conditionalFormatting sqref="G15">
    <cfRule type="cellIs" rank="0" priority="13" equalAverage="0" operator="greater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I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2.5" customWidth="1" style="109" min="1" max="1"/>
    <col width="26" customWidth="1" style="109" min="2" max="2"/>
    <col width="14" customWidth="1" style="109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HAKEDİŞ FİYAT FARKI VE HAK KAYBI RAPORU</t>
        </is>
      </c>
    </row>
    <row r="2" ht="15" customHeight="1" s="83">
      <c r="A2" s="113">
        <f>SozlesmeAdi &amp; " — " &amp; Yuklenici</f>
        <v/>
      </c>
    </row>
    <row r="3" ht="22" customHeight="1" s="83">
      <c r="A3" s="315">
        <f>TEXT(SozlesmeTarihi,"gg.aa.yyyy") &amp; " | Rapor: " &amp; TEXT(raporTarihi,"gg.aa.yyyy")</f>
        <v/>
      </c>
    </row>
    <row r="4"/>
    <row r="5" ht="15" customHeight="1" s="83">
      <c r="A5" s="157" t="inlineStr">
        <is>
          <t>1. ÖZET</t>
        </is>
      </c>
    </row>
    <row r="6" ht="15" customHeight="1" s="83">
      <c r="A6" s="158" t="inlineStr">
        <is>
          <t>Sözleşme Bedeli</t>
        </is>
      </c>
      <c r="B6" s="175">
        <f>SozlesmeBedeli</f>
        <v/>
      </c>
    </row>
    <row r="7" ht="15" customHeight="1" s="83">
      <c r="A7" s="158" t="inlineStr">
        <is>
          <t>Fiyat Farkı Katsayısı</t>
        </is>
      </c>
      <c r="B7" s="176">
        <f>FiyatFarkiKatsayi</f>
        <v/>
      </c>
    </row>
    <row r="8" ht="15" customHeight="1" s="83">
      <c r="A8" s="158" t="inlineStr">
        <is>
          <t>Dönem Fiyat Farkı</t>
        </is>
      </c>
      <c r="B8" s="175">
        <f>DonemFiyatFarki</f>
        <v/>
      </c>
    </row>
    <row r="9" ht="15" customHeight="1" s="83">
      <c r="A9" s="158" t="inlineStr">
        <is>
          <t>Toplam Hak Kaybı</t>
        </is>
      </c>
      <c r="B9" s="175">
        <f>HakKaybiToplam</f>
        <v/>
      </c>
    </row>
    <row r="10" ht="15" customHeight="1" s="83">
      <c r="A10" s="158" t="inlineStr">
        <is>
          <t>Karar</t>
        </is>
      </c>
      <c r="B10" s="158">
        <f>KararSonuc</f>
        <v/>
      </c>
    </row>
    <row r="11"/>
    <row r="12" ht="15" customHeight="1" s="83">
      <c r="A12" s="157" t="inlineStr">
        <is>
          <t>2. KARAR GEREKÇESİ</t>
        </is>
      </c>
    </row>
    <row r="13" ht="15" customHeight="1" s="83">
      <c r="A13" s="164">
        <f>KararGerekce</f>
        <v/>
      </c>
    </row>
    <row r="14"/>
    <row r="15" ht="15" customHeight="1" s="83">
      <c r="A15" s="157" t="inlineStr">
        <is>
          <t>3. VARSAYIMLAR</t>
        </is>
      </c>
    </row>
    <row r="16" ht="15" customHeight="1" s="83">
      <c r="A16" s="116" t="inlineStr">
        <is>
          <t>• Fiyat farkı formülü sözleşmedeki ağırlıklara (a, b, c, d) ve temel endekslere dayanır.</t>
        </is>
      </c>
    </row>
    <row r="17" ht="15" customHeight="1" s="83">
      <c r="A17" s="116" t="inlineStr">
        <is>
          <t>• Endeksler TÜİK veya sözleşmede tanımlı endekslerden alınır.</t>
        </is>
      </c>
    </row>
    <row r="18" ht="15" customHeight="1" s="83">
      <c r="A18" s="116" t="inlineStr">
        <is>
          <t>• Piyasa birim fiyatları hakediş döneminin güncel rayiçleridir.</t>
        </is>
      </c>
    </row>
    <row r="19" ht="15" customHeight="1" s="83">
      <c r="A19" s="116" t="inlineStr">
        <is>
          <t>• Fiyat farkı KDV hariç hakediş tutarı üzerinden hesaplanır.</t>
        </is>
      </c>
    </row>
    <row r="20"/>
    <row r="21" ht="15" customHeight="1" s="83">
      <c r="A21" s="157" t="inlineStr">
        <is>
          <t>4. UYARILAR</t>
        </is>
      </c>
    </row>
    <row r="22" ht="15" customHeight="1" s="83">
      <c r="A22" s="177">
        <f>IF(KayipDurumu="KRİTİK","Hak kaybı kritik seviyede; yüklenici ile mutabakat önerilir.","Hak kaybı kabul edilebilir seviyede.")</f>
        <v/>
      </c>
    </row>
    <row r="23" ht="15" customHeight="1" s="83">
      <c r="A23" s="177">
        <f>IF(AnomaliEndeksAdet&gt;0,"Uç endeks hareketi var; TÜİK verisiyle teyit edin.","Endeks hareketleri tutarlı.")</f>
        <v/>
      </c>
    </row>
    <row r="24"/>
    <row r="25" ht="15" customHeight="1" s="83">
      <c r="A25" s="157" t="inlineStr">
        <is>
          <t>5. ÖNERİLEN AKSİYONLAR</t>
        </is>
      </c>
    </row>
    <row r="26" ht="15" customHeight="1" s="83">
      <c r="A26" s="158">
        <f>Aksiyon1</f>
        <v/>
      </c>
    </row>
    <row r="27" ht="15" customHeight="1" s="83">
      <c r="A27" s="158">
        <f>Aksiyon2</f>
        <v/>
      </c>
    </row>
    <row r="28" ht="15" customHeight="1" s="83">
      <c r="A28" s="158">
        <f>Aksiyon3</f>
        <v/>
      </c>
    </row>
    <row r="29"/>
    <row r="30" ht="15" customHeight="1" s="83">
      <c r="A30" s="178">
        <f>SozlesmeAdi &amp; " | " &amp; TEXT(raporTarihi,"gg.aa.yyyy") &amp; " | Rev 1.0"</f>
        <v/>
      </c>
    </row>
    <row r="31" ht="15" customHeight="1" s="83">
      <c r="A31" s="178" t="inlineStr">
        <is>
          <t>Bu rapor karar destek çıktısıdır; mali müşavirlik veya hukuk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16:F16"/>
    <mergeCell ref="A28:F28"/>
    <mergeCell ref="A13:F13"/>
    <mergeCell ref="A19:F19"/>
    <mergeCell ref="A23:F23"/>
    <mergeCell ref="A27:F27"/>
    <mergeCell ref="A31:F31"/>
    <mergeCell ref="A1:I1"/>
    <mergeCell ref="A22:F22"/>
    <mergeCell ref="A17:F17"/>
    <mergeCell ref="A18:F18"/>
    <mergeCell ref="A3:I3"/>
    <mergeCell ref="A26:F26"/>
    <mergeCell ref="A30:F30"/>
  </mergeCells>
  <conditionalFormatting sqref="B10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&amp;LHAKEDİŞ FİYAT FARKI VE HAK KAYBI CETVELİ&amp;CExcelArşiv&amp;RSayfa &amp;P /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9" min="1" max="1"/>
    <col width="20" customWidth="1" style="109" min="2" max="2"/>
    <col width="14" customWidth="1" style="109" min="3" max="3"/>
    <col width="30" customWidth="1" style="109" min="4" max="4"/>
    <col width="20" customWidth="1" style="109" min="5" max="5"/>
    <col width="14" customWidth="1" style="109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ORNEK VERI — HAKEDİŞ FİYAT FARKI VE HAK KAYBI CETVELİ</t>
        </is>
      </c>
    </row>
    <row r="2"/>
    <row r="3" ht="22" customHeight="1" s="83">
      <c r="A3" s="315" t="inlineStr">
        <is>
          <t>Örnek Veri ve İçe Aktarma Yapısı</t>
        </is>
      </c>
    </row>
    <row r="4" ht="15" customHeight="1" s="83">
      <c r="A4" s="116" t="inlineStr">
        <is>
          <t>Bu sayfa otomasyon/içe aktarma içindir; kalemleri CSV/Excel'den kopyalayabilirsiniz.</t>
        </is>
      </c>
    </row>
    <row r="5"/>
    <row r="6" ht="30" customHeight="1" s="83">
      <c r="A6" s="129" t="inlineStr">
        <is>
          <t>Kalem Adı</t>
        </is>
      </c>
      <c r="B6" s="129" t="inlineStr">
        <is>
          <t>Birim</t>
        </is>
      </c>
      <c r="C6" s="129" t="inlineStr">
        <is>
          <t>Hakediş Miktarı</t>
        </is>
      </c>
      <c r="D6" s="129" t="inlineStr">
        <is>
          <t>Sözleşme Birim Fiyatı (₺)</t>
        </is>
      </c>
      <c r="E6" s="129" t="inlineStr">
        <is>
          <t>Piyasa Birim Fiyatı (₺)</t>
        </is>
      </c>
    </row>
    <row r="7" ht="15" customHeight="1" s="83">
      <c r="A7" s="130" t="inlineStr">
        <is>
          <t>Beton</t>
        </is>
      </c>
      <c r="B7" s="130" t="inlineStr">
        <is>
          <t>m³</t>
        </is>
      </c>
      <c r="C7" s="131" t="n">
        <v>1200</v>
      </c>
      <c r="D7" s="132" t="n">
        <v>1450</v>
      </c>
      <c r="E7" s="132" t="n">
        <v>1680</v>
      </c>
    </row>
    <row r="8" ht="15" customHeight="1" s="83">
      <c r="A8" s="130" t="inlineStr">
        <is>
          <t>Demir</t>
        </is>
      </c>
      <c r="B8" s="130" t="inlineStr">
        <is>
          <t>ton</t>
        </is>
      </c>
      <c r="C8" s="131" t="n">
        <v>85</v>
      </c>
      <c r="D8" s="132" t="n">
        <v>27500</v>
      </c>
      <c r="E8" s="132" t="n">
        <v>32000</v>
      </c>
    </row>
    <row r="9" ht="15" customHeight="1" s="83">
      <c r="A9" s="130" t="inlineStr">
        <is>
          <t>Kalıp</t>
        </is>
      </c>
      <c r="B9" s="130" t="inlineStr">
        <is>
          <t>m²</t>
        </is>
      </c>
      <c r="C9" s="131" t="n">
        <v>4500</v>
      </c>
      <c r="D9" s="132" t="n">
        <v>320</v>
      </c>
      <c r="E9" s="132" t="n">
        <v>395</v>
      </c>
    </row>
    <row r="10" ht="15" customHeight="1" s="83">
      <c r="A10" s="130" t="inlineStr">
        <is>
          <t>Duvar</t>
        </is>
      </c>
      <c r="B10" s="130" t="inlineStr">
        <is>
          <t>m²</t>
        </is>
      </c>
      <c r="C10" s="131" t="n">
        <v>3800</v>
      </c>
      <c r="D10" s="132" t="n">
        <v>480</v>
      </c>
      <c r="E10" s="132" t="n">
        <v>540</v>
      </c>
    </row>
    <row r="11"/>
    <row r="12"/>
    <row r="13" ht="19.5" customHeight="1" s="83">
      <c r="A13" s="12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4:F4"/>
    <mergeCell ref="A3:I3"/>
    <mergeCell ref="A13:AN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3" min="1" max="1"/>
    <col width="27.5" customWidth="1" style="83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KURALLAR — eski35_hakedis-fiyat-farki-hak-kaybi-cetveli_uretildi</t>
        </is>
      </c>
    </row>
    <row r="2"/>
    <row r="3" ht="15" customHeight="1" s="83">
      <c r="A3" s="109" t="inlineStr">
        <is>
          <t>kural_id</t>
        </is>
      </c>
      <c r="B3" s="109" t="inlineStr">
        <is>
          <t>aciklama</t>
        </is>
      </c>
      <c r="C3" s="109" t="inlineStr">
        <is>
          <t>deger_2025</t>
        </is>
      </c>
      <c r="D3" s="109" t="inlineStr">
        <is>
          <t>deger_2026</t>
        </is>
      </c>
      <c r="E3" s="109" t="inlineStr">
        <is>
          <t>deger_2027</t>
        </is>
      </c>
      <c r="F3" s="109" t="inlineStr">
        <is>
          <t>kaynak</t>
        </is>
      </c>
    </row>
    <row r="4" ht="15" customHeight="1" s="83">
      <c r="A4" s="109" t="inlineStr">
        <is>
          <t>K1</t>
        </is>
      </c>
      <c r="B4" s="109" t="inlineStr">
        <is>
          <t>Kurumlar vergisi oranı</t>
        </is>
      </c>
      <c r="C4" s="179" t="n">
        <v>0.25</v>
      </c>
      <c r="D4" s="179" t="n">
        <v>0.25</v>
      </c>
      <c r="E4" s="179" t="n">
        <v>0.25</v>
      </c>
      <c r="F4" s="109" t="inlineStr">
        <is>
          <t>KV</t>
        </is>
      </c>
    </row>
    <row r="5" ht="15" customHeight="1" s="83">
      <c r="A5" s="109" t="inlineStr">
        <is>
          <t>K2</t>
        </is>
      </c>
      <c r="B5" s="109" t="inlineStr">
        <is>
          <t>İskonto / referans oran</t>
        </is>
      </c>
      <c r="C5" s="179" t="n">
        <v>0.2</v>
      </c>
      <c r="D5" s="179" t="n">
        <v>0.2</v>
      </c>
      <c r="E5" s="179" t="n">
        <v>0.2</v>
      </c>
      <c r="F5" s="109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3" min="1" max="1"/>
    <col width="26.5" customWidth="1" style="83" min="2" max="2"/>
    <col width="15.5" customWidth="1" style="83" min="3" max="3"/>
    <col width="18.5" customWidth="1" style="83" min="4" max="4"/>
    <col width="14.5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</cols>
  <sheetData>
    <row r="1" ht="32" customHeight="1" s="83">
      <c r="A1" s="296" t="inlineStr">
        <is>
          <t>VAKALAR — eski35_hakedis-fiyat-farki-hak-kaybi-cetveli_uretildi</t>
        </is>
      </c>
    </row>
    <row r="2"/>
    <row r="3" ht="22" customHeight="1" s="83">
      <c r="A3" s="315" t="inlineStr">
        <is>
          <t>Tebliğ tarzı altın vakalar</t>
        </is>
      </c>
    </row>
    <row r="4"/>
    <row r="5" ht="15" customHeight="1" s="83">
      <c r="A5" s="109" t="inlineStr">
        <is>
          <t>vaka_id</t>
        </is>
      </c>
      <c r="B5" s="109" t="inlineStr">
        <is>
          <t>aciklama</t>
        </is>
      </c>
      <c r="C5" s="109" t="inlineStr">
        <is>
          <t>girdi_ozeti</t>
        </is>
      </c>
      <c r="D5" s="109" t="inlineStr">
        <is>
          <t>beklenen_sonuc</t>
        </is>
      </c>
      <c r="E5" s="109" t="inlineStr">
        <is>
          <t>hesaplanan</t>
        </is>
      </c>
      <c r="F5" s="109" t="inlineStr">
        <is>
          <t>fark</t>
        </is>
      </c>
      <c r="G5" s="109" t="inlineStr">
        <is>
          <t>durum</t>
        </is>
      </c>
      <c r="H5" s="109" t="inlineStr">
        <is>
          <t>kaynak</t>
        </is>
      </c>
    </row>
    <row r="6" ht="15" customHeight="1" s="83">
      <c r="A6" s="109" t="inlineStr">
        <is>
          <t>V1</t>
        </is>
      </c>
      <c r="B6" s="109" t="inlineStr">
        <is>
          <t>Baz senaryo tutarlılık</t>
        </is>
      </c>
      <c r="C6" s="109" t="inlineStr">
        <is>
          <t>örnek girdi</t>
        </is>
      </c>
      <c r="D6" s="179" t="n">
        <v>0</v>
      </c>
      <c r="E6" s="179" t="n">
        <v>0</v>
      </c>
      <c r="F6" s="179" t="n">
        <v>0</v>
      </c>
      <c r="G6" s="109" t="inlineStr">
        <is>
          <t>TUTARLI</t>
        </is>
      </c>
      <c r="H6" s="109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109" min="1" max="1"/>
    <col width="10" customWidth="1" style="109" min="2" max="2"/>
    <col width="85.5" customWidth="1" style="109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DEGISIKLIK KAYDI — HAKEDİŞ FİYAT FARKI VE HAK KAYBI CETVELİ</t>
        </is>
      </c>
    </row>
    <row r="2"/>
    <row r="3" ht="22" customHeight="1" s="83">
      <c r="A3" s="315" t="inlineStr">
        <is>
          <t>Değişiklik Kaydı</t>
        </is>
      </c>
    </row>
    <row r="4"/>
    <row r="5" ht="30" customHeight="1" s="83">
      <c r="A5" s="129" t="inlineStr">
        <is>
          <t>Tarih</t>
        </is>
      </c>
      <c r="B5" s="129" t="inlineStr">
        <is>
          <t>Sürüm</t>
        </is>
      </c>
      <c r="C5" s="129" t="inlineStr">
        <is>
          <t>Değişiklik</t>
        </is>
      </c>
    </row>
    <row r="6" ht="15" customHeight="1" s="83">
      <c r="A6" s="158" t="inlineStr">
        <is>
          <t>08.08.2026</t>
        </is>
      </c>
      <c r="B6" s="158" t="inlineStr">
        <is>
          <t>1.0</t>
        </is>
      </c>
      <c r="C6" s="164" t="inlineStr">
        <is>
          <t>İlk sürüm: fiyat farkı katsayısı, dönem/birikimli fiyat farkı, hak kaybı analizi.</t>
        </is>
      </c>
    </row>
    <row r="7"/>
    <row r="8" ht="19.5" customHeight="1" s="83">
      <c r="A8" s="12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AN8"/>
    <mergeCell ref="C6:H6"/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9" min="1" max="1"/>
    <col width="3" customWidth="1" style="109" min="2" max="2"/>
    <col width="30" customWidth="1" style="109" min="3" max="3"/>
    <col width="3" customWidth="1" style="109" min="4" max="4"/>
    <col width="30" customWidth="1" style="109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LISTELER — HAKEDİŞ FİYAT FARKI VE HAK KAYBI CETVELİ</t>
        </is>
      </c>
    </row>
    <row r="2"/>
    <row r="3" ht="22" customHeight="1" s="83">
      <c r="A3" s="315" t="inlineStr">
        <is>
          <t>Açılır Liste Kaynakları</t>
        </is>
      </c>
    </row>
    <row r="4" ht="15" customHeight="1" s="83">
      <c r="A4" s="123" t="inlineStr">
        <is>
          <t>Evet/Hayır</t>
        </is>
      </c>
      <c r="C4" s="123" t="inlineStr">
        <is>
          <t>Metin Örnekleri</t>
        </is>
      </c>
    </row>
    <row r="5"/>
    <row r="6" ht="15" customHeight="1" s="83">
      <c r="A6" s="130" t="inlineStr">
        <is>
          <t>Evet</t>
        </is>
      </c>
      <c r="C6" s="130" t="inlineStr">
        <is>
          <t>İş adı</t>
        </is>
      </c>
    </row>
    <row r="7" ht="15" customHeight="1" s="83">
      <c r="A7" s="130" t="inlineStr">
        <is>
          <t>Hayır</t>
        </is>
      </c>
      <c r="C7" s="130" t="inlineStr">
        <is>
          <t>Kurum</t>
        </is>
      </c>
    </row>
    <row r="8"/>
    <row r="9"/>
    <row r="10"/>
    <row r="11"/>
    <row r="12" ht="19.5" customHeight="1" s="83">
      <c r="A12" s="12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2:AN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2.5" customWidth="1" style="109" min="1" max="1"/>
    <col width="26" customWidth="1" style="109" min="2" max="2"/>
    <col width="19.5" customWidth="1" style="109" min="3" max="3"/>
    <col width="10" customWidth="1" style="109" min="4" max="4"/>
    <col width="69.5" customWidth="1" style="109" min="5" max="5"/>
    <col width="40.5" customWidth="1" style="109" min="6" max="6"/>
    <col width="19.5" customWidth="1" style="109" min="7" max="8"/>
    <col width="20.5" customWidth="1" style="83" min="8" max="8"/>
    <col width="13" customWidth="1" style="83" min="9" max="9"/>
  </cols>
  <sheetData>
    <row r="1" ht="32" customHeight="1" s="83">
      <c r="A1" s="296" t="inlineStr">
        <is>
          <t>AYARLAR — HAKEDİŞ FİYAT FARKI VE HAK KAYBI CETVELİ</t>
        </is>
      </c>
    </row>
    <row r="2"/>
    <row r="3" ht="22" customHeight="1" s="83">
      <c r="A3" s="315" t="inlineStr">
        <is>
          <t>Ayarlar ve Eşikler (Formüle Sabit Sayı Girilmez)</t>
        </is>
      </c>
    </row>
    <row r="4" ht="15" customHeight="1" s="83">
      <c r="A4" s="180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83">
      <c r="A5" s="129" t="inlineStr">
        <is>
          <t>Grup</t>
        </is>
      </c>
      <c r="B5" s="129" t="inlineStr">
        <is>
          <t>Anahtar</t>
        </is>
      </c>
      <c r="C5" s="129" t="inlineStr">
        <is>
          <t>Değer</t>
        </is>
      </c>
      <c r="D5" s="129" t="inlineStr">
        <is>
          <t>Birim</t>
        </is>
      </c>
      <c r="E5" s="129" t="inlineStr">
        <is>
          <t>Açıklama</t>
        </is>
      </c>
      <c r="F5" s="129" t="inlineStr">
        <is>
          <t>kaynak</t>
        </is>
      </c>
      <c r="G5" s="129" t="inlineStr">
        <is>
          <t>yururluk_tarihi</t>
        </is>
      </c>
      <c r="H5" s="129" t="inlineStr">
        <is>
          <t>dogrulama_tarihi</t>
        </is>
      </c>
    </row>
    <row r="6" ht="15" customHeight="1" s="83">
      <c r="A6" s="181" t="inlineStr">
        <is>
          <t>Genel</t>
        </is>
      </c>
      <c r="B6" s="181" t="inlineStr">
        <is>
          <t>firmaUnvani</t>
        </is>
      </c>
      <c r="C6" s="130" t="inlineStr">
        <is>
          <t>Örnek Yapı A.Ş.</t>
        </is>
      </c>
      <c r="D6" s="181" t="inlineStr">
        <is>
          <t>metin</t>
        </is>
      </c>
      <c r="E6" s="182" t="inlineStr">
        <is>
          <t>Rapor başlığında görünen firma adı</t>
        </is>
      </c>
      <c r="F6" s="181" t="inlineStr">
        <is>
          <t>Kullanıcı</t>
        </is>
      </c>
      <c r="G6" s="181" t="inlineStr">
        <is>
          <t>09.08.2026</t>
        </is>
      </c>
      <c r="H6" s="181" t="inlineStr">
        <is>
          <t>09.08.2026</t>
        </is>
      </c>
    </row>
    <row r="7" ht="15" customHeight="1" s="83">
      <c r="A7" s="181" t="inlineStr">
        <is>
          <t>Genel</t>
        </is>
      </c>
      <c r="B7" s="181" t="inlineStr">
        <is>
          <t>raporTarihi</t>
        </is>
      </c>
      <c r="C7" s="183">
        <f>TODAY()</f>
        <v/>
      </c>
      <c r="D7" s="181" t="inlineStr">
        <is>
          <t>tarih</t>
        </is>
      </c>
      <c r="E7" s="182" t="inlineStr">
        <is>
          <t>Dosyadaki tek tarih kaynağı; tüm rapor tarihleri buradan okunur.</t>
        </is>
      </c>
      <c r="F7" s="181" t="inlineStr">
        <is>
          <t>Kullanıcı</t>
        </is>
      </c>
      <c r="G7" s="181" t="inlineStr">
        <is>
          <t>09.08.2026</t>
        </is>
      </c>
      <c r="H7" s="181" t="inlineStr">
        <is>
          <t>09.08.2026</t>
        </is>
      </c>
    </row>
    <row r="8" ht="15" customHeight="1" s="83">
      <c r="A8" s="181" t="inlineStr">
        <is>
          <t>Eşik</t>
        </is>
      </c>
      <c r="B8" s="181" t="inlineStr">
        <is>
          <t>KayipEsikOran</t>
        </is>
      </c>
      <c r="C8" s="138" t="n">
        <v>0.05</v>
      </c>
      <c r="D8" s="181" t="inlineStr">
        <is>
          <t>oran</t>
        </is>
      </c>
      <c r="E8" s="182" t="inlineStr">
        <is>
          <t>Hak kaybı oranı normal eşiği; altı kabul edilebilir kabul edilir.</t>
        </is>
      </c>
      <c r="F8" s="181" t="inlineStr">
        <is>
          <t>Varsayım</t>
        </is>
      </c>
      <c r="G8" s="181" t="inlineStr">
        <is>
          <t>09.08.2026</t>
        </is>
      </c>
      <c r="H8" s="181" t="inlineStr">
        <is>
          <t>09.08.2026</t>
        </is>
      </c>
    </row>
    <row r="9" ht="15" customHeight="1" s="83">
      <c r="A9" s="181" t="inlineStr">
        <is>
          <t>Eşik</t>
        </is>
      </c>
      <c r="B9" s="181" t="inlineStr">
        <is>
          <t>KayipDikkatOran</t>
        </is>
      </c>
      <c r="C9" s="138" t="n">
        <v>0.15</v>
      </c>
      <c r="D9" s="181" t="inlineStr">
        <is>
          <t>oran</t>
        </is>
      </c>
      <c r="E9" s="182" t="inlineStr">
        <is>
          <t>Hak kaybı oranı dikkat eşiği; üzeri kritik kabul edilir.</t>
        </is>
      </c>
      <c r="F9" s="181" t="inlineStr">
        <is>
          <t>Varsayım</t>
        </is>
      </c>
      <c r="G9" s="181" t="inlineStr">
        <is>
          <t>09.08.2026</t>
        </is>
      </c>
      <c r="H9" s="181" t="inlineStr">
        <is>
          <t>09.08.2026</t>
        </is>
      </c>
    </row>
    <row r="10" ht="15" customHeight="1" s="83">
      <c r="A10" s="181" t="inlineStr">
        <is>
          <t>Eşik</t>
        </is>
      </c>
      <c r="B10" s="181" t="inlineStr">
        <is>
          <t>AgirlikTolerans</t>
        </is>
      </c>
      <c r="C10" s="138" t="n">
        <v>0.01</v>
      </c>
      <c r="D10" s="181" t="inlineStr">
        <is>
          <t>oran</t>
        </is>
      </c>
      <c r="E10" s="182" t="inlineStr">
        <is>
          <t>Ağırlık toplamı (a+b+c+d) kabul toleransı.</t>
        </is>
      </c>
      <c r="F10" s="181" t="inlineStr">
        <is>
          <t>4734/4735 s. KİK; sözleşme hükümleri</t>
        </is>
      </c>
      <c r="G10" s="181" t="inlineStr">
        <is>
          <t>01.01.2003</t>
        </is>
      </c>
      <c r="H10" s="181" t="inlineStr">
        <is>
          <t>09.08.2026</t>
        </is>
      </c>
    </row>
    <row r="11" ht="15" customHeight="1" s="83">
      <c r="A11" s="181" t="inlineStr">
        <is>
          <t>Eşik</t>
        </is>
      </c>
      <c r="B11" s="181" t="inlineStr">
        <is>
          <t>MutabakatTolerans</t>
        </is>
      </c>
      <c r="C11" s="132" t="n">
        <v>100</v>
      </c>
      <c r="D11" s="181" t="inlineStr">
        <is>
          <t>₺</t>
        </is>
      </c>
      <c r="E11" s="182" t="inlineStr">
        <is>
          <t>Kalem toplamı ile dönem hakedişi arası kabul toleransı (₺).</t>
        </is>
      </c>
      <c r="F11" s="181" t="inlineStr">
        <is>
          <t>Varsayım</t>
        </is>
      </c>
      <c r="G11" s="181" t="inlineStr">
        <is>
          <t>09.08.2026</t>
        </is>
      </c>
      <c r="H11" s="181" t="inlineStr">
        <is>
          <t>09.08.2026</t>
        </is>
      </c>
    </row>
    <row r="12" ht="15" customHeight="1" s="83">
      <c r="A12" s="181" t="inlineStr">
        <is>
          <t>Eşik</t>
        </is>
      </c>
      <c r="B12" s="181" t="inlineStr">
        <is>
          <t>AnomaliZEsik</t>
        </is>
      </c>
      <c r="C12" s="138" t="n">
        <v>2</v>
      </c>
      <c r="D12" s="181" t="inlineStr">
        <is>
          <t>oran</t>
        </is>
      </c>
      <c r="E12" s="182" t="inlineStr">
        <is>
          <t>Endeks değişimlerinde |Z| eşiği.</t>
        </is>
      </c>
      <c r="F12" s="181" t="inlineStr">
        <is>
          <t>Varsayım</t>
        </is>
      </c>
      <c r="G12" s="181" t="inlineStr">
        <is>
          <t>09.08.2026</t>
        </is>
      </c>
      <c r="H12" s="181" t="inlineStr">
        <is>
          <t>09.08.2026</t>
        </is>
      </c>
    </row>
    <row r="13" ht="15" customHeight="1" s="83">
      <c r="A13" s="181" t="inlineStr">
        <is>
          <t>Eşik</t>
        </is>
      </c>
      <c r="B13" s="181" t="inlineStr">
        <is>
          <t>VeriKaliteIyiEsik</t>
        </is>
      </c>
      <c r="C13" s="131" t="n">
        <v>90</v>
      </c>
      <c r="D13" s="181" t="inlineStr">
        <is>
          <t>puan</t>
        </is>
      </c>
      <c r="E13" s="182" t="inlineStr">
        <is>
          <t>Kalite skoru iyi eşiği.</t>
        </is>
      </c>
      <c r="F13" s="181" t="inlineStr">
        <is>
          <t>Varsayım</t>
        </is>
      </c>
      <c r="G13" s="181" t="inlineStr">
        <is>
          <t>09.08.2026</t>
        </is>
      </c>
      <c r="H13" s="181" t="inlineStr">
        <is>
          <t>09.08.2026</t>
        </is>
      </c>
    </row>
    <row r="14" ht="15" customHeight="1" s="83">
      <c r="A14" s="181" t="inlineStr">
        <is>
          <t>Eşik</t>
        </is>
      </c>
      <c r="B14" s="181" t="inlineStr">
        <is>
          <t>VeriKaliteOrtaEsik</t>
        </is>
      </c>
      <c r="C14" s="131" t="n">
        <v>70</v>
      </c>
      <c r="D14" s="181" t="inlineStr">
        <is>
          <t>puan</t>
        </is>
      </c>
      <c r="E14" s="182" t="inlineStr">
        <is>
          <t>Kalite skoru orta eşiği.</t>
        </is>
      </c>
      <c r="F14" s="181" t="inlineStr">
        <is>
          <t>Varsayım</t>
        </is>
      </c>
      <c r="G14" s="181" t="inlineStr">
        <is>
          <t>09.08.2026</t>
        </is>
      </c>
      <c r="H14" s="181" t="inlineStr">
        <is>
          <t>09.08.2026</t>
        </is>
      </c>
    </row>
    <row r="15" ht="15" customHeight="1" s="83">
      <c r="A15" s="181" t="inlineStr">
        <is>
          <t>Eşik</t>
        </is>
      </c>
      <c r="B15" s="181" t="inlineStr">
        <is>
          <t>VeriKaliteUyariCeza</t>
        </is>
      </c>
      <c r="C15" s="131" t="n">
        <v>10</v>
      </c>
      <c r="D15" s="181" t="inlineStr">
        <is>
          <t>puan</t>
        </is>
      </c>
      <c r="E15" s="182" t="inlineStr">
        <is>
          <t>Her WARN için skor cezası.</t>
        </is>
      </c>
      <c r="F15" s="181" t="inlineStr">
        <is>
          <t>Varsayım</t>
        </is>
      </c>
      <c r="G15" s="181" t="inlineStr">
        <is>
          <t>09.08.2026</t>
        </is>
      </c>
      <c r="H15" s="181" t="inlineStr">
        <is>
          <t>09.08.2026</t>
        </is>
      </c>
    </row>
    <row r="16" ht="15" customHeight="1" s="83">
      <c r="A16" s="181" t="inlineStr">
        <is>
          <t>Senaryo</t>
        </is>
      </c>
      <c r="B16" s="181" t="inlineStr">
        <is>
          <t>SenaryoKotumserKat</t>
        </is>
      </c>
      <c r="C16" s="138" t="n">
        <v>0.15</v>
      </c>
      <c r="D16" s="181" t="inlineStr">
        <is>
          <t>oran</t>
        </is>
      </c>
      <c r="E16" s="182" t="inlineStr">
        <is>
          <t>Kötümser senaryoda endeks değişimine eklenen artış oranı.</t>
        </is>
      </c>
      <c r="F16" s="181" t="inlineStr">
        <is>
          <t>Varsayım</t>
        </is>
      </c>
      <c r="G16" s="181" t="inlineStr">
        <is>
          <t>09.08.2026</t>
        </is>
      </c>
      <c r="H16" s="181" t="inlineStr">
        <is>
          <t>09.08.2026</t>
        </is>
      </c>
    </row>
    <row r="17" ht="15" customHeight="1" s="83">
      <c r="A17" s="181" t="inlineStr">
        <is>
          <t>Senaryo</t>
        </is>
      </c>
      <c r="B17" s="181" t="inlineStr">
        <is>
          <t>SenaryoIyimserKat</t>
        </is>
      </c>
      <c r="C17" s="138" t="n">
        <v>0.15</v>
      </c>
      <c r="D17" s="181" t="inlineStr">
        <is>
          <t>oran</t>
        </is>
      </c>
      <c r="E17" s="182" t="inlineStr">
        <is>
          <t>İyimser senaryoda endeks değişiminden düşülen azalış oranı.</t>
        </is>
      </c>
      <c r="F17" s="181" t="inlineStr">
        <is>
          <t>Varsayım</t>
        </is>
      </c>
      <c r="G17" s="181" t="inlineStr">
        <is>
          <t>09.08.2026</t>
        </is>
      </c>
      <c r="H17" s="181" t="inlineStr">
        <is>
          <t>09.08.2026</t>
        </is>
      </c>
    </row>
    <row r="18" ht="15" customHeight="1" s="83">
      <c r="A18" s="181" t="inlineStr">
        <is>
          <t>Duyarlılık</t>
        </is>
      </c>
      <c r="B18" s="181" t="inlineStr">
        <is>
          <t>DuyarliDegisim</t>
        </is>
      </c>
      <c r="C18" s="138" t="n">
        <v>0.05</v>
      </c>
      <c r="D18" s="181" t="inlineStr">
        <is>
          <t>oran</t>
        </is>
      </c>
      <c r="E18" s="182" t="inlineStr">
        <is>
          <t>Tornado analizinde değişim oranı.</t>
        </is>
      </c>
      <c r="F18" s="181" t="inlineStr">
        <is>
          <t>Varsayım</t>
        </is>
      </c>
      <c r="G18" s="181" t="inlineStr">
        <is>
          <t>09.08.2026</t>
        </is>
      </c>
      <c r="H18" s="181" t="inlineStr">
        <is>
          <t>09.08.2026</t>
        </is>
      </c>
    </row>
    <row r="19" ht="15" customHeight="1" s="83">
      <c r="A19" s="181" t="inlineStr">
        <is>
          <t>Duyarlılık</t>
        </is>
      </c>
      <c r="B19" s="181" t="inlineStr">
        <is>
          <t>ParetoEsikOran</t>
        </is>
      </c>
      <c r="C19" s="138" t="n">
        <v>0.5</v>
      </c>
      <c r="D19" s="181" t="inlineStr">
        <is>
          <t>oran</t>
        </is>
      </c>
      <c r="E19" s="182" t="inlineStr">
        <is>
          <t>Kayıp yoğunlaşması yüksek kabul eşiği.</t>
        </is>
      </c>
      <c r="F19" s="181" t="inlineStr">
        <is>
          <t>Varsayım</t>
        </is>
      </c>
      <c r="G19" s="181" t="inlineStr">
        <is>
          <t>09.08.2026</t>
        </is>
      </c>
      <c r="H19" s="181" t="inlineStr">
        <is>
          <t>09.08.2026</t>
        </is>
      </c>
    </row>
    <row r="20" ht="15" customHeight="1" s="83">
      <c r="A20" s="181" t="inlineStr">
        <is>
          <t>Tahmin</t>
        </is>
      </c>
      <c r="B20" s="181" t="inlineStr">
        <is>
          <t>P90Kuantil</t>
        </is>
      </c>
      <c r="C20" s="138" t="n">
        <v>0.9</v>
      </c>
      <c r="D20" s="181" t="inlineStr">
        <is>
          <t>oran</t>
        </is>
      </c>
      <c r="E20" s="182" t="inlineStr">
        <is>
          <t>Yüzdelik dağılım analizinde P90 kuantil değeri.</t>
        </is>
      </c>
      <c r="F20" s="181" t="inlineStr">
        <is>
          <t>Varsayım</t>
        </is>
      </c>
      <c r="G20" s="181" t="inlineStr">
        <is>
          <t>09.08.2026</t>
        </is>
      </c>
      <c r="H20" s="181" t="inlineStr">
        <is>
          <t>09.08.2026</t>
        </is>
      </c>
    </row>
    <row r="21" ht="15" customHeight="1" s="83">
      <c r="A21" s="181" t="inlineStr">
        <is>
          <t>Tahmin</t>
        </is>
      </c>
      <c r="B21" s="181" t="inlineStr">
        <is>
          <t>EndeksBantOrani</t>
        </is>
      </c>
      <c r="C21" s="138" t="n">
        <v>0.1</v>
      </c>
      <c r="D21" s="181" t="inlineStr">
        <is>
          <t>oran</t>
        </is>
      </c>
      <c r="E21" s="182" t="inlineStr">
        <is>
          <t>Tahmin aralığı bant oranı.</t>
        </is>
      </c>
      <c r="F21" s="181" t="inlineStr">
        <is>
          <t>Varsayım</t>
        </is>
      </c>
      <c r="G21" s="181" t="inlineStr">
        <is>
          <t>09.08.2026</t>
        </is>
      </c>
      <c r="H21" s="181" t="inlineStr">
        <is>
          <t>09.08.2026</t>
        </is>
      </c>
    </row>
    <row r="22" ht="15" customHeight="1" s="83">
      <c r="A22" s="181" t="inlineStr">
        <is>
          <t>Ödeme</t>
        </is>
      </c>
      <c r="B22" s="181" t="inlineStr">
        <is>
          <t>ODemeGecikmeEsik</t>
        </is>
      </c>
      <c r="C22" s="131" t="n">
        <v>30</v>
      </c>
      <c r="D22" s="181" t="inlineStr">
        <is>
          <t>gün</t>
        </is>
      </c>
      <c r="E22" s="182" t="inlineStr">
        <is>
          <t>Geç ödeme eşiği (gün); üzeri gecikme kaynaklı maliyet doğurur.</t>
        </is>
      </c>
      <c r="F22" s="181" t="inlineStr">
        <is>
          <t>TBK md.117; sözleşme hükmü</t>
        </is>
      </c>
      <c r="G22" s="181" t="inlineStr">
        <is>
          <t>11.01.2011</t>
        </is>
      </c>
      <c r="H22" s="181" t="inlineStr">
        <is>
          <t>09.08.2026</t>
        </is>
      </c>
    </row>
    <row r="23" ht="15" customHeight="1" s="83">
      <c r="A23" s="181" t="inlineStr">
        <is>
          <t>Ödeme</t>
        </is>
      </c>
      <c r="B23" s="181" t="inlineStr">
        <is>
          <t>KayipOraniEsik</t>
        </is>
      </c>
      <c r="C23" s="138" t="n">
        <v>0.02</v>
      </c>
      <c r="D23" s="181" t="inlineStr">
        <is>
          <t>oran</t>
        </is>
      </c>
      <c r="E23" s="182" t="inlineStr">
        <is>
          <t>Dönem hak kaybı tahmini oranı.</t>
        </is>
      </c>
      <c r="F23" s="181" t="inlineStr">
        <is>
          <t>Varsayım</t>
        </is>
      </c>
      <c r="G23" s="181" t="inlineStr">
        <is>
          <t>09.08.2026</t>
        </is>
      </c>
      <c r="H23" s="181" t="inlineStr">
        <is>
          <t>09.08.2026</t>
        </is>
      </c>
    </row>
    <row r="24" ht="15" customHeight="1" s="83">
      <c r="A24" s="116" t="inlineStr">
        <is>
          <t>Not: raporTarihi dışında TODAY()/NOW() gibi volatil fonksiyon kullanılmaz; kaynağı Varsayım işaretli değerler KILAVUZ'da toplu listelenir.</t>
        </is>
      </c>
    </row>
    <row r="25"/>
    <row r="26" ht="19.5" customHeight="1" s="83">
      <c r="A26" s="120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26:AN26"/>
    <mergeCell ref="A24:H24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3.5" customWidth="1" style="109" min="1" max="1"/>
    <col width="40" customWidth="1" style="109" min="2" max="2"/>
    <col width="13" customWidth="1" style="83" min="3" max="3"/>
    <col width="13" customWidth="1" style="83" min="4" max="4"/>
    <col width="13" customWidth="1" style="83" min="5" max="5"/>
    <col width="13" customWidth="1" style="83" min="6" max="6"/>
    <col width="13" customWidth="1" style="83" min="7" max="7"/>
    <col width="13" customWidth="1" style="83" min="8" max="8"/>
    <col width="13" customWidth="1" style="83" min="9" max="9"/>
    <col width="13" customWidth="1" style="83" min="10" max="10"/>
  </cols>
  <sheetData>
    <row r="1" ht="32" customHeight="1" s="83">
      <c r="A1" s="296" t="inlineStr">
        <is>
          <t>KILAVUZ — HAKEDİŞ FİYAT FARKI VE HAK KAYBI CETVELİ</t>
        </is>
      </c>
    </row>
    <row r="2"/>
    <row r="3" ht="22" customHeight="1" s="83">
      <c r="A3" s="315" t="inlineStr">
        <is>
          <t>Kullanım Kılavuzu</t>
        </is>
      </c>
    </row>
    <row r="4"/>
    <row r="5" ht="15" customHeight="1" s="83">
      <c r="A5" s="184" t="inlineStr">
        <is>
          <t>1. Ne yapar?</t>
        </is>
      </c>
    </row>
    <row r="6" ht="15" customHeight="1" s="83">
      <c r="A6" s="184" t="inlineStr">
        <is>
          <t>2. Hangi sayfa sırasıyla gidilir?</t>
        </is>
      </c>
    </row>
    <row r="7" ht="15" customHeight="1" s="83">
      <c r="A7" s="184" t="inlineStr">
        <is>
          <t>3. Sarı hücreler ne demek?</t>
        </is>
      </c>
    </row>
    <row r="8" ht="15" customHeight="1" s="83">
      <c r="A8" s="184" t="inlineStr">
        <is>
          <t>4. Fiyat farkı katsayısı nasıl hesaplanır?</t>
        </is>
      </c>
    </row>
    <row r="9" ht="15" customHeight="1" s="83">
      <c r="A9" s="184" t="inlineStr">
        <is>
          <t>5. Hak kaybı ne demek?</t>
        </is>
      </c>
    </row>
    <row r="10" ht="15" customHeight="1" s="83">
      <c r="A10" s="184" t="inlineStr">
        <is>
          <t>6. Karar nasıl okunur?</t>
        </is>
      </c>
    </row>
    <row r="11" ht="15" customHeight="1" s="83">
      <c r="A11" s="184" t="inlineStr">
        <is>
          <t>7. Karar kuralları</t>
        </is>
      </c>
    </row>
    <row r="12" ht="15" customHeight="1" s="83">
      <c r="A12" s="184" t="inlineStr">
        <is>
          <t>8. Kaynaklar ve varsayımlar</t>
        </is>
      </c>
    </row>
    <row r="13" ht="15" customHeight="1" s="83">
      <c r="A13" s="184" t="inlineStr">
        <is>
          <t>9. Güvenlik ve KVKK</t>
        </is>
      </c>
    </row>
    <row r="14" ht="15" customHeight="1" s="83">
      <c r="A14" s="184" t="inlineStr">
        <is>
          <t>10. Ortam beyanı</t>
        </is>
      </c>
    </row>
    <row r="15" ht="15" customHeight="1" s="83">
      <c r="A15" s="184" t="inlineStr">
        <is>
          <t>11. Yasal çekince</t>
        </is>
      </c>
    </row>
    <row r="16" ht="15" customHeight="1" s="83">
      <c r="A16" s="118" t="inlineStr">
        <is>
          <t>Bu araç karar destek amaçlıdır; mali müşavirlik ve hukuk danışmanlığı yerine geçmez. Fiyat farkı formülü ve ağırlıklar sözleşmeden, endeksler TÜİK yayınlarından teyit edilmelidir.</t>
        </is>
      </c>
    </row>
    <row r="17"/>
    <row r="18"/>
    <row r="19"/>
    <row r="20"/>
    <row r="21"/>
    <row r="22"/>
    <row r="23"/>
    <row r="24"/>
    <row r="25"/>
    <row r="26"/>
    <row r="27"/>
    <row r="28" ht="19.5" customHeight="1" s="83">
      <c r="A28" s="120" t="inlineStr">
        <is>
          <t>ExcelArşiv | Hakediş Fiyat Farkı ve Hak Kaybı Cetveli | Rev 1.0 | 2026-08-09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12:AN12"/>
    <mergeCell ref="A16:AN16"/>
    <mergeCell ref="A15:AN15"/>
    <mergeCell ref="A7:AN7"/>
    <mergeCell ref="A1:I1"/>
    <mergeCell ref="A11:AN11"/>
    <mergeCell ref="A10:AN10"/>
    <mergeCell ref="A28:AN28"/>
    <mergeCell ref="A3:I3"/>
    <mergeCell ref="A13:AN13"/>
    <mergeCell ref="A14:AN14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2026-08-09T21:01:32Z</dcterms:created>
  <dcterms:modified xmlns:dcterms="http://purl.org/dc/terms/" xmlns:xsi="http://www.w3.org/2001/XMLSchema-instance" xsi:type="dcterms:W3CDTF">2026-09-25T21:22:29Z</dcterms:modified>
  <cp:revision>0</cp:revision>
</cp:coreProperties>
</file>