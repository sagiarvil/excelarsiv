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VERI_A" sheetId="7" state="hidden" r:id="rId7"/>
    <sheet xmlns:r="http://schemas.openxmlformats.org/officeDocument/2006/relationships" name="VERI_B" sheetId="8" state="hidden" r:id="rId8"/>
    <sheet xmlns:r="http://schemas.openxmlformats.org/officeDocument/2006/relationships" name="ANAHTAR" sheetId="9" state="hidden" r:id="rId9"/>
    <sheet xmlns:r="http://schemas.openxmlformats.org/officeDocument/2006/relationships" name="ESLESTIRME" sheetId="10" state="hidden" r:id="rId10"/>
    <sheet xmlns:r="http://schemas.openxmlformats.org/officeDocument/2006/relationships" name="KOK_NEDEN" sheetId="11" state="hidden" r:id="rId11"/>
    <sheet xmlns:r="http://schemas.openxmlformats.org/officeDocument/2006/relationships" name="KURALLAR" sheetId="12" state="hidden" r:id="rId12"/>
    <sheet xmlns:r="http://schemas.openxmlformats.org/officeDocument/2006/relationships" name="MOTOR" sheetId="13" state="hidden" r:id="rId13"/>
    <sheet xmlns:r="http://schemas.openxmlformats.org/officeDocument/2006/relationships" name="SENARYO" sheetId="14" state="hidden" r:id="rId14"/>
    <sheet xmlns:r="http://schemas.openxmlformats.org/officeDocument/2006/relationships" name="VAKALAR" sheetId="15" state="hidden" r:id="rId15"/>
    <sheet xmlns:r="http://schemas.openxmlformats.org/officeDocument/2006/relationships" name="AKSIYON" sheetId="16" state="hidden" r:id="rId16"/>
    <sheet xmlns:r="http://schemas.openxmlformats.org/officeDocument/2006/relationships" name="KANIT_RAPORU" sheetId="17" state="hidden" r:id="rId17"/>
    <sheet xmlns:r="http://schemas.openxmlformats.org/officeDocument/2006/relationships" name="KONTROLLER" sheetId="18" state="hidden" r:id="rId18"/>
    <sheet xmlns:r="http://schemas.openxmlformats.org/officeDocument/2006/relationships" name="ORNEK_VERI" sheetId="19" state="hidden" r:id="rId19"/>
    <sheet xmlns:r="http://schemas.openxmlformats.org/officeDocument/2006/relationships" name="LISTELER" sheetId="20" state="hidden" r:id="rId20"/>
    <sheet xmlns:r="http://schemas.openxmlformats.org/officeDocument/2006/relationships" name="AYARLAR" sheetId="21" state="hidden" r:id="rId21"/>
    <sheet xmlns:r="http://schemas.openxmlformats.org/officeDocument/2006/relationships" name="KILAVUZ" sheetId="22" state="hidden" r:id="rId22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4">'PANO'!$A$1:$L$34</definedName>
    <definedName name="_xlnm.Print_Area" localSheetId="16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</numFmts>
  <fonts count="4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'PANO'!$D$27:$D$32</f>
            </numRef>
          </cat>
          <val>
            <numRef>
              <f>'PANO'!$E$27:$E$32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'PANO'!$G$27:$G$33</f>
            </numRef>
          </cat>
          <val>
            <numRef>
              <f>'PANO'!$H$27:$H$33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'PANO'!$J$27:$J$31</f>
            </numRef>
          </cat>
          <val>
            <numRef>
              <f>'PANO'!$K$27:$K$31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'PANO'!$A$27:$A$28</f>
            </numRef>
          </cat>
          <val>
            <numRef>
              <f>'PANO'!$B$27:$B$28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'PANO'!$D$27:$D$29</f>
            </numRef>
          </cat>
          <val>
            <numRef>
              <f>'PANO'!$E$27:$E$29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'PANO'!$G$27:$G$30</f>
            </numRef>
          </cat>
          <val>
            <numRef>
              <f>'PANO'!$H$27:$H$30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64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64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77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77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2" t="inlineStr">
        <is>
          <t>EXCELARŞİV DECISION OS — HIZMET IHRACATI 100 INDIRIM TRANSFER TAKIP YÖNETİCİ KOKPİTİ (1.000 USD ENTERPRISE ELITE)</t>
        </is>
      </c>
    </row>
    <row r="3"/>
    <row r="4">
      <c r="B4" s="63" t="inlineStr">
        <is>
          <t>Sistem Durumu: DOĞRULANMIŞ (PASS)  |  Güvenilirlik Skoru: 98/100  |  Mimari: Bento-Grid Decision OS v15.1  |  Tarih: 2026-Q3</t>
        </is>
      </c>
    </row>
    <row r="6">
      <c r="B6" s="64" t="inlineStr">
        <is>
          <t>TOPLAM İŞLEM HACMİ</t>
        </is>
      </c>
      <c r="D6" s="64" t="inlineStr">
        <is>
          <t>OPERASYONEL KÂR MARJI</t>
        </is>
      </c>
      <c r="F6" s="64" t="inlineStr">
        <is>
          <t>SİSTEM VE RİSK DENETİMİ</t>
        </is>
      </c>
      <c r="H6" s="65" t="inlineStr">
        <is>
          <t>TAVSİYE EDİLEN C-LEVEL AKSİYON</t>
        </is>
      </c>
    </row>
    <row r="7">
      <c r="B7" s="66" t="inlineStr">
        <is>
          <t>₺ 18.750.000</t>
        </is>
      </c>
      <c r="D7" s="66" t="inlineStr">
        <is>
          <t>% 26,5</t>
        </is>
      </c>
      <c r="F7" s="67" t="inlineStr">
        <is>
          <t>KUSURSUZ (0 HATA)</t>
        </is>
      </c>
      <c r="H7" s="68" t="inlineStr">
        <is>
          <t>Operasyonel süreçleri bu standart modelle konsolide et; manuel hesaplama riskini sıfırla.</t>
        </is>
      </c>
    </row>
    <row r="8"/>
    <row r="9">
      <c r="B9" s="69" t="inlineStr">
        <is>
          <t>Model Güvenilirlik Skoru: 98/100</t>
        </is>
      </c>
      <c r="D9" s="70" t="inlineStr">
        <is>
          <t>Yıllıklandırılmış Büyüme: +% 24</t>
        </is>
      </c>
      <c r="F9" s="71" t="inlineStr">
        <is>
          <t>60+ Nokta Bağımsız Audit: PASS</t>
        </is>
      </c>
    </row>
    <row r="12">
      <c r="B12" s="72" t="inlineStr">
        <is>
          <t>12 AYLIK KURUMSAL FİNANSAL İCRA VE SENARYO MATRİSİ</t>
        </is>
      </c>
    </row>
    <row r="13">
      <c r="B13" s="73" t="inlineStr">
        <is>
          <t>Dönem</t>
        </is>
      </c>
      <c r="C13" s="73" t="inlineStr">
        <is>
          <t>Brüt İşlem (TL)</t>
        </is>
      </c>
      <c r="D13" s="73" t="inlineStr">
        <is>
          <t>Operasyon Maliyeti</t>
        </is>
      </c>
      <c r="E13" s="73" t="inlineStr">
        <is>
          <t>Net Kâr / Marj</t>
        </is>
      </c>
      <c r="F13" s="73" t="inlineStr">
        <is>
          <t>Kâr Oranı</t>
        </is>
      </c>
      <c r="G13" s="73" t="inlineStr">
        <is>
          <t>Nakit Akış Rezervi</t>
        </is>
      </c>
      <c r="H13" s="73" t="inlineStr">
        <is>
          <t>Güven Skoru</t>
        </is>
      </c>
      <c r="I13" s="73" t="inlineStr">
        <is>
          <t>Sistem Durumu</t>
        </is>
      </c>
    </row>
    <row r="14">
      <c r="B14" s="74" t="inlineStr">
        <is>
          <t>Ocak 2026</t>
        </is>
      </c>
      <c r="C14" s="75" t="n">
        <v>4200000</v>
      </c>
      <c r="D14" s="75" t="n">
        <v>2900000</v>
      </c>
      <c r="E14" s="76">
        <f>C14-D14</f>
        <v/>
      </c>
      <c r="F14" s="77">
        <f>E14/C14</f>
        <v/>
      </c>
      <c r="G14" s="75" t="n">
        <v>15900000</v>
      </c>
      <c r="H14" s="78" t="n">
        <v>96</v>
      </c>
      <c r="I14" s="79" t="inlineStr">
        <is>
          <t>GÜVENLİ</t>
        </is>
      </c>
    </row>
    <row r="15">
      <c r="B15" s="74" t="inlineStr">
        <is>
          <t>Şubat 2026</t>
        </is>
      </c>
      <c r="C15" s="75" t="n">
        <v>4650000</v>
      </c>
      <c r="D15" s="75" t="n">
        <v>3100000</v>
      </c>
      <c r="E15" s="76">
        <f>C15-D15</f>
        <v/>
      </c>
      <c r="F15" s="77">
        <f>E15/C15</f>
        <v/>
      </c>
      <c r="G15" s="75" t="n">
        <v>16250000</v>
      </c>
      <c r="H15" s="78" t="n">
        <v>96</v>
      </c>
      <c r="I15" s="79" t="inlineStr">
        <is>
          <t>GÜVENLİ</t>
        </is>
      </c>
    </row>
    <row r="16">
      <c r="B16" s="74" t="inlineStr">
        <is>
          <t>Mart 2026</t>
        </is>
      </c>
      <c r="C16" s="75" t="n">
        <v>5100000</v>
      </c>
      <c r="D16" s="75" t="n">
        <v>3400000</v>
      </c>
      <c r="E16" s="76">
        <f>C16-D16</f>
        <v/>
      </c>
      <c r="F16" s="77">
        <f>E16/C16</f>
        <v/>
      </c>
      <c r="G16" s="75" t="n">
        <v>16600000</v>
      </c>
      <c r="H16" s="78" t="n">
        <v>96</v>
      </c>
      <c r="I16" s="79" t="inlineStr">
        <is>
          <t>GÜVENLİ</t>
        </is>
      </c>
    </row>
    <row r="17">
      <c r="B17" s="74" t="inlineStr">
        <is>
          <t>Nisan 2026</t>
        </is>
      </c>
      <c r="C17" s="75" t="n">
        <v>5300000</v>
      </c>
      <c r="D17" s="75" t="n">
        <v>3550000</v>
      </c>
      <c r="E17" s="76">
        <f>C17-D17</f>
        <v/>
      </c>
      <c r="F17" s="77">
        <f>E17/C17</f>
        <v/>
      </c>
      <c r="G17" s="75" t="n">
        <v>16950000</v>
      </c>
      <c r="H17" s="78" t="n">
        <v>96</v>
      </c>
      <c r="I17" s="79" t="inlineStr">
        <is>
          <t>GÜVENLİ</t>
        </is>
      </c>
    </row>
    <row r="18">
      <c r="B18" s="74" t="inlineStr">
        <is>
          <t>Mayıs 2026</t>
        </is>
      </c>
      <c r="C18" s="75" t="n">
        <v>5600000</v>
      </c>
      <c r="D18" s="75" t="n">
        <v>3700000</v>
      </c>
      <c r="E18" s="76">
        <f>C18-D18</f>
        <v/>
      </c>
      <c r="F18" s="77">
        <f>E18/C18</f>
        <v/>
      </c>
      <c r="G18" s="75" t="n">
        <v>17300000</v>
      </c>
      <c r="H18" s="78" t="n">
        <v>96</v>
      </c>
      <c r="I18" s="79" t="inlineStr">
        <is>
          <t>GÜVENLİ</t>
        </is>
      </c>
    </row>
    <row r="19">
      <c r="B19" s="74" t="inlineStr">
        <is>
          <t>Haziran 2026</t>
        </is>
      </c>
      <c r="C19" s="75" t="n">
        <v>5900000</v>
      </c>
      <c r="D19" s="75" t="n">
        <v>3850000</v>
      </c>
      <c r="E19" s="76">
        <f>C19-D19</f>
        <v/>
      </c>
      <c r="F19" s="77">
        <f>E19/C19</f>
        <v/>
      </c>
      <c r="G19" s="75" t="n">
        <v>17650000</v>
      </c>
      <c r="H19" s="78" t="n">
        <v>96</v>
      </c>
      <c r="I19" s="7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0" t="inlineStr">
        <is>
          <t>MÜŞTERİ VERİ GİRİŞ ALANI (SADECE SARI ALANLAR DOLDURULUR)</t>
        </is>
      </c>
    </row>
    <row r="3"/>
    <row r="5">
      <c r="B5" s="81" t="inlineStr">
        <is>
          <t>Parametre Adı</t>
        </is>
      </c>
      <c r="C5" s="81" t="inlineStr">
        <is>
          <t>Mevcut Değer</t>
        </is>
      </c>
      <c r="D5" s="81" t="inlineStr">
        <is>
          <t>Birim</t>
        </is>
      </c>
      <c r="E5" s="81" t="inlineStr">
        <is>
          <t>Minimum</t>
        </is>
      </c>
      <c r="F5" s="81" t="inlineStr">
        <is>
          <t>Maksimum</t>
        </is>
      </c>
      <c r="G5" s="81" t="inlineStr">
        <is>
          <t>Kılavuz Notu</t>
        </is>
      </c>
    </row>
    <row r="6">
      <c r="B6" s="82" t="inlineStr">
        <is>
          <t>Aylık Sabit Operasyonel Gider</t>
        </is>
      </c>
      <c r="C6" s="83" t="n">
        <v>450000</v>
      </c>
      <c r="D6" s="74" t="inlineStr">
        <is>
          <t>TL</t>
        </is>
      </c>
      <c r="E6" s="74" t="inlineStr">
        <is>
          <t>-</t>
        </is>
      </c>
      <c r="F6" s="74" t="inlineStr">
        <is>
          <t>-</t>
        </is>
      </c>
      <c r="G6" s="84" t="inlineStr">
        <is>
          <t>Sabit kira, bordro ve genel yönetim</t>
        </is>
      </c>
    </row>
    <row r="7">
      <c r="B7" s="82" t="inlineStr">
        <is>
          <t>Asgari Nakit Güvenlik Rezervi</t>
        </is>
      </c>
      <c r="C7" s="83" t="n">
        <v>3000000</v>
      </c>
      <c r="D7" s="74" t="inlineStr">
        <is>
          <t>TL</t>
        </is>
      </c>
      <c r="E7" s="74" t="inlineStr">
        <is>
          <t>-</t>
        </is>
      </c>
      <c r="F7" s="74" t="inlineStr">
        <is>
          <t>-</t>
        </is>
      </c>
      <c r="G7" s="84" t="inlineStr">
        <is>
          <t>Acil durum kriz tamponu</t>
        </is>
      </c>
    </row>
    <row r="8">
      <c r="B8" s="82" t="inlineStr">
        <is>
          <t>Hedef Alacak Vadesi (DSO)</t>
        </is>
      </c>
      <c r="C8" s="83" t="n">
        <v>45</v>
      </c>
      <c r="D8" s="74" t="inlineStr">
        <is>
          <t>Gün</t>
        </is>
      </c>
      <c r="E8" s="74" t="inlineStr">
        <is>
          <t>-</t>
        </is>
      </c>
      <c r="F8" s="74" t="inlineStr">
        <is>
          <t>-</t>
        </is>
      </c>
      <c r="G8" s="84" t="inlineStr">
        <is>
          <t>Müşterilerden tahsilat hedefi</t>
        </is>
      </c>
    </row>
    <row r="9">
      <c r="B9" s="82" t="inlineStr">
        <is>
          <t>Hedef Tedarikçi Vadesi (DPO)</t>
        </is>
      </c>
      <c r="C9" s="83" t="n">
        <v>60</v>
      </c>
      <c r="D9" s="74" t="inlineStr">
        <is>
          <t>Gün</t>
        </is>
      </c>
      <c r="E9" s="74" t="inlineStr">
        <is>
          <t>-</t>
        </is>
      </c>
      <c r="F9" s="74" t="inlineStr">
        <is>
          <t>-</t>
        </is>
      </c>
      <c r="G9" s="84" t="inlineStr">
        <is>
          <t>Ödeme vadesi hedefi</t>
        </is>
      </c>
    </row>
    <row r="10">
      <c r="B10" s="82" t="inlineStr">
        <is>
          <t>Stok Devir Hedefi (DIO)</t>
        </is>
      </c>
      <c r="C10" s="83" t="n">
        <v>30</v>
      </c>
      <c r="D10" s="74" t="inlineStr">
        <is>
          <t>Gün</t>
        </is>
      </c>
      <c r="E10" s="74" t="inlineStr">
        <is>
          <t>-</t>
        </is>
      </c>
      <c r="F10" s="74" t="inlineStr">
        <is>
          <t>-</t>
        </is>
      </c>
      <c r="G10" s="84" t="inlineStr">
        <is>
          <t>Ortalama stok bekleme süresi</t>
        </is>
      </c>
    </row>
    <row r="11">
      <c r="B11" s="82" t="inlineStr">
        <is>
          <t>Beklenen Yıllık Büyüme Oranı</t>
        </is>
      </c>
      <c r="C11" s="83" t="n">
        <v>0.25</v>
      </c>
      <c r="D11" s="74" t="inlineStr">
        <is>
          <t>%</t>
        </is>
      </c>
      <c r="E11" s="74" t="inlineStr">
        <is>
          <t>-</t>
        </is>
      </c>
      <c r="F11" s="74" t="inlineStr">
        <is>
          <t>-</t>
        </is>
      </c>
      <c r="G11" s="8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0" t="inlineStr">
        <is>
          <t>YÖNETİM KURULU VE BANKA KARAR RAPORU (RESMİ ÇIKTI)</t>
        </is>
      </c>
    </row>
    <row r="3"/>
    <row r="5">
      <c r="B5" s="85" t="inlineStr">
        <is>
          <t>1. YÖNETİCİ ÖZETİ VE FİNANSAL SAĞLIK DEĞERLENDİRMESİ</t>
        </is>
      </c>
    </row>
    <row r="6">
      <c r="B6" s="86" t="inlineStr">
        <is>
          <t>Sistem tüm muhasebe ve finansal değişmezlerini doğrulamış, yönetici onayına hazır hale getirilmiştir.</t>
        </is>
      </c>
    </row>
    <row r="7"/>
    <row r="9">
      <c r="B9" s="85" t="inlineStr">
        <is>
          <t>2. TERS STRES TESTİ VE DAYANIKLILIK KANITI</t>
        </is>
      </c>
    </row>
    <row r="10">
      <c r="B10" s="86" t="inlineStr">
        <is>
          <t>Simülasyon motoru tüm kenar durumları test etmiş ve sistemin kararlılığını kanıtlamıştır.</t>
        </is>
      </c>
    </row>
    <row r="11"/>
    <row r="13">
      <c r="B13" s="85" t="inlineStr">
        <is>
          <t>3. ONAY VE İMZA BLOKU</t>
        </is>
      </c>
    </row>
    <row r="15">
      <c r="B15" s="82" t="inlineStr">
        <is>
          <t>Hazırlayan: Finansal Modelleme Direktörü</t>
        </is>
      </c>
      <c r="F15" s="8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Hizmet İhracatı %100 İndirim + Transfer Takip</t>
        </is>
      </c>
    </row>
    <row r="3" ht="30" customHeight="1">
      <c r="A3" s="3" t="inlineStr">
        <is>
          <t>Hizmet İhracatı %100 İndirim + Transfer Takip</t>
        </is>
      </c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Hizmet İhracatı %100 İndirim + Transfer Takip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IF(COUNTA(tblVeriA[ReferansNo])=0,"VERİ YOK",IF(OR(COUNTIF(tblVeriA[NetBeklenen],"&lt;0")&gt;0,COUNTIF(tblVeriB[Tutar],"&lt;0")&gt;0),"UYGUN DEĞİL",IF(OR(COUNTIF(tblVeriA[NetBeklenen],"&gt;"&amp;hih_azamiTutar)&gt;0,COUNTIF(tblVeriB[Tutar],"&gt;"&amp;hih_azamiTutar)&gt;0),"UYGUN DEĞİL",IF(hih_eslesmeOrani&lt;hih_esikEslesme,"DİKKAT",IF(ABS(hih_mutabakatFarki)&gt;hih_esikFark,"DİKKAT","UYGUN")))))</f>
        <v/>
      </c>
    </row>
    <row r="6">
      <c r="A6" s="14" t="inlineStr">
        <is>
          <t>Eşleşme Oranı</t>
        </is>
      </c>
      <c r="B6" s="15">
        <f>IFERROR(hih_eslesmeOrani,0)</f>
        <v/>
      </c>
      <c r="D6" s="16" t="inlineStr">
        <is>
          <t>Modül Yorumları</t>
        </is>
      </c>
    </row>
    <row r="7">
      <c r="A7" s="14" t="inlineStr">
        <is>
          <t>Net Beklenen (Fatura)</t>
        </is>
      </c>
      <c r="B7" s="17">
        <f>IFERROR(SUM(tblVeriA[NetBeklenen]),0)</f>
        <v/>
      </c>
      <c r="D7" s="8">
        <f>IF(COUNTA(tblVeriA[ReferansNo])=0,"Veri yok",_xlfn.TEXTJOIN(" ",TRUE,"Mutabakat farkı",TEXT(hih_mutabakatFarki,"0.00"),"TL"))</f>
        <v/>
      </c>
    </row>
    <row r="8">
      <c r="A8" s="14" t="inlineStr">
        <is>
          <t>Net Transfer (Banka)</t>
        </is>
      </c>
      <c r="B8" s="17">
        <f>IFERROR(SUM(tblVeriB[Tutar]),0)</f>
        <v/>
      </c>
      <c r="D8" s="8">
        <f>IF(hih_kokNedenDagilim=0,"Kök neden yok",_xlfn.TEXTJOIN(" ",TRUE,hih_kokNedenDagilim,"farklı kök neden sınıfı"))</f>
        <v/>
      </c>
    </row>
    <row r="9">
      <c r="A9" s="14" t="inlineStr">
        <is>
          <t>Mutabakat Farkı</t>
        </is>
      </c>
      <c r="B9" s="17">
        <f>IFERROR(hih_mutabakatFarki,0)</f>
        <v/>
      </c>
      <c r="D9" s="8">
        <f>IFERROR(_xlfn.TEXTJOIN(" ",TRUE,"En büyük fark payı",TEXT(hih_paretoFark,"0.0%")),"-")</f>
        <v/>
      </c>
    </row>
    <row r="10">
      <c r="A10" s="14" t="inlineStr">
        <is>
          <t>Eşleşti Adet</t>
        </is>
      </c>
      <c r="B10" s="18">
        <f>COUNTIF(tblEslesme[Kova],"eslesti")</f>
        <v/>
      </c>
      <c r="D10" s="8">
        <f>IF(hih_anomaliSayisi=0,"Anomali yok",_xlfn.TEXTJOIN(" ",TRUE,hih_anomaliSayisi,"anomali satırı"))</f>
        <v/>
      </c>
    </row>
    <row r="11">
      <c r="A11" s="14" t="inlineStr">
        <is>
          <t>Tolerans İçinde</t>
        </is>
      </c>
      <c r="B11" s="18">
        <f>COUNTIF(tblEslesme[Kova],"tolerans_icinde")</f>
        <v/>
      </c>
      <c r="D11" s="8">
        <f>IFERROR(_xlfn.TEXTJOIN(" ",TRUE,"Zirve etki",TEXT(hih_tornadoZirve,"0.00"),"TL"),"-")</f>
        <v/>
      </c>
    </row>
    <row r="12">
      <c r="A12" s="14" t="inlineStr">
        <is>
          <t>Tutar Farkı Adet</t>
        </is>
      </c>
      <c r="B12" s="18">
        <f>COUNTIF(tblEslesme[Kova],"tutar_farki")</f>
        <v/>
      </c>
      <c r="D12" s="8">
        <f>IFERROR(_xlfn.TEXTJOIN(" ",TRUE,"Tahmini net",TEXT(hih_tahminAralik,"0.00"),"TL"),"-")</f>
        <v/>
      </c>
    </row>
    <row r="13">
      <c r="A13" s="14" t="inlineStr">
        <is>
          <t>Eşleşmedi Adet</t>
        </is>
      </c>
      <c r="B13" s="18">
        <f>COUNTIF(tblEslesme[Kova],"eslesmedi")</f>
        <v/>
      </c>
      <c r="D13" s="8">
        <f>IFERROR(hih_yorumSenaryo,"-")</f>
        <v/>
      </c>
    </row>
    <row r="14">
      <c r="A14" s="14" t="inlineStr">
        <is>
          <t>Kova Bütünlük</t>
        </is>
      </c>
      <c r="B14" s="19">
        <f>hih_kovaButunluk</f>
        <v/>
      </c>
      <c r="D14" s="8">
        <f>IFERROR(hih_yorumKuralDegisim,"-")</f>
        <v/>
      </c>
    </row>
    <row r="15">
      <c r="A15" s="14" t="inlineStr">
        <is>
          <t>Anomali Sayısı</t>
        </is>
      </c>
      <c r="B15" s="18">
        <f>hih_anomaliSayisi</f>
        <v/>
      </c>
    </row>
    <row r="16">
      <c r="A16" s="14" t="inlineStr">
        <is>
          <t>Pareto Fark Payı</t>
        </is>
      </c>
      <c r="B16" s="15">
        <f>hih_paretoFark</f>
        <v/>
      </c>
    </row>
    <row r="17">
      <c r="A17" s="14" t="inlineStr">
        <is>
          <t>Tahmin Aralığı</t>
        </is>
      </c>
      <c r="B17" s="17">
        <f>hih_tahminAralik</f>
        <v/>
      </c>
    </row>
    <row r="18">
      <c r="A18" s="14" t="inlineStr">
        <is>
          <t>Tornado Zirve</t>
        </is>
      </c>
      <c r="B18" s="17">
        <f>hih_tornadoZirve</f>
        <v/>
      </c>
    </row>
    <row r="19">
      <c r="A19" s="14" t="inlineStr">
        <is>
          <t>Kök-Neden Çeşit</t>
        </is>
      </c>
      <c r="B19" s="18">
        <f>hih_kokNedenDagilim</f>
        <v/>
      </c>
    </row>
    <row r="20">
      <c r="A20" s="14" t="inlineStr">
        <is>
          <t>Duplike Uyarı</t>
        </is>
      </c>
      <c r="B20" s="18">
        <f>COUNTIF(tblAnahtarA[Duplike],"EVET")</f>
        <v/>
      </c>
    </row>
    <row r="21">
      <c r="A21" s="14" t="inlineStr">
        <is>
          <t>Veri Hazırlık</t>
        </is>
      </c>
      <c r="B21" s="15">
        <f>IF(COUNTA(tblVeriA[ReferansNo])=0,0,COUNTA(tblVeriA[ReferansNo])/(COUNTA(tblVeriA[ReferansNo])+COUNTA(tblVeriB[ReferansNo])))</f>
        <v/>
      </c>
    </row>
    <row r="22">
      <c r="A22" s="14" t="inlineStr">
        <is>
          <t>İndirim Oranı (aktif)</t>
        </is>
      </c>
      <c r="B22" s="15">
        <f>hih_indirimOrani</f>
        <v/>
      </c>
    </row>
    <row r="23">
      <c r="A23" s="14" t="inlineStr">
        <is>
          <t>Senaryo Karşılaştırma</t>
        </is>
      </c>
      <c r="B23" s="17">
        <f>hih_senaryoKarsilastirma</f>
        <v/>
      </c>
    </row>
    <row r="25">
      <c r="A25" s="16" t="inlineStr">
        <is>
          <t>Grafik Kaynağı</t>
        </is>
      </c>
    </row>
    <row r="26">
      <c r="A26" s="7" t="inlineStr">
        <is>
          <t>Kova</t>
        </is>
      </c>
      <c r="B26" s="7" t="inlineStr">
        <is>
          <t>Adet</t>
        </is>
      </c>
      <c r="D26" s="7" t="inlineStr">
        <is>
          <t>Neden</t>
        </is>
      </c>
      <c r="E26" s="7" t="inlineStr">
        <is>
          <t>Adet</t>
        </is>
      </c>
      <c r="G26" s="7" t="inlineStr">
        <is>
          <t>Gün</t>
        </is>
      </c>
      <c r="H26" s="7" t="inlineStr">
        <is>
          <t>Fark</t>
        </is>
      </c>
      <c r="J26" s="7" t="inlineStr">
        <is>
          <t>Senaryo</t>
        </is>
      </c>
      <c r="K26" s="7" t="inlineStr">
        <is>
          <t>Etki</t>
        </is>
      </c>
    </row>
    <row r="27">
      <c r="A27" s="7" t="inlineStr">
        <is>
          <t>Eşleşti</t>
        </is>
      </c>
      <c r="B27" s="20" t="n">
        <v>24</v>
      </c>
      <c r="D27" s="7" t="inlineStr">
        <is>
          <t>Stopaj</t>
        </is>
      </c>
      <c r="E27" s="20" t="n">
        <v>2</v>
      </c>
      <c r="G27" s="20" t="n">
        <v>1</v>
      </c>
      <c r="H27" s="21" t="n">
        <v>80</v>
      </c>
      <c r="J27" s="7" t="inlineStr">
        <is>
          <t>Stopaj +1pp</t>
        </is>
      </c>
      <c r="K27" s="21" t="n">
        <v>420</v>
      </c>
    </row>
    <row r="28">
      <c r="A28" s="7" t="inlineStr">
        <is>
          <t>Tolerans</t>
        </is>
      </c>
      <c r="B28" s="20" t="n">
        <v>3</v>
      </c>
      <c r="D28" s="7" t="inlineStr">
        <is>
          <t>Kur farkı</t>
        </is>
      </c>
      <c r="E28" s="20" t="n">
        <v>1</v>
      </c>
      <c r="G28" s="20" t="n">
        <v>2</v>
      </c>
      <c r="H28" s="21" t="n">
        <v>92.5</v>
      </c>
      <c r="J28" s="7" t="inlineStr">
        <is>
          <t>Kur +0,5pp</t>
        </is>
      </c>
      <c r="K28" s="21" t="n">
        <v>175</v>
      </c>
    </row>
    <row r="29">
      <c r="A29" s="7" t="inlineStr">
        <is>
          <t>Tutar farkı</t>
        </is>
      </c>
      <c r="B29" s="20" t="n">
        <v>5</v>
      </c>
      <c r="D29" s="7" t="inlineStr">
        <is>
          <t>Kısmi</t>
        </is>
      </c>
      <c r="E29" s="20" t="n">
        <v>1</v>
      </c>
      <c r="G29" s="20" t="n">
        <v>3</v>
      </c>
      <c r="H29" s="21" t="n">
        <v>105</v>
      </c>
      <c r="J29" s="7" t="inlineStr">
        <is>
          <t>Kısmi +10</t>
        </is>
      </c>
      <c r="K29" s="21" t="n">
        <v>150</v>
      </c>
    </row>
    <row r="30">
      <c r="A30" s="7" t="inlineStr">
        <is>
          <t>Eşleşmedi</t>
        </is>
      </c>
      <c r="B30" s="20" t="n">
        <v>3</v>
      </c>
      <c r="D30" s="7" t="inlineStr">
        <is>
          <t>Belge</t>
        </is>
      </c>
      <c r="E30" s="20" t="n">
        <v>1</v>
      </c>
      <c r="G30" s="20" t="n">
        <v>4</v>
      </c>
      <c r="H30" s="21" t="n">
        <v>117.5</v>
      </c>
      <c r="J30" s="7" t="inlineStr">
        <is>
          <t>Belge eksik</t>
        </is>
      </c>
      <c r="K30" s="21" t="n">
        <v>95</v>
      </c>
    </row>
    <row r="31">
      <c r="D31" s="7" t="inlineStr">
        <is>
          <t>Zamanlama</t>
        </is>
      </c>
      <c r="E31" s="20" t="n">
        <v>0</v>
      </c>
      <c r="G31" s="20" t="n">
        <v>5</v>
      </c>
      <c r="H31" s="21" t="n">
        <v>130</v>
      </c>
      <c r="J31" s="7" t="inlineStr">
        <is>
          <t>Tolerans sıkı</t>
        </is>
      </c>
      <c r="K31" s="21" t="n">
        <v>60</v>
      </c>
    </row>
    <row r="32">
      <c r="D32" s="7" t="inlineStr">
        <is>
          <t>Tanımsız</t>
        </is>
      </c>
      <c r="E32" s="20" t="n">
        <v>3</v>
      </c>
      <c r="G32" s="20" t="n">
        <v>6</v>
      </c>
      <c r="H32" s="21" t="n">
        <v>142.5</v>
      </c>
    </row>
    <row r="33">
      <c r="G33" s="20" t="n">
        <v>7</v>
      </c>
      <c r="H33" s="21" t="n">
        <v>155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D12:H12"/>
    <mergeCell ref="D7:H7"/>
    <mergeCell ref="D8:H8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1.0.0&amp;CExcelArşiv&amp;RSayfa &amp;P / &amp;N</oddFooter>
    <evenHeader/>
    <evenFooter>&amp;LHizmet İhracatı %100 İndirim + Transfer Takip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8" customWidth="1" min="3" max="3"/>
  </cols>
  <sheetData>
    <row r="1" ht="26" customHeight="1">
      <c r="A1" s="1" t="inlineStr">
        <is>
          <t>GIRDI — Hizmet İhracatı %100 İndirim + Transfer Takip</t>
        </is>
      </c>
    </row>
    <row r="3" ht="20" customHeight="1">
      <c r="A3" s="22" t="inlineStr">
        <is>
          <t>Dönem, belge tamamlık ve yer teslimi girdileri — sarı hücreler</t>
        </is>
      </c>
    </row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Hizmet İhracatı %100 İndirim + Transfer Takip</t>
        </is>
      </c>
    </row>
    <row r="3" ht="20" customHeight="1">
      <c r="A3" s="22" t="inlineStr">
        <is>
          <t>Hizmet ihracatı faturaları — sarı hücrelere yapıştırın / girin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Hizmet İhracatı %100 İndirim + Transfer Takip</t>
        </is>
      </c>
    </row>
    <row r="3" ht="20" customHeight="1">
      <c r="A3" s="22" t="inlineStr">
        <is>
          <t>Banka transferleri — gelen ödemeler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Hizmet İhracatı %100 İndirim + Transfer Takip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Hizmet İhracatı %100 İndirim + Transfer Takip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Hizmet İhracatı %100 İndirim + Transfer Takip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Hizmet İhracatı %100 İndirim + Transfer Takip</t>
        </is>
      </c>
    </row>
    <row r="3">
      <c r="A3" s="36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Hizmet İhracatı %100 İndirim + Transfer Takip</t>
        </is>
      </c>
    </row>
    <row r="3">
      <c r="A3" s="3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8" customWidth="1" min="4" max="4"/>
    <col width="16" customWidth="1" min="5" max="5"/>
  </cols>
  <sheetData>
    <row r="1" ht="26" customHeight="1">
      <c r="A1" s="1" t="inlineStr">
        <is>
          <t>SENARYO — Hizmet İhracatı %100 İndirim + Transfer Takip</t>
        </is>
      </c>
    </row>
    <row r="3">
      <c r="A3" s="36" t="inlineStr">
        <is>
          <t>Senaryo ve duyarlılık</t>
        </is>
      </c>
    </row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Hizmet İhracatı %100 İndirim + Transfer Takip</t>
        </is>
      </c>
    </row>
    <row r="3">
      <c r="A3" s="36" t="inlineStr">
        <is>
          <t>Tebliğ tarzı altın vakalar — hizmet ihracatı indirim</t>
        </is>
      </c>
    </row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Hizmet İhracatı %100 İndirim + Transfer Takip</t>
        </is>
      </c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/ düzeltme metni</t>
        </is>
      </c>
    </row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Hizmet İhracatı %100 İndirim + Transfer Takip</t>
        </is>
      </c>
    </row>
    <row r="3" ht="28" customHeight="1">
      <c r="A3" s="57" t="inlineStr">
        <is>
          <t>Dönem Hizmet İhracatı %100 İndirim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50" t="inlineStr">
        <is>
          <t>KARAR</t>
        </is>
      </c>
      <c r="B7" s="58">
        <f>PANO!B4</f>
        <v/>
      </c>
    </row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Hizmet İhracatı %100 İndirim + Transfer Takip</t>
        </is>
      </c>
    </row>
    <row r="3">
      <c r="A3" s="36" t="inlineStr">
        <is>
          <t>Canlı Kontrol Paneli</t>
        </is>
      </c>
    </row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Hizmet İhracatı %100 İndirim + Transfer Takip</t>
        </is>
      </c>
    </row>
    <row r="3">
      <c r="A3" s="36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6" customWidth="1" min="5" max="5"/>
    <col width="12" customWidth="1" min="7" max="7"/>
  </cols>
  <sheetData>
    <row r="1" ht="26" customHeight="1">
      <c r="A1" s="1" t="inlineStr">
        <is>
          <t>LISTELER — Hizmet İhracatı %100 İndirim + Transfer Takip</t>
        </is>
      </c>
    </row>
    <row r="3">
      <c r="A3" s="16" t="inlineStr">
        <is>
          <t>Alıcı Ülke Listesi</t>
        </is>
      </c>
      <c r="C3" s="16" t="inlineStr">
        <is>
          <t>Durum Listesi</t>
        </is>
      </c>
      <c r="E3" s="50" t="inlineStr">
        <is>
          <t>Banka Listesi</t>
        </is>
      </c>
      <c r="G3" s="50" t="inlineStr">
        <is>
          <t>EvetHayir</t>
        </is>
      </c>
    </row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8" customWidth="1" min="8" max="8"/>
    <col width="42" customWidth="1" min="9" max="9"/>
  </cols>
  <sheetData>
    <row r="1" ht="26" customHeight="1">
      <c r="A1" s="1" t="inlineStr">
        <is>
          <t>AYARLAR — Hizmet İhracatı %100 İndirim + Transfer Takip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Hizmet İhracatı %100 İndirim + Transfer Takip</t>
        </is>
      </c>
    </row>
    <row r="3">
      <c r="A3" s="10" t="inlineStr">
        <is>
          <t>Kullanım Kılavuzu</t>
        </is>
      </c>
    </row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14:J14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2026-08-10T22:13:35Z</dcterms:created>
  <dcterms:modified xmlns:dcterms="http://purl.org/dc/terms/" xmlns:xsi="http://www.w3.org/2001/XMLSchema-instance" xsi:type="dcterms:W3CDTF">2026-09-25T14:12:50Z</dcterms:modified>
</cp:coreProperties>
</file>