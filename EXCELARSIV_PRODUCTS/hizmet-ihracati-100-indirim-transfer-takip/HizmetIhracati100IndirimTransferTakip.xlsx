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GIRDI" sheetId="3" state="visible" r:id="rId3"/>
    <sheet name="VERI_A" sheetId="4" state="visible" r:id="rId4"/>
    <sheet name="VERI_B" sheetId="5" state="visible" r:id="rId5"/>
    <sheet name="ANAHTAR" sheetId="6" state="visible" r:id="rId6"/>
    <sheet name="ESLESTIRME" sheetId="7" state="visible" r:id="rId7"/>
    <sheet name="KOK_NEDEN" sheetId="8" state="visible" r:id="rId8"/>
    <sheet name="KURALLAR" sheetId="9" state="visible" r:id="rId9"/>
    <sheet name="MOTOR" sheetId="10" state="visible" r:id="rId10"/>
    <sheet name="SENARYO" sheetId="11" state="visible" r:id="rId11"/>
    <sheet name="VAKALAR" sheetId="12" state="visible" r:id="rId12"/>
    <sheet name="AKSIYON" sheetId="13" state="visible" r:id="rId13"/>
    <sheet name="KANIT_RAPORU" sheetId="14" state="visible" r:id="rId14"/>
    <sheet name="KONTROLLER" sheetId="15" state="visible" r:id="rId15"/>
    <sheet name="ORNEK_VERI" sheetId="16" state="visible" r:id="rId16"/>
    <sheet name="LISTELER" sheetId="17" state="visible" r:id="rId17"/>
    <sheet name="AYARLAR" sheetId="18" state="visible" r:id="rId18"/>
    <sheet name="KILAVUZ" sheetId="19" state="visible" r:id="rId19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1">'PANO'!$A$1:$L$34</definedName>
    <definedName name="_xlnm.Print_Area" localSheetId="13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%;[Red](0.0%);-"/>
    <numFmt numFmtId="166" formatCode="₺ #,##0;[Red](₺ #,##0);-"/>
    <numFmt numFmtId="167" formatCode="yyyy-mm-dd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'PANO'!$D$27:$D$32</f>
            </numRef>
          </cat>
          <val>
            <numRef>
              <f>'PANO'!$E$27:$E$32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'PANO'!$G$27:$G$33</f>
            </numRef>
          </cat>
          <val>
            <numRef>
              <f>'PANO'!$H$27:$H$33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'PANO'!$J$27:$J$31</f>
            </numRef>
          </cat>
          <val>
            <numRef>
              <f>'PANO'!$K$27:$K$31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'PANO'!$A$27:$A$28</f>
            </numRef>
          </cat>
          <val>
            <numRef>
              <f>'PANO'!$B$27:$B$28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'PANO'!$D$27:$D$29</f>
            </numRef>
          </cat>
          <val>
            <numRef>
              <f>'PANO'!$E$27:$E$29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'PANO'!$G$27:$G$30</f>
            </numRef>
          </cat>
          <val>
            <numRef>
              <f>'PANO'!$H$27:$H$30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64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64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77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77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Hizmet İhracatı %100 İndirim + Transfer Takip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IF(COUNTA(tblVeriA[ReferansNo])=0,"VERİ YOK",IF(OR(COUNTIF(tblVeriA[NetBeklenen],"&lt;0")&gt;0,COUNTIF(tblVeriB[Tutar],"&lt;0")&gt;0),"UYGUN DEĞİL",IF(OR(COUNTIF(tblVeriA[NetBeklenen],"&gt;"&amp;hih_azamiTutar)&gt;0,COUNTIF(tblVeriB[Tutar],"&gt;"&amp;hih_azamiTutar)&gt;0),"UYGUN DEĞİL",IF(hih_eslesmeOrani&lt;hih_esikEslesme,"DİKKAT",IF(ABS(hih_mutabakatFarki)&gt;hih_esikFark,"DİKKAT","UYGUN")))))</f>
        <v/>
      </c>
    </row>
    <row r="6">
      <c r="A6" s="14" t="inlineStr">
        <is>
          <t>Eşleşme Oranı</t>
        </is>
      </c>
      <c r="B6" s="15">
        <f>IFERROR(hih_eslesmeOrani,0)</f>
        <v/>
      </c>
      <c r="D6" s="16" t="inlineStr">
        <is>
          <t>Modül Yorumları</t>
        </is>
      </c>
    </row>
    <row r="7">
      <c r="A7" s="14" t="inlineStr">
        <is>
          <t>Net Beklenen (Fatura)</t>
        </is>
      </c>
      <c r="B7" s="17">
        <f>IFERROR(SUM(tblVeriA[NetBeklenen]),0)</f>
        <v/>
      </c>
      <c r="D7" s="8">
        <f>IF(COUNTA(tblVeriA[ReferansNo])=0,"Veri yok",_xlfn.TEXTJOIN(" ",TRUE,"Mutabakat farkı",TEXT(hih_mutabakatFarki,"0.00"),"TL"))</f>
        <v/>
      </c>
    </row>
    <row r="8">
      <c r="A8" s="14" t="inlineStr">
        <is>
          <t>Net Transfer (Banka)</t>
        </is>
      </c>
      <c r="B8" s="17">
        <f>IFERROR(SUM(tblVeriB[Tutar]),0)</f>
        <v/>
      </c>
      <c r="D8" s="8">
        <f>IF(hih_kokNedenDagilim=0,"Kök neden yok",_xlfn.TEXTJOIN(" ",TRUE,hih_kokNedenDagilim,"farklı kök neden sınıfı"))</f>
        <v/>
      </c>
    </row>
    <row r="9">
      <c r="A9" s="14" t="inlineStr">
        <is>
          <t>Mutabakat Farkı</t>
        </is>
      </c>
      <c r="B9" s="17">
        <f>IFERROR(hih_mutabakatFarki,0)</f>
        <v/>
      </c>
      <c r="D9" s="8">
        <f>IFERROR(_xlfn.TEXTJOIN(" ",TRUE,"En büyük fark payı",TEXT(hih_paretoFark,"0.0%")),"-")</f>
        <v/>
      </c>
    </row>
    <row r="10">
      <c r="A10" s="14" t="inlineStr">
        <is>
          <t>Eşleşti Adet</t>
        </is>
      </c>
      <c r="B10" s="18">
        <f>COUNTIF(tblEslesme[Kova],"eslesti")</f>
        <v/>
      </c>
      <c r="D10" s="8">
        <f>IF(hih_anomaliSayisi=0,"Anomali yok",_xlfn.TEXTJOIN(" ",TRUE,hih_anomaliSayisi,"anomali satırı"))</f>
        <v/>
      </c>
    </row>
    <row r="11">
      <c r="A11" s="14" t="inlineStr">
        <is>
          <t>Tolerans İçinde</t>
        </is>
      </c>
      <c r="B11" s="18">
        <f>COUNTIF(tblEslesme[Kova],"tolerans_icinde")</f>
        <v/>
      </c>
      <c r="D11" s="8">
        <f>IFERROR(_xlfn.TEXTJOIN(" ",TRUE,"Zirve etki",TEXT(hih_tornadoZirve,"0.00"),"TL"),"-")</f>
        <v/>
      </c>
    </row>
    <row r="12">
      <c r="A12" s="14" t="inlineStr">
        <is>
          <t>Tutar Farkı Adet</t>
        </is>
      </c>
      <c r="B12" s="18">
        <f>COUNTIF(tblEslesme[Kova],"tutar_farki")</f>
        <v/>
      </c>
      <c r="D12" s="8">
        <f>IFERROR(_xlfn.TEXTJOIN(" ",TRUE,"Tahmini net",TEXT(hih_tahminAralik,"0.00"),"TL"),"-")</f>
        <v/>
      </c>
    </row>
    <row r="13">
      <c r="A13" s="14" t="inlineStr">
        <is>
          <t>Eşleşmedi Adet</t>
        </is>
      </c>
      <c r="B13" s="18">
        <f>COUNTIF(tblEslesme[Kova],"eslesmedi")</f>
        <v/>
      </c>
      <c r="D13" s="8">
        <f>IFERROR(hih_yorumSenaryo,"-")</f>
        <v/>
      </c>
    </row>
    <row r="14">
      <c r="A14" s="14" t="inlineStr">
        <is>
          <t>Kova Bütünlük</t>
        </is>
      </c>
      <c r="B14" s="19">
        <f>hih_kovaButunluk</f>
        <v/>
      </c>
      <c r="D14" s="8">
        <f>IFERROR(hih_yorumKuralDegisim,"-")</f>
        <v/>
      </c>
    </row>
    <row r="15">
      <c r="A15" s="14" t="inlineStr">
        <is>
          <t>Anomali Sayısı</t>
        </is>
      </c>
      <c r="B15" s="18">
        <f>hih_anomaliSayisi</f>
        <v/>
      </c>
    </row>
    <row r="16">
      <c r="A16" s="14" t="inlineStr">
        <is>
          <t>Pareto Fark Payı</t>
        </is>
      </c>
      <c r="B16" s="15">
        <f>hih_paretoFark</f>
        <v/>
      </c>
    </row>
    <row r="17">
      <c r="A17" s="14" t="inlineStr">
        <is>
          <t>Tahmin Aralığı</t>
        </is>
      </c>
      <c r="B17" s="17">
        <f>hih_tahminAralik</f>
        <v/>
      </c>
    </row>
    <row r="18">
      <c r="A18" s="14" t="inlineStr">
        <is>
          <t>Tornado Zirve</t>
        </is>
      </c>
      <c r="B18" s="17">
        <f>hih_tornadoZirve</f>
        <v/>
      </c>
    </row>
    <row r="19">
      <c r="A19" s="14" t="inlineStr">
        <is>
          <t>Kök-Neden Çeşit</t>
        </is>
      </c>
      <c r="B19" s="18">
        <f>hih_kokNedenDagilim</f>
        <v/>
      </c>
    </row>
    <row r="20">
      <c r="A20" s="14" t="inlineStr">
        <is>
          <t>Duplike Uyarı</t>
        </is>
      </c>
      <c r="B20" s="18">
        <f>COUNTIF(tblAnahtarA[Duplike],"EVET")</f>
        <v/>
      </c>
    </row>
    <row r="21">
      <c r="A21" s="14" t="inlineStr">
        <is>
          <t>Veri Hazırlık</t>
        </is>
      </c>
      <c r="B21" s="15">
        <f>IF(COUNTA(tblVeriA[ReferansNo])=0,0,COUNTA(tblVeriA[ReferansNo])/(COUNTA(tblVeriA[ReferansNo])+COUNTA(tblVeriB[ReferansNo])))</f>
        <v/>
      </c>
    </row>
    <row r="22">
      <c r="A22" s="14" t="inlineStr">
        <is>
          <t>İndirim Oranı (aktif)</t>
        </is>
      </c>
      <c r="B22" s="15">
        <f>hih_indirimOrani</f>
        <v/>
      </c>
    </row>
    <row r="23">
      <c r="A23" s="14" t="inlineStr">
        <is>
          <t>Senaryo Karşılaştırma</t>
        </is>
      </c>
      <c r="B23" s="17">
        <f>hih_senaryoKarsilastirma</f>
        <v/>
      </c>
    </row>
    <row r="25">
      <c r="A25" s="16" t="inlineStr">
        <is>
          <t>Grafik Kaynağı</t>
        </is>
      </c>
    </row>
    <row r="26">
      <c r="A26" s="7" t="inlineStr">
        <is>
          <t>Kova</t>
        </is>
      </c>
      <c r="B26" s="7" t="inlineStr">
        <is>
          <t>Adet</t>
        </is>
      </c>
      <c r="D26" s="7" t="inlineStr">
        <is>
          <t>Neden</t>
        </is>
      </c>
      <c r="E26" s="7" t="inlineStr">
        <is>
          <t>Adet</t>
        </is>
      </c>
      <c r="G26" s="7" t="inlineStr">
        <is>
          <t>Gün</t>
        </is>
      </c>
      <c r="H26" s="7" t="inlineStr">
        <is>
          <t>Fark</t>
        </is>
      </c>
      <c r="J26" s="7" t="inlineStr">
        <is>
          <t>Senaryo</t>
        </is>
      </c>
      <c r="K26" s="7" t="inlineStr">
        <is>
          <t>Etki</t>
        </is>
      </c>
    </row>
    <row r="27">
      <c r="A27" s="7" t="inlineStr">
        <is>
          <t>Eşleşti</t>
        </is>
      </c>
      <c r="B27" s="20" t="n">
        <v>24</v>
      </c>
      <c r="D27" s="7" t="inlineStr">
        <is>
          <t>Stopaj</t>
        </is>
      </c>
      <c r="E27" s="20" t="n">
        <v>2</v>
      </c>
      <c r="G27" s="20" t="n">
        <v>1</v>
      </c>
      <c r="H27" s="21" t="n">
        <v>80</v>
      </c>
      <c r="J27" s="7" t="inlineStr">
        <is>
          <t>Stopaj +1pp</t>
        </is>
      </c>
      <c r="K27" s="21" t="n">
        <v>420</v>
      </c>
    </row>
    <row r="28">
      <c r="A28" s="7" t="inlineStr">
        <is>
          <t>Tolerans</t>
        </is>
      </c>
      <c r="B28" s="20" t="n">
        <v>3</v>
      </c>
      <c r="D28" s="7" t="inlineStr">
        <is>
          <t>Kur farkı</t>
        </is>
      </c>
      <c r="E28" s="20" t="n">
        <v>1</v>
      </c>
      <c r="G28" s="20" t="n">
        <v>2</v>
      </c>
      <c r="H28" s="21" t="n">
        <v>92.5</v>
      </c>
      <c r="J28" s="7" t="inlineStr">
        <is>
          <t>Kur +0,5pp</t>
        </is>
      </c>
      <c r="K28" s="21" t="n">
        <v>175</v>
      </c>
    </row>
    <row r="29">
      <c r="A29" s="7" t="inlineStr">
        <is>
          <t>Tutar farkı</t>
        </is>
      </c>
      <c r="B29" s="20" t="n">
        <v>5</v>
      </c>
      <c r="D29" s="7" t="inlineStr">
        <is>
          <t>Kısmi</t>
        </is>
      </c>
      <c r="E29" s="20" t="n">
        <v>1</v>
      </c>
      <c r="G29" s="20" t="n">
        <v>3</v>
      </c>
      <c r="H29" s="21" t="n">
        <v>105</v>
      </c>
      <c r="J29" s="7" t="inlineStr">
        <is>
          <t>Kısmi +10</t>
        </is>
      </c>
      <c r="K29" s="21" t="n">
        <v>150</v>
      </c>
    </row>
    <row r="30">
      <c r="A30" s="7" t="inlineStr">
        <is>
          <t>Eşleşmedi</t>
        </is>
      </c>
      <c r="B30" s="20" t="n">
        <v>3</v>
      </c>
      <c r="D30" s="7" t="inlineStr">
        <is>
          <t>Belge</t>
        </is>
      </c>
      <c r="E30" s="20" t="n">
        <v>1</v>
      </c>
      <c r="G30" s="20" t="n">
        <v>4</v>
      </c>
      <c r="H30" s="21" t="n">
        <v>117.5</v>
      </c>
      <c r="J30" s="7" t="inlineStr">
        <is>
          <t>Belge eksik</t>
        </is>
      </c>
      <c r="K30" s="21" t="n">
        <v>95</v>
      </c>
    </row>
    <row r="31">
      <c r="D31" s="7" t="inlineStr">
        <is>
          <t>Zamanlama</t>
        </is>
      </c>
      <c r="E31" s="20" t="n">
        <v>0</v>
      </c>
      <c r="G31" s="20" t="n">
        <v>5</v>
      </c>
      <c r="H31" s="21" t="n">
        <v>130</v>
      </c>
      <c r="J31" s="7" t="inlineStr">
        <is>
          <t>Tolerans sıkı</t>
        </is>
      </c>
      <c r="K31" s="21" t="n">
        <v>60</v>
      </c>
    </row>
    <row r="32">
      <c r="D32" s="7" t="inlineStr">
        <is>
          <t>Tanımsız</t>
        </is>
      </c>
      <c r="E32" s="20" t="n">
        <v>3</v>
      </c>
      <c r="G32" s="20" t="n">
        <v>6</v>
      </c>
      <c r="H32" s="21" t="n">
        <v>142.5</v>
      </c>
    </row>
    <row r="33">
      <c r="G33" s="20" t="n">
        <v>7</v>
      </c>
      <c r="H33" s="21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D12:H12"/>
    <mergeCell ref="D7:H7"/>
    <mergeCell ref="D8:H8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1.0.0&amp;CExcelArşiv&amp;RSayfa &amp;P / &amp;N</oddFooter>
    <evenHeader/>
    <evenFooter>&amp;LHizmet İhracatı %100 İndirim + Transfer Takip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8" customWidth="1" min="3" max="3"/>
  </cols>
  <sheetData>
    <row r="1" ht="26" customHeight="1">
      <c r="A1" s="1" t="inlineStr">
        <is>
          <t>GIRDI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Dönem, belge tamamlık ve yer teslimi girdileri — sarı hücreler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Hizmet ihracatı faturaları — sarı hücrelere yapıştırın / girin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Banka transferleri — gelen ödemeler</t>
        </is>
      </c>
      <c r="B3" s="23" t="n"/>
      <c r="C3" s="23" t="n"/>
      <c r="D3" s="23" t="n"/>
      <c r="E3" s="23" t="n"/>
      <c r="F3" s="23" t="n"/>
      <c r="G3" s="23" t="n"/>
      <c r="H3" s="23" t="n"/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Normalize anahtar + uzunluk + ikincil + duplike (Ç7 / E01 / E05)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Öncelik kurallı kök neden — eşleşmeyen fark TANIMSIZ (E04)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36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3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 ht="26" customHeight="1">
      <c r="A1" s="1" t="inlineStr">
        <is>
          <t>SENARYO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6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6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/ düzeltme metni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57" t="inlineStr">
        <is>
          <t>Dönem Hizmet İhracatı %100 İndirim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6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6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6" customWidth="1" min="5" max="5"/>
    <col width="12" customWidth="1" min="7" max="7"/>
  </cols>
  <sheetData>
    <row r="1" ht="26" customHeight="1">
      <c r="A1" s="1" t="inlineStr">
        <is>
          <t>LISTELER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Alıcı Ülke Listesi</t>
        </is>
      </c>
      <c r="C3" s="16" t="inlineStr">
        <is>
          <t>Durum Listesi</t>
        </is>
      </c>
      <c r="E3" s="50" t="inlineStr">
        <is>
          <t>Banka Listesi</t>
        </is>
      </c>
      <c r="G3" s="50" t="inlineStr">
        <is>
          <t>EvetHayir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8" customWidth="1" min="8" max="8"/>
    <col width="42" customWidth="1" min="9" max="9"/>
  </cols>
  <sheetData>
    <row r="1" ht="26" customHeight="1">
      <c r="A1" s="1" t="inlineStr">
        <is>
          <t>AYARLAR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— kaynak ve yürürlük zorunlu (D10)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Hizmet İhracatı %100 İndirim + Transfer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14:J14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2026-08-10T22:13:35Z</dcterms:created>
  <dcterms:modified xsi:type="dcterms:W3CDTF">2026-08-10T22:13:36Z</dcterms:modified>
</cp:coreProperties>
</file>