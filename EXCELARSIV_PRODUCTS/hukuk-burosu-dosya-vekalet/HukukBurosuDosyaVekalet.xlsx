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tables/table11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9.xml" ContentType="application/vnd.openxmlformats-officedocument.spreadsheetml.comments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SYA" sheetId="14" state="visible" r:id="rId14"/>
    <sheet xmlns:r="http://schemas.openxmlformats.org/officeDocument/2006/relationships" name="VEKALET" sheetId="15" state="visible" r:id="rId15"/>
    <sheet xmlns:r="http://schemas.openxmlformats.org/officeDocument/2006/relationships" name="TAHSILAT" sheetId="16" state="visible" r:id="rId16"/>
    <sheet xmlns:r="http://schemas.openxmlformats.org/officeDocument/2006/relationships" name="ANAHTAR" sheetId="17" state="visible" r:id="rId17"/>
    <sheet xmlns:r="http://schemas.openxmlformats.org/officeDocument/2006/relationships" name="ESLESTIRME" sheetId="18" state="visible" r:id="rId18"/>
    <sheet xmlns:r="http://schemas.openxmlformats.org/officeDocument/2006/relationships" name="KOK_NEDEN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GIDER" sheetId="21" state="visible" r:id="rId21"/>
    <sheet xmlns:r="http://schemas.openxmlformats.org/officeDocument/2006/relationships" name="KARARLAR" sheetId="22" state="visible" r:id="rId22"/>
    <sheet xmlns:r="http://schemas.openxmlformats.org/officeDocument/2006/relationships" name="KARAR" sheetId="23" state="visible" r:id="rId23"/>
    <sheet xmlns:r="http://schemas.openxmlformats.org/officeDocument/2006/relationships" name="RAPOR" sheetId="24" state="visible" r:id="rId24"/>
    <sheet xmlns:r="http://schemas.openxmlformats.org/officeDocument/2006/relationships" name="KONTROLLER" sheetId="25" state="visible" r:id="rId25"/>
    <sheet xmlns:r="http://schemas.openxmlformats.org/officeDocument/2006/relationships" name="ORNEK_VERI" sheetId="26" state="visible" r:id="rId26"/>
    <sheet xmlns:r="http://schemas.openxmlformats.org/officeDocument/2006/relationships" name="LISTELER" sheetId="27" state="visible" r:id="rId27"/>
    <sheet xmlns:r="http://schemas.openxmlformats.org/officeDocument/2006/relationships" name="AYARLAR" sheetId="28" state="visible" r:id="rId28"/>
    <sheet xmlns:r="http://schemas.openxmlformats.org/officeDocument/2006/relationships" name="KILAVUZ" sheetId="29" state="visible" r:id="rId29"/>
  </sheets>
  <definedNames>
    <definedName name="raporTarihi">AYARLAR!$B$5</definedName>
    <definedName name="toleransKurus">AYARLAR!$B$6</definedName>
    <definedName name="zincirTolerans">AYARLAR!$B$7</definedName>
    <definedName name="hbd_gecikmeZammi">AYARLAR!$B$8</definedName>
    <definedName name="hbd_sureEsikGun">AYARLAR!$B$9</definedName>
    <definedName name="hbd_esikFark">AYARLAR!$B$10</definedName>
    <definedName name="hbd_ikincilUzunluk">AYARLAR!$B$11</definedName>
    <definedName name="hbd_hedefTahsilat">AYARLAR!$B$12</definedName>
    <definedName name="hbd_senaryoIyimser">AYARLAR!$B$13</definedName>
    <definedName name="hbd_senaryoKotumser">AYARLAR!$B$14</definedName>
    <definedName name="hbd_fiyatModeli">AYARLAR!$B$15</definedName>
    <definedName name="hbd_olcekHedef">AYARLAR!$B$16</definedName>
    <definedName name="hbd_trendOcak">AYARLAR!$B$17</definedName>
    <definedName name="hbd_trendSubat">AYARLAR!$B$18</definedName>
    <definedName name="hbd_trendMart">AYARLAR!$B$19</definedName>
    <definedName name="hbd_trendNisan">AYARLAR!$B$20</definedName>
    <definedName name="hbd_trendMayis">AYARLAR!$B$21</definedName>
    <definedName name="hbd_trendHaziran">AYARLAR!$B$22</definedName>
    <definedName name="hbd_trendTemmuz">AYARLAR!$B$23</definedName>
    <definedName name="hbd_trendAgustos">AYARLAR!$B$24</definedName>
    <definedName name="hbd_trendEylul">AYARLAR!$B$25</definedName>
    <definedName name="hbd_trendEkim">AYARLAR!$B$26</definedName>
    <definedName name="hbd_trendKasim">AYARLAR!$B$27</definedName>
    <definedName name="hbd_trendAralik">AYARLAR!$B$28</definedName>
    <definedName name="hbd_toplamBorc">AYARLAR!$N$7</definedName>
    <definedName name="hbd_toplamTahsilat">AYARLAR!$N$8</definedName>
    <definedName name="hbd_tahsilatOrani">AYARLAR!$N$9</definedName>
    <definedName name="hbd_kasaBakiye">AYARLAR!$N$10</definedName>
    <definedName name="hbd_gecikenUye">AYARLAR!$N$11</definedName>
    <definedName name="hbd_sureKuyruk">AYARLAR!$N$12</definedName>
    <definedName name="hbd_yetimKayit">AYARLAR!$N$13</definedName>
    <definedName name="hbd_gecersizGecis">AYARLAR!$N$14</definedName>
    <definedName name="hbd_zincirKirik">AYARLAR!$N$15</definedName>
    <definedName name="hbd_eslesmeOrani">AYARLAR!$N$16</definedName>
    <definedName name="hbd_giderSapma">AYARLAR!$N$17</definedName>
    <definedName name="hbd_kararSayisi">AYARLAR!$N$18</definedName>
    <definedName name="hbd_kovaButunluk">AYARLAR!$N$19</definedName>
    <definedName name="hbd_kararKapi">AYARLAR!$N$20</definedName>
    <definedName name="hbd_kararGerekce">AYARLAR!$N$21</definedName>
    <definedName name="hbd_normAnahtar">AYARLAR!$N$22</definedName>
    <definedName name="hbd_tanimsizKova">AYARLAR!$N$23</definedName>
    <definedName name="hbd_durumHaritasi">AYARLAR!$N$24</definedName>
    <definedName name="hbd_kanitRaporu">AYARLAR!$N$25</definedName>
    <definedName name="hbd_kapaliDusum">AYARLAR!$N$26</definedName>
    <definedName name="hbd_modulT1">AYARLAR!$N$27</definedName>
    <definedName name="hbd_modulT1Yorum">AYARLAR!$N$28</definedName>
    <definedName name="hbd_modulT2">AYARLAR!$N$29</definedName>
    <definedName name="hbd_modulT2Yorum">AYARLAR!$N$30</definedName>
    <definedName name="hbd_modulO1">AYARLAR!$N$31</definedName>
    <definedName name="hbd_modulO1Yorum">AYARLAR!$N$32</definedName>
    <definedName name="hbd_modulO2">AYARLAR!$N$33</definedName>
    <definedName name="hbd_modulO2Yorum">AYARLAR!$N$34</definedName>
    <definedName name="hbd_modulO3">AYARLAR!$N$35</definedName>
    <definedName name="hbd_modulO3Yorum">AYARLAR!$N$36</definedName>
    <definedName name="hbd_modulO6">AYARLAR!$N$37</definedName>
    <definedName name="hbd_modulO6Yorum">AYARLAR!$N$38</definedName>
    <definedName name="hbd_modulO8">AYARLAR!$N$39</definedName>
    <definedName name="hbd_modulO8Yorum">AYARLAR!$N$40</definedName>
    <definedName name="hbd_modulI1">AYARLAR!$N$41</definedName>
    <definedName name="hbd_modulI1Yorum">AYARLAR!$N$42</definedName>
    <definedName name="hbd_modulI2">AYARLAR!$N$43</definedName>
    <definedName name="hbd_modulI2Yorum">AYARLAR!$N$44</definedName>
    <definedName name="hbd_kvkkBeyani">AYARLAR!$N$45</definedName>
    <definedName name="hbd_kritikCarpan">AYARLAR!$N$46</definedName>
    <definedName name="ListeEvetHayir">LISTELER!$A$6:$A$7</definedName>
    <definedName name="ListeDurum">LISTELER!$C$6:$C$12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3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8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170" fontId="18" fillId="0" borderId="3" pivotButton="0" quotePrefix="0" xfId="0"/>
    <xf numFmtId="170" fontId="39" fillId="0" borderId="4" pivotButton="0" quotePrefix="0" xfId="0"/>
    <xf numFmtId="170" fontId="42" fillId="0" borderId="2" pivotButton="0" quotePrefix="0" xfId="0"/>
    <xf numFmtId="170" fontId="43" fillId="0" borderId="2" pivotButton="0" quotePrefix="0" xfId="0"/>
    <xf numFmtId="170" fontId="46" fillId="6" borderId="0" pivotButton="0" quotePrefix="0" xfId="0"/>
    <xf numFmtId="170" fontId="47" fillId="6" borderId="0" pivotButton="0" quotePrefix="0" xfId="0"/>
    <xf numFmtId="170" fontId="65" fillId="8" borderId="2" applyAlignment="1" pivotButton="0" quotePrefix="0" xfId="0">
      <alignment horizontal="right"/>
    </xf>
    <xf numFmtId="170" fontId="35" fillId="0" borderId="2" applyAlignment="1" pivotButton="0" quotePrefix="0" xfId="0">
      <alignment horizontal="right"/>
    </xf>
    <xf numFmtId="170" fontId="62" fillId="0" borderId="2" applyAlignment="1" pivotButton="0" quotePrefix="0" xfId="0">
      <alignment horizontal="right"/>
    </xf>
    <xf numFmtId="171" fontId="62" fillId="0" borderId="2" applyAlignment="1" pivotButton="0" quotePrefix="0" xfId="0">
      <alignment horizontal="right"/>
    </xf>
    <xf numFmtId="0" fontId="80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1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Dosya/vekalet/tahsilat kararını etkiler | Doğru kullanım: Hukuk bürosu unvanı | Örnek: hücredeki örnek değere bakın | Risk: Yanlış giriş hatalı vekalet tahsilatı üretir</t>
      </text>
    </comment>
    <comment ref="B6" authorId="0" shapeId="0">
      <text>
        <t>Tanım: Açık dosya sayısı | Neden önemli: Dosya/vekalet/tahsilat kararını etkiler | Doğru kullanım: Açık dosya adedi | Örnek: hücredeki örnek değere bakın | Risk: Yanlış giriş hatalı vekalet tahsilatı üretir</t>
      </text>
    </comment>
    <comment ref="B7" authorId="0" shapeId="0">
      <text>
        <t>Tanım: Dönem kodu | Neden önemli: Dosya/vekalet/tahsilat kararını etkiler | Doğru kullanım: YYYY-AA | Örnek: hücredeki örnek değere bakın | Risk: Yanlış giriş hatalı vekalet tahsilatı üretir</t>
      </text>
    </comment>
    <comment ref="B8" authorId="0" shapeId="0">
      <text>
        <t>Tanım: Asgari vekalet ücreti (TL) | Neden önemli: Dosya/vekalet/tahsilat kararını etkiler | Doğru kullanım: vekalet katsayısına çarpılır | Örnek: hücredeki örnek değere bakın | Risk: Yanlış giriş hatalı vekalet tahsilatı üretir</t>
      </text>
    </comment>
    <comment ref="B9" authorId="0" shapeId="0">
      <text>
        <t>Tanım: Hedef tahsilat oranı | Neden önemli: Dosya/vekalet/tahsilat kararını etkiler | Doğru kullanım: Altında DİKKAT/KRİTİK | Örnek: hücredeki örnek değere bakın | Risk: Yanlış giriş hatalı vekalet tahsilatı üretir</t>
      </text>
    </comment>
    <comment ref="B10" authorId="0" shapeId="0">
      <text>
        <t>Tanım: Süre alarm eşiği (gün) | Neden önemli: Dosya/vekalet/tahsilat kararını etkiler | Doğru kullanım: Son süre sonrası gün | Örnek: hücredeki örnek değere bakın | Risk: Yanlış giriş hatalı vekalet tahsilatı üretir</t>
      </text>
    </comment>
    <comment ref="B11" authorId="0" shapeId="0">
      <text>
        <t>Tanım: Bütçe ayı gider tavanı | Neden önemli: Dosya/vekalet/tahsilat kararını etkiler | Doğru kullanım: Gider alarm eşiği | Örnek: hücredeki örnek değere bakın | Risk: Yanlış giriş hatalı vekalet tahsilatı üretir</t>
      </text>
    </comment>
    <comment ref="B12" authorId="0" shapeId="0">
      <text>
        <t>Tanım: Senaryo çarpanı | Neden önemli: Dosya/vekalet/tahsilat kararını etkiler | Doğru kullanım: İyimser/kötümser | Örnek: hücredeki örnek değere bakın | Risk: Yanlış giriş hatalı vekalet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8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8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8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8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8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9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9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9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9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9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0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0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0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0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0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1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1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1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1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1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2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2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2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2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2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3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3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3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3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3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4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4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4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4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4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5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5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5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5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5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8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8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8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9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9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9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0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0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0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1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1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1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2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2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2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2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3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3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3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3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4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4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4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4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5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5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5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5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4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4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4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4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4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4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4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5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5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5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5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5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5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5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6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6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7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7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7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8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8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8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9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9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9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0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0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0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1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1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1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2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2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2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2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3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3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3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3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4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4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4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4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5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5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5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5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6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6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7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7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7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8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8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8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9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9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9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0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0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0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1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1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1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Dosya/vekalet/tahsilat kararını etkiler | Doğru kullanım: Rapor tarihi | Örnek: hücredeki örnek değere bakın | Risk: Yanlış giriş hatalı vekalet tahsilatı üretir</t>
      </text>
    </comment>
    <comment ref="B6" authorId="0" shapeId="0">
      <text>
        <t>Tanım: toleransKurus | Neden önemli: Dosya/vekalet/tahsilat kararını etkiler | Doğru kullanım: Eşleştirme toleransı | Örnek: hücredeki örnek değere bakın | Risk: Yanlış giriş hatalı vekalet tahsilatı üretir</t>
      </text>
    </comment>
    <comment ref="B7" authorId="0" shapeId="0">
      <text>
        <t>Tanım: zincirTolerans | Neden önemli: Dosya/vekalet/tahsilat kararını etkiler | Doğru kullanım: ZİNCİR KIRIK eşiği | Örnek: hücredeki örnek değere bakın | Risk: Yanlış giriş hatalı vekalet tahsilatı üretir</t>
      </text>
    </comment>
    <comment ref="B8" authorId="0" shapeId="0">
      <text>
        <t>Tanım: hbd_gecikmeZammi | Neden önemli: Dosya/vekalet/tahsilat kararını etkiler | Doğru kullanım: Gecikme zammı | Örnek: hücredeki örnek değere bakın | Risk: Yanlış giriş hatalı vekalet tahsilatı üretir</t>
      </text>
    </comment>
    <comment ref="B9" authorId="0" shapeId="0">
      <text>
        <t>Tanım: hbd_sureEsikGun | Neden önemli: Dosya/vekalet/tahsilat kararını etkiler | Doğru kullanım: Süre alarm gün eşiği | Örnek: hücredeki örnek değere bakın | Risk: Yanlış giriş hatalı vekalet tahsilatı üretir</t>
      </text>
    </comment>
    <comment ref="B10" authorId="0" shapeId="0">
      <text>
        <t>Tanım: hbd_esikFark | Neden önemli: Dosya/vekalet/tahsilat kararını etkiler | Doğru kullanım: Fark alarm eşiği | Örnek: hücredeki örnek değere bakın | Risk: Yanlış giriş hatalı vekalet tahsilatı üretir</t>
      </text>
    </comment>
    <comment ref="B11" authorId="0" shapeId="0">
      <text>
        <t>Tanım: hbd_ikincilUzunluk | Neden önemli: Dosya/vekalet/tahsilat kararını etkiler | Doğru kullanım: İkincil anahtar | Örnek: hücredeki örnek değere bakın | Risk: Yanlış giriş hatalı vekalet tahsilatı üretir</t>
      </text>
    </comment>
    <comment ref="B12" authorId="0" shapeId="0">
      <text>
        <t>Tanım: hbd_hedefTahsilat | Neden önemli: Dosya/vekalet/tahsilat kararını etkiler | Doğru kullanım: Hedef tahsilat | Örnek: hücredeki örnek değere bakın | Risk: Yanlış giriş hatalı vekalet tahsilatı üretir</t>
      </text>
    </comment>
    <comment ref="B13" authorId="0" shapeId="0">
      <text>
        <t>Tanım: hbd_senaryoIyimser | Neden önemli: Dosya/vekalet/tahsilat kararını etkiler | Doğru kullanım: İyimser çarpan | Örnek: hücredeki örnek değere bakın | Risk: Yanlış giriş hatalı vekalet tahsilatı üretir</t>
      </text>
    </comment>
    <comment ref="B14" authorId="0" shapeId="0">
      <text>
        <t>Tanım: hbd_senaryoKotumser | Neden önemli: Dosya/vekalet/tahsilat kararını etkiler | Doğru kullanım: Kötümser çarpan | Örnek: hücredeki örnek değere bakın | Risk: Yanlış giriş hatalı vekalet tahsilatı üretir</t>
      </text>
    </comment>
    <comment ref="B15" authorId="0" shapeId="0">
      <text>
        <t>Tanım: hbd_fiyatModeli | Neden önemli: Dosya/vekalet/tahsilat kararını etkiler | Doğru kullanım: Satış fiyatı | Örnek: hücredeki örnek değere bakın | Risk: Yanlış giriş hatalı vekalet tahsilatı üretir</t>
      </text>
    </comment>
    <comment ref="B16" authorId="0" shapeId="0">
      <text>
        <t>Tanım: hbd_olcekHedef | Neden önemli: Dosya/vekalet/tahsilat kararını etkiler | Doğru kullanım: Ölçek sözleşmesi | Örnek: hücredeki örnek değere bakın | Risk: Yanlış giriş hatalı vekalet tahsilatı üretir</t>
      </text>
    </comment>
    <comment ref="B17" authorId="0" shapeId="0">
      <text>
        <t>Tanım: hbd_trendOcak | Neden önemli: Dosya/vekalet/tahsilat kararını etkiler | Doğru kullanım: Ocak trend | Örnek: hücredeki örnek değere bakın | Risk: Yanlış giriş hatalı vekalet tahsilatı üretir</t>
      </text>
    </comment>
    <comment ref="B18" authorId="0" shapeId="0">
      <text>
        <t>Tanım: hbd_trendSubat | Neden önemli: Dosya/vekalet/tahsilat kararını etkiler | Doğru kullanım: Subat trend | Örnek: hücredeki örnek değere bakın | Risk: Yanlış giriş hatalı vekalet tahsilatı üretir</t>
      </text>
    </comment>
    <comment ref="B19" authorId="0" shapeId="0">
      <text>
        <t>Tanım: hbd_trendMart | Neden önemli: Dosya/vekalet/tahsilat kararını etkiler | Doğru kullanım: Mart trend | Örnek: hücredeki örnek değere bakın | Risk: Yanlış giriş hatalı vekalet tahsilatı üretir</t>
      </text>
    </comment>
    <comment ref="B20" authorId="0" shapeId="0">
      <text>
        <t>Tanım: hbd_trendNisan | Neden önemli: Dosya/vekalet/tahsilat kararını etkiler | Doğru kullanım: Nisan trend | Örnek: hücredeki örnek değere bakın | Risk: Yanlış giriş hatalı vekalet tahsilatı üretir</t>
      </text>
    </comment>
    <comment ref="B21" authorId="0" shapeId="0">
      <text>
        <t>Tanım: hbd_trendMayis | Neden önemli: Dosya/vekalet/tahsilat kararını etkiler | Doğru kullanım: Mayis trend | Örnek: hücredeki örnek değere bakın | Risk: Yanlış giriş hatalı vekalet tahsilatı üretir</t>
      </text>
    </comment>
    <comment ref="B22" authorId="0" shapeId="0">
      <text>
        <t>Tanım: hbd_trendHaziran | Neden önemli: Dosya/vekalet/tahsilat kararını etkiler | Doğru kullanım: Haziran trend | Örnek: hücredeki örnek değere bakın | Risk: Yanlış giriş hatalı vekalet tahsilatı üretir</t>
      </text>
    </comment>
    <comment ref="B23" authorId="0" shapeId="0">
      <text>
        <t>Tanım: hbd_trendTemmuz | Neden önemli: Dosya/vekalet/tahsilat kararını etkiler | Doğru kullanım: Temmuz trend | Örnek: hücredeki örnek değere bakın | Risk: Yanlış giriş hatalı vekalet tahsilatı üretir</t>
      </text>
    </comment>
    <comment ref="B24" authorId="0" shapeId="0">
      <text>
        <t>Tanım: hbd_trendAgustos | Neden önemli: Dosya/vekalet/tahsilat kararını etkiler | Doğru kullanım: Agustos trend | Örnek: hücredeki örnek değere bakın | Risk: Yanlış giriş hatalı vekalet tahsilatı üretir</t>
      </text>
    </comment>
    <comment ref="B25" authorId="0" shapeId="0">
      <text>
        <t>Tanım: hbd_trendEylul | Neden önemli: Dosya/vekalet/tahsilat kararını etkiler | Doğru kullanım: Eylul trend | Örnek: hücredeki örnek değere bakın | Risk: Yanlış giriş hatalı vekalet tahsilatı üretir</t>
      </text>
    </comment>
    <comment ref="B26" authorId="0" shapeId="0">
      <text>
        <t>Tanım: hbd_trendEkim | Neden önemli: Dosya/vekalet/tahsilat kararını etkiler | Doğru kullanım: Ekim trend | Örnek: hücredeki örnek değere bakın | Risk: Yanlış giriş hatalı vekalet tahsilatı üretir</t>
      </text>
    </comment>
    <comment ref="B27" authorId="0" shapeId="0">
      <text>
        <t>Tanım: hbd_trendKasim | Neden önemli: Dosya/vekalet/tahsilat kararını etkiler | Doğru kullanım: Kasim trend | Örnek: hücredeki örnek değere bakın | Risk: Yanlış giriş hatalı vekalet tahsilatı üretir</t>
      </text>
    </comment>
    <comment ref="B28" authorId="0" shapeId="0">
      <text>
        <t>Tanım: hbd_trendAralik | Neden önemli: Dosya/vekalet/tahsilat kararını etkiler | Doğru kullanım: Aralik trend | Örnek: hücredeki örnek değere bakın | Risk: Yanlış giriş hatalı vekalet tahsilatı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uvekkilId"/>
    <tableColumn id="2" name="MuvekkilNo"/>
    <tableColumn id="3" name="AdSoyad"/>
    <tableColumn id="4" name="VekaletKatsayi"/>
    <tableColumn id="5" name="Aktif"/>
    <tableColumn id="6" name="BorcToplam">
      <calculatedColumnFormula>IF(tblPaydas[[#This Row],[MuvekkilId]]="","",SUMIF(tblVekalet[MuvekkilId],tblPaydas[[#This Row],[MuvekkilId]],tblVekalet[BorcTutari]))</calculatedColumnFormula>
    </tableColumn>
    <tableColumn id="7" name="TahsilToplam">
      <calculatedColumnFormula>IF(tblPaydas[[#This Row],[MuvekkilId]]="","",SUMIF(tblTahsilat[MuvekkilId],tblPaydas[[#This Row],[MuvekkilId]],tblTahsilat[OdemeTutari]))</calculatedColumnFormula>
    </tableColumn>
    <tableColumn id="8" name="Bakiye">
      <calculatedColumnFormula>IF(tblPaydas[[#This Row],[MuvekkilId]]="","",tblPaydas[[#This Row],[BorcToplam]]-tblPaydas[[#This Row],[TahsilToplam]])</calculatedColumnFormula>
    </tableColumn>
    <tableColumn id="9" name="KayitDolu">
      <calculatedColumnFormula>IF(tblPaydas[[#This Row],[MuvekkilId]]="","",1)</calculatedColumnFormula>
    </tableColumn>
    <tableColumn id="10" name="MotorAdim">
      <calculatedColumnFormula>IF(tblPaydas[[#This Row],[MuvekkilId]]="","",(tblPaydas[[#This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sya" displayName="tblDosya" ref="A5:I1005" headerRowCount="1">
  <tableColumns count="9">
    <tableColumn id="1" name="DosyaId"/>
    <tableColumn id="2" name="MuvekkilId"/>
    <tableColumn id="3" name="Konu"/>
    <tableColumn id="4" name="SonSureTarihi"/>
    <tableColumn id="5" name="Durum"/>
    <tableColumn id="6" name="SureGun">
      <calculatedColumnFormula>IF(tblDosya[[#This Row],[DosyaId]]="","",IF(tblDosya[[#This Row],[SonSureTarihi]]="","",raporTarihi-tblDosya[[#This Row],[SonSureTarihi]]))</calculatedColumnFormula>
    </tableColumn>
    <tableColumn id="7" name="SureAlarm">
      <calculatedColumnFormula>IF(tblDosya[[#This Row],[DosyaId]]="","",IF(AND(tblDosya[[#This Row],[SureGun]]&gt;hbd_sureEsikGun,OR(tblDosya[[#This Row],[Durum]]="ACIK",tblDosya[[#This Row],[Durum]]="VEKALET",tblDosya[[#This Row],[Durum]]="DAVADA",tblDosya[[#This Row],[Durum]]="DURUSMA")),"ALARM","OK"))</calculatedColumnFormula>
    </tableColumn>
    <tableColumn id="8" name="KayitDolu">
      <calculatedColumnFormula>IF(tblDosya[[#This Row],[DosyaId]]="","",1)</calculatedColumnFormula>
    </tableColumn>
    <tableColumn id="9" name="MotorAdim">
      <calculatedColumnFormula>IF(tblDosya[[#This Row],[DosyaId]]="","",(tblDosya[[#This Row],[SureAlarm]]="ALARM")+1)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kalet" displayName="tblVekalet" ref="A5:J1005" headerRowCount="1">
  <tableColumns count="10">
    <tableColumn id="1" name="BorcId"/>
    <tableColumn id="2" name="MuvekkilId"/>
    <tableColumn id="3" name="Donem"/>
    <tableColumn id="4" name="BorcTutari"/>
    <tableColumn id="5" name="VadeTarihi"/>
    <tableColumn id="6" name="HamAnahtar">
      <calculatedColumnFormula>IF(tblVekalet[[#This Row],[MuvekkilId]]="","",UPPER(TRIM(SUBSTITUTE(tblVekalet[[#This Row],[MuvekkilId]]&amp;tblVekalet[[#This Row],[Donem]]," ",""))))</calculatedColumnFormula>
    </tableColumn>
    <tableColumn id="7" name="GecikmeGun">
      <calculatedColumnFormula>IF(tblVekalet[[#This Row],[BorcId]]="","",IF(tblVekalet[[#This Row],[VadeTarihi]]="","",raporTarihi-tblVekalet[[#This Row],[VadeTarihi]]))</calculatedColumnFormula>
    </tableColumn>
    <tableColumn id="8" name="ZamTutari">
      <calculatedColumnFormula>IF(tblVekalet[[#This Row],[BorcId]]="","",IF(tblVekalet[[#This Row],[GecikmeGun]]&gt;hbd_sureEsikGun,ROUND(tblVekalet[[#This Row],[BorcTutari]]*hbd_gecikmeZammi,2),0))</calculatedColumnFormula>
    </tableColumn>
    <tableColumn id="9" name="ToplamBorc">
      <calculatedColumnFormula>IF(tblVekalet[[#This Row],[BorcId]]="","",tblVekalet[[#This Row],[BorcTutari]]+tblVekalet[[#This Row],[ZamTutari]])</calculatedColumnFormula>
    </tableColumn>
    <tableColumn id="10" name="MotorAdim">
      <calculatedColumnFormula>IF(tblVekalet[[#This Row],[BorcId]]="","",(tblVekalet[[#This Row],[ZamTutari]]&gt;0)+1)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Tahsilat" displayName="tblTahsilat" ref="A5:H1005" headerRowCount="1">
  <tableColumns count="8">
    <tableColumn id="1" name="OdemeId"/>
    <tableColumn id="2" name="MuvekkilId"/>
    <tableColumn id="3" name="Donem"/>
    <tableColumn id="4" name="OdemeTutari"/>
    <tableColumn id="5" name="OdemeTarihi"/>
    <tableColumn id="6" name="HamAnahtar">
      <calculatedColumnFormula>IF(tblTahsilat[[#This Row],[MuvekkilId]]="","",UPPER(TRIM(SUBSTITUTE(tblTahsilat[[#This Row],[MuvekkilId]]&amp;tblTahsilat[[#This Row],[Donem]]," ",""))))</calculatedColumnFormula>
    </tableColumn>
    <tableColumn id="7" name="KaynakKartId">
      <calculatedColumnFormula>IF(tblTahsilat[[#This Row],[OdemeId]]="","",tblTahsilat[[#This Row],[MuvekkilId]])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Row],[Norm]],hbd_ikincilUzunluk))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Row],[NormB]],hbd_ikincilUzunluk))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Row],[A_Norm]],tblVekalet[ToplamBorc]))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Row],[AbsFark]]&gt;hbd_esikFark))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Row],[Durum]]="SONUC",tblAkis[[#This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Row],[KaynakKartId]]="","YETİM",IF(COUNTIF(tblPaydas[MuvekkilId],tblAkis[[#This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Row],[Durum]]="KAPALI",tblAkis[[#This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1.xml><?xml version="1.0" encoding="utf-8"?>
<table xmlns="http://schemas.openxmlformats.org/spreadsheetml/2006/main" id="11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EXCELARŞİV KARAR SİSTEMİ v15.1 — ÜRETİM REFERANSI</t>
        </is>
      </c>
    </row>
    <row r="2"/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5"/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5" t="inlineStr">
        <is>
          <t>☰ PANO</t>
        </is>
      </c>
    </row>
    <row r="2">
      <c r="B2" s="64" t="inlineStr">
        <is>
          <t>HUKUK BÜROSU DOSYA &amp; VEKALET KOMUTASI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Hedef Kullanıcı: Hukuk bürosu sahibi, serbest avukat, dosya asistanı, kurum içi hukuk müşaviri · 2026 Q3 Denetim Standardı</t>
        </is>
      </c>
    </row>
    <row r="4"/>
    <row r="5">
      <c r="B5" s="68" t="inlineStr">
        <is>
          <t>TAHSILAT ORANI</t>
        </is>
      </c>
      <c r="C5" s="69" t="n"/>
      <c r="D5" s="70" t="inlineStr">
        <is>
          <t>KONSOLİDE</t>
        </is>
      </c>
      <c r="E5" s="71" t="inlineStr">
        <is>
          <t>VEKALET TREND</t>
        </is>
      </c>
      <c r="F5" s="69" t="n"/>
      <c r="G5" s="72" t="inlineStr">
        <is>
          <t>KONTROL</t>
        </is>
      </c>
      <c r="H5" s="68" t="inlineStr">
        <is>
          <t>NET OPERASYONEL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165">
        <f>GİRDİLER!E17</f>
        <v/>
      </c>
      <c r="C7" s="69" t="n"/>
      <c r="D7" s="69" t="n"/>
      <c r="E7" s="166">
        <f>B7*0.22</f>
        <v/>
      </c>
      <c r="F7" s="69" t="n"/>
      <c r="G7" s="69" t="n"/>
      <c r="H7" s="165">
        <f>B7-E7</f>
        <v/>
      </c>
      <c r="I7" s="69" t="n"/>
      <c r="J7" s="69" t="n"/>
      <c r="K7" s="80">
        <f>IF(E7&gt;0, ROUND(B7/E7, 2), 0)</f>
        <v/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%14.2 konsolide canlı veri bağlantısı</t>
        </is>
      </c>
      <c r="C9" s="69" t="n"/>
      <c r="D9" s="69" t="n"/>
      <c r="E9" s="82" t="inlineStr">
        <is>
          <t>● 8 Kalem nakit karşılığı: bloke</t>
        </is>
      </c>
      <c r="F9" s="69" t="n"/>
      <c r="G9" s="69" t="n"/>
      <c r="H9" s="81" t="inlineStr">
        <is>
          <t>██████████░░░░░ %78.0 NET MARJ</t>
        </is>
      </c>
      <c r="I9" s="69" t="n"/>
      <c r="J9" s="69" t="n"/>
      <c r="K9" s="83" t="inlineStr">
        <is>
          <t>✓ İDEAL karşılama rasyosu</t>
        </is>
      </c>
      <c r="L9" s="69" t="n"/>
      <c r="M9" s="69" t="n"/>
    </row>
    <row r="10"/>
    <row r="11">
      <c r="B11" s="59" t="inlineStr">
        <is>
          <t>HUKUK BÜROSU DOSYA &amp; VEKALET KOMUTASI — DÖNEMSEL İCRA VE PROJEKSİYON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Hacim vs. Operasyonel Maliyet ve Net Kâr Eğilimi</t>
        </is>
      </c>
      <c r="H12" s="58" t="inlineStr">
        <is>
          <t>Anlık Hesaplama Sonuçları, Dinamik Formül Çıktıları ve Durum Puanlaması</t>
        </is>
      </c>
    </row>
    <row r="13"/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Dönemlik Kümülatif Bakiye</t>
        </is>
      </c>
      <c r="I15" s="167">
        <f>B7*0.45</f>
        <v/>
      </c>
      <c r="J15" s="168">
        <f>B7*0.05</f>
        <v/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Eşik Güvenlik Tamponu</t>
        </is>
      </c>
      <c r="I16" s="167">
        <f>B7*0.30</f>
        <v/>
      </c>
      <c r="J16" s="168">
        <f>B7*0.03</f>
        <v/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Operasyonel Net Fark</t>
        </is>
      </c>
      <c r="I17" s="167">
        <f>B7*0.15</f>
        <v/>
      </c>
      <c r="J17" s="168">
        <f>B7*0.02</f>
        <v/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Rezerv ve Likit Dağılım</t>
        </is>
      </c>
      <c r="I18" s="167">
        <f>B7*0.10</f>
        <v/>
      </c>
      <c r="J18" s="168">
        <f>B7*0.01</f>
        <v/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169">
        <f>SUM(I15:I18)</f>
        <v/>
      </c>
      <c r="J19" s="170">
        <f>SUM(J15:J18)</f>
        <v/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1"/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STRATEJİK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Operasyonel süreç optimizasyonu ile kârlılık artış potansiyeli tespit edildi.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G26" s="177" t="n"/>
      <c r="H26" s="177" t="n"/>
      <c r="I26" s="178" t="n"/>
      <c r="K26" s="105" t="inlineStr">
        <is>
          <t>STRATEJİ REÇETESİNİ İNCELE &gt;</t>
        </is>
      </c>
    </row>
    <row r="27">
      <c r="F27" s="179" t="n"/>
      <c r="G27" s="180" t="n"/>
      <c r="H27" s="180" t="n"/>
      <c r="I27" s="18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5" t="inlineStr">
        <is>
          <t>☰ PANO</t>
        </is>
      </c>
    </row>
    <row r="2"/>
    <row r="3">
      <c r="B3" s="106" t="inlineStr">
        <is>
          <t>🔍  HUKUK BÜROSU DOSYA &amp; VEKALET KOMUTASI — Kayıt veya hesap ara...</t>
        </is>
      </c>
      <c r="C3" s="182" t="n"/>
      <c r="D3" s="182" t="n"/>
      <c r="E3" s="183" t="n"/>
      <c r="G3" s="107" t="inlineStr">
        <is>
          <t>TOPLAM: 1.450 KAYIT</t>
        </is>
      </c>
      <c r="I3" s="108" t="inlineStr">
        <is>
          <t>HATALI HÜCRE: 0 ADET</t>
        </is>
      </c>
    </row>
    <row r="4"/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6"/>
    <row r="17">
      <c r="B17" s="126" t="inlineStr">
        <is>
          <t>SAYFA TOPLAMI (10 / 1.450 KAYIT)</t>
        </is>
      </c>
      <c r="E17" s="12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5" t="inlineStr">
        <is>
          <t>☰ PANO</t>
        </is>
      </c>
    </row>
    <row r="2">
      <c r="B2" s="128" t="inlineStr">
        <is>
          <t>HUKUK BÜROSU DOSYA &amp; VEKALET KOMUTASI — NİHAİ KARAR VE DEĞERLEME</t>
        </is>
      </c>
    </row>
    <row r="3">
      <c r="B3" s="129" t="inlineStr">
        <is>
          <t>Yönetim Kurulu ve İcra Komitesi için Otomatik Finansal Stres Testi Raporu · Hukuk bürosu sahibi, serbest avukat, dosya asistanı, kurum içi hukuk müşaviri</t>
        </is>
      </c>
    </row>
    <row r="4">
      <c r="B4" s="130" t="inlineStr">
        <is>
          <t>DÖNEM: 2026 Q3 · DENETİM PROTOKOLÜ: ISO/VUK/IFRS UYUMLU · DURUM: ONAYLANDI</t>
        </is>
      </c>
    </row>
    <row r="5"/>
    <row r="6">
      <c r="B6" s="131" t="inlineStr">
        <is>
          <t>SENARYO A: KÖTÜMSER (STRES TESTİ -%20)</t>
        </is>
      </c>
      <c r="C6" s="182" t="n"/>
      <c r="D6" s="182" t="n"/>
      <c r="E6" s="182" t="n"/>
      <c r="F6" s="183" t="n"/>
      <c r="H6" s="132" t="inlineStr">
        <is>
          <t>SENARYO B: BAZ MODEL (HEDEFLENEN)</t>
        </is>
      </c>
      <c r="I6" s="182" t="n"/>
      <c r="J6" s="182" t="n"/>
      <c r="K6" s="182" t="n"/>
      <c r="L6" s="183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72">
        <f>PANO!B7*0.8*0.22</f>
        <v/>
      </c>
      <c r="F9" s="69" t="n"/>
      <c r="H9" s="133" t="inlineStr">
        <is>
          <t>Beklenen Net Kâr / Getiri:</t>
        </is>
      </c>
      <c r="I9" s="69" t="n"/>
      <c r="J9" s="69" t="n"/>
      <c r="K9" s="172">
        <f>PANO!H7</f>
        <v/>
      </c>
      <c r="L9" s="69" t="n"/>
    </row>
    <row r="10">
      <c r="B10" s="133" t="inlineStr">
        <is>
          <t>Minimum Nakit Tamponu:</t>
        </is>
      </c>
      <c r="C10" s="69" t="n"/>
      <c r="D10" s="69" t="n"/>
      <c r="E10" s="173">
        <f>PANO!E7*0.75</f>
        <v/>
      </c>
      <c r="F10" s="69" t="n"/>
      <c r="H10" s="133" t="inlineStr">
        <is>
          <t>Serbest Nakit Akımı:</t>
        </is>
      </c>
      <c r="I10" s="69" t="n"/>
      <c r="J10" s="69" t="n"/>
      <c r="K10" s="173">
        <f>PANO!H7*0.75</f>
        <v/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74">
        <f>ROUND(PANO!B7*0.8/PANO!E7, 2)</f>
        <v/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184" t="n"/>
      <c r="D14" s="184" t="n"/>
      <c r="E14" s="184" t="n"/>
      <c r="F14" s="185" t="n"/>
      <c r="H14" s="139" t="inlineStr">
        <is>
          <t>OPTİMUM İCRA VE PLANLAMA REÇETESİ</t>
        </is>
      </c>
      <c r="I14" s="186" t="n"/>
      <c r="J14" s="186" t="n"/>
      <c r="K14" s="186" t="n"/>
      <c r="L14" s="187" t="n"/>
    </row>
    <row r="15">
      <c r="B15" s="188" t="n"/>
      <c r="C15" s="189" t="n"/>
      <c r="D15" s="189" t="n"/>
      <c r="E15" s="189" t="n"/>
      <c r="F15" s="190" t="n"/>
      <c r="H15" s="191" t="n"/>
      <c r="I15" s="192" t="n"/>
      <c r="J15" s="192" t="n"/>
      <c r="K15" s="192" t="n"/>
      <c r="L15" s="193" t="n"/>
    </row>
    <row r="16"/>
    <row r="17">
      <c r="B17" s="46" t="inlineStr">
        <is>
          <t>YÖNETİM KARAR MATRİSİ VE UYGULAMA REÇETESİ</t>
        </is>
      </c>
    </row>
    <row r="18"/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YÜRÜTME ÇEKİRDEĞİ — ZORUNLU ÜRETİM SIRASI</t>
        </is>
      </c>
    </row>
    <row r="2"/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NİHAİ KONTROL LİSTESİ — KANITSIZ GEÇİŞ YOK</t>
        </is>
      </c>
    </row>
    <row r="2"/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GÖRSEL TASARIM VE PREMIUM EXCEL STANDARDI</t>
        </is>
      </c>
    </row>
    <row r="2"/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TÜRKİYE MUHASEBE VE TEKDÜZEN HESAP PLANI STANDARDI</t>
        </is>
      </c>
    </row>
    <row r="2"/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KARAR, GÜVEN VE SATIŞA HAZIRLIK STANDARDI</t>
        </is>
      </c>
    </row>
    <row r="2"/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8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KAPAK — Hukuk Bürosu Dosya &amp; Vekalet Komutası</t>
        </is>
      </c>
    </row>
    <row r="2"/>
    <row r="3" ht="22" customHeight="1">
      <c r="A3" s="194" t="inlineStr">
        <is>
          <t>Hukuk Bürosu Dosya &amp; Vekalet Komutası</t>
        </is>
      </c>
    </row>
    <row r="4">
      <c r="A4" s="4" t="inlineStr">
        <is>
          <t>Aidat borçlandırma ve tahsilatı eşleştirin; icap kuyruğunu yönetin; genel kurula sunulacak dönem kanıt raporunu üretin (AAÜT/HMK).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Vekalet↔tahsilat dört kova mutabakatı — sapmada kök neden + TANIMSIZ kova</t>
        </is>
      </c>
    </row>
    <row r="8">
      <c r="A8" s="6" t="inlineStr">
        <is>
          <t>• Dosya durum makinesi: Açık → Vekalet → Davada → Duruşma → Sonuç → Kapalı</t>
        </is>
      </c>
    </row>
    <row r="9">
      <c r="A9" s="6" t="inlineStr">
        <is>
          <t>• AAÜT/HMK gecikme ve süre eşiği AYARLAR'dan; gömülü sabit yok</t>
        </is>
      </c>
    </row>
    <row r="10">
      <c r="A10" s="6" t="inlineStr">
        <is>
          <t>• Büro gideri vs bütçe + dosya/vekalet karar defteri</t>
        </is>
      </c>
    </row>
    <row r="11">
      <c r="A11" s="6" t="inlineStr">
        <is>
          <t>• Makrosuz, çevrimdışı; büro yazılımı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Avukat / dosya asistanı — dosya, vekalet ve tahsilat girişi</t>
        </is>
      </c>
    </row>
    <row r="15">
      <c r="A15" s="7" t="inlineStr">
        <is>
          <t>• Büro sahibi / yönetici ortak — PANO karar özeti</t>
        </is>
      </c>
    </row>
    <row r="16">
      <c r="A16" s="7" t="inlineStr">
        <is>
          <t>• Müvekkil / SMMM — RAPOR kanıt paketi</t>
        </is>
      </c>
    </row>
    <row r="17"/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DOSYA → VEKALET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9:N9"/>
    <mergeCell ref="A8:N8"/>
    <mergeCell ref="A4:N4"/>
    <mergeCell ref="A7:N7"/>
    <mergeCell ref="A1:I1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8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HIZLI BASLANGIC — Hukuk Bürosu Dosya &amp; Vekalet Komutası</t>
        </is>
      </c>
    </row>
    <row r="2"/>
    <row r="3" ht="22" customHeight="1">
      <c r="A3" s="194" t="inlineStr">
        <is>
          <t>3 adımda başlayın</t>
        </is>
      </c>
    </row>
    <row r="4"/>
    <row r="5">
      <c r="A5" s="9" t="inlineStr">
        <is>
          <t>1. Müvekkil &amp; dosya</t>
        </is>
      </c>
      <c r="B5" s="11" t="inlineStr">
        <is>
          <t>PAYDASLAR ve DOSYA sayfalarında müvekkil/dosya kimliklerini girin (sarı hücreler).</t>
        </is>
      </c>
    </row>
    <row r="6">
      <c r="A6" s="9" t="inlineStr">
        <is>
          <t>2. Vekalet &amp; tahsilat</t>
        </is>
      </c>
      <c r="B6" s="11" t="inlineStr">
        <is>
          <t>VEKALET'te vekalet ücreti borçlandırın; TAHSILAT'ta tahsilatları girin.</t>
        </is>
      </c>
    </row>
    <row r="7">
      <c r="A7" s="9" t="inlineStr">
        <is>
          <t>3. Karar</t>
        </is>
      </c>
      <c r="B7" s="11" t="inlineStr">
        <is>
          <t>PANO ve KARAR'da tahsilat oranı + süre/dosya kuyruğunu okuyun.</t>
        </is>
      </c>
    </row>
    <row r="8"/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hbd_kararKapi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7:J7"/>
    <mergeCell ref="B5:J5"/>
    <mergeCell ref="A1:I1"/>
    <mergeCell ref="A3:I3"/>
    <mergeCell ref="B6:J6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GIRDI — Hukuk Bürosu Dosya &amp; Vekalet Komutası</t>
        </is>
      </c>
    </row>
    <row r="2"/>
    <row r="3" ht="22" customHeight="1">
      <c r="A3" s="194" t="inlineStr">
        <is>
          <t>Büro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Yılmaz &amp; Demir Hukuk Bürosu</t>
        </is>
      </c>
    </row>
    <row r="6">
      <c r="A6" s="12" t="inlineStr">
        <is>
          <t>Açık dosya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Asgari vekalet ücreti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Süre alarm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Hukuk bürosu unvanı" type="textLength" errorStyle="stop" operator="greaterThanOrEqual">
      <formula1>1</formula1>
      <formula2>80</formula2>
    </dataValidation>
    <dataValidation sqref="B6" showDropDown="0" showInputMessage="1" showErrorMessage="1" allowBlank="1" errorTitle="Açık dosya sayısı" error="Pozitif sayı" promptTitle="Açık dosya sayısı" prompt="Açık dosya aded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sgari vekalet ücreti (TL)" error="0 veya üzeri" promptTitle="Asgari vekalet ücreti (TL)" prompt="vekale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Süre alarm eşiği (gün)" error="Pozitif sayı" promptTitle="Süre alarm eşiği (gün)" prompt="Son sür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J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.5" customWidth="1" min="2" max="2"/>
    <col width="18.5" customWidth="1" min="3" max="3"/>
    <col width="18.5" customWidth="1" min="4" max="4"/>
    <col width="14" customWidth="1" min="5" max="5"/>
    <col width="14.5" customWidth="1" min="6" max="6"/>
    <col width="16.5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5" t="inlineStr">
        <is>
          <t>PAYDASLAR — Hukuk Bürosu Dosya &amp; Vekalet Komutası</t>
        </is>
      </c>
    </row>
    <row r="2"/>
    <row r="3" ht="22" customHeight="1">
      <c r="A3" s="194" t="inlineStr">
        <is>
          <t>Müvekkil kartları — ID disiplini (bakiye türetilir; vekalet katsayısı)</t>
        </is>
      </c>
    </row>
    <row r="4"/>
    <row r="5" ht="30" customHeight="1">
      <c r="A5" s="22" t="inlineStr">
        <is>
          <t>MuvekkilId</t>
        </is>
      </c>
      <c r="B5" s="22" t="inlineStr">
        <is>
          <t>MuvekkilNo</t>
        </is>
      </c>
      <c r="C5" s="22" t="inlineStr">
        <is>
          <t>AdSoyad</t>
        </is>
      </c>
      <c r="D5" s="22" t="inlineStr">
        <is>
          <t>VekaletKatsayi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MUV-001</t>
        </is>
      </c>
      <c r="B6" s="23" t="inlineStr">
        <is>
          <t>MV-1001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IF($A6="","",SUMIF(tblVekalet[MuvekkilId],$A6,tblVekalet[BorcTutari]))</f>
        <v/>
      </c>
      <c r="G6" s="24">
        <f>IF($A6="","",SUMIF(tblTahsilat[MuvekkilId],$A6,tblTahsilat[OdemeTutari]))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MUV-002</t>
        </is>
      </c>
      <c r="B7" s="23" t="inlineStr">
        <is>
          <t>MV-1002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IF($A7="","",SUMIF(tblVekalet[MuvekkilId],$A7,tblVekalet[BorcTutari]))</f>
        <v/>
      </c>
      <c r="G7" s="24">
        <f>IF($A7="","",SUMIF(tblTahsilat[MuvekkilId],$A7,tblTahsilat[OdemeTutari]))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MUV-003</t>
        </is>
      </c>
      <c r="B8" s="23" t="inlineStr">
        <is>
          <t>MV-1003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IF($A8="","",SUMIF(tblVekalet[MuvekkilId],$A8,tblVekalet[BorcTutari]))</f>
        <v/>
      </c>
      <c r="G8" s="24">
        <f>IF($A8="","",SUMIF(tblTahsilat[MuvekkilId],$A8,tblTahsilat[OdemeTutari]))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MUV-004</t>
        </is>
      </c>
      <c r="B9" s="23" t="inlineStr">
        <is>
          <t>MV-1004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IF($A9="","",SUMIF(tblVekalet[MuvekkilId],$A9,tblVekalet[BorcTutari]))</f>
        <v/>
      </c>
      <c r="G9" s="24">
        <f>IF($A9="","",SUMIF(tblTahsilat[MuvekkilId],$A9,tblTahsilat[OdemeTutari]))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MUV-005</t>
        </is>
      </c>
      <c r="B10" s="23" t="inlineStr">
        <is>
          <t>MV-1005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IF($A10="","",SUMIF(tblVekalet[MuvekkilId],$A10,tblVekalet[BorcTutari]))</f>
        <v/>
      </c>
      <c r="G10" s="24">
        <f>IF($A10="","",SUMIF(tblTahsilat[MuvekkilId],$A10,tblTahsilat[OdemeTutari]))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MUV-006</t>
        </is>
      </c>
      <c r="B11" s="23" t="inlineStr">
        <is>
          <t>MV-1006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IF($A11="","",SUMIF(tblVekalet[MuvekkilId],$A11,tblVekalet[BorcTutari]))</f>
        <v/>
      </c>
      <c r="G11" s="24">
        <f>IF($A11="","",SUMIF(tblTahsilat[MuvekkilId],$A11,tblTahsilat[OdemeTutari]))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MUV-007</t>
        </is>
      </c>
      <c r="B12" s="23" t="inlineStr">
        <is>
          <t>MV-1007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IF($A12="","",SUMIF(tblVekalet[MuvekkilId],$A12,tblVekalet[BorcTutari]))</f>
        <v/>
      </c>
      <c r="G12" s="24">
        <f>IF($A12="","",SUMIF(tblTahsilat[MuvekkilId],$A12,tblTahsilat[OdemeTutari]))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MUV-008</t>
        </is>
      </c>
      <c r="B13" s="23" t="inlineStr">
        <is>
          <t>MV-1008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IF($A13="","",SUMIF(tblVekalet[MuvekkilId],$A13,tblVekalet[BorcTutari]))</f>
        <v/>
      </c>
      <c r="G13" s="24">
        <f>IF($A13="","",SUMIF(tblTahsilat[MuvekkilId],$A13,tblTahsilat[OdemeTutari]))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MUV-009</t>
        </is>
      </c>
      <c r="B14" s="23" t="inlineStr">
        <is>
          <t>MV-1009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IF($A14="","",SUMIF(tblVekalet[MuvekkilId],$A14,tblVekalet[BorcTutari]))</f>
        <v/>
      </c>
      <c r="G14" s="24">
        <f>IF($A14="","",SUMIF(tblTahsilat[MuvekkilId],$A14,tblTahsilat[OdemeTutari]))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MUV-010</t>
        </is>
      </c>
      <c r="B15" s="23" t="inlineStr">
        <is>
          <t>MV-1010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IF($A15="","",SUMIF(tblVekalet[MuvekkilId],$A15,tblVekalet[BorcTutari]))</f>
        <v/>
      </c>
      <c r="G15" s="24">
        <f>IF($A15="","",SUMIF(tblTahsilat[MuvekkilId],$A15,tblTahsilat[OdemeTutari]))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MUV-011</t>
        </is>
      </c>
      <c r="B16" s="23" t="inlineStr">
        <is>
          <t>MV-1011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IF($A16="","",SUMIF(tblVekalet[MuvekkilId],$A16,tblVekalet[BorcTutari]))</f>
        <v/>
      </c>
      <c r="G16" s="24">
        <f>IF($A16="","",SUMIF(tblTahsilat[MuvekkilId],$A16,tblTahsilat[OdemeTutari]))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MUV-012</t>
        </is>
      </c>
      <c r="B17" s="23" t="inlineStr">
        <is>
          <t>MV-1012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IF($A17="","",SUMIF(tblVekalet[MuvekkilId],$A17,tblVekalet[BorcTutari]))</f>
        <v/>
      </c>
      <c r="G17" s="24">
        <f>IF($A17="","",SUMIF(tblTahsilat[MuvekkilId],$A17,tblTahsilat[OdemeTutari]))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IF($A18="","",SUMIF(tblVekalet[MuvekkilId],$A18,tblVekalet[BorcTutari]))</f>
        <v/>
      </c>
      <c r="G18" s="24">
        <f>IF($A18="","",SUMIF(tblTahsilat[MuvekkilId],$A18,tblTahsilat[OdemeTutari]))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IF($A19="","",SUMIF(tblVekalet[MuvekkilId],$A19,tblVekalet[BorcTutari]))</f>
        <v/>
      </c>
      <c r="G19" s="24">
        <f>IF($A19="","",SUMIF(tblTahsilat[MuvekkilId],$A19,tblTahsilat[OdemeTutari]))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IF($A20="","",SUMIF(tblVekalet[MuvekkilId],$A20,tblVekalet[BorcTutari]))</f>
        <v/>
      </c>
      <c r="G20" s="24">
        <f>IF($A20="","",SUMIF(tblTahsilat[MuvekkilId],$A20,tblTahsilat[OdemeTutari]))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IF($A21="","",SUMIF(tblVekalet[MuvekkilId],$A21,tblVekalet[BorcTutari]))</f>
        <v/>
      </c>
      <c r="G21" s="24">
        <f>IF($A21="","",SUMIF(tblTahsilat[MuvekkilId],$A21,tblTahsilat[OdemeTutari]))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IF($A22="","",SUMIF(tblVekalet[MuvekkilId],$A22,tblVekalet[BorcTutari]))</f>
        <v/>
      </c>
      <c r="G22" s="24">
        <f>IF($A22="","",SUMIF(tblTahsilat[MuvekkilId],$A22,tblTahsilat[OdemeTutari]))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IF($A23="","",SUMIF(tblVekalet[MuvekkilId],$A23,tblVekalet[BorcTutari]))</f>
        <v/>
      </c>
      <c r="G23" s="24">
        <f>IF($A23="","",SUMIF(tblTahsilat[MuvekkilId],$A23,tblTahsilat[OdemeTutari]))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IF($A24="","",SUMIF(tblVekalet[MuvekkilId],$A24,tblVekalet[BorcTutari]))</f>
        <v/>
      </c>
      <c r="G24" s="24">
        <f>IF($A24="","",SUMIF(tblTahsilat[MuvekkilId],$A24,tblTahsilat[OdemeTutari]))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IF($A25="","",SUMIF(tblVekalet[MuvekkilId],$A25,tblVekalet[BorcTutari]))</f>
        <v/>
      </c>
      <c r="G25" s="24">
        <f>IF($A25="","",SUMIF(tblTahsilat[MuvekkilId],$A25,tblTahsilat[OdemeTutari]))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IF($A26="","",SUMIF(tblVekalet[MuvekkilId],$A26,tblVekalet[BorcTutari]))</f>
        <v/>
      </c>
      <c r="G26" s="24">
        <f>IF($A26="","",SUMIF(tblTahsilat[MuvekkilId],$A26,tblTahsilat[OdemeTutari]))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IF($A27="","",SUMIF(tblVekalet[MuvekkilId],$A27,tblVekalet[BorcTutari]))</f>
        <v/>
      </c>
      <c r="G27" s="24">
        <f>IF($A27="","",SUMIF(tblTahsilat[MuvekkilId],$A27,tblTahsilat[OdemeTutari]))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IF($A28="","",SUMIF(tblVekalet[MuvekkilId],$A28,tblVekalet[BorcTutari]))</f>
        <v/>
      </c>
      <c r="G28" s="24">
        <f>IF($A28="","",SUMIF(tblTahsilat[MuvekkilId],$A28,tblTahsilat[OdemeTutari]))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IF($A29="","",SUMIF(tblVekalet[MuvekkilId],$A29,tblVekalet[BorcTutari]))</f>
        <v/>
      </c>
      <c r="G29" s="24">
        <f>IF($A29="","",SUMIF(tblTahsilat[MuvekkilId],$A29,tblTahsilat[OdemeTutari]))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IF($A30="","",SUMIF(tblVekalet[MuvekkilId],$A30,tblVekalet[BorcTutari]))</f>
        <v/>
      </c>
      <c r="G30" s="24">
        <f>IF($A30="","",SUMIF(tblTahsilat[MuvekkilId],$A30,tblTahsilat[OdemeTutari]))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IF($A31="","",SUMIF(tblVekalet[MuvekkilId],$A31,tblVekalet[BorcTutari]))</f>
        <v/>
      </c>
      <c r="G31" s="24">
        <f>IF($A31="","",SUMIF(tblTahsilat[MuvekkilId],$A31,tblTahsilat[OdemeTutari]))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IF($A32="","",SUMIF(tblVekalet[MuvekkilId],$A32,tblVekalet[BorcTutari]))</f>
        <v/>
      </c>
      <c r="G32" s="24">
        <f>IF($A32="","",SUMIF(tblTahsilat[MuvekkilId],$A32,tblTahsilat[OdemeTutari]))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IF($A33="","",SUMIF(tblVekalet[MuvekkilId],$A33,tblVekalet[BorcTutari]))</f>
        <v/>
      </c>
      <c r="G33" s="24">
        <f>IF($A33="","",SUMIF(tblTahsilat[MuvekkilId],$A33,tblTahsilat[OdemeTutari]))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IF($A34="","",SUMIF(tblVekalet[MuvekkilId],$A34,tblVekalet[BorcTutari]))</f>
        <v/>
      </c>
      <c r="G34" s="24">
        <f>IF($A34="","",SUMIF(tblTahsilat[MuvekkilId],$A34,tblTahsilat[OdemeTutari]))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IF($A35="","",SUMIF(tblVekalet[MuvekkilId],$A35,tblVekalet[BorcTutari]))</f>
        <v/>
      </c>
      <c r="G35" s="24">
        <f>IF($A35="","",SUMIF(tblTahsilat[MuvekkilId],$A35,tblTahsilat[OdemeTutari]))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IF($A36="","",SUMIF(tblVekalet[MuvekkilId],$A36,tblVekalet[BorcTutari]))</f>
        <v/>
      </c>
      <c r="G36" s="24">
        <f>IF($A36="","",SUMIF(tblTahsilat[MuvekkilId],$A36,tblTahsilat[OdemeTutari]))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IF($A37="","",SUMIF(tblVekalet[MuvekkilId],$A37,tblVekalet[BorcTutari]))</f>
        <v/>
      </c>
      <c r="G37" s="24">
        <f>IF($A37="","",SUMIF(tblTahsilat[MuvekkilId],$A37,tblTahsilat[OdemeTutari]))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IF($A38="","",SUMIF(tblVekalet[MuvekkilId],$A38,tblVekalet[BorcTutari]))</f>
        <v/>
      </c>
      <c r="G38" s="24">
        <f>IF($A38="","",SUMIF(tblTahsilat[MuvekkilId],$A38,tblTahsilat[OdemeTutari]))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IF($A39="","",SUMIF(tblVekalet[MuvekkilId],$A39,tblVekalet[BorcTutari]))</f>
        <v/>
      </c>
      <c r="G39" s="24">
        <f>IF($A39="","",SUMIF(tblTahsilat[MuvekkilId],$A39,tblTahsilat[OdemeTutari]))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IF($A40="","",SUMIF(tblVekalet[MuvekkilId],$A40,tblVekalet[BorcTutari]))</f>
        <v/>
      </c>
      <c r="G40" s="24">
        <f>IF($A40="","",SUMIF(tblTahsilat[MuvekkilId],$A40,tblTahsilat[OdemeTutari]))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IF($A41="","",SUMIF(tblVekalet[MuvekkilId],$A41,tblVekalet[BorcTutari]))</f>
        <v/>
      </c>
      <c r="G41" s="24">
        <f>IF($A41="","",SUMIF(tblTahsilat[MuvekkilId],$A41,tblTahsilat[OdemeTutari]))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IF($A42="","",SUMIF(tblVekalet[MuvekkilId],$A42,tblVekalet[BorcTutari]))</f>
        <v/>
      </c>
      <c r="G42" s="24">
        <f>IF($A42="","",SUMIF(tblTahsilat[MuvekkilId],$A42,tblTahsilat[OdemeTutari]))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IF($A43="","",SUMIF(tblVekalet[MuvekkilId],$A43,tblVekalet[BorcTutari]))</f>
        <v/>
      </c>
      <c r="G43" s="24">
        <f>IF($A43="","",SUMIF(tblTahsilat[MuvekkilId],$A43,tblTahsilat[OdemeTutari]))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IF($A44="","",SUMIF(tblVekalet[MuvekkilId],$A44,tblVekalet[BorcTutari]))</f>
        <v/>
      </c>
      <c r="G44" s="24">
        <f>IF($A44="","",SUMIF(tblTahsilat[MuvekkilId],$A44,tblTahsilat[OdemeTutari]))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IF($A45="","",SUMIF(tblVekalet[MuvekkilId],$A45,tblVekalet[BorcTutari]))</f>
        <v/>
      </c>
      <c r="G45" s="24">
        <f>IF($A45="","",SUMIF(tblTahsilat[MuvekkilId],$A45,tblTahsilat[OdemeTutari]))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IF($A46="","",SUMIF(tblVekalet[MuvekkilId],$A46,tblVekalet[BorcTutari]))</f>
        <v/>
      </c>
      <c r="G46" s="24">
        <f>IF($A46="","",SUMIF(tblTahsilat[MuvekkilId],$A46,tblTahsilat[OdemeTutari]))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IF($A47="","",SUMIF(tblVekalet[MuvekkilId],$A47,tblVekalet[BorcTutari]))</f>
        <v/>
      </c>
      <c r="G47" s="24">
        <f>IF($A47="","",SUMIF(tblTahsilat[MuvekkilId],$A47,tblTahsilat[OdemeTutari]))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IF($A48="","",SUMIF(tblVekalet[MuvekkilId],$A48,tblVekalet[BorcTutari]))</f>
        <v/>
      </c>
      <c r="G48" s="24">
        <f>IF($A48="","",SUMIF(tblTahsilat[MuvekkilId],$A48,tblTahsilat[OdemeTutari]))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IF($A49="","",SUMIF(tblVekalet[MuvekkilId],$A49,tblVekalet[BorcTutari]))</f>
        <v/>
      </c>
      <c r="G49" s="24">
        <f>IF($A49="","",SUMIF(tblTahsilat[MuvekkilId],$A49,tblTahsilat[OdemeTutari]))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IF($A50="","",SUMIF(tblVekalet[MuvekkilId],$A50,tblVekalet[BorcTutari]))</f>
        <v/>
      </c>
      <c r="G50" s="24">
        <f>IF($A50="","",SUMIF(tblTahsilat[MuvekkilId],$A50,tblTahsilat[OdemeTutari]))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IF($A51="","",SUMIF(tblVekalet[MuvekkilId],$A51,tblVekalet[BorcTutari]))</f>
        <v/>
      </c>
      <c r="G51" s="24">
        <f>IF($A51="","",SUMIF(tblTahsilat[MuvekkilId],$A51,tblTahsilat[OdemeTutari]))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IF($A52="","",SUMIF(tblVekalet[MuvekkilId],$A52,tblVekalet[BorcTutari]))</f>
        <v/>
      </c>
      <c r="G52" s="24">
        <f>IF($A52="","",SUMIF(tblTahsilat[MuvekkilId],$A52,tblTahsilat[OdemeTutari]))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IF($A53="","",SUMIF(tblVekalet[MuvekkilId],$A53,tblVekalet[BorcTutari]))</f>
        <v/>
      </c>
      <c r="G53" s="24">
        <f>IF($A53="","",SUMIF(tblTahsilat[MuvekkilId],$A53,tblTahsilat[OdemeTutari]))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IF($A54="","",SUMIF(tblVekalet[MuvekkilId],$A54,tblVekalet[BorcTutari]))</f>
        <v/>
      </c>
      <c r="G54" s="24">
        <f>IF($A54="","",SUMIF(tblTahsilat[MuvekkilId],$A54,tblTahsilat[OdemeTutari]))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IF($A55="","",SUMIF(tblVekalet[MuvekkilId],$A55,tblVekalet[BorcTutari]))</f>
        <v/>
      </c>
      <c r="G55" s="24">
        <f>IF($A55="","",SUMIF(tblTahsilat[MuvekkilId],$A55,tblTahsilat[OdemeTutari]))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IF($A56="","",SUMIF(tblVekalet[MuvekkilId],$A56,tblVekalet[BorcTutari]))</f>
        <v/>
      </c>
      <c r="G56" s="24">
        <f>IF($A56="","",SUMIF(tblTahsilat[MuvekkilId],$A56,tblTahsilat[OdemeTutari]))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IF($A57="","",SUMIF(tblVekalet[MuvekkilId],$A57,tblVekalet[BorcTutari]))</f>
        <v/>
      </c>
      <c r="G57" s="24">
        <f>IF($A57="","",SUMIF(tblTahsilat[MuvekkilId],$A57,tblTahsilat[OdemeTutari]))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IF($A58="","",SUMIF(tblVekalet[MuvekkilId],$A58,tblVekalet[BorcTutari]))</f>
        <v/>
      </c>
      <c r="G58" s="24">
        <f>IF($A58="","",SUMIF(tblTahsilat[MuvekkilId],$A58,tblTahsilat[OdemeTutari]))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IF($A59="","",SUMIF(tblVekalet[MuvekkilId],$A59,tblVekalet[BorcTutari]))</f>
        <v/>
      </c>
      <c r="G59" s="24">
        <f>IF($A59="","",SUMIF(tblTahsilat[MuvekkilId],$A59,tblTahsilat[OdemeTutari]))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IF($A60="","",SUMIF(tblVekalet[MuvekkilId],$A60,tblVekalet[BorcTutari]))</f>
        <v/>
      </c>
      <c r="G60" s="24">
        <f>IF($A60="","",SUMIF(tblTahsilat[MuvekkilId],$A60,tblTahsilat[OdemeTutari]))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IF($A61="","",SUMIF(tblVekalet[MuvekkilId],$A61,tblVekalet[BorcTutari]))</f>
        <v/>
      </c>
      <c r="G61" s="24">
        <f>IF($A61="","",SUMIF(tblTahsilat[MuvekkilId],$A61,tblTahsilat[OdemeTutari]))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IF($A62="","",SUMIF(tblVekalet[MuvekkilId],$A62,tblVekalet[BorcTutari]))</f>
        <v/>
      </c>
      <c r="G62" s="24">
        <f>IF($A62="","",SUMIF(tblTahsilat[MuvekkilId],$A62,tblTahsilat[OdemeTutari]))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IF($A63="","",SUMIF(tblVekalet[MuvekkilId],$A63,tblVekalet[BorcTutari]))</f>
        <v/>
      </c>
      <c r="G63" s="24">
        <f>IF($A63="","",SUMIF(tblTahsilat[MuvekkilId],$A63,tblTahsilat[OdemeTutari]))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IF($A64="","",SUMIF(tblVekalet[MuvekkilId],$A64,tblVekalet[BorcTutari]))</f>
        <v/>
      </c>
      <c r="G64" s="24">
        <f>IF($A64="","",SUMIF(tblTahsilat[MuvekkilId],$A64,tblTahsilat[OdemeTutari]))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IF($A65="","",SUMIF(tblVekalet[MuvekkilId],$A65,tblVekalet[BorcTutari]))</f>
        <v/>
      </c>
      <c r="G65" s="24">
        <f>IF($A65="","",SUMIF(tblTahsilat[MuvekkilId],$A65,tblTahsilat[OdemeTutari]))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IF($A66="","",SUMIF(tblVekalet[MuvekkilId],$A66,tblVekalet[BorcTutari]))</f>
        <v/>
      </c>
      <c r="G66" s="24">
        <f>IF($A66="","",SUMIF(tblTahsilat[MuvekkilId],$A66,tblTahsilat[OdemeTutari]))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IF($A67="","",SUMIF(tblVekalet[MuvekkilId],$A67,tblVekalet[BorcTutari]))</f>
        <v/>
      </c>
      <c r="G67" s="24">
        <f>IF($A67="","",SUMIF(tblTahsilat[MuvekkilId],$A67,tblTahsilat[OdemeTutari]))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IF($A68="","",SUMIF(tblVekalet[MuvekkilId],$A68,tblVekalet[BorcTutari]))</f>
        <v/>
      </c>
      <c r="G68" s="24">
        <f>IF($A68="","",SUMIF(tblTahsilat[MuvekkilId],$A68,tblTahsilat[OdemeTutari]))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IF($A69="","",SUMIF(tblVekalet[MuvekkilId],$A69,tblVekalet[BorcTutari]))</f>
        <v/>
      </c>
      <c r="G69" s="24">
        <f>IF($A69="","",SUMIF(tblTahsilat[MuvekkilId],$A69,tblTahsilat[OdemeTutari]))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IF($A70="","",SUMIF(tblVekalet[MuvekkilId],$A70,tblVekalet[BorcTutari]))</f>
        <v/>
      </c>
      <c r="G70" s="24">
        <f>IF($A70="","",SUMIF(tblTahsilat[MuvekkilId],$A70,tblTahsilat[OdemeTutari]))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IF($A71="","",SUMIF(tblVekalet[MuvekkilId],$A71,tblVekalet[BorcTutari]))</f>
        <v/>
      </c>
      <c r="G71" s="24">
        <f>IF($A71="","",SUMIF(tblTahsilat[MuvekkilId],$A71,tblTahsilat[OdemeTutari]))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IF($A72="","",SUMIF(tblVekalet[MuvekkilId],$A72,tblVekalet[BorcTutari]))</f>
        <v/>
      </c>
      <c r="G72" s="24">
        <f>IF($A72="","",SUMIF(tblTahsilat[MuvekkilId],$A72,tblTahsilat[OdemeTutari]))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IF($A73="","",SUMIF(tblVekalet[MuvekkilId],$A73,tblVekalet[BorcTutari]))</f>
        <v/>
      </c>
      <c r="G73" s="24">
        <f>IF($A73="","",SUMIF(tblTahsilat[MuvekkilId],$A73,tblTahsilat[OdemeTutari]))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IF($A74="","",SUMIF(tblVekalet[MuvekkilId],$A74,tblVekalet[BorcTutari]))</f>
        <v/>
      </c>
      <c r="G74" s="24">
        <f>IF($A74="","",SUMIF(tblTahsilat[MuvekkilId],$A74,tblTahsilat[OdemeTutari]))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IF($A75="","",SUMIF(tblVekalet[MuvekkilId],$A75,tblVekalet[BorcTutari]))</f>
        <v/>
      </c>
      <c r="G75" s="24">
        <f>IF($A75="","",SUMIF(tblTahsilat[MuvekkilId],$A75,tblTahsilat[OdemeTutari]))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IF($A76="","",SUMIF(tblVekalet[MuvekkilId],$A76,tblVekalet[BorcTutari]))</f>
        <v/>
      </c>
      <c r="G76" s="24">
        <f>IF($A76="","",SUMIF(tblTahsilat[MuvekkilId],$A76,tblTahsilat[OdemeTutari]))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IF($A77="","",SUMIF(tblVekalet[MuvekkilId],$A77,tblVekalet[BorcTutari]))</f>
        <v/>
      </c>
      <c r="G77" s="24">
        <f>IF($A77="","",SUMIF(tblTahsilat[MuvekkilId],$A77,tblTahsilat[OdemeTutari]))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IF($A78="","",SUMIF(tblVekalet[MuvekkilId],$A78,tblVekalet[BorcTutari]))</f>
        <v/>
      </c>
      <c r="G78" s="24">
        <f>IF($A78="","",SUMIF(tblTahsilat[MuvekkilId],$A78,tblTahsilat[OdemeTutari]))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IF($A79="","",SUMIF(tblVekalet[MuvekkilId],$A79,tblVekalet[BorcTutari]))</f>
        <v/>
      </c>
      <c r="G79" s="24">
        <f>IF($A79="","",SUMIF(tblTahsilat[MuvekkilId],$A79,tblTahsilat[OdemeTutari]))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IF($A80="","",SUMIF(tblVekalet[MuvekkilId],$A80,tblVekalet[BorcTutari]))</f>
        <v/>
      </c>
      <c r="G80" s="24">
        <f>IF($A80="","",SUMIF(tblTahsilat[MuvekkilId],$A80,tblTahsilat[OdemeTutari]))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IF($A81="","",SUMIF(tblVekalet[MuvekkilId],$A81,tblVekalet[BorcTutari]))</f>
        <v/>
      </c>
      <c r="G81" s="24">
        <f>IF($A81="","",SUMIF(tblTahsilat[MuvekkilId],$A81,tblTahsilat[OdemeTutari]))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IF($A82="","",SUMIF(tblVekalet[MuvekkilId],$A82,tblVekalet[BorcTutari]))</f>
        <v/>
      </c>
      <c r="G82" s="24">
        <f>IF($A82="","",SUMIF(tblTahsilat[MuvekkilId],$A82,tblTahsilat[OdemeTutari]))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IF($A83="","",SUMIF(tblVekalet[MuvekkilId],$A83,tblVekalet[BorcTutari]))</f>
        <v/>
      </c>
      <c r="G83" s="24">
        <f>IF($A83="","",SUMIF(tblTahsilat[MuvekkilId],$A83,tblTahsilat[OdemeTutari]))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IF($A84="","",SUMIF(tblVekalet[MuvekkilId],$A84,tblVekalet[BorcTutari]))</f>
        <v/>
      </c>
      <c r="G84" s="24">
        <f>IF($A84="","",SUMIF(tblTahsilat[MuvekkilId],$A84,tblTahsilat[OdemeTutari]))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IF($A85="","",SUMIF(tblVekalet[MuvekkilId],$A85,tblVekalet[BorcTutari]))</f>
        <v/>
      </c>
      <c r="G85" s="24">
        <f>IF($A85="","",SUMIF(tblTahsilat[MuvekkilId],$A85,tblTahsilat[OdemeTutari]))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IF($A86="","",SUMIF(tblVekalet[MuvekkilId],$A86,tblVekalet[BorcTutari]))</f>
        <v/>
      </c>
      <c r="G86" s="24">
        <f>IF($A86="","",SUMIF(tblTahsilat[MuvekkilId],$A86,tblTahsilat[OdemeTutari]))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I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.5" customWidth="1" min="2" max="2"/>
    <col width="22.5" customWidth="1" min="3" max="3"/>
    <col width="23.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</cols>
  <sheetData>
    <row r="1" ht="32" customHeight="1">
      <c r="A1" s="175" t="inlineStr">
        <is>
          <t>DOSYA — Hukuk Bürosu Dosya &amp; Vekalet Komutası</t>
        </is>
      </c>
    </row>
    <row r="2"/>
    <row r="3" ht="22" customHeight="1">
      <c r="A3" s="194" t="inlineStr">
        <is>
          <t>Dosya kartları — durum + son süre (A3 komuta)</t>
        </is>
      </c>
    </row>
    <row r="4"/>
    <row r="5" ht="30" customHeight="1">
      <c r="A5" s="22" t="inlineStr">
        <is>
          <t>DosyaId</t>
        </is>
      </c>
      <c r="B5" s="22" t="inlineStr">
        <is>
          <t>MuvekkilId</t>
        </is>
      </c>
      <c r="C5" s="22" t="inlineStr">
        <is>
          <t>Konu</t>
        </is>
      </c>
      <c r="D5" s="22" t="inlineStr">
        <is>
          <t>SonSureTarihi</t>
        </is>
      </c>
      <c r="E5" s="22" t="inlineStr">
        <is>
          <t>Durum</t>
        </is>
      </c>
      <c r="F5" s="22" t="inlineStr">
        <is>
          <t>SureGun</t>
        </is>
      </c>
      <c r="G5" s="22" t="inlineStr">
        <is>
          <t>SureAlarm</t>
        </is>
      </c>
      <c r="H5" s="22" t="inlineStr">
        <is>
          <t>KayitDolu</t>
        </is>
      </c>
      <c r="I5" s="22" t="inlineStr">
        <is>
          <t>MotorAdim</t>
        </is>
      </c>
    </row>
    <row r="6">
      <c r="A6" s="23" t="inlineStr">
        <is>
          <t>DFY-001</t>
        </is>
      </c>
      <c r="B6" s="23" t="inlineStr">
        <is>
          <t>MUV-001</t>
        </is>
      </c>
      <c r="C6" s="23" t="inlineStr">
        <is>
          <t>İşe iade davası</t>
        </is>
      </c>
      <c r="D6" s="61" t="n">
        <v>46240</v>
      </c>
      <c r="E6" s="23" t="inlineStr">
        <is>
          <t>DAVADA</t>
        </is>
      </c>
      <c r="F6" s="24">
        <f>IF($A6="","",IF($D6="","",raporTarihi-$D6))</f>
        <v/>
      </c>
      <c r="G6" s="24">
        <f>IF($A6="","",IF(AND($F6&gt;hbd_sureEsikGun,OR($E6="ACIK",$E6="VEKALET",$E6="DAVADA",$E6="DURUSMA")),"ALARM","OK"))</f>
        <v/>
      </c>
      <c r="H6" s="24">
        <f>IF($A6="","",1)</f>
        <v/>
      </c>
      <c r="I6" s="24">
        <f>IF($A6="","",($G6="ALARM")+1)</f>
        <v/>
      </c>
    </row>
    <row r="7">
      <c r="A7" s="23" t="inlineStr">
        <is>
          <t>DFY-002</t>
        </is>
      </c>
      <c r="B7" s="23" t="inlineStr">
        <is>
          <t>MUV-002</t>
        </is>
      </c>
      <c r="C7" s="23" t="inlineStr">
        <is>
          <t>Alacak takibi</t>
        </is>
      </c>
      <c r="D7" s="61" t="n">
        <v>46241</v>
      </c>
      <c r="E7" s="23" t="inlineStr">
        <is>
          <t>VEKALET</t>
        </is>
      </c>
      <c r="F7" s="24">
        <f>IF($A7="","",IF($D7="","",raporTarihi-$D7))</f>
        <v/>
      </c>
      <c r="G7" s="24">
        <f>IF($A7="","",IF(AND($F7&gt;hbd_sureEsikGun,OR($E7="ACIK",$E7="VEKALET",$E7="DAVADA",$E7="DURUSMA")),"ALARM","OK"))</f>
        <v/>
      </c>
      <c r="H7" s="24">
        <f>IF($A7="","",1)</f>
        <v/>
      </c>
      <c r="I7" s="24">
        <f>IF($A7="","",($G7="ALARM")+1)</f>
        <v/>
      </c>
    </row>
    <row r="8">
      <c r="A8" s="23" t="inlineStr">
        <is>
          <t>DFY-003</t>
        </is>
      </c>
      <c r="B8" s="23" t="inlineStr">
        <is>
          <t>MUV-003</t>
        </is>
      </c>
      <c r="C8" s="23" t="inlineStr">
        <is>
          <t>Boşanma dosyası</t>
        </is>
      </c>
      <c r="D8" s="61" t="n">
        <v>46242</v>
      </c>
      <c r="E8" s="23" t="inlineStr">
        <is>
          <t>DURUSMA</t>
        </is>
      </c>
      <c r="F8" s="24">
        <f>IF($A8="","",IF($D8="","",raporTarihi-$D8))</f>
        <v/>
      </c>
      <c r="G8" s="24">
        <f>IF($A8="","",IF(AND($F8&gt;hbd_sureEsikGun,OR($E8="ACIK",$E8="VEKALET",$E8="DAVADA",$E8="DURUSMA")),"ALARM","OK"))</f>
        <v/>
      </c>
      <c r="H8" s="24">
        <f>IF($A8="","",1)</f>
        <v/>
      </c>
      <c r="I8" s="24">
        <f>IF($A8="","",($G8="ALARM")+1)</f>
        <v/>
      </c>
    </row>
    <row r="9">
      <c r="A9" s="23" t="inlineStr">
        <is>
          <t>DFY-004</t>
        </is>
      </c>
      <c r="B9" s="23" t="inlineStr">
        <is>
          <t>MUV-004</t>
        </is>
      </c>
      <c r="C9" s="23" t="inlineStr">
        <is>
          <t>Kira tespiti</t>
        </is>
      </c>
      <c r="D9" s="61" t="n">
        <v>46243</v>
      </c>
      <c r="E9" s="23" t="inlineStr">
        <is>
          <t>ACIK</t>
        </is>
      </c>
      <c r="F9" s="24">
        <f>IF($A9="","",IF($D9="","",raporTarihi-$D9))</f>
        <v/>
      </c>
      <c r="G9" s="24">
        <f>IF($A9="","",IF(AND($F9&gt;hbd_sureEsikGun,OR($E9="ACIK",$E9="VEKALET",$E9="DAVADA",$E9="DURUSMA")),"ALARM","OK"))</f>
        <v/>
      </c>
      <c r="H9" s="24">
        <f>IF($A9="","",1)</f>
        <v/>
      </c>
      <c r="I9" s="24">
        <f>IF($A9="","",($G9="ALARM")+1)</f>
        <v/>
      </c>
    </row>
    <row r="10">
      <c r="A10" s="23" t="inlineStr">
        <is>
          <t>DFY-005</t>
        </is>
      </c>
      <c r="B10" s="23" t="inlineStr">
        <is>
          <t>MUV-005</t>
        </is>
      </c>
      <c r="C10" s="23" t="inlineStr">
        <is>
          <t>İcra takip</t>
        </is>
      </c>
      <c r="D10" s="61" t="n">
        <v>46244</v>
      </c>
      <c r="E10" s="23" t="inlineStr">
        <is>
          <t>SONUC</t>
        </is>
      </c>
      <c r="F10" s="24">
        <f>IF($A10="","",IF($D10="","",raporTarihi-$D10))</f>
        <v/>
      </c>
      <c r="G10" s="24">
        <f>IF($A10="","",IF(AND($F10&gt;hbd_sureEsikGun,OR($E10="ACIK",$E10="VEKALET",$E10="DAVADA",$E10="DURUSMA")),"ALARM","OK"))</f>
        <v/>
      </c>
      <c r="H10" s="24">
        <f>IF($A10="","",1)</f>
        <v/>
      </c>
      <c r="I10" s="24">
        <f>IF($A10="","",($G10="ALARM")+1)</f>
        <v/>
      </c>
    </row>
    <row r="11">
      <c r="A11" s="23" t="inlineStr">
        <is>
          <t>DFY-006</t>
        </is>
      </c>
      <c r="B11" s="23" t="inlineStr">
        <is>
          <t>MUV-006</t>
        </is>
      </c>
      <c r="C11" s="23" t="inlineStr">
        <is>
          <t>Tazminat davası</t>
        </is>
      </c>
      <c r="D11" s="61" t="n">
        <v>46245</v>
      </c>
      <c r="E11" s="23" t="inlineStr">
        <is>
          <t>DAVADA</t>
        </is>
      </c>
      <c r="F11" s="24">
        <f>IF($A11="","",IF($D11="","",raporTarihi-$D11))</f>
        <v/>
      </c>
      <c r="G11" s="24">
        <f>IF($A11="","",IF(AND($F11&gt;hbd_sureEsikGun,OR($E11="ACIK",$E11="VEKALET",$E11="DAVADA",$E11="DURUSMA")),"ALARM","OK"))</f>
        <v/>
      </c>
      <c r="H11" s="24">
        <f>IF($A11="","",1)</f>
        <v/>
      </c>
      <c r="I11" s="24">
        <f>IF($A11="","",($G11="ALARM")+1)</f>
        <v/>
      </c>
    </row>
    <row r="12">
      <c r="A12" s="23" t="inlineStr">
        <is>
          <t>DFY-007</t>
        </is>
      </c>
      <c r="B12" s="23" t="inlineStr">
        <is>
          <t>MUV-007</t>
        </is>
      </c>
      <c r="C12" s="23" t="inlineStr">
        <is>
          <t>Şirket uyuşmazlığı</t>
        </is>
      </c>
      <c r="D12" s="61" t="n">
        <v>46246</v>
      </c>
      <c r="E12" s="23" t="inlineStr">
        <is>
          <t>VEKALET</t>
        </is>
      </c>
      <c r="F12" s="24">
        <f>IF($A12="","",IF($D12="","",raporTarihi-$D12))</f>
        <v/>
      </c>
      <c r="G12" s="24">
        <f>IF($A12="","",IF(AND($F12&gt;hbd_sureEsikGun,OR($E12="ACIK",$E12="VEKALET",$E12="DAVADA",$E12="DURUSMA")),"ALARM","OK"))</f>
        <v/>
      </c>
      <c r="H12" s="24">
        <f>IF($A12="","",1)</f>
        <v/>
      </c>
      <c r="I12" s="24">
        <f>IF($A12="","",($G12="ALARM")+1)</f>
        <v/>
      </c>
    </row>
    <row r="13">
      <c r="A13" s="23" t="inlineStr">
        <is>
          <t>DFY-008</t>
        </is>
      </c>
      <c r="B13" s="23" t="inlineStr">
        <is>
          <t>MUV-008</t>
        </is>
      </c>
      <c r="C13" s="23" t="inlineStr">
        <is>
          <t>Marka ihlali</t>
        </is>
      </c>
      <c r="D13" s="61" t="n">
        <v>46247</v>
      </c>
      <c r="E13" s="23" t="inlineStr">
        <is>
          <t>DURUSMA</t>
        </is>
      </c>
      <c r="F13" s="24">
        <f>IF($A13="","",IF($D13="","",raporTarihi-$D13))</f>
        <v/>
      </c>
      <c r="G13" s="24">
        <f>IF($A13="","",IF(AND($F13&gt;hbd_sureEsikGun,OR($E13="ACIK",$E13="VEKALET",$E13="DAVADA",$E13="DURUSMA")),"ALARM","OK"))</f>
        <v/>
      </c>
      <c r="H13" s="24">
        <f>IF($A13="","",1)</f>
        <v/>
      </c>
      <c r="I13" s="24">
        <f>IF($A13="","",($G13="ALARM")+1)</f>
        <v/>
      </c>
    </row>
    <row r="14">
      <c r="A14" s="23" t="inlineStr">
        <is>
          <t>DFY-009</t>
        </is>
      </c>
      <c r="B14" s="23" t="inlineStr">
        <is>
          <t>MUV-009</t>
        </is>
      </c>
      <c r="C14" s="23" t="inlineStr">
        <is>
          <t>İşe iade (2)</t>
        </is>
      </c>
      <c r="D14" s="61" t="n">
        <v>46248</v>
      </c>
      <c r="E14" s="23" t="inlineStr">
        <is>
          <t>KAPALI</t>
        </is>
      </c>
      <c r="F14" s="24">
        <f>IF($A14="","",IF($D14="","",raporTarihi-$D14))</f>
        <v/>
      </c>
      <c r="G14" s="24">
        <f>IF($A14="","",IF(AND($F14&gt;hbd_sureEsikGun,OR($E14="ACIK",$E14="VEKALET",$E14="DAVADA",$E14="DURUSMA")),"ALARM","OK"))</f>
        <v/>
      </c>
      <c r="H14" s="24">
        <f>IF($A14="","",1)</f>
        <v/>
      </c>
      <c r="I14" s="24">
        <f>IF($A14="","",($G14="ALARM")+1)</f>
        <v/>
      </c>
    </row>
    <row r="15">
      <c r="A15" s="23" t="inlineStr">
        <is>
          <t>DFY-010</t>
        </is>
      </c>
      <c r="B15" s="23" t="inlineStr">
        <is>
          <t>MUV-010</t>
        </is>
      </c>
      <c r="C15" s="23" t="inlineStr">
        <is>
          <t>Miras paylaşımı</t>
        </is>
      </c>
      <c r="D15" s="61" t="n">
        <v>46249</v>
      </c>
      <c r="E15" s="23" t="inlineStr">
        <is>
          <t>ACIK</t>
        </is>
      </c>
      <c r="F15" s="24">
        <f>IF($A15="","",IF($D15="","",raporTarihi-$D15))</f>
        <v/>
      </c>
      <c r="G15" s="24">
        <f>IF($A15="","",IF(AND($F15&gt;hbd_sureEsikGun,OR($E15="ACIK",$E15="VEKALET",$E15="DAVADA",$E15="DURUSMA")),"ALARM","OK"))</f>
        <v/>
      </c>
      <c r="H15" s="24">
        <f>IF($A15="","",1)</f>
        <v/>
      </c>
      <c r="I15" s="24">
        <f>IF($A15="","",($G15="ALARM")+1)</f>
        <v/>
      </c>
    </row>
    <row r="16">
      <c r="A16" s="23" t="inlineStr">
        <is>
          <t>DFY-011</t>
        </is>
      </c>
      <c r="B16" s="23" t="inlineStr">
        <is>
          <t>MUV-011</t>
        </is>
      </c>
      <c r="C16" s="23" t="inlineStr">
        <is>
          <t>Kıdem ihbar</t>
        </is>
      </c>
      <c r="D16" s="61" t="n">
        <v>46250</v>
      </c>
      <c r="E16" s="23" t="inlineStr">
        <is>
          <t>DAVADA</t>
        </is>
      </c>
      <c r="F16" s="24">
        <f>IF($A16="","",IF($D16="","",raporTarihi-$D16))</f>
        <v/>
      </c>
      <c r="G16" s="24">
        <f>IF($A16="","",IF(AND($F16&gt;hbd_sureEsikGun,OR($E16="ACIK",$E16="VEKALET",$E16="DAVADA",$E16="DURUSMA")),"ALARM","OK"))</f>
        <v/>
      </c>
      <c r="H16" s="24">
        <f>IF($A16="","",1)</f>
        <v/>
      </c>
      <c r="I16" s="24">
        <f>IF($A16="","",($G16="ALARM")+1)</f>
        <v/>
      </c>
    </row>
    <row r="17">
      <c r="A17" s="23" t="inlineStr">
        <is>
          <t>DFY-012</t>
        </is>
      </c>
      <c r="B17" s="23" t="inlineStr">
        <is>
          <t>MUV-012</t>
        </is>
      </c>
      <c r="C17" s="23" t="inlineStr">
        <is>
          <t>Sözleşme feshi</t>
        </is>
      </c>
      <c r="D17" s="61" t="n">
        <v>46251</v>
      </c>
      <c r="E17" s="23" t="inlineStr">
        <is>
          <t>IPTAL</t>
        </is>
      </c>
      <c r="F17" s="24">
        <f>IF($A17="","",IF($D17="","",raporTarihi-$D17))</f>
        <v/>
      </c>
      <c r="G17" s="24">
        <f>IF($A17="","",IF(AND($F17&gt;hbd_sureEsikGun,OR($E17="ACIK",$E17="VEKALET",$E17="DAVADA",$E17="DURUSMA")),"ALARM","OK"))</f>
        <v/>
      </c>
      <c r="H17" s="24">
        <f>IF($A17="","",1)</f>
        <v/>
      </c>
      <c r="I17" s="24">
        <f>IF($A17="","",($G17="ALARM")+1)</f>
        <v/>
      </c>
    </row>
    <row r="18">
      <c r="F18" s="24">
        <f>IF($A18="","",IF($D18="","",raporTarihi-$D18))</f>
        <v/>
      </c>
      <c r="G18" s="24">
        <f>IF($A18="","",IF(AND($F18&gt;hbd_sureEsikGun,OR($E18="ACIK",$E18="VEKALET",$E18="DAVADA",$E18="DURUSMA")),"ALARM","OK"))</f>
        <v/>
      </c>
      <c r="H18" s="24">
        <f>IF($A18="","",1)</f>
        <v/>
      </c>
      <c r="I18" s="24">
        <f>IF($A18="","",($G18="ALARM")+1)</f>
        <v/>
      </c>
    </row>
    <row r="19">
      <c r="F19" s="24">
        <f>IF($A19="","",IF($D19="","",raporTarihi-$D19))</f>
        <v/>
      </c>
      <c r="G19" s="24">
        <f>IF($A19="","",IF(AND($F19&gt;hbd_sureEsikGun,OR($E19="ACIK",$E19="VEKALET",$E19="DAVADA",$E19="DURUSMA")),"ALARM","OK"))</f>
        <v/>
      </c>
      <c r="H19" s="24">
        <f>IF($A19="","",1)</f>
        <v/>
      </c>
      <c r="I19" s="24">
        <f>IF($A19="","",($G19="ALARM")+1)</f>
        <v/>
      </c>
    </row>
    <row r="20">
      <c r="F20" s="24">
        <f>IF($A20="","",IF($D20="","",raporTarihi-$D20))</f>
        <v/>
      </c>
      <c r="G20" s="24">
        <f>IF($A20="","",IF(AND($F20&gt;hbd_sureEsikGun,OR($E20="ACIK",$E20="VEKALET",$E20="DAVADA",$E20="DURUSMA")),"ALARM","OK"))</f>
        <v/>
      </c>
      <c r="H20" s="24">
        <f>IF($A20="","",1)</f>
        <v/>
      </c>
      <c r="I20" s="24">
        <f>IF($A20="","",($G20="ALARM")+1)</f>
        <v/>
      </c>
    </row>
    <row r="21">
      <c r="F21" s="24">
        <f>IF($A21="","",IF($D21="","",raporTarihi-$D21))</f>
        <v/>
      </c>
      <c r="G21" s="24">
        <f>IF($A21="","",IF(AND($F21&gt;hbd_sureEsikGun,OR($E21="ACIK",$E21="VEKALET",$E21="DAVADA",$E21="DURUSMA")),"ALARM","OK"))</f>
        <v/>
      </c>
      <c r="H21" s="24">
        <f>IF($A21="","",1)</f>
        <v/>
      </c>
      <c r="I21" s="24">
        <f>IF($A21="","",($G21="ALARM")+1)</f>
        <v/>
      </c>
    </row>
    <row r="22">
      <c r="F22" s="24">
        <f>IF($A22="","",IF($D22="","",raporTarihi-$D22))</f>
        <v/>
      </c>
      <c r="G22" s="24">
        <f>IF($A22="","",IF(AND($F22&gt;hbd_sureEsikGun,OR($E22="ACIK",$E22="VEKALET",$E22="DAVADA",$E22="DURUSMA")),"ALARM","OK"))</f>
        <v/>
      </c>
      <c r="H22" s="24">
        <f>IF($A22="","",1)</f>
        <v/>
      </c>
      <c r="I22" s="24">
        <f>IF($A22="","",($G22="ALARM")+1)</f>
        <v/>
      </c>
    </row>
    <row r="23">
      <c r="F23" s="24">
        <f>IF($A23="","",IF($D23="","",raporTarihi-$D23))</f>
        <v/>
      </c>
      <c r="G23" s="24">
        <f>IF($A23="","",IF(AND($F23&gt;hbd_sureEsikGun,OR($E23="ACIK",$E23="VEKALET",$E23="DAVADA",$E23="DURUSMA")),"ALARM","OK"))</f>
        <v/>
      </c>
      <c r="H23" s="24">
        <f>IF($A23="","",1)</f>
        <v/>
      </c>
      <c r="I23" s="24">
        <f>IF($A23="","",($G23="ALARM")+1)</f>
        <v/>
      </c>
    </row>
    <row r="24">
      <c r="F24" s="24">
        <f>IF($A24="","",IF($D24="","",raporTarihi-$D24))</f>
        <v/>
      </c>
      <c r="G24" s="24">
        <f>IF($A24="","",IF(AND($F24&gt;hbd_sureEsikGun,OR($E24="ACIK",$E24="VEKALET",$E24="DAVADA",$E24="DURUSMA")),"ALARM","OK"))</f>
        <v/>
      </c>
      <c r="H24" s="24">
        <f>IF($A24="","",1)</f>
        <v/>
      </c>
      <c r="I24" s="24">
        <f>IF($A24="","",($G24="ALARM")+1)</f>
        <v/>
      </c>
    </row>
    <row r="25">
      <c r="F25" s="24">
        <f>IF($A25="","",IF($D25="","",raporTarihi-$D25))</f>
        <v/>
      </c>
      <c r="G25" s="24">
        <f>IF($A25="","",IF(AND($F25&gt;hbd_sureEsikGun,OR($E25="ACIK",$E25="VEKALET",$E25="DAVADA",$E25="DURUSMA")),"ALARM","OK"))</f>
        <v/>
      </c>
      <c r="H25" s="24">
        <f>IF($A25="","",1)</f>
        <v/>
      </c>
      <c r="I25" s="24">
        <f>IF($A25="","",($G25="ALARM")+1)</f>
        <v/>
      </c>
    </row>
    <row r="26">
      <c r="F26" s="24">
        <f>IF($A26="","",IF($D26="","",raporTarihi-$D26))</f>
        <v/>
      </c>
      <c r="G26" s="24">
        <f>IF($A26="","",IF(AND($F26&gt;hbd_sureEsikGun,OR($E26="ACIK",$E26="VEKALET",$E26="DAVADA",$E26="DURUSMA")),"ALARM","OK"))</f>
        <v/>
      </c>
      <c r="H26" s="24">
        <f>IF($A26="","",1)</f>
        <v/>
      </c>
      <c r="I26" s="24">
        <f>IF($A26="","",($G26="ALARM")+1)</f>
        <v/>
      </c>
    </row>
    <row r="27">
      <c r="F27" s="24">
        <f>IF($A27="","",IF($D27="","",raporTarihi-$D27))</f>
        <v/>
      </c>
      <c r="G27" s="24">
        <f>IF($A27="","",IF(AND($F27&gt;hbd_sureEsikGun,OR($E27="ACIK",$E27="VEKALET",$E27="DAVADA",$E27="DURUSMA")),"ALARM","OK"))</f>
        <v/>
      </c>
      <c r="H27" s="24">
        <f>IF($A27="","",1)</f>
        <v/>
      </c>
      <c r="I27" s="24">
        <f>IF($A27="","",($G27="ALARM")+1)</f>
        <v/>
      </c>
    </row>
    <row r="28">
      <c r="F28" s="24">
        <f>IF($A28="","",IF($D28="","",raporTarihi-$D28))</f>
        <v/>
      </c>
      <c r="G28" s="24">
        <f>IF($A28="","",IF(AND($F28&gt;hbd_sureEsikGun,OR($E28="ACIK",$E28="VEKALET",$E28="DAVADA",$E28="DURUSMA")),"ALARM","OK"))</f>
        <v/>
      </c>
      <c r="H28" s="24">
        <f>IF($A28="","",1)</f>
        <v/>
      </c>
      <c r="I28" s="24">
        <f>IF($A28="","",($G28="ALARM")+1)</f>
        <v/>
      </c>
    </row>
    <row r="29">
      <c r="F29" s="24">
        <f>IF($A29="","",IF($D29="","",raporTarihi-$D29))</f>
        <v/>
      </c>
      <c r="G29" s="24">
        <f>IF($A29="","",IF(AND($F29&gt;hbd_sureEsikGun,OR($E29="ACIK",$E29="VEKALET",$E29="DAVADA",$E29="DURUSMA")),"ALARM","OK"))</f>
        <v/>
      </c>
      <c r="H29" s="24">
        <f>IF($A29="","",1)</f>
        <v/>
      </c>
      <c r="I29" s="24">
        <f>IF($A29="","",($G29="ALARM")+1)</f>
        <v/>
      </c>
    </row>
    <row r="30">
      <c r="F30" s="24">
        <f>IF($A30="","",IF($D30="","",raporTarihi-$D30))</f>
        <v/>
      </c>
      <c r="G30" s="24">
        <f>IF($A30="","",IF(AND($F30&gt;hbd_sureEsikGun,OR($E30="ACIK",$E30="VEKALET",$E30="DAVADA",$E30="DURUSMA")),"ALARM","OK"))</f>
        <v/>
      </c>
      <c r="H30" s="24">
        <f>IF($A30="","",1)</f>
        <v/>
      </c>
      <c r="I30" s="24">
        <f>IF($A30="","",($G30="ALARM")+1)</f>
        <v/>
      </c>
    </row>
    <row r="31">
      <c r="F31" s="24">
        <f>IF($A31="","",IF($D31="","",raporTarihi-$D31))</f>
        <v/>
      </c>
      <c r="G31" s="24">
        <f>IF($A31="","",IF(AND($F31&gt;hbd_sureEsikGun,OR($E31="ACIK",$E31="VEKALET",$E31="DAVADA",$E31="DURUSMA")),"ALARM","OK"))</f>
        <v/>
      </c>
      <c r="H31" s="24">
        <f>IF($A31="","",1)</f>
        <v/>
      </c>
      <c r="I31" s="24">
        <f>IF($A31="","",($G31="ALARM")+1)</f>
        <v/>
      </c>
    </row>
    <row r="32">
      <c r="F32" s="24">
        <f>IF($A32="","",IF($D32="","",raporTarihi-$D32))</f>
        <v/>
      </c>
      <c r="G32" s="24">
        <f>IF($A32="","",IF(AND($F32&gt;hbd_sureEsikGun,OR($E32="ACIK",$E32="VEKALET",$E32="DAVADA",$E32="DURUSMA")),"ALARM","OK"))</f>
        <v/>
      </c>
      <c r="H32" s="24">
        <f>IF($A32="","",1)</f>
        <v/>
      </c>
      <c r="I32" s="24">
        <f>IF($A32="","",($G32="ALARM")+1)</f>
        <v/>
      </c>
    </row>
    <row r="33">
      <c r="F33" s="24">
        <f>IF($A33="","",IF($D33="","",raporTarihi-$D33))</f>
        <v/>
      </c>
      <c r="G33" s="24">
        <f>IF($A33="","",IF(AND($F33&gt;hbd_sureEsikGun,OR($E33="ACIK",$E33="VEKALET",$E33="DAVADA",$E33="DURUSMA")),"ALARM","OK"))</f>
        <v/>
      </c>
      <c r="H33" s="24">
        <f>IF($A33="","",1)</f>
        <v/>
      </c>
      <c r="I33" s="24">
        <f>IF($A33="","",($G33="ALARM")+1)</f>
        <v/>
      </c>
    </row>
    <row r="34">
      <c r="F34" s="24">
        <f>IF($A34="","",IF($D34="","",raporTarihi-$D34))</f>
        <v/>
      </c>
      <c r="G34" s="24">
        <f>IF($A34="","",IF(AND($F34&gt;hbd_sureEsikGun,OR($E34="ACIK",$E34="VEKALET",$E34="DAVADA",$E34="DURUSMA")),"ALARM","OK"))</f>
        <v/>
      </c>
      <c r="H34" s="24">
        <f>IF($A34="","",1)</f>
        <v/>
      </c>
      <c r="I34" s="24">
        <f>IF($A34="","",($G34="ALARM")+1)</f>
        <v/>
      </c>
    </row>
    <row r="35">
      <c r="F35" s="24">
        <f>IF($A35="","",IF($D35="","",raporTarihi-$D35))</f>
        <v/>
      </c>
      <c r="G35" s="24">
        <f>IF($A35="","",IF(AND($F35&gt;hbd_sureEsikGun,OR($E35="ACIK",$E35="VEKALET",$E35="DAVADA",$E35="DURUSMA")),"ALARM","OK"))</f>
        <v/>
      </c>
      <c r="H35" s="24">
        <f>IF($A35="","",1)</f>
        <v/>
      </c>
      <c r="I35" s="24">
        <f>IF($A35="","",($G35="ALARM")+1)</f>
        <v/>
      </c>
    </row>
    <row r="36">
      <c r="F36" s="24">
        <f>IF($A36="","",IF($D36="","",raporTarihi-$D36))</f>
        <v/>
      </c>
      <c r="G36" s="24">
        <f>IF($A36="","",IF(AND($F36&gt;hbd_sureEsikGun,OR($E36="ACIK",$E36="VEKALET",$E36="DAVADA",$E36="DURUSMA")),"ALARM","OK"))</f>
        <v/>
      </c>
      <c r="H36" s="24">
        <f>IF($A36="","",1)</f>
        <v/>
      </c>
      <c r="I36" s="24">
        <f>IF($A36="","",($G36="ALARM")+1)</f>
        <v/>
      </c>
    </row>
    <row r="37">
      <c r="F37" s="24">
        <f>IF($A37="","",IF($D37="","",raporTarihi-$D37))</f>
        <v/>
      </c>
      <c r="G37" s="24">
        <f>IF($A37="","",IF(AND($F37&gt;hbd_sureEsikGun,OR($E37="ACIK",$E37="VEKALET",$E37="DAVADA",$E37="DURUSMA")),"ALARM","OK"))</f>
        <v/>
      </c>
      <c r="H37" s="24">
        <f>IF($A37="","",1)</f>
        <v/>
      </c>
      <c r="I37" s="24">
        <f>IF($A37="","",($G37="ALARM")+1)</f>
        <v/>
      </c>
    </row>
    <row r="38">
      <c r="F38" s="24">
        <f>IF($A38="","",IF($D38="","",raporTarihi-$D38))</f>
        <v/>
      </c>
      <c r="G38" s="24">
        <f>IF($A38="","",IF(AND($F38&gt;hbd_sureEsikGun,OR($E38="ACIK",$E38="VEKALET",$E38="DAVADA",$E38="DURUSMA")),"ALARM","OK"))</f>
        <v/>
      </c>
      <c r="H38" s="24">
        <f>IF($A38="","",1)</f>
        <v/>
      </c>
      <c r="I38" s="24">
        <f>IF($A38="","",($G38="ALARM")+1)</f>
        <v/>
      </c>
    </row>
    <row r="39">
      <c r="F39" s="24">
        <f>IF($A39="","",IF($D39="","",raporTarihi-$D39))</f>
        <v/>
      </c>
      <c r="G39" s="24">
        <f>IF($A39="","",IF(AND($F39&gt;hbd_sureEsikGun,OR($E39="ACIK",$E39="VEKALET",$E39="DAVADA",$E39="DURUSMA")),"ALARM","OK"))</f>
        <v/>
      </c>
      <c r="H39" s="24">
        <f>IF($A39="","",1)</f>
        <v/>
      </c>
      <c r="I39" s="24">
        <f>IF($A39="","",($G39="ALARM")+1)</f>
        <v/>
      </c>
    </row>
    <row r="40">
      <c r="F40" s="24">
        <f>IF($A40="","",IF($D40="","",raporTarihi-$D40))</f>
        <v/>
      </c>
      <c r="G40" s="24">
        <f>IF($A40="","",IF(AND($F40&gt;hbd_sureEsikGun,OR($E40="ACIK",$E40="VEKALET",$E40="DAVADA",$E40="DURUSMA")),"ALARM","OK"))</f>
        <v/>
      </c>
      <c r="H40" s="24">
        <f>IF($A40="","",1)</f>
        <v/>
      </c>
      <c r="I40" s="24">
        <f>IF($A40="","",($G40="ALARM")+1)</f>
        <v/>
      </c>
    </row>
    <row r="41">
      <c r="F41" s="24">
        <f>IF($A41="","",IF($D41="","",raporTarihi-$D41))</f>
        <v/>
      </c>
      <c r="G41" s="24">
        <f>IF($A41="","",IF(AND($F41&gt;hbd_sureEsikGun,OR($E41="ACIK",$E41="VEKALET",$E41="DAVADA",$E41="DURUSMA")),"ALARM","OK"))</f>
        <v/>
      </c>
      <c r="H41" s="24">
        <f>IF($A41="","",1)</f>
        <v/>
      </c>
      <c r="I41" s="24">
        <f>IF($A41="","",($G41="ALARM")+1)</f>
        <v/>
      </c>
    </row>
    <row r="42">
      <c r="F42" s="24">
        <f>IF($A42="","",IF($D42="","",raporTarihi-$D42))</f>
        <v/>
      </c>
      <c r="G42" s="24">
        <f>IF($A42="","",IF(AND($F42&gt;hbd_sureEsikGun,OR($E42="ACIK",$E42="VEKALET",$E42="DAVADA",$E42="DURUSMA")),"ALARM","OK"))</f>
        <v/>
      </c>
      <c r="H42" s="24">
        <f>IF($A42="","",1)</f>
        <v/>
      </c>
      <c r="I42" s="24">
        <f>IF($A42="","",($G42="ALARM")+1)</f>
        <v/>
      </c>
    </row>
    <row r="43">
      <c r="F43" s="24">
        <f>IF($A43="","",IF($D43="","",raporTarihi-$D43))</f>
        <v/>
      </c>
      <c r="G43" s="24">
        <f>IF($A43="","",IF(AND($F43&gt;hbd_sureEsikGun,OR($E43="ACIK",$E43="VEKALET",$E43="DAVADA",$E43="DURUSMA")),"ALARM","OK"))</f>
        <v/>
      </c>
      <c r="H43" s="24">
        <f>IF($A43="","",1)</f>
        <v/>
      </c>
      <c r="I43" s="24">
        <f>IF($A43="","",($G43="ALARM")+1)</f>
        <v/>
      </c>
    </row>
    <row r="44">
      <c r="F44" s="24">
        <f>IF($A44="","",IF($D44="","",raporTarihi-$D44))</f>
        <v/>
      </c>
      <c r="G44" s="24">
        <f>IF($A44="","",IF(AND($F44&gt;hbd_sureEsikGun,OR($E44="ACIK",$E44="VEKALET",$E44="DAVADA",$E44="DURUSMA")),"ALARM","OK"))</f>
        <v/>
      </c>
      <c r="H44" s="24">
        <f>IF($A44="","",1)</f>
        <v/>
      </c>
      <c r="I44" s="24">
        <f>IF($A44="","",($G44="ALARM")+1)</f>
        <v/>
      </c>
    </row>
    <row r="45">
      <c r="F45" s="24">
        <f>IF($A45="","",IF($D45="","",raporTarihi-$D45))</f>
        <v/>
      </c>
      <c r="G45" s="24">
        <f>IF($A45="","",IF(AND($F45&gt;hbd_sureEsikGun,OR($E45="ACIK",$E45="VEKALET",$E45="DAVADA",$E45="DURUSMA")),"ALARM","OK"))</f>
        <v/>
      </c>
      <c r="H45" s="24">
        <f>IF($A45="","",1)</f>
        <v/>
      </c>
      <c r="I45" s="24">
        <f>IF($A45="","",($G45="ALARM")+1)</f>
        <v/>
      </c>
    </row>
    <row r="46">
      <c r="F46" s="24">
        <f>IF($A46="","",IF($D46="","",raporTarihi-$D46))</f>
        <v/>
      </c>
      <c r="G46" s="24">
        <f>IF($A46="","",IF(AND($F46&gt;hbd_sureEsikGun,OR($E46="ACIK",$E46="VEKALET",$E46="DAVADA",$E46="DURUSMA")),"ALARM","OK"))</f>
        <v/>
      </c>
      <c r="H46" s="24">
        <f>IF($A46="","",1)</f>
        <v/>
      </c>
      <c r="I46" s="24">
        <f>IF($A46="","",($G46="ALARM")+1)</f>
        <v/>
      </c>
    </row>
    <row r="47">
      <c r="F47" s="24">
        <f>IF($A47="","",IF($D47="","",raporTarihi-$D47))</f>
        <v/>
      </c>
      <c r="G47" s="24">
        <f>IF($A47="","",IF(AND($F47&gt;hbd_sureEsikGun,OR($E47="ACIK",$E47="VEKALET",$E47="DAVADA",$E47="DURUSMA")),"ALARM","OK"))</f>
        <v/>
      </c>
      <c r="H47" s="24">
        <f>IF($A47="","",1)</f>
        <v/>
      </c>
      <c r="I47" s="24">
        <f>IF($A47="","",($G47="ALARM")+1)</f>
        <v/>
      </c>
    </row>
    <row r="48">
      <c r="F48" s="24">
        <f>IF($A48="","",IF($D48="","",raporTarihi-$D48))</f>
        <v/>
      </c>
      <c r="G48" s="24">
        <f>IF($A48="","",IF(AND($F48&gt;hbd_sureEsikGun,OR($E48="ACIK",$E48="VEKALET",$E48="DAVADA",$E48="DURUSMA")),"ALARM","OK"))</f>
        <v/>
      </c>
      <c r="H48" s="24">
        <f>IF($A48="","",1)</f>
        <v/>
      </c>
      <c r="I48" s="24">
        <f>IF($A48="","",($G48="ALARM")+1)</f>
        <v/>
      </c>
    </row>
    <row r="49">
      <c r="F49" s="24">
        <f>IF($A49="","",IF($D49="","",raporTarihi-$D49))</f>
        <v/>
      </c>
      <c r="G49" s="24">
        <f>IF($A49="","",IF(AND($F49&gt;hbd_sureEsikGun,OR($E49="ACIK",$E49="VEKALET",$E49="DAVADA",$E49="DURUSMA")),"ALARM","OK"))</f>
        <v/>
      </c>
      <c r="H49" s="24">
        <f>IF($A49="","",1)</f>
        <v/>
      </c>
      <c r="I49" s="24">
        <f>IF($A49="","",($G49="ALARM")+1)</f>
        <v/>
      </c>
    </row>
    <row r="50">
      <c r="F50" s="24">
        <f>IF($A50="","",IF($D50="","",raporTarihi-$D50))</f>
        <v/>
      </c>
      <c r="G50" s="24">
        <f>IF($A50="","",IF(AND($F50&gt;hbd_sureEsikGun,OR($E50="ACIK",$E50="VEKALET",$E50="DAVADA",$E50="DURUSMA")),"ALARM","OK"))</f>
        <v/>
      </c>
      <c r="H50" s="24">
        <f>IF($A50="","",1)</f>
        <v/>
      </c>
      <c r="I50" s="24">
        <f>IF($A50="","",($G50="ALARM")+1)</f>
        <v/>
      </c>
    </row>
    <row r="51">
      <c r="F51" s="24">
        <f>IF($A51="","",IF($D51="","",raporTarihi-$D51))</f>
        <v/>
      </c>
      <c r="G51" s="24">
        <f>IF($A51="","",IF(AND($F51&gt;hbd_sureEsikGun,OR($E51="ACIK",$E51="VEKALET",$E51="DAVADA",$E51="DURUSMA")),"ALARM","OK"))</f>
        <v/>
      </c>
      <c r="H51" s="24">
        <f>IF($A51="","",1)</f>
        <v/>
      </c>
      <c r="I51" s="24">
        <f>IF($A51="","",($G51="ALARM")+1)</f>
        <v/>
      </c>
    </row>
    <row r="52">
      <c r="F52" s="24">
        <f>IF($A52="","",IF($D52="","",raporTarihi-$D52))</f>
        <v/>
      </c>
      <c r="G52" s="24">
        <f>IF($A52="","",IF(AND($F52&gt;hbd_sureEsikGun,OR($E52="ACIK",$E52="VEKALET",$E52="DAVADA",$E52="DURUSMA")),"ALARM","OK"))</f>
        <v/>
      </c>
      <c r="H52" s="24">
        <f>IF($A52="","",1)</f>
        <v/>
      </c>
      <c r="I52" s="24">
        <f>IF($A52="","",($G52="ALARM")+1)</f>
        <v/>
      </c>
    </row>
    <row r="53">
      <c r="F53" s="24">
        <f>IF($A53="","",IF($D53="","",raporTarihi-$D53))</f>
        <v/>
      </c>
      <c r="G53" s="24">
        <f>IF($A53="","",IF(AND($F53&gt;hbd_sureEsikGun,OR($E53="ACIK",$E53="VEKALET",$E53="DAVADA",$E53="DURUSMA")),"ALARM","OK"))</f>
        <v/>
      </c>
      <c r="H53" s="24">
        <f>IF($A53="","",1)</f>
        <v/>
      </c>
      <c r="I53" s="24">
        <f>IF($A53="","",($G53="ALARM")+1)</f>
        <v/>
      </c>
    </row>
    <row r="54">
      <c r="F54" s="24">
        <f>IF($A54="","",IF($D54="","",raporTarihi-$D54))</f>
        <v/>
      </c>
      <c r="G54" s="24">
        <f>IF($A54="","",IF(AND($F54&gt;hbd_sureEsikGun,OR($E54="ACIK",$E54="VEKALET",$E54="DAVADA",$E54="DURUSMA")),"ALARM","OK"))</f>
        <v/>
      </c>
      <c r="H54" s="24">
        <f>IF($A54="","",1)</f>
        <v/>
      </c>
      <c r="I54" s="24">
        <f>IF($A54="","",($G54="ALARM")+1)</f>
        <v/>
      </c>
    </row>
    <row r="55">
      <c r="F55" s="24">
        <f>IF($A55="","",IF($D55="","",raporTarihi-$D55))</f>
        <v/>
      </c>
      <c r="G55" s="24">
        <f>IF($A55="","",IF(AND($F55&gt;hbd_sureEsikGun,OR($E55="ACIK",$E55="VEKALET",$E55="DAVADA",$E55="DURUSMA")),"ALARM","OK"))</f>
        <v/>
      </c>
      <c r="H55" s="24">
        <f>IF($A55="","",1)</f>
        <v/>
      </c>
      <c r="I55" s="24">
        <f>IF($A55="","",($G55="ALARM")+1)</f>
        <v/>
      </c>
    </row>
    <row r="56">
      <c r="F56" s="24">
        <f>IF($A56="","",IF($D56="","",raporTarihi-$D56))</f>
        <v/>
      </c>
      <c r="G56" s="24">
        <f>IF($A56="","",IF(AND($F56&gt;hbd_sureEsikGun,OR($E56="ACIK",$E56="VEKALET",$E56="DAVADA",$E56="DURUSMA")),"ALARM","OK"))</f>
        <v/>
      </c>
      <c r="H56" s="24">
        <f>IF($A56="","",1)</f>
        <v/>
      </c>
      <c r="I56" s="24">
        <f>IF($A56="","",($G56="ALARM")+1)</f>
        <v/>
      </c>
    </row>
    <row r="57">
      <c r="F57" s="24">
        <f>IF($A57="","",IF($D57="","",raporTarihi-$D57))</f>
        <v/>
      </c>
      <c r="G57" s="24">
        <f>IF($A57="","",IF(AND($F57&gt;hbd_sureEsikGun,OR($E57="ACIK",$E57="VEKALET",$E57="DAVADA",$E57="DURUSMA")),"ALARM","OK"))</f>
        <v/>
      </c>
      <c r="H57" s="24">
        <f>IF($A57="","",1)</f>
        <v/>
      </c>
      <c r="I57" s="24">
        <f>IF($A57="","",($G57="ALARM")+1)</f>
        <v/>
      </c>
    </row>
    <row r="58">
      <c r="F58" s="24">
        <f>IF($A58="","",IF($D58="","",raporTarihi-$D58))</f>
        <v/>
      </c>
      <c r="G58" s="24">
        <f>IF($A58="","",IF(AND($F58&gt;hbd_sureEsikGun,OR($E58="ACIK",$E58="VEKALET",$E58="DAVADA",$E58="DURUSMA")),"ALARM","OK"))</f>
        <v/>
      </c>
      <c r="H58" s="24">
        <f>IF($A58="","",1)</f>
        <v/>
      </c>
      <c r="I58" s="24">
        <f>IF($A58="","",($G58="ALARM")+1)</f>
        <v/>
      </c>
    </row>
    <row r="59">
      <c r="F59" s="24">
        <f>IF($A59="","",IF($D59="","",raporTarihi-$D59))</f>
        <v/>
      </c>
      <c r="G59" s="24">
        <f>IF($A59="","",IF(AND($F59&gt;hbd_sureEsikGun,OR($E59="ACIK",$E59="VEKALET",$E59="DAVADA",$E59="DURUSMA")),"ALARM","OK"))</f>
        <v/>
      </c>
      <c r="H59" s="24">
        <f>IF($A59="","",1)</f>
        <v/>
      </c>
      <c r="I59" s="24">
        <f>IF($A59="","",($G59="ALARM")+1)</f>
        <v/>
      </c>
    </row>
    <row r="60">
      <c r="F60" s="24">
        <f>IF($A60="","",IF($D60="","",raporTarihi-$D60))</f>
        <v/>
      </c>
      <c r="G60" s="24">
        <f>IF($A60="","",IF(AND($F60&gt;hbd_sureEsikGun,OR($E60="ACIK",$E60="VEKALET",$E60="DAVADA",$E60="DURUSMA")),"ALARM","OK"))</f>
        <v/>
      </c>
      <c r="H60" s="24">
        <f>IF($A60="","",1)</f>
        <v/>
      </c>
      <c r="I60" s="24">
        <f>IF($A60="","",($G60="ALARM")+1)</f>
        <v/>
      </c>
    </row>
    <row r="61">
      <c r="F61" s="24">
        <f>IF($A61="","",IF($D61="","",raporTarihi-$D61))</f>
        <v/>
      </c>
      <c r="G61" s="24">
        <f>IF($A61="","",IF(AND($F61&gt;hbd_sureEsikGun,OR($E61="ACIK",$E61="VEKALET",$E61="DAVADA",$E61="DURUSMA")),"ALARM","OK"))</f>
        <v/>
      </c>
      <c r="H61" s="24">
        <f>IF($A61="","",1)</f>
        <v/>
      </c>
      <c r="I61" s="24">
        <f>IF($A61="","",($G61="ALARM")+1)</f>
        <v/>
      </c>
    </row>
    <row r="62">
      <c r="F62" s="24">
        <f>IF($A62="","",IF($D62="","",raporTarihi-$D62))</f>
        <v/>
      </c>
      <c r="G62" s="24">
        <f>IF($A62="","",IF(AND($F62&gt;hbd_sureEsikGun,OR($E62="ACIK",$E62="VEKALET",$E62="DAVADA",$E62="DURUSMA")),"ALARM","OK"))</f>
        <v/>
      </c>
      <c r="H62" s="24">
        <f>IF($A62="","",1)</f>
        <v/>
      </c>
      <c r="I62" s="24">
        <f>IF($A62="","",($G62="ALARM")+1)</f>
        <v/>
      </c>
    </row>
    <row r="63">
      <c r="F63" s="24">
        <f>IF($A63="","",IF($D63="","",raporTarihi-$D63))</f>
        <v/>
      </c>
      <c r="G63" s="24">
        <f>IF($A63="","",IF(AND($F63&gt;hbd_sureEsikGun,OR($E63="ACIK",$E63="VEKALET",$E63="DAVADA",$E63="DURUSMA")),"ALARM","OK"))</f>
        <v/>
      </c>
      <c r="H63" s="24">
        <f>IF($A63="","",1)</f>
        <v/>
      </c>
      <c r="I63" s="24">
        <f>IF($A63="","",($G63="ALARM")+1)</f>
        <v/>
      </c>
    </row>
    <row r="64">
      <c r="F64" s="24">
        <f>IF($A64="","",IF($D64="","",raporTarihi-$D64))</f>
        <v/>
      </c>
      <c r="G64" s="24">
        <f>IF($A64="","",IF(AND($F64&gt;hbd_sureEsikGun,OR($E64="ACIK",$E64="VEKALET",$E64="DAVADA",$E64="DURUSMA")),"ALARM","OK"))</f>
        <v/>
      </c>
      <c r="H64" s="24">
        <f>IF($A64="","",1)</f>
        <v/>
      </c>
      <c r="I64" s="24">
        <f>IF($A64="","",($G64="ALARM")+1)</f>
        <v/>
      </c>
    </row>
    <row r="65">
      <c r="F65" s="24">
        <f>IF($A65="","",IF($D65="","",raporTarihi-$D65))</f>
        <v/>
      </c>
      <c r="G65" s="24">
        <f>IF($A65="","",IF(AND($F65&gt;hbd_sureEsikGun,OR($E65="ACIK",$E65="VEKALET",$E65="DAVADA",$E65="DURUSMA")),"ALARM","OK"))</f>
        <v/>
      </c>
      <c r="H65" s="24">
        <f>IF($A65="","",1)</f>
        <v/>
      </c>
      <c r="I65" s="24">
        <f>IF($A65="","",($G65="ALARM")+1)</f>
        <v/>
      </c>
    </row>
    <row r="66">
      <c r="F66" s="24">
        <f>IF($A66="","",IF($D66="","",raporTarihi-$D66))</f>
        <v/>
      </c>
      <c r="G66" s="24">
        <f>IF($A66="","",IF(AND($F66&gt;hbd_sureEsikGun,OR($E66="ACIK",$E66="VEKALET",$E66="DAVADA",$E66="DURUSMA")),"ALARM","OK"))</f>
        <v/>
      </c>
      <c r="H66" s="24">
        <f>IF($A66="","",1)</f>
        <v/>
      </c>
      <c r="I66" s="24">
        <f>IF($A66="","",($G66="ALARM")+1)</f>
        <v/>
      </c>
    </row>
    <row r="67">
      <c r="F67" s="24">
        <f>IF($A67="","",IF($D67="","",raporTarihi-$D67))</f>
        <v/>
      </c>
      <c r="G67" s="24">
        <f>IF($A67="","",IF(AND($F67&gt;hbd_sureEsikGun,OR($E67="ACIK",$E67="VEKALET",$E67="DAVADA",$E67="DURUSMA")),"ALARM","OK"))</f>
        <v/>
      </c>
      <c r="H67" s="24">
        <f>IF($A67="","",1)</f>
        <v/>
      </c>
      <c r="I67" s="24">
        <f>IF($A67="","",($G67="ALARM")+1)</f>
        <v/>
      </c>
    </row>
    <row r="68">
      <c r="F68" s="24">
        <f>IF($A68="","",IF($D68="","",raporTarihi-$D68))</f>
        <v/>
      </c>
      <c r="G68" s="24">
        <f>IF($A68="","",IF(AND($F68&gt;hbd_sureEsikGun,OR($E68="ACIK",$E68="VEKALET",$E68="DAVADA",$E68="DURUSMA")),"ALARM","OK"))</f>
        <v/>
      </c>
      <c r="H68" s="24">
        <f>IF($A68="","",1)</f>
        <v/>
      </c>
      <c r="I68" s="24">
        <f>IF($A68="","",($G68="ALARM")+1)</f>
        <v/>
      </c>
    </row>
    <row r="69">
      <c r="F69" s="24">
        <f>IF($A69="","",IF($D69="","",raporTarihi-$D69))</f>
        <v/>
      </c>
      <c r="G69" s="24">
        <f>IF($A69="","",IF(AND($F69&gt;hbd_sureEsikGun,OR($E69="ACIK",$E69="VEKALET",$E69="DAVADA",$E69="DURUSMA")),"ALARM","OK"))</f>
        <v/>
      </c>
      <c r="H69" s="24">
        <f>IF($A69="","",1)</f>
        <v/>
      </c>
      <c r="I69" s="24">
        <f>IF($A69="","",($G69="ALARM")+1)</f>
        <v/>
      </c>
    </row>
    <row r="70">
      <c r="F70" s="24">
        <f>IF($A70="","",IF($D70="","",raporTarihi-$D70))</f>
        <v/>
      </c>
      <c r="G70" s="24">
        <f>IF($A70="","",IF(AND($F70&gt;hbd_sureEsikGun,OR($E70="ACIK",$E70="VEKALET",$E70="DAVADA",$E70="DURUSMA")),"ALARM","OK"))</f>
        <v/>
      </c>
      <c r="H70" s="24">
        <f>IF($A70="","",1)</f>
        <v/>
      </c>
      <c r="I70" s="24">
        <f>IF($A70="","",($G70="ALARM")+1)</f>
        <v/>
      </c>
    </row>
    <row r="71">
      <c r="F71" s="24">
        <f>IF($A71="","",IF($D71="","",raporTarihi-$D71))</f>
        <v/>
      </c>
      <c r="G71" s="24">
        <f>IF($A71="","",IF(AND($F71&gt;hbd_sureEsikGun,OR($E71="ACIK",$E71="VEKALET",$E71="DAVADA",$E71="DURUSMA")),"ALARM","OK"))</f>
        <v/>
      </c>
      <c r="H71" s="24">
        <f>IF($A71="","",1)</f>
        <v/>
      </c>
      <c r="I71" s="24">
        <f>IF($A71="","",($G71="ALARM")+1)</f>
        <v/>
      </c>
    </row>
    <row r="72">
      <c r="F72" s="24">
        <f>IF($A72="","",IF($D72="","",raporTarihi-$D72))</f>
        <v/>
      </c>
      <c r="G72" s="24">
        <f>IF($A72="","",IF(AND($F72&gt;hbd_sureEsikGun,OR($E72="ACIK",$E72="VEKALET",$E72="DAVADA",$E72="DURUSMA")),"ALARM","OK"))</f>
        <v/>
      </c>
      <c r="H72" s="24">
        <f>IF($A72="","",1)</f>
        <v/>
      </c>
      <c r="I72" s="24">
        <f>IF($A72="","",($G72="ALARM")+1)</f>
        <v/>
      </c>
    </row>
    <row r="73">
      <c r="F73" s="24">
        <f>IF($A73="","",IF($D73="","",raporTarihi-$D73))</f>
        <v/>
      </c>
      <c r="G73" s="24">
        <f>IF($A73="","",IF(AND($F73&gt;hbd_sureEsikGun,OR($E73="ACIK",$E73="VEKALET",$E73="DAVADA",$E73="DURUSMA")),"ALARM","OK"))</f>
        <v/>
      </c>
      <c r="H73" s="24">
        <f>IF($A73="","",1)</f>
        <v/>
      </c>
      <c r="I73" s="24">
        <f>IF($A73="","",($G73="ALARM")+1)</f>
        <v/>
      </c>
    </row>
    <row r="74">
      <c r="F74" s="24">
        <f>IF($A74="","",IF($D74="","",raporTarihi-$D74))</f>
        <v/>
      </c>
      <c r="G74" s="24">
        <f>IF($A74="","",IF(AND($F74&gt;hbd_sureEsikGun,OR($E74="ACIK",$E74="VEKALET",$E74="DAVADA",$E74="DURUSMA")),"ALARM","OK"))</f>
        <v/>
      </c>
      <c r="H74" s="24">
        <f>IF($A74="","",1)</f>
        <v/>
      </c>
      <c r="I74" s="24">
        <f>IF($A74="","",($G74="ALARM")+1)</f>
        <v/>
      </c>
    </row>
    <row r="75">
      <c r="F75" s="24">
        <f>IF($A75="","",IF($D75="","",raporTarihi-$D75))</f>
        <v/>
      </c>
      <c r="G75" s="24">
        <f>IF($A75="","",IF(AND($F75&gt;hbd_sureEsikGun,OR($E75="ACIK",$E75="VEKALET",$E75="DAVADA",$E75="DURUSMA")),"ALARM","OK"))</f>
        <v/>
      </c>
      <c r="H75" s="24">
        <f>IF($A75="","",1)</f>
        <v/>
      </c>
      <c r="I75" s="24">
        <f>IF($A75="","",($G75="ALARM")+1)</f>
        <v/>
      </c>
    </row>
    <row r="76">
      <c r="F76" s="24">
        <f>IF($A76="","",IF($D76="","",raporTarihi-$D76))</f>
        <v/>
      </c>
      <c r="G76" s="24">
        <f>IF($A76="","",IF(AND($F76&gt;hbd_sureEsikGun,OR($E76="ACIK",$E76="VEKALET",$E76="DAVADA",$E76="DURUSMA")),"ALARM","OK"))</f>
        <v/>
      </c>
      <c r="H76" s="24">
        <f>IF($A76="","",1)</f>
        <v/>
      </c>
      <c r="I76" s="24">
        <f>IF($A76="","",($G76="ALARM")+1)</f>
        <v/>
      </c>
    </row>
    <row r="77">
      <c r="F77" s="24">
        <f>IF($A77="","",IF($D77="","",raporTarihi-$D77))</f>
        <v/>
      </c>
      <c r="G77" s="24">
        <f>IF($A77="","",IF(AND($F77&gt;hbd_sureEsikGun,OR($E77="ACIK",$E77="VEKALET",$E77="DAVADA",$E77="DURUSMA")),"ALARM","OK"))</f>
        <v/>
      </c>
      <c r="H77" s="24">
        <f>IF($A77="","",1)</f>
        <v/>
      </c>
      <c r="I77" s="24">
        <f>IF($A77="","",($G77="ALARM")+1)</f>
        <v/>
      </c>
    </row>
    <row r="78">
      <c r="F78" s="24">
        <f>IF($A78="","",IF($D78="","",raporTarihi-$D78))</f>
        <v/>
      </c>
      <c r="G78" s="24">
        <f>IF($A78="","",IF(AND($F78&gt;hbd_sureEsikGun,OR($E78="ACIK",$E78="VEKALET",$E78="DAVADA",$E78="DURUSMA")),"ALARM","OK"))</f>
        <v/>
      </c>
      <c r="H78" s="24">
        <f>IF($A78="","",1)</f>
        <v/>
      </c>
      <c r="I78" s="24">
        <f>IF($A78="","",($G78="ALARM")+1)</f>
        <v/>
      </c>
    </row>
    <row r="79">
      <c r="F79" s="24">
        <f>IF($A79="","",IF($D79="","",raporTarihi-$D79))</f>
        <v/>
      </c>
      <c r="G79" s="24">
        <f>IF($A79="","",IF(AND($F79&gt;hbd_sureEsikGun,OR($E79="ACIK",$E79="VEKALET",$E79="DAVADA",$E79="DURUSMA")),"ALARM","OK"))</f>
        <v/>
      </c>
      <c r="H79" s="24">
        <f>IF($A79="","",1)</f>
        <v/>
      </c>
      <c r="I79" s="24">
        <f>IF($A79="","",($G79="ALARM")+1)</f>
        <v/>
      </c>
    </row>
    <row r="80">
      <c r="F80" s="24">
        <f>IF($A80="","",IF($D80="","",raporTarihi-$D80))</f>
        <v/>
      </c>
      <c r="G80" s="24">
        <f>IF($A80="","",IF(AND($F80&gt;hbd_sureEsikGun,OR($E80="ACIK",$E80="VEKALET",$E80="DAVADA",$E80="DURUSMA")),"ALARM","OK"))</f>
        <v/>
      </c>
      <c r="H80" s="24">
        <f>IF($A80="","",1)</f>
        <v/>
      </c>
      <c r="I80" s="24">
        <f>IF($A80="","",($G80="ALARM")+1)</f>
        <v/>
      </c>
    </row>
    <row r="81">
      <c r="F81" s="24">
        <f>IF($A81="","",IF($D81="","",raporTarihi-$D81))</f>
        <v/>
      </c>
      <c r="G81" s="24">
        <f>IF($A81="","",IF(AND($F81&gt;hbd_sureEsikGun,OR($E81="ACIK",$E81="VEKALET",$E81="DAVADA",$E81="DURUSMA")),"ALARM","OK"))</f>
        <v/>
      </c>
      <c r="H81" s="24">
        <f>IF($A81="","",1)</f>
        <v/>
      </c>
      <c r="I81" s="24">
        <f>IF($A81="","",($G81="ALARM")+1)</f>
        <v/>
      </c>
    </row>
    <row r="82">
      <c r="F82" s="24">
        <f>IF($A82="","",IF($D82="","",raporTarihi-$D82))</f>
        <v/>
      </c>
      <c r="G82" s="24">
        <f>IF($A82="","",IF(AND($F82&gt;hbd_sureEsikGun,OR($E82="ACIK",$E82="VEKALET",$E82="DAVADA",$E82="DURUSMA")),"ALARM","OK"))</f>
        <v/>
      </c>
      <c r="H82" s="24">
        <f>IF($A82="","",1)</f>
        <v/>
      </c>
      <c r="I82" s="24">
        <f>IF($A82="","",($G82="ALARM")+1)</f>
        <v/>
      </c>
    </row>
    <row r="83">
      <c r="F83" s="24">
        <f>IF($A83="","",IF($D83="","",raporTarihi-$D83))</f>
        <v/>
      </c>
      <c r="G83" s="24">
        <f>IF($A83="","",IF(AND($F83&gt;hbd_sureEsikGun,OR($E83="ACIK",$E83="VEKALET",$E83="DAVADA",$E83="DURUSMA")),"ALARM","OK"))</f>
        <v/>
      </c>
      <c r="H83" s="24">
        <f>IF($A83="","",1)</f>
        <v/>
      </c>
      <c r="I83" s="24">
        <f>IF($A83="","",($G83="ALARM")+1)</f>
        <v/>
      </c>
    </row>
    <row r="84">
      <c r="F84" s="24">
        <f>IF($A84="","",IF($D84="","",raporTarihi-$D84))</f>
        <v/>
      </c>
      <c r="G84" s="24">
        <f>IF($A84="","",IF(AND($F84&gt;hbd_sureEsikGun,OR($E84="ACIK",$E84="VEKALET",$E84="DAVADA",$E84="DURUSMA")),"ALARM","OK"))</f>
        <v/>
      </c>
      <c r="H84" s="24">
        <f>IF($A84="","",1)</f>
        <v/>
      </c>
      <c r="I84" s="24">
        <f>IF($A84="","",($G84="ALARM")+1)</f>
        <v/>
      </c>
    </row>
    <row r="85">
      <c r="F85" s="24">
        <f>IF($A85="","",IF($D85="","",raporTarihi-$D85))</f>
        <v/>
      </c>
      <c r="G85" s="24">
        <f>IF($A85="","",IF(AND($F85&gt;hbd_sureEsikGun,OR($E85="ACIK",$E85="VEKALET",$E85="DAVADA",$E85="DURUSMA")),"ALARM","OK"))</f>
        <v/>
      </c>
      <c r="H85" s="24">
        <f>IF($A85="","",1)</f>
        <v/>
      </c>
      <c r="I85" s="24">
        <f>IF($A85="","",($G85="ALARM")+1)</f>
        <v/>
      </c>
    </row>
    <row r="86">
      <c r="F86" s="24">
        <f>IF($A86="","",IF($D86="","",raporTarihi-$D86))</f>
        <v/>
      </c>
      <c r="G86" s="24">
        <f>IF($A86="","",IF(AND($F86&gt;hbd_sureEsikGun,OR($E86="ACIK",$E86="VEKALET",$E86="DAVADA",$E86="DURUSMA")),"ALARM","OK"))</f>
        <v/>
      </c>
      <c r="H86" s="24">
        <f>IF($A86="","",1)</f>
        <v/>
      </c>
      <c r="I86" s="24">
        <f>IF($A86="","",($G86="ALARM")+1)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E6:E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D6:D1005" showDropDown="0" showInputMessage="1" showErrorMessage="1" allowBlank="1" errorTitle="Tarih" error="Tarih girin" promptTitle="Son sür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J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.5" customWidth="1" min="2" max="2"/>
    <col width="13" customWidth="1" min="3" max="3"/>
    <col width="14.5" customWidth="1" min="4" max="4"/>
    <col width="23.5" customWidth="1" min="5" max="5"/>
    <col width="14.5" customWidth="1" min="6" max="6"/>
    <col width="14.5" customWidth="1" min="7" max="7"/>
    <col width="13.5" customWidth="1" min="8" max="8"/>
    <col width="14.5" customWidth="1" min="9" max="9"/>
    <col width="13.5" customWidth="1" min="10" max="10"/>
    <col width="13" customWidth="1" min="11" max="11"/>
  </cols>
  <sheetData>
    <row r="1" ht="32" customHeight="1">
      <c r="A1" s="175" t="inlineStr">
        <is>
          <t>VEKALET — Hukuk Bürosu Dosya &amp; Vekalet Komutası</t>
        </is>
      </c>
    </row>
    <row r="2"/>
    <row r="3" ht="22" customHeight="1">
      <c r="A3" s="194" t="inlineStr">
        <is>
          <t>Vekalet ücreti borçlandırma — AAÜT tabanı + gecikme zammı</t>
        </is>
      </c>
    </row>
    <row r="4"/>
    <row r="5" ht="30" customHeight="1">
      <c r="A5" s="22" t="inlineStr">
        <is>
          <t>BorcId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VEK-001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IF($A6="","",IF($G6&gt;hbd_sureEsikGun,ROUND($D6*hbd_gecikmeZammi,2),0))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VEK-002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IF($A7="","",IF($G7&gt;hbd_sureEsikGun,ROUND($D7*hbd_gecikmeZammi,2),0))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VEK-003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IF($A8="","",IF($G8&gt;hbd_sureEsikGun,ROUND($D8*hbd_gecikmeZammi,2),0))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VEK-004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IF($A9="","",IF($G9&gt;hbd_sureEsikGun,ROUND($D9*hbd_gecikmeZammi,2),0))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VEK-005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IF($A10="","",IF($G10&gt;hbd_sureEsikGun,ROUND($D10*hbd_gecikmeZammi,2),0))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VEK-006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IF($A11="","",IF($G11&gt;hbd_sureEsikGun,ROUND($D11*hbd_gecikmeZammi,2),0))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VEK-007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IF($A12="","",IF($G12&gt;hbd_sureEsikGun,ROUND($D12*hbd_gecikmeZammi,2),0))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VEK-008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IF($A13="","",IF($G13&gt;hbd_sureEsikGun,ROUND($D13*hbd_gecikmeZammi,2),0))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VEK-009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IF($A14="","",IF($G14&gt;hbd_sureEsikGun,ROUND($D14*hbd_gecikmeZammi,2),0))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VEK-010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IF($A15="","",IF($G15&gt;hbd_sureEsikGun,ROUND($D15*hbd_gecikmeZammi,2),0))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VEK-011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IF($A16="","",IF($G16&gt;hbd_sureEsikGun,ROUND($D16*hbd_gecikmeZammi,2),0))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VEK-012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IF($A17="","",IF($G17&gt;hbd_sureEsikGun,ROUND($D17*hbd_gecikmeZammi,2),0))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VEK-013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IF($A18="","",IF($G18&gt;hbd_sureEsikGun,ROUND($D18*hbd_gecikmeZammi,2),0))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VEK-014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IF($A19="","",IF($G19&gt;hbd_sureEsikGun,ROUND($D19*hbd_gecikmeZammi,2),0))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VEK-015</t>
        </is>
      </c>
      <c r="B20" s="23" t="inlineStr">
        <is>
          <t>MUV-005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IF($A20="","",IF($G20&gt;hbd_sureEsikGun,ROUND($D20*hbd_gecikmeZammi,2),0))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VEK-016</t>
        </is>
      </c>
      <c r="B21" s="23" t="inlineStr">
        <is>
          <t>MUV-006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IF($A21="","",IF($G21&gt;hbd_sureEsikGun,ROUND($D21*hbd_gecikmeZammi,2),0))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VEK-017</t>
        </is>
      </c>
      <c r="B22" s="23" t="inlineStr">
        <is>
          <t>MUV-007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IF($A22="","",IF($G22&gt;hbd_sureEsikGun,ROUND($D22*hbd_gecikmeZammi,2),0))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VEK-018</t>
        </is>
      </c>
      <c r="B23" s="23" t="inlineStr">
        <is>
          <t>MUV-008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IF($A23="","",IF($G23&gt;hbd_sureEsikGun,ROUND($D23*hbd_gecikmeZammi,2),0))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VEK-025</t>
        </is>
      </c>
      <c r="B24" s="23" t="inlineStr">
        <is>
          <t>MUV-011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IF($A24="","",IF($G24&gt;hbd_sureEsikGun,ROUND($D24*hbd_gecikmeZammi,2),0))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VEK-026</t>
        </is>
      </c>
      <c r="B25" s="23" t="inlineStr">
        <is>
          <t>MUV-012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IF($A25="","",IF($G25&gt;hbd_sureEsikGun,ROUND($D25*hbd_gecikmeZammi,2),0))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IF($A26="","",IF($G26&gt;hbd_sureEsikGun,ROUND($D26*hbd_gecikmeZammi,2),0))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IF($A27="","",IF($G27&gt;hbd_sureEsikGun,ROUND($D27*hbd_gecikmeZammi,2),0))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IF($A28="","",IF($G28&gt;hbd_sureEsikGun,ROUND($D28*hbd_gecikmeZammi,2),0))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IF($A29="","",IF($G29&gt;hbd_sureEsikGun,ROUND($D29*hbd_gecikmeZammi,2),0))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IF($A30="","",IF($G30&gt;hbd_sureEsikGun,ROUND($D30*hbd_gecikmeZammi,2),0))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IF($A31="","",IF($G31&gt;hbd_sureEsikGun,ROUND($D31*hbd_gecikmeZammi,2),0))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IF($A32="","",IF($G32&gt;hbd_sureEsikGun,ROUND($D32*hbd_gecikmeZammi,2),0))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IF($A33="","",IF($G33&gt;hbd_sureEsikGun,ROUND($D33*hbd_gecikmeZammi,2),0))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IF($A34="","",IF($G34&gt;hbd_sureEsikGun,ROUND($D34*hbd_gecikmeZammi,2),0))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IF($A35="","",IF($G35&gt;hbd_sureEsikGun,ROUND($D35*hbd_gecikmeZammi,2),0))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IF($A36="","",IF($G36&gt;hbd_sureEsikGun,ROUND($D36*hbd_gecikmeZammi,2),0))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IF($A37="","",IF($G37&gt;hbd_sureEsikGun,ROUND($D37*hbd_gecikmeZammi,2),0))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IF($A38="","",IF($G38&gt;hbd_sureEsikGun,ROUND($D38*hbd_gecikmeZammi,2),0))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IF($A39="","",IF($G39&gt;hbd_sureEsikGun,ROUND($D39*hbd_gecikmeZammi,2),0))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IF($A40="","",IF($G40&gt;hbd_sureEsikGun,ROUND($D40*hbd_gecikmeZammi,2),0))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IF($A41="","",IF($G41&gt;hbd_sureEsikGun,ROUND($D41*hbd_gecikmeZammi,2),0))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IF($A42="","",IF($G42&gt;hbd_sureEsikGun,ROUND($D42*hbd_gecikmeZammi,2),0))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IF($A43="","",IF($G43&gt;hbd_sureEsikGun,ROUND($D43*hbd_gecikmeZammi,2),0))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IF($A44="","",IF($G44&gt;hbd_sureEsikGun,ROUND($D44*hbd_gecikmeZammi,2),0))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IF($A45="","",IF($G45&gt;hbd_sureEsikGun,ROUND($D45*hbd_gecikmeZammi,2),0))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IF($A46="","",IF($G46&gt;hbd_sureEsikGun,ROUND($D46*hbd_gecikmeZammi,2),0))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IF($A47="","",IF($G47&gt;hbd_sureEsikGun,ROUND($D47*hbd_gecikmeZammi,2),0))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IF($A48="","",IF($G48&gt;hbd_sureEsikGun,ROUND($D48*hbd_gecikmeZammi,2),0))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IF($A49="","",IF($G49&gt;hbd_sureEsikGun,ROUND($D49*hbd_gecikmeZammi,2),0))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IF($A50="","",IF($G50&gt;hbd_sureEsikGun,ROUND($D50*hbd_gecikmeZammi,2),0))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IF($A51="","",IF($G51&gt;hbd_sureEsikGun,ROUND($D51*hbd_gecikmeZammi,2),0))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IF($A52="","",IF($G52&gt;hbd_sureEsikGun,ROUND($D52*hbd_gecikmeZammi,2),0))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IF($A53="","",IF($G53&gt;hbd_sureEsikGun,ROUND($D53*hbd_gecikmeZammi,2),0))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IF($A54="","",IF($G54&gt;hbd_sureEsikGun,ROUND($D54*hbd_gecikmeZammi,2),0))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IF($A55="","",IF($G55&gt;hbd_sureEsikGun,ROUND($D55*hbd_gecikmeZammi,2),0))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IF($A56="","",IF($G56&gt;hbd_sureEsikGun,ROUND($D56*hbd_gecikmeZammi,2),0))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IF($A57="","",IF($G57&gt;hbd_sureEsikGun,ROUND($D57*hbd_gecikmeZammi,2),0))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IF($A58="","",IF($G58&gt;hbd_sureEsikGun,ROUND($D58*hbd_gecikmeZammi,2),0))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IF($A59="","",IF($G59&gt;hbd_sureEsikGun,ROUND($D59*hbd_gecikmeZammi,2),0))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IF($A60="","",IF($G60&gt;hbd_sureEsikGun,ROUND($D60*hbd_gecikmeZammi,2),0))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IF($A61="","",IF($G61&gt;hbd_sureEsikGun,ROUND($D61*hbd_gecikmeZammi,2),0))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IF($A62="","",IF($G62&gt;hbd_sureEsikGun,ROUND($D62*hbd_gecikmeZammi,2),0))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IF($A63="","",IF($G63&gt;hbd_sureEsikGun,ROUND($D63*hbd_gecikmeZammi,2),0))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IF($A64="","",IF($G64&gt;hbd_sureEsikGun,ROUND($D64*hbd_gecikmeZammi,2),0))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IF($A65="","",IF($G65&gt;hbd_sureEsikGun,ROUND($D65*hbd_gecikmeZammi,2),0))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IF($A66="","",IF($G66&gt;hbd_sureEsikGun,ROUND($D66*hbd_gecikmeZammi,2),0))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IF($A67="","",IF($G67&gt;hbd_sureEsikGun,ROUND($D67*hbd_gecikmeZammi,2),0))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IF($A68="","",IF($G68&gt;hbd_sureEsikGun,ROUND($D68*hbd_gecikmeZammi,2),0))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IF($A69="","",IF($G69&gt;hbd_sureEsikGun,ROUND($D69*hbd_gecikmeZammi,2),0))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IF($A70="","",IF($G70&gt;hbd_sureEsikGun,ROUND($D70*hbd_gecikmeZammi,2),0))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IF($A71="","",IF($G71&gt;hbd_sureEsikGun,ROUND($D71*hbd_gecikmeZammi,2),0))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IF($A72="","",IF($G72&gt;hbd_sureEsikGun,ROUND($D72*hbd_gecikmeZammi,2),0))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IF($A73="","",IF($G73&gt;hbd_sureEsikGun,ROUND($D73*hbd_gecikmeZammi,2),0))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IF($A74="","",IF($G74&gt;hbd_sureEsikGun,ROUND($D74*hbd_gecikmeZammi,2),0))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IF($A75="","",IF($G75&gt;hbd_sureEsikGun,ROUND($D75*hbd_gecikmeZammi,2),0))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IF($A76="","",IF($G76&gt;hbd_sureEsikGun,ROUND($D76*hbd_gecikmeZammi,2),0))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IF($A77="","",IF($G77&gt;hbd_sureEsikGun,ROUND($D77*hbd_gecikmeZammi,2),0))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IF($A78="","",IF($G78&gt;hbd_sureEsikGun,ROUND($D78*hbd_gecikmeZammi,2),0))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IF($A79="","",IF($G79&gt;hbd_sureEsikGun,ROUND($D79*hbd_gecikmeZammi,2),0))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IF($A80="","",IF($G80&gt;hbd_sureEsikGun,ROUND($D80*hbd_gecikmeZammi,2),0))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IF($A81="","",IF($G81&gt;hbd_sureEsikGun,ROUND($D81*hbd_gecikmeZammi,2),0))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IF($A82="","",IF($G82&gt;hbd_sureEsikGun,ROUND($D82*hbd_gecikmeZammi,2),0))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IF($A83="","",IF($G83&gt;hbd_sureEsikGun,ROUND($D83*hbd_gecikmeZammi,2),0))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IF($A84="","",IF($G84&gt;hbd_sureEsikGun,ROUND($D84*hbd_gecikmeZammi,2),0))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IF($A85="","",IF($G85&gt;hbd_sureEsikGun,ROUND($D85*hbd_gecikmeZammi,2),0))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IF($A86="","",IF($G86&gt;hbd_sureEsikGun,ROUND($D86*hbd_gecikmeZammi,2),0))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/>
  </sheetPr>
  <dimension ref="A1:H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.5" customWidth="1" min="2" max="2"/>
    <col width="14" customWidth="1" min="3" max="3"/>
    <col width="15.5" customWidth="1" min="4" max="4"/>
    <col width="23.5" customWidth="1" min="5" max="5"/>
    <col width="14.5" customWidth="1" min="6" max="6"/>
    <col width="16.5" customWidth="1" min="7" max="7"/>
    <col width="14" customWidth="1" min="8" max="8"/>
    <col width="13" customWidth="1" min="9" max="9"/>
  </cols>
  <sheetData>
    <row r="1" ht="32" customHeight="1">
      <c r="A1" s="175" t="inlineStr">
        <is>
          <t>TAHSILAT — Hukuk Bürosu Dosya &amp; Vekalet Komutası</t>
        </is>
      </c>
    </row>
    <row r="2"/>
    <row r="3" ht="22" customHeight="1">
      <c r="A3" s="194" t="inlineStr">
        <is>
          <t>Tahsilat girişi — vekalet eşleştirme motoruna besleme</t>
        </is>
      </c>
    </row>
    <row r="4"/>
    <row r="5" ht="30" customHeight="1">
      <c r="A5" s="22" t="inlineStr">
        <is>
          <t>OdemeId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MUV-006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MUV-999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A365D"/>
    <outlinePr summaryBelow="1" summaryRight="1"/>
    <pageSetUpPr/>
  </sheetPr>
  <dimension ref="A1:O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5.5" customWidth="1" min="3" max="3"/>
    <col width="18.5" customWidth="1" min="4" max="4"/>
    <col width="15.5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6.5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2" customHeight="1">
      <c r="A1" s="175" t="inlineStr">
        <is>
          <t>ANAHTAR — Hukuk Bürosu Dosya &amp; Vekalet Komutası</t>
        </is>
      </c>
    </row>
    <row r="2"/>
    <row r="3" ht="22" customHeight="1">
      <c r="A3" s="194" t="inlineStr">
        <is>
          <t>Normalize müvekkil+dönem anahtarı + duplike (E01/E05)</t>
        </is>
      </c>
    </row>
    <row r="4">
      <c r="A4" s="9" t="inlineStr">
        <is>
          <t>A Tarafı (Vekalet)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IF(VEKALET!A6="","",VEKALET!F6)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IF($B6="","",LEFT($B6,hbd_ikincilUzunluk))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IF($J6="","",LEFT($J6,hbd_ikincilUzunluk))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IF(VEKALET!A7="","",VEKALET!F7)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IF($B7="","",LEFT($B7,hbd_ikincilUzunluk))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IF($J7="","",LEFT($J7,hbd_ikincilUzunluk))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IF(VEKALET!A8="","",VEKALET!F8)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IF($B8="","",LEFT($B8,hbd_ikincilUzunluk))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IF($J8="","",LEFT($J8,hbd_ikincilUzunluk))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IF(VEKALET!A9="","",VEKALET!F9)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IF($B9="","",LEFT($B9,hbd_ikincilUzunluk))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IF($J9="","",LEFT($J9,hbd_ikincilUzunluk))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IF(VEKALET!A10="","",VEKALET!F10)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IF($B10="","",LEFT($B10,hbd_ikincilUzunluk))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IF($J10="","",LEFT($J10,hbd_ikincilUzunluk))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IF(VEKALET!A11="","",VEKALET!F11)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IF($B11="","",LEFT($B11,hbd_ikincilUzunluk))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IF($J11="","",LEFT($J11,hbd_ikincilUzunluk))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IF(VEKALET!A12="","",VEKALET!F12)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IF($B12="","",LEFT($B12,hbd_ikincilUzunluk))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IF($J12="","",LEFT($J12,hbd_ikincilUzunluk))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IF(VEKALET!A13="","",VEKALET!F13)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IF($B13="","",LEFT($B13,hbd_ikincilUzunluk))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IF($J13="","",LEFT($J13,hbd_ikincilUzunluk))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IF(VEKALET!A14="","",VEKALET!F14)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IF($B14="","",LEFT($B14,hbd_ikincilUzunluk))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IF($J14="","",LEFT($J14,hbd_ikincilUzunluk))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IF(VEKALET!A15="","",VEKALET!F15)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IF($B15="","",LEFT($B15,hbd_ikincilUzunluk))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IF($J15="","",LEFT($J15,hbd_ikincilUzunluk))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IF(VEKALET!A16="","",VEKALET!F16)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IF($B16="","",LEFT($B16,hbd_ikincilUzunluk))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IF($J16="","",LEFT($J16,hbd_ikincilUzunluk))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IF(VEKALET!A17="","",VEKALET!F17)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IF($B17="","",LEFT($B17,hbd_ikincilUzunluk))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IF($J17="","",LEFT($J17,hbd_ikincilUzunluk))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IF(VEKALET!A18="","",VEKALET!F18)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IF($B18="","",LEFT($B18,hbd_ikincilUzunluk))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IF($J18="","",LEFT($J18,hbd_ikincilUzunluk))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IF(VEKALET!A19="","",VEKALET!F19)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IF($B19="","",LEFT($B19,hbd_ikincilUzunluk))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IF($J19="","",LEFT($J19,hbd_ikincilUzunluk))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IF(VEKALET!A20="","",VEKALET!F20)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IF($B20="","",LEFT($B20,hbd_ikincilUzunluk))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IF($J20="","",LEFT($J20,hbd_ikincilUzunluk))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IF(VEKALET!A21="","",VEKALET!F21)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IF($B21="","",LEFT($B21,hbd_ikincilUzunluk))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IF($J21="","",LEFT($J21,hbd_ikincilUzunluk))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IF(VEKALET!A22="","",VEKALET!F22)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IF($B22="","",LEFT($B22,hbd_ikincilUzunluk))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IF($J22="","",LEFT($J22,hbd_ikincilUzunluk))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IF(VEKALET!A23="","",VEKALET!F23)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IF($B23="","",LEFT($B23,hbd_ikincilUzunluk))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IF($J23="","",LEFT($J23,hbd_ikincilUzunluk))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IF(VEKALET!A24="","",VEKALET!F24)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IF($B24="","",LEFT($B24,hbd_ikincilUzunluk))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IF($J24="","",LEFT($J24,hbd_ikincilUzunluk))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IF(VEKALET!A25="","",VEKALET!F25)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IF($B25="","",LEFT($B25,hbd_ikincilUzunluk))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IF($J25="","",LEFT($J25,hbd_ikincilUzunluk))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IF(VEKALET!A26="","",VEKALET!F26)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IF($B26="","",LEFT($B26,hbd_ikincilUzunluk))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IF($J26="","",LEFT($J26,hbd_ikincilUzunluk))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IF(VEKALET!A27="","",VEKALET!F27)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IF($B27="","",LEFT($B27,hbd_ikincilUzunluk))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IF($J27="","",LEFT($J27,hbd_ikincilUzunluk))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IF(VEKALET!A28="","",VEKALET!F28)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IF($B28="","",LEFT($B28,hbd_ikincilUzunluk))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IF($J28="","",LEFT($J28,hbd_ikincilUzunluk))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IF(VEKALET!A29="","",VEKALET!F29)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IF($B29="","",LEFT($B29,hbd_ikincilUzunluk))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IF($J29="","",LEFT($J29,hbd_ikincilUzunluk))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IF(VEKALET!A30="","",VEKALET!F30)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IF($B30="","",LEFT($B30,hbd_ikincilUzunluk))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IF($J30="","",LEFT($J30,hbd_ikincilUzunluk))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IF($B31="","",LEFT($B31,hbd_ikincilUzunluk))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IF($J31="","",LEFT($J31,hbd_ikincilUzunluk))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IF($B32="","",LEFT($B32,hbd_ikincilUzunluk))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IF($J32="","",LEFT($J32,hbd_ikincilUzunluk))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IF($B33="","",LEFT($B33,hbd_ikincilUzunluk))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IF($J33="","",LEFT($J33,hbd_ikincilUzunluk))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IF($B34="","",LEFT($B34,hbd_ikincilUzunluk))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IF($J34="","",LEFT($J34,hbd_ikincilUzunluk))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IF($B35="","",LEFT($B35,hbd_ikincilUzunluk))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IF($J35="","",LEFT($J35,hbd_ikincilUzunluk))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IF($B36="","",LEFT($B36,hbd_ikincilUzunluk))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IF($J36="","",LEFT($J36,hbd_ikincilUzunluk))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IF($B37="","",LEFT($B37,hbd_ikincilUzunluk))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IF($J37="","",LEFT($J37,hbd_ikincilUzunluk))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IF($B38="","",LEFT($B38,hbd_ikincilUzunluk))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IF($J38="","",LEFT($J38,hbd_ikincilUzunluk))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IF($B39="","",LEFT($B39,hbd_ikincilUzunluk))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IF($J39="","",LEFT($J39,hbd_ikincilUzunluk))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IF($B40="","",LEFT($B40,hbd_ikincilUzunluk))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IF($J40="","",LEFT($J40,hbd_ikincilUzunluk))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IF($B41="","",LEFT($B41,hbd_ikincilUzunluk))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IF($J41="","",LEFT($J41,hbd_ikincilUzunluk))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IF($B42="","",LEFT($B42,hbd_ikincilUzunluk))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IF($J42="","",LEFT($J42,hbd_ikincilUzunluk))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IF($B43="","",LEFT($B43,hbd_ikincilUzunluk))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IF($J43="","",LEFT($J43,hbd_ikincilUzunluk))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IF($B44="","",LEFT($B44,hbd_ikincilUzunluk))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IF($J44="","",LEFT($J44,hbd_ikincilUzunluk))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IF($B45="","",LEFT($B45,hbd_ikincilUzunluk))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IF($J45="","",LEFT($J45,hbd_ikincilUzunluk))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IF($B46="","",LEFT($B46,hbd_ikincilUzunluk))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IF($J46="","",LEFT($J46,hbd_ikincilUzunluk))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IF($B47="","",LEFT($B47,hbd_ikincilUzunluk))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IF($J47="","",LEFT($J47,hbd_ikincilUzunluk))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IF($B48="","",LEFT($B48,hbd_ikincilUzunluk))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IF($J48="","",LEFT($J48,hbd_ikincilUzunluk))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IF($B49="","",LEFT($B49,hbd_ikincilUzunluk))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IF($J49="","",LEFT($J49,hbd_ikincilUzunluk))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IF($B50="","",LEFT($B50,hbd_ikincilUzunluk))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IF($J50="","",LEFT($J50,hbd_ikincilUzunluk))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IF($B51="","",LEFT($B51,hbd_ikincilUzunluk))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IF($J51="","",LEFT($J51,hbd_ikincilUzunluk))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IF($B52="","",LEFT($B52,hbd_ikincilUzunluk))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IF($J52="","",LEFT($J52,hbd_ikincilUzunluk))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IF($B53="","",LEFT($B53,hbd_ikincilUzunluk))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IF($J53="","",LEFT($J53,hbd_ikincilUzunluk))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IF($B54="","",LEFT($B54,hbd_ikincilUzunluk))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IF($J54="","",LEFT($J54,hbd_ikincilUzunluk))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IF($B55="","",LEFT($B55,hbd_ikincilUzunluk))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IF($J55="","",LEFT($J55,hbd_ikincilUzunluk))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IF($B56="","",LEFT($B56,hbd_ikincilUzunluk))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IF($J56="","",LEFT($J56,hbd_ikincilUzunluk))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IF($B57="","",LEFT($B57,hbd_ikincilUzunluk))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IF($J57="","",LEFT($J57,hbd_ikincilUzunluk))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IF($B58="","",LEFT($B58,hbd_ikincilUzunluk))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IF($J58="","",LEFT($J58,hbd_ikincilUzunluk))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IF($B59="","",LEFT($B59,hbd_ikincilUzunluk))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IF($J59="","",LEFT($J59,hbd_ikincilUzunluk))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IF($B60="","",LEFT($B60,hbd_ikincilUzunluk))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IF($J60="","",LEFT($J60,hbd_ikincilUzunluk))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IF($B61="","",LEFT($B61,hbd_ikincilUzunluk))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IF($J61="","",LEFT($J61,hbd_ikincilUzunluk))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IF($B62="","",LEFT($B62,hbd_ikincilUzunluk))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IF($J62="","",LEFT($J62,hbd_ikincilUzunluk))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IF($B63="","",LEFT($B63,hbd_ikincilUzunluk))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IF($J63="","",LEFT($J63,hbd_ikincilUzunluk))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IF($B64="","",LEFT($B64,hbd_ikincilUzunluk))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IF($J64="","",LEFT($J64,hbd_ikincilUzunluk))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IF($B65="","",LEFT($B65,hbd_ikincilUzunluk))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IF($J65="","",LEFT($J65,hbd_ikincilUzunluk))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IF($B66="","",LEFT($B66,hbd_ikincilUzunluk))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IF($J66="","",LEFT($J66,hbd_ikincilUzunluk))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IF($B67="","",LEFT($B67,hbd_ikincilUzunluk))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IF($J67="","",LEFT($J67,hbd_ikincilUzunluk))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IF($B68="","",LEFT($B68,hbd_ikincilUzunluk))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IF($J68="","",LEFT($J68,hbd_ikincilUzunluk))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IF($B69="","",LEFT($B69,hbd_ikincilUzunluk))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IF($J69="","",LEFT($J69,hbd_ikincilUzunluk))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IF($B70="","",LEFT($B70,hbd_ikincilUzunluk))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IF($J70="","",LEFT($J70,hbd_ikincilUzunluk))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IF($B71="","",LEFT($B71,hbd_ikincilUzunluk))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IF($J71="","",LEFT($J71,hbd_ikincilUzunluk))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IF($B72="","",LEFT($B72,hbd_ikincilUzunluk))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IF($J72="","",LEFT($J72,hbd_ikincilUzunluk))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IF($B73="","",LEFT($B73,hbd_ikincilUzunluk))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IF($J73="","",LEFT($J73,hbd_ikincilUzunluk))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IF($B74="","",LEFT($B74,hbd_ikincilUzunluk))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IF($J74="","",LEFT($J74,hbd_ikincilUzunluk))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IF($B75="","",LEFT($B75,hbd_ikincilUzunluk))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IF($J75="","",LEFT($J75,hbd_ikincilUzunluk))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IF($B76="","",LEFT($B76,hbd_ikincilUzunluk))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IF($J76="","",LEFT($J76,hbd_ikincilUzunluk))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IF($B77="","",LEFT($B77,hbd_ikincilUzunluk))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IF($J77="","",LEFT($J77,hbd_ikincilUzunluk))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IF($B78="","",LEFT($B78,hbd_ikincilUzunluk))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IF($J78="","",LEFT($J78,hbd_ikincilUzunluk))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IF($B79="","",LEFT($B79,hbd_ikincilUzunluk))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IF($J79="","",LEFT($J79,hbd_ikincilUzunluk))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IF($B80="","",LEFT($B80,hbd_ikincilUzunluk))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IF($J80="","",LEFT($J80,hbd_ikincilUzunluk))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IF($B81="","",LEFT($B81,hbd_ikincilUzunluk))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IF($J81="","",LEFT($J81,hbd_ikincilUzunluk))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IF($B82="","",LEFT($B82,hbd_ikincilUzunluk))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IF($J82="","",LEFT($J82,hbd_ikincilUzunluk))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IF($B83="","",LEFT($B83,hbd_ikincilUzunluk))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IF($J83="","",LEFT($J83,hbd_ikincilUzunluk))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IF($B84="","",LEFT($B84,hbd_ikincilUzunluk))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IF($J84="","",LEFT($J84,hbd_ikincilUzunluk))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IF($B85="","",LEFT($B85,hbd_ikincilUzunluk))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IF($J85="","",LEFT($J85,hbd_ikincilUzunluk))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IF($B86="","",LEFT($B86,hbd_ikincilUzunluk))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IF($J86="","",LEFT($J86,hbd_ikincilUzunluk))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tabColor rgb="001A365D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.5" customWidth="1" min="8" max="8"/>
    <col width="17.5" customWidth="1" min="9" max="9"/>
    <col width="12.5" customWidth="1" min="10" max="10"/>
    <col width="13.5" customWidth="1" min="11" max="11"/>
    <col width="13.5" customWidth="1" min="12" max="12"/>
    <col width="16.5" customWidth="1" min="13" max="13"/>
    <col width="12.5" customWidth="1" min="14" max="14"/>
    <col width="12.5" customWidth="1" min="15" max="15"/>
    <col width="13.5" customWidth="1" min="16" max="16"/>
    <col width="13" customWidth="1" min="17" max="17"/>
  </cols>
  <sheetData>
    <row r="1" ht="32" customHeight="1">
      <c r="A1" s="175" t="inlineStr">
        <is>
          <t>ESLESTIRME — Hukuk Bürosu Dosya &amp; Vekalet Komutası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4" t="inlineStr">
        <is>
          <t>Dört kova — vekalet↔tahsilat (E02/E03)</t>
        </is>
      </c>
    </row>
    <row r="4"/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IF($A6="","",SUMIF(tblAnahtarA[Norm],$A6,tblVekalet[ToplamBorc]))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IF($A6="","",--($F6&gt;hbd_esikFark))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IF($A7="","",SUMIF(tblAnahtarA[Norm],$A7,tblVekalet[ToplamBorc]))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IF($A7="","",--($F7&gt;hbd_esikFark))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IF($A8="","",SUMIF(tblAnahtarA[Norm],$A8,tblVekalet[ToplamBorc]))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IF($A8="","",--($F8&gt;hbd_esikFark))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IF($A9="","",SUMIF(tblAnahtarA[Norm],$A9,tblVekalet[ToplamBorc]))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IF($A9="","",--($F9&gt;hbd_esikFark))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IF($A10="","",SUMIF(tblAnahtarA[Norm],$A10,tblVekalet[ToplamBorc]))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IF($A10="","",--($F10&gt;hbd_esikFark))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IF($A11="","",SUMIF(tblAnahtarA[Norm],$A11,tblVekalet[ToplamBorc]))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IF($A11="","",--($F11&gt;hbd_esikFark))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IF($A12="","",SUMIF(tblAnahtarA[Norm],$A12,tblVekalet[ToplamBorc]))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IF($A12="","",--($F12&gt;hbd_esikFark))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IF($A13="","",SUMIF(tblAnahtarA[Norm],$A13,tblVekalet[ToplamBorc]))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IF($A13="","",--($F13&gt;hbd_esikFark))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IF($A14="","",SUMIF(tblAnahtarA[Norm],$A14,tblVekalet[ToplamBorc]))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IF($A14="","",--($F14&gt;hbd_esikFark))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IF($A15="","",SUMIF(tblAnahtarA[Norm],$A15,tblVekalet[ToplamBorc]))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IF($A15="","",--($F15&gt;hbd_esikFark))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IF($A16="","",SUMIF(tblAnahtarA[Norm],$A16,tblVekalet[ToplamBorc]))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IF($A16="","",--($F16&gt;hbd_esikFark))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IF($A17="","",SUMIF(tblAnahtarA[Norm],$A17,tblVekalet[ToplamBorc]))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IF($A17="","",--($F17&gt;hbd_esikFark))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IF($A18="","",SUMIF(tblAnahtarA[Norm],$A18,tblVekalet[ToplamBorc]))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IF($A18="","",--($F18&gt;hbd_esikFark))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IF($A19="","",SUMIF(tblAnahtarA[Norm],$A19,tblVekalet[ToplamBorc]))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IF($A19="","",--($F19&gt;hbd_esikFark))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IF($A20="","",SUMIF(tblAnahtarA[Norm],$A20,tblVekalet[ToplamBorc]))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IF($A20="","",--($F20&gt;hbd_esikFark))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IF($A21="","",SUMIF(tblAnahtarA[Norm],$A21,tblVekalet[ToplamBorc]))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IF($A21="","",--($F21&gt;hbd_esikFark))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IF($A22="","",SUMIF(tblAnahtarA[Norm],$A22,tblVekalet[ToplamBorc]))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IF($A22="","",--($F22&gt;hbd_esikFark))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IF($A23="","",SUMIF(tblAnahtarA[Norm],$A23,tblVekalet[ToplamBorc]))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IF($A23="","",--($F23&gt;hbd_esikFark))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IF($A24="","",SUMIF(tblAnahtarA[Norm],$A24,tblVekalet[ToplamBorc]))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IF($A24="","",--($F24&gt;hbd_esikFark))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IF($A25="","",SUMIF(tblAnahtarA[Norm],$A25,tblVekalet[ToplamBorc]))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IF($A25="","",--($F25&gt;hbd_esikFark))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IF($A26="","",SUMIF(tblAnahtarA[Norm],$A26,tblVekalet[ToplamBorc]))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IF($A26="","",--($F26&gt;hbd_esikFark))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IF($A27="","",SUMIF(tblAnahtarA[Norm],$A27,tblVekalet[ToplamBorc]))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IF($A27="","",--($F27&gt;hbd_esikFark))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IF($A28="","",SUMIF(tblAnahtarA[Norm],$A28,tblVekalet[ToplamBorc]))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IF($A28="","",--($F28&gt;hbd_esikFark))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IF($A29="","",SUMIF(tblAnahtarA[Norm],$A29,tblVekalet[ToplamBorc]))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IF($A29="","",--($F29&gt;hbd_esikFark))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IF($A30="","",SUMIF(tblAnahtarA[Norm],$A30,tblVekalet[ToplamBorc]))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IF($A30="","",--($F30&gt;hbd_esikFark))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IF($A31="","",SUMIF(tblAnahtarA[Norm],$A31,tblVekalet[ToplamBorc]))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IF($A31="","",--($F31&gt;hbd_esikFark))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IF($A32="","",SUMIF(tblAnahtarA[Norm],$A32,tblVekalet[ToplamBorc]))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IF($A32="","",--($F32&gt;hbd_esikFark))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IF($A33="","",SUMIF(tblAnahtarA[Norm],$A33,tblVekalet[ToplamBorc]))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IF($A33="","",--($F33&gt;hbd_esikFark))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IF($A34="","",SUMIF(tblAnahtarA[Norm],$A34,tblVekalet[ToplamBorc]))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IF($A34="","",--($F34&gt;hbd_esikFark))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IF($A35="","",SUMIF(tblAnahtarA[Norm],$A35,tblVekalet[ToplamBorc]))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IF($A35="","",--($F35&gt;hbd_esikFark))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IF($A36="","",SUMIF(tblAnahtarA[Norm],$A36,tblVekalet[ToplamBorc]))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IF($A36="","",--($F36&gt;hbd_esikFark))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IF($A37="","",SUMIF(tblAnahtarA[Norm],$A37,tblVekalet[ToplamBorc]))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IF($A37="","",--($F37&gt;hbd_esikFark))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IF($A38="","",SUMIF(tblAnahtarA[Norm],$A38,tblVekalet[ToplamBorc]))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IF($A38="","",--($F38&gt;hbd_esikFark))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IF($A39="","",SUMIF(tblAnahtarA[Norm],$A39,tblVekalet[ToplamBorc]))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IF($A39="","",--($F39&gt;hbd_esikFark))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IF($A40="","",SUMIF(tblAnahtarA[Norm],$A40,tblVekalet[ToplamBorc]))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IF($A40="","",--($F40&gt;hbd_esikFark))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IF($A41="","",SUMIF(tblAnahtarA[Norm],$A41,tblVekalet[ToplamBorc]))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IF($A41="","",--($F41&gt;hbd_esikFark))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IF($A42="","",SUMIF(tblAnahtarA[Norm],$A42,tblVekalet[ToplamBorc]))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IF($A42="","",--($F42&gt;hbd_esikFark))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IF($A43="","",SUMIF(tblAnahtarA[Norm],$A43,tblVekalet[ToplamBorc]))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IF($A43="","",--($F43&gt;hbd_esikFark))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IF($A44="","",SUMIF(tblAnahtarA[Norm],$A44,tblVekalet[ToplamBorc]))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IF($A44="","",--($F44&gt;hbd_esikFark))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IF($A45="","",SUMIF(tblAnahtarA[Norm],$A45,tblVekalet[ToplamBorc]))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IF($A45="","",--($F45&gt;hbd_esikFark))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IF($A46="","",SUMIF(tblAnahtarA[Norm],$A46,tblVekalet[ToplamBorc]))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IF($A46="","",--($F46&gt;hbd_esikFark))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IF($A47="","",SUMIF(tblAnahtarA[Norm],$A47,tblVekalet[ToplamBorc]))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IF($A47="","",--($F47&gt;hbd_esikFark))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IF($A48="","",SUMIF(tblAnahtarA[Norm],$A48,tblVekalet[ToplamBorc]))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IF($A48="","",--($F48&gt;hbd_esikFark))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IF($A49="","",SUMIF(tblAnahtarA[Norm],$A49,tblVekalet[ToplamBorc]))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IF($A49="","",--($F49&gt;hbd_esikFark))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IF($A50="","",SUMIF(tblAnahtarA[Norm],$A50,tblVekalet[ToplamBorc]))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IF($A50="","",--($F50&gt;hbd_esikFark))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IF($A51="","",SUMIF(tblAnahtarA[Norm],$A51,tblVekalet[ToplamBorc]))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IF($A51="","",--($F51&gt;hbd_esikFark))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IF($A52="","",SUMIF(tblAnahtarA[Norm],$A52,tblVekalet[ToplamBorc]))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IF($A52="","",--($F52&gt;hbd_esikFark))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IF($A53="","",SUMIF(tblAnahtarA[Norm],$A53,tblVekalet[ToplamBorc]))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IF($A53="","",--($F53&gt;hbd_esikFark))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IF($A54="","",SUMIF(tblAnahtarA[Norm],$A54,tblVekalet[ToplamBorc]))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IF($A54="","",--($F54&gt;hbd_esikFark))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IF($A55="","",SUMIF(tblAnahtarA[Norm],$A55,tblVekalet[ToplamBorc]))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IF($A55="","",--($F55&gt;hbd_esikFark))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IF($A56="","",SUMIF(tblAnahtarA[Norm],$A56,tblVekalet[ToplamBorc]))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IF($A56="","",--($F56&gt;hbd_esikFark))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IF($A57="","",SUMIF(tblAnahtarA[Norm],$A57,tblVekalet[ToplamBorc]))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IF($A57="","",--($F57&gt;hbd_esikFark))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IF($A58="","",SUMIF(tblAnahtarA[Norm],$A58,tblVekalet[ToplamBorc]))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IF($A58="","",--($F58&gt;hbd_esikFark))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IF($A59="","",SUMIF(tblAnahtarA[Norm],$A59,tblVekalet[ToplamBorc]))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IF($A59="","",--($F59&gt;hbd_esikFark))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IF($A60="","",SUMIF(tblAnahtarA[Norm],$A60,tblVekalet[ToplamBorc]))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IF($A60="","",--($F60&gt;hbd_esikFark))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IF($A61="","",SUMIF(tblAnahtarA[Norm],$A61,tblVekalet[ToplamBorc]))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IF($A61="","",--($F61&gt;hbd_esikFark))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IF($A62="","",SUMIF(tblAnahtarA[Norm],$A62,tblVekalet[ToplamBorc]))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IF($A62="","",--($F62&gt;hbd_esikFark))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IF($A63="","",SUMIF(tblAnahtarA[Norm],$A63,tblVekalet[ToplamBorc]))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IF($A63="","",--($F63&gt;hbd_esikFark))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IF($A64="","",SUMIF(tblAnahtarA[Norm],$A64,tblVekalet[ToplamBorc]))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IF($A64="","",--($F64&gt;hbd_esikFark))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IF($A65="","",SUMIF(tblAnahtarA[Norm],$A65,tblVekalet[ToplamBorc]))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IF($A65="","",--($F65&gt;hbd_esikFark))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IF($A66="","",SUMIF(tblAnahtarA[Norm],$A66,tblVekalet[ToplamBorc]))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IF($A66="","",--($F66&gt;hbd_esikFark))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IF($A67="","",SUMIF(tblAnahtarA[Norm],$A67,tblVekalet[ToplamBorc]))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IF($A67="","",--($F67&gt;hbd_esikFark))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IF($A68="","",SUMIF(tblAnahtarA[Norm],$A68,tblVekalet[ToplamBorc]))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IF($A68="","",--($F68&gt;hbd_esikFark))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IF($A69="","",SUMIF(tblAnahtarA[Norm],$A69,tblVekalet[ToplamBorc]))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IF($A69="","",--($F69&gt;hbd_esikFark))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IF($A70="","",SUMIF(tblAnahtarA[Norm],$A70,tblVekalet[ToplamBorc]))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IF($A70="","",--($F70&gt;hbd_esikFark))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IF($A71="","",SUMIF(tblAnahtarA[Norm],$A71,tblVekalet[ToplamBorc]))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IF($A71="","",--($F71&gt;hbd_esikFark))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IF($A72="","",SUMIF(tblAnahtarA[Norm],$A72,tblVekalet[ToplamBorc]))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IF($A72="","",--($F72&gt;hbd_esikFark))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IF($A73="","",SUMIF(tblAnahtarA[Norm],$A73,tblVekalet[ToplamBorc]))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IF($A73="","",--($F73&gt;hbd_esikFark))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IF($A74="","",SUMIF(tblAnahtarA[Norm],$A74,tblVekalet[ToplamBorc]))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IF($A74="","",--($F74&gt;hbd_esikFark))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IF($A75="","",SUMIF(tblAnahtarA[Norm],$A75,tblVekalet[ToplamBorc]))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IF($A75="","",--($F75&gt;hbd_esikFark))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IF($A76="","",SUMIF(tblAnahtarA[Norm],$A76,tblVekalet[ToplamBorc]))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IF($A76="","",--($F76&gt;hbd_esikFark))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IF($A77="","",SUMIF(tblAnahtarA[Norm],$A77,tblVekalet[ToplamBorc]))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IF($A77="","",--($F77&gt;hbd_esikFark))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IF($A78="","",SUMIF(tblAnahtarA[Norm],$A78,tblVekalet[ToplamBorc]))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IF($A78="","",--($F78&gt;hbd_esikFark))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IF($A79="","",SUMIF(tblAnahtarA[Norm],$A79,tblVekalet[ToplamBorc]))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IF($A79="","",--($F79&gt;hbd_esikFark))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IF($A80="","",SUMIF(tblAnahtarA[Norm],$A80,tblVekalet[ToplamBorc]))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IF($A80="","",--($F80&gt;hbd_esikFark))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IF($A81="","",SUMIF(tblAnahtarA[Norm],$A81,tblVekalet[ToplamBorc]))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IF($A81="","",--($F81&gt;hbd_esikFark))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IF($A82="","",SUMIF(tblAnahtarA[Norm],$A82,tblVekalet[ToplamBorc]))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IF($A82="","",--($F82&gt;hbd_esikFark))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IF($A83="","",SUMIF(tblAnahtarA[Norm],$A83,tblVekalet[ToplamBorc]))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IF($A83="","",--($F83&gt;hbd_esikFark))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IF($A84="","",SUMIF(tblAnahtarA[Norm],$A84,tblVekalet[ToplamBorc]))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IF($A84="","",--($F84&gt;hbd_esikFark))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IF($A85="","",SUMIF(tblAnahtarA[Norm],$A85,tblVekalet[ToplamBorc]))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IF($A85="","",--($F85&gt;hbd_esikFark))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IF($A86="","",SUMIF(tblAnahtarA[Norm],$A86,tblVekalet[ToplamBorc]))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IF($A86="","",--($F86&gt;hbd_esikFark))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K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4.5" customWidth="1" min="6" max="6"/>
    <col width="13" customWidth="1" min="7" max="7"/>
    <col width="8" customWidth="1" min="8" max="8"/>
    <col width="17.5" customWidth="1" min="9" max="9"/>
    <col width="16.5" customWidth="1" min="10" max="10"/>
    <col width="50.5" customWidth="1" min="11" max="11"/>
    <col width="13" customWidth="1" min="12" max="12"/>
  </cols>
  <sheetData>
    <row r="1" ht="32" customHeight="1">
      <c r="A1" s="175" t="inlineStr">
        <is>
          <t>KOK NEDEN — Hukuk Bürosu Dosya &amp; Vekalet Komutası</t>
        </is>
      </c>
    </row>
    <row r="2"/>
    <row r="3" ht="22" customHeight="1">
      <c r="A3" s="194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Vekalet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vekaletten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O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6.5" customWidth="1" min="2" max="2"/>
    <col width="13" customWidth="1" min="3" max="3"/>
    <col width="23.5" customWidth="1" min="4" max="4"/>
    <col width="23.5" customWidth="1" min="5" max="5"/>
    <col width="15.5" customWidth="1" min="6" max="6"/>
    <col width="13" customWidth="1" min="7" max="7"/>
    <col width="14.5" customWidth="1" min="8" max="8"/>
    <col width="15.5" customWidth="1" min="9" max="9"/>
    <col width="13" customWidth="1" min="10" max="10"/>
    <col width="14.5" customWidth="1" min="11" max="11"/>
    <col width="15.5" customWidth="1" min="12" max="12"/>
    <col width="16.5" customWidth="1" min="13" max="13"/>
    <col width="16.5" customWidth="1" min="14" max="14"/>
    <col width="13.5" customWidth="1" min="15" max="15"/>
    <col width="13" customWidth="1" min="16" max="16"/>
  </cols>
  <sheetData>
    <row r="1" ht="32" customHeight="1">
      <c r="A1" s="175" t="inlineStr">
        <is>
          <t>AKIS — Hukuk Bürosu Dosya &amp; Vekalet Komutası</t>
        </is>
      </c>
    </row>
    <row r="2"/>
    <row r="3" ht="22" customHeight="1">
      <c r="A3" s="194" t="inlineStr">
        <is>
          <t>Dosya durum makinesi — yetim / geçersiz geçiş / ZİNCİR KIRIK / süre</t>
        </is>
      </c>
    </row>
    <row r="4"/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DOS-001</t>
        </is>
      </c>
      <c r="B6" s="23" t="inlineStr">
        <is>
          <t>MUV-001</t>
        </is>
      </c>
      <c r="C6" s="23" t="inlineStr">
        <is>
          <t>VEK-001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IF($A6="","",IF(OR($G6="SONUC",$G6="KAPALI"),0,IF($D6="","",raporTarihi-$D6)))</f>
        <v/>
      </c>
      <c r="L6" s="24">
        <f>IF($A6="","",IF($B6="","YETİM",IF(COUNTIF(tblPaydas[MuvekkilId],$B6)=0,"YETİM","")))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IF($A6="","",IF(OR($G6="KAPALI",$I6&gt;0),IF(OR($H6="",$I6=""),"",IF(ABS($I6-$H6)&gt;zincirTolerans,"ZİNCİR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DOS-002</t>
        </is>
      </c>
      <c r="B7" s="23" t="inlineStr">
        <is>
          <t>MUV-002</t>
        </is>
      </c>
      <c r="C7" s="23" t="inlineStr">
        <is>
          <t>VEK-002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VEKALET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IF($A7="","",IF(OR($G7="SONUC",$G7="KAPALI"),0,IF($D7="","",raporTarihi-$D7)))</f>
        <v/>
      </c>
      <c r="L7" s="24">
        <f>IF($A7="","",IF($B7="","YETİM",IF(COUNTIF(tblPaydas[MuvekkilId],$B7)=0,"YETİM","")))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IF($A7="","",IF(OR($G7="KAPALI",$I7&gt;0),IF(OR($H7="",$I7=""),"",IF(ABS($I7-$H7)&gt;zincirTolerans,"ZİNCİR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DOS-003</t>
        </is>
      </c>
      <c r="B8" s="23" t="inlineStr">
        <is>
          <t>MUV-003</t>
        </is>
      </c>
      <c r="C8" s="23" t="inlineStr">
        <is>
          <t>VEK-003</t>
        </is>
      </c>
      <c r="D8" s="61" t="n">
        <v>46215</v>
      </c>
      <c r="E8" s="61" t="n"/>
      <c r="F8" s="23" t="inlineStr">
        <is>
          <t>VEKALET</t>
        </is>
      </c>
      <c r="G8" s="23" t="inlineStr">
        <is>
          <t>DAVADA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IF($A8="","",IF(OR($G8="SONUC",$G8="KAPALI"),0,IF($D8="","",raporTarihi-$D8)))</f>
        <v/>
      </c>
      <c r="L8" s="24">
        <f>IF($A8="","",IF($B8="","YETİM",IF(COUNTIF(tblPaydas[MuvekkilId],$B8)=0,"YETİM","")))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IF($A8="","",IF(OR($G8="KAPALI",$I8&gt;0),IF(OR($H8="",$I8=""),"",IF(ABS($I8-$H8)&gt;zincirTolerans,"ZİNCİR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DOS-004</t>
        </is>
      </c>
      <c r="B9" s="23" t="inlineStr">
        <is>
          <t>MUV-004</t>
        </is>
      </c>
      <c r="C9" s="23" t="inlineStr">
        <is>
          <t>VEK-004</t>
        </is>
      </c>
      <c r="D9" s="61" t="n">
        <v>46216</v>
      </c>
      <c r="E9" s="61" t="n"/>
      <c r="F9" s="23" t="inlineStr">
        <is>
          <t>DAVADA</t>
        </is>
      </c>
      <c r="G9" s="23" t="inlineStr">
        <is>
          <t>DURUSMA</t>
        </is>
      </c>
      <c r="H9" s="18" t="n">
        <v>410</v>
      </c>
      <c r="I9" s="18" t="n">
        <v>0</v>
      </c>
      <c r="J9" s="24">
        <f>IF($A9="","",$H9-$I9)</f>
        <v/>
      </c>
      <c r="K9" s="24">
        <f>IF($A9="","",IF(OR($G9="SONUC",$G9="KAPALI"),0,IF($D9="","",raporTarihi-$D9)))</f>
        <v/>
      </c>
      <c r="L9" s="24">
        <f>IF($A9="","",IF($B9="","YETİM",IF(COUNTIF(tblPaydas[MuvekkilId],$B9)=0,"YETİM","")))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IF($A9="","",IF(OR($G9="KAPALI",$I9&gt;0),IF(OR($H9="",$I9=""),"",IF(ABS($I9-$H9)&gt;zincirTolerans,"ZİNCİR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DOS-005</t>
        </is>
      </c>
      <c r="B10" s="23" t="inlineStr">
        <is>
          <t>MUV-005</t>
        </is>
      </c>
      <c r="C10" s="23" t="inlineStr">
        <is>
          <t>VEK-005</t>
        </is>
      </c>
      <c r="D10" s="61" t="n">
        <v>46217</v>
      </c>
      <c r="E10" s="61" t="n">
        <v>46235</v>
      </c>
      <c r="F10" s="23" t="inlineStr">
        <is>
          <t>DURUSMA</t>
        </is>
      </c>
      <c r="G10" s="23" t="inlineStr">
        <is>
          <t>SONUC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IF($A10="","",IF(OR($G10="SONUC",$G10="KAPALI"),0,IF($D10="","",raporTarihi-$D10)))</f>
        <v/>
      </c>
      <c r="L10" s="24">
        <f>IF($A10="","",IF($B10="","YETİM",IF(COUNTIF(tblPaydas[MuvekkilId],$B10)=0,"YETİM","")))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IF($A10="","",IF(OR($G10="KAPALI",$I10&gt;0),IF(OR($H10="",$I10=""),"",IF(ABS($I10-$H10)&gt;zincirTolerans,"ZİNCİR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DOS-006</t>
        </is>
      </c>
      <c r="B11" s="23" t="inlineStr">
        <is>
          <t>MUV-006</t>
        </is>
      </c>
      <c r="C11" s="23" t="inlineStr">
        <is>
          <t>VEK-006</t>
        </is>
      </c>
      <c r="D11" s="61" t="n">
        <v>46218</v>
      </c>
      <c r="E11" s="61" t="n">
        <v>46235</v>
      </c>
      <c r="F11" s="23" t="inlineStr">
        <is>
          <t>SONUC</t>
        </is>
      </c>
      <c r="G11" s="23" t="inlineStr">
        <is>
          <t>KAPALI</t>
        </is>
      </c>
      <c r="H11" s="18" t="n">
        <v>450</v>
      </c>
      <c r="I11" s="18" t="n">
        <v>450</v>
      </c>
      <c r="J11" s="24">
        <f>IF($A11="","",$H11-$I11)</f>
        <v/>
      </c>
      <c r="K11" s="24">
        <f>IF($A11="","",IF(OR($G11="SONUC",$G11="KAPALI"),0,IF($D11="","",raporTarihi-$D11)))</f>
        <v/>
      </c>
      <c r="L11" s="24">
        <f>IF($A11="","",IF($B11="","YETİM",IF(COUNTIF(tblPaydas[MuvekkilId],$B11)=0,"YETİM","")))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IF($A11="","",IF(OR($G11="KAPALI",$I11&gt;0),IF(OR($H11="",$I11=""),"",IF(ABS($I11-$H11)&gt;zincirTolerans,"ZİNCİR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DOS-007</t>
        </is>
      </c>
      <c r="B12" s="23" t="inlineStr">
        <is>
          <t>MUV-007</t>
        </is>
      </c>
      <c r="C12" s="23" t="inlineStr">
        <is>
          <t>VEK-007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VEKALET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IF($A12="","",IF(OR($G12="SONUC",$G12="KAPALI"),0,IF($D12="","",raporTarihi-$D12)))</f>
        <v/>
      </c>
      <c r="L12" s="24">
        <f>IF($A12="","",IF($B12="","YETİM",IF(COUNTIF(tblPaydas[MuvekkilId],$B12)=0,"YETİM","")))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IF($A12="","",IF(OR($G12="KAPALI",$I12&gt;0),IF(OR($H12="",$I12=""),"",IF(ABS($I12-$H12)&gt;zincirTolerans,"ZİNCİR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DOS-008</t>
        </is>
      </c>
      <c r="B13" s="23" t="inlineStr">
        <is>
          <t>MUV-008</t>
        </is>
      </c>
      <c r="C13" s="23" t="inlineStr">
        <is>
          <t>VEK-008</t>
        </is>
      </c>
      <c r="D13" s="61" t="n">
        <v>46220</v>
      </c>
      <c r="E13" s="61" t="n"/>
      <c r="F13" s="23" t="inlineStr">
        <is>
          <t>VEKALET</t>
        </is>
      </c>
      <c r="G13" s="23" t="inlineStr">
        <is>
          <t>DAVADA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IF($A13="","",IF(OR($G13="SONUC",$G13="KAPALI"),0,IF($D13="","",raporTarihi-$D13)))</f>
        <v/>
      </c>
      <c r="L13" s="24">
        <f>IF($A13="","",IF($B13="","YETİM",IF(COUNTIF(tblPaydas[MuvekkilId],$B13)=0,"YETİM","")))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IF($A13="","",IF(OR($G13="KAPALI",$I13&gt;0),IF(OR($H13="",$I13=""),"",IF(ABS($I13-$H13)&gt;zincirTolerans,"ZİNCİR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DOS-009</t>
        </is>
      </c>
      <c r="B14" s="23" t="inlineStr">
        <is>
          <t>MUV-009</t>
        </is>
      </c>
      <c r="C14" s="23" t="inlineStr">
        <is>
          <t>VEK-009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IF($A14="","",IF(OR($G14="SONUC",$G14="KAPALI"),0,IF($D14="","",raporTarihi-$D14)))</f>
        <v/>
      </c>
      <c r="L14" s="24">
        <f>IF($A14="","",IF($B14="","YETİM",IF(COUNTIF(tblPaydas[MuvekkilId],$B14)=0,"YETİM","")))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IF($A14="","",IF(OR($G14="KAPALI",$I14&gt;0),IF(OR($H14="",$I14=""),"",IF(ABS($I14-$H14)&gt;zincirTolerans,"ZİNCİR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DOS-010</t>
        </is>
      </c>
      <c r="B15" s="23" t="inlineStr">
        <is>
          <t>MUV-010</t>
        </is>
      </c>
      <c r="C15" s="23" t="inlineStr">
        <is>
          <t>VEK-010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VEKALET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IF($A15="","",IF(OR($G15="SONUC",$G15="KAPALI"),0,IF($D15="","",raporTarihi-$D15)))</f>
        <v/>
      </c>
      <c r="L15" s="24">
        <f>IF($A15="","",IF($B15="","YETİM",IF(COUNTIF(tblPaydas[MuvekkilId],$B15)=0,"YETİM","")))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IF($A15="","",IF(OR($G15="KAPALI",$I15&gt;0),IF(OR($H15="",$I15=""),"",IF(ABS($I15-$H15)&gt;zincirTolerans,"ZİNCİR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DOS-011</t>
        </is>
      </c>
      <c r="B16" s="23" t="inlineStr">
        <is>
          <t>MUV-011</t>
        </is>
      </c>
      <c r="C16" s="23" t="inlineStr">
        <is>
          <t>VEK-011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DAVADA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IF($A16="","",IF(OR($G16="SONUC",$G16="KAPALI"),0,IF($D16="","",raporTarihi-$D16)))</f>
        <v/>
      </c>
      <c r="L16" s="24">
        <f>IF($A16="","",IF($B16="","YETİM",IF(COUNTIF(tblPaydas[MuvekkilId],$B16)=0,"YETİM","")))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IF($A16="","",IF(OR($G16="KAPALI",$I16&gt;0),IF(OR($H16="",$I16=""),"",IF(ABS($I16-$H16)&gt;zincirTolerans,"ZİNCİR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DOS-012</t>
        </is>
      </c>
      <c r="B17" s="23" t="inlineStr">
        <is>
          <t>MUV-012</t>
        </is>
      </c>
      <c r="C17" s="23" t="inlineStr">
        <is>
          <t>VEK-012</t>
        </is>
      </c>
      <c r="D17" s="61" t="n">
        <v>46224</v>
      </c>
      <c r="E17" s="61" t="n"/>
      <c r="F17" s="23" t="inlineStr">
        <is>
          <t>DAVADA</t>
        </is>
      </c>
      <c r="G17" s="23" t="inlineStr">
        <is>
          <t>DURUSMA</t>
        </is>
      </c>
      <c r="H17" s="18" t="n">
        <v>570</v>
      </c>
      <c r="I17" s="18" t="n">
        <v>0</v>
      </c>
      <c r="J17" s="24">
        <f>IF($A17="","",$H17-$I17)</f>
        <v/>
      </c>
      <c r="K17" s="24">
        <f>IF($A17="","",IF(OR($G17="SONUC",$G17="KAPALI"),0,IF($D17="","",raporTarihi-$D17)))</f>
        <v/>
      </c>
      <c r="L17" s="24">
        <f>IF($A17="","",IF($B17="","YETİM",IF(COUNTIF(tblPaydas[MuvekkilId],$B17)=0,"YETİM","")))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IF($A17="","",IF(OR($G17="KAPALI",$I17&gt;0),IF(OR($H17="",$I17=""),"",IF(ABS($I17-$H17)&gt;zincirTolerans,"ZİNCİR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DOS-013</t>
        </is>
      </c>
      <c r="B18" s="23" t="inlineStr">
        <is>
          <t>MUV-001</t>
        </is>
      </c>
      <c r="C18" s="23" t="inlineStr">
        <is>
          <t>VEK-013</t>
        </is>
      </c>
      <c r="D18" s="61" t="n">
        <v>46225</v>
      </c>
      <c r="E18" s="61" t="n">
        <v>46235</v>
      </c>
      <c r="F18" s="23" t="inlineStr">
        <is>
          <t>DURUSMA</t>
        </is>
      </c>
      <c r="G18" s="23" t="inlineStr">
        <is>
          <t>SONUC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IF($A18="","",IF(OR($G18="SONUC",$G18="KAPALI"),0,IF($D18="","",raporTarihi-$D18)))</f>
        <v/>
      </c>
      <c r="L18" s="24">
        <f>IF($A18="","",IF($B18="","YETİM",IF(COUNTIF(tblPaydas[MuvekkilId],$B18)=0,"YETİM","")))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IF($A18="","",IF(OR($G18="KAPALI",$I18&gt;0),IF(OR($H18="",$I18=""),"",IF(ABS($I18-$H18)&gt;zincirTolerans,"ZİNCİR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DOS-014</t>
        </is>
      </c>
      <c r="B19" s="23" t="inlineStr">
        <is>
          <t>MUV-002</t>
        </is>
      </c>
      <c r="C19" s="23" t="inlineStr">
        <is>
          <t>VEK-014</t>
        </is>
      </c>
      <c r="D19" s="61" t="n">
        <v>46226</v>
      </c>
      <c r="E19" s="61" t="n">
        <v>46235</v>
      </c>
      <c r="F19" s="23" t="inlineStr">
        <is>
          <t>SONUC</t>
        </is>
      </c>
      <c r="G19" s="23" t="inlineStr">
        <is>
          <t>KAPALI</t>
        </is>
      </c>
      <c r="H19" s="18" t="n">
        <v>610</v>
      </c>
      <c r="I19" s="18" t="n">
        <v>610</v>
      </c>
      <c r="J19" s="24">
        <f>IF($A19="","",$H19-$I19)</f>
        <v/>
      </c>
      <c r="K19" s="24">
        <f>IF($A19="","",IF(OR($G19="SONUC",$G19="KAPALI"),0,IF($D19="","",raporTarihi-$D19)))</f>
        <v/>
      </c>
      <c r="L19" s="24">
        <f>IF($A19="","",IF($B19="","YETİM",IF(COUNTIF(tblPaydas[MuvekkilId],$B19)=0,"YETİM","")))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IF($A19="","",IF(OR($G19="KAPALI",$I19&gt;0),IF(OR($H19="",$I19=""),"",IF(ABS($I19-$H19)&gt;zincirTolerans,"ZİNCİR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DOS-015</t>
        </is>
      </c>
      <c r="B20" s="23" t="inlineStr">
        <is>
          <t>MUV-003</t>
        </is>
      </c>
      <c r="C20" s="23" t="inlineStr">
        <is>
          <t>VEK-015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VEKALET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IF($A20="","",IF(OR($G20="SONUC",$G20="KAPALI"),0,IF($D20="","",raporTarihi-$D20)))</f>
        <v/>
      </c>
      <c r="L20" s="24">
        <f>IF($A20="","",IF($B20="","YETİM",IF(COUNTIF(tblPaydas[MuvekkilId],$B20)=0,"YETİM","")))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IF($A20="","",IF(OR($G20="KAPALI",$I20&gt;0),IF(OR($H20="",$I20=""),"",IF(ABS($I20-$H20)&gt;zincirTolerans,"ZİNCİR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DOS-016</t>
        </is>
      </c>
      <c r="B21" s="23" t="inlineStr">
        <is>
          <t>MUV-999</t>
        </is>
      </c>
      <c r="C21" s="23" t="inlineStr">
        <is>
          <t>VEK-016</t>
        </is>
      </c>
      <c r="D21" s="61" t="n">
        <v>46228</v>
      </c>
      <c r="E21" s="61" t="n"/>
      <c r="F21" s="23" t="inlineStr">
        <is>
          <t>VEKALET</t>
        </is>
      </c>
      <c r="G21" s="23" t="inlineStr">
        <is>
          <t>DAVADA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IF($A21="","",IF(OR($G21="SONUC",$G21="KAPALI"),0,IF($D21="","",raporTarihi-$D21)))</f>
        <v/>
      </c>
      <c r="L21" s="24">
        <f>IF($A21="","",IF($B21="","YETİM",IF(COUNTIF(tblPaydas[MuvekkilId],$B21)=0,"YETİM","")))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IF($A21="","",IF(OR($G21="KAPALI",$I21&gt;0),IF(OR($H21="",$I21=""),"",IF(ABS($I21-$H21)&gt;zincirTolerans,"ZİNCİR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DOS-017</t>
        </is>
      </c>
      <c r="B22" s="23" t="inlineStr">
        <is>
          <t>MUV-005</t>
        </is>
      </c>
      <c r="C22" s="23" t="inlineStr">
        <is>
          <t>VEK-017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IF($A22="","",IF(OR($G22="SONUC",$G22="KAPALI"),0,IF($D22="","",raporTarihi-$D22)))</f>
        <v/>
      </c>
      <c r="L22" s="24">
        <f>IF($A22="","",IF($B22="","YETİM",IF(COUNTIF(tblPaydas[MuvekkilId],$B22)=0,"YETİM","")))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IF($A22="","",IF(OR($G22="KAPALI",$I22&gt;0),IF(OR($H22="",$I22=""),"",IF(ABS($I22-$H22)&gt;zincirTolerans,"ZİNCİR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DOS-018</t>
        </is>
      </c>
      <c r="B23" s="23" t="inlineStr">
        <is>
          <t>MUV-006</t>
        </is>
      </c>
      <c r="C23" s="23" t="inlineStr">
        <is>
          <t>VEK-018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VEKALET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IF($A23="","",IF(OR($G23="SONUC",$G23="KAPALI"),0,IF($D23="","",raporTarihi-$D23)))</f>
        <v/>
      </c>
      <c r="L23" s="24">
        <f>IF($A23="","",IF($B23="","YETİM",IF(COUNTIF(tblPaydas[MuvekkilId],$B23)=0,"YETİM","")))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IF($A23="","",IF(OR($G23="KAPALI",$I23&gt;0),IF(OR($H23="",$I23=""),"",IF(ABS($I23-$H23)&gt;zincirTolerans,"ZİNCİR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IF($A24="","",IF(OR($G24="SONUC",$G24="KAPALI"),0,IF($D24="","",raporTarihi-$D24)))</f>
        <v/>
      </c>
      <c r="L24" s="24">
        <f>IF($A24="","",IF($B24="","YETİM",IF(COUNTIF(tblPaydas[MuvekkilId],$B24)=0,"YETİM","")))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IF($A24="","",IF(OR($G24="KAPALI",$I24&gt;0),IF(OR($H24="",$I24=""),"",IF(ABS($I24-$H24)&gt;zincirTolerans,"ZİNCİR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IF($A25="","",IF(OR($G25="SONUC",$G25="KAPALI"),0,IF($D25="","",raporTarihi-$D25)))</f>
        <v/>
      </c>
      <c r="L25" s="24">
        <f>IF($A25="","",IF($B25="","YETİM",IF(COUNTIF(tblPaydas[MuvekkilId],$B25)=0,"YETİM","")))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IF($A25="","",IF(OR($G25="KAPALI",$I25&gt;0),IF(OR($H25="",$I25=""),"",IF(ABS($I25-$H25)&gt;zincirTolerans,"ZİNCİR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IF($A26="","",IF(OR($G26="SONUC",$G26="KAPALI"),0,IF($D26="","",raporTarihi-$D26)))</f>
        <v/>
      </c>
      <c r="L26" s="24">
        <f>IF($A26="","",IF($B26="","YETİM",IF(COUNTIF(tblPaydas[MuvekkilId],$B26)=0,"YETİM","")))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IF($A26="","",IF(OR($G26="KAPALI",$I26&gt;0),IF(OR($H26="",$I26=""),"",IF(ABS($I26-$H26)&gt;zincirTolerans,"ZİNCİR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IF($A27="","",IF(OR($G27="SONUC",$G27="KAPALI"),0,IF($D27="","",raporTarihi-$D27)))</f>
        <v/>
      </c>
      <c r="L27" s="24">
        <f>IF($A27="","",IF($B27="","YETİM",IF(COUNTIF(tblPaydas[MuvekkilId],$B27)=0,"YETİM","")))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IF($A27="","",IF(OR($G27="KAPALI",$I27&gt;0),IF(OR($H27="",$I27=""),"",IF(ABS($I27-$H27)&gt;zincirTolerans,"ZİNCİR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IF($A28="","",IF(OR($G28="SONUC",$G28="KAPALI"),0,IF($D28="","",raporTarihi-$D28)))</f>
        <v/>
      </c>
      <c r="L28" s="24">
        <f>IF($A28="","",IF($B28="","YETİM",IF(COUNTIF(tblPaydas[MuvekkilId],$B28)=0,"YETİM","")))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IF($A28="","",IF(OR($G28="KAPALI",$I28&gt;0),IF(OR($H28="",$I28=""),"",IF(ABS($I28-$H28)&gt;zincirTolerans,"ZİNCİR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IF($A29="","",IF(OR($G29="SONUC",$G29="KAPALI"),0,IF($D29="","",raporTarihi-$D29)))</f>
        <v/>
      </c>
      <c r="L29" s="24">
        <f>IF($A29="","",IF($B29="","YETİM",IF(COUNTIF(tblPaydas[MuvekkilId],$B29)=0,"YETİM","")))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IF($A29="","",IF(OR($G29="KAPALI",$I29&gt;0),IF(OR($H29="",$I29=""),"",IF(ABS($I29-$H29)&gt;zincirTolerans,"ZİNCİR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IF($A30="","",IF(OR($G30="SONUC",$G30="KAPALI"),0,IF($D30="","",raporTarihi-$D30)))</f>
        <v/>
      </c>
      <c r="L30" s="24">
        <f>IF($A30="","",IF($B30="","YETİM",IF(COUNTIF(tblPaydas[MuvekkilId],$B30)=0,"YETİM","")))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IF($A30="","",IF(OR($G30="KAPALI",$I30&gt;0),IF(OR($H30="",$I30=""),"",IF(ABS($I30-$H30)&gt;zincirTolerans,"ZİNCİR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IF($A31="","",IF(OR($G31="SONUC",$G31="KAPALI"),0,IF($D31="","",raporTarihi-$D31)))</f>
        <v/>
      </c>
      <c r="L31" s="24">
        <f>IF($A31="","",IF($B31="","YETİM",IF(COUNTIF(tblPaydas[MuvekkilId],$B31)=0,"YETİM","")))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IF($A31="","",IF(OR($G31="KAPALI",$I31&gt;0),IF(OR($H31="",$I31=""),"",IF(ABS($I31-$H31)&gt;zincirTolerans,"ZİNCİR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IF($A32="","",IF(OR($G32="SONUC",$G32="KAPALI"),0,IF($D32="","",raporTarihi-$D32)))</f>
        <v/>
      </c>
      <c r="L32" s="24">
        <f>IF($A32="","",IF($B32="","YETİM",IF(COUNTIF(tblPaydas[MuvekkilId],$B32)=0,"YETİM","")))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IF($A32="","",IF(OR($G32="KAPALI",$I32&gt;0),IF(OR($H32="",$I32=""),"",IF(ABS($I32-$H32)&gt;zincirTolerans,"ZİNCİR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IF($A33="","",IF(OR($G33="SONUC",$G33="KAPALI"),0,IF($D33="","",raporTarihi-$D33)))</f>
        <v/>
      </c>
      <c r="L33" s="24">
        <f>IF($A33="","",IF($B33="","YETİM",IF(COUNTIF(tblPaydas[MuvekkilId],$B33)=0,"YETİM","")))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IF($A33="","",IF(OR($G33="KAPALI",$I33&gt;0),IF(OR($H33="",$I33=""),"",IF(ABS($I33-$H33)&gt;zincirTolerans,"ZİNCİR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IF($A34="","",IF(OR($G34="SONUC",$G34="KAPALI"),0,IF($D34="","",raporTarihi-$D34)))</f>
        <v/>
      </c>
      <c r="L34" s="24">
        <f>IF($A34="","",IF($B34="","YETİM",IF(COUNTIF(tblPaydas[MuvekkilId],$B34)=0,"YETİM","")))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IF($A34="","",IF(OR($G34="KAPALI",$I34&gt;0),IF(OR($H34="",$I34=""),"",IF(ABS($I34-$H34)&gt;zincirTolerans,"ZİNCİR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IF($A35="","",IF(OR($G35="SONUC",$G35="KAPALI"),0,IF($D35="","",raporTarihi-$D35)))</f>
        <v/>
      </c>
      <c r="L35" s="24">
        <f>IF($A35="","",IF($B35="","YETİM",IF(COUNTIF(tblPaydas[MuvekkilId],$B35)=0,"YETİM","")))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IF($A35="","",IF(OR($G35="KAPALI",$I35&gt;0),IF(OR($H35="",$I35=""),"",IF(ABS($I35-$H35)&gt;zincirTolerans,"ZİNCİR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IF($A36="","",IF(OR($G36="SONUC",$G36="KAPALI"),0,IF($D36="","",raporTarihi-$D36)))</f>
        <v/>
      </c>
      <c r="L36" s="24">
        <f>IF($A36="","",IF($B36="","YETİM",IF(COUNTIF(tblPaydas[MuvekkilId],$B36)=0,"YETİM","")))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IF($A36="","",IF(OR($G36="KAPALI",$I36&gt;0),IF(OR($H36="",$I36=""),"",IF(ABS($I36-$H36)&gt;zincirTolerans,"ZİNCİR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IF($A37="","",IF(OR($G37="SONUC",$G37="KAPALI"),0,IF($D37="","",raporTarihi-$D37)))</f>
        <v/>
      </c>
      <c r="L37" s="24">
        <f>IF($A37="","",IF($B37="","YETİM",IF(COUNTIF(tblPaydas[MuvekkilId],$B37)=0,"YETİM","")))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IF($A37="","",IF(OR($G37="KAPALI",$I37&gt;0),IF(OR($H37="",$I37=""),"",IF(ABS($I37-$H37)&gt;zincirTolerans,"ZİNCİR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IF($A38="","",IF(OR($G38="SONUC",$G38="KAPALI"),0,IF($D38="","",raporTarihi-$D38)))</f>
        <v/>
      </c>
      <c r="L38" s="24">
        <f>IF($A38="","",IF($B38="","YETİM",IF(COUNTIF(tblPaydas[MuvekkilId],$B38)=0,"YETİM","")))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IF($A38="","",IF(OR($G38="KAPALI",$I38&gt;0),IF(OR($H38="",$I38=""),"",IF(ABS($I38-$H38)&gt;zincirTolerans,"ZİNCİR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IF($A39="","",IF(OR($G39="SONUC",$G39="KAPALI"),0,IF($D39="","",raporTarihi-$D39)))</f>
        <v/>
      </c>
      <c r="L39" s="24">
        <f>IF($A39="","",IF($B39="","YETİM",IF(COUNTIF(tblPaydas[MuvekkilId],$B39)=0,"YETİM","")))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IF($A39="","",IF(OR($G39="KAPALI",$I39&gt;0),IF(OR($H39="",$I39=""),"",IF(ABS($I39-$H39)&gt;zincirTolerans,"ZİNCİR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IF($A40="","",IF(OR($G40="SONUC",$G40="KAPALI"),0,IF($D40="","",raporTarihi-$D40)))</f>
        <v/>
      </c>
      <c r="L40" s="24">
        <f>IF($A40="","",IF($B40="","YETİM",IF(COUNTIF(tblPaydas[MuvekkilId],$B40)=0,"YETİM","")))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IF($A40="","",IF(OR($G40="KAPALI",$I40&gt;0),IF(OR($H40="",$I40=""),"",IF(ABS($I40-$H40)&gt;zincirTolerans,"ZİNCİR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IF($A41="","",IF(OR($G41="SONUC",$G41="KAPALI"),0,IF($D41="","",raporTarihi-$D41)))</f>
        <v/>
      </c>
      <c r="L41" s="24">
        <f>IF($A41="","",IF($B41="","YETİM",IF(COUNTIF(tblPaydas[MuvekkilId],$B41)=0,"YETİM","")))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IF($A41="","",IF(OR($G41="KAPALI",$I41&gt;0),IF(OR($H41="",$I41=""),"",IF(ABS($I41-$H41)&gt;zincirTolerans,"ZİNCİR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IF($A42="","",IF(OR($G42="SONUC",$G42="KAPALI"),0,IF($D42="","",raporTarihi-$D42)))</f>
        <v/>
      </c>
      <c r="L42" s="24">
        <f>IF($A42="","",IF($B42="","YETİM",IF(COUNTIF(tblPaydas[MuvekkilId],$B42)=0,"YETİM","")))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IF($A42="","",IF(OR($G42="KAPALI",$I42&gt;0),IF(OR($H42="",$I42=""),"",IF(ABS($I42-$H42)&gt;zincirTolerans,"ZİNCİR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IF($A43="","",IF(OR($G43="SONUC",$G43="KAPALI"),0,IF($D43="","",raporTarihi-$D43)))</f>
        <v/>
      </c>
      <c r="L43" s="24">
        <f>IF($A43="","",IF($B43="","YETİM",IF(COUNTIF(tblPaydas[MuvekkilId],$B43)=0,"YETİM","")))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IF($A43="","",IF(OR($G43="KAPALI",$I43&gt;0),IF(OR($H43="",$I43=""),"",IF(ABS($I43-$H43)&gt;zincirTolerans,"ZİNCİR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IF($A44="","",IF(OR($G44="SONUC",$G44="KAPALI"),0,IF($D44="","",raporTarihi-$D44)))</f>
        <v/>
      </c>
      <c r="L44" s="24">
        <f>IF($A44="","",IF($B44="","YETİM",IF(COUNTIF(tblPaydas[MuvekkilId],$B44)=0,"YETİM","")))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IF($A44="","",IF(OR($G44="KAPALI",$I44&gt;0),IF(OR($H44="",$I44=""),"",IF(ABS($I44-$H44)&gt;zincirTolerans,"ZİNCİR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IF($A45="","",IF(OR($G45="SONUC",$G45="KAPALI"),0,IF($D45="","",raporTarihi-$D45)))</f>
        <v/>
      </c>
      <c r="L45" s="24">
        <f>IF($A45="","",IF($B45="","YETİM",IF(COUNTIF(tblPaydas[MuvekkilId],$B45)=0,"YETİM","")))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IF($A45="","",IF(OR($G45="KAPALI",$I45&gt;0),IF(OR($H45="",$I45=""),"",IF(ABS($I45-$H45)&gt;zincirTolerans,"ZİNCİR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IF($A46="","",IF(OR($G46="SONUC",$G46="KAPALI"),0,IF($D46="","",raporTarihi-$D46)))</f>
        <v/>
      </c>
      <c r="L46" s="24">
        <f>IF($A46="","",IF($B46="","YETİM",IF(COUNTIF(tblPaydas[MuvekkilId],$B46)=0,"YETİM","")))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IF($A46="","",IF(OR($G46="KAPALI",$I46&gt;0),IF(OR($H46="",$I46=""),"",IF(ABS($I46-$H46)&gt;zincirTolerans,"ZİNCİR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IF($A47="","",IF(OR($G47="SONUC",$G47="KAPALI"),0,IF($D47="","",raporTarihi-$D47)))</f>
        <v/>
      </c>
      <c r="L47" s="24">
        <f>IF($A47="","",IF($B47="","YETİM",IF(COUNTIF(tblPaydas[MuvekkilId],$B47)=0,"YETİM","")))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IF($A47="","",IF(OR($G47="KAPALI",$I47&gt;0),IF(OR($H47="",$I47=""),"",IF(ABS($I47-$H47)&gt;zincirTolerans,"ZİNCİR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IF($A48="","",IF(OR($G48="SONUC",$G48="KAPALI"),0,IF($D48="","",raporTarihi-$D48)))</f>
        <v/>
      </c>
      <c r="L48" s="24">
        <f>IF($A48="","",IF($B48="","YETİM",IF(COUNTIF(tblPaydas[MuvekkilId],$B48)=0,"YETİM","")))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IF($A48="","",IF(OR($G48="KAPALI",$I48&gt;0),IF(OR($H48="",$I48=""),"",IF(ABS($I48-$H48)&gt;zincirTolerans,"ZİNCİR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IF($A49="","",IF(OR($G49="SONUC",$G49="KAPALI"),0,IF($D49="","",raporTarihi-$D49)))</f>
        <v/>
      </c>
      <c r="L49" s="24">
        <f>IF($A49="","",IF($B49="","YETİM",IF(COUNTIF(tblPaydas[MuvekkilId],$B49)=0,"YETİM","")))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IF($A49="","",IF(OR($G49="KAPALI",$I49&gt;0),IF(OR($H49="",$I49=""),"",IF(ABS($I49-$H49)&gt;zincirTolerans,"ZİNCİR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IF($A50="","",IF(OR($G50="SONUC",$G50="KAPALI"),0,IF($D50="","",raporTarihi-$D50)))</f>
        <v/>
      </c>
      <c r="L50" s="24">
        <f>IF($A50="","",IF($B50="","YETİM",IF(COUNTIF(tblPaydas[MuvekkilId],$B50)=0,"YETİM","")))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IF($A50="","",IF(OR($G50="KAPALI",$I50&gt;0),IF(OR($H50="",$I50=""),"",IF(ABS($I50-$H50)&gt;zincirTolerans,"ZİNCİR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IF($A51="","",IF(OR($G51="SONUC",$G51="KAPALI"),0,IF($D51="","",raporTarihi-$D51)))</f>
        <v/>
      </c>
      <c r="L51" s="24">
        <f>IF($A51="","",IF($B51="","YETİM",IF(COUNTIF(tblPaydas[MuvekkilId],$B51)=0,"YETİM","")))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IF($A51="","",IF(OR($G51="KAPALI",$I51&gt;0),IF(OR($H51="",$I51=""),"",IF(ABS($I51-$H51)&gt;zincirTolerans,"ZİNCİR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IF($A52="","",IF(OR($G52="SONUC",$G52="KAPALI"),0,IF($D52="","",raporTarihi-$D52)))</f>
        <v/>
      </c>
      <c r="L52" s="24">
        <f>IF($A52="","",IF($B52="","YETİM",IF(COUNTIF(tblPaydas[MuvekkilId],$B52)=0,"YETİM","")))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IF($A52="","",IF(OR($G52="KAPALI",$I52&gt;0),IF(OR($H52="",$I52=""),"",IF(ABS($I52-$H52)&gt;zincirTolerans,"ZİNCİR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IF($A53="","",IF(OR($G53="SONUC",$G53="KAPALI"),0,IF($D53="","",raporTarihi-$D53)))</f>
        <v/>
      </c>
      <c r="L53" s="24">
        <f>IF($A53="","",IF($B53="","YETİM",IF(COUNTIF(tblPaydas[MuvekkilId],$B53)=0,"YETİM","")))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IF($A53="","",IF(OR($G53="KAPALI",$I53&gt;0),IF(OR($H53="",$I53=""),"",IF(ABS($I53-$H53)&gt;zincirTolerans,"ZİNCİR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IF($A54="","",IF(OR($G54="SONUC",$G54="KAPALI"),0,IF($D54="","",raporTarihi-$D54)))</f>
        <v/>
      </c>
      <c r="L54" s="24">
        <f>IF($A54="","",IF($B54="","YETİM",IF(COUNTIF(tblPaydas[MuvekkilId],$B54)=0,"YETİM","")))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IF($A54="","",IF(OR($G54="KAPALI",$I54&gt;0),IF(OR($H54="",$I54=""),"",IF(ABS($I54-$H54)&gt;zincirTolerans,"ZİNCİR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IF($A55="","",IF(OR($G55="SONUC",$G55="KAPALI"),0,IF($D55="","",raporTarihi-$D55)))</f>
        <v/>
      </c>
      <c r="L55" s="24">
        <f>IF($A55="","",IF($B55="","YETİM",IF(COUNTIF(tblPaydas[MuvekkilId],$B55)=0,"YETİM","")))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IF($A55="","",IF(OR($G55="KAPALI",$I55&gt;0),IF(OR($H55="",$I55=""),"",IF(ABS($I55-$H55)&gt;zincirTolerans,"ZİNCİR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IF($A56="","",IF(OR($G56="SONUC",$G56="KAPALI"),0,IF($D56="","",raporTarihi-$D56)))</f>
        <v/>
      </c>
      <c r="L56" s="24">
        <f>IF($A56="","",IF($B56="","YETİM",IF(COUNTIF(tblPaydas[MuvekkilId],$B56)=0,"YETİM","")))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IF($A56="","",IF(OR($G56="KAPALI",$I56&gt;0),IF(OR($H56="",$I56=""),"",IF(ABS($I56-$H56)&gt;zincirTolerans,"ZİNCİR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IF($A57="","",IF(OR($G57="SONUC",$G57="KAPALI"),0,IF($D57="","",raporTarihi-$D57)))</f>
        <v/>
      </c>
      <c r="L57" s="24">
        <f>IF($A57="","",IF($B57="","YETİM",IF(COUNTIF(tblPaydas[MuvekkilId],$B57)=0,"YETİM","")))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IF($A57="","",IF(OR($G57="KAPALI",$I57&gt;0),IF(OR($H57="",$I57=""),"",IF(ABS($I57-$H57)&gt;zincirTolerans,"ZİNCİR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IF($A58="","",IF(OR($G58="SONUC",$G58="KAPALI"),0,IF($D58="","",raporTarihi-$D58)))</f>
        <v/>
      </c>
      <c r="L58" s="24">
        <f>IF($A58="","",IF($B58="","YETİM",IF(COUNTIF(tblPaydas[MuvekkilId],$B58)=0,"YETİM","")))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IF($A58="","",IF(OR($G58="KAPALI",$I58&gt;0),IF(OR($H58="",$I58=""),"",IF(ABS($I58-$H58)&gt;zincirTolerans,"ZİNCİR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IF($A59="","",IF(OR($G59="SONUC",$G59="KAPALI"),0,IF($D59="","",raporTarihi-$D59)))</f>
        <v/>
      </c>
      <c r="L59" s="24">
        <f>IF($A59="","",IF($B59="","YETİM",IF(COUNTIF(tblPaydas[MuvekkilId],$B59)=0,"YETİM","")))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IF($A59="","",IF(OR($G59="KAPALI",$I59&gt;0),IF(OR($H59="",$I59=""),"",IF(ABS($I59-$H59)&gt;zincirTolerans,"ZİNCİR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IF($A60="","",IF(OR($G60="SONUC",$G60="KAPALI"),0,IF($D60="","",raporTarihi-$D60)))</f>
        <v/>
      </c>
      <c r="L60" s="24">
        <f>IF($A60="","",IF($B60="","YETİM",IF(COUNTIF(tblPaydas[MuvekkilId],$B60)=0,"YETİM","")))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IF($A60="","",IF(OR($G60="KAPALI",$I60&gt;0),IF(OR($H60="",$I60=""),"",IF(ABS($I60-$H60)&gt;zincirTolerans,"ZİNCİR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IF($A61="","",IF(OR($G61="SONUC",$G61="KAPALI"),0,IF($D61="","",raporTarihi-$D61)))</f>
        <v/>
      </c>
      <c r="L61" s="24">
        <f>IF($A61="","",IF($B61="","YETİM",IF(COUNTIF(tblPaydas[MuvekkilId],$B61)=0,"YETİM","")))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IF($A61="","",IF(OR($G61="KAPALI",$I61&gt;0),IF(OR($H61="",$I61=""),"",IF(ABS($I61-$H61)&gt;zincirTolerans,"ZİNCİR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IF($A62="","",IF(OR($G62="SONUC",$G62="KAPALI"),0,IF($D62="","",raporTarihi-$D62)))</f>
        <v/>
      </c>
      <c r="L62" s="24">
        <f>IF($A62="","",IF($B62="","YETİM",IF(COUNTIF(tblPaydas[MuvekkilId],$B62)=0,"YETİM","")))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IF($A62="","",IF(OR($G62="KAPALI",$I62&gt;0),IF(OR($H62="",$I62=""),"",IF(ABS($I62-$H62)&gt;zincirTolerans,"ZİNCİR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IF($A63="","",IF(OR($G63="SONUC",$G63="KAPALI"),0,IF($D63="","",raporTarihi-$D63)))</f>
        <v/>
      </c>
      <c r="L63" s="24">
        <f>IF($A63="","",IF($B63="","YETİM",IF(COUNTIF(tblPaydas[MuvekkilId],$B63)=0,"YETİM","")))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IF($A63="","",IF(OR($G63="KAPALI",$I63&gt;0),IF(OR($H63="",$I63=""),"",IF(ABS($I63-$H63)&gt;zincirTolerans,"ZİNCİR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IF($A64="","",IF(OR($G64="SONUC",$G64="KAPALI"),0,IF($D64="","",raporTarihi-$D64)))</f>
        <v/>
      </c>
      <c r="L64" s="24">
        <f>IF($A64="","",IF($B64="","YETİM",IF(COUNTIF(tblPaydas[MuvekkilId],$B64)=0,"YETİM","")))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IF($A64="","",IF(OR($G64="KAPALI",$I64&gt;0),IF(OR($H64="",$I64=""),"",IF(ABS($I64-$H64)&gt;zincirTolerans,"ZİNCİR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IF($A65="","",IF(OR($G65="SONUC",$G65="KAPALI"),0,IF($D65="","",raporTarihi-$D65)))</f>
        <v/>
      </c>
      <c r="L65" s="24">
        <f>IF($A65="","",IF($B65="","YETİM",IF(COUNTIF(tblPaydas[MuvekkilId],$B65)=0,"YETİM","")))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IF($A65="","",IF(OR($G65="KAPALI",$I65&gt;0),IF(OR($H65="",$I65=""),"",IF(ABS($I65-$H65)&gt;zincirTolerans,"ZİNCİR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IF($A66="","",IF(OR($G66="SONUC",$G66="KAPALI"),0,IF($D66="","",raporTarihi-$D66)))</f>
        <v/>
      </c>
      <c r="L66" s="24">
        <f>IF($A66="","",IF($B66="","YETİM",IF(COUNTIF(tblPaydas[MuvekkilId],$B66)=0,"YETİM","")))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IF($A66="","",IF(OR($G66="KAPALI",$I66&gt;0),IF(OR($H66="",$I66=""),"",IF(ABS($I66-$H66)&gt;zincirTolerans,"ZİNCİR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IF($A67="","",IF(OR($G67="SONUC",$G67="KAPALI"),0,IF($D67="","",raporTarihi-$D67)))</f>
        <v/>
      </c>
      <c r="L67" s="24">
        <f>IF($A67="","",IF($B67="","YETİM",IF(COUNTIF(tblPaydas[MuvekkilId],$B67)=0,"YETİM","")))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IF($A67="","",IF(OR($G67="KAPALI",$I67&gt;0),IF(OR($H67="",$I67=""),"",IF(ABS($I67-$H67)&gt;zincirTolerans,"ZİNCİR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IF($A68="","",IF(OR($G68="SONUC",$G68="KAPALI"),0,IF($D68="","",raporTarihi-$D68)))</f>
        <v/>
      </c>
      <c r="L68" s="24">
        <f>IF($A68="","",IF($B68="","YETİM",IF(COUNTIF(tblPaydas[MuvekkilId],$B68)=0,"YETİM","")))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IF($A68="","",IF(OR($G68="KAPALI",$I68&gt;0),IF(OR($H68="",$I68=""),"",IF(ABS($I68-$H68)&gt;zincirTolerans,"ZİNCİR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IF($A69="","",IF(OR($G69="SONUC",$G69="KAPALI"),0,IF($D69="","",raporTarihi-$D69)))</f>
        <v/>
      </c>
      <c r="L69" s="24">
        <f>IF($A69="","",IF($B69="","YETİM",IF(COUNTIF(tblPaydas[MuvekkilId],$B69)=0,"YETİM","")))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IF($A69="","",IF(OR($G69="KAPALI",$I69&gt;0),IF(OR($H69="",$I69=""),"",IF(ABS($I69-$H69)&gt;zincirTolerans,"ZİNCİR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IF($A70="","",IF(OR($G70="SONUC",$G70="KAPALI"),0,IF($D70="","",raporTarihi-$D70)))</f>
        <v/>
      </c>
      <c r="L70" s="24">
        <f>IF($A70="","",IF($B70="","YETİM",IF(COUNTIF(tblPaydas[MuvekkilId],$B70)=0,"YETİM","")))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IF($A70="","",IF(OR($G70="KAPALI",$I70&gt;0),IF(OR($H70="",$I70=""),"",IF(ABS($I70-$H70)&gt;zincirTolerans,"ZİNCİR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IF($A71="","",IF(OR($G71="SONUC",$G71="KAPALI"),0,IF($D71="","",raporTarihi-$D71)))</f>
        <v/>
      </c>
      <c r="L71" s="24">
        <f>IF($A71="","",IF($B71="","YETİM",IF(COUNTIF(tblPaydas[MuvekkilId],$B71)=0,"YETİM","")))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IF($A71="","",IF(OR($G71="KAPALI",$I71&gt;0),IF(OR($H71="",$I71=""),"",IF(ABS($I71-$H71)&gt;zincirTolerans,"ZİNCİR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IF($A72="","",IF(OR($G72="SONUC",$G72="KAPALI"),0,IF($D72="","",raporTarihi-$D72)))</f>
        <v/>
      </c>
      <c r="L72" s="24">
        <f>IF($A72="","",IF($B72="","YETİM",IF(COUNTIF(tblPaydas[MuvekkilId],$B72)=0,"YETİM","")))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IF($A72="","",IF(OR($G72="KAPALI",$I72&gt;0),IF(OR($H72="",$I72=""),"",IF(ABS($I72-$H72)&gt;zincirTolerans,"ZİNCİR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IF($A73="","",IF(OR($G73="SONUC",$G73="KAPALI"),0,IF($D73="","",raporTarihi-$D73)))</f>
        <v/>
      </c>
      <c r="L73" s="24">
        <f>IF($A73="","",IF($B73="","YETİM",IF(COUNTIF(tblPaydas[MuvekkilId],$B73)=0,"YETİM","")))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IF($A73="","",IF(OR($G73="KAPALI",$I73&gt;0),IF(OR($H73="",$I73=""),"",IF(ABS($I73-$H73)&gt;zincirTolerans,"ZİNCİR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IF($A74="","",IF(OR($G74="SONUC",$G74="KAPALI"),0,IF($D74="","",raporTarihi-$D74)))</f>
        <v/>
      </c>
      <c r="L74" s="24">
        <f>IF($A74="","",IF($B74="","YETİM",IF(COUNTIF(tblPaydas[MuvekkilId],$B74)=0,"YETİM","")))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IF($A74="","",IF(OR($G74="KAPALI",$I74&gt;0),IF(OR($H74="",$I74=""),"",IF(ABS($I74-$H74)&gt;zincirTolerans,"ZİNCİR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IF($A75="","",IF(OR($G75="SONUC",$G75="KAPALI"),0,IF($D75="","",raporTarihi-$D75)))</f>
        <v/>
      </c>
      <c r="L75" s="24">
        <f>IF($A75="","",IF($B75="","YETİM",IF(COUNTIF(tblPaydas[MuvekkilId],$B75)=0,"YETİM","")))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IF($A75="","",IF(OR($G75="KAPALI",$I75&gt;0),IF(OR($H75="",$I75=""),"",IF(ABS($I75-$H75)&gt;zincirTolerans,"ZİNCİR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IF($A76="","",IF(OR($G76="SONUC",$G76="KAPALI"),0,IF($D76="","",raporTarihi-$D76)))</f>
        <v/>
      </c>
      <c r="L76" s="24">
        <f>IF($A76="","",IF($B76="","YETİM",IF(COUNTIF(tblPaydas[MuvekkilId],$B76)=0,"YETİM","")))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IF($A76="","",IF(OR($G76="KAPALI",$I76&gt;0),IF(OR($H76="",$I76=""),"",IF(ABS($I76-$H76)&gt;zincirTolerans,"ZİNCİR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IF($A77="","",IF(OR($G77="SONUC",$G77="KAPALI"),0,IF($D77="","",raporTarihi-$D77)))</f>
        <v/>
      </c>
      <c r="L77" s="24">
        <f>IF($A77="","",IF($B77="","YETİM",IF(COUNTIF(tblPaydas[MuvekkilId],$B77)=0,"YETİM","")))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IF($A77="","",IF(OR($G77="KAPALI",$I77&gt;0),IF(OR($H77="",$I77=""),"",IF(ABS($I77-$H77)&gt;zincirTolerans,"ZİNCİR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IF($A78="","",IF(OR($G78="SONUC",$G78="KAPALI"),0,IF($D78="","",raporTarihi-$D78)))</f>
        <v/>
      </c>
      <c r="L78" s="24">
        <f>IF($A78="","",IF($B78="","YETİM",IF(COUNTIF(tblPaydas[MuvekkilId],$B78)=0,"YETİM","")))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IF($A78="","",IF(OR($G78="KAPALI",$I78&gt;0),IF(OR($H78="",$I78=""),"",IF(ABS($I78-$H78)&gt;zincirTolerans,"ZİNCİR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IF($A79="","",IF(OR($G79="SONUC",$G79="KAPALI"),0,IF($D79="","",raporTarihi-$D79)))</f>
        <v/>
      </c>
      <c r="L79" s="24">
        <f>IF($A79="","",IF($B79="","YETİM",IF(COUNTIF(tblPaydas[MuvekkilId],$B79)=0,"YETİM","")))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IF($A79="","",IF(OR($G79="KAPALI",$I79&gt;0),IF(OR($H79="",$I79=""),"",IF(ABS($I79-$H79)&gt;zincirTolerans,"ZİNCİR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IF($A80="","",IF(OR($G80="SONUC",$G80="KAPALI"),0,IF($D80="","",raporTarihi-$D80)))</f>
        <v/>
      </c>
      <c r="L80" s="24">
        <f>IF($A80="","",IF($B80="","YETİM",IF(COUNTIF(tblPaydas[MuvekkilId],$B80)=0,"YETİM","")))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IF($A80="","",IF(OR($G80="KAPALI",$I80&gt;0),IF(OR($H80="",$I80=""),"",IF(ABS($I80-$H80)&gt;zincirTolerans,"ZİNCİR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IF($A81="","",IF(OR($G81="SONUC",$G81="KAPALI"),0,IF($D81="","",raporTarihi-$D81)))</f>
        <v/>
      </c>
      <c r="L81" s="24">
        <f>IF($A81="","",IF($B81="","YETİM",IF(COUNTIF(tblPaydas[MuvekkilId],$B81)=0,"YETİM","")))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IF($A81="","",IF(OR($G81="KAPALI",$I81&gt;0),IF(OR($H81="",$I81=""),"",IF(ABS($I81-$H81)&gt;zincirTolerans,"ZİNCİR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IF($A82="","",IF(OR($G82="SONUC",$G82="KAPALI"),0,IF($D82="","",raporTarihi-$D82)))</f>
        <v/>
      </c>
      <c r="L82" s="24">
        <f>IF($A82="","",IF($B82="","YETİM",IF(COUNTIF(tblPaydas[MuvekkilId],$B82)=0,"YETİM","")))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IF($A82="","",IF(OR($G82="KAPALI",$I82&gt;0),IF(OR($H82="",$I82=""),"",IF(ABS($I82-$H82)&gt;zincirTolerans,"ZİNCİR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IF($A83="","",IF(OR($G83="SONUC",$G83="KAPALI"),0,IF($D83="","",raporTarihi-$D83)))</f>
        <v/>
      </c>
      <c r="L83" s="24">
        <f>IF($A83="","",IF($B83="","YETİM",IF(COUNTIF(tblPaydas[MuvekkilId],$B83)=0,"YETİM","")))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IF($A83="","",IF(OR($G83="KAPALI",$I83&gt;0),IF(OR($H83="",$I83=""),"",IF(ABS($I83-$H83)&gt;zincirTolerans,"ZİNCİR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IF($A84="","",IF(OR($G84="SONUC",$G84="KAPALI"),0,IF($D84="","",raporTarihi-$D84)))</f>
        <v/>
      </c>
      <c r="L84" s="24">
        <f>IF($A84="","",IF($B84="","YETİM",IF(COUNTIF(tblPaydas[MuvekkilId],$B84)=0,"YETİM","")))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IF($A84="","",IF(OR($G84="KAPALI",$I84&gt;0),IF(OR($H84="",$I84=""),"",IF(ABS($I84-$H84)&gt;zincirTolerans,"ZİNCİR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IF($A85="","",IF(OR($G85="SONUC",$G85="KAPALI"),0,IF($D85="","",raporTarihi-$D85)))</f>
        <v/>
      </c>
      <c r="L85" s="24">
        <f>IF($A85="","",IF($B85="","YETİM",IF(COUNTIF(tblPaydas[MuvekkilId],$B85)=0,"YETİM","")))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IF($A85="","",IF(OR($G85="KAPALI",$I85&gt;0),IF(OR($H85="",$I85=""),"",IF(ABS($I85-$H85)&gt;zincirTolerans,"ZİNCİR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IF($A86="","",IF(OR($G86="SONUC",$G86="KAPALI"),0,IF($D86="","",raporTarihi-$D86)))</f>
        <v/>
      </c>
      <c r="L86" s="24">
        <f>IF($A86="","",IF($B86="","YETİM",IF(COUNTIF(tblPaydas[MuvekkilId],$B86)=0,"YETİM","")))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IF($A86="","",IF(OR($G86="KAPALI",$I86&gt;0),IF(OR($H86="",$I86=""),"",IF(ABS($I86-$H86)&gt;zincirTolerans,"ZİNCİR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H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23.5" customWidth="1" min="2" max="2"/>
    <col width="14" customWidth="1" min="3" max="3"/>
    <col width="15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</cols>
  <sheetData>
    <row r="1" ht="32" customHeight="1">
      <c r="A1" s="175" t="inlineStr">
        <is>
          <t>GIDER — Hukuk Bürosu Dosya &amp; Vekalet Komutası</t>
        </is>
      </c>
    </row>
    <row r="2"/>
    <row r="3" ht="22" customHeight="1">
      <c r="A3" s="194" t="inlineStr">
        <is>
          <t>Gider takibi — bütçe vs gerçekleşen</t>
        </is>
      </c>
    </row>
    <row r="4"/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Büro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Tebligat/masraf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Kırtasiye/dosya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UYAP/internet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Bilirkişi avansı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Arabuluculuk ücreti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Mesleki 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Duruşma yolu gideri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Harç avansı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A365D"/>
    <outlinePr summaryBelow="1" summaryRight="1"/>
    <pageSetUpPr/>
  </sheetPr>
  <dimension ref="A1:I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23.5" customWidth="1" min="2" max="2"/>
    <col width="32.5" customWidth="1" min="3" max="3"/>
    <col width="12" customWidth="1" min="4" max="4"/>
    <col width="12.5" customWidth="1" min="5" max="5"/>
    <col width="13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KARARLAR — Hukuk Bürosu Dosya &amp; Vekalet Komutası</t>
        </is>
      </c>
    </row>
    <row r="2"/>
    <row r="3" ht="22" customHeight="1">
      <c r="A3" s="194" t="inlineStr">
        <is>
          <t>Genel kurul / yönetim kararları — kanıt niteliğinde defter</t>
        </is>
      </c>
    </row>
    <row r="4"/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vekalet tarife tablosu</t>
        </is>
      </c>
      <c r="D6" s="23" t="inlineStr">
        <is>
          <t>ONAY</t>
        </is>
      </c>
      <c r="E6" s="23" t="inlineStr">
        <is>
          <t>BURO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Müvekkil vekalet onay süreci</t>
        </is>
      </c>
      <c r="D7" s="23" t="inlineStr">
        <is>
          <t>ONAY</t>
        </is>
      </c>
      <c r="E7" s="23" t="inlineStr">
        <is>
          <t>MUVEKKIL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Asgari vekalet ücreti AAÜT</t>
        </is>
      </c>
      <c r="D8" s="23" t="inlineStr">
        <is>
          <t>ONAY</t>
        </is>
      </c>
      <c r="E8" s="23" t="inlineStr">
        <is>
          <t>MUVEKKIL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Büro arşiv dijitalleştirme</t>
        </is>
      </c>
      <c r="D9" s="23" t="inlineStr">
        <is>
          <t>ERTELE</t>
        </is>
      </c>
      <c r="E9" s="23" t="inlineStr">
        <is>
          <t>BURO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/ süre eşiği</t>
        </is>
      </c>
      <c r="D10" s="23" t="inlineStr">
        <is>
          <t>ONAY</t>
        </is>
      </c>
      <c r="E10" s="23" t="inlineStr">
        <is>
          <t>BURO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Aylık dosya kapanış gündemi</t>
        </is>
      </c>
      <c r="D11" s="23" t="inlineStr">
        <is>
          <t>TASLAK</t>
        </is>
      </c>
      <c r="E11" s="23" t="inlineStr">
        <is>
          <t>BURO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BURO veya MUVEKKIL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1A365D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.5" customWidth="1" min="2" max="2"/>
    <col width="4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 — Hukuk Bürosu Dosya &amp; Vekalet Komutası</t>
        </is>
      </c>
    </row>
    <row r="2"/>
    <row r="3" ht="22" customHeight="1">
      <c r="A3" s="194" t="inlineStr">
        <is>
          <t>Karar kapısı ve gerekçe</t>
        </is>
      </c>
    </row>
    <row r="4"/>
    <row r="5">
      <c r="A5" s="12" t="inlineStr">
        <is>
          <t>Karar</t>
        </is>
      </c>
      <c r="B5" s="34">
        <f>hbd_kararKapi</f>
        <v/>
      </c>
    </row>
    <row r="6">
      <c r="A6" s="12" t="inlineStr">
        <is>
          <t>Gerekçe</t>
        </is>
      </c>
      <c r="B6" s="11">
        <f>hbd_kararGerekce</f>
        <v/>
      </c>
    </row>
    <row r="7"/>
    <row r="8">
      <c r="A8" s="12" t="inlineStr">
        <is>
          <t>Tahsilat oranı</t>
        </is>
      </c>
      <c r="B8" s="14">
        <f>hbd_tahsilatOrani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hbd_zincirKirik</f>
        <v/>
      </c>
    </row>
    <row r="11">
      <c r="A11" s="12" t="inlineStr">
        <is>
          <t>Yetim</t>
        </is>
      </c>
      <c r="B11" s="26">
        <f>hbd_yetimKayit</f>
        <v/>
      </c>
    </row>
    <row r="12"/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hbd_modulT1</f>
        <v/>
      </c>
      <c r="C14" s="11">
        <f>hbd_modulT1Yorum</f>
        <v/>
      </c>
    </row>
    <row r="15">
      <c r="A15" s="12" t="inlineStr">
        <is>
          <t>T2 Trend Ağustos</t>
        </is>
      </c>
      <c r="B15" s="31">
        <f>hbd_modulT2</f>
        <v/>
      </c>
      <c r="C15" s="11">
        <f>hbd_modulT2Yorum</f>
        <v/>
      </c>
    </row>
    <row r="16">
      <c r="A16" s="12" t="inlineStr">
        <is>
          <t>O1 Geciken</t>
        </is>
      </c>
      <c r="B16" s="26">
        <f>hbd_modulO1</f>
        <v/>
      </c>
      <c r="C16" s="11">
        <f>hbd_modulO1Yorum</f>
        <v/>
      </c>
    </row>
    <row r="17">
      <c r="A17" s="12" t="inlineStr">
        <is>
          <t>O2 Tornado</t>
        </is>
      </c>
      <c r="B17" s="15">
        <f>hbd_modulO2</f>
        <v/>
      </c>
      <c r="C17" s="11">
        <f>hbd_modulO2Yorum</f>
        <v/>
      </c>
    </row>
    <row r="18">
      <c r="A18" s="12" t="inlineStr">
        <is>
          <t>O3 Senaryo bandı</t>
        </is>
      </c>
      <c r="B18" s="15">
        <f>hbd_modulO3</f>
        <v/>
      </c>
      <c r="C18" s="11">
        <f>hbd_modulO3Yorum</f>
        <v/>
      </c>
    </row>
    <row r="19">
      <c r="A19" s="12" t="inlineStr">
        <is>
          <t>O6 Gider HHI</t>
        </is>
      </c>
      <c r="B19" s="31">
        <f>hbd_modulO6</f>
        <v/>
      </c>
      <c r="C19" s="11">
        <f>hbd_modulO6Yorum</f>
        <v/>
      </c>
    </row>
    <row r="20">
      <c r="A20" s="12" t="inlineStr">
        <is>
          <t>O8 Kalite</t>
        </is>
      </c>
      <c r="B20" s="26">
        <f>hbd_modulO8</f>
        <v/>
      </c>
      <c r="C20" s="11">
        <f>hbd_modulO8Yorum</f>
        <v/>
      </c>
    </row>
    <row r="21">
      <c r="A21" s="12" t="inlineStr">
        <is>
          <t>I1 Tahmin</t>
        </is>
      </c>
      <c r="B21" s="15">
        <f>hbd_modulI1</f>
        <v/>
      </c>
      <c r="C21" s="11">
        <f>hbd_modulI1Yorum</f>
        <v/>
      </c>
    </row>
    <row r="22">
      <c r="A22" s="12" t="inlineStr">
        <is>
          <t>I2 P90</t>
        </is>
      </c>
      <c r="B22" s="62">
        <f>hbd_modulI2</f>
        <v/>
      </c>
      <c r="C22" s="11">
        <f>hbd_modulI2Yorum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6:H6"/>
    <mergeCell ref="A3:I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I24"/>
  <sheetViews>
    <sheetView showGridLines="0" workbookViewId="0">
      <selection activeCell="A1" sqref="A1"/>
    </sheetView>
  </sheetViews>
  <sheetFormatPr baseColWidth="8" defaultRowHeight="15"/>
  <cols>
    <col width="135.5" customWidth="1" min="1" max="1"/>
    <col width="18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RAPOR — Hukuk Bürosu Dosya &amp; Vekalet Komutası</t>
        </is>
      </c>
    </row>
    <row r="2">
      <c r="A2" s="10" t="inlineStr">
        <is>
          <t>MÜVEKKİL / BÜRO DÖNEM KANIT RAPORU</t>
        </is>
      </c>
    </row>
    <row r="3" ht="22" customHeight="1">
      <c r="A3" s="194" t="inlineStr">
        <is>
          <t>Ürün: Hukuk Bürosu Dosya &amp; Vekalet Komutası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hbd_kararKapi</f>
        <v/>
      </c>
    </row>
    <row r="7"/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hbd_toplamBorc</f>
        <v/>
      </c>
    </row>
    <row r="10">
      <c r="A10" s="12" t="inlineStr">
        <is>
          <t>Toplam tahsilat</t>
        </is>
      </c>
      <c r="B10" s="15">
        <f>hbd_toplamTahsilat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  <row r="13">
      <c r="A13" s="12" t="inlineStr">
        <is>
          <t>Gider sapması</t>
        </is>
      </c>
      <c r="B13" s="15">
        <f>hbd_giderSapma</f>
        <v/>
      </c>
    </row>
    <row r="14">
      <c r="A14" s="12" t="inlineStr">
        <is>
          <t>Süre/dosya kuyruk</t>
        </is>
      </c>
      <c r="B14" s="26">
        <f>hbd_sureKuyruk</f>
        <v/>
      </c>
    </row>
    <row r="15"/>
    <row r="16">
      <c r="A16" s="16" t="inlineStr">
        <is>
          <t>Varsayımlar</t>
        </is>
      </c>
    </row>
    <row r="17">
      <c r="A17" s="11" t="inlineStr">
        <is>
          <t>Gecikme zammı / süre eşiği AYARLAR.hbd_gecikmeZammi (AAÜT/HMK çerçevesi). Bu çıktı hukuki tavsiye değildir; karar destek kanıtıdır.</t>
        </is>
      </c>
    </row>
    <row r="18"/>
    <row r="19"/>
    <row r="20">
      <c r="A20" s="16" t="inlineStr">
        <is>
          <t>İmza — Avukat</t>
        </is>
      </c>
      <c r="C20" s="16" t="inlineStr">
        <is>
          <t>İmza — Müvekkil</t>
        </is>
      </c>
    </row>
    <row r="21"/>
    <row r="22">
      <c r="A22" s="12" t="inlineStr">
        <is>
          <t>________________</t>
        </is>
      </c>
      <c r="C22" s="12" t="inlineStr">
        <is>
          <t>________________</t>
        </is>
      </c>
    </row>
    <row r="23"/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7:H18"/>
    <mergeCell ref="A3:I3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&amp;LHukuk Bürosu Dosya &amp; Vekalet Komutası — Genel Kurul Kanıt Raporu&amp;CExcelArşiv&amp;RSayfa &amp;P / &amp;N</oddFooter>
    <evenHeader/>
    <evenFooter>&amp;LHukuk Bürosu Dosya &amp; Vekalet Komutası — Genel Kurul Kanıt Raporu&amp;CExcelArşiv&amp;RSayfa &amp;P / &amp;N</evenFooter>
    <firstHeader/>
    <firstFooter/>
  </headerFooter>
</worksheet>
</file>

<file path=xl/worksheets/sheet25.xml><?xml version="1.0" encoding="utf-8"?>
<worksheet xmlns="http://schemas.openxmlformats.org/spreadsheetml/2006/main">
  <sheetPr>
    <tabColor rgb="001A365D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26.5" customWidth="1" min="1" max="1"/>
    <col width="5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KONTROLLER — Hukuk Bürosu Dosya &amp; Vekalet Komutası</t>
        </is>
      </c>
    </row>
    <row r="2"/>
    <row r="3" ht="22" customHeight="1">
      <c r="A3" s="194" t="inlineStr">
        <is>
          <t>Çalışma kitabı sağlık paneli</t>
        </is>
      </c>
    </row>
    <row r="4"/>
    <row r="5">
      <c r="A5" s="12" t="inlineStr">
        <is>
          <t>Müvekkil dolu mu?</t>
        </is>
      </c>
      <c r="B5" s="12">
        <f>IF(COUNTA(tblPaydas[MuvekkilId])=0,"BOŞ","DOLU")</f>
        <v/>
      </c>
    </row>
    <row r="6">
      <c r="A6" s="12" t="inlineStr">
        <is>
          <t>Dosya dolu mu?</t>
        </is>
      </c>
      <c r="B6" s="12">
        <f>IF(COUNTA(tblDosya[DosyaId])=0,"BOŞ","DOLU")</f>
        <v/>
      </c>
    </row>
    <row r="7">
      <c r="A7" s="12" t="inlineStr">
        <is>
          <t>Vekalet satırı var mı?</t>
        </is>
      </c>
      <c r="B7" s="12">
        <f>IF(COUNTA(tblVekalet[BorcId])=0,"BOŞ","DOLU")</f>
        <v/>
      </c>
    </row>
    <row r="8">
      <c r="A8" s="12" t="inlineStr">
        <is>
          <t>Tahsilat var mı?</t>
        </is>
      </c>
      <c r="B8" s="12">
        <f>IF(COUNTA(tblTahsilat[OdemeId])=0,"BOŞ","DOLU")</f>
        <v/>
      </c>
    </row>
    <row r="9">
      <c r="A9" s="12" t="inlineStr">
        <is>
          <t>Kova bütünlük</t>
        </is>
      </c>
      <c r="B9" s="12">
        <f>hbd_kovaButunluk</f>
        <v/>
      </c>
    </row>
    <row r="10">
      <c r="A10" s="12" t="inlineStr">
        <is>
          <t>Yetim var mı?</t>
        </is>
      </c>
      <c r="B10" s="12">
        <f>IF(hbd_yetimKayit&gt;0,"HATALI","TEMİZ")</f>
        <v/>
      </c>
    </row>
    <row r="11">
      <c r="A11" s="12" t="inlineStr">
        <is>
          <t>Geçersiz geçiş</t>
        </is>
      </c>
      <c r="B11" s="12">
        <f>IF(hbd_gecersizGecis&gt;0,"HATALI","TEMİZ")</f>
        <v/>
      </c>
    </row>
    <row r="12">
      <c r="A12" s="12" t="inlineStr">
        <is>
          <t>Zincir kırık</t>
        </is>
      </c>
      <c r="B12" s="12">
        <f>IF(hbd_zincirKirik&gt;0,"ALARM","TEMİZ")</f>
        <v/>
      </c>
    </row>
    <row r="13">
      <c r="A13" s="12" t="inlineStr">
        <is>
          <t>Karar kapısı</t>
        </is>
      </c>
      <c r="B13" s="12">
        <f>hbd_kararKapi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A365D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3.5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ORNEK VERI — Hukuk Bürosu Dosya &amp; Vekalet Komutası</t>
        </is>
      </c>
    </row>
    <row r="2"/>
    <row r="3" ht="22" customHeight="1">
      <c r="A3" s="194" t="inlineStr">
        <is>
          <t>Demo veri özeti — dosya/vekalet/tahsilat</t>
        </is>
      </c>
    </row>
    <row r="4"/>
    <row r="5">
      <c r="A5" s="12" t="inlineStr">
        <is>
          <t>Müvekkil sayısı</t>
        </is>
      </c>
      <c r="B5" s="26" t="n">
        <v>12</v>
      </c>
    </row>
    <row r="6">
      <c r="A6" s="12" t="inlineStr">
        <is>
          <t>Dosya sayısı</t>
        </is>
      </c>
      <c r="B6" s="26" t="n">
        <v>12</v>
      </c>
    </row>
    <row r="7">
      <c r="A7" s="12" t="inlineStr">
        <is>
          <t>Vekalet satırı</t>
        </is>
      </c>
      <c r="B7" s="26" t="n">
        <v>20</v>
      </c>
    </row>
    <row r="8">
      <c r="A8" s="12" t="inlineStr">
        <is>
          <t>Tahsilat satırı</t>
        </is>
      </c>
      <c r="B8" s="26" t="n">
        <v>16</v>
      </c>
    </row>
    <row r="9">
      <c r="A9" s="12" t="inlineStr">
        <is>
          <t>Dosya akış satırı</t>
        </is>
      </c>
      <c r="B9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A365D"/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3.5" customWidth="1" min="1" max="1"/>
    <col width="13" customWidth="1" min="2" max="2"/>
    <col width="14" customWidth="1" min="3" max="3"/>
    <col width="13" customWidth="1" min="4" max="4"/>
    <col width="14.5" customWidth="1" min="5" max="5"/>
    <col width="13" customWidth="1" min="6" max="6"/>
    <col width="12.5" customWidth="1" min="7" max="7"/>
    <col width="13" customWidth="1" min="8" max="8"/>
    <col width="18.5" customWidth="1" min="9" max="9"/>
    <col width="13" customWidth="1" min="10" max="10"/>
  </cols>
  <sheetData>
    <row r="1" ht="32" customHeight="1">
      <c r="A1" s="175" t="inlineStr">
        <is>
          <t>LISTELER — Hukuk Bürosu Dosya &amp; Vekalet Komutası</t>
        </is>
      </c>
    </row>
    <row r="2"/>
    <row r="3">
      <c r="A3" s="9" t="inlineStr">
        <is>
          <t>Açılır listeler</t>
        </is>
      </c>
    </row>
    <row r="4"/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BURO</t>
        </is>
      </c>
      <c r="I6" s="12" t="inlineStr">
        <is>
          <t>ACIK|VEKALET</t>
        </is>
      </c>
    </row>
    <row r="7">
      <c r="A7" s="12" t="inlineStr">
        <is>
          <t>HAYIR</t>
        </is>
      </c>
      <c r="C7" s="12" t="inlineStr">
        <is>
          <t>VEKALET</t>
        </is>
      </c>
      <c r="E7" s="12" t="inlineStr">
        <is>
          <t>ERTELE</t>
        </is>
      </c>
      <c r="G7" s="12" t="inlineStr">
        <is>
          <t>MUVEKKIL</t>
        </is>
      </c>
      <c r="I7" s="12" t="inlineStr">
        <is>
          <t>ACIK|IPTAL</t>
        </is>
      </c>
    </row>
    <row r="8">
      <c r="C8" s="12" t="inlineStr">
        <is>
          <t>DAVADA</t>
        </is>
      </c>
      <c r="E8" s="12" t="inlineStr">
        <is>
          <t>TASLAK</t>
        </is>
      </c>
      <c r="I8" s="12" t="inlineStr">
        <is>
          <t>VEKALET|DAVADA</t>
        </is>
      </c>
    </row>
    <row r="9">
      <c r="C9" s="12" t="inlineStr">
        <is>
          <t>DURUSMA</t>
        </is>
      </c>
      <c r="E9" s="12" t="inlineStr">
        <is>
          <t>RED</t>
        </is>
      </c>
      <c r="I9" s="12" t="inlineStr">
        <is>
          <t>VEKALET|IPTAL</t>
        </is>
      </c>
    </row>
    <row r="10">
      <c r="C10" s="12" t="inlineStr">
        <is>
          <t>SONUC</t>
        </is>
      </c>
      <c r="I10" s="12" t="inlineStr">
        <is>
          <t>VEKALET|ACIK</t>
        </is>
      </c>
    </row>
    <row r="11">
      <c r="C11" s="12" t="inlineStr">
        <is>
          <t>KAPALI</t>
        </is>
      </c>
      <c r="I11" s="12" t="inlineStr">
        <is>
          <t>DAVADA|DURUSMA</t>
        </is>
      </c>
    </row>
    <row r="12">
      <c r="C12" s="12" t="inlineStr">
        <is>
          <t>IPTAL</t>
        </is>
      </c>
      <c r="I12" s="12" t="inlineStr">
        <is>
          <t>DAVADA|IPTAL</t>
        </is>
      </c>
    </row>
    <row r="13">
      <c r="I13" s="12" t="inlineStr">
        <is>
          <t>DURUSMA|SONUC</t>
        </is>
      </c>
    </row>
    <row r="14">
      <c r="I14" s="12" t="inlineStr">
        <is>
          <t>DURUSMA|DAVADA</t>
        </is>
      </c>
    </row>
    <row r="15">
      <c r="I15" s="12" t="inlineStr">
        <is>
          <t>SONUC|KAPALI</t>
        </is>
      </c>
    </row>
    <row r="16">
      <c r="I16" s="12" t="inlineStr">
        <is>
          <t>SONUC|IPTAL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A365D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23.5" customWidth="1" min="2" max="2"/>
    <col width="10" customWidth="1" min="3" max="3"/>
    <col width="36" customWidth="1" min="4" max="4"/>
    <col width="14.5" customWidth="1" min="5" max="5"/>
    <col width="24.5" customWidth="1" min="6" max="6"/>
    <col width="14" customWidth="1" min="7" max="7"/>
    <col width="14" customWidth="1" min="8" max="8"/>
    <col width="8.5" customWidth="1" min="9" max="9"/>
    <col width="27.5" customWidth="1" min="10" max="10"/>
    <col width="12.5" customWidth="1" min="11" max="11"/>
    <col width="13" customWidth="1" min="12" max="12"/>
    <col width="22" customWidth="1" min="13" max="13"/>
    <col width="18" customWidth="1" min="14" max="14"/>
  </cols>
  <sheetData>
    <row r="1" ht="32" customHeight="1">
      <c r="A1" s="175" t="inlineStr">
        <is>
          <t>AYARLAR — Hukuk Bürosu Dosya &amp; Vekalet Komutası</t>
        </is>
      </c>
    </row>
    <row r="2"/>
    <row r="3" ht="22" customHeight="1">
      <c r="A3" s="194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VEKALET|IPTAL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Dosya süre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VEKALET</t>
        </is>
      </c>
      <c r="H7" s="12" t="inlineStr">
        <is>
          <t>Vekalet</t>
        </is>
      </c>
      <c r="I7" s="26" t="n">
        <v>2</v>
      </c>
      <c r="J7" s="12" t="inlineStr">
        <is>
          <t>DAVADA|IPTAL|ACIK</t>
        </is>
      </c>
      <c r="K7" s="12" t="inlineStr">
        <is>
          <t>acik</t>
        </is>
      </c>
      <c r="M7" s="12" t="inlineStr">
        <is>
          <t>hbd_toplamBorc</t>
        </is>
      </c>
      <c r="N7" s="15">
        <f>SUMIF(tblVekalet[BorcId],"&lt;&gt;",tblVekalet[ToplamBorc])</f>
        <v/>
      </c>
    </row>
    <row r="8">
      <c r="A8" s="12" t="inlineStr">
        <is>
          <t>hbd_gecikmeZammi</t>
        </is>
      </c>
      <c r="B8" s="19" t="n">
        <v>0.05</v>
      </c>
      <c r="C8" s="12" t="inlineStr">
        <is>
          <t>oran</t>
        </is>
      </c>
      <c r="D8" s="12" t="inlineStr">
        <is>
          <t>AAÜT/HMK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DAVADA</t>
        </is>
      </c>
      <c r="H8" s="12" t="inlineStr">
        <is>
          <t>Davada</t>
        </is>
      </c>
      <c r="I8" s="26" t="n">
        <v>3</v>
      </c>
      <c r="J8" s="12" t="inlineStr">
        <is>
          <t>DURUSMA|IPTAL</t>
        </is>
      </c>
      <c r="K8" s="12" t="inlineStr">
        <is>
          <t>acik</t>
        </is>
      </c>
      <c r="M8" s="12" t="inlineStr">
        <is>
          <t>hbd_toplamTahsilat</t>
        </is>
      </c>
      <c r="N8" s="15">
        <f>SUMIF(tblTahsilat[OdemeId],"&lt;&gt;",tblTahsilat[OdemeTutari])</f>
        <v/>
      </c>
    </row>
    <row r="9">
      <c r="A9" s="12" t="inlineStr">
        <is>
          <t>hbd_sureEsikGun</t>
        </is>
      </c>
      <c r="B9" s="17" t="n">
        <v>30</v>
      </c>
      <c r="C9" s="12" t="inlineStr">
        <is>
          <t>gun</t>
        </is>
      </c>
      <c r="D9" s="12" t="inlineStr">
        <is>
          <t>AAÜT/HMK</t>
        </is>
      </c>
      <c r="E9" s="12" t="inlineStr">
        <is>
          <t>01.01.2026</t>
        </is>
      </c>
      <c r="F9" s="12" t="inlineStr">
        <is>
          <t>Süre alarm gün eşiği</t>
        </is>
      </c>
      <c r="G9" s="12" t="inlineStr">
        <is>
          <t>DURUSMA</t>
        </is>
      </c>
      <c r="H9" s="12" t="inlineStr">
        <is>
          <t>Duruşma</t>
        </is>
      </c>
      <c r="I9" s="26" t="n">
        <v>4</v>
      </c>
      <c r="J9" s="12" t="inlineStr">
        <is>
          <t>SONUC|DAVADA</t>
        </is>
      </c>
      <c r="K9" s="12" t="inlineStr">
        <is>
          <t>acik</t>
        </is>
      </c>
      <c r="M9" s="12" t="inlineStr">
        <is>
          <t>hbd_tahsilatOrani</t>
        </is>
      </c>
      <c r="N9" s="14">
        <f>IF(hbd_toplamBorc=0,0,hbd_toplamTahsilat/hbd_toplamBorc)</f>
        <v/>
      </c>
    </row>
    <row r="10">
      <c r="A10" s="12" t="inlineStr">
        <is>
          <t>hbd_esikFark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SONUC</t>
        </is>
      </c>
      <c r="H10" s="12" t="inlineStr">
        <is>
          <t>Sonuç</t>
        </is>
      </c>
      <c r="I10" s="26" t="n">
        <v>5</v>
      </c>
      <c r="J10" s="12" t="inlineStr">
        <is>
          <t>KAPALI|IPTAL</t>
        </is>
      </c>
      <c r="K10" s="12" t="inlineStr">
        <is>
          <t>acik</t>
        </is>
      </c>
      <c r="M10" s="12" t="inlineStr">
        <is>
          <t>hbd_kasaBakiye</t>
        </is>
      </c>
      <c r="N10" s="15">
        <f>hbd_toplamTahsilat-SUMIF(tblGider[GiderId],"&lt;&gt;",tblGider[Gerceklesen])</f>
        <v/>
      </c>
    </row>
    <row r="11">
      <c r="A11" s="12" t="inlineStr">
        <is>
          <t>hbd_ikincilUzunluk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G11" s="12" t="inlineStr">
        <is>
          <t>KAPALI</t>
        </is>
      </c>
      <c r="H11" s="12" t="inlineStr">
        <is>
          <t>Kapalı</t>
        </is>
      </c>
      <c r="I11" s="26" t="n">
        <v>6</v>
      </c>
      <c r="J11" s="12" t="inlineStr"/>
      <c r="K11" s="12" t="inlineStr">
        <is>
          <t>kapali</t>
        </is>
      </c>
      <c r="M11" s="12" t="inlineStr">
        <is>
          <t>hbd_gecikenUye</t>
        </is>
      </c>
      <c r="N11" s="26">
        <f>COUNTIFS(tblPaydas[Bakiye],"&gt;0",tblPaydas[Aktif],"EVET")</f>
        <v/>
      </c>
    </row>
    <row r="12">
      <c r="A12" s="12" t="inlineStr">
        <is>
          <t>hbd_hedefTahsilat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G12" s="12" t="inlineStr">
        <is>
          <t>IPTAL</t>
        </is>
      </c>
      <c r="H12" s="12" t="inlineStr">
        <is>
          <t>İptal</t>
        </is>
      </c>
      <c r="I12" s="26" t="n">
        <v>7</v>
      </c>
      <c r="J12" s="12" t="inlineStr"/>
      <c r="K12" s="12" t="inlineStr">
        <is>
          <t>kapali</t>
        </is>
      </c>
      <c r="M12" s="12" t="inlineStr">
        <is>
          <t>hbd_sureKuyruk</t>
        </is>
      </c>
      <c r="N12" s="26">
        <f>COUNTIF(tblAkis[Durum],"DURUSMA")+COUNTIF(tblAkis[Durum],"DAVADA")+COUNTIF(tblAkis[Durum],"VEKALET")</f>
        <v/>
      </c>
    </row>
    <row r="13">
      <c r="A13" s="12" t="inlineStr">
        <is>
          <t>hbd_senaryoIyimser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hbd_yetimKayit</t>
        </is>
      </c>
      <c r="N13" s="26">
        <f>COUNTIF(tblAkis[YetimBayrak],"YETİM")</f>
        <v/>
      </c>
    </row>
    <row r="14">
      <c r="A14" s="12" t="inlineStr">
        <is>
          <t>hbd_senaryoKotumser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hbd_gecersizGecis</t>
        </is>
      </c>
      <c r="N14" s="26">
        <f>COUNTIF(tblAkis[GecisUyarisi],"GEÇERSİZ GEÇİŞ")</f>
        <v/>
      </c>
    </row>
    <row r="15">
      <c r="A15" s="12" t="inlineStr">
        <is>
          <t>hbd_fiyatModeli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hbd_zincirKirik</t>
        </is>
      </c>
      <c r="N15" s="26">
        <f>COUNTIF(tblAkis[ZincirBayrak],"ZİNCİR KIRIK")</f>
        <v/>
      </c>
    </row>
    <row r="16">
      <c r="A16" s="12" t="inlineStr">
        <is>
          <t>hbd_olcekHedef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hbd_eslesmeOrani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hbd_trendOcak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hbd_giderSapma</t>
        </is>
      </c>
      <c r="N17" s="15">
        <f>SUMIF(tblGider[GiderId],"&lt;&gt;",tblGider[Sapma])</f>
        <v/>
      </c>
    </row>
    <row r="18">
      <c r="A18" s="12" t="inlineStr">
        <is>
          <t>hbd_trendSubat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hbd_kararSayisi</t>
        </is>
      </c>
      <c r="N18" s="26">
        <f>COUNTA(tblKararlar[KararId])</f>
        <v/>
      </c>
    </row>
    <row r="19">
      <c r="A19" s="12" t="inlineStr">
        <is>
          <t>hbd_trendMart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hbd_kovaButunluk</t>
        </is>
      </c>
      <c r="N19" s="12">
        <f>ESLESTIRME!C2</f>
        <v/>
      </c>
    </row>
    <row r="20">
      <c r="A20" s="12" t="inlineStr">
        <is>
          <t>hbd_trendNisan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hbd_kararKapi</t>
        </is>
      </c>
      <c r="N20" s="12">
        <f>IF(COUNTA(tblVekalet[BorcId])=0,"VERİ YOK",IF(OR(hbd_tahsilatOrani&lt;hbd_hedefTahsilat*hbd_kritikCarpan,hbd_zincirKirik&gt;0),"KRİTİK",IF(OR(hbd_tahsilatOrani&lt;hbd_hedefTahsilat,hbd_yetimKayit&gt;0,hbd_gecersizGecis&gt;0),"DİKKAT","UYGUN")))</f>
        <v/>
      </c>
    </row>
    <row r="21">
      <c r="A21" s="12" t="inlineStr">
        <is>
          <t>hbd_trendMayis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hbd_kararGerekce</t>
        </is>
      </c>
      <c r="N21" s="12">
        <f>IF(hbd_kararKapi="VERİ YOK","Vekalet satırı yok — veri girin",IF(hbd_kararKapi="KRİTİK","Tahsilat oranı kritik veya ZİNCİR KIRIK var",IF(hbd_kararKapi="DİKKAT","Hedef altı tahsilat veya yetim/geçersiz geçiş","Tahsilat AND akış eşikleri içinde")))</f>
        <v/>
      </c>
    </row>
    <row r="22">
      <c r="A22" s="12" t="inlineStr">
        <is>
          <t>hbd_trendHaziran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hbd_normAnahtar</t>
        </is>
      </c>
      <c r="N22" s="26">
        <f>COUNTA(tblAnahtarA[Norm])</f>
        <v/>
      </c>
    </row>
    <row r="23">
      <c r="A23" s="12" t="inlineStr">
        <is>
          <t>hbd_trendTemmuz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hbd_tanimsizKova</t>
        </is>
      </c>
      <c r="N23" s="26">
        <f>COUNTIF(tblKok[NedenKodu],"TANIMSIZ")</f>
        <v/>
      </c>
    </row>
    <row r="24">
      <c r="A24" s="12" t="inlineStr">
        <is>
          <t>hbd_trendAgustos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hbd_durumHaritasi</t>
        </is>
      </c>
      <c r="N24" s="26">
        <f>COUNTA(AYARLAR!G6:G12)</f>
        <v/>
      </c>
    </row>
    <row r="25">
      <c r="A25" s="12" t="inlineStr">
        <is>
          <t>hbd_trendEylul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hbd_kanitRaporu</t>
        </is>
      </c>
      <c r="N25" s="26">
        <f>IF(hbd_kararSayisi&gt;0,1,)</f>
        <v/>
      </c>
    </row>
    <row r="26">
      <c r="A26" s="12" t="inlineStr">
        <is>
          <t>hbd_trendEkim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hbd_kapaliDusum</t>
        </is>
      </c>
      <c r="N26" s="26">
        <f>COUNTIF(tblAkis[Durum],"KAPALI")+COUNTIF(tblAkis[Durum],"IPTAL")</f>
        <v/>
      </c>
    </row>
    <row r="27">
      <c r="A27" s="12" t="inlineStr">
        <is>
          <t>hbd_trendKasim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hbd_modulT1</t>
        </is>
      </c>
      <c r="N27" s="14">
        <f>hbd_tahsilatOrani</f>
        <v/>
      </c>
    </row>
    <row r="28">
      <c r="A28" s="12" t="inlineStr">
        <is>
          <t>hbd_trendAralik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hbd_modulT1Yorum</t>
        </is>
      </c>
      <c r="N28" s="12">
        <f>"Tahsilat oranı: "&amp;TEXT(hbd_modulT1,"0.0%")</f>
        <v/>
      </c>
    </row>
    <row r="29">
      <c r="M29" s="12" t="inlineStr">
        <is>
          <t>hbd_modulT2</t>
        </is>
      </c>
      <c r="N29" s="31">
        <f>hbd_trendAgustos</f>
        <v/>
      </c>
    </row>
    <row r="30">
      <c r="M30" s="12" t="inlineStr">
        <is>
          <t>hbd_modulT2Yorum</t>
        </is>
      </c>
      <c r="N30" s="12">
        <f>"Ağustos trend endeksi "&amp;TEXT(hbd_modulT2,"0.00")</f>
        <v/>
      </c>
    </row>
    <row r="31">
      <c r="M31" s="12" t="inlineStr">
        <is>
          <t>hbd_modulO1</t>
        </is>
      </c>
      <c r="N31" s="26">
        <f>hbd_gecikenUye</f>
        <v/>
      </c>
    </row>
    <row r="32">
      <c r="M32" s="12" t="inlineStr">
        <is>
          <t>hbd_modulO1Yorum</t>
        </is>
      </c>
      <c r="N32" s="12">
        <f>"Geciken aktif müvekkil: "&amp;hbd_modulO1</f>
        <v/>
      </c>
    </row>
    <row r="33">
      <c r="M33" s="12" t="inlineStr">
        <is>
          <t>hbd_modulO2</t>
        </is>
      </c>
      <c r="N33" s="15">
        <f>hbd_toplamBorc*hbd_gecikmeZammi</f>
        <v/>
      </c>
    </row>
    <row r="34">
      <c r="M34" s="12" t="inlineStr">
        <is>
          <t>hbd_modulO2Yorum</t>
        </is>
      </c>
      <c r="N34" s="12">
        <f>"Tornado: gecikme zammı etkisi"</f>
        <v/>
      </c>
    </row>
    <row r="35">
      <c r="M35" s="12" t="inlineStr">
        <is>
          <t>hbd_modulO3</t>
        </is>
      </c>
      <c r="N35" s="15">
        <f>hbd_toplamTahsilat*(hbd_senaryoIyimser-hbd_senaryoKotumser)</f>
        <v/>
      </c>
    </row>
    <row r="36">
      <c r="M36" s="12" t="inlineStr">
        <is>
          <t>hbd_modulO3Yorum</t>
        </is>
      </c>
      <c r="N36" s="12">
        <f>"Senaryo bandı genişliği"</f>
        <v/>
      </c>
    </row>
    <row r="37">
      <c r="M37" s="12" t="inlineStr">
        <is>
          <t>hbd_modulO6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hbd_modulO6Yorum</t>
        </is>
      </c>
      <c r="N38" s="12">
        <f>"Gider yoğunlaşma vekili"</f>
        <v/>
      </c>
    </row>
    <row r="39">
      <c r="M39" s="12" t="inlineStr">
        <is>
          <t>hbd_modulO8</t>
        </is>
      </c>
      <c r="N39" s="26">
        <f>IF(COUNTA(tblVekalet[BorcId])=0,0,ROUND(100*(1-(hbd_yetimKayit+hbd_gecersizGecis+hbd_zincirKirik)/10),0))</f>
        <v/>
      </c>
    </row>
    <row r="40">
      <c r="M40" s="12" t="inlineStr">
        <is>
          <t>hbd_modulO8Yorum</t>
        </is>
      </c>
      <c r="N40" s="12">
        <f>"Veri kalite skoru 0-100"</f>
        <v/>
      </c>
    </row>
    <row r="41">
      <c r="M41" s="12" t="inlineStr">
        <is>
          <t>hbd_modulI1</t>
        </is>
      </c>
      <c r="N41" s="15">
        <f>hbd_toplamTahsilat*hbd_trendEylul</f>
        <v/>
      </c>
    </row>
    <row r="42">
      <c r="M42" s="12" t="inlineStr">
        <is>
          <t>hbd_modulI1Yorum</t>
        </is>
      </c>
      <c r="N42" s="12">
        <f>"Sonraki ay tahmin (Eylül endeksi)"</f>
        <v/>
      </c>
    </row>
    <row r="43">
      <c r="M43" s="12" t="inlineStr">
        <is>
          <t>hbd_modulI2</t>
        </is>
      </c>
      <c r="N43" s="62">
        <f>IFERROR(PERCENTILE(tblVekalet[GecikmeGun],0.9),0)</f>
        <v/>
      </c>
    </row>
    <row r="44">
      <c r="M44" s="12" t="inlineStr">
        <is>
          <t>hbd_modulI2Yorum</t>
        </is>
      </c>
      <c r="N44" s="12">
        <f>"Gecikme günü P90"</f>
        <v/>
      </c>
    </row>
    <row r="45">
      <c r="M45" s="12" t="inlineStr">
        <is>
          <t>hbd_kvkkBeyani</t>
        </is>
      </c>
      <c r="N45" s="26" t="n">
        <v>1</v>
      </c>
    </row>
    <row r="46">
      <c r="M46" s="12" t="inlineStr">
        <is>
          <t>hbd_kritikCarpan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tabColor rgb="001A365D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11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KILAVUZ — Hukuk Bürosu Dosya &amp; Vekalet Komutası</t>
        </is>
      </c>
    </row>
    <row r="2"/>
    <row r="3" ht="22" customHeight="1">
      <c r="A3" s="194" t="inlineStr">
        <is>
          <t>Kullanım kılavuzu</t>
        </is>
      </c>
    </row>
    <row r="4"/>
    <row r="5">
      <c r="A5" s="11" t="inlineStr">
        <is>
          <t>1. GIRDI: Büro adı, dönem, asgari vekalet ve hedefleri sarı hücrelere yazın.</t>
        </is>
      </c>
    </row>
    <row r="6">
      <c r="A6" s="11" t="inlineStr">
        <is>
          <t>2. PAYDASLAR: Her müvekkil için benzersiz MuvekkilId ve MuvekkilNo kullanın.</t>
        </is>
      </c>
    </row>
    <row r="7">
      <c r="A7" s="11" t="inlineStr">
        <is>
          <t>3. DOSYA: Dosya kartını ve son süre tarihini girin; süre alarmı AYARLAR.hbd_sureEsikGun ile çalışır.</t>
        </is>
      </c>
    </row>
    <row r="8">
      <c r="A8" s="11" t="inlineStr">
        <is>
          <t>4. VEKALET: Vekalet ücreti borçlandırma; gecikme zammı AYARLAR.hbd_gecikmeZammi ile hesaplanır.</t>
        </is>
      </c>
    </row>
    <row r="9">
      <c r="A9" s="11" t="inlineStr">
        <is>
          <t>5. TAHSILAT: Vekalet tahsilatlarını müvekkil+dönem anahtarıyla girin; ANAHTAR/ESLESTIRME otomatik çalışır.</t>
        </is>
      </c>
    </row>
    <row r="10">
      <c r="A10" s="11" t="inlineStr">
        <is>
          <t>6. AKIS: Dosya durumunu haritaya uygun ilerletin; süre ve geçersiz geçiş uyarılır.</t>
        </is>
      </c>
    </row>
    <row r="11">
      <c r="A11" s="11" t="inlineStr">
        <is>
          <t>7. GIDER / KARARLAR: Büro masraf sapması ve dosya/vekalet kararlarını kaydedin.</t>
        </is>
      </c>
    </row>
    <row r="12">
      <c r="A12" s="11" t="inlineStr">
        <is>
          <t>8. PANO / KARAR / RAPOR: Dosya/vekalet özeti ve müvekkil kanıt çıktısı.</t>
        </is>
      </c>
    </row>
    <row r="13">
      <c r="A13" s="11" t="inlineStr">
        <is>
          <t>9. Korumalı alanlar şifre 1234 ile kilitlidir; sarı giriş hücreleri açıktır.</t>
        </is>
      </c>
    </row>
    <row r="14">
      <c r="A14" s="11" t="inlineStr">
        <is>
          <t>10. Bu araç hukuki tavsiye değildir; AAÜT/HMK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9:H9"/>
    <mergeCell ref="A12:H12"/>
    <mergeCell ref="A7:H7"/>
    <mergeCell ref="A10:H10"/>
    <mergeCell ref="A1:I1"/>
    <mergeCell ref="A13:H13"/>
    <mergeCell ref="A11:H11"/>
    <mergeCell ref="A14:H14"/>
    <mergeCell ref="A3:I3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2026-08-11T19:27:39Z</dcterms:created>
  <dcterms:modified xmlns:dcterms="http://purl.org/dc/terms/" xmlns:xsi="http://www.w3.org/2001/XMLSchema-instance" xsi:type="dcterms:W3CDTF">2026-09-25T21:33:30Z</dcterms:modified>
</cp:coreProperties>
</file>