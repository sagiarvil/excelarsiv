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SENARYO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hesapYili">GIRDI!$B$8</definedName>
    <definedName name="raporTarihi">AYARLAR!$B$7</definedName>
    <definedName name="iff_hakedisTutari">GIRDI!$B$15</definedName>
    <definedName name="iff_fiyatFarki">MOTOR!$G$28</definedName>
    <definedName name="iff_kacirilan">MOTOR!$G$30</definedName>
    <definedName name="iff_kararMetni">MOTOR!$G$34</definedName>
    <definedName name="iff_kararGerekce">MOTOR!$G$35</definedName>
    <definedName name="iff_maddeAtifMetni">MOTOR!$G$52</definedName>
    <definedName name="iff_kanitRaporu">MOTOR!$G$53</definedName>
    <definedName name="iff_kuralYilMatris">KURALLAR!$B$17</definedName>
    <definedName name="iff_parmakIzi">AYARLAR!$B$19</definedName>
    <definedName name="iff_senaryoKarsilastirma">SENARYO!$B$11</definedName>
    <definedName name="iff_yorumSenaryo">SENARYO!$B$12</definedName>
    <definedName name="iff_duyarlilikSira">SENARYO!$B$19</definedName>
    <definedName name="iff_yorumDuyarlilik">SENARYO!$B$20</definedName>
    <definedName name="iff_kuralDegisimSenaryo">SENARYO!$B$22</definedName>
    <definedName name="iff_yorumKuralDegisim">SENARYO!$B$23</definedName>
    <definedName name="iff_tahminAralik">SENARYO!$B$32</definedName>
    <definedName name="iff_yorumTahmin">SENARYO!$B$33</definedName>
    <definedName name="iff_vakaDurum">VAKALAR!$B$12</definedName>
    <definedName name="iff_vakaFark">VAKALAR!$B$13</definedName>
    <definedName name="iff_tolerans">AYARLAR!$B$8</definedName>
    <definedName name="iff_kacirilanEsik">AYARLAR!$B$9</definedName>
    <definedName name="iff_senaryoIyi">AYARLAR!$B$10</definedName>
    <definedName name="iff_senaryoKotu">AYARLAR!$B$11</definedName>
    <definedName name="iff_oranArtisPuan">AYARLAR!$B$12</definedName>
    <definedName name="iff_tahminAlt">AYARLAR!$B$13</definedName>
    <definedName name="iff_tahminUst">AYARLAR!$B$14</definedName>
    <definedName name="iff_tornadoMatrah">AYARLAR!$B$15</definedName>
    <definedName name="iff_tornadoMevcut">AYARLAR!$B$16</definedName>
    <definedName name="iff_isverenOran">AYARLAR!$B$17</definedName>
    <definedName name="iff_yuzdelikOran">AYARLAR!$B$18</definedName>
    <definedName name="iff_girisBeklenen">AYARLAR!$B$21</definedName>
    <definedName name="iff_riskDusuk">AYARLAR!$B$22</definedName>
    <definedName name="iff_riskOrta">AYARLAR!$B$23</definedName>
    <definedName name="iff_riskYuksek">AYARLAR!$B$24</definedName>
    <definedName name="iff_riskEsikOran">AYARLAR!$B$25</definedName>
    <definedName name="iff_yilTaban">AYARLAR!$B$26</definedName>
    <definedName name="iff_yuvarMax">AYARLAR!$B$27</definedName>
    <definedName name="iff_dayanakCarpan">AYARLAR!$B$28</definedName>
    <definedName name="iff_bazCarpan">AYARLAR!$B$29</definedName>
    <definedName name="iff_sifirCarpan">AYARLAR!$B$30</definedName>
    <definedName name="iff_siraBir">AYARLAR!$B$31</definedName>
    <definedName name="iff_siraIki">AYARLAR!$B$32</definedName>
    <definedName name="iff_siraUc">AYARLAR!$B$33</definedName>
    <definedName name="iff_tahminX">AYARLAR!$B$34</definedName>
    <definedName name="vaka_matrah_1">AYARLAR!$B$35</definedName>
    <definedName name="vaka_matrah_2">AYARLAR!$B$36</definedName>
    <definedName name="vaka_tavan">AYARLAR!$B$37</definedName>
    <definedName name="vaka_endeks_orani">AYARLAR!$B$38</definedName>
    <definedName name="iff_modulT1">PANO!$C$11</definedName>
    <definedName name="iff_modulT1Yorum">PANO!$D$11</definedName>
    <definedName name="iff_modulT2">PANO!$C$12</definedName>
    <definedName name="iff_modulT2Yorum">PANO!$D$12</definedName>
    <definedName name="iff_modulO1">PANO!$C$13</definedName>
    <definedName name="iff_modulO1Yorum">PANO!$D$13</definedName>
    <definedName name="iff_modulO6">PANO!$C$16</definedName>
    <definedName name="iff_modulO6Yorum">PANO!$D$16</definedName>
    <definedName name="iff_modulO8">PANO!$C$17</definedName>
    <definedName name="iff_modulO8Yorum">PANO!$D$17</definedName>
    <definedName name="iff_modulI2">PANO!$C$20</definedName>
    <definedName name="iff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16">'KANIT_RAPORU'!$A$1:$F$33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[Red](0.0%);-"/>
    <numFmt numFmtId="165" formatCode="₺ #,##0;[Red](₺ #,##0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8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5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165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4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165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20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169" fontId="26" fillId="0" borderId="3" pivotButton="0" quotePrefix="0" xfId="0"/>
    <xf numFmtId="169" fontId="46" fillId="0" borderId="4" pivotButton="0" quotePrefix="0" xfId="0"/>
    <xf numFmtId="169" fontId="49" fillId="0" borderId="2" pivotButton="0" quotePrefix="0" xfId="0"/>
    <xf numFmtId="169" fontId="50" fillId="0" borderId="2" pivotButton="0" quotePrefix="0" xfId="0"/>
    <xf numFmtId="169" fontId="53" fillId="7" borderId="0" pivotButton="0" quotePrefix="0" xfId="0"/>
    <xf numFmtId="169" fontId="54" fillId="7" borderId="0" pivotButton="0" quotePrefix="0" xfId="0"/>
    <xf numFmtId="169" fontId="72" fillId="9" borderId="2" applyAlignment="1" pivotButton="0" quotePrefix="0" xfId="0">
      <alignment horizontal="right"/>
    </xf>
    <xf numFmtId="169" fontId="42" fillId="0" borderId="2" applyAlignment="1" pivotButton="0" quotePrefix="0" xfId="0">
      <alignment horizontal="right"/>
    </xf>
    <xf numFmtId="169" fontId="69" fillId="0" borderId="2" applyAlignment="1" pivotButton="0" quotePrefix="0" xfId="0">
      <alignment horizontal="right"/>
    </xf>
    <xf numFmtId="170" fontId="69" fillId="0" borderId="2" applyAlignment="1" pivotButton="0" quotePrefix="0" xfId="0">
      <alignment horizontal="right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Fiyat Farkı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Fiyat Farkı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Fiyat Farkı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Fiyat farkı / eskalasyon kararını etkiler | Doğru kullanım: Sırayla izleyin | Örnek: demo satırına bakın | Yanlışsa: Fiyat farkı ve karar bozulur | Kaynak: [Assumption] KİK fiyat farkı cetveli</t>
      </text>
    </comment>
    <comment ref="A6" authorId="0" shapeId="0">
      <text>
        <t>Tanım: Adım 2 — Karar | Neden önemli: Fiyat farkı / eskalasyon kararını etkiler | Doğru kullanım: Sırayla izleyin | Örnek: demo satırına bakın | Yanlışsa: Fiyat farkı ve karar bozulur | Kaynak: [Assumption] KİK fiyat farkı cetveli</t>
      </text>
    </comment>
    <comment ref="A7" authorId="0" shapeId="0">
      <text>
        <t>Tanım: Adım 3 — Kanıt | Neden önemli: Fiyat farkı / eskalasyon kararını etkiler | Doğru kullanım: Sırayla izleyin | Örnek: demo satırına bakın | Yanlışsa: Fiyat farkı ve karar bozulur | Kaynak: [Assumption] KİK fiyat farkı cetveli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İhale / İş Adı | Neden önemli: Fiyat farkı / eskalasyon kararını etkiler | Doğru kullanım: İhale veya iş adını yazın. | Örnek: demo satırına bakın | Yanlışsa: Fiyat farkı ve karar bozulur | Kaynak: [Assumption] KİK fiyat farkı cetveli</t>
      </text>
    </comment>
    <comment ref="B7" authorId="0" shapeId="0">
      <text>
        <t>Tanım: Hakediş Dönemi | Neden önemli: Fiyat farkı / eskalasyon kararını etkiler | Doğru kullanım: Hakediş dönem referansını yazın (ör. 2025-HK-03). | Örnek: demo satırına bakın | Yanlışsa: Fiyat farkı ve karar bozulur | Kaynak: [Assumption] KİK fiyat farkı cetveli</t>
      </text>
    </comment>
    <comment ref="B8" authorId="0" shapeId="0">
      <text>
        <t>Tanım: Hesap Yılı | Neden önemli: Fiyat farkı / eskalasyon kararını etkiler | Doğru kullanım: 2025, 2026 veya 2027 seçin. | Örnek: demo satırına bakın | Yanlışsa: Fiyat farkı ve karar bozulur | Kaynak: [Assumption] KİK fiyat farkı cetveli</t>
      </text>
    </comment>
    <comment ref="B9" authorId="0" shapeId="0">
      <text>
        <t>Tanım: Sözleşme Bedeli [₺] | Neden önemli: Fiyat farkı / eskalasyon kararını etkiler | Doğru kullanım: Sözleşme bedelini KDV hariç TL girin. | Örnek: demo satırına bakın | Yanlışsa: Fiyat farkı ve karar bozulur | Kaynak: [Assumption] KİK fiyat farkı cetveli</t>
      </text>
    </comment>
    <comment ref="B10" authorId="0" shapeId="0">
      <text>
        <t>Tanım: Baz Endeks | Neden önemli: Fiyat farkı / eskalasyon kararını etkiler | Doğru kullanım: Sözleşme / ihale tarihindeki baz endeksi girin. | Örnek: demo satırına bakın | Yanlışsa: Fiyat farkı ve karar bozulur | Kaynak: [Assumption] KİK fiyat farkı cetveli</t>
      </text>
    </comment>
    <comment ref="B11" authorId="0" shapeId="0">
      <text>
        <t>Tanım: Güncel Endeks | Neden önemli: Fiyat farkı / eskalasyon kararını etkiler | Doğru kullanım: Hakediş dönemindeki güncel endeksi girin. | Örnek: demo satırına bakın | Yanlışsa: Fiyat farkı ve karar bozulur | Kaynak: [Assumption] KİK fiyat farkı cetveli</t>
      </text>
    </comment>
    <comment ref="B12" authorId="0" shapeId="0">
      <text>
        <t>Tanım: İşçilik Ağırlığı [%] | Neden önemli: Fiyat farkı / eskalasyon kararını etkiler | Doğru kullanım: İşçilik kalem ağırlığını 0-1 veya yüzde olarak girin. | Örnek: demo satırına bakın | Yanlışsa: Fiyat farkı ve karar bozulur | Kaynak: [Assumption] KİK fiyat farkı cetveli</t>
      </text>
    </comment>
    <comment ref="B13" authorId="0" shapeId="0">
      <text>
        <t>Tanım: Malzeme Ağırlığı [%] | Neden önemli: Fiyat farkı / eskalasyon kararını etkiler | Doğru kullanım: Malzeme kalem ağırlığını girin. | Örnek: demo satırına bakın | Yanlışsa: Fiyat farkı ve karar bozulur | Kaynak: [Assumption] KİK fiyat farkı cetveli</t>
      </text>
    </comment>
    <comment ref="B14" authorId="0" shapeId="0">
      <text>
        <t>Tanım: Akaryakıt Ağırlığı [%] | Neden önemli: Fiyat farkı / eskalasyon kararını etkiler | Doğru kullanım: Akaryakıt kalem ağırlığını girin. | Örnek: demo satırına bakın | Yanlışsa: Fiyat farkı ve karar bozulur | Kaynak: [Assumption] KİK fiyat farkı cetveli</t>
      </text>
    </comment>
    <comment ref="B15" authorId="0" shapeId="0">
      <text>
        <t>Tanım: Hakediş Tutarı [₺] | Neden önemli: Fiyat farkı / eskalasyon kararını etkiler | Doğru kullanım: Dönem hakediş tutarını TL girin. | Örnek: demo satırına bakın | Yanlışsa: Fiyat farkı ve karar bozulur | Kaynak: [Assumption] KİK fiyat farkı cetveli</t>
      </text>
    </comment>
    <comment ref="B16" authorId="0" shapeId="0">
      <text>
        <t>Tanım: Yorum Modu (A/B) | Neden önemli: Fiyat farkı / eskalasyon kararını etkiler | Doğru kullanım: Endeks yorumu A (standart) veya B (sıkı sabit pay) seçin. | Örnek: demo satırına bakın | Yanlışsa: Fiyat farkı ve karar bozulur | Kaynak: [Assumption] KİK fiyat farkı cetveli</t>
      </text>
    </comment>
    <comment ref="A24" authorId="0" shapeId="0">
      <text>
        <t>Tanım: ihale_adi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24" authorId="0" shapeId="0">
      <text>
        <t>Tanım: ihale_adi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24" authorId="0" shapeId="0">
      <text>
        <t>Tanım: ihale_adi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24" authorId="0" shapeId="0">
      <text>
        <t>Tanım: ihale_adi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24" authorId="0" shapeId="0">
      <text>
        <t>Tanım: ihale_adi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25" authorId="0" shapeId="0">
      <text>
        <t>Tanım: donem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25" authorId="0" shapeId="0">
      <text>
        <t>Tanım: donem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25" authorId="0" shapeId="0">
      <text>
        <t>Tanım: donem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25" authorId="0" shapeId="0">
      <text>
        <t>Tanım: donem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25" authorId="0" shapeId="0">
      <text>
        <t>Tanım: donem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26" authorId="0" shapeId="0">
      <text>
        <t>Tanım: hesapYili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26" authorId="0" shapeId="0">
      <text>
        <t>Tanım: hesapYili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26" authorId="0" shapeId="0">
      <text>
        <t>Tanım: hesapYili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26" authorId="0" shapeId="0">
      <text>
        <t>Tanım: hesapYili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26" authorId="0" shapeId="0">
      <text>
        <t>Tanım: hesapYili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27" authorId="0" shapeId="0">
      <text>
        <t>Tanım: sozlesme_bedeli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27" authorId="0" shapeId="0">
      <text>
        <t>Tanım: sozlesme_bedeli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27" authorId="0" shapeId="0">
      <text>
        <t>Tanım: sozlesme_bedeli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27" authorId="0" shapeId="0">
      <text>
        <t>Tanım: sozlesme_bedeli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27" authorId="0" shapeId="0">
      <text>
        <t>Tanım: sozlesme_bedeli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28" authorId="0" shapeId="0">
      <text>
        <t>Tanım: baz_endeks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28" authorId="0" shapeId="0">
      <text>
        <t>Tanım: baz_endeks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28" authorId="0" shapeId="0">
      <text>
        <t>Tanım: baz_endeks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28" authorId="0" shapeId="0">
      <text>
        <t>Tanım: baz_endeks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28" authorId="0" shapeId="0">
      <text>
        <t>Tanım: baz_endeks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29" authorId="0" shapeId="0">
      <text>
        <t>Tanım: guncel_endeks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29" authorId="0" shapeId="0">
      <text>
        <t>Tanım: guncel_endeks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29" authorId="0" shapeId="0">
      <text>
        <t>Tanım: guncel_endeks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29" authorId="0" shapeId="0">
      <text>
        <t>Tanım: guncel_endeks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29" authorId="0" shapeId="0">
      <text>
        <t>Tanım: guncel_endeks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30" authorId="0" shapeId="0">
      <text>
        <t>Tanım: agirlik_iscilik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30" authorId="0" shapeId="0">
      <text>
        <t>Tanım: agirlik_iscilik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30" authorId="0" shapeId="0">
      <text>
        <t>Tanım: agirlik_iscilik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30" authorId="0" shapeId="0">
      <text>
        <t>Tanım: agirlik_iscilik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30" authorId="0" shapeId="0">
      <text>
        <t>Tanım: agirlik_iscilik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31" authorId="0" shapeId="0">
      <text>
        <t>Tanım: agirlik_malzeme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31" authorId="0" shapeId="0">
      <text>
        <t>Tanım: agirlik_malzeme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31" authorId="0" shapeId="0">
      <text>
        <t>Tanım: agirlik_malzeme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31" authorId="0" shapeId="0">
      <text>
        <t>Tanım: agirlik_malzeme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31" authorId="0" shapeId="0">
      <text>
        <t>Tanım: agirlik_malzeme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32" authorId="0" shapeId="0">
      <text>
        <t>Tanım: agirlik_akaryakit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32" authorId="0" shapeId="0">
      <text>
        <t>Tanım: agirlik_akaryakit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32" authorId="0" shapeId="0">
      <text>
        <t>Tanım: agirlik_akaryakit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32" authorId="0" shapeId="0">
      <text>
        <t>Tanım: agirlik_akaryakit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32" authorId="0" shapeId="0">
      <text>
        <t>Tanım: agirlik_akaryakit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33" authorId="0" shapeId="0">
      <text>
        <t>Tanım: hakedis_tutari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33" authorId="0" shapeId="0">
      <text>
        <t>Tanım: hakedis_tutari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33" authorId="0" shapeId="0">
      <text>
        <t>Tanım: hakedis_tutari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33" authorId="0" shapeId="0">
      <text>
        <t>Tanım: hakedis_tutari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33" authorId="0" shapeId="0">
      <text>
        <t>Tanım: hakedis_tutari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A34" authorId="0" shapeId="0">
      <text>
        <t>Tanım: yorum_modu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B34" authorId="0" shapeId="0">
      <text>
        <t>Tanım: yorum_modu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C34" authorId="0" shapeId="0">
      <text>
        <t>Tanım: yorum_modu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D34" authorId="0" shapeId="0">
      <text>
        <t>Tanım: yorum_modu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  <comment ref="E34" authorId="0" shapeId="0">
      <text>
        <t>Tanım: yorum_modu | Neden önemli: Fiyat farkı / eskalasyon kararını etkiler | Doğru kullanım: Tablo girişi; PANO ile senkron tutun | Örnek: demo satırına bakın | Yanlışsa: Fiyat farkı ve karar bozulur | Kaynak: [Assumption] KİK fiyat farkı cetveli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sabit_pay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G7" authorId="0" shapeId="0">
      <text>
        <t>Tanım: sabit_pay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H7" authorId="0" shapeId="0">
      <text>
        <t>Tanım: sabit_pay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F8" authorId="0" shapeId="0">
      <text>
        <t>Tanım: talep_esik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G8" authorId="0" shapeId="0">
      <text>
        <t>Tanım: talep_esik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H8" authorId="0" shapeId="0">
      <text>
        <t>Tanım: talep_esik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F9" authorId="0" shapeId="0">
      <text>
        <t>Tanım: bekle_esik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G9" authorId="0" shapeId="0">
      <text>
        <t>Tanım: bekle_esik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H9" authorId="0" shapeId="0">
      <text>
        <t>Tanım: bekle_esik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F10" authorId="0" shapeId="0">
      <text>
        <t>Tanım: agirlik_tolerans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G10" authorId="0" shapeId="0">
      <text>
        <t>Tanım: agirlik_tolerans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H10" authorId="0" shapeId="0">
      <text>
        <t>Tanım: agirlik_tolerans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F11" authorId="0" shapeId="0">
      <text>
        <t>Tanım: yuvarlama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G11" authorId="0" shapeId="0">
      <text>
        <t>Tanım: yuvarlama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  <comment ref="H11" authorId="0" shapeId="0">
      <text>
        <t>Tanım: yuvarlama | Neden önemli: Fiyat farkı / eskalasyon kararını etkiler | Doğru kullanım: Yıl bazlı parametre; kaynak kolonuna bakın | Örnek: demo satırına bakın | Yanlışsa: Fiyat farkı ve karar bozulur | Kaynak: [Assumption] KİK fiyat farkı cetveli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29" authorId="0" shapeId="0">
      <text>
        <t>Tanım: İmza | Neden önemli: Fiyat farkı / eskalasyon kararını etkiler | Doğru kullanım: Raporu hazırlayan kişinin adını yazın. | Örnek: demo satırına bakın | Yanlışsa: Fiyat farkı ve karar bozulur | Kaynak: [Assumption] KİK fiyat farkı cetveli</t>
      </text>
    </comment>
    <comment ref="B30" authorId="0" shapeId="0">
      <text>
        <t>Tanım: Onay | Neden önemli: Fiyat farkı / eskalasyon kararını etkiler | Doğru kullanım: Onaylayan kişinin adını yazın. | Örnek: demo satırına bakın | Yanlışsa: Fiyat farkı ve karar bozulur | Kaynak: [Assumption] KİK fiyat farkı cetveli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sözleşme bedeli?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Baz endeks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Fark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B6" authorId="0" shapeId="0">
      <text>
        <t>Tanım: Sözleşme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C6" authorId="0" shapeId="0">
      <text>
        <t>Tanım: Baz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D6" authorId="0" shapeId="0">
      <text>
        <t>Tanım: Güncel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E6" authorId="0" shapeId="0">
      <text>
        <t>Tanım: İşçilik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F6" authorId="0" shapeId="0">
      <text>
        <t>Tanım: Malzeme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G6" authorId="0" shapeId="0">
      <text>
        <t>Tanım: Akaryakıt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H6" authorId="0" shapeId="0">
      <text>
        <t>Tanım: Hakediş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A7" authorId="0" shapeId="0">
      <text>
        <t>Tanım: Senaryo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B7" authorId="0" shapeId="0">
      <text>
        <t>Tanım: Sözleşme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C7" authorId="0" shapeId="0">
      <text>
        <t>Tanım: Baz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D7" authorId="0" shapeId="0">
      <text>
        <t>Tanım: Güncel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E7" authorId="0" shapeId="0">
      <text>
        <t>Tanım: İşçilik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F7" authorId="0" shapeId="0">
      <text>
        <t>Tanım: Malzeme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G7" authorId="0" shapeId="0">
      <text>
        <t>Tanım: Akaryakıt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H7" authorId="0" shapeId="0">
      <text>
        <t>Tanım: Hakediş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A8" authorId="0" shapeId="0">
      <text>
        <t>Tanım: Senaryo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B8" authorId="0" shapeId="0">
      <text>
        <t>Tanım: Sözleşme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C8" authorId="0" shapeId="0">
      <text>
        <t>Tanım: Baz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D8" authorId="0" shapeId="0">
      <text>
        <t>Tanım: Güncel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E8" authorId="0" shapeId="0">
      <text>
        <t>Tanım: İşçilik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F8" authorId="0" shapeId="0">
      <text>
        <t>Tanım: Malzeme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G8" authorId="0" shapeId="0">
      <text>
        <t>Tanım: Akaryakıt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H8" authorId="0" shapeId="0">
      <text>
        <t>Tanım: Hakediş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A9" authorId="0" shapeId="0">
      <text>
        <t>Tanım: Senaryo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B9" authorId="0" shapeId="0">
      <text>
        <t>Tanım: Sözleşme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C9" authorId="0" shapeId="0">
      <text>
        <t>Tanım: Baz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D9" authorId="0" shapeId="0">
      <text>
        <t>Tanım: Güncel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E9" authorId="0" shapeId="0">
      <text>
        <t>Tanım: İşçilik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F9" authorId="0" shapeId="0">
      <text>
        <t>Tanım: Malzeme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G9" authorId="0" shapeId="0">
      <text>
        <t>Tanım: Akaryakıt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H9" authorId="0" shapeId="0">
      <text>
        <t>Tanım: Hakediş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A10" authorId="0" shapeId="0">
      <text>
        <t>Tanım: Senaryo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B10" authorId="0" shapeId="0">
      <text>
        <t>Tanım: Sözleşme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C10" authorId="0" shapeId="0">
      <text>
        <t>Tanım: Baz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D10" authorId="0" shapeId="0">
      <text>
        <t>Tanım: Güncel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E10" authorId="0" shapeId="0">
      <text>
        <t>Tanım: İşçilik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F10" authorId="0" shapeId="0">
      <text>
        <t>Tanım: Malzeme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G10" authorId="0" shapeId="0">
      <text>
        <t>Tanım: Akaryakıt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H10" authorId="0" shapeId="0">
      <text>
        <t>Tanım: Hakediş | Neden önemli: Fiyat farkı / eskalasyon kararını etkiler | Doğru kullanım: Örnek senaryo değeri | Örnek: demo satırına bakın | Yanlışsa: Fiyat farkı ve karar bozulur | Kaynak: [Assumption] KİK fiyat farkı cetveli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Fiyat farkı / eskalasyon kararını etkiler | Doğru kullanım: Hesap yılı listesi | Örnek: demo satırına bakın | Yanlışsa: Fiyat farkı ve karar bozulur | Kaynak: [Assumption] KİK fiyat farkı cetveli</t>
      </text>
    </comment>
    <comment ref="C6" authorId="0" shapeId="0">
      <text>
        <t>Tanım: Yorum | Neden önemli: Fiyat farkı / eskalasyon kararını etkiler | Doğru kullanım: Endeks yorumu | Örnek: demo satırına bakın | Yanlışsa: Fiyat farkı ve karar bozulur | Kaynak: [Assumption] KİK fiyat farkı cetveli</t>
      </text>
    </comment>
    <comment ref="E6" authorId="0" shapeId="0">
      <text>
        <t>Tanım: Seçim | Neden önemli: Fiyat farkı / eskalasyon kararını etkiler | Doğru kullanım: Evet veya Hayır | Örnek: demo satırına bakın | Yanlışsa: Fiyat farkı ve karar bozulur | Kaynak: [Assumption] KİK fiyat farkı cetveli</t>
      </text>
    </comment>
    <comment ref="A7" authorId="0" shapeId="0">
      <text>
        <t>Tanım: Yıl | Neden önemli: Fiyat farkı / eskalasyon kararını etkiler | Doğru kullanım: Hesap yılı listesi | Örnek: demo satırına bakın | Yanlışsa: Fiyat farkı ve karar bozulur | Kaynak: [Assumption] KİK fiyat farkı cetveli</t>
      </text>
    </comment>
    <comment ref="C7" authorId="0" shapeId="0">
      <text>
        <t>Tanım: Yorum | Neden önemli: Fiyat farkı / eskalasyon kararını etkiler | Doğru kullanım: Endeks yorumu | Örnek: demo satırına bakın | Yanlışsa: Fiyat farkı ve karar bozulur | Kaynak: [Assumption] KİK fiyat farkı cetveli</t>
      </text>
    </comment>
    <comment ref="E7" authorId="0" shapeId="0">
      <text>
        <t>Tanım: Seçim | Neden önemli: Fiyat farkı / eskalasyon kararını etkiler | Doğru kullanım: Evet veya Hayır | Örnek: demo satırına bakın | Yanlışsa: Fiyat farkı ve karar bozulur | Kaynak: [Assumption] KİK fiyat farkı cetveli</t>
      </text>
    </comment>
    <comment ref="A8" authorId="0" shapeId="0">
      <text>
        <t>Tanım: Yıl | Neden önemli: Fiyat farkı / eskalasyon kararını etkiler | Doğru kullanım: Hesap yılı listesi | Örnek: demo satırına bakın | Yanlışsa: Fiyat farkı ve karar bozulur | Kaynak: [Assumption] KİK fiyat farkı cetveli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Fiyat farkı / eskalasyon kararını etkiler | Doğru kullanım: Aktif hesap yılı | Örnek: demo satırına bakın | Yanlışsa: Fiyat farkı ve karar bozulur | Kaynak: [Assumption] KİK fiyat farkı cetveli</t>
      </text>
    </comment>
    <comment ref="B7" authorId="0" shapeId="0">
      <text>
        <t>Tanım: raporTarihi | Neden önemli: Fiyat farkı / eskalasyon kararını etkiler | Doğru kullanım: Rapor tarihi (sabit) | Örnek: demo satırına bakın | Yanlışsa: Fiyat farkı ve karar bozulur | Kaynak: [Assumption] KİK fiyat farkı cetveli</t>
      </text>
    </comment>
    <comment ref="B8" authorId="0" shapeId="0">
      <text>
        <t>Tanım: iff_tolerans | Neden önemli: Fiyat farkı / eskalasyon kararını etkiler | Doğru kullanım: Vaka tutarlılık toleransı | Örnek: demo satırına bakın | Yanlışsa: Fiyat farkı ve karar bozulur | Kaynak: [Assumption] KİK fiyat farkı cetveli</t>
      </text>
    </comment>
    <comment ref="B9" authorId="0" shapeId="0">
      <text>
        <t>Tanım: iff_kacirilanEsik | Neden önemli: Fiyat farkı / eskalasyon kararını etkiler | Doğru kullanım: PANO fark uyarı eşiği | Örnek: demo satırına bakın | Yanlışsa: Fiyat farkı ve karar bozulur | Kaynak: [Assumption] KİK fiyat farkı cetveli</t>
      </text>
    </comment>
    <comment ref="B10" authorId="0" shapeId="0">
      <text>
        <t>Tanım: iff_senaryoIyi | Neden önemli: Fiyat farkı / eskalasyon kararını etkiler | Doğru kullanım: İyimser endeks çarpanı | Örnek: demo satırına bakın | Yanlışsa: Fiyat farkı ve karar bozulur | Kaynak: [Assumption] KİK fiyat farkı cetveli</t>
      </text>
    </comment>
    <comment ref="B11" authorId="0" shapeId="0">
      <text>
        <t>Tanım: iff_senaryoKotu | Neden önemli: Fiyat farkı / eskalasyon kararını etkiler | Doğru kullanım: Kötümser endeks çarpanı | Örnek: demo satırına bakın | Yanlışsa: Fiyat farkı ve karar bozulur | Kaynak: [Assumption] KİK fiyat farkı cetveli</t>
      </text>
    </comment>
    <comment ref="B12" authorId="0" shapeId="0">
      <text>
        <t>Tanım: iff_oranArtisPuan | Neden önemli: Fiyat farkı / eskalasyon kararını etkiler | Doğru kullanım: M-SEN sabit +1 puan | Örnek: demo satırına bakın | Yanlışsa: Fiyat farkı ve karar bozulur | Kaynak: [Assumption] KİK fiyat farkı cetveli</t>
      </text>
    </comment>
    <comment ref="B13" authorId="0" shapeId="0">
      <text>
        <t>Tanım: iff_tahminAlt | Neden önemli: Fiyat farkı / eskalasyon kararını etkiler | Doğru kullanım: Tahmin alt bant | Örnek: demo satırına bakın | Yanlışsa: Fiyat farkı ve karar bozulur | Kaynak: [Assumption] KİK fiyat farkı cetveli</t>
      </text>
    </comment>
    <comment ref="B14" authorId="0" shapeId="0">
      <text>
        <t>Tanım: iff_tahminUst | Neden önemli: Fiyat farkı / eskalasyon kararını etkiler | Doğru kullanım: Tahmin üst bant | Örnek: demo satırına bakın | Yanlışsa: Fiyat farkı ve karar bozulur | Kaynak: [Assumption] KİK fiyat farkı cetveli</t>
      </text>
    </comment>
    <comment ref="B15" authorId="0" shapeId="0">
      <text>
        <t>Tanım: iff_tornadoMatrah | Neden önemli: Fiyat farkı / eskalasyon kararını etkiler | Doğru kullanım: Tornado endeks şoku | Örnek: demo satırına bakın | Yanlışsa: Fiyat farkı ve karar bozulur | Kaynak: [Assumption] KİK fiyat farkı cetveli</t>
      </text>
    </comment>
    <comment ref="B16" authorId="0" shapeId="0">
      <text>
        <t>Tanım: iff_tornadoMevcut | Neden önemli: Fiyat farkı / eskalasyon kararını etkiler | Doğru kullanım: Tornado hakediş şoku | Örnek: demo satırına bakın | Yanlışsa: Fiyat farkı ve karar bozulur | Kaynak: [Assumption] KİK fiyat farkı cetveli</t>
      </text>
    </comment>
    <comment ref="B17" authorId="0" shapeId="0">
      <text>
        <t>Tanım: iff_isverenOran | Neden önemli: Fiyat farkı / eskalasyon kararını etkiler | Doğru kullanım: Yorum B yedek sabit artışı | Örnek: demo satırına bakın | Yanlışsa: Fiyat farkı ve karar bozulur | Kaynak: [Assumption] KİK fiyat farkı cetveli</t>
      </text>
    </comment>
    <comment ref="B18" authorId="0" shapeId="0">
      <text>
        <t>Tanım: iff_yuzdelikOran | Neden önemli: Fiyat farkı / eskalasyon kararını etkiler | Doğru kullanım: Yüzdelik P90 | Örnek: demo satırına bakın | Yanlışsa: Fiyat farkı ve karar bozulur | Kaynak: [Assumption] KİK fiyat farkı cetveli</t>
      </text>
    </comment>
    <comment ref="B19" authorId="0" shapeId="0">
      <text>
        <t>Tanım: iff_parmakIzi | Neden önemli: Fiyat farkı / eskalasyon kararını etkiler | Doğru kullanım: Dosya parmak izi etiketi | Örnek: demo satırına bakın | Yanlışsa: Fiyat farkı ve karar bozulur | Kaynak: [Assumption] KİK fiyat farkı cetveli</t>
      </text>
    </comment>
    <comment ref="B20" authorId="0" shapeId="0">
      <text>
        <t>Tanım: dosya_surumu | Neden önemli: Fiyat farkı / eskalasyon kararını etkiler | Doğru kullanım: Ürün sürümü | Örnek: demo satırına bakın | Yanlışsa: Fiyat farkı ve karar bozulur | Kaynak: [Assumption] KİK fiyat farkı cetveli</t>
      </text>
    </comment>
    <comment ref="B21" authorId="0" shapeId="0">
      <text>
        <t>Tanım: iff_girisBeklenen | Neden önemli: Fiyat farkı / eskalasyon kararını etkiler | Doğru kullanım: Zorunlu giriş alanı sayısı | Örnek: demo satırına bakın | Yanlışsa: Fiyat farkı ve karar bozulur | Kaynak: [Assumption] KİK fiyat farkı cetveli</t>
      </text>
    </comment>
    <comment ref="B22" authorId="0" shapeId="0">
      <text>
        <t>Tanım: iff_riskDusuk | Neden önemli: Fiyat farkı / eskalasyon kararını etkiler | Doğru kullanım: TALEP ET risk skoru | Örnek: demo satırına bakın | Yanlışsa: Fiyat farkı ve karar bozulur | Kaynak: [Assumption] KİK fiyat farkı cetveli</t>
      </text>
    </comment>
    <comment ref="B23" authorId="0" shapeId="0">
      <text>
        <t>Tanım: iff_riskOrta | Neden önemli: Fiyat farkı / eskalasyon kararını etkiler | Doğru kullanım: BEKLE risk skoru | Örnek: demo satırına bakın | Yanlışsa: Fiyat farkı ve karar bozulur | Kaynak: [Assumption] KİK fiyat farkı cetveli</t>
      </text>
    </comment>
    <comment ref="B24" authorId="0" shapeId="0">
      <text>
        <t>Tanım: iff_riskYuksek | Neden önemli: Fiyat farkı / eskalasyon kararını etkiler | Doğru kullanım: VAZGEÇ risk skoru | Örnek: demo satırına bakın | Yanlışsa: Fiyat farkı ve karar bozulur | Kaynak: [Assumption] KİK fiyat farkı cetveli</t>
      </text>
    </comment>
    <comment ref="B25" authorId="0" shapeId="0">
      <text>
        <t>Tanım: iff_riskEsikOran | Neden önemli: Fiyat farkı / eskalasyon kararını etkiler | Doğru kullanım: Yedek risk oranı | Örnek: demo satırına bakın | Yanlışsa: Fiyat farkı ve karar bozulur | Kaynak: [Assumption] KİK fiyat farkı cetveli</t>
      </text>
    </comment>
    <comment ref="B26" authorId="0" shapeId="0">
      <text>
        <t>Tanım: iff_yilTaban | Neden önemli: Fiyat farkı / eskalasyon kararını etkiler | Doğru kullanım: CHOOSE yıl tabanı (hesapYili−taban) | Örnek: demo satırına bakın | Yanlışsa: Fiyat farkı ve karar bozulur | Kaynak: [Assumption] KİK fiyat farkı cetveli</t>
      </text>
    </comment>
    <comment ref="B27" authorId="0" shapeId="0">
      <text>
        <t>Tanım: iff_yuvarMax | Neden önemli: Fiyat farkı / eskalasyon kararını etkiler | Doğru kullanım: ROUND basamak tavanı | Örnek: demo satırına bakın | Yanlışsa: Fiyat farkı ve karar bozulur | Kaynak: [Assumption] KİK fiyat farkı cetveli</t>
      </text>
    </comment>
    <comment ref="B28" authorId="0" shapeId="0">
      <text>
        <t>Tanım: iff_dayanakCarpan | Neden önemli: Fiyat farkı / eskalasyon kararını etkiler | Doğru kullanım: Yedek çarpan | Örnek: demo satırına bakın | Yanlışsa: Fiyat farkı ve karar bozulur | Kaynak: [Assumption] KİK fiyat farkı cetveli</t>
      </text>
    </comment>
    <comment ref="B29" authorId="0" shapeId="0">
      <text>
        <t>Tanım: iff_bazCarpan | Neden önemli: Fiyat farkı / eskalasyon kararını etkiler | Doğru kullanım: Baz senaryo çarpanı | Örnek: demo satırına bakın | Yanlışsa: Fiyat farkı ve karar bozulur | Kaynak: [Assumption] KİK fiyat farkı cetveli</t>
      </text>
    </comment>
    <comment ref="B30" authorId="0" shapeId="0">
      <text>
        <t>Tanım: iff_sifirCarpan | Neden önemli: Fiyat farkı / eskalasyon kararını etkiler | Doğru kullanım: Nötr çarpan (sıfır) | Örnek: demo satırına bakın | Yanlışsa: Fiyat farkı ve karar bozulur | Kaynak: [Assumption] KİK fiyat farkı cetveli</t>
      </text>
    </comment>
    <comment ref="B31" authorId="0" shapeId="0">
      <text>
        <t>Tanım: iff_siraBir | Neden önemli: Fiyat farkı / eskalasyon kararını etkiler | Doğru kullanım: Tornado sıra 1 | Örnek: demo satırına bakın | Yanlışsa: Fiyat farkı ve karar bozulur | Kaynak: [Assumption] KİK fiyat farkı cetveli</t>
      </text>
    </comment>
    <comment ref="B32" authorId="0" shapeId="0">
      <text>
        <t>Tanım: iff_siraIki | Neden önemli: Fiyat farkı / eskalasyon kararını etkiler | Doğru kullanım: Tornado sıra 2 | Örnek: demo satırına bakın | Yanlışsa: Fiyat farkı ve karar bozulur | Kaynak: [Assumption] KİK fiyat farkı cetveli</t>
      </text>
    </comment>
    <comment ref="B33" authorId="0" shapeId="0">
      <text>
        <t>Tanım: iff_siraUc | Neden önemli: Fiyat farkı / eskalasyon kararını etkiler | Doğru kullanım: Tornado sıra 3 | Örnek: demo satırına bakın | Yanlışsa: Fiyat farkı ve karar bozulur | Kaynak: [Assumption] KİK fiyat farkı cetveli</t>
      </text>
    </comment>
    <comment ref="B34" authorId="0" shapeId="0">
      <text>
        <t>Tanım: iff_tahminX | Neden önemli: Fiyat farkı / eskalasyon kararını etkiler | Doğru kullanım: FORECAST X noktası | Örnek: demo satırına bakın | Yanlışsa: Fiyat farkı ve karar bozulur | Kaynak: [Assumption] KİK fiyat farkı cetveli</t>
      </text>
    </comment>
    <comment ref="B35" authorId="0" shapeId="0">
      <text>
        <t>Tanım: vaka_matrah_1 | Neden önemli: Fiyat farkı / eskalasyon kararını etkiler | Doğru kullanım: Vaka1 hakediş | Örnek: demo satırına bakın | Yanlışsa: Fiyat farkı ve karar bozulur | Kaynak: [Assumption] KİK fiyat farkı cetveli</t>
      </text>
    </comment>
    <comment ref="B36" authorId="0" shapeId="0">
      <text>
        <t>Tanım: vaka_matrah_2 | Neden önemli: Fiyat farkı / eskalasyon kararını etkiler | Doğru kullanım: Vaka2 hakediş | Örnek: demo satırına bakın | Yanlışsa: Fiyat farkı ve karar bozulur | Kaynak: [Assumption] KİK fiyat farkı cetveli</t>
      </text>
    </comment>
    <comment ref="B37" authorId="0" shapeId="0">
      <text>
        <t>Tanım: vaka_tavan | Neden önemli: Fiyat farkı / eskalasyon kararını etkiler | Doğru kullanım: Vaka4 tavan | Örnek: demo satırına bakın | Yanlışsa: Fiyat farkı ve karar bozulur | Kaynak: [Assumption] KİK fiyat farkı cetveli</t>
      </text>
    </comment>
    <comment ref="B38" authorId="0" shapeId="0">
      <text>
        <t>Tanım: vaka_endeks_orani | Neden önemli: Fiyat farkı / eskalasyon kararını etkiler | Doğru kullanım: Vaka1/3 endeks oranı | Örnek: demo satırına bakın | Yanlışsa: Fiyat farkı ve karar bozulur | Kaynak: [Assumption] KİK fiyat farkı cetveli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Row],[kural_id]]="","",IFERROR(CHOOSE(MAX(1,MIN(3,IF(OR(hesapYili="",hesapYili=0),1,hesapYili-iff_yilTaban))),tblKurallar[[#This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Row],[fark]])&lt;=iff_tolerans,"TUTARLI","KIRIK"),"KIRIK"))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004" headerRowCount="1">
  <tableColumns count="9">
    <tableColumn id="1" name="Senaryo"/>
    <tableColumn id="2" name="Sözleşme"/>
    <tableColumn id="3" name="Baz"/>
    <tableColumn id="4" name="Güncel"/>
    <tableColumn id="5" name="İşçilik"/>
    <tableColumn id="6" name="Malzeme"/>
    <tableColumn id="7" name="Akaryakıt"/>
    <tableColumn id="8" name="Hakediş"/>
    <tableColumn id="9" name="Fiyat Farkı">
      <calculatedColumnFormula>=IF(tblOrnek[[#This Row],[Senaryo]]="","",IFERROR(ROUND(tblOrnek[[#This Row],[Hakediş]]*((INDEX(tblKurallar[deger_2025],MATCH("IFF-001",tblKurallar[kural_id],0))+(1-INDEX(tblKurallar[deger_2025],MATCH("IFF-001",tblKurallar[kural_id],0)))*IF(tblOrnek[[#This Row],[Baz]]=0,0,tblOrnek[[#This Row],[Güncel]]/tblOrnek[[#This Row],[Baz]]))-1),iff_yuvarMax),0))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2" t="inlineStr">
        <is>
          <t>EXCELARŞİV KARAR SİSTEMİ v15.1 — ÜRETİM REFERANSI</t>
        </is>
      </c>
    </row>
    <row r="3" ht="24" customHeight="1">
      <c r="A3" s="173" t="inlineStr">
        <is>
          <t>Konu</t>
        </is>
      </c>
      <c r="B3" s="173" t="inlineStr">
        <is>
          <t>Bağlayıcı Standart</t>
        </is>
      </c>
    </row>
    <row r="4">
      <c r="A4" s="174" t="inlineStr">
        <is>
          <t>Amaç</t>
        </is>
      </c>
      <c r="B4" s="175" t="inlineStr">
        <is>
          <t>Kanıta dayalı, hatada kapalı çalışan Excel üretim ve denetim sistemi</t>
        </is>
      </c>
    </row>
    <row r="5">
      <c r="A5" s="174" t="inlineStr">
        <is>
          <t>Öncelik</t>
        </is>
      </c>
      <c r="B5" s="175" t="inlineStr">
        <is>
          <t>Kullanıcının açık iş talebi ve gerçek kullanım senaryosu</t>
        </is>
      </c>
    </row>
    <row r="6">
      <c r="A6" s="174" t="inlineStr">
        <is>
          <t>Ana akış</t>
        </is>
      </c>
      <c r="B6" s="175" t="inlineStr">
        <is>
          <t>Uygunluk → Yönetişim → Sözleşmeler → Üretim → Test → Kanıt → Kullanıcı Kabulü → Yayın</t>
        </is>
      </c>
    </row>
    <row r="7">
      <c r="A7" s="174" t="inlineStr">
        <is>
          <t>Yayın ilkesi</t>
        </is>
      </c>
      <c r="B7" s="175" t="inlineStr">
        <is>
          <t>Üst aşamada hata varsa alt aşama GEÇTİ üretilemez</t>
        </is>
      </c>
    </row>
    <row r="8">
      <c r="A8" s="174" t="inlineStr">
        <is>
          <t>Kullanıcı kabulü</t>
        </is>
      </c>
      <c r="B8" s="175" t="inlineStr">
        <is>
          <t>Excel masaüstü görünümü test edilmediyse DIŞ_KABUL_GEREKLİ</t>
        </is>
      </c>
    </row>
    <row r="9">
      <c r="A9" s="174" t="inlineStr">
        <is>
          <t>Nihai yayın</t>
        </is>
      </c>
      <c r="B9" s="175" t="inlineStr">
        <is>
          <t>Yalnız uygulanabilir modüller GEÇTİ veya gerekçeli UYGULANMAZ</t>
        </is>
      </c>
    </row>
    <row r="10">
      <c r="A10" s="174" t="inlineStr">
        <is>
          <t>Ticari ayrım</t>
        </is>
      </c>
      <c r="B10" s="175" t="inlineStr">
        <is>
          <t>Ekonomik olarak savunulabilir fiyat, gerçek pazar kabulü ile aynı değildir</t>
        </is>
      </c>
    </row>
    <row r="11">
      <c r="A11" s="174" t="inlineStr">
        <is>
          <t>Karmaşıklık</t>
        </is>
      </c>
      <c r="B11" s="175" t="inlineStr">
        <is>
          <t>Karar değeri, eklenen karmaşıklığın maliyetinden büyük olmalıdır</t>
        </is>
      </c>
    </row>
    <row r="12">
      <c r="A12" s="174" t="inlineStr">
        <is>
          <t>Excel sınırı</t>
        </is>
      </c>
      <c r="B12" s="175" t="inlineStr">
        <is>
          <t>Veritabanı, kurumsal yetkilendirme, değiştirilemez kayıt sistemi veya gerçek zamanlı olay platformu değildir</t>
        </is>
      </c>
    </row>
    <row r="13">
      <c r="A13" s="174" t="inlineStr">
        <is>
          <t>Dil standardı</t>
        </is>
      </c>
      <c r="B13" s="175" t="inlineStr">
        <is>
          <t>Kullanıcıya görünen tüm sayfa, tablo, başlık, açıklama, uyarı ve karar metinleri saf Türkçe olmalıdır</t>
        </is>
      </c>
    </row>
    <row r="14">
      <c r="A14" s="174" t="inlineStr">
        <is>
          <t>Muhasebe standardı</t>
        </is>
      </c>
      <c r="B14" s="175" t="inlineStr">
        <is>
          <t>Finansal ürünlerde Türkiye Tekdüzen Hesap Planı ve Türk muhasebe kullanım alışkanlıkları esas alınır</t>
        </is>
      </c>
    </row>
    <row r="15">
      <c r="A15" s="174" t="inlineStr">
        <is>
          <t>Görsel standart</t>
        </is>
      </c>
      <c r="B15" s="175" t="inlineStr">
        <is>
          <t>Her sayfa başlıklı, renk kodlu, sıkı kolon düzenli ve premium kurumsal görünümde olmalıdır</t>
        </is>
      </c>
    </row>
    <row r="16">
      <c r="A16" s="174" t="inlineStr">
        <is>
          <t>Grafik standardı</t>
        </is>
      </c>
      <c r="B16" s="175" t="inlineStr">
        <is>
          <t>Grafikler karar üretmeli; dekoratif, 3B, anlamsız renkli veya varsayılan Excel grafiği kullanılamaz</t>
        </is>
      </c>
    </row>
    <row r="17">
      <c r="A17" s="174" t="inlineStr">
        <is>
          <t>Hata standardı</t>
        </is>
      </c>
      <c r="B17" s="175" t="inlineStr">
        <is>
          <t>#AD? / #BAŞV! / #DEĞER! / #SAYI/0! / #YOK gibi hatalar GEÇTİ sonucuyla birlikte bulunamaz</t>
        </is>
      </c>
    </row>
    <row r="18">
      <c r="A18" s="174" t="inlineStr">
        <is>
          <t>Karar standardı</t>
        </is>
      </c>
      <c r="B18" s="175" t="inlineStr">
        <is>
          <t>Her kritik çıktı: ne oldu, neden oldu, parasal etki, ne yapılmalı, ne zamana kadar sorularını cevaplar</t>
        </is>
      </c>
    </row>
    <row r="19">
      <c r="A19" s="174" t="inlineStr">
        <is>
          <t>Satış standardı</t>
        </is>
      </c>
      <c r="B19" s="175" t="inlineStr">
        <is>
          <t>Ürün 5 saniyede anlaşılmalı; pahalı problemi, ekonomik sonucu, kanıtı ve satın alma gerekçesini göstermelidir</t>
        </is>
      </c>
    </row>
    <row r="20">
      <c r="A20" s="174" t="inlineStr">
        <is>
          <t>Güven standardı</t>
        </is>
      </c>
      <c r="B20" s="175" t="inlineStr">
        <is>
          <t>Kanıtsız 'premium', 'kusursuz', 'sıfır hata' veya yüksek fiyat iddiası kullanılamaz</t>
        </is>
      </c>
    </row>
    <row r="21">
      <c r="A21" s="174" t="inlineStr">
        <is>
          <t>Kaynak</t>
        </is>
      </c>
      <c r="B21" s="175" t="inlineStr">
        <is>
          <t>Teknik Python çekirdeği 99_TEKNIK_KAYNAK sayfasında saklanır; kullanıcı arayüzü değildir</t>
        </is>
      </c>
    </row>
    <row r="22">
      <c r="A22" s="174" t="inlineStr">
        <is>
          <t>Bağlayıcı standart</t>
        </is>
      </c>
      <c r="B22" s="175" t="inlineStr">
        <is>
          <t>Teknik kaynak içindeki üretim sözleşmesi + bu çalışma kitabındaki Türkçe operasyon standartları</t>
        </is>
      </c>
    </row>
    <row r="23">
      <c r="A23" s="174" t="inlineStr">
        <is>
          <t>Çıktı disiplini</t>
        </is>
      </c>
      <c r="B23" s="175" t="inlineStr">
        <is>
          <t>Kanıtsız GEÇTİ / NİHAİ / TİCARİ / PAZAR_DOĞRULANDI statüsü yasaktır</t>
        </is>
      </c>
    </row>
    <row r="24">
      <c r="A24" s="174" t="inlineStr">
        <is>
          <t>Uyarlanabilirlik</t>
        </is>
      </c>
      <c r="B24" s="175" t="inlineStr">
        <is>
          <t>Gereksiz modül yalnız prestij amacıyla eklenmez</t>
        </is>
      </c>
    </row>
    <row r="26" ht="16" customHeight="1">
      <c r="A26" s="176" t="inlineStr">
        <is>
          <t>TEK KAYNAK MİMARİSİ</t>
        </is>
      </c>
      <c r="B26" s="176" t="inlineStr">
        <is>
          <t>İKİ DOSYALI / TEK SİSTEM</t>
        </is>
      </c>
    </row>
    <row r="27" ht="28" customHeight="1">
      <c r="A27" s="175" t="inlineStr">
        <is>
          <t>MASTER Excel</t>
        </is>
      </c>
      <c r="B27" s="175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5" t="inlineStr">
        <is>
          <t>Runtime Python</t>
        </is>
      </c>
      <c r="B28" s="175" t="inlineStr">
        <is>
          <t>EXCELARSIV_DECISION_OS_V15_1_RUNTIME_KERNEL.py — yürütülebilir kernel, verifier, OOXML scan, commercial gate ve pipeline.</t>
        </is>
      </c>
    </row>
    <row r="29">
      <c r="A29" s="175" t="inlineStr">
        <is>
          <t>Python SHA-256</t>
        </is>
      </c>
      <c r="B29" s="175" t="inlineStr">
        <is>
          <t>babe066ab599199123e53d01944bcd9d75648a579ade69ab9303dd675962f481</t>
        </is>
      </c>
    </row>
    <row r="30">
      <c r="A30" s="175" t="inlineStr">
        <is>
          <t>Sürüm Eşleşmesi</t>
        </is>
      </c>
      <c r="B30" s="175" t="inlineStr">
        <is>
          <t>Her iki dosya v15.1 sistemine aittir. Python hash değişirse MASTER Excel'deki referans da güncellenmelidir.</t>
        </is>
      </c>
    </row>
    <row r="31" ht="28" customHeight="1">
      <c r="A31" s="175" t="inlineStr">
        <is>
          <t>Sahte PASS Yasağı</t>
        </is>
      </c>
      <c r="B31" s="175" t="inlineStr">
        <is>
          <t>Kanıt yoksa PASS yok; hata=FAIL, ölçülemiyorsa=BLOCKED, Excel GUI gerekiyorsa=HARİCİ KABUL GEREKLİ.</t>
        </is>
      </c>
    </row>
    <row r="32">
      <c r="A32" s="175" t="inlineStr">
        <is>
          <t>Dil</t>
        </is>
      </c>
      <c r="B32" s="175" t="inlineStr">
        <is>
          <t>Kullanıcı yüzeyi safkan Türkçe; teknik kavramların Türkçe karşılığı ana terimdir.</t>
        </is>
      </c>
    </row>
    <row r="33">
      <c r="A33" s="175" t="inlineStr">
        <is>
          <t>Muhasebe</t>
        </is>
      </c>
      <c r="B33" s="175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79" t="inlineStr">
        <is>
          <t>☰ PANO</t>
        </is>
      </c>
    </row>
    <row r="2">
      <c r="B2" s="95" t="inlineStr">
        <is>
          <t>İHALE FIYAT FARKI (ESKALASYON) PRO</t>
        </is>
      </c>
      <c r="L2" s="96" t="inlineStr">
        <is>
          <t>Dönem: 2026 / Tam ▼</t>
        </is>
      </c>
      <c r="M2" s="97" t="inlineStr">
        <is>
          <t>★ DOĞRULANMIŞ</t>
        </is>
      </c>
    </row>
    <row r="3">
      <c r="B3" s="98" t="inlineStr">
        <is>
          <t>Hedef Kullanıcı: Müteahhit, ihale ofisi, maliyet kontrol · 2026 Q3 Denetim Standardı</t>
        </is>
      </c>
    </row>
    <row r="5">
      <c r="B5" s="99" t="inlineStr">
        <is>
          <t>SÖZLEŞME / GÜNCEL ENDEKS</t>
        </is>
      </c>
      <c r="C5" s="100" t="n"/>
      <c r="D5" s="101" t="inlineStr">
        <is>
          <t>KONSOLİDE</t>
        </is>
      </c>
      <c r="E5" s="102" t="inlineStr">
        <is>
          <t>FIYAT FARKI TUTARI</t>
        </is>
      </c>
      <c r="F5" s="100" t="n"/>
      <c r="G5" s="103" t="inlineStr">
        <is>
          <t>KONTROL</t>
        </is>
      </c>
      <c r="H5" s="99" t="inlineStr">
        <is>
          <t>NET OPERASYONEL MARJ</t>
        </is>
      </c>
      <c r="I5" s="100" t="n"/>
      <c r="J5" s="104" t="inlineStr">
        <is>
          <t>GÜVENLİ</t>
        </is>
      </c>
      <c r="K5" s="105" t="inlineStr">
        <is>
          <t>SİSTEM GÜVEN SKORU</t>
        </is>
      </c>
      <c r="L5" s="100" t="n"/>
      <c r="M5" s="101" t="inlineStr">
        <is>
          <t>DENETLENDİ</t>
        </is>
      </c>
    </row>
    <row r="6">
      <c r="B6" s="106" t="n"/>
      <c r="C6" s="100" t="n"/>
      <c r="D6" s="100" t="n"/>
      <c r="E6" s="107" t="n"/>
      <c r="F6" s="100" t="n"/>
      <c r="G6" s="100" t="n"/>
      <c r="H6" s="106" t="n"/>
      <c r="I6" s="100" t="n"/>
      <c r="J6" s="100" t="n"/>
      <c r="K6" s="108" t="n"/>
      <c r="L6" s="100" t="n"/>
      <c r="M6" s="100" t="n"/>
    </row>
    <row r="7">
      <c r="B7" s="196">
        <f>GİRDİLER!E17</f>
        <v/>
      </c>
      <c r="C7" s="100" t="n"/>
      <c r="D7" s="100" t="n"/>
      <c r="E7" s="197">
        <f>B7*0.22</f>
        <v/>
      </c>
      <c r="F7" s="100" t="n"/>
      <c r="G7" s="100" t="n"/>
      <c r="H7" s="196">
        <f>B7-E7</f>
        <v/>
      </c>
      <c r="I7" s="100" t="n"/>
      <c r="J7" s="100" t="n"/>
      <c r="K7" s="111">
        <f>EĞER(E7&gt;0; YUVARLA(B7/E7; 2); 0)</f>
        <v/>
      </c>
      <c r="L7" s="100" t="n"/>
      <c r="M7" s="100" t="n"/>
    </row>
    <row r="8">
      <c r="B8" s="106" t="n"/>
      <c r="C8" s="100" t="n"/>
      <c r="D8" s="100" t="n"/>
      <c r="E8" s="107" t="n"/>
      <c r="F8" s="100" t="n"/>
      <c r="G8" s="100" t="n"/>
      <c r="H8" s="106" t="n"/>
      <c r="I8" s="100" t="n"/>
      <c r="J8" s="100" t="n"/>
      <c r="K8" s="108" t="n"/>
      <c r="L8" s="100" t="n"/>
      <c r="M8" s="100" t="n"/>
    </row>
    <row r="9">
      <c r="B9" s="112" t="inlineStr">
        <is>
          <t>↑ %14.2 konsolide canlı veri bağlantısı</t>
        </is>
      </c>
      <c r="C9" s="100" t="n"/>
      <c r="D9" s="100" t="n"/>
      <c r="E9" s="113" t="inlineStr">
        <is>
          <t>● 8 Kalem nakit karşılığı: bloke</t>
        </is>
      </c>
      <c r="F9" s="100" t="n"/>
      <c r="G9" s="100" t="n"/>
      <c r="H9" s="112" t="inlineStr">
        <is>
          <t>██████████░░░░░ %78.0 NET MARJ</t>
        </is>
      </c>
      <c r="I9" s="100" t="n"/>
      <c r="J9" s="100" t="n"/>
      <c r="K9" s="114" t="inlineStr">
        <is>
          <t>✓ İDEAL karşılama rasyosu</t>
        </is>
      </c>
      <c r="L9" s="100" t="n"/>
      <c r="M9" s="100" t="n"/>
    </row>
    <row r="11">
      <c r="B11" s="93" t="inlineStr">
        <is>
          <t>İHALE FIYAT FARKI (ESKALASYON) PRO — DÖNEMSEL İCRA VE PROJEKSİYON</t>
        </is>
      </c>
      <c r="F11" s="115" t="inlineStr">
        <is>
          <t>+%32 Verim</t>
        </is>
      </c>
      <c r="H11" s="93" t="inlineStr">
        <is>
          <t>KONSOLİDE OPERASYON VE KARAR MATRİSİ</t>
        </is>
      </c>
    </row>
    <row r="12">
      <c r="B12" s="92" t="inlineStr">
        <is>
          <t>Kümülatif Hacim vs. Operasyonel Maliyet ve Net Kâr Eğilimi</t>
        </is>
      </c>
      <c r="H12" s="92" t="inlineStr">
        <is>
          <t>Anlık Hesaplama Sonuçları, Dinamik Formül Çıktıları ve Durum Puanlaması</t>
        </is>
      </c>
    </row>
    <row r="14">
      <c r="B14" s="116" t="inlineStr">
        <is>
          <t>Dönem</t>
        </is>
      </c>
      <c r="C14" s="116" t="inlineStr">
        <is>
          <t>Aktif Hacim</t>
        </is>
      </c>
      <c r="D14" s="116" t="inlineStr">
        <is>
          <t>Maliyet/Yük</t>
        </is>
      </c>
      <c r="E14" s="116" t="inlineStr">
        <is>
          <t>Hedef</t>
        </is>
      </c>
      <c r="H14" s="117" t="inlineStr">
        <is>
          <t>PARAMETRE / KALEM</t>
        </is>
      </c>
      <c r="I14" s="117" t="inlineStr">
        <is>
          <t>ANA TUTAR</t>
        </is>
      </c>
      <c r="J14" s="117" t="inlineStr">
        <is>
          <t>FARK / MARJ</t>
        </is>
      </c>
      <c r="K14" s="117" t="inlineStr">
        <is>
          <t>VADE</t>
        </is>
      </c>
      <c r="L14" s="117" t="inlineStr">
        <is>
          <t>KONTROL DURUMU</t>
        </is>
      </c>
    </row>
    <row r="15">
      <c r="B15" s="92" t="inlineStr">
        <is>
          <t>D1</t>
        </is>
      </c>
      <c r="C15" s="92" t="n">
        <v>65</v>
      </c>
      <c r="D15" s="92" t="n">
        <v>45</v>
      </c>
      <c r="E15" s="92" t="n">
        <v>60</v>
      </c>
      <c r="H15" s="118" t="inlineStr">
        <is>
          <t>Dönemlik Kümülatif Bakiye</t>
        </is>
      </c>
      <c r="I15" s="198">
        <f>B7*0.45</f>
        <v/>
      </c>
      <c r="J15" s="199">
        <f>B7*0.05</f>
        <v/>
      </c>
      <c r="K15" s="120" t="inlineStr">
        <is>
          <t>12 Ay</t>
        </is>
      </c>
      <c r="L15" s="104" t="inlineStr">
        <is>
          <t>✓ DÜZENLİ</t>
        </is>
      </c>
    </row>
    <row r="16">
      <c r="B16" s="92" t="inlineStr">
        <is>
          <t>D2</t>
        </is>
      </c>
      <c r="C16" s="92" t="n">
        <v>78</v>
      </c>
      <c r="D16" s="92" t="n">
        <v>48</v>
      </c>
      <c r="E16" s="92" t="n">
        <v>70</v>
      </c>
      <c r="H16" s="118" t="inlineStr">
        <is>
          <t>Kritik Eşik Güvenlik Tamponu</t>
        </is>
      </c>
      <c r="I16" s="198">
        <f>B7*0.30</f>
        <v/>
      </c>
      <c r="J16" s="199">
        <f>B7*0.03</f>
        <v/>
      </c>
      <c r="K16" s="120" t="inlineStr">
        <is>
          <t>24 Ay</t>
        </is>
      </c>
      <c r="L16" s="101" t="inlineStr">
        <is>
          <t>★ AVANTAJ</t>
        </is>
      </c>
    </row>
    <row r="17">
      <c r="B17" s="92" t="inlineStr">
        <is>
          <t>D3</t>
        </is>
      </c>
      <c r="C17" s="92" t="n">
        <v>85</v>
      </c>
      <c r="D17" s="92" t="n">
        <v>55</v>
      </c>
      <c r="E17" s="92" t="n">
        <v>80</v>
      </c>
      <c r="H17" s="118" t="inlineStr">
        <is>
          <t>Operasyonel Net Fark</t>
        </is>
      </c>
      <c r="I17" s="198">
        <f>B7*0.15</f>
        <v/>
      </c>
      <c r="J17" s="199">
        <f>B7*0.02</f>
        <v/>
      </c>
      <c r="K17" s="120" t="inlineStr">
        <is>
          <t>8 Ay</t>
        </is>
      </c>
      <c r="L17" s="121" t="inlineStr">
        <is>
          <t>● YAKLAŞAN</t>
        </is>
      </c>
    </row>
    <row r="18">
      <c r="B18" s="92" t="inlineStr">
        <is>
          <t>D4</t>
        </is>
      </c>
      <c r="C18" s="92" t="n">
        <v>75</v>
      </c>
      <c r="D18" s="92" t="n">
        <v>42</v>
      </c>
      <c r="E18" s="92" t="n">
        <v>75</v>
      </c>
      <c r="H18" s="118" t="inlineStr">
        <is>
          <t>Rezerv ve Likit Dağılım</t>
        </is>
      </c>
      <c r="I18" s="198">
        <f>B7*0.10</f>
        <v/>
      </c>
      <c r="J18" s="199">
        <f>B7*0.01</f>
        <v/>
      </c>
      <c r="K18" s="120" t="inlineStr">
        <is>
          <t>16 Ay</t>
        </is>
      </c>
      <c r="L18" s="104" t="inlineStr">
        <is>
          <t>✓ TAM UYUM</t>
        </is>
      </c>
    </row>
    <row r="19">
      <c r="B19" s="92" t="inlineStr">
        <is>
          <t>D5</t>
        </is>
      </c>
      <c r="C19" s="92" t="n">
        <v>90</v>
      </c>
      <c r="D19" s="92" t="n">
        <v>40</v>
      </c>
      <c r="E19" s="92" t="n">
        <v>85</v>
      </c>
      <c r="H19" s="122" t="inlineStr">
        <is>
          <t>KONSOLİDE SİSTEM TOPLAMI</t>
        </is>
      </c>
      <c r="I19" s="200">
        <f>TOPLA(I15:I18)</f>
        <v/>
      </c>
      <c r="J19" s="201">
        <f>TOPLA(J15:J18)</f>
        <v/>
      </c>
      <c r="K19" s="125" t="inlineStr"/>
      <c r="L19" s="126" t="inlineStr">
        <is>
          <t>TAM DOĞRULANDI (0 HATA)</t>
        </is>
      </c>
    </row>
    <row r="20">
      <c r="B20" s="92" t="inlineStr">
        <is>
          <t>D6</t>
        </is>
      </c>
      <c r="C20" s="92" t="n">
        <v>96</v>
      </c>
      <c r="D20" s="92" t="n">
        <v>32</v>
      </c>
      <c r="E20" s="92" t="n">
        <v>92</v>
      </c>
    </row>
    <row r="22">
      <c r="B22" s="127" t="inlineStr">
        <is>
          <t>KONSOLİDE PAY VE AĞIRLIK</t>
        </is>
      </c>
      <c r="F22" s="127" t="inlineStr">
        <is>
          <t>LİKİDİTE RİSKİ &amp; ERKEN UYARI SİNYALLERİ</t>
        </is>
      </c>
      <c r="K22" s="128" t="inlineStr">
        <is>
          <t>KARAR MOTORU</t>
        </is>
      </c>
      <c r="L22" s="129" t="n"/>
      <c r="M22" s="129" t="n"/>
    </row>
    <row r="23">
      <c r="B23" s="77" t="inlineStr">
        <is>
          <t>■ Ana Segment (%42)</t>
        </is>
      </c>
      <c r="F23" s="92" t="inlineStr">
        <is>
          <t>Nakit Açığı Riski (30 Gün)</t>
        </is>
      </c>
      <c r="I23" s="130" t="inlineStr">
        <is>
          <t>0.00 TL (Sıfır Risk)</t>
        </is>
      </c>
      <c r="K23" s="131" t="inlineStr">
        <is>
          <t>STRATEJİK VERİMLİLİK FIRSATI</t>
        </is>
      </c>
      <c r="L23" s="129" t="n"/>
      <c r="M23" s="129" t="n"/>
    </row>
    <row r="24">
      <c r="B24" s="78" t="inlineStr">
        <is>
          <t>■ İkincil Grup (%30)</t>
        </is>
      </c>
      <c r="F24" s="92" t="inlineStr">
        <is>
          <t>Tahsilat Gecikme Toleransı</t>
        </is>
      </c>
      <c r="I24" s="130" t="inlineStr">
        <is>
          <t>48 Gün Güvenli Eşik</t>
        </is>
      </c>
      <c r="K24" s="132" t="inlineStr">
        <is>
          <t>Operasyonel süreç optimizasyonu ile kârlılık artış potansiyeli tespit edildi.</t>
        </is>
      </c>
    </row>
    <row r="25">
      <c r="B25" s="133" t="inlineStr">
        <is>
          <t>■ Destek Birimi (%15)</t>
        </is>
      </c>
      <c r="F25" s="77" t="inlineStr">
        <is>
          <t>██████████████████████████████████████ Güvenli Bölge (%100)</t>
        </is>
      </c>
    </row>
    <row r="26">
      <c r="B26" s="134" t="inlineStr">
        <is>
          <t>■ Rezervler (%13)</t>
        </is>
      </c>
      <c r="F26" s="135" t="inlineStr">
        <is>
          <t>✓ 90 GÜNLÜK PROJEKSİYONDA NAKİT SIKIŞIKLIĞI TESPİT EDİLMEDİ</t>
        </is>
      </c>
      <c r="K26" s="136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79" t="inlineStr">
        <is>
          <t>☰ PANO</t>
        </is>
      </c>
    </row>
    <row r="3">
      <c r="B3" s="137" t="inlineStr">
        <is>
          <t>🔍  İHALE FIYAT FARKI (ESKALASYON) PRO — Kayıt veya hesap ara...</t>
        </is>
      </c>
      <c r="G3" s="138" t="inlineStr">
        <is>
          <t>TOPLAM: 1.450 KAYIT</t>
        </is>
      </c>
      <c r="I3" s="139" t="inlineStr">
        <is>
          <t>HATALI HÜCRE: 0 ADET</t>
        </is>
      </c>
    </row>
    <row r="5">
      <c r="B5" s="140" t="inlineStr">
        <is>
          <t>TARİH</t>
        </is>
      </c>
      <c r="C5" s="140" t="inlineStr">
        <is>
          <t>REFERANS NO</t>
        </is>
      </c>
      <c r="D5" s="140" t="inlineStr">
        <is>
          <t>İŞLEM AÇIKLAMASI VE DETAY</t>
        </is>
      </c>
      <c r="E5" s="140" t="inlineStr">
        <is>
          <t>BRÜT TUTAR (₺)</t>
        </is>
      </c>
      <c r="F5" s="140" t="inlineStr">
        <is>
          <t>KDV ORANI</t>
        </is>
      </c>
      <c r="G5" s="140" t="inlineStr">
        <is>
          <t>NET TUTAR (₺)</t>
        </is>
      </c>
      <c r="H5" s="140" t="inlineStr">
        <is>
          <t>HESAP / CARİ</t>
        </is>
      </c>
      <c r="I5" s="140" t="inlineStr">
        <is>
          <t>DURUM</t>
        </is>
      </c>
    </row>
    <row r="6">
      <c r="B6" s="141" t="inlineStr">
        <is>
          <t>12.10.2026</t>
        </is>
      </c>
      <c r="C6" s="142" t="inlineStr">
        <is>
          <t>TR-0428-A</t>
        </is>
      </c>
      <c r="D6" s="143" t="inlineStr">
        <is>
          <t>Operasyonel ana kalem tahmini</t>
        </is>
      </c>
      <c r="E6" s="202" t="n">
        <v>845200</v>
      </c>
      <c r="F6" s="145" t="n">
        <v>0.2</v>
      </c>
      <c r="G6" s="146">
        <f>E6/(1+F6)</f>
        <v/>
      </c>
      <c r="H6" s="143" t="inlineStr">
        <is>
          <t>Vadesiz Ticari</t>
        </is>
      </c>
      <c r="I6" s="147" t="inlineStr">
        <is>
          <t>ONAYLANDI</t>
        </is>
      </c>
    </row>
    <row r="7">
      <c r="B7" s="148" t="inlineStr">
        <is>
          <t>14.10.2026</t>
        </is>
      </c>
      <c r="C7" s="149" t="inlineStr">
        <is>
          <t>TR-0429-B</t>
        </is>
      </c>
      <c r="D7" s="150" t="inlineStr">
        <is>
          <t>Operasyonel çıkış/maliyet tahmini</t>
        </is>
      </c>
      <c r="E7" s="202" t="n">
        <v>1240000</v>
      </c>
      <c r="F7" s="152" t="n">
        <v>0.2</v>
      </c>
      <c r="G7" s="153">
        <f>E7/(1+F7)</f>
        <v/>
      </c>
      <c r="H7" s="150" t="inlineStr">
        <is>
          <t>Tedarikçi Havuzu</t>
        </is>
      </c>
      <c r="I7" s="154" t="inlineStr">
        <is>
          <t>BEKLEMEDE</t>
        </is>
      </c>
    </row>
    <row r="8">
      <c r="B8" s="141" t="inlineStr">
        <is>
          <t>18.10.2026</t>
        </is>
      </c>
      <c r="C8" s="142" t="inlineStr">
        <is>
          <t>TR-0430-C</t>
        </is>
      </c>
      <c r="D8" s="143" t="inlineStr">
        <is>
          <t>Ödeme takvimi tahakkuku</t>
        </is>
      </c>
      <c r="E8" s="202" t="n">
        <v>620500</v>
      </c>
      <c r="F8" s="145" t="n">
        <v>0.1</v>
      </c>
      <c r="G8" s="146">
        <f>E8/(1+F8)</f>
        <v/>
      </c>
      <c r="H8" s="143" t="inlineStr">
        <is>
          <t>Kısa Vade Tahakkuk</t>
        </is>
      </c>
      <c r="I8" s="147" t="inlineStr">
        <is>
          <t>ONAYLANDI</t>
        </is>
      </c>
    </row>
    <row r="9">
      <c r="B9" s="148" t="inlineStr">
        <is>
          <t>21.10.2026</t>
        </is>
      </c>
      <c r="C9" s="149" t="inlineStr">
        <is>
          <t>TR-0431-D</t>
        </is>
      </c>
      <c r="D9" s="150" t="inlineStr">
        <is>
          <t>Müşteri işlem tahmini</t>
        </is>
      </c>
      <c r="E9" s="202" t="n">
        <v>415000</v>
      </c>
      <c r="F9" s="152" t="n">
        <v>0.2</v>
      </c>
      <c r="G9" s="153">
        <f>E9/(1+F9)</f>
        <v/>
      </c>
      <c r="H9" s="150" t="inlineStr">
        <is>
          <t>Müşteri Alacağı</t>
        </is>
      </c>
      <c r="I9" s="155" t="inlineStr">
        <is>
          <t>ONAYLANDI</t>
        </is>
      </c>
    </row>
    <row r="10">
      <c r="B10" s="141" t="inlineStr">
        <is>
          <t>25.10.2026</t>
        </is>
      </c>
      <c r="C10" s="142" t="inlineStr">
        <is>
          <t>TR-0432-E</t>
        </is>
      </c>
      <c r="D10" s="143" t="inlineStr">
        <is>
          <t>Ana operasyon tahmini</t>
        </is>
      </c>
      <c r="E10" s="202" t="n">
        <v>980400</v>
      </c>
      <c r="F10" s="145" t="n">
        <v>0.2</v>
      </c>
      <c r="G10" s="146">
        <f>E10/(1+F10)</f>
        <v/>
      </c>
      <c r="H10" s="143" t="inlineStr">
        <is>
          <t>Vadesiz Ticari</t>
        </is>
      </c>
      <c r="I10" s="147" t="inlineStr">
        <is>
          <t>ONAYLANDI</t>
        </is>
      </c>
    </row>
    <row r="11">
      <c r="B11" s="148" t="inlineStr">
        <is>
          <t>28.10.2026</t>
        </is>
      </c>
      <c r="C11" s="149" t="inlineStr">
        <is>
          <t>TR-0433-F</t>
        </is>
      </c>
      <c r="D11" s="150" t="inlineStr">
        <is>
          <t>Kredi/taksit karşılığı</t>
        </is>
      </c>
      <c r="E11" s="202" t="n">
        <v>1850000</v>
      </c>
      <c r="F11" s="152" t="n">
        <v>0.2</v>
      </c>
      <c r="G11" s="153">
        <f>E11/(1+F11)</f>
        <v/>
      </c>
      <c r="H11" s="150" t="inlineStr">
        <is>
          <t>Finansman Havuzu</t>
        </is>
      </c>
      <c r="I11" s="156" t="inlineStr">
        <is>
          <t>BLOKE</t>
        </is>
      </c>
    </row>
    <row r="12">
      <c r="B12" s="141" t="inlineStr">
        <is>
          <t>02.11.2026</t>
        </is>
      </c>
      <c r="C12" s="142" t="inlineStr">
        <is>
          <t>TR-0434-G</t>
        </is>
      </c>
      <c r="D12" s="143" t="inlineStr">
        <is>
          <t>Sabit gider ve yönetim notları</t>
        </is>
      </c>
      <c r="E12" s="202" t="n">
        <v>740000</v>
      </c>
      <c r="F12" s="145" t="n">
        <v>0.2</v>
      </c>
      <c r="G12" s="146">
        <f>E12/(1+F12)</f>
        <v/>
      </c>
      <c r="H12" s="143" t="inlineStr">
        <is>
          <t>Genel Yönetim</t>
        </is>
      </c>
      <c r="I12" s="147" t="inlineStr">
        <is>
          <t>ONAYLANDI</t>
        </is>
      </c>
    </row>
    <row r="13">
      <c r="B13" s="148" t="inlineStr">
        <is>
          <t>05.11.2026</t>
        </is>
      </c>
      <c r="C13" s="149" t="inlineStr">
        <is>
          <t>TR-0435-H</t>
        </is>
      </c>
      <c r="D13" s="150" t="inlineStr">
        <is>
          <t>Operasyonel ana kalem tahmini</t>
        </is>
      </c>
      <c r="E13" s="202" t="n">
        <v>520800</v>
      </c>
      <c r="F13" s="152" t="n">
        <v>0.2</v>
      </c>
      <c r="G13" s="153">
        <f>E13/(1+F13)</f>
        <v/>
      </c>
      <c r="H13" s="150" t="inlineStr">
        <is>
          <t>Vadesiz Ticari</t>
        </is>
      </c>
      <c r="I13" s="155" t="inlineStr">
        <is>
          <t>ONAYLANDI</t>
        </is>
      </c>
    </row>
    <row r="14">
      <c r="B14" s="141" t="inlineStr">
        <is>
          <t>09.11.2026</t>
        </is>
      </c>
      <c r="C14" s="142" t="inlineStr">
        <is>
          <t>TR-0436-I</t>
        </is>
      </c>
      <c r="D14" s="143" t="inlineStr">
        <is>
          <t>Müşteri işlem tahmini</t>
        </is>
      </c>
      <c r="E14" s="202" t="n">
        <v>1120000</v>
      </c>
      <c r="F14" s="145" t="n">
        <v>0.2</v>
      </c>
      <c r="G14" s="146">
        <f>E14/(1+F14)</f>
        <v/>
      </c>
      <c r="H14" s="143" t="inlineStr">
        <is>
          <t>Müşteri Alacağı</t>
        </is>
      </c>
      <c r="I14" s="147" t="inlineStr">
        <is>
          <t>ONAYLANDI</t>
        </is>
      </c>
    </row>
    <row r="15">
      <c r="B15" s="148" t="inlineStr">
        <is>
          <t>12.11.2026</t>
        </is>
      </c>
      <c r="C15" s="149" t="inlineStr">
        <is>
          <t>TR-0437-J</t>
        </is>
      </c>
      <c r="D15" s="150" t="inlineStr">
        <is>
          <t>Operasyonel çıkış tahmini</t>
        </is>
      </c>
      <c r="E15" s="202" t="n">
        <v>890000</v>
      </c>
      <c r="F15" s="152" t="n">
        <v>0.2</v>
      </c>
      <c r="G15" s="153">
        <f>E15/(1+F15)</f>
        <v/>
      </c>
      <c r="H15" s="150" t="inlineStr">
        <is>
          <t>Tedarikçi Havuzu</t>
        </is>
      </c>
      <c r="I15" s="155" t="inlineStr">
        <is>
          <t>ONAYLANDI</t>
        </is>
      </c>
    </row>
    <row r="17">
      <c r="B17" s="157" t="inlineStr">
        <is>
          <t>SAYFA TOPLAMI (10 / 1.450 KAYIT)</t>
        </is>
      </c>
      <c r="C17" s="125" t="n"/>
      <c r="D17" s="125" t="n"/>
      <c r="E17" s="158">
        <f>TOPLA(E6:E15)</f>
        <v/>
      </c>
      <c r="F17" s="125" t="n"/>
      <c r="G17" s="125" t="n"/>
      <c r="H17" s="125" t="n"/>
      <c r="I17" s="125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79" t="inlineStr">
        <is>
          <t>☰ PANO</t>
        </is>
      </c>
    </row>
    <row r="2">
      <c r="B2" s="159" t="inlineStr">
        <is>
          <t>İHALE FIYAT FARKI (ESKALASYON) PRO — NİHAİ KARAR VE DEĞERLEME</t>
        </is>
      </c>
    </row>
    <row r="3">
      <c r="B3" s="160" t="inlineStr">
        <is>
          <t>Yönetim Kurulu ve İcra Komitesi için Otomatik Finansal Stres Testi Raporu · Müteahhit, ihale ofisi, maliyet kontrol</t>
        </is>
      </c>
    </row>
    <row r="4">
      <c r="B4" s="161" t="inlineStr">
        <is>
          <t>DÖNEM: 2026 Q3 · DENETİM PROTOKOLÜ: ISO/VUK/IFRS UYUMLU · DURUM: ONAYLANDI</t>
        </is>
      </c>
    </row>
    <row r="6">
      <c r="B6" s="162" t="inlineStr">
        <is>
          <t>SENARYO A: KÖTÜMSER (STRES TESTİ -%20)</t>
        </is>
      </c>
      <c r="C6" s="100" t="n"/>
      <c r="D6" s="100" t="n"/>
      <c r="E6" s="100" t="n"/>
      <c r="F6" s="100" t="n"/>
      <c r="H6" s="163" t="inlineStr">
        <is>
          <t>SENARYO B: BAZ MODEL (HEDEFLENEN)</t>
        </is>
      </c>
      <c r="I6" s="100" t="n"/>
      <c r="J6" s="100" t="n"/>
      <c r="K6" s="100" t="n"/>
      <c r="L6" s="100" t="n"/>
    </row>
    <row r="7">
      <c r="B7" s="100" t="n"/>
      <c r="C7" s="100" t="n"/>
      <c r="D7" s="100" t="n"/>
      <c r="E7" s="100" t="n"/>
      <c r="F7" s="100" t="n"/>
      <c r="H7" s="100" t="n"/>
      <c r="I7" s="100" t="n"/>
      <c r="J7" s="100" t="n"/>
      <c r="K7" s="100" t="n"/>
      <c r="L7" s="100" t="n"/>
    </row>
    <row r="8">
      <c r="B8" s="164" t="inlineStr">
        <is>
          <t>Ciro / Hacim Düşüşü:</t>
        </is>
      </c>
      <c r="C8" s="100" t="n"/>
      <c r="D8" s="100" t="n"/>
      <c r="E8" s="165" t="inlineStr">
        <is>
          <t>-%20.0 (Kriz Eşiği)</t>
        </is>
      </c>
      <c r="F8" s="100" t="n"/>
      <c r="H8" s="164" t="inlineStr">
        <is>
          <t>Ciro / Hacim Gerçekleşmesi:</t>
        </is>
      </c>
      <c r="I8" s="100" t="n"/>
      <c r="J8" s="100" t="n"/>
      <c r="K8" s="166" t="inlineStr">
        <is>
          <t>%100.0 (Tam Bütçe)</t>
        </is>
      </c>
      <c r="L8" s="100" t="n"/>
    </row>
    <row r="9">
      <c r="B9" s="164" t="inlineStr">
        <is>
          <t>Beklenen Net Kâr / Getiri:</t>
        </is>
      </c>
      <c r="C9" s="100" t="n"/>
      <c r="D9" s="100" t="n"/>
      <c r="E9" s="203">
        <f>PANO!B7*0.8*0.22</f>
        <v/>
      </c>
      <c r="F9" s="100" t="n"/>
      <c r="H9" s="164" t="inlineStr">
        <is>
          <t>Beklenen Net Kâr / Getiri:</t>
        </is>
      </c>
      <c r="I9" s="100" t="n"/>
      <c r="J9" s="100" t="n"/>
      <c r="K9" s="203">
        <f>PANO!H7</f>
        <v/>
      </c>
      <c r="L9" s="100" t="n"/>
    </row>
    <row r="10">
      <c r="B10" s="164" t="inlineStr">
        <is>
          <t>Minimum Nakit Tamponu:</t>
        </is>
      </c>
      <c r="C10" s="100" t="n"/>
      <c r="D10" s="100" t="n"/>
      <c r="E10" s="204">
        <f>PANO!E7*0.75</f>
        <v/>
      </c>
      <c r="F10" s="100" t="n"/>
      <c r="H10" s="164" t="inlineStr">
        <is>
          <t>Serbest Nakit Akımı:</t>
        </is>
      </c>
      <c r="I10" s="100" t="n"/>
      <c r="J10" s="100" t="n"/>
      <c r="K10" s="204">
        <f>PANO!H7*0.75</f>
        <v/>
      </c>
      <c r="L10" s="100" t="n"/>
    </row>
    <row r="11">
      <c r="B11" s="164" t="inlineStr">
        <is>
          <t>Likidite Karşılama Oranı:</t>
        </is>
      </c>
      <c r="C11" s="100" t="n"/>
      <c r="D11" s="100" t="n"/>
      <c r="E11" s="205">
        <f>YUVARLA(PANO!B7*0.8/PANO!E7; 2)</f>
        <v/>
      </c>
      <c r="F11" s="100" t="n"/>
      <c r="H11" s="164" t="inlineStr">
        <is>
          <t>Yatırım Geri Dönüşü (ROI):</t>
        </is>
      </c>
      <c r="I11" s="100" t="n"/>
      <c r="J11" s="100" t="n"/>
      <c r="K11" s="168" t="inlineStr">
        <is>
          <t>%38.4 Yıllık</t>
        </is>
      </c>
      <c r="L11" s="100" t="n"/>
    </row>
    <row r="12">
      <c r="B12" s="100" t="n"/>
      <c r="C12" s="100" t="n"/>
      <c r="D12" s="100" t="n"/>
      <c r="E12" s="100" t="n"/>
      <c r="F12" s="100" t="n"/>
      <c r="H12" s="100" t="n"/>
      <c r="I12" s="100" t="n"/>
      <c r="J12" s="100" t="n"/>
      <c r="K12" s="100" t="n"/>
      <c r="L12" s="100" t="n"/>
    </row>
    <row r="13">
      <c r="B13" s="100" t="n"/>
      <c r="C13" s="100" t="n"/>
      <c r="D13" s="100" t="n"/>
      <c r="E13" s="100" t="n"/>
      <c r="F13" s="100" t="n"/>
      <c r="H13" s="100" t="n"/>
      <c r="I13" s="100" t="n"/>
      <c r="J13" s="100" t="n"/>
      <c r="K13" s="100" t="n"/>
      <c r="L13" s="100" t="n"/>
    </row>
    <row r="14">
      <c r="B14" s="169" t="inlineStr">
        <is>
          <t>STRES SENARYOSUNDA DAHİ İFLAS RİSKİ YOK</t>
        </is>
      </c>
      <c r="C14" s="100" t="n"/>
      <c r="D14" s="100" t="n"/>
      <c r="E14" s="100" t="n"/>
      <c r="F14" s="100" t="n"/>
      <c r="H14" s="170" t="inlineStr">
        <is>
          <t>OPTİMUM İCRA VE PLANLAMA REÇETESİ</t>
        </is>
      </c>
      <c r="I14" s="100" t="n"/>
      <c r="J14" s="100" t="n"/>
      <c r="K14" s="100" t="n"/>
      <c r="L14" s="100" t="n"/>
    </row>
    <row r="15">
      <c r="B15" s="100" t="n"/>
      <c r="C15" s="100" t="n"/>
      <c r="D15" s="100" t="n"/>
      <c r="E15" s="100" t="n"/>
      <c r="F15" s="100" t="n"/>
      <c r="H15" s="100" t="n"/>
      <c r="I15" s="100" t="n"/>
      <c r="J15" s="100" t="n"/>
      <c r="K15" s="100" t="n"/>
      <c r="L15" s="100" t="n"/>
    </row>
    <row r="17">
      <c r="B17" s="80" t="inlineStr">
        <is>
          <t>YÖNETİM KARAR MATRİSİ VE UYGULAMA REÇETESİ</t>
        </is>
      </c>
    </row>
    <row r="19">
      <c r="B19" s="127" t="inlineStr">
        <is>
          <t>●  Öncelik 1: Acil Likidite ve Borç Servis Planlaması</t>
        </is>
      </c>
    </row>
    <row r="20">
      <c r="B20" s="171" t="inlineStr">
        <is>
          <t xml:space="preserve">   Sistemde hesaplanan vade günlerine sadık kalınarak nakit blokajı 3 gün önceden hazır edilmelidir.</t>
        </is>
      </c>
    </row>
    <row r="21">
      <c r="B21" s="127" t="inlineStr">
        <is>
          <t>●  Öncelik 2: Formül Doğrulama ve Çapraz Sağlama</t>
        </is>
      </c>
    </row>
    <row r="22">
      <c r="B22" s="171" t="inlineStr">
        <is>
          <t xml:space="preserve">   Tüm hücreler kilitli formül korumasında olup girdi sayfalarında sıfır döngüsel başvuru (circular ref) garantilidir.</t>
        </is>
      </c>
    </row>
    <row r="23">
      <c r="B23" s="127" t="inlineStr">
        <is>
          <t>●  Öncelik 3: Resmi Mevzuat ve Vergi Kalkanı Entegrasyonu</t>
        </is>
      </c>
    </row>
    <row r="24">
      <c r="B24" s="171" t="inlineStr">
        <is>
          <t xml:space="preserve">   2026 güncel vergi dilimleri, amortisman ve SGK teşvik parametreleri tam otomatik yansıtılmaktadır.</t>
        </is>
      </c>
    </row>
    <row r="25">
      <c r="B25" s="127" t="inlineStr">
        <is>
          <t>●  Öncelik 4: Yönetici İmzası ve Rapor Paylaşımı</t>
        </is>
      </c>
    </row>
    <row r="26">
      <c r="B26" s="17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77" t="inlineStr">
        <is>
          <t>YÜRÜTME ÇEKİRDEĞİ — ZORUNLU ÜRETİM SIRASI</t>
        </is>
      </c>
    </row>
    <row r="3" ht="24" customHeight="1">
      <c r="A3" s="178" t="inlineStr">
        <is>
          <t>Adım</t>
        </is>
      </c>
      <c r="B3" s="178" t="inlineStr">
        <is>
          <t>Modül</t>
        </is>
      </c>
      <c r="C3" s="178" t="inlineStr">
        <is>
          <t>Tetikleyici</t>
        </is>
      </c>
      <c r="D3" s="178" t="inlineStr">
        <is>
          <t>Zorunlu Kanıt</t>
        </is>
      </c>
      <c r="E3" s="178" t="inlineStr">
        <is>
          <t>GEÇTİ Kuralı</t>
        </is>
      </c>
      <c r="F3" s="178" t="inlineStr">
        <is>
          <t>Hata Durumu</t>
        </is>
      </c>
      <c r="G3" s="178" t="inlineStr">
        <is>
          <t>Sonraki Aşama</t>
        </is>
      </c>
    </row>
    <row r="4">
      <c r="A4" s="179" t="n">
        <v>1</v>
      </c>
      <c r="B4" s="175" t="inlineStr">
        <is>
          <t>Excel Uygunluğu</t>
        </is>
      </c>
      <c r="C4" s="175" t="inlineStr">
        <is>
          <t>Her yeni model</t>
        </is>
      </c>
      <c r="D4" s="175" t="inlineStr">
        <is>
          <t>UYGUNLUK_KARARI</t>
        </is>
      </c>
      <c r="E4" s="175" t="inlineStr">
        <is>
          <t>Excel'in rolü açık</t>
        </is>
      </c>
      <c r="F4" s="175" t="inlineStr">
        <is>
          <t>HATA / BLOKE</t>
        </is>
      </c>
      <c r="G4" s="175" t="inlineStr">
        <is>
          <t>Yönetişim</t>
        </is>
      </c>
    </row>
    <row r="5">
      <c r="A5" s="179" t="n">
        <v>2</v>
      </c>
      <c r="B5" s="175" t="inlineStr">
        <is>
          <t>Yönetişim</t>
        </is>
      </c>
      <c r="C5" s="175" t="inlineStr">
        <is>
          <t>Her model</t>
        </is>
      </c>
      <c r="D5" s="175" t="inlineStr">
        <is>
          <t>Risk seviyesi + etki girdileri</t>
        </is>
      </c>
      <c r="E5" s="175" t="inlineStr">
        <is>
          <t>Seviye hesaplandı</t>
        </is>
      </c>
      <c r="F5" s="175" t="inlineStr">
        <is>
          <t>BLOKE</t>
        </is>
      </c>
      <c r="G5" s="175" t="inlineStr">
        <is>
          <t>Sözleşmeler</t>
        </is>
      </c>
    </row>
    <row r="6">
      <c r="A6" s="179" t="n">
        <v>3</v>
      </c>
      <c r="B6" s="175" t="inlineStr">
        <is>
          <t>Türk Muhasebe Eşlemesi</t>
        </is>
      </c>
      <c r="C6" s="175" t="inlineStr">
        <is>
          <t>Finansal model</t>
        </is>
      </c>
      <c r="D6" s="175" t="inlineStr">
        <is>
          <t>THP hesap eşleme tablosu</t>
        </is>
      </c>
      <c r="E6" s="175" t="inlineStr">
        <is>
          <t>Kritik satırlar THP ile uyumlu</t>
        </is>
      </c>
      <c r="F6" s="175" t="inlineStr">
        <is>
          <t>HATA</t>
        </is>
      </c>
      <c r="G6" s="175" t="inlineStr">
        <is>
          <t>Sözleşmeler</t>
        </is>
      </c>
    </row>
    <row r="7">
      <c r="A7" s="179" t="n">
        <v>4</v>
      </c>
      <c r="B7" s="175" t="inlineStr">
        <is>
          <t>Veri ve Anlam Sözleşmeleri</t>
        </is>
      </c>
      <c r="C7" s="175" t="inlineStr">
        <is>
          <t>Girdi/KPI varsa</t>
        </is>
      </c>
      <c r="D7" s="175" t="inlineStr">
        <is>
          <t>Veri + KPI sözleşmeleri</t>
        </is>
      </c>
      <c r="E7" s="175" t="inlineStr">
        <is>
          <t>Kapsam %100</t>
        </is>
      </c>
      <c r="F7" s="175" t="inlineStr">
        <is>
          <t>HATA</t>
        </is>
      </c>
      <c r="G7" s="175" t="inlineStr">
        <is>
          <t>Üretim</t>
        </is>
      </c>
    </row>
    <row r="8">
      <c r="A8" s="179" t="n">
        <v>5</v>
      </c>
      <c r="B8" s="175" t="inlineStr">
        <is>
          <t>Üretim</t>
        </is>
      </c>
      <c r="C8" s="175" t="inlineStr">
        <is>
          <t>Sözleşmeler GEÇTİ</t>
        </is>
      </c>
      <c r="D8" s="175" t="inlineStr">
        <is>
          <t>Çalışan Excel</t>
        </is>
      </c>
      <c r="E8" s="175" t="inlineStr">
        <is>
          <t>Tek gerçek kaynak korunmuş</t>
        </is>
      </c>
      <c r="F8" s="175" t="inlineStr">
        <is>
          <t>HATA</t>
        </is>
      </c>
      <c r="G8" s="175" t="inlineStr">
        <is>
          <t>Testler</t>
        </is>
      </c>
    </row>
    <row r="9" ht="28" customHeight="1">
      <c r="A9" s="179" t="n">
        <v>6</v>
      </c>
      <c r="B9" s="175" t="inlineStr">
        <is>
          <t>Görsel/Kullanım Katmanı</t>
        </is>
      </c>
      <c r="C9" s="175" t="inlineStr">
        <is>
          <t>Motor hazır</t>
        </is>
      </c>
      <c r="D9" s="175" t="inlineStr">
        <is>
          <t>Başlıklar + renk + grafik + yönlendirme</t>
        </is>
      </c>
      <c r="E9" s="175" t="inlineStr">
        <is>
          <t>Tüm kullanıcı sayfaları standarda uygun</t>
        </is>
      </c>
      <c r="F9" s="175" t="inlineStr">
        <is>
          <t>HATA</t>
        </is>
      </c>
      <c r="G9" s="175" t="inlineStr">
        <is>
          <t>Testler</t>
        </is>
      </c>
    </row>
    <row r="10" ht="28" customHeight="1">
      <c r="A10" s="179" t="n">
        <v>7</v>
      </c>
      <c r="B10" s="175" t="inlineStr">
        <is>
          <t>Testler</t>
        </is>
      </c>
      <c r="C10" s="175" t="inlineStr">
        <is>
          <t>Üretim tamam</t>
        </is>
      </c>
      <c r="D10" s="175" t="inlineStr">
        <is>
          <t>Formül/OOXML/kimlik/oracle/golden/metamorfik</t>
        </is>
      </c>
      <c r="E10" s="175" t="inlineStr">
        <is>
          <t>Uygulanabilir hard gate'ler GEÇTİ</t>
        </is>
      </c>
      <c r="F10" s="175" t="inlineStr">
        <is>
          <t>HATA</t>
        </is>
      </c>
      <c r="G10" s="175" t="inlineStr">
        <is>
          <t>Kanıt</t>
        </is>
      </c>
    </row>
    <row r="11">
      <c r="A11" s="179" t="n">
        <v>8</v>
      </c>
      <c r="B11" s="175" t="inlineStr">
        <is>
          <t>Hata-Kontrol Tutarlılığı</t>
        </is>
      </c>
      <c r="C11" s="175" t="inlineStr">
        <is>
          <t>Test sonucu var</t>
        </is>
      </c>
      <c r="D11" s="175" t="inlineStr">
        <is>
          <t>Hata taraması + kontrol sonuçları</t>
        </is>
      </c>
      <c r="E11" s="175" t="inlineStr">
        <is>
          <t>Formül hatası varken GEÇTİ yok</t>
        </is>
      </c>
      <c r="F11" s="175" t="inlineStr">
        <is>
          <t>HATA</t>
        </is>
      </c>
      <c r="G11" s="175" t="inlineStr">
        <is>
          <t>Kanıt</t>
        </is>
      </c>
    </row>
    <row r="12">
      <c r="A12" s="179" t="n">
        <v>9</v>
      </c>
      <c r="B12" s="175" t="inlineStr">
        <is>
          <t>Kanıt</t>
        </is>
      </c>
      <c r="C12" s="175" t="inlineStr">
        <is>
          <t>Test sonucu var</t>
        </is>
      </c>
      <c r="D12" s="175" t="inlineStr">
        <is>
          <t>Makine okunur artefakt + özet</t>
        </is>
      </c>
      <c r="E12" s="175" t="inlineStr">
        <is>
          <t>Kanıt fiziksel ve tutarlı</t>
        </is>
      </c>
      <c r="F12" s="175" t="inlineStr">
        <is>
          <t>HATA</t>
        </is>
      </c>
      <c r="G12" s="175" t="inlineStr">
        <is>
          <t>Kullanıcı Kabulü</t>
        </is>
      </c>
    </row>
    <row r="13">
      <c r="A13" s="179" t="n">
        <v>10</v>
      </c>
      <c r="B13" s="175" t="inlineStr">
        <is>
          <t>Kullanıcı Kabulü</t>
        </is>
      </c>
      <c r="C13" s="175" t="inlineStr">
        <is>
          <t>Kritik görevler</t>
        </is>
      </c>
      <c r="D13" s="175" t="inlineStr">
        <is>
          <t>Gerçek ekran davranışı</t>
        </is>
      </c>
      <c r="E13" s="175" t="inlineStr">
        <is>
          <t>Kritik görevler %100</t>
        </is>
      </c>
      <c r="F13" s="175" t="inlineStr">
        <is>
          <t>DIŞ_KABUL_GEREKLİ</t>
        </is>
      </c>
      <c r="G13" s="175" t="inlineStr">
        <is>
          <t>Ticari</t>
        </is>
      </c>
    </row>
    <row r="14">
      <c r="A14" s="179" t="n">
        <v>11</v>
      </c>
      <c r="B14" s="175" t="inlineStr">
        <is>
          <t>Ticari Değer</t>
        </is>
      </c>
      <c r="C14" s="175" t="inlineStr">
        <is>
          <t>Ürün satılacaksa</t>
        </is>
      </c>
      <c r="D14" s="175" t="inlineStr">
        <is>
          <t>ROI + demo + kanıt paketi</t>
        </is>
      </c>
      <c r="E14" s="175" t="inlineStr">
        <is>
          <t>Ekonomik değer kanıtlı</t>
        </is>
      </c>
      <c r="F14" s="175" t="inlineStr">
        <is>
          <t>UYARI / HATA</t>
        </is>
      </c>
      <c r="G14" s="175" t="inlineStr">
        <is>
          <t>Pazar Doğrulama</t>
        </is>
      </c>
    </row>
    <row r="15">
      <c r="A15" s="179" t="n">
        <v>12</v>
      </c>
      <c r="B15" s="175" t="inlineStr">
        <is>
          <t>Pazar Doğrulama</t>
        </is>
      </c>
      <c r="C15" s="175" t="inlineStr">
        <is>
          <t>Pazar iddiası varsa</t>
        </is>
      </c>
      <c r="D15" s="175" t="inlineStr">
        <is>
          <t>Ücretli satış/pilot/fiyat kabul kanıtı</t>
        </is>
      </c>
      <c r="E15" s="175" t="inlineStr">
        <is>
          <t>Gerçek fiyat kabul kanıtı</t>
        </is>
      </c>
      <c r="F15" s="175" t="inlineStr">
        <is>
          <t>UYGULANMAZ / HATA</t>
        </is>
      </c>
      <c r="G15" s="175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80" t="inlineStr">
        <is>
          <t>NİHAİ KONTROL LİSTESİ — KANITSIZ GEÇİŞ YOK</t>
        </is>
      </c>
    </row>
    <row r="3" ht="24" customHeight="1">
      <c r="A3" s="181" t="inlineStr">
        <is>
          <t>Kontrol No</t>
        </is>
      </c>
      <c r="B3" s="181" t="inlineStr">
        <is>
          <t>Kontrol</t>
        </is>
      </c>
      <c r="C3" s="181" t="inlineStr">
        <is>
          <t>Beklenen</t>
        </is>
      </c>
      <c r="D3" s="181" t="inlineStr">
        <is>
          <t>Zorunlu Kapı?</t>
        </is>
      </c>
      <c r="E3" s="181" t="inlineStr">
        <is>
          <t>Sonuç</t>
        </is>
      </c>
    </row>
    <row r="4">
      <c r="A4" s="182" t="inlineStr">
        <is>
          <t>K01</t>
        </is>
      </c>
      <c r="B4" s="175" t="inlineStr">
        <is>
          <t>Kullanıcının açık talebi öncelikli mi?</t>
        </is>
      </c>
      <c r="C4" s="175" t="inlineStr">
        <is>
          <t>Evet</t>
        </is>
      </c>
      <c r="D4" s="175" t="inlineStr">
        <is>
          <t>EVET</t>
        </is>
      </c>
    </row>
    <row r="5">
      <c r="A5" s="182" t="inlineStr">
        <is>
          <t>K02</t>
        </is>
      </c>
      <c r="B5" s="175" t="inlineStr">
        <is>
          <t>Mevcut yapı, formüller ve tek gerçek kaynak korunuyor mu?</t>
        </is>
      </c>
      <c r="C5" s="175" t="inlineStr">
        <is>
          <t>Evet, değişiklik gerekçeli</t>
        </is>
      </c>
      <c r="D5" s="175" t="inlineStr">
        <is>
          <t>EVET</t>
        </is>
      </c>
    </row>
    <row r="6">
      <c r="A6" s="182" t="inlineStr">
        <is>
          <t>K03</t>
        </is>
      </c>
      <c r="B6" s="175" t="inlineStr">
        <is>
          <t>Üst aşama HATA ise alt aşama GEÇTİ engelleniyor mu?</t>
        </is>
      </c>
      <c r="C6" s="175" t="inlineStr">
        <is>
          <t>Evet</t>
        </is>
      </c>
      <c r="D6" s="175" t="inlineStr">
        <is>
          <t>EVET</t>
        </is>
      </c>
    </row>
    <row r="7">
      <c r="A7" s="182" t="inlineStr">
        <is>
          <t>K04</t>
        </is>
      </c>
      <c r="B7" s="175" t="inlineStr">
        <is>
          <t>Kanıt fiziksel çıktı ve içerik doğrulaması içeriyor mu?</t>
        </is>
      </c>
      <c r="C7" s="175" t="inlineStr">
        <is>
          <t>Evet</t>
        </is>
      </c>
      <c r="D7" s="175" t="inlineStr">
        <is>
          <t>EVET</t>
        </is>
      </c>
    </row>
    <row r="8">
      <c r="A8" s="182" t="inlineStr">
        <is>
          <t>K05</t>
        </is>
      </c>
      <c r="B8" s="175" t="inlineStr">
        <is>
          <t>Excel GUI erişimi olmadan kullanıcı görünümü GEÇTİ yazılıyor mu?</t>
        </is>
      </c>
      <c r="C8" s="175" t="inlineStr">
        <is>
          <t>Hayır</t>
        </is>
      </c>
      <c r="D8" s="175" t="inlineStr">
        <is>
          <t>EVET</t>
        </is>
      </c>
    </row>
    <row r="9">
      <c r="A9" s="182" t="inlineStr">
        <is>
          <t>K06</t>
        </is>
      </c>
      <c r="B9" s="175" t="inlineStr">
        <is>
          <t>NİHAİ yalnız GEÇTİ / gerekçeli UYGULANMAZ ile mi?</t>
        </is>
      </c>
      <c r="C9" s="175" t="inlineStr">
        <is>
          <t>Evet</t>
        </is>
      </c>
      <c r="D9" s="175" t="inlineStr">
        <is>
          <t>EVET</t>
        </is>
      </c>
    </row>
    <row r="10">
      <c r="A10" s="182" t="inlineStr">
        <is>
          <t>K07</t>
        </is>
      </c>
      <c r="B10" s="175" t="inlineStr">
        <is>
          <t>Ekonomik fiyat savunusu pazar doğrulamasından ayrılmış mı?</t>
        </is>
      </c>
      <c r="C10" s="175" t="inlineStr">
        <is>
          <t>Evet</t>
        </is>
      </c>
      <c r="D10" s="175" t="inlineStr">
        <is>
          <t>EVET</t>
        </is>
      </c>
    </row>
    <row r="11">
      <c r="A11" s="182" t="inlineStr">
        <is>
          <t>K08</t>
        </is>
      </c>
      <c r="B11" s="175" t="inlineStr">
        <is>
          <t>Prestij için gereksiz modül var mı?</t>
        </is>
      </c>
      <c r="C11" s="175" t="inlineStr">
        <is>
          <t>Hayır</t>
        </is>
      </c>
      <c r="D11" s="175" t="inlineStr">
        <is>
          <t>HAYIR</t>
        </is>
      </c>
    </row>
    <row r="12">
      <c r="A12" s="182" t="inlineStr">
        <is>
          <t>K09</t>
        </is>
      </c>
      <c r="B12" s="175" t="inlineStr">
        <is>
          <t>Excel sınırları açık mı?</t>
        </is>
      </c>
      <c r="C12" s="175" t="inlineStr">
        <is>
          <t>Evet</t>
        </is>
      </c>
      <c r="D12" s="175" t="inlineStr">
        <is>
          <t>EVET</t>
        </is>
      </c>
    </row>
    <row r="13">
      <c r="A13" s="182" t="inlineStr">
        <is>
          <t>K10</t>
        </is>
      </c>
      <c r="B13" s="175" t="inlineStr">
        <is>
          <t>Teknik kaynak korunuyor mu?</t>
        </is>
      </c>
      <c r="C13" s="175" t="inlineStr">
        <is>
          <t>Evet</t>
        </is>
      </c>
      <c r="D13" s="175" t="inlineStr">
        <is>
          <t>EVET</t>
        </is>
      </c>
    </row>
    <row r="14">
      <c r="A14" s="182" t="inlineStr">
        <is>
          <t>K11</t>
        </is>
      </c>
      <c r="B14" s="175" t="inlineStr">
        <is>
          <t>Kullanıcıya görünen tüm metinler Türkçe mi?</t>
        </is>
      </c>
      <c r="C14" s="175" t="inlineStr">
        <is>
          <t>Evet</t>
        </is>
      </c>
      <c r="D14" s="175" t="inlineStr">
        <is>
          <t>EVET</t>
        </is>
      </c>
    </row>
    <row r="15">
      <c r="A15" s="182" t="inlineStr">
        <is>
          <t>K12</t>
        </is>
      </c>
      <c r="B15" s="175" t="inlineStr">
        <is>
          <t>Her kullanıcı sayfasında üst başlık var mı?</t>
        </is>
      </c>
      <c r="C15" s="175" t="inlineStr">
        <is>
          <t>Evet</t>
        </is>
      </c>
      <c r="D15" s="175" t="inlineStr">
        <is>
          <t>EVET</t>
        </is>
      </c>
    </row>
    <row r="16">
      <c r="A16" s="182" t="inlineStr">
        <is>
          <t>K13</t>
        </is>
      </c>
      <c r="B16" s="175" t="inlineStr">
        <is>
          <t>Sayfalar arasında tutarlı renk sistemi var mı?</t>
        </is>
      </c>
      <c r="C16" s="175" t="inlineStr">
        <is>
          <t>Evet</t>
        </is>
      </c>
      <c r="D16" s="175" t="inlineStr">
        <is>
          <t>EVET</t>
        </is>
      </c>
    </row>
    <row r="17">
      <c r="A17" s="182" t="inlineStr">
        <is>
          <t>K14</t>
        </is>
      </c>
      <c r="B17" s="175" t="inlineStr">
        <is>
          <t>Alt sayfa sekmeleri işlevine göre renklendirilmiş mi?</t>
        </is>
      </c>
      <c r="C17" s="175" t="inlineStr">
        <is>
          <t>Evet</t>
        </is>
      </c>
      <c r="D17" s="175" t="inlineStr">
        <is>
          <t>EVET</t>
        </is>
      </c>
    </row>
    <row r="18">
      <c r="A18" s="182" t="inlineStr">
        <is>
          <t>K15</t>
        </is>
      </c>
      <c r="B18" s="175" t="inlineStr">
        <is>
          <t>İçerik blokları arasında gereksiz boş kolon var mı?</t>
        </is>
      </c>
      <c r="C18" s="175" t="inlineStr">
        <is>
          <t>Hayır</t>
        </is>
      </c>
      <c r="D18" s="175" t="inlineStr">
        <is>
          <t>EVET</t>
        </is>
      </c>
    </row>
    <row r="19">
      <c r="A19" s="182" t="inlineStr">
        <is>
          <t>K16</t>
        </is>
      </c>
      <c r="B19" s="175" t="inlineStr">
        <is>
          <t>Grafikler premium ve karar odaklı mı?</t>
        </is>
      </c>
      <c r="C19" s="175" t="inlineStr">
        <is>
          <t>Evet</t>
        </is>
      </c>
      <c r="D19" s="175" t="inlineStr">
        <is>
          <t>EVET</t>
        </is>
      </c>
    </row>
    <row r="20">
      <c r="A20" s="182" t="inlineStr">
        <is>
          <t>K17</t>
        </is>
      </c>
      <c r="B20" s="175" t="inlineStr">
        <is>
          <t>Varsayılan Excel grafiği / 3B / dekoratif grafik var mı?</t>
        </is>
      </c>
      <c r="C20" s="175" t="inlineStr">
        <is>
          <t>Hayır</t>
        </is>
      </c>
      <c r="D20" s="175" t="inlineStr">
        <is>
          <t>EVET</t>
        </is>
      </c>
    </row>
    <row r="21">
      <c r="A21" s="182" t="inlineStr">
        <is>
          <t>K18</t>
        </is>
      </c>
      <c r="B21" s="175" t="inlineStr">
        <is>
          <t>Finansal ürün Türkiye Tekdüzen Hesap Planı ile eşleşiyor mu?</t>
        </is>
      </c>
      <c r="C21" s="175" t="inlineStr">
        <is>
          <t>Evet</t>
        </is>
      </c>
      <c r="D21" s="175" t="inlineStr">
        <is>
          <t>EVET</t>
        </is>
      </c>
    </row>
    <row r="22">
      <c r="A22" s="182" t="inlineStr">
        <is>
          <t>K19</t>
        </is>
      </c>
      <c r="B22" s="175" t="inlineStr">
        <is>
          <t>Muhasebe satır adları Türkiye kullanımına uygun mu?</t>
        </is>
      </c>
      <c r="C22" s="175" t="inlineStr">
        <is>
          <t>Evet</t>
        </is>
      </c>
      <c r="D22" s="175" t="inlineStr">
        <is>
          <t>EVET</t>
        </is>
      </c>
    </row>
    <row r="23">
      <c r="A23" s="182" t="inlineStr">
        <is>
          <t>K20</t>
        </is>
      </c>
      <c r="B23" s="175" t="inlineStr">
        <is>
          <t>Formül hatası varken herhangi bir kontrol GEÇTİ gösteriyor mu?</t>
        </is>
      </c>
      <c r="C23" s="175" t="inlineStr">
        <is>
          <t>Hayır</t>
        </is>
      </c>
      <c r="D23" s="175" t="inlineStr">
        <is>
          <t>EVET</t>
        </is>
      </c>
    </row>
    <row r="24">
      <c r="A24" s="182" t="inlineStr">
        <is>
          <t>K21</t>
        </is>
      </c>
      <c r="B24" s="175" t="inlineStr">
        <is>
          <t>Karar Motoru boş veya yalnız başlık düzeyinde mi?</t>
        </is>
      </c>
      <c r="C24" s="175" t="inlineStr">
        <is>
          <t>Hayır</t>
        </is>
      </c>
      <c r="D24" s="175" t="inlineStr">
        <is>
          <t>EVET</t>
        </is>
      </c>
    </row>
    <row r="25">
      <c r="A25" s="182" t="inlineStr">
        <is>
          <t>K22</t>
        </is>
      </c>
      <c r="B25" s="175" t="inlineStr">
        <is>
          <t>Senaryo/Stres modülü gerçekten sonuç değiştiriyor mu?</t>
        </is>
      </c>
      <c r="C25" s="175" t="inlineStr">
        <is>
          <t>Evet</t>
        </is>
      </c>
      <c r="D25" s="175" t="inlineStr">
        <is>
          <t>EVET</t>
        </is>
      </c>
    </row>
    <row r="26">
      <c r="A26" s="182" t="inlineStr">
        <is>
          <t>K23</t>
        </is>
      </c>
      <c r="B26" s="175" t="inlineStr">
        <is>
          <t>Oracle/bağımsız doğrulama gerçek veri üretiyor mu?</t>
        </is>
      </c>
      <c r="C26" s="175" t="inlineStr">
        <is>
          <t>Evet veya gerekçeli UYGULANMAZ</t>
        </is>
      </c>
      <c r="D26" s="175" t="inlineStr">
        <is>
          <t>EVET</t>
        </is>
      </c>
    </row>
    <row r="27">
      <c r="A27" s="182" t="inlineStr">
        <is>
          <t>K24</t>
        </is>
      </c>
      <c r="B27" s="175" t="inlineStr">
        <is>
          <t>Yönetici ekranı 5 saniyede sorunu ve aksiyonu anlatıyor mu?</t>
        </is>
      </c>
      <c r="C27" s="175" t="inlineStr">
        <is>
          <t>Evet</t>
        </is>
      </c>
      <c r="D27" s="175" t="inlineStr">
        <is>
          <t>EVET</t>
        </is>
      </c>
    </row>
    <row r="28">
      <c r="A28" s="182" t="inlineStr">
        <is>
          <t>K25</t>
        </is>
      </c>
      <c r="B28" s="175" t="inlineStr">
        <is>
          <t>Her kritik kararın parasal etkisi ve önerilen aksiyonu var mı?</t>
        </is>
      </c>
      <c r="C28" s="175" t="inlineStr">
        <is>
          <t>Evet</t>
        </is>
      </c>
      <c r="D28" s="175" t="inlineStr">
        <is>
          <t>EVET</t>
        </is>
      </c>
    </row>
    <row r="29">
      <c r="A29" s="182" t="inlineStr">
        <is>
          <t>K26</t>
        </is>
      </c>
      <c r="B29" s="175" t="inlineStr">
        <is>
          <t>Ürün sayfası/ürün içi demo satın alma gerekçesini kanıtlıyor mu?</t>
        </is>
      </c>
      <c r="C29" s="175" t="inlineStr">
        <is>
          <t>Evet</t>
        </is>
      </c>
      <c r="D29" s="175" t="inlineStr">
        <is>
          <t>EVET</t>
        </is>
      </c>
    </row>
    <row r="30" ht="30" customHeight="1">
      <c r="A30" s="183" t="inlineStr">
        <is>
          <t>K27</t>
        </is>
      </c>
      <c r="B30" s="184" t="inlineStr">
        <is>
          <t>Buton görünümü verilen tüm alanlar gerçekten tıklanabilir ve doğru hedefe gidiyor mu?</t>
        </is>
      </c>
      <c r="C30" s="184" t="inlineStr">
        <is>
          <t>Evet</t>
        </is>
      </c>
      <c r="D30" s="175" t="inlineStr">
        <is>
          <t>EVET</t>
        </is>
      </c>
    </row>
    <row r="31" ht="30" customHeight="1">
      <c r="A31" s="183" t="inlineStr">
        <is>
          <t>K28</t>
        </is>
      </c>
      <c r="B31" s="184" t="inlineStr">
        <is>
          <t>Tüm görünür kullanıcı sheet tabları kurumsal kategori rengi taşıyor mu?</t>
        </is>
      </c>
      <c r="C31" s="184" t="inlineStr">
        <is>
          <t>Evet</t>
        </is>
      </c>
      <c r="D31" s="175" t="inlineStr">
        <is>
          <t>EVET</t>
        </is>
      </c>
    </row>
    <row r="32" ht="16" customHeight="1">
      <c r="A32" s="183" t="inlineStr">
        <is>
          <t>K29</t>
        </is>
      </c>
      <c r="B32" s="184" t="inlineStr">
        <is>
          <t>Sheet sırası tanımlı kullanıcı iş akışıyla birebir aynı mı?</t>
        </is>
      </c>
      <c r="C32" s="184" t="inlineStr">
        <is>
          <t>Evet</t>
        </is>
      </c>
      <c r="D32" s="175" t="inlineStr">
        <is>
          <t>EVET</t>
        </is>
      </c>
    </row>
    <row r="33" ht="30" customHeight="1">
      <c r="A33" s="183" t="inlineStr">
        <is>
          <t>K30</t>
        </is>
      </c>
      <c r="B33" s="184" t="inlineStr">
        <is>
          <t>Kurumsal renk paleti tutarlı mı; rastgele/gökkuşağı renk kullanımı var mı?</t>
        </is>
      </c>
      <c r="C33" s="184" t="inlineStr">
        <is>
          <t>Evet / Hayır</t>
        </is>
      </c>
      <c r="D33" s="175" t="inlineStr">
        <is>
          <t>EVET</t>
        </is>
      </c>
    </row>
    <row r="34" ht="30" customHeight="1">
      <c r="A34" s="183" t="inlineStr">
        <is>
          <t>K31</t>
        </is>
      </c>
      <c r="B34" s="184" t="inlineStr">
        <is>
          <t>Premium vitrin, altyapı kadar güçlü ve satış fiyatını destekleyecek seviyede mi?</t>
        </is>
      </c>
      <c r="C34" s="184" t="inlineStr">
        <is>
          <t>Evet</t>
        </is>
      </c>
      <c r="D34" s="175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85" t="inlineStr">
        <is>
          <t>GÖRSEL TASARIM VE PREMIUM EXCEL STANDARDI</t>
        </is>
      </c>
    </row>
    <row r="3" ht="24" customHeight="1">
      <c r="A3" s="186" t="inlineStr">
        <is>
          <t>Alan</t>
        </is>
      </c>
      <c r="B3" s="186" t="inlineStr">
        <is>
          <t>Zorunlu Kural</t>
        </is>
      </c>
      <c r="C3" s="186" t="inlineStr">
        <is>
          <t>Uygulama</t>
        </is>
      </c>
      <c r="D3" s="186" t="inlineStr">
        <is>
          <t>Yasak</t>
        </is>
      </c>
      <c r="E3" s="186" t="inlineStr">
        <is>
          <t>Kontrol</t>
        </is>
      </c>
      <c r="F3" s="186" t="inlineStr">
        <is>
          <t>Durum</t>
        </is>
      </c>
    </row>
    <row r="4" ht="28" customHeight="1">
      <c r="A4" s="187" t="inlineStr">
        <is>
          <t>Sayfa başlığı</t>
        </is>
      </c>
      <c r="B4" s="175" t="inlineStr">
        <is>
          <t>Her kullanıcı sayfasının en üstünde tek ve açık sayfa başlığı</t>
        </is>
      </c>
      <c r="C4" s="175" t="inlineStr">
        <is>
          <t>A1'den başlayan koyu lacivert başlık bandı</t>
        </is>
      </c>
      <c r="D4" s="175" t="inlineStr">
        <is>
          <t>Başlıksız sayfa</t>
        </is>
      </c>
      <c r="E4" s="175" t="inlineStr">
        <is>
          <t>Başlık kapsama = %100</t>
        </is>
      </c>
      <c r="F4" s="188" t="inlineStr">
        <is>
          <t>ZORUNLU</t>
        </is>
      </c>
    </row>
    <row r="5" ht="28" customHeight="1">
      <c r="A5" s="187" t="inlineStr">
        <is>
          <t>Sekme renkleri</t>
        </is>
      </c>
      <c r="B5" s="175" t="inlineStr">
        <is>
          <t>Sayfalar işlevine göre renk kodlanır</t>
        </is>
      </c>
      <c r="C5" s="175" t="inlineStr">
        <is>
          <t>Girdi=mavi, hesap=gri, rapor=lacivert, kontrol=kırmızı, kılavuz=altın</t>
        </is>
      </c>
      <c r="D5" s="175" t="inlineStr">
        <is>
          <t>Rastgele renk</t>
        </is>
      </c>
      <c r="E5" s="175" t="inlineStr">
        <is>
          <t>Renk semantiği tutarlı</t>
        </is>
      </c>
      <c r="F5" s="188" t="inlineStr">
        <is>
          <t>ZORUNLU</t>
        </is>
      </c>
    </row>
    <row r="6" ht="28" customHeight="1">
      <c r="A6" s="187" t="inlineStr">
        <is>
          <t>Kolon düzeni</t>
        </is>
      </c>
      <c r="B6" s="175" t="inlineStr">
        <is>
          <t>Veri blokları bitişik kolonlarda ilerler</t>
        </is>
      </c>
      <c r="C6" s="175" t="inlineStr">
        <is>
          <t>Gereksiz boş kolon bırakma; yalnız gerçek bölüm ayrımı varsa kontrollü boşluk</t>
        </is>
      </c>
      <c r="D6" s="175" t="inlineStr">
        <is>
          <t>A:C veri, D boş, E:F veri gibi parçalı yapı</t>
        </is>
      </c>
      <c r="E6" s="175" t="inlineStr">
        <is>
          <t>Boş kolon taraması</t>
        </is>
      </c>
      <c r="F6" s="188" t="inlineStr">
        <is>
          <t>ZORUNLU</t>
        </is>
      </c>
    </row>
    <row r="7" ht="16" customHeight="1">
      <c r="A7" s="187" t="inlineStr">
        <is>
          <t>Girdi hücreleri</t>
        </is>
      </c>
      <c r="B7" s="175" t="inlineStr">
        <is>
          <t>Kullanıcının değiştireceği alan açıkça görünür</t>
        </is>
      </c>
      <c r="C7" s="175" t="inlineStr">
        <is>
          <t>Açık sarı dolgu + mavi yazı</t>
        </is>
      </c>
      <c r="D7" s="175" t="inlineStr">
        <is>
          <t>Formülle aynı görünüm</t>
        </is>
      </c>
      <c r="E7" s="175" t="inlineStr">
        <is>
          <t>Girdi/formül ayrımı</t>
        </is>
      </c>
      <c r="F7" s="188" t="inlineStr">
        <is>
          <t>ZORUNLU</t>
        </is>
      </c>
    </row>
    <row r="8" ht="16" customHeight="1">
      <c r="A8" s="187" t="inlineStr">
        <is>
          <t>Formüller</t>
        </is>
      </c>
      <c r="B8" s="175" t="inlineStr">
        <is>
          <t>Hesap hücreleri kullanıcı girdisinden ayrılır</t>
        </is>
      </c>
      <c r="C8" s="175" t="inlineStr">
        <is>
          <t>Siyah yazı; sayfalar arası bağlantı yeşil yazı</t>
        </is>
      </c>
      <c r="D8" s="175" t="inlineStr">
        <is>
          <t>Hard-code gizleme</t>
        </is>
      </c>
      <c r="E8" s="175" t="inlineStr">
        <is>
          <t>Formül sınıfı kontrolü</t>
        </is>
      </c>
      <c r="F8" s="188" t="inlineStr">
        <is>
          <t>ZORUNLU</t>
        </is>
      </c>
    </row>
    <row r="9" ht="16" customHeight="1">
      <c r="A9" s="187" t="inlineStr">
        <is>
          <t>Grafik sayısı</t>
        </is>
      </c>
      <c r="B9" s="175" t="inlineStr">
        <is>
          <t>Yönetici ekranında en fazla 3 ana karar grafiği</t>
        </is>
      </c>
      <c r="C9" s="175" t="inlineStr">
        <is>
          <t>Trend, karşılaştırma, köprü/dağılım; iş kararına bağlı</t>
        </is>
      </c>
      <c r="D9" s="175" t="inlineStr">
        <is>
          <t>Grafik kalabalığı</t>
        </is>
      </c>
      <c r="E9" s="175" t="inlineStr">
        <is>
          <t>Grafik başına karar sorusu</t>
        </is>
      </c>
      <c r="F9" s="188" t="inlineStr">
        <is>
          <t>ZORUNLU</t>
        </is>
      </c>
    </row>
    <row r="10" ht="16" customHeight="1">
      <c r="A10" s="187" t="inlineStr">
        <is>
          <t>Grafik stili</t>
        </is>
      </c>
      <c r="B10" s="175" t="inlineStr">
        <is>
          <t>Kurumsal ve yüksek okunabilirlik</t>
        </is>
      </c>
      <c r="C10" s="175" t="inlineStr">
        <is>
          <t>Beyaz zemin, ince gridline, tek vurgu rengi, açık birim/başlık</t>
        </is>
      </c>
      <c r="D10" s="175" t="inlineStr">
        <is>
          <t>3B, gölge, neon, gökkuşağı renkleri</t>
        </is>
      </c>
      <c r="E10" s="175" t="inlineStr">
        <is>
          <t>Görsel inceleme</t>
        </is>
      </c>
      <c r="F10" s="188" t="inlineStr">
        <is>
          <t>ZORUNLU</t>
        </is>
      </c>
    </row>
    <row r="11" ht="16" customHeight="1">
      <c r="A11" s="187" t="inlineStr">
        <is>
          <t>Grafik başlığı</t>
        </is>
      </c>
      <c r="B11" s="175" t="inlineStr">
        <is>
          <t>Grafik 'neyi' değil 'ne anlama geldiğini' söyler</t>
        </is>
      </c>
      <c r="C11" s="175" t="inlineStr">
        <is>
          <t>Örn: 'Nakit 2028'de kritik eşiğin altına iniyor'</t>
        </is>
      </c>
      <c r="D11" s="175" t="inlineStr">
        <is>
          <t>'Nakit Grafiği' gibi anlamsız başlık</t>
        </is>
      </c>
      <c r="E11" s="175" t="inlineStr">
        <is>
          <t>Başlık karar testi</t>
        </is>
      </c>
      <c r="F11" s="188" t="inlineStr">
        <is>
          <t>ZORUNLU</t>
        </is>
      </c>
    </row>
    <row r="12" ht="16" customHeight="1">
      <c r="A12" s="187" t="inlineStr">
        <is>
          <t>Birimler</t>
        </is>
      </c>
      <c r="B12" s="175" t="inlineStr">
        <is>
          <t>Tüm finansal görsellerde birim açık</t>
        </is>
      </c>
      <c r="C12" s="175" t="inlineStr">
        <is>
          <t>TL, bin TL, milyon TL, %, gün, x</t>
        </is>
      </c>
      <c r="D12" s="175" t="inlineStr">
        <is>
          <t>Birim belirsizliği</t>
        </is>
      </c>
      <c r="E12" s="175" t="inlineStr">
        <is>
          <t>Birim kapsama %100</t>
        </is>
      </c>
      <c r="F12" s="188" t="inlineStr">
        <is>
          <t>ZORUNLU</t>
        </is>
      </c>
    </row>
    <row r="13" ht="16" customHeight="1">
      <c r="A13" s="187" t="inlineStr">
        <is>
          <t>Sıfır/negatif</t>
        </is>
      </c>
      <c r="B13" s="175" t="inlineStr">
        <is>
          <t>Finansal format standardı</t>
        </is>
      </c>
      <c r="C13" s="175" t="inlineStr">
        <is>
          <t>Sıfır='-', negatif kırmızı parantez</t>
        </is>
      </c>
      <c r="D13" s="175" t="inlineStr">
        <is>
          <t>-500 veya 0,00 kalabalığı</t>
        </is>
      </c>
      <c r="E13" s="175" t="inlineStr">
        <is>
          <t>Format kontrolü</t>
        </is>
      </c>
      <c r="F13" s="188" t="inlineStr">
        <is>
          <t>ZORUNLU</t>
        </is>
      </c>
    </row>
    <row r="14" ht="16" customHeight="1">
      <c r="A14" s="187" t="inlineStr">
        <is>
          <t>Yazı tipi</t>
        </is>
      </c>
      <c r="B14" s="175" t="inlineStr">
        <is>
          <t>Tek aile</t>
        </is>
      </c>
      <c r="C14" s="175" t="inlineStr">
        <is>
          <t>Aptos veya Segoe UI</t>
        </is>
      </c>
      <c r="D14" s="175" t="inlineStr">
        <is>
          <t>Karışık font</t>
        </is>
      </c>
      <c r="E14" s="175" t="inlineStr">
        <is>
          <t>Tek font kontrolü</t>
        </is>
      </c>
      <c r="F14" s="188" t="inlineStr">
        <is>
          <t>ZORUNLU</t>
        </is>
      </c>
    </row>
    <row r="15" ht="16" customHeight="1">
      <c r="A15" s="187" t="inlineStr">
        <is>
          <t>Izgara</t>
        </is>
      </c>
      <c r="B15" s="175" t="inlineStr">
        <is>
          <t>Kullanıcı sayfalarında kapalı</t>
        </is>
      </c>
      <c r="C15" s="175" t="inlineStr">
        <is>
          <t>Bölüm çizgileri ve kart sınırlarıyla düzen</t>
        </is>
      </c>
      <c r="D15" s="175" t="inlineStr">
        <is>
          <t>Excel varsayılan gridline</t>
        </is>
      </c>
      <c r="E15" s="175" t="inlineStr">
        <is>
          <t>Gridline kontrolü</t>
        </is>
      </c>
      <c r="F15" s="188" t="inlineStr">
        <is>
          <t>ZORUNLU</t>
        </is>
      </c>
    </row>
    <row r="16" ht="16" customHeight="1">
      <c r="A16" s="187" t="inlineStr">
        <is>
          <t>Boş durum</t>
        </is>
      </c>
      <c r="B16" s="175" t="inlineStr">
        <is>
          <t>Veri yokken temiz ve anlaşılır</t>
        </is>
      </c>
      <c r="C16" s="175" t="inlineStr">
        <is>
          <t>'Henüz veri yok' / 'Girdi bekleniyor'</t>
        </is>
      </c>
      <c r="D16" s="175" t="inlineStr">
        <is>
          <t>0 yığını / hata kodu</t>
        </is>
      </c>
      <c r="E16" s="175" t="inlineStr">
        <is>
          <t>Boş veri testi</t>
        </is>
      </c>
      <c r="F16" s="188" t="inlineStr">
        <is>
          <t>ZORUNLU</t>
        </is>
      </c>
    </row>
    <row r="17" ht="28" customHeight="1">
      <c r="A17" s="187" t="inlineStr">
        <is>
          <t>Başlangıç deneyimi</t>
        </is>
      </c>
      <c r="B17" s="175" t="inlineStr">
        <is>
          <t>İlk 5 saniyede ne gireceği ve neye bakacağı anlaşılır</t>
        </is>
      </c>
      <c r="C17" s="175" t="inlineStr">
        <is>
          <t>Girdi → durum → aksiyon akışı</t>
        </is>
      </c>
      <c r="D17" s="175" t="inlineStr">
        <is>
          <t>Kılavuz aramaya zorlama</t>
        </is>
      </c>
      <c r="E17" s="175" t="inlineStr">
        <is>
          <t>5 saniye testi</t>
        </is>
      </c>
      <c r="F17" s="188" t="inlineStr">
        <is>
          <t>ZORUNLU</t>
        </is>
      </c>
    </row>
    <row r="18" ht="30" customHeight="1">
      <c r="A18" s="183" t="inlineStr">
        <is>
          <t>Buton standardı</t>
        </is>
      </c>
      <c r="B18" s="184" t="inlineStr">
        <is>
          <t>Buton görünümü verilen her alan gerçek işlev taşır</t>
        </is>
      </c>
      <c r="C18" s="184" t="inlineStr">
        <is>
          <t>Sayfa içi HYPERLINK / gerçek aksiyon; tıklanınca hedefe gider</t>
        </is>
      </c>
      <c r="D18" s="184" t="inlineStr">
        <is>
          <t>İşlevsiz dekoratif buton / sahte navigasyon</t>
        </is>
      </c>
      <c r="E18" s="184" t="inlineStr">
        <is>
          <t>Butonların %100'ü tıklanabilir ve hedefi doğru</t>
        </is>
      </c>
      <c r="F18" s="188" t="inlineStr">
        <is>
          <t>ZORUNLU</t>
        </is>
      </c>
    </row>
    <row r="19" ht="32" customHeight="1">
      <c r="A19" s="183" t="inlineStr">
        <is>
          <t>Native sayfa sekmesi rengi</t>
        </is>
      </c>
      <c r="B19" s="184" t="inlineStr">
        <is>
          <t>Excel alt sheet tabları kurumsal paletle renklendirilir</t>
        </is>
      </c>
      <c r="C19" s="184" t="inlineStr">
        <is>
          <t>Başlangıç/özet=lacivert; girdiler=mavi; hesap/finans=teal; karar/kontrol=burgundy; doküman=gri</t>
        </is>
      </c>
      <c r="D19" s="184" t="inlineStr">
        <is>
          <t>Renksiz sekmeler veya rastgele/gökkuşağı renkleri</t>
        </is>
      </c>
      <c r="E19" s="184" t="inlineStr">
        <is>
          <t>Tüm görünür kullanıcı sheet tabları renkli</t>
        </is>
      </c>
      <c r="F19" s="188" t="inlineStr">
        <is>
          <t>ZORUNLU</t>
        </is>
      </c>
    </row>
    <row r="20" ht="60" customHeight="1">
      <c r="A20" s="183" t="inlineStr">
        <is>
          <t>İş akışı sıralaması</t>
        </is>
      </c>
      <c r="B20" s="184" t="inlineStr">
        <is>
          <t>Sayfalar kullanıcının çalışma sırasına göre fiziksel olarak dizilir</t>
        </is>
      </c>
      <c r="C20" s="184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4" t="inlineStr">
        <is>
          <t>Teknik oluşturma sırasına göre dağınık sheet dizilimi</t>
        </is>
      </c>
      <c r="E20" s="184" t="inlineStr">
        <is>
          <t>Sheet order = tanımlı workflow</t>
        </is>
      </c>
      <c r="F20" s="188" t="inlineStr">
        <is>
          <t>ZORUNLU</t>
        </is>
      </c>
    </row>
    <row r="21" ht="30" customHeight="1">
      <c r="A21" s="183" t="inlineStr">
        <is>
          <t>Kurumsal renk paleti</t>
        </is>
      </c>
      <c r="B21" s="184" t="inlineStr">
        <is>
          <t>Sekme, başlık, buton ve vurgu renkleri tek kurumsal paletten gelir</t>
        </is>
      </c>
      <c r="C21" s="184" t="inlineStr">
        <is>
          <t>Lacivert + mavi + teal + kontrollü burgundy/gri; kategori semantiği sabit</t>
        </is>
      </c>
      <c r="D21" s="184" t="inlineStr">
        <is>
          <t>Neon, rastgele yüksek doygunluk, her sayfada farklı bağımsız renk</t>
        </is>
      </c>
      <c r="E21" s="184" t="inlineStr">
        <is>
          <t>Palette token kontrolü</t>
        </is>
      </c>
      <c r="F21" s="188" t="inlineStr">
        <is>
          <t>ZORUNLU</t>
        </is>
      </c>
    </row>
    <row r="22" ht="45" customHeight="1">
      <c r="A22" s="183" t="inlineStr">
        <is>
          <t>Premium vitrin</t>
        </is>
      </c>
      <c r="B22" s="184" t="inlineStr">
        <is>
          <t>Görsel kalite ürün değerinin zorunlu parçasıdır</t>
        </is>
      </c>
      <c r="C22" s="184" t="inlineStr">
        <is>
          <t>Kaliteli grafik, gerçek KPI kartı, finansal hiyerarşi, tab rengi, fonksiyonel navigasyon</t>
        </is>
      </c>
      <c r="D22" s="184" t="inlineStr">
        <is>
          <t>Sadece doğru hesap yapıp çıplak/varsayılan Excel görünümü bırakmak</t>
        </is>
      </c>
      <c r="E22" s="184" t="inlineStr">
        <is>
          <t>Görsel release incelemesi</t>
        </is>
      </c>
      <c r="F22" s="188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89" t="inlineStr">
        <is>
          <t>TÜRKİYE MUHASEBE VE TEKDÜZEN HESAP PLANI STANDARDI</t>
        </is>
      </c>
    </row>
    <row r="3" ht="24" customHeight="1">
      <c r="A3" s="190" t="inlineStr">
        <is>
          <t>Konu</t>
        </is>
      </c>
      <c r="B3" s="190" t="inlineStr">
        <is>
          <t>Zorunlu Standart</t>
        </is>
      </c>
      <c r="C3" s="190" t="inlineStr">
        <is>
          <t>Örnek Türkçe Ad</t>
        </is>
      </c>
      <c r="D3" s="190" t="inlineStr">
        <is>
          <t>THP / Mantık</t>
        </is>
      </c>
      <c r="E3" s="190" t="inlineStr">
        <is>
          <t>Hata Riski</t>
        </is>
      </c>
      <c r="F3" s="190" t="inlineStr">
        <is>
          <t>Kontrol</t>
        </is>
      </c>
    </row>
    <row r="4">
      <c r="A4" s="191" t="inlineStr">
        <is>
          <t>Dil</t>
        </is>
      </c>
      <c r="B4" s="175" t="inlineStr">
        <is>
          <t>Kullanıcıya görünen finansal terimler Türkçe</t>
        </is>
      </c>
      <c r="C4" s="175" t="inlineStr">
        <is>
          <t>Hasılat, Satışların Maliyeti, Brüt Kâr, Faaliyet Giderleri</t>
        </is>
      </c>
      <c r="D4" s="175" t="inlineStr">
        <is>
          <t>Türk işletme kullanımına uygun</t>
        </is>
      </c>
      <c r="E4" s="175" t="inlineStr">
        <is>
          <t>İngilizce jargon</t>
        </is>
      </c>
      <c r="F4" s="175" t="inlineStr">
        <is>
          <t>Terminoloji taraması</t>
        </is>
      </c>
    </row>
    <row r="5" ht="28" customHeight="1">
      <c r="A5" s="191" t="inlineStr">
        <is>
          <t>Gelir Tablosu</t>
        </is>
      </c>
      <c r="B5" s="175" t="inlineStr">
        <is>
          <t>Türk sunum sırası kullanılır</t>
        </is>
      </c>
      <c r="C5" s="175" t="inlineStr">
        <is>
          <t>Net Satışlar → Satışların Maliyeti → Brüt Kâr → Faaliyet Giderleri → Faaliyet Kârı</t>
        </is>
      </c>
      <c r="D5" s="175" t="inlineStr">
        <is>
          <t>600/610/611; 620-623; 63x</t>
        </is>
      </c>
      <c r="E5" s="175" t="inlineStr">
        <is>
          <t>Yanlış sınıflama</t>
        </is>
      </c>
      <c r="F5" s="175" t="inlineStr">
        <is>
          <t>Hesap eşleme</t>
        </is>
      </c>
    </row>
    <row r="6" ht="28" customHeight="1">
      <c r="A6" s="191" t="inlineStr">
        <is>
          <t>Bilanço</t>
        </is>
      </c>
      <c r="B6" s="175" t="inlineStr">
        <is>
          <t>Dönen/Duran Varlık ve Kısa/Uzun Vadeli Yükümlülük ayrımı</t>
        </is>
      </c>
      <c r="C6" s="175" t="inlineStr">
        <is>
          <t>Hazır Değerler, Ticari Alacaklar, Stoklar, Mali Borçlar</t>
        </is>
      </c>
      <c r="D6" s="175" t="inlineStr">
        <is>
          <t>1xx / 2xx / 3xx / 4xx / 5xx</t>
        </is>
      </c>
      <c r="E6" s="175" t="inlineStr">
        <is>
          <t>Vade sınıfı hatası</t>
        </is>
      </c>
      <c r="F6" s="175" t="inlineStr">
        <is>
          <t>Bilanço eşitliği</t>
        </is>
      </c>
    </row>
    <row r="7">
      <c r="A7" s="191" t="inlineStr">
        <is>
          <t>Nakit Akışı</t>
        </is>
      </c>
      <c r="B7" s="175" t="inlineStr">
        <is>
          <t>İşletme/Yatırım/Finansman nakit akışları ayrılır</t>
        </is>
      </c>
      <c r="C7" s="175" t="inlineStr">
        <is>
          <t>Faaliyetlerden Nakit, Yatırım Harcamaları, Finansman Nakit Akışı</t>
        </is>
      </c>
      <c r="D7" s="175" t="inlineStr">
        <is>
          <t>Dolaylı/doğrudan yöntem açık seçilir</t>
        </is>
      </c>
      <c r="E7" s="175" t="inlineStr">
        <is>
          <t>Kâr = nakit sanılması</t>
        </is>
      </c>
      <c r="F7" s="175" t="inlineStr">
        <is>
          <t>Nakit devri</t>
        </is>
      </c>
    </row>
    <row r="8">
      <c r="A8" s="191" t="inlineStr">
        <is>
          <t>Ticari Alacaklar</t>
        </is>
      </c>
      <c r="B8" s="175" t="inlineStr">
        <is>
          <t>Cari ve vade mantığı korunur</t>
        </is>
      </c>
      <c r="C8" s="175" t="inlineStr">
        <is>
          <t>120 Alıcılar</t>
        </is>
      </c>
      <c r="D8" s="175" t="inlineStr">
        <is>
          <t>120</t>
        </is>
      </c>
      <c r="E8" s="175" t="inlineStr">
        <is>
          <t>Tahakkuk/nakit karışması</t>
        </is>
      </c>
      <c r="F8" s="175" t="inlineStr">
        <is>
          <t>Alacak devir kontrolü</t>
        </is>
      </c>
    </row>
    <row r="9">
      <c r="A9" s="191" t="inlineStr">
        <is>
          <t>Ticari Borçlar</t>
        </is>
      </c>
      <c r="B9" s="175" t="inlineStr">
        <is>
          <t>Tedarikçi borcu ayrı izlenir</t>
        </is>
      </c>
      <c r="C9" s="175" t="inlineStr">
        <is>
          <t>320 Satıcılar</t>
        </is>
      </c>
      <c r="D9" s="175" t="inlineStr">
        <is>
          <t>320</t>
        </is>
      </c>
      <c r="E9" s="175" t="inlineStr">
        <is>
          <t>Gider/ödeme karışması</t>
        </is>
      </c>
      <c r="F9" s="175" t="inlineStr">
        <is>
          <t>Borç devir kontrolü</t>
        </is>
      </c>
    </row>
    <row r="10">
      <c r="A10" s="191" t="inlineStr">
        <is>
          <t>Kasa/Banka</t>
        </is>
      </c>
      <c r="B10" s="175" t="inlineStr">
        <is>
          <t>Hazır değerler ayrı izlenir</t>
        </is>
      </c>
      <c r="C10" s="175" t="inlineStr">
        <is>
          <t>100 Kasa, 102 Bankalar</t>
        </is>
      </c>
      <c r="D10" s="175" t="inlineStr">
        <is>
          <t>100 / 102</t>
        </is>
      </c>
      <c r="E10" s="175" t="inlineStr">
        <is>
          <t>Virmanla toplam nakdin değişmesi</t>
        </is>
      </c>
      <c r="F10" s="175" t="inlineStr">
        <is>
          <t>Virman değişmezi</t>
        </is>
      </c>
    </row>
    <row r="11">
      <c r="A11" s="191" t="inlineStr">
        <is>
          <t>Stok</t>
        </is>
      </c>
      <c r="B11" s="175" t="inlineStr">
        <is>
          <t>Dikeye uygun stok türü</t>
        </is>
      </c>
      <c r="C11" s="175" t="inlineStr">
        <is>
          <t>150 İlk Madde ve Malzeme, 153 Ticari Mallar</t>
        </is>
      </c>
      <c r="D11" s="175" t="inlineStr">
        <is>
          <t>15x</t>
        </is>
      </c>
      <c r="E11" s="175" t="inlineStr">
        <is>
          <t>Maliyet ve stok hareketinin kopması</t>
        </is>
      </c>
      <c r="F11" s="175" t="inlineStr">
        <is>
          <t>Stok devri</t>
        </is>
      </c>
    </row>
    <row r="12" ht="28" customHeight="1">
      <c r="A12" s="191" t="inlineStr">
        <is>
          <t>Maddi Duran Varlık</t>
        </is>
      </c>
      <c r="B12" s="175" t="inlineStr">
        <is>
          <t>Yatırım harcaması ve amortisman bağlantılı</t>
        </is>
      </c>
      <c r="C12" s="175" t="inlineStr">
        <is>
          <t>253 Tesis Makine Cihazlar, 255 Demirbaşlar, 257 Birikmiş Amortismanlar</t>
        </is>
      </c>
      <c r="D12" s="175" t="inlineStr">
        <is>
          <t>25x</t>
        </is>
      </c>
      <c r="E12" s="175" t="inlineStr">
        <is>
          <t>Yatırım/gider karışması</t>
        </is>
      </c>
      <c r="F12" s="175" t="inlineStr">
        <is>
          <t>Net defter değeri devri</t>
        </is>
      </c>
    </row>
    <row r="13">
      <c r="A13" s="191" t="inlineStr">
        <is>
          <t>Mali Borçlar</t>
        </is>
      </c>
      <c r="B13" s="175" t="inlineStr">
        <is>
          <t>Kısa/uzun vadeli borç ayrımı</t>
        </is>
      </c>
      <c r="C13" s="175" t="inlineStr">
        <is>
          <t>300 Banka Kredileri / 400 Banka Kredileri</t>
        </is>
      </c>
      <c r="D13" s="175" t="inlineStr">
        <is>
          <t>300 / 400</t>
        </is>
      </c>
      <c r="E13" s="175" t="inlineStr">
        <is>
          <t>Vade sınıfı yanlış</t>
        </is>
      </c>
      <c r="F13" s="175" t="inlineStr">
        <is>
          <t>Borç devri</t>
        </is>
      </c>
    </row>
    <row r="14">
      <c r="A14" s="191" t="inlineStr">
        <is>
          <t>Özkaynak</t>
        </is>
      </c>
      <c r="B14" s="175" t="inlineStr">
        <is>
          <t>Sermaye ve geçmiş yıl kârları ayrı</t>
        </is>
      </c>
      <c r="C14" s="175" t="inlineStr">
        <is>
          <t>500 Sermaye, 570 Geçmiş Yıllar Kârları, 590 Dönem Net Kârı</t>
        </is>
      </c>
      <c r="D14" s="175" t="inlineStr">
        <is>
          <t>5xx</t>
        </is>
      </c>
      <c r="E14" s="175" t="inlineStr">
        <is>
          <t>Net kâr bağının kopması</t>
        </is>
      </c>
      <c r="F14" s="175" t="inlineStr">
        <is>
          <t>Özkaynak devri</t>
        </is>
      </c>
    </row>
    <row r="15">
      <c r="A15" s="191" t="inlineStr">
        <is>
          <t>Vergi</t>
        </is>
      </c>
      <c r="B15" s="175" t="inlineStr">
        <is>
          <t>Vergi satırları Türkiye mantığına uygun</t>
        </is>
      </c>
      <c r="C15" s="175" t="inlineStr">
        <is>
          <t>Dönem Vergi ve Diğer Yasal Yükümlülük Karşılıkları</t>
        </is>
      </c>
      <c r="D15" s="175" t="inlineStr">
        <is>
          <t>37x / ilgili vergi hesapları</t>
        </is>
      </c>
      <c r="E15" s="175" t="inlineStr">
        <is>
          <t>Vergi etkisinin yanlış dönemlenmesi</t>
        </is>
      </c>
      <c r="F15" s="175" t="inlineStr">
        <is>
          <t>Vergi sözleşmesi</t>
        </is>
      </c>
    </row>
    <row r="16">
      <c r="A16" s="191" t="inlineStr">
        <is>
          <t>İsim standardı</t>
        </is>
      </c>
      <c r="B16" s="175" t="inlineStr">
        <is>
          <t>Tablo ve sayfa adları Türkçe ve işlevsel</t>
        </is>
      </c>
      <c r="C16" s="175" t="inlineStr">
        <is>
          <t>GELİR_TABLOSU, BİLANÇO, NAKİT_AKISI, BORC_PLANI</t>
        </is>
      </c>
      <c r="D16" s="175" t="inlineStr">
        <is>
          <t>Tekrarlanabilir standart</t>
        </is>
      </c>
      <c r="E16" s="175" t="inlineStr">
        <is>
          <t>İngilizce/karma isim</t>
        </is>
      </c>
      <c r="F16" s="175" t="inlineStr">
        <is>
          <t>Sayfa ve tablo taraması</t>
        </is>
      </c>
    </row>
    <row r="17">
      <c r="A17" s="191" t="inlineStr">
        <is>
          <t>THP eşleme tablosu</t>
        </is>
      </c>
      <c r="B17" s="175" t="inlineStr">
        <is>
          <t>Her kritik satır en az bir THP hesabına bağlanır</t>
        </is>
      </c>
      <c r="C17" s="175" t="inlineStr">
        <is>
          <t>RaporSatırı → HesapKodu → HesapAdı → İşaret → Dönem</t>
        </is>
      </c>
      <c r="D17" s="175" t="inlineStr">
        <is>
          <t>Kaynak izlenebilirliği</t>
        </is>
      </c>
      <c r="E17" s="175" t="inlineStr">
        <is>
          <t>Rapordan rapora kaynak</t>
        </is>
      </c>
      <c r="F17" s="175" t="inlineStr">
        <is>
          <t>Eşleme kapsama %100</t>
        </is>
      </c>
    </row>
    <row r="18">
      <c r="A18" s="191" t="inlineStr">
        <is>
          <t>İstisna</t>
        </is>
      </c>
      <c r="B18" s="175" t="inlineStr">
        <is>
          <t>TFRS özel ürün varsa fark açık yazılır</t>
        </is>
      </c>
      <c r="C18" s="175" t="inlineStr">
        <is>
          <t>Tekdüzen raporlama ≠ TFRS finansal tablo sunumu</t>
        </is>
      </c>
      <c r="D18" s="175" t="inlineStr">
        <is>
          <t>Amaç belirtilir</t>
        </is>
      </c>
      <c r="E18" s="175" t="inlineStr">
        <is>
          <t>Standartları karıştırma</t>
        </is>
      </c>
      <c r="F18" s="175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2" t="inlineStr">
        <is>
          <t>KARAR, GÜVEN VE SATIŞA HAZIRLIK STANDARDI</t>
        </is>
      </c>
    </row>
    <row r="3" ht="24" customHeight="1">
      <c r="A3" s="193" t="inlineStr">
        <is>
          <t>Alan</t>
        </is>
      </c>
      <c r="B3" s="193" t="inlineStr">
        <is>
          <t>Müşteri Sorusu</t>
        </is>
      </c>
      <c r="C3" s="193" t="inlineStr">
        <is>
          <t>Zorunlu Ürün Davranışı</t>
        </is>
      </c>
      <c r="D3" s="193" t="inlineStr">
        <is>
          <t>Kanıt</t>
        </is>
      </c>
      <c r="E3" s="193" t="inlineStr">
        <is>
          <t>Başarısızlık Durumu</t>
        </is>
      </c>
      <c r="F3" s="193" t="inlineStr">
        <is>
          <t>Kapı</t>
        </is>
      </c>
    </row>
    <row r="4">
      <c r="A4" s="194" t="inlineStr">
        <is>
          <t>5 saniye</t>
        </is>
      </c>
      <c r="B4" s="175" t="inlineStr">
        <is>
          <t>Bu ürün neyi çözüyor?</t>
        </is>
      </c>
      <c r="C4" s="175" t="inlineStr">
        <is>
          <t>İlk ekranda hedef kullanıcı + pahalı problem + sonuç görünür</t>
        </is>
      </c>
      <c r="D4" s="175" t="inlineStr">
        <is>
          <t>Başlık + alt mesaj + gerçek ekran</t>
        </is>
      </c>
      <c r="E4" s="175" t="inlineStr">
        <is>
          <t>Ürün yalnız teknik isim</t>
        </is>
      </c>
      <c r="F4" s="195" t="inlineStr">
        <is>
          <t>HATA</t>
        </is>
      </c>
    </row>
    <row r="5">
      <c r="A5" s="194" t="inlineStr">
        <is>
          <t>Acı</t>
        </is>
      </c>
      <c r="B5" s="175" t="inlineStr">
        <is>
          <t>Sorun bana neye mal oluyor?</t>
        </is>
      </c>
      <c r="C5" s="175" t="inlineStr">
        <is>
          <t>Mümkünse müşterinin kendi verisiyle parasal/zaman etkisi hesaplanır</t>
        </is>
      </c>
      <c r="D5" s="175" t="inlineStr">
        <is>
          <t>ROI/acı hesaplama yöntemi</t>
        </is>
      </c>
      <c r="E5" s="175" t="inlineStr">
        <is>
          <t>Uydurma tasarruf</t>
        </is>
      </c>
      <c r="F5" s="195" t="inlineStr">
        <is>
          <t>HATA</t>
        </is>
      </c>
    </row>
    <row r="6">
      <c r="A6" s="194" t="inlineStr">
        <is>
          <t>Karar</t>
        </is>
      </c>
      <c r="B6" s="175" t="inlineStr">
        <is>
          <t>Bu bilgiyle ne yapacağım?</t>
        </is>
      </c>
      <c r="C6" s="175" t="inlineStr">
        <is>
          <t>Her kritik KPI aksiyona bağlanır</t>
        </is>
      </c>
      <c r="D6" s="175" t="inlineStr">
        <is>
          <t>KARAR_KUYRUGU</t>
        </is>
      </c>
      <c r="E6" s="175" t="inlineStr">
        <is>
          <t>Sadece rapor</t>
        </is>
      </c>
      <c r="F6" s="195" t="inlineStr">
        <is>
          <t>HATA</t>
        </is>
      </c>
    </row>
    <row r="7">
      <c r="A7" s="194" t="inlineStr">
        <is>
          <t>Güven</t>
        </is>
      </c>
      <c r="B7" s="175" t="inlineStr">
        <is>
          <t>Bu sayıya neden inanayım?</t>
        </is>
      </c>
      <c r="C7" s="175" t="inlineStr">
        <is>
          <t>Kaynak, formül mantığı, kontrol ve son doğrulama görünür</t>
        </is>
      </c>
      <c r="D7" s="175" t="inlineStr">
        <is>
          <t>Kontroller + kaynak izi + sürüm</t>
        </is>
      </c>
      <c r="E7" s="175" t="inlineStr">
        <is>
          <t>Prestij kelimesi</t>
        </is>
      </c>
      <c r="F7" s="195" t="inlineStr">
        <is>
          <t>HATA</t>
        </is>
      </c>
    </row>
    <row r="8">
      <c r="A8" s="194" t="inlineStr">
        <is>
          <t>Referans</t>
        </is>
      </c>
      <c r="B8" s="175" t="inlineStr">
        <is>
          <t>Müşteri yorumu yoksa ne göstereceğim?</t>
        </is>
      </c>
      <c r="C8" s="175" t="inlineStr">
        <is>
          <t>Önce/Sonra + Karar Vakası + Hata Önleme Vakası üretilir</t>
        </is>
      </c>
      <c r="D8" s="175" t="inlineStr">
        <is>
          <t>Demo/örnek çıktı</t>
        </is>
      </c>
      <c r="E8" s="175" t="inlineStr">
        <is>
          <t>Kanıtsız iddia</t>
        </is>
      </c>
      <c r="F8" s="195" t="inlineStr">
        <is>
          <t>HATA</t>
        </is>
      </c>
    </row>
    <row r="9">
      <c r="A9" s="194" t="inlineStr">
        <is>
          <t>Senaryo</t>
        </is>
      </c>
      <c r="B9" s="175" t="inlineStr">
        <is>
          <t>Ne olursa işler bozulur?</t>
        </is>
      </c>
      <c r="C9" s="175" t="inlineStr">
        <is>
          <t>Baz/Aşağı/Yukarı veya uygun stres senaryosu</t>
        </is>
      </c>
      <c r="D9" s="175" t="inlineStr">
        <is>
          <t>Senaryo karşılaştırma</t>
        </is>
      </c>
      <c r="E9" s="175" t="inlineStr">
        <is>
          <t>Dekoratif senaryo</t>
        </is>
      </c>
      <c r="F9" s="195" t="inlineStr">
        <is>
          <t>HATA</t>
        </is>
      </c>
    </row>
    <row r="10">
      <c r="A10" s="194" t="inlineStr">
        <is>
          <t>Ters stres</t>
        </is>
      </c>
      <c r="B10" s="175" t="inlineStr">
        <is>
          <t>Hangi eşikte karar kırılır?</t>
        </is>
      </c>
      <c r="C10" s="175" t="inlineStr">
        <is>
          <t>En az bir kritik sürücü için kırılma eşiği</t>
        </is>
      </c>
      <c r="D10" s="175" t="inlineStr">
        <is>
          <t>Kırılma eşiği tablosu</t>
        </is>
      </c>
      <c r="E10" s="175" t="inlineStr">
        <is>
          <t>Sadece +/- %10</t>
        </is>
      </c>
      <c r="F10" s="195" t="inlineStr">
        <is>
          <t>UYARI/HATA</t>
        </is>
      </c>
    </row>
    <row r="11">
      <c r="A11" s="194" t="inlineStr">
        <is>
          <t>Hata tutarlılığı</t>
        </is>
      </c>
      <c r="B11" s="175" t="inlineStr">
        <is>
          <t>Formül hata verirse ne olur?</t>
        </is>
      </c>
      <c r="C11" s="175" t="inlineStr">
        <is>
          <t>Kontrol GEÇTİ veremez; BLOKE/HATA üretir</t>
        </is>
      </c>
      <c r="D11" s="175" t="inlineStr">
        <is>
          <t>Hata taraması</t>
        </is>
      </c>
      <c r="E11" s="175" t="inlineStr">
        <is>
          <t>Hata + GEÇTİ birlikte</t>
        </is>
      </c>
      <c r="F11" s="195" t="inlineStr">
        <is>
          <t>HATA</t>
        </is>
      </c>
    </row>
    <row r="12">
      <c r="A12" s="194" t="inlineStr">
        <is>
          <t>Karar motoru</t>
        </is>
      </c>
      <c r="B12" s="175" t="inlineStr">
        <is>
          <t>Ne oldu, neden oldu?</t>
        </is>
      </c>
      <c r="C12" s="175" t="inlineStr">
        <is>
          <t>Sorun + neden + parasal etki + aksiyon + son tarih</t>
        </is>
      </c>
      <c r="D12" s="175" t="inlineStr">
        <is>
          <t>Karar tablosu</t>
        </is>
      </c>
      <c r="E12" s="175" t="inlineStr">
        <is>
          <t>Boş sayfa / isim düzeyi modül</t>
        </is>
      </c>
      <c r="F12" s="195" t="inlineStr">
        <is>
          <t>HATA</t>
        </is>
      </c>
    </row>
    <row r="13">
      <c r="A13" s="194" t="inlineStr">
        <is>
          <t>Yönetici özeti</t>
        </is>
      </c>
      <c r="B13" s="175" t="inlineStr">
        <is>
          <t>5 saniyede ne görmeliyim?</t>
        </is>
      </c>
      <c r="C13" s="175" t="inlineStr">
        <is>
          <t>Bugün / ne değişti / ne bozulacak / neden / ne yapmalıyım / güven</t>
        </is>
      </c>
      <c r="D13" s="175" t="inlineStr">
        <is>
          <t>Yönetici özeti ekranı</t>
        </is>
      </c>
      <c r="E13" s="175" t="inlineStr">
        <is>
          <t>KPI kutusu yığını</t>
        </is>
      </c>
      <c r="F13" s="195" t="inlineStr">
        <is>
          <t>HATA</t>
        </is>
      </c>
    </row>
    <row r="14">
      <c r="A14" s="194" t="inlineStr">
        <is>
          <t>Teklif</t>
        </is>
      </c>
      <c r="B14" s="175" t="inlineStr">
        <is>
          <t>Neden satın almalıyım?</t>
        </is>
      </c>
      <c r="C14" s="175" t="inlineStr">
        <is>
          <t>Dosya özellikleri yerine sonuç ve kaçınılan maliyet sunulur</t>
        </is>
      </c>
      <c r="D14" s="175" t="inlineStr">
        <is>
          <t>Ürün sayfası kanıt eşlemesi</t>
        </is>
      </c>
      <c r="E14" s="175" t="inlineStr">
        <is>
          <t>Özellik listesiyle satış</t>
        </is>
      </c>
      <c r="F14" s="195" t="inlineStr">
        <is>
          <t>HATA</t>
        </is>
      </c>
    </row>
    <row r="15">
      <c r="A15" s="194" t="inlineStr">
        <is>
          <t>Dağıtım</t>
        </is>
      </c>
      <c r="B15" s="175" t="inlineStr">
        <is>
          <t>Beni nasıl bulacaklar?</t>
        </is>
      </c>
      <c r="C15" s="175" t="inlineStr">
        <is>
          <t>Sorun niyetine göre SEO sayfaları, iç bağlantı, temiz yapı, taranabilir metin</t>
        </is>
      </c>
      <c r="D15" s="175" t="inlineStr">
        <is>
          <t>Arama niyeti haritası</t>
        </is>
      </c>
      <c r="E15" s="175" t="inlineStr">
        <is>
          <t>Tek ürün sayfasına bağımlılık</t>
        </is>
      </c>
      <c r="F15" s="195" t="inlineStr">
        <is>
          <t>UYARI</t>
        </is>
      </c>
    </row>
    <row r="16" ht="28" customHeight="1">
      <c r="A16" s="194" t="inlineStr">
        <is>
          <t>LLM görünürlüğü</t>
        </is>
      </c>
      <c r="B16" s="175" t="inlineStr">
        <is>
          <t>AI ürünümü anlayabiliyor mu?</t>
        </is>
      </c>
      <c r="C16" s="175" t="inlineStr">
        <is>
          <t>Ürün tanımı, hedef kullanıcı, girdi/çıktı, metodoloji, sınırlar, SSS açık metindir</t>
        </is>
      </c>
      <c r="D16" s="175" t="inlineStr">
        <is>
          <t>Taranabilir ürün içeriği</t>
        </is>
      </c>
      <c r="E16" s="175" t="inlineStr">
        <is>
          <t>'AI SEO' iddiası</t>
        </is>
      </c>
      <c r="F16" s="195" t="inlineStr">
        <is>
          <t>UYARI</t>
        </is>
      </c>
    </row>
    <row r="17">
      <c r="A17" s="194" t="inlineStr">
        <is>
          <t>Satış kanalı</t>
        </is>
      </c>
      <c r="B17" s="175" t="inlineStr">
        <is>
          <t>Nerede satılmalı?</t>
        </is>
      </c>
      <c r="C17" s="175" t="inlineStr">
        <is>
          <t>Arama, LinkedIn, uzman/partner, demo/video; ürüne göre kanal seçilir</t>
        </is>
      </c>
      <c r="D17" s="175" t="inlineStr">
        <is>
          <t>Kanal matrisi</t>
        </is>
      </c>
      <c r="E17" s="175" t="inlineStr">
        <is>
          <t>Her ürüne aynı kanal</t>
        </is>
      </c>
      <c r="F17" s="195" t="inlineStr">
        <is>
          <t>UYARI</t>
        </is>
      </c>
    </row>
    <row r="18">
      <c r="A18" s="194" t="inlineStr">
        <is>
          <t>Fiyat</t>
        </is>
      </c>
      <c r="B18" s="175" t="inlineStr">
        <is>
          <t>Bu fiyat neden mantıklı?</t>
        </is>
      </c>
      <c r="C18" s="175" t="inlineStr">
        <is>
          <t>Fiyat, ekonomik karar değerine ve kanıtlanmış ürün derinliğine bağlanır</t>
        </is>
      </c>
      <c r="D18" s="175" t="inlineStr">
        <is>
          <t>Değer haritası + demo</t>
        </is>
      </c>
      <c r="E18" s="175" t="inlineStr">
        <is>
          <t>Sırf sayfa/formül sayısı</t>
        </is>
      </c>
      <c r="F18" s="195" t="inlineStr">
        <is>
          <t>HATA</t>
        </is>
      </c>
    </row>
    <row r="19">
      <c r="A19" s="194" t="inlineStr">
        <is>
          <t>Pazar kanıtı</t>
        </is>
      </c>
      <c r="B19" s="175" t="inlineStr">
        <is>
          <t>Piyasa gerçekten ödüyor mu?</t>
        </is>
      </c>
      <c r="C19" s="175" t="inlineStr">
        <is>
          <t>Satış/pilot/LOI/fiyat kabulü olmadan pazar doğrulandı yazılmaz</t>
        </is>
      </c>
      <c r="D19" s="175" t="inlineStr">
        <is>
          <t>Gerçek işlem kanıtı</t>
        </is>
      </c>
      <c r="E19" s="175" t="inlineStr">
        <is>
          <t>Tahmini talep = satış kabulü</t>
        </is>
      </c>
      <c r="F19" s="195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İhale Fiyat Farkı (Eskalasyon) Pro</t>
        </is>
      </c>
    </row>
    <row r="3" ht="30" customHeight="1">
      <c r="A3" s="3" t="inlineStr">
        <is>
          <t>İhale Fiyat Farkı (Eskalasyon) Pro</t>
        </is>
      </c>
    </row>
    <row r="4">
      <c r="A4" s="4" t="inlineStr">
        <is>
          <t>Sözleşme bedeli, endeks ve kalem ağırlıklarını girin; hakediş fiyat farkını hesaplayıp TALEP ET / BEKLE / VAZGEÇ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eşik ve sabit pay güncellemesine hazır motor</t>
        </is>
      </c>
    </row>
    <row r="8">
      <c r="A8" s="6" t="inlineStr">
        <is>
          <t>• Endeks oranı, kalem ağırlıkları ve hakediş üzerinden fiyat farkı tutarı</t>
        </is>
      </c>
    </row>
    <row r="9">
      <c r="A9" s="6" t="inlineStr">
        <is>
          <t>• Baz / iyimser / kötümser + kural değişimi (eşik +1 puan) senaryoları</t>
        </is>
      </c>
    </row>
    <row r="10">
      <c r="A10" s="6" t="inlineStr">
        <is>
          <t>• Tebliğ tarzı altın vakalar ve KANIT_RAPORU (A4 imza)</t>
        </is>
      </c>
    </row>
    <row r="11">
      <c r="A11" s="6" t="inlineStr">
        <is>
          <t>• Belirsizlik beyanı: endeks seçimi (yorum A / B)</t>
        </is>
      </c>
    </row>
    <row r="13">
      <c r="A13" s="5" t="inlineStr">
        <is>
          <t>Kimler için?</t>
        </is>
      </c>
    </row>
    <row r="14">
      <c r="A14" s="7" t="inlineStr">
        <is>
          <t>• Maliyet kontrol — eskalasyon tutarını görmek</t>
        </is>
      </c>
    </row>
    <row r="15">
      <c r="A15" s="7" t="inlineStr">
        <is>
          <t>• Müteahhit — TALEP ET / BEKLE / VAZGEÇ kararını almak</t>
        </is>
      </c>
    </row>
    <row r="16">
      <c r="A16" s="7" t="inlineStr">
        <is>
          <t>• Danışman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70" customWidth="1" min="2" max="2"/>
  </cols>
  <sheetData>
    <row r="1" ht="26" customHeight="1">
      <c r="A1" s="1" t="inlineStr">
        <is>
          <t>HIZLI BASLANGIC — İhale Fiyat Farkı (Eskalasyon) Pro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yıl, sözleşme, endeks, ağırlık ve hakedişi sarı hücrelere girin.</t>
        </is>
      </c>
    </row>
    <row r="6">
      <c r="A6" s="10" t="inlineStr">
        <is>
          <t>Adım 2 — Karar</t>
        </is>
      </c>
      <c r="B6" s="6" t="inlineStr">
        <is>
          <t>PANO'da fiyat farkı tutarını ve TALEP ET / BEKLE / VAZGEÇ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Baz ve güncel endeksi ters yazmak</t>
        </is>
      </c>
    </row>
    <row r="11">
      <c r="A11" s="12" t="inlineStr">
        <is>
          <t>• Ağırlık toplamını 1'den sapık bırakmak (işçilik+malzeme+akaryakıt)</t>
        </is>
      </c>
    </row>
    <row r="12">
      <c r="A12" s="12" t="inlineStr">
        <is>
          <t>• Hesap yılını kural tablosuyla uyumsuz seçmek</t>
        </is>
      </c>
    </row>
    <row r="14">
      <c r="A14" s="13" t="inlineStr">
        <is>
          <t>Bu dosya karar destek aracıdır; fiyat farkı talebi dilekçesi veya hukuki görüş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1:H11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İhale Fiyat Farkı (Eskalasyon) Pro</t>
        </is>
      </c>
    </row>
    <row r="3">
      <c r="A3" s="9" t="inlineStr">
        <is>
          <t>Dönem ve sözleşme</t>
        </is>
      </c>
    </row>
    <row r="4">
      <c r="A4" s="4" t="inlineStr">
        <is>
          <t>Sarı hücreler manuel giriştir. Fiyat farkı formülle üretilir.</t>
        </is>
      </c>
    </row>
    <row r="5">
      <c r="A5" s="30" t="inlineStr">
        <is>
          <t>Alan</t>
        </is>
      </c>
      <c r="B5" s="30" t="inlineStr">
        <is>
          <t>Değer</t>
        </is>
      </c>
      <c r="C5" s="30" t="inlineStr">
        <is>
          <t>Birim</t>
        </is>
      </c>
    </row>
    <row r="6">
      <c r="A6" s="7" t="inlineStr">
        <is>
          <t>İhale / İş Adı</t>
        </is>
      </c>
      <c r="B6" s="31" t="inlineStr">
        <is>
          <t>Örnek Yol Yapım İhalesi</t>
        </is>
      </c>
      <c r="C6" s="28" t="inlineStr">
        <is>
          <t>metin</t>
        </is>
      </c>
    </row>
    <row r="7">
      <c r="A7" s="7" t="inlineStr">
        <is>
          <t>Hakediş Dönemi</t>
        </is>
      </c>
      <c r="B7" s="31" t="inlineStr">
        <is>
          <t>2025-HK-03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2" t="n">
        <v>2025</v>
      </c>
      <c r="C8" s="28" t="inlineStr">
        <is>
          <t>yıl</t>
        </is>
      </c>
    </row>
    <row r="9">
      <c r="A9" s="7" t="inlineStr">
        <is>
          <t>Sözleşme Bedeli [₺]</t>
        </is>
      </c>
      <c r="B9" s="33" t="n">
        <v>10000000</v>
      </c>
      <c r="C9" s="28" t="inlineStr">
        <is>
          <t>₺</t>
        </is>
      </c>
    </row>
    <row r="10">
      <c r="A10" s="7" t="inlineStr">
        <is>
          <t>Baz Endeks</t>
        </is>
      </c>
      <c r="B10" s="32" t="n">
        <v>100</v>
      </c>
      <c r="C10" s="28" t="inlineStr">
        <is>
          <t>endeks</t>
        </is>
      </c>
    </row>
    <row r="11">
      <c r="A11" s="7" t="inlineStr">
        <is>
          <t>Güncel Endeks</t>
        </is>
      </c>
      <c r="B11" s="32" t="n">
        <v>118</v>
      </c>
      <c r="C11" s="28" t="inlineStr">
        <is>
          <t>endeks</t>
        </is>
      </c>
    </row>
    <row r="12">
      <c r="A12" s="7" t="inlineStr">
        <is>
          <t>İşçilik Ağırlığı [%]</t>
        </is>
      </c>
      <c r="B12" s="34" t="n">
        <v>0.4</v>
      </c>
      <c r="C12" s="28" t="inlineStr">
        <is>
          <t>oran</t>
        </is>
      </c>
    </row>
    <row r="13">
      <c r="A13" s="7" t="inlineStr">
        <is>
          <t>Malzeme Ağırlığı [%]</t>
        </is>
      </c>
      <c r="B13" s="34" t="n">
        <v>0.45</v>
      </c>
      <c r="C13" s="28" t="inlineStr">
        <is>
          <t>oran</t>
        </is>
      </c>
    </row>
    <row r="14">
      <c r="A14" s="7" t="inlineStr">
        <is>
          <t>Akaryakıt Ağırlığı [%]</t>
        </is>
      </c>
      <c r="B14" s="34" t="n">
        <v>0.15</v>
      </c>
      <c r="C14" s="28" t="inlineStr">
        <is>
          <t>oran</t>
        </is>
      </c>
    </row>
    <row r="15">
      <c r="A15" s="7" t="inlineStr">
        <is>
          <t>Hakediş Tutarı [₺]</t>
        </is>
      </c>
      <c r="B15" s="33" t="n">
        <v>2500000</v>
      </c>
      <c r="C15" s="28" t="inlineStr">
        <is>
          <t>₺</t>
        </is>
      </c>
    </row>
    <row r="16">
      <c r="A16" s="7" t="inlineStr">
        <is>
          <t>Yorum Modu (A/B)</t>
        </is>
      </c>
      <c r="B16" s="31" t="inlineStr">
        <is>
          <t>A</t>
        </is>
      </c>
      <c r="C16" s="28" t="inlineStr">
        <is>
          <t>metin</t>
        </is>
      </c>
    </row>
    <row r="18">
      <c r="A18" s="10" t="inlineStr">
        <is>
          <t>Fiyat Farkı (ayna) [₺]</t>
        </is>
      </c>
      <c r="B18" s="35">
        <f>IFERROR(iff_fiyatFarki,0)</f>
        <v/>
      </c>
    </row>
    <row r="19">
      <c r="A19" s="10" t="inlineStr">
        <is>
          <t>Giriş doluluk (kalite)</t>
        </is>
      </c>
      <c r="B19" s="36">
        <f>IFERROR(IF(OR(COUNTA(B6:B16)=0,iff_girisBeklenen=0),0,ROUND(COUNTA(B6:B16)/iff_girisBeklenen*100,0)),0)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22" t="inlineStr">
        <is>
          <t>Alan Anahtarı</t>
        </is>
      </c>
      <c r="B23" s="22" t="inlineStr">
        <is>
          <t>Değer</t>
        </is>
      </c>
      <c r="C23" s="22" t="inlineStr">
        <is>
          <t>Birim</t>
        </is>
      </c>
      <c r="D23" s="22" t="inlineStr">
        <is>
          <t>Zorunlu</t>
        </is>
      </c>
      <c r="E23" s="22" t="inlineStr">
        <is>
          <t>Kaynak</t>
        </is>
      </c>
      <c r="F23" s="22" t="inlineStr">
        <is>
          <t>Kontrol</t>
        </is>
      </c>
    </row>
    <row r="24">
      <c r="A24" s="37" t="inlineStr">
        <is>
          <t>ihale_adi</t>
        </is>
      </c>
      <c r="B24" s="37" t="inlineStr">
        <is>
          <t>Örnek Yol Yapım İhalesi</t>
        </is>
      </c>
      <c r="C24" s="37" t="inlineStr">
        <is>
          <t>metin</t>
        </is>
      </c>
      <c r="D24" s="37" t="inlineStr">
        <is>
          <t>Evet</t>
        </is>
      </c>
      <c r="E24" s="37" t="inlineStr">
        <is>
          <t>GIRDI</t>
        </is>
      </c>
      <c r="F24" s="38">
        <f>IF($A24="","",IF($B24="","EKSİK","TAM"))</f>
        <v/>
      </c>
    </row>
    <row r="25">
      <c r="A25" s="37" t="inlineStr">
        <is>
          <t>donem</t>
        </is>
      </c>
      <c r="B25" s="37" t="inlineStr">
        <is>
          <t>2025-HK-03</t>
        </is>
      </c>
      <c r="C25" s="37" t="inlineStr">
        <is>
          <t>metin</t>
        </is>
      </c>
      <c r="D25" s="37" t="inlineStr">
        <is>
          <t>Evet</t>
        </is>
      </c>
      <c r="E25" s="37" t="inlineStr">
        <is>
          <t>GIRDI</t>
        </is>
      </c>
      <c r="F25" s="38">
        <f>IF($A25="","",IF($B25="","EKSİK","TAM"))</f>
        <v/>
      </c>
    </row>
    <row r="26">
      <c r="A26" s="37" t="inlineStr">
        <is>
          <t>hesapYili</t>
        </is>
      </c>
      <c r="B26" s="39" t="n">
        <v>2025</v>
      </c>
      <c r="C26" s="37" t="inlineStr">
        <is>
          <t>yıl</t>
        </is>
      </c>
      <c r="D26" s="37" t="inlineStr">
        <is>
          <t>Evet</t>
        </is>
      </c>
      <c r="E26" s="37" t="inlineStr">
        <is>
          <t>GIRDI</t>
        </is>
      </c>
      <c r="F26" s="38">
        <f>IF($A26="","",IF($B26="","EKSİK","TAM"))</f>
        <v/>
      </c>
    </row>
    <row r="27">
      <c r="A27" s="37" t="inlineStr">
        <is>
          <t>sozlesme_bedeli</t>
        </is>
      </c>
      <c r="B27" s="40" t="n">
        <v>10000000</v>
      </c>
      <c r="C27" s="37" t="inlineStr">
        <is>
          <t>TL</t>
        </is>
      </c>
      <c r="D27" s="37" t="inlineStr">
        <is>
          <t>Evet</t>
        </is>
      </c>
      <c r="E27" s="37" t="inlineStr">
        <is>
          <t>GIRDI</t>
        </is>
      </c>
      <c r="F27" s="38">
        <f>IF($A27="","",IF($B27="","EKSİK","TAM"))</f>
        <v/>
      </c>
    </row>
    <row r="28">
      <c r="A28" s="37" t="inlineStr">
        <is>
          <t>baz_endeks</t>
        </is>
      </c>
      <c r="B28" s="39" t="n">
        <v>100</v>
      </c>
      <c r="C28" s="37" t="inlineStr">
        <is>
          <t>endeks</t>
        </is>
      </c>
      <c r="D28" s="37" t="inlineStr">
        <is>
          <t>Evet</t>
        </is>
      </c>
      <c r="E28" s="37" t="inlineStr">
        <is>
          <t>GIRDI</t>
        </is>
      </c>
      <c r="F28" s="38">
        <f>IF($A28="","",IF($B28="","EKSİK","TAM"))</f>
        <v/>
      </c>
    </row>
    <row r="29">
      <c r="A29" s="37" t="inlineStr">
        <is>
          <t>guncel_endeks</t>
        </is>
      </c>
      <c r="B29" s="39" t="n">
        <v>118</v>
      </c>
      <c r="C29" s="37" t="inlineStr">
        <is>
          <t>endeks</t>
        </is>
      </c>
      <c r="D29" s="37" t="inlineStr">
        <is>
          <t>Evet</t>
        </is>
      </c>
      <c r="E29" s="37" t="inlineStr">
        <is>
          <t>GIRDI</t>
        </is>
      </c>
      <c r="F29" s="38">
        <f>IF($A29="","",IF($B29="","EKSİK","TAM"))</f>
        <v/>
      </c>
    </row>
    <row r="30">
      <c r="A30" s="37" t="inlineStr">
        <is>
          <t>agirlik_iscilik</t>
        </is>
      </c>
      <c r="B30" s="41" t="n">
        <v>0.4</v>
      </c>
      <c r="C30" s="37" t="inlineStr">
        <is>
          <t>oran</t>
        </is>
      </c>
      <c r="D30" s="37" t="inlineStr">
        <is>
          <t>Evet</t>
        </is>
      </c>
      <c r="E30" s="37" t="inlineStr">
        <is>
          <t>GIRDI</t>
        </is>
      </c>
      <c r="F30" s="38">
        <f>IF($A30="","",IF($B30="","EKSİK","TAM"))</f>
        <v/>
      </c>
    </row>
    <row r="31">
      <c r="A31" s="37" t="inlineStr">
        <is>
          <t>agirlik_malzeme</t>
        </is>
      </c>
      <c r="B31" s="41" t="n">
        <v>0.45</v>
      </c>
      <c r="C31" s="37" t="inlineStr">
        <is>
          <t>oran</t>
        </is>
      </c>
      <c r="D31" s="37" t="inlineStr">
        <is>
          <t>Evet</t>
        </is>
      </c>
      <c r="E31" s="37" t="inlineStr">
        <is>
          <t>GIRDI</t>
        </is>
      </c>
      <c r="F31" s="38">
        <f>IF($A31="","",IF($B31="","EKSİK","TAM"))</f>
        <v/>
      </c>
    </row>
    <row r="32">
      <c r="A32" s="37" t="inlineStr">
        <is>
          <t>agirlik_akaryakit</t>
        </is>
      </c>
      <c r="B32" s="41" t="n">
        <v>0.15</v>
      </c>
      <c r="C32" s="37" t="inlineStr">
        <is>
          <t>oran</t>
        </is>
      </c>
      <c r="D32" s="37" t="inlineStr">
        <is>
          <t>Evet</t>
        </is>
      </c>
      <c r="E32" s="37" t="inlineStr">
        <is>
          <t>GIRDI</t>
        </is>
      </c>
      <c r="F32" s="38">
        <f>IF($A32="","",IF($B32="","EKSİK","TAM"))</f>
        <v/>
      </c>
    </row>
    <row r="33">
      <c r="A33" s="37" t="inlineStr">
        <is>
          <t>hakedis_tutari</t>
        </is>
      </c>
      <c r="B33" s="40" t="n">
        <v>2500000</v>
      </c>
      <c r="C33" s="37" t="inlineStr">
        <is>
          <t>TL</t>
        </is>
      </c>
      <c r="D33" s="37" t="inlineStr">
        <is>
          <t>Evet</t>
        </is>
      </c>
      <c r="E33" s="37" t="inlineStr">
        <is>
          <t>GIRDI</t>
        </is>
      </c>
      <c r="F33" s="38">
        <f>IF($A33="","",IF($B33="","EKSİK","TAM"))</f>
        <v/>
      </c>
    </row>
    <row r="34">
      <c r="A34" s="37" t="inlineStr">
        <is>
          <t>yorum_modu</t>
        </is>
      </c>
      <c r="B34" s="37" t="inlineStr">
        <is>
          <t>A</t>
        </is>
      </c>
      <c r="C34" s="37" t="inlineStr">
        <is>
          <t>A/B</t>
        </is>
      </c>
      <c r="D34" s="37" t="inlineStr">
        <is>
          <t>Evet</t>
        </is>
      </c>
      <c r="E34" s="37" t="inlineStr">
        <is>
          <t>GIRDI</t>
        </is>
      </c>
      <c r="F34" s="38">
        <f>IF($A34="","",IF($B34="","EKSİK","TAM"))</f>
        <v/>
      </c>
    </row>
    <row r="35">
      <c r="F35" s="38">
        <f>IF($A35="","",IF($B35="","EKSİK","TAM"))</f>
        <v/>
      </c>
    </row>
    <row r="36">
      <c r="F36" s="38">
        <f>IF($A36="","",IF($B36="","EKSİK","TAM"))</f>
        <v/>
      </c>
    </row>
    <row r="37">
      <c r="F37" s="38">
        <f>IF($A37="","",IF($B37="","EKSİK","TAM"))</f>
        <v/>
      </c>
    </row>
    <row r="38">
      <c r="F38" s="38">
        <f>IF($A38="","",IF($B38="","EKSİK","TAM"))</f>
        <v/>
      </c>
    </row>
    <row r="39">
      <c r="F39" s="38">
        <f>IF($A39="","",IF($B39="","EKSİK","TAM"))</f>
        <v/>
      </c>
    </row>
    <row r="40">
      <c r="F40" s="38">
        <f>IF($A40="","",IF($B40="","EKSİK","TAM"))</f>
        <v/>
      </c>
    </row>
    <row r="41">
      <c r="F41" s="38">
        <f>IF($A41="","",IF($B41="","EKSİK","TAM"))</f>
        <v/>
      </c>
    </row>
    <row r="42">
      <c r="F42" s="38">
        <f>IF($A42="","",IF($B42="","EKSİK","TAM"))</f>
        <v/>
      </c>
    </row>
    <row r="43">
      <c r="F43" s="38">
        <f>IF($A43="","",IF($B43="","EKSİK","TAM"))</f>
        <v/>
      </c>
    </row>
    <row r="44">
      <c r="F44" s="38">
        <f>IF($A44="","",IF($B44="","EKSİK","TAM"))</f>
        <v/>
      </c>
    </row>
    <row r="45">
      <c r="F45" s="38">
        <f>IF($A45="","",IF($B45="","EKSİK","TAM"))</f>
        <v/>
      </c>
    </row>
    <row r="46">
      <c r="F46" s="38">
        <f>IF($A46="","",IF($B46="","EKSİK","TAM"))</f>
        <v/>
      </c>
    </row>
    <row r="47">
      <c r="F47" s="38">
        <f>IF($A47="","",IF($B47="","EKSİK","TAM"))</f>
        <v/>
      </c>
    </row>
    <row r="48">
      <c r="F48" s="38">
        <f>IF($A48="","",IF($B48="","EKSİK","TAM"))</f>
        <v/>
      </c>
    </row>
    <row r="49">
      <c r="F49" s="38">
        <f>IF($A49="","",IF($B49="","EKSİK","TAM"))</f>
        <v/>
      </c>
    </row>
    <row r="50">
      <c r="F50" s="38">
        <f>IF($A50="","",IF($B50="","EKSİK","TAM"))</f>
        <v/>
      </c>
    </row>
    <row r="51">
      <c r="F51" s="38">
        <f>IF($A51="","",IF($B51="","EKSİK","TAM"))</f>
        <v/>
      </c>
    </row>
    <row r="52">
      <c r="F52" s="38">
        <f>IF($A52="","",IF($B52="","EKSİK","TAM"))</f>
        <v/>
      </c>
    </row>
    <row r="53">
      <c r="F53" s="38">
        <f>IF($A53="","",IF($B53="","EKSİK","TAM"))</f>
        <v/>
      </c>
    </row>
    <row r="54">
      <c r="F54" s="38">
        <f>IF($A54="","",IF($B54="","EKSİK","TAM"))</f>
        <v/>
      </c>
    </row>
    <row r="55">
      <c r="F55" s="38">
        <f>IF($A55="","",IF($B55="","EKSİK","TAM"))</f>
        <v/>
      </c>
    </row>
    <row r="56">
      <c r="F56" s="38">
        <f>IF($A56="","",IF($B56="","EKSİK","TAM"))</f>
        <v/>
      </c>
    </row>
    <row r="57">
      <c r="F57" s="38">
        <f>IF($A57="","",IF($B57="","EKSİK","TAM"))</f>
        <v/>
      </c>
    </row>
    <row r="58">
      <c r="F58" s="38">
        <f>IF($A58="","",IF($B58="","EKSİK","TAM"))</f>
        <v/>
      </c>
    </row>
    <row r="59">
      <c r="F59" s="38">
        <f>IF($A59="","",IF($B59="","EKSİK","TAM"))</f>
        <v/>
      </c>
    </row>
    <row r="60">
      <c r="F60" s="38">
        <f>IF($A60="","",IF($B60="","EKSİK","TAM"))</f>
        <v/>
      </c>
    </row>
    <row r="61">
      <c r="F61" s="38">
        <f>IF($A61="","",IF($B61="","EKSİK","TAM"))</f>
        <v/>
      </c>
    </row>
    <row r="62">
      <c r="F62" s="38">
        <f>IF($A62="","",IF($B62="","EKSİK","TAM"))</f>
        <v/>
      </c>
    </row>
    <row r="63">
      <c r="F63" s="38">
        <f>IF($A63="","",IF($B63="","EKSİK","TAM"))</f>
        <v/>
      </c>
    </row>
    <row r="64">
      <c r="F64" s="38">
        <f>IF($A64="","",IF($B64="","EKSİK","TAM"))</f>
        <v/>
      </c>
    </row>
    <row r="65">
      <c r="F65" s="38">
        <f>IF($A65="","",IF($B65="","EKSİK","TAM"))</f>
        <v/>
      </c>
    </row>
    <row r="66">
      <c r="F66" s="38">
        <f>IF($A66="","",IF($B66="","EKSİK","TAM"))</f>
        <v/>
      </c>
    </row>
    <row r="67">
      <c r="F67" s="38">
        <f>IF($A67="","",IF($B67="","EKSİK","TAM"))</f>
        <v/>
      </c>
    </row>
    <row r="68">
      <c r="F68" s="38">
        <f>IF($A68="","",IF($B68="","EKSİK","TAM"))</f>
        <v/>
      </c>
    </row>
    <row r="69">
      <c r="F69" s="38">
        <f>IF($A69="","",IF($B69="","EKSİK","TAM"))</f>
        <v/>
      </c>
    </row>
    <row r="70">
      <c r="F70" s="38">
        <f>IF($A70="","",IF($B70="","EKSİK","TAM"))</f>
        <v/>
      </c>
    </row>
    <row r="71">
      <c r="F71" s="38">
        <f>IF($A71="","",IF($B71="","EKSİK","TAM"))</f>
        <v/>
      </c>
    </row>
    <row r="72">
      <c r="F72" s="38">
        <f>IF($A72="","",IF($B72="","EKSİK","TAM"))</f>
        <v/>
      </c>
    </row>
    <row r="73">
      <c r="F73" s="38">
        <f>IF($A73="","",IF($B73="","EKSİK","TAM"))</f>
        <v/>
      </c>
    </row>
    <row r="74">
      <c r="F74" s="38">
        <f>IF($A74="","",IF($B74="","EKSİK","TAM"))</f>
        <v/>
      </c>
    </row>
    <row r="75">
      <c r="F75" s="38">
        <f>IF($A75="","",IF($B75="","EKSİK","TAM"))</f>
        <v/>
      </c>
    </row>
    <row r="76">
      <c r="F76" s="38">
        <f>IF($A76="","",IF($B76="","EKSİK","TAM"))</f>
        <v/>
      </c>
    </row>
    <row r="77">
      <c r="F77" s="38">
        <f>IF($A77="","",IF($B77="","EKSİK","TAM"))</f>
        <v/>
      </c>
    </row>
    <row r="78">
      <c r="F78" s="38">
        <f>IF($A78="","",IF($B78="","EKSİK","TAM"))</f>
        <v/>
      </c>
    </row>
    <row r="79">
      <c r="F79" s="38">
        <f>IF($A79="","",IF($B79="","EKSİK","TAM"))</f>
        <v/>
      </c>
    </row>
    <row r="80">
      <c r="F80" s="38">
        <f>IF($A80="","",IF($B80="","EKSİK","TAM"))</f>
        <v/>
      </c>
    </row>
    <row r="81">
      <c r="F81" s="38">
        <f>IF($A81="","",IF($B81="","EKSİK","TAM"))</f>
        <v/>
      </c>
    </row>
    <row r="82">
      <c r="F82" s="38">
        <f>IF($A82="","",IF($B82="","EKSİK","TAM"))</f>
        <v/>
      </c>
    </row>
    <row r="83">
      <c r="F83" s="38">
        <f>IF($A83="","",IF($B83="","EKSİK","TAM"))</f>
        <v/>
      </c>
    </row>
    <row r="84">
      <c r="F84" s="38">
        <f>IF($A84="","",IF($B84="","EKSİK","TAM"))</f>
        <v/>
      </c>
    </row>
    <row r="85">
      <c r="F85" s="38">
        <f>IF($A85="","",IF($B85="","EKSİK","TAM"))</f>
        <v/>
      </c>
    </row>
    <row r="86">
      <c r="F86" s="38">
        <f>IF($A86="","",IF($B86="","EKSİK","TAM"))</f>
        <v/>
      </c>
    </row>
    <row r="87">
      <c r="F87" s="38">
        <f>IF($A87="","",IF($B87="","EKSİK","TAM"))</f>
        <v/>
      </c>
    </row>
    <row r="88">
      <c r="F88" s="38">
        <f>IF($A88="","",IF($B88="","EKSİK","TAM"))</f>
        <v/>
      </c>
    </row>
    <row r="89">
      <c r="F89" s="38">
        <f>IF($A89="","",IF($B89="","EKSİK","TAM"))</f>
        <v/>
      </c>
    </row>
    <row r="90">
      <c r="F90" s="38">
        <f>IF($A90="","",IF($B90="","EKSİK","TAM"))</f>
        <v/>
      </c>
    </row>
    <row r="91">
      <c r="F91" s="38">
        <f>IF($A91="","",IF($B91="","EKSİK","TAM"))</f>
        <v/>
      </c>
    </row>
    <row r="92">
      <c r="F92" s="38">
        <f>IF($A92="","",IF($B92="","EKSİK","TAM"))</f>
        <v/>
      </c>
    </row>
    <row r="93">
      <c r="F93" s="38">
        <f>IF($A93="","",IF($B93="","EKSİK","TAM"))</f>
        <v/>
      </c>
    </row>
    <row r="94">
      <c r="F94" s="38">
        <f>IF($A94="","",IF($B94="","EKSİK","TAM"))</f>
        <v/>
      </c>
    </row>
    <row r="95">
      <c r="F95" s="38">
        <f>IF($A95="","",IF($B95="","EKSİK","TAM"))</f>
        <v/>
      </c>
    </row>
    <row r="96">
      <c r="F96" s="38">
        <f>IF($A96="","",IF($B96="","EKSİK","TAM"))</f>
        <v/>
      </c>
    </row>
    <row r="97">
      <c r="F97" s="38">
        <f>IF($A97="","",IF($B97="","EKSİK","TAM"))</f>
        <v/>
      </c>
    </row>
    <row r="98">
      <c r="F98" s="38">
        <f>IF($A98="","",IF($B98="","EKSİK","TAM"))</f>
        <v/>
      </c>
    </row>
    <row r="99">
      <c r="F99" s="38">
        <f>IF($A99="","",IF($B99="","EKSİK","TAM"))</f>
        <v/>
      </c>
    </row>
    <row r="100">
      <c r="F100" s="38">
        <f>IF($A100="","",IF($B100="","EKSİK","TAM"))</f>
        <v/>
      </c>
    </row>
    <row r="101">
      <c r="F101" s="38">
        <f>IF($A101="","",IF($B101="","EKSİK","TAM"))</f>
        <v/>
      </c>
    </row>
    <row r="102">
      <c r="F102" s="38">
        <f>IF($A102="","",IF($B102="","EKSİK","TAM"))</f>
        <v/>
      </c>
    </row>
    <row r="103">
      <c r="F103" s="38">
        <f>IF($A103="","",IF($B103="","EKSİK","TAM"))</f>
        <v/>
      </c>
    </row>
    <row r="104">
      <c r="F104" s="38">
        <f>IF($A104="","",IF($B104="","EKSİK","TAM"))</f>
        <v/>
      </c>
    </row>
    <row r="105">
      <c r="F105" s="38">
        <f>IF($A105="","",IF($B105="","EKSİK","TAM"))</f>
        <v/>
      </c>
    </row>
    <row r="106">
      <c r="F106" s="38">
        <f>IF($A106="","",IF($B106="","EKSİK","TAM"))</f>
        <v/>
      </c>
    </row>
    <row r="107">
      <c r="F107" s="38">
        <f>IF($A107="","",IF($B107="","EKSİK","TAM"))</f>
        <v/>
      </c>
    </row>
    <row r="108">
      <c r="F108" s="38">
        <f>IF($A108="","",IF($B108="","EKSİK","TAM"))</f>
        <v/>
      </c>
    </row>
    <row r="109">
      <c r="F109" s="38">
        <f>IF($A109="","",IF($B109="","EKSİK","TAM"))</f>
        <v/>
      </c>
    </row>
    <row r="110">
      <c r="F110" s="38">
        <f>IF($A110="","",IF($B110="","EKSİK","TAM"))</f>
        <v/>
      </c>
    </row>
    <row r="111">
      <c r="F111" s="38">
        <f>IF($A111="","",IF($B111="","EKSİK","TAM"))</f>
        <v/>
      </c>
    </row>
    <row r="112">
      <c r="F112" s="38">
        <f>IF($A112="","",IF($B112="","EKSİK","TAM"))</f>
        <v/>
      </c>
    </row>
    <row r="113">
      <c r="F113" s="38">
        <f>IF($A113="","",IF($B113="","EKSİK","TAM"))</f>
        <v/>
      </c>
    </row>
    <row r="114">
      <c r="F114" s="38">
        <f>IF($A114="","",IF($B114="","EKSİK","TAM"))</f>
        <v/>
      </c>
    </row>
    <row r="115">
      <c r="F115" s="38">
        <f>IF($A115="","",IF($B115="","EKSİK","TAM"))</f>
        <v/>
      </c>
    </row>
    <row r="116">
      <c r="F116" s="38">
        <f>IF($A116="","",IF($B116="","EKSİK","TAM"))</f>
        <v/>
      </c>
    </row>
    <row r="117">
      <c r="F117" s="38">
        <f>IF($A117="","",IF($B117="","EKSİK","TAM"))</f>
        <v/>
      </c>
    </row>
    <row r="118">
      <c r="F118" s="38">
        <f>IF($A118="","",IF($B118="","EKSİK","TAM"))</f>
        <v/>
      </c>
    </row>
    <row r="119">
      <c r="F119" s="38">
        <f>IF($A119="","",IF($B119="","EKSİK","TAM"))</f>
        <v/>
      </c>
    </row>
    <row r="120">
      <c r="F120" s="38">
        <f>IF($A120="","",IF($B120="","EKSİK","TAM"))</f>
        <v/>
      </c>
    </row>
    <row r="121">
      <c r="F121" s="38">
        <f>IF($A121="","",IF($B121="","EKSİK","TAM"))</f>
        <v/>
      </c>
    </row>
    <row r="122">
      <c r="F122" s="38">
        <f>IF($A122="","",IF($B122="","EKSİK","TAM"))</f>
        <v/>
      </c>
    </row>
    <row r="123">
      <c r="F123" s="38">
        <f>IF($A123="","",IF($B123="","EKSİK","TAM"))</f>
        <v/>
      </c>
    </row>
    <row r="124">
      <c r="F124" s="38">
        <f>IF($A124="","",IF($B124="","EKSİK","TAM"))</f>
        <v/>
      </c>
    </row>
    <row r="125">
      <c r="F125" s="38">
        <f>IF($A125="","",IF($B125="","EKSİK","TAM"))</f>
        <v/>
      </c>
    </row>
    <row r="126">
      <c r="F126" s="38">
        <f>IF($A126="","",IF($B126="","EKSİK","TAM"))</f>
        <v/>
      </c>
    </row>
    <row r="127">
      <c r="F127" s="38">
        <f>IF($A127="","",IF($B127="","EKSİK","TAM"))</f>
        <v/>
      </c>
    </row>
    <row r="128">
      <c r="F128" s="38">
        <f>IF($A128="","",IF($B128="","EKSİK","TAM"))</f>
        <v/>
      </c>
    </row>
    <row r="129">
      <c r="F129" s="38">
        <f>IF($A129="","",IF($B129="","EKSİK","TAM"))</f>
        <v/>
      </c>
    </row>
    <row r="130">
      <c r="F130" s="38">
        <f>IF($A130="","",IF($B130="","EKSİK","TAM"))</f>
        <v/>
      </c>
    </row>
    <row r="131">
      <c r="F131" s="38">
        <f>IF($A131="","",IF($B131="","EKSİK","TAM"))</f>
        <v/>
      </c>
    </row>
    <row r="132">
      <c r="F132" s="38">
        <f>IF($A132="","",IF($B132="","EKSİK","TAM"))</f>
        <v/>
      </c>
    </row>
    <row r="133">
      <c r="F133" s="38">
        <f>IF($A133="","",IF($B133="","EKSİK","TAM"))</f>
        <v/>
      </c>
    </row>
    <row r="134">
      <c r="F134" s="38">
        <f>IF($A134="","",IF($B134="","EKSİK","TAM"))</f>
        <v/>
      </c>
    </row>
    <row r="135">
      <c r="F135" s="38">
        <f>IF($A135="","",IF($B135="","EKSİK","TAM"))</f>
        <v/>
      </c>
    </row>
    <row r="136">
      <c r="F136" s="38">
        <f>IF($A136="","",IF($B136="","EKSİK","TAM"))</f>
        <v/>
      </c>
    </row>
    <row r="137">
      <c r="F137" s="38">
        <f>IF($A137="","",IF($B137="","EKSİK","TAM"))</f>
        <v/>
      </c>
    </row>
    <row r="138">
      <c r="F138" s="38">
        <f>IF($A138="","",IF($B138="","EKSİK","TAM"))</f>
        <v/>
      </c>
    </row>
    <row r="139">
      <c r="F139" s="38">
        <f>IF($A139="","",IF($B139="","EKSİK","TAM"))</f>
        <v/>
      </c>
    </row>
    <row r="140">
      <c r="F140" s="38">
        <f>IF($A140="","",IF($B140="","EKSİK","TAM"))</f>
        <v/>
      </c>
    </row>
    <row r="141">
      <c r="F141" s="38">
        <f>IF($A141="","",IF($B141="","EKSİK","TAM"))</f>
        <v/>
      </c>
    </row>
    <row r="142">
      <c r="F142" s="38">
        <f>IF($A142="","",IF($B142="","EKSİK","TAM"))</f>
        <v/>
      </c>
    </row>
    <row r="143">
      <c r="F143" s="38">
        <f>IF($A143="","",IF($B143="","EKSİK","TAM"))</f>
        <v/>
      </c>
    </row>
    <row r="144">
      <c r="F144" s="38">
        <f>IF($A144="","",IF($B144="","EKSİK","TAM"))</f>
        <v/>
      </c>
    </row>
    <row r="145">
      <c r="F145" s="38">
        <f>IF($A145="","",IF($B145="","EKSİK","TAM"))</f>
        <v/>
      </c>
    </row>
    <row r="146">
      <c r="F146" s="38">
        <f>IF($A146="","",IF($B146="","EKSİK","TAM"))</f>
        <v/>
      </c>
    </row>
    <row r="147">
      <c r="F147" s="38">
        <f>IF($A147="","",IF($B147="","EKSİK","TAM"))</f>
        <v/>
      </c>
    </row>
    <row r="148">
      <c r="F148" s="38">
        <f>IF($A148="","",IF($B148="","EKSİK","TAM"))</f>
        <v/>
      </c>
    </row>
    <row r="149">
      <c r="F149" s="38">
        <f>IF($A149="","",IF($B149="","EKSİK","TAM"))</f>
        <v/>
      </c>
    </row>
    <row r="150">
      <c r="F150" s="38">
        <f>IF($A150="","",IF($B150="","EKSİK","TAM"))</f>
        <v/>
      </c>
    </row>
    <row r="151">
      <c r="F151" s="38">
        <f>IF($A151="","",IF($B151="","EKSİK","TAM"))</f>
        <v/>
      </c>
    </row>
    <row r="152">
      <c r="F152" s="38">
        <f>IF($A152="","",IF($B152="","EKSİK","TAM"))</f>
        <v/>
      </c>
    </row>
    <row r="153">
      <c r="F153" s="38">
        <f>IF($A153="","",IF($B153="","EKSİK","TAM"))</f>
        <v/>
      </c>
    </row>
    <row r="154">
      <c r="F154" s="38">
        <f>IF($A154="","",IF($B154="","EKSİK","TAM"))</f>
        <v/>
      </c>
    </row>
    <row r="155">
      <c r="F155" s="38">
        <f>IF($A155="","",IF($B155="","EKSİK","TAM"))</f>
        <v/>
      </c>
    </row>
    <row r="156">
      <c r="F156" s="38">
        <f>IF($A156="","",IF($B156="","EKSİK","TAM"))</f>
        <v/>
      </c>
    </row>
    <row r="157">
      <c r="F157" s="38">
        <f>IF($A157="","",IF($B157="","EKSİK","TAM"))</f>
        <v/>
      </c>
    </row>
    <row r="158">
      <c r="F158" s="38">
        <f>IF($A158="","",IF($B158="","EKSİK","TAM"))</f>
        <v/>
      </c>
    </row>
    <row r="159">
      <c r="F159" s="38">
        <f>IF($A159="","",IF($B159="","EKSİK","TAM"))</f>
        <v/>
      </c>
    </row>
    <row r="160">
      <c r="F160" s="38">
        <f>IF($A160="","",IF($B160="","EKSİK","TAM"))</f>
        <v/>
      </c>
    </row>
    <row r="161">
      <c r="F161" s="38">
        <f>IF($A161="","",IF($B161="","EKSİK","TAM"))</f>
        <v/>
      </c>
    </row>
    <row r="162">
      <c r="F162" s="38">
        <f>IF($A162="","",IF($B162="","EKSİK","TAM"))</f>
        <v/>
      </c>
    </row>
    <row r="163">
      <c r="F163" s="38">
        <f>IF($A163="","",IF($B163="","EKSİK","TAM"))</f>
        <v/>
      </c>
    </row>
    <row r="164">
      <c r="F164" s="38">
        <f>IF($A164="","",IF($B164="","EKSİK","TAM"))</f>
        <v/>
      </c>
    </row>
    <row r="165">
      <c r="F165" s="38">
        <f>IF($A165="","",IF($B165="","EKSİK","TAM"))</f>
        <v/>
      </c>
    </row>
    <row r="166">
      <c r="F166" s="38">
        <f>IF($A166="","",IF($B166="","EKSİK","TAM"))</f>
        <v/>
      </c>
    </row>
    <row r="167">
      <c r="F167" s="38">
        <f>IF($A167="","",IF($B167="","EKSİK","TAM"))</f>
        <v/>
      </c>
    </row>
    <row r="168">
      <c r="F168" s="38">
        <f>IF($A168="","",IF($B168="","EKSİK","TAM"))</f>
        <v/>
      </c>
    </row>
    <row r="169">
      <c r="F169" s="38">
        <f>IF($A169="","",IF($B169="","EKSİK","TAM"))</f>
        <v/>
      </c>
    </row>
    <row r="170">
      <c r="F170" s="38">
        <f>IF($A170="","",IF($B170="","EKSİK","TAM"))</f>
        <v/>
      </c>
    </row>
    <row r="171">
      <c r="F171" s="38">
        <f>IF($A171="","",IF($B171="","EKSİK","TAM"))</f>
        <v/>
      </c>
    </row>
    <row r="172">
      <c r="F172" s="38">
        <f>IF($A172="","",IF($B172="","EKSİK","TAM"))</f>
        <v/>
      </c>
    </row>
    <row r="173">
      <c r="F173" s="38">
        <f>IF($A173="","",IF($B173="","EKSİK","TAM"))</f>
        <v/>
      </c>
    </row>
    <row r="174">
      <c r="F174" s="38">
        <f>IF($A174="","",IF($B174="","EKSİK","TAM"))</f>
        <v/>
      </c>
    </row>
    <row r="175">
      <c r="F175" s="38">
        <f>IF($A175="","",IF($B175="","EKSİK","TAM"))</f>
        <v/>
      </c>
    </row>
    <row r="176">
      <c r="F176" s="38">
        <f>IF($A176="","",IF($B176="","EKSİK","TAM"))</f>
        <v/>
      </c>
    </row>
    <row r="177">
      <c r="F177" s="38">
        <f>IF($A177="","",IF($B177="","EKSİK","TAM"))</f>
        <v/>
      </c>
    </row>
    <row r="178">
      <c r="F178" s="38">
        <f>IF($A178="","",IF($B178="","EKSİK","TAM"))</f>
        <v/>
      </c>
    </row>
    <row r="179">
      <c r="F179" s="38">
        <f>IF($A179="","",IF($B179="","EKSİK","TAM"))</f>
        <v/>
      </c>
    </row>
    <row r="180">
      <c r="F180" s="38">
        <f>IF($A180="","",IF($B180="","EKSİK","TAM"))</f>
        <v/>
      </c>
    </row>
    <row r="181">
      <c r="F181" s="38">
        <f>IF($A181="","",IF($B181="","EKSİK","TAM"))</f>
        <v/>
      </c>
    </row>
    <row r="182">
      <c r="F182" s="38">
        <f>IF($A182="","",IF($B182="","EKSİK","TAM"))</f>
        <v/>
      </c>
    </row>
    <row r="183">
      <c r="F183" s="38">
        <f>IF($A183="","",IF($B183="","EKSİK","TAM"))</f>
        <v/>
      </c>
    </row>
    <row r="184">
      <c r="F184" s="38">
        <f>IF($A184="","",IF($B184="","EKSİK","TAM"))</f>
        <v/>
      </c>
    </row>
    <row r="185">
      <c r="F185" s="38">
        <f>IF($A185="","",IF($B185="","EKSİK","TAM"))</f>
        <v/>
      </c>
    </row>
    <row r="186">
      <c r="F186" s="38">
        <f>IF($A186="","",IF($B186="","EKSİK","TAM"))</f>
        <v/>
      </c>
    </row>
    <row r="187">
      <c r="F187" s="38">
        <f>IF($A187="","",IF($B187="","EKSİK","TAM"))</f>
        <v/>
      </c>
    </row>
    <row r="188">
      <c r="F188" s="38">
        <f>IF($A188="","",IF($B188="","EKSİK","TAM"))</f>
        <v/>
      </c>
    </row>
    <row r="189">
      <c r="F189" s="38">
        <f>IF($A189="","",IF($B189="","EKSİK","TAM"))</f>
        <v/>
      </c>
    </row>
    <row r="190">
      <c r="F190" s="38">
        <f>IF($A190="","",IF($B190="","EKSİK","TAM"))</f>
        <v/>
      </c>
    </row>
    <row r="191">
      <c r="F191" s="38">
        <f>IF($A191="","",IF($B191="","EKSİK","TAM"))</f>
        <v/>
      </c>
    </row>
    <row r="192">
      <c r="F192" s="38">
        <f>IF($A192="","",IF($B192="","EKSİK","TAM"))</f>
        <v/>
      </c>
    </row>
    <row r="193">
      <c r="F193" s="38">
        <f>IF($A193="","",IF($B193="","EKSİK","TAM"))</f>
        <v/>
      </c>
    </row>
    <row r="194">
      <c r="F194" s="38">
        <f>IF($A194="","",IF($B194="","EKSİK","TAM"))</f>
        <v/>
      </c>
    </row>
    <row r="195">
      <c r="F195" s="38">
        <f>IF($A195="","",IF($B195="","EKSİK","TAM"))</f>
        <v/>
      </c>
    </row>
    <row r="196">
      <c r="F196" s="38">
        <f>IF($A196="","",IF($B196="","EKSİK","TAM"))</f>
        <v/>
      </c>
    </row>
    <row r="197">
      <c r="F197" s="38">
        <f>IF($A197="","",IF($B197="","EKSİK","TAM"))</f>
        <v/>
      </c>
    </row>
    <row r="198">
      <c r="F198" s="38">
        <f>IF($A198="","",IF($B198="","EKSİK","TAM"))</f>
        <v/>
      </c>
    </row>
    <row r="199">
      <c r="F199" s="38">
        <f>IF($A199="","",IF($B199="","EKSİK","TAM"))</f>
        <v/>
      </c>
    </row>
    <row r="200">
      <c r="F200" s="38">
        <f>IF($A200="","",IF($B200="","EKSİK","TAM"))</f>
        <v/>
      </c>
    </row>
    <row r="201">
      <c r="F201" s="38">
        <f>IF($A201="","",IF($B201="","EKSİK","TAM"))</f>
        <v/>
      </c>
    </row>
    <row r="202">
      <c r="F202" s="38">
        <f>IF($A202="","",IF($B202="","EKSİK","TAM"))</f>
        <v/>
      </c>
    </row>
    <row r="203">
      <c r="F203" s="38">
        <f>IF($A203="","",IF($B203="","EKSİK","TAM"))</f>
        <v/>
      </c>
    </row>
    <row r="204">
      <c r="F204" s="38">
        <f>IF($A204="","",IF($B204="","EKSİK","TAM"))</f>
        <v/>
      </c>
    </row>
    <row r="205">
      <c r="F205" s="38">
        <f>IF($A205="","",IF($B205="","EKSİK","TAM"))</f>
        <v/>
      </c>
    </row>
    <row r="206">
      <c r="F206" s="38">
        <f>IF($A206="","",IF($B206="","EKSİK","TAM"))</f>
        <v/>
      </c>
    </row>
    <row r="207">
      <c r="F207" s="38">
        <f>IF($A207="","",IF($B207="","EKSİK","TAM"))</f>
        <v/>
      </c>
    </row>
    <row r="208">
      <c r="F208" s="38">
        <f>IF($A208="","",IF($B208="","EKSİK","TAM"))</f>
        <v/>
      </c>
    </row>
    <row r="209">
      <c r="F209" s="38">
        <f>IF($A209="","",IF($B209="","EKSİK","TAM"))</f>
        <v/>
      </c>
    </row>
    <row r="210">
      <c r="F210" s="38">
        <f>IF($A210="","",IF($B210="","EKSİK","TAM"))</f>
        <v/>
      </c>
    </row>
    <row r="211">
      <c r="F211" s="38">
        <f>IF($A211="","",IF($B211="","EKSİK","TAM"))</f>
        <v/>
      </c>
    </row>
    <row r="212">
      <c r="F212" s="38">
        <f>IF($A212="","",IF($B212="","EKSİK","TAM"))</f>
        <v/>
      </c>
    </row>
    <row r="213">
      <c r="F213" s="38">
        <f>IF($A213="","",IF($B213="","EKSİK","TAM"))</f>
        <v/>
      </c>
    </row>
    <row r="214">
      <c r="F214" s="38">
        <f>IF($A214="","",IF($B214="","EKSİK","TAM"))</f>
        <v/>
      </c>
    </row>
    <row r="215">
      <c r="F215" s="38">
        <f>IF($A215="","",IF($B215="","EKSİK","TAM"))</f>
        <v/>
      </c>
    </row>
    <row r="216">
      <c r="F216" s="38">
        <f>IF($A216="","",IF($B216="","EKSİK","TAM"))</f>
        <v/>
      </c>
    </row>
    <row r="217">
      <c r="F217" s="38">
        <f>IF($A217="","",IF($B217="","EKSİK","TAM"))</f>
        <v/>
      </c>
    </row>
    <row r="218">
      <c r="F218" s="38">
        <f>IF($A218="","",IF($B218="","EKSİK","TAM"))</f>
        <v/>
      </c>
    </row>
    <row r="219">
      <c r="F219" s="38">
        <f>IF($A219="","",IF($B219="","EKSİK","TAM"))</f>
        <v/>
      </c>
    </row>
    <row r="220">
      <c r="F220" s="38">
        <f>IF($A220="","",IF($B220="","EKSİK","TAM"))</f>
        <v/>
      </c>
    </row>
    <row r="221">
      <c r="F221" s="38">
        <f>IF($A221="","",IF($B221="","EKSİK","TAM"))</f>
        <v/>
      </c>
    </row>
    <row r="222">
      <c r="F222" s="38">
        <f>IF($A222="","",IF($B222="","EKSİK","TAM"))</f>
        <v/>
      </c>
    </row>
    <row r="223">
      <c r="F223" s="38">
        <f>IF($A223="","",IF($B223="","EKSİK","TAM"))</f>
        <v/>
      </c>
    </row>
    <row r="224">
      <c r="F224" s="38">
        <f>IF($A224="","",IF($B224="","EKSİK","TAM"))</f>
        <v/>
      </c>
    </row>
    <row r="225">
      <c r="F225" s="38">
        <f>IF($A225="","",IF($B225="","EKSİK","TAM"))</f>
        <v/>
      </c>
    </row>
    <row r="226">
      <c r="F226" s="38">
        <f>IF($A226="","",IF($B226="","EKSİK","TAM"))</f>
        <v/>
      </c>
    </row>
    <row r="227">
      <c r="F227" s="38">
        <f>IF($A227="","",IF($B227="","EKSİK","TAM"))</f>
        <v/>
      </c>
    </row>
    <row r="228">
      <c r="F228" s="38">
        <f>IF($A228="","",IF($B228="","EKSİK","TAM"))</f>
        <v/>
      </c>
    </row>
    <row r="229">
      <c r="F229" s="38">
        <f>IF($A229="","",IF($B229="","EKSİK","TAM"))</f>
        <v/>
      </c>
    </row>
    <row r="230">
      <c r="F230" s="38">
        <f>IF($A230="","",IF($B230="","EKSİK","TAM"))</f>
        <v/>
      </c>
    </row>
    <row r="231">
      <c r="F231" s="38">
        <f>IF($A231="","",IF($B231="","EKSİK","TAM"))</f>
        <v/>
      </c>
    </row>
    <row r="232">
      <c r="F232" s="38">
        <f>IF($A232="","",IF($B232="","EKSİK","TAM"))</f>
        <v/>
      </c>
    </row>
    <row r="233">
      <c r="F233" s="38">
        <f>IF($A233="","",IF($B233="","EKSİK","TAM"))</f>
        <v/>
      </c>
    </row>
    <row r="234">
      <c r="F234" s="38">
        <f>IF($A234="","",IF($B234="","EKSİK","TAM"))</f>
        <v/>
      </c>
    </row>
    <row r="235">
      <c r="F235" s="38">
        <f>IF($A235="","",IF($B235="","EKSİK","TAM"))</f>
        <v/>
      </c>
    </row>
    <row r="236">
      <c r="F236" s="38">
        <f>IF($A236="","",IF($B236="","EKSİK","TAM"))</f>
        <v/>
      </c>
    </row>
    <row r="237">
      <c r="F237" s="38">
        <f>IF($A237="","",IF($B237="","EKSİK","TAM"))</f>
        <v/>
      </c>
    </row>
    <row r="238">
      <c r="F238" s="38">
        <f>IF($A238="","",IF($B238="","EKSİK","TAM"))</f>
        <v/>
      </c>
    </row>
    <row r="239">
      <c r="F239" s="38">
        <f>IF($A239="","",IF($B239="","EKSİK","TAM"))</f>
        <v/>
      </c>
    </row>
    <row r="240">
      <c r="F240" s="38">
        <f>IF($A240="","",IF($B240="","EKSİK","TAM"))</f>
        <v/>
      </c>
    </row>
    <row r="241">
      <c r="F241" s="38">
        <f>IF($A241="","",IF($B241="","EKSİK","TAM"))</f>
        <v/>
      </c>
    </row>
    <row r="242">
      <c r="F242" s="38">
        <f>IF($A242="","",IF($B242="","EKSİK","TAM"))</f>
        <v/>
      </c>
    </row>
    <row r="243">
      <c r="F243" s="38">
        <f>IF($A243="","",IF($B243="","EKSİK","TAM"))</f>
        <v/>
      </c>
    </row>
    <row r="244">
      <c r="F244" s="38">
        <f>IF($A244="","",IF($B244="","EKSİK","TAM"))</f>
        <v/>
      </c>
    </row>
    <row r="245">
      <c r="F245" s="38">
        <f>IF($A245="","",IF($B245="","EKSİK","TAM"))</f>
        <v/>
      </c>
    </row>
    <row r="246">
      <c r="F246" s="38">
        <f>IF($A246="","",IF($B246="","EKSİK","TAM"))</f>
        <v/>
      </c>
    </row>
    <row r="247">
      <c r="F247" s="38">
        <f>IF($A247="","",IF($B247="","EKSİK","TAM"))</f>
        <v/>
      </c>
    </row>
    <row r="248">
      <c r="F248" s="38">
        <f>IF($A248="","",IF($B248="","EKSİK","TAM"))</f>
        <v/>
      </c>
    </row>
    <row r="249">
      <c r="F249" s="38">
        <f>IF($A249="","",IF($B249="","EKSİK","TAM"))</f>
        <v/>
      </c>
    </row>
    <row r="250">
      <c r="F250" s="38">
        <f>IF($A250="","",IF($B250="","EKSİK","TAM"))</f>
        <v/>
      </c>
    </row>
    <row r="251">
      <c r="F251" s="38">
        <f>IF($A251="","",IF($B251="","EKSİK","TAM"))</f>
        <v/>
      </c>
    </row>
    <row r="252">
      <c r="F252" s="38">
        <f>IF($A252="","",IF($B252="","EKSİK","TAM"))</f>
        <v/>
      </c>
    </row>
    <row r="253">
      <c r="F253" s="38">
        <f>IF($A253="","",IF($B253="","EKSİK","TAM"))</f>
        <v/>
      </c>
    </row>
    <row r="254">
      <c r="F254" s="38">
        <f>IF($A254="","",IF($B254="","EKSİK","TAM"))</f>
        <v/>
      </c>
    </row>
    <row r="255">
      <c r="F255" s="38">
        <f>IF($A255="","",IF($B255="","EKSİK","TAM"))</f>
        <v/>
      </c>
    </row>
    <row r="256">
      <c r="F256" s="38">
        <f>IF($A256="","",IF($B256="","EKSİK","TAM"))</f>
        <v/>
      </c>
    </row>
    <row r="257">
      <c r="F257" s="38">
        <f>IF($A257="","",IF($B257="","EKSİK","TAM"))</f>
        <v/>
      </c>
    </row>
    <row r="258">
      <c r="F258" s="38">
        <f>IF($A258="","",IF($B258="","EKSİK","TAM"))</f>
        <v/>
      </c>
    </row>
    <row r="259">
      <c r="F259" s="38">
        <f>IF($A259="","",IF($B259="","EKSİK","TAM"))</f>
        <v/>
      </c>
    </row>
    <row r="260">
      <c r="F260" s="38">
        <f>IF($A260="","",IF($B260="","EKSİK","TAM"))</f>
        <v/>
      </c>
    </row>
    <row r="261">
      <c r="F261" s="38">
        <f>IF($A261="","",IF($B261="","EKSİK","TAM"))</f>
        <v/>
      </c>
    </row>
    <row r="262">
      <c r="F262" s="38">
        <f>IF($A262="","",IF($B262="","EKSİK","TAM"))</f>
        <v/>
      </c>
    </row>
    <row r="263">
      <c r="F263" s="38">
        <f>IF($A263="","",IF($B263="","EKSİK","TAM"))</f>
        <v/>
      </c>
    </row>
    <row r="264">
      <c r="F264" s="38">
        <f>IF($A264="","",IF($B264="","EKSİK","TAM"))</f>
        <v/>
      </c>
    </row>
    <row r="265">
      <c r="F265" s="38">
        <f>IF($A265="","",IF($B265="","EKSİK","TAM"))</f>
        <v/>
      </c>
    </row>
    <row r="266">
      <c r="F266" s="38">
        <f>IF($A266="","",IF($B266="","EKSİK","TAM"))</f>
        <v/>
      </c>
    </row>
    <row r="267">
      <c r="F267" s="38">
        <f>IF($A267="","",IF($B267="","EKSİK","TAM"))</f>
        <v/>
      </c>
    </row>
    <row r="268">
      <c r="F268" s="38">
        <f>IF($A268="","",IF($B268="","EKSİK","TAM"))</f>
        <v/>
      </c>
    </row>
    <row r="269">
      <c r="F269" s="38">
        <f>IF($A269="","",IF($B269="","EKSİK","TAM"))</f>
        <v/>
      </c>
    </row>
    <row r="270">
      <c r="F270" s="38">
        <f>IF($A270="","",IF($B270="","EKSİK","TAM"))</f>
        <v/>
      </c>
    </row>
    <row r="271">
      <c r="F271" s="38">
        <f>IF($A271="","",IF($B271="","EKSİK","TAM"))</f>
        <v/>
      </c>
    </row>
    <row r="272">
      <c r="F272" s="38">
        <f>IF($A272="","",IF($B272="","EKSİK","TAM"))</f>
        <v/>
      </c>
    </row>
    <row r="273">
      <c r="F273" s="38">
        <f>IF($A273="","",IF($B273="","EKSİK","TAM"))</f>
        <v/>
      </c>
    </row>
    <row r="274">
      <c r="F274" s="38">
        <f>IF($A274="","",IF($B274="","EKSİK","TAM"))</f>
        <v/>
      </c>
    </row>
    <row r="275">
      <c r="F275" s="38">
        <f>IF($A275="","",IF($B275="","EKSİK","TAM"))</f>
        <v/>
      </c>
    </row>
    <row r="276">
      <c r="F276" s="38">
        <f>IF($A276="","",IF($B276="","EKSİK","TAM"))</f>
        <v/>
      </c>
    </row>
    <row r="277">
      <c r="F277" s="38">
        <f>IF($A277="","",IF($B277="","EKSİK","TAM"))</f>
        <v/>
      </c>
    </row>
    <row r="278">
      <c r="F278" s="38">
        <f>IF($A278="","",IF($B278="","EKSİK","TAM"))</f>
        <v/>
      </c>
    </row>
    <row r="279">
      <c r="F279" s="38">
        <f>IF($A279="","",IF($B279="","EKSİK","TAM"))</f>
        <v/>
      </c>
    </row>
    <row r="280">
      <c r="F280" s="38">
        <f>IF($A280="","",IF($B280="","EKSİK","TAM"))</f>
        <v/>
      </c>
    </row>
    <row r="281">
      <c r="F281" s="38">
        <f>IF($A281="","",IF($B281="","EKSİK","TAM"))</f>
        <v/>
      </c>
    </row>
    <row r="282">
      <c r="F282" s="38">
        <f>IF($A282="","",IF($B282="","EKSİK","TAM"))</f>
        <v/>
      </c>
    </row>
    <row r="283">
      <c r="F283" s="38">
        <f>IF($A283="","",IF($B283="","EKSİK","TAM"))</f>
        <v/>
      </c>
    </row>
    <row r="284">
      <c r="F284" s="38">
        <f>IF($A284="","",IF($B284="","EKSİK","TAM"))</f>
        <v/>
      </c>
    </row>
    <row r="285">
      <c r="F285" s="38">
        <f>IF($A285="","",IF($B285="","EKSİK","TAM"))</f>
        <v/>
      </c>
    </row>
    <row r="286">
      <c r="F286" s="38">
        <f>IF($A286="","",IF($B286="","EKSİK","TAM"))</f>
        <v/>
      </c>
    </row>
    <row r="287">
      <c r="F287" s="38">
        <f>IF($A287="","",IF($B287="","EKSİK","TAM"))</f>
        <v/>
      </c>
    </row>
    <row r="288">
      <c r="F288" s="38">
        <f>IF($A288="","",IF($B288="","EKSİK","TAM"))</f>
        <v/>
      </c>
    </row>
    <row r="289">
      <c r="F289" s="38">
        <f>IF($A289="","",IF($B289="","EKSİK","TAM"))</f>
        <v/>
      </c>
    </row>
    <row r="290">
      <c r="F290" s="38">
        <f>IF($A290="","",IF($B290="","EKSİK","TAM"))</f>
        <v/>
      </c>
    </row>
    <row r="291">
      <c r="F291" s="38">
        <f>IF($A291="","",IF($B291="","EKSİK","TAM"))</f>
        <v/>
      </c>
    </row>
    <row r="292">
      <c r="F292" s="38">
        <f>IF($A292="","",IF($B292="","EKSİK","TAM"))</f>
        <v/>
      </c>
    </row>
    <row r="293">
      <c r="F293" s="38">
        <f>IF($A293="","",IF($B293="","EKSİK","TAM"))</f>
        <v/>
      </c>
    </row>
    <row r="294">
      <c r="F294" s="38">
        <f>IF($A294="","",IF($B294="","EKSİK","TAM"))</f>
        <v/>
      </c>
    </row>
    <row r="295">
      <c r="F295" s="38">
        <f>IF($A295="","",IF($B295="","EKSİK","TAM"))</f>
        <v/>
      </c>
    </row>
    <row r="296">
      <c r="F296" s="38">
        <f>IF($A296="","",IF($B296="","EKSİK","TAM"))</f>
        <v/>
      </c>
    </row>
    <row r="297">
      <c r="F297" s="38">
        <f>IF($A297="","",IF($B297="","EKSİK","TAM"))</f>
        <v/>
      </c>
    </row>
    <row r="298">
      <c r="F298" s="38">
        <f>IF($A298="","",IF($B298="","EKSİK","TAM"))</f>
        <v/>
      </c>
    </row>
    <row r="299">
      <c r="F299" s="38">
        <f>IF($A299="","",IF($B299="","EKSİK","TAM"))</f>
        <v/>
      </c>
    </row>
    <row r="300">
      <c r="F300" s="38">
        <f>IF($A300="","",IF($B300="","EKSİK","TAM"))</f>
        <v/>
      </c>
    </row>
    <row r="301">
      <c r="F301" s="38">
        <f>IF($A301="","",IF($B301="","EKSİK","TAM"))</f>
        <v/>
      </c>
    </row>
    <row r="302">
      <c r="F302" s="38">
        <f>IF($A302="","",IF($B302="","EKSİK","TAM"))</f>
        <v/>
      </c>
    </row>
    <row r="303">
      <c r="F303" s="38">
        <f>IF($A303="","",IF($B303="","EKSİK","TAM"))</f>
        <v/>
      </c>
    </row>
    <row r="304">
      <c r="F304" s="38">
        <f>IF($A304="","",IF($B304="","EKSİK","TAM"))</f>
        <v/>
      </c>
    </row>
    <row r="305">
      <c r="F305" s="38">
        <f>IF($A305="","",IF($B305="","EKSİK","TAM"))</f>
        <v/>
      </c>
    </row>
    <row r="306">
      <c r="F306" s="38">
        <f>IF($A306="","",IF($B306="","EKSİK","TAM"))</f>
        <v/>
      </c>
    </row>
    <row r="307">
      <c r="F307" s="38">
        <f>IF($A307="","",IF($B307="","EKSİK","TAM"))</f>
        <v/>
      </c>
    </row>
    <row r="308">
      <c r="F308" s="38">
        <f>IF($A308="","",IF($B308="","EKSİK","TAM"))</f>
        <v/>
      </c>
    </row>
    <row r="309">
      <c r="F309" s="38">
        <f>IF($A309="","",IF($B309="","EKSİK","TAM"))</f>
        <v/>
      </c>
    </row>
    <row r="310">
      <c r="F310" s="38">
        <f>IF($A310="","",IF($B310="","EKSİK","TAM"))</f>
        <v/>
      </c>
    </row>
    <row r="311">
      <c r="F311" s="38">
        <f>IF($A311="","",IF($B311="","EKSİK","TAM"))</f>
        <v/>
      </c>
    </row>
    <row r="312">
      <c r="F312" s="38">
        <f>IF($A312="","",IF($B312="","EKSİK","TAM"))</f>
        <v/>
      </c>
    </row>
    <row r="313">
      <c r="F313" s="38">
        <f>IF($A313="","",IF($B313="","EKSİK","TAM"))</f>
        <v/>
      </c>
    </row>
    <row r="314">
      <c r="F314" s="38">
        <f>IF($A314="","",IF($B314="","EKSİK","TAM"))</f>
        <v/>
      </c>
    </row>
    <row r="315">
      <c r="F315" s="38">
        <f>IF($A315="","",IF($B315="","EKSİK","TAM"))</f>
        <v/>
      </c>
    </row>
    <row r="316">
      <c r="F316" s="38">
        <f>IF($A316="","",IF($B316="","EKSİK","TAM"))</f>
        <v/>
      </c>
    </row>
    <row r="317">
      <c r="F317" s="38">
        <f>IF($A317="","",IF($B317="","EKSİK","TAM"))</f>
        <v/>
      </c>
    </row>
    <row r="318">
      <c r="F318" s="38">
        <f>IF($A318="","",IF($B318="","EKSİK","TAM"))</f>
        <v/>
      </c>
    </row>
    <row r="319">
      <c r="F319" s="38">
        <f>IF($A319="","",IF($B319="","EKSİK","TAM"))</f>
        <v/>
      </c>
    </row>
    <row r="320">
      <c r="F320" s="38">
        <f>IF($A320="","",IF($B320="","EKSİK","TAM"))</f>
        <v/>
      </c>
    </row>
    <row r="321">
      <c r="F321" s="38">
        <f>IF($A321="","",IF($B321="","EKSİK","TAM"))</f>
        <v/>
      </c>
    </row>
    <row r="322">
      <c r="F322" s="38">
        <f>IF($A322="","",IF($B322="","EKSİK","TAM"))</f>
        <v/>
      </c>
    </row>
    <row r="323">
      <c r="F323" s="38">
        <f>IF($A323="","",IF($B323="","EKSİK","TAM"))</f>
        <v/>
      </c>
    </row>
    <row r="324">
      <c r="F324" s="38">
        <f>IF($A324="","",IF($B324="","EKSİK","TAM"))</f>
        <v/>
      </c>
    </row>
    <row r="325">
      <c r="F325" s="38">
        <f>IF($A325="","",IF($B325="","EKSİK","TAM"))</f>
        <v/>
      </c>
    </row>
    <row r="326">
      <c r="F326" s="38">
        <f>IF($A326="","",IF($B326="","EKSİK","TAM"))</f>
        <v/>
      </c>
    </row>
    <row r="327">
      <c r="F327" s="38">
        <f>IF($A327="","",IF($B327="","EKSİK","TAM"))</f>
        <v/>
      </c>
    </row>
    <row r="328">
      <c r="F328" s="38">
        <f>IF($A328="","",IF($B328="","EKSİK","TAM"))</f>
        <v/>
      </c>
    </row>
    <row r="329">
      <c r="F329" s="38">
        <f>IF($A329="","",IF($B329="","EKSİK","TAM"))</f>
        <v/>
      </c>
    </row>
    <row r="330">
      <c r="F330" s="38">
        <f>IF($A330="","",IF($B330="","EKSİK","TAM"))</f>
        <v/>
      </c>
    </row>
    <row r="331">
      <c r="F331" s="38">
        <f>IF($A331="","",IF($B331="","EKSİK","TAM"))</f>
        <v/>
      </c>
    </row>
    <row r="332">
      <c r="F332" s="38">
        <f>IF($A332="","",IF($B332="","EKSİK","TAM"))</f>
        <v/>
      </c>
    </row>
    <row r="333">
      <c r="F333" s="38">
        <f>IF($A333="","",IF($B333="","EKSİK","TAM"))</f>
        <v/>
      </c>
    </row>
    <row r="334">
      <c r="F334" s="38">
        <f>IF($A334="","",IF($B334="","EKSİK","TAM"))</f>
        <v/>
      </c>
    </row>
    <row r="335">
      <c r="F335" s="38">
        <f>IF($A335="","",IF($B335="","EKSİK","TAM"))</f>
        <v/>
      </c>
    </row>
    <row r="336">
      <c r="F336" s="38">
        <f>IF($A336="","",IF($B336="","EKSİK","TAM"))</f>
        <v/>
      </c>
    </row>
    <row r="337">
      <c r="F337" s="38">
        <f>IF($A337="","",IF($B337="","EKSİK","TAM"))</f>
        <v/>
      </c>
    </row>
    <row r="338">
      <c r="F338" s="38">
        <f>IF($A338="","",IF($B338="","EKSİK","TAM"))</f>
        <v/>
      </c>
    </row>
    <row r="339">
      <c r="F339" s="38">
        <f>IF($A339="","",IF($B339="","EKSİK","TAM"))</f>
        <v/>
      </c>
    </row>
    <row r="340">
      <c r="F340" s="38">
        <f>IF($A340="","",IF($B340="","EKSİK","TAM"))</f>
        <v/>
      </c>
    </row>
    <row r="341">
      <c r="F341" s="38">
        <f>IF($A341="","",IF($B341="","EKSİK","TAM"))</f>
        <v/>
      </c>
    </row>
    <row r="342">
      <c r="F342" s="38">
        <f>IF($A342="","",IF($B342="","EKSİK","TAM"))</f>
        <v/>
      </c>
    </row>
    <row r="343">
      <c r="F343" s="38">
        <f>IF($A343="","",IF($B343="","EKSİK","TAM"))</f>
        <v/>
      </c>
    </row>
    <row r="344">
      <c r="F344" s="38">
        <f>IF($A344="","",IF($B344="","EKSİK","TAM"))</f>
        <v/>
      </c>
    </row>
    <row r="345">
      <c r="F345" s="38">
        <f>IF($A345="","",IF($B345="","EKSİK","TAM"))</f>
        <v/>
      </c>
    </row>
    <row r="346">
      <c r="F346" s="38">
        <f>IF($A346="","",IF($B346="","EKSİK","TAM"))</f>
        <v/>
      </c>
    </row>
    <row r="347">
      <c r="F347" s="38">
        <f>IF($A347="","",IF($B347="","EKSİK","TAM"))</f>
        <v/>
      </c>
    </row>
    <row r="348">
      <c r="F348" s="38">
        <f>IF($A348="","",IF($B348="","EKSİK","TAM"))</f>
        <v/>
      </c>
    </row>
    <row r="349">
      <c r="F349" s="38">
        <f>IF($A349="","",IF($B349="","EKSİK","TAM"))</f>
        <v/>
      </c>
    </row>
    <row r="350">
      <c r="F350" s="38">
        <f>IF($A350="","",IF($B350="","EKSİK","TAM"))</f>
        <v/>
      </c>
    </row>
    <row r="351">
      <c r="F351" s="38">
        <f>IF($A351="","",IF($B351="","EKSİK","TAM"))</f>
        <v/>
      </c>
    </row>
    <row r="352">
      <c r="F352" s="38">
        <f>IF($A352="","",IF($B352="","EKSİK","TAM"))</f>
        <v/>
      </c>
    </row>
    <row r="353">
      <c r="F353" s="38">
        <f>IF($A353="","",IF($B353="","EKSİK","TAM"))</f>
        <v/>
      </c>
    </row>
    <row r="354">
      <c r="F354" s="38">
        <f>IF($A354="","",IF($B354="","EKSİK","TAM"))</f>
        <v/>
      </c>
    </row>
    <row r="355">
      <c r="F355" s="38">
        <f>IF($A355="","",IF($B355="","EKSİK","TAM"))</f>
        <v/>
      </c>
    </row>
    <row r="356">
      <c r="F356" s="38">
        <f>IF($A356="","",IF($B356="","EKSİK","TAM"))</f>
        <v/>
      </c>
    </row>
    <row r="357">
      <c r="F357" s="38">
        <f>IF($A357="","",IF($B357="","EKSİK","TAM"))</f>
        <v/>
      </c>
    </row>
    <row r="358">
      <c r="F358" s="38">
        <f>IF($A358="","",IF($B358="","EKSİK","TAM"))</f>
        <v/>
      </c>
    </row>
    <row r="359">
      <c r="F359" s="38">
        <f>IF($A359="","",IF($B359="","EKSİK","TAM"))</f>
        <v/>
      </c>
    </row>
    <row r="360">
      <c r="F360" s="38">
        <f>IF($A360="","",IF($B360="","EKSİK","TAM"))</f>
        <v/>
      </c>
    </row>
    <row r="361">
      <c r="F361" s="38">
        <f>IF($A361="","",IF($B361="","EKSİK","TAM"))</f>
        <v/>
      </c>
    </row>
    <row r="362">
      <c r="F362" s="38">
        <f>IF($A362="","",IF($B362="","EKSİK","TAM"))</f>
        <v/>
      </c>
    </row>
    <row r="363">
      <c r="F363" s="38">
        <f>IF($A363="","",IF($B363="","EKSİK","TAM"))</f>
        <v/>
      </c>
    </row>
    <row r="364">
      <c r="F364" s="38">
        <f>IF($A364="","",IF($B364="","EKSİK","TAM"))</f>
        <v/>
      </c>
    </row>
    <row r="365">
      <c r="F365" s="38">
        <f>IF($A365="","",IF($B365="","EKSİK","TAM"))</f>
        <v/>
      </c>
    </row>
    <row r="366">
      <c r="F366" s="38">
        <f>IF($A366="","",IF($B366="","EKSİK","TAM"))</f>
        <v/>
      </c>
    </row>
    <row r="367">
      <c r="F367" s="38">
        <f>IF($A367="","",IF($B367="","EKSİK","TAM"))</f>
        <v/>
      </c>
    </row>
    <row r="368">
      <c r="F368" s="38">
        <f>IF($A368="","",IF($B368="","EKSİK","TAM"))</f>
        <v/>
      </c>
    </row>
    <row r="369">
      <c r="F369" s="38">
        <f>IF($A369="","",IF($B369="","EKSİK","TAM"))</f>
        <v/>
      </c>
    </row>
    <row r="370">
      <c r="F370" s="38">
        <f>IF($A370="","",IF($B370="","EKSİK","TAM"))</f>
        <v/>
      </c>
    </row>
    <row r="371">
      <c r="F371" s="38">
        <f>IF($A371="","",IF($B371="","EKSİK","TAM"))</f>
        <v/>
      </c>
    </row>
    <row r="372">
      <c r="F372" s="38">
        <f>IF($A372="","",IF($B372="","EKSİK","TAM"))</f>
        <v/>
      </c>
    </row>
    <row r="373">
      <c r="F373" s="38">
        <f>IF($A373="","",IF($B373="","EKSİK","TAM"))</f>
        <v/>
      </c>
    </row>
    <row r="374">
      <c r="F374" s="38">
        <f>IF($A374="","",IF($B374="","EKSİK","TAM"))</f>
        <v/>
      </c>
    </row>
    <row r="375">
      <c r="F375" s="38">
        <f>IF($A375="","",IF($B375="","EKSİK","TAM"))</f>
        <v/>
      </c>
    </row>
    <row r="376">
      <c r="F376" s="38">
        <f>IF($A376="","",IF($B376="","EKSİK","TAM"))</f>
        <v/>
      </c>
    </row>
    <row r="377">
      <c r="F377" s="38">
        <f>IF($A377="","",IF($B377="","EKSİK","TAM"))</f>
        <v/>
      </c>
    </row>
    <row r="378">
      <c r="F378" s="38">
        <f>IF($A378="","",IF($B378="","EKSİK","TAM"))</f>
        <v/>
      </c>
    </row>
    <row r="379">
      <c r="F379" s="38">
        <f>IF($A379="","",IF($B379="","EKSİK","TAM"))</f>
        <v/>
      </c>
    </row>
    <row r="380">
      <c r="F380" s="38">
        <f>IF($A380="","",IF($B380="","EKSİK","TAM"))</f>
        <v/>
      </c>
    </row>
    <row r="381">
      <c r="F381" s="38">
        <f>IF($A381="","",IF($B381="","EKSİK","TAM"))</f>
        <v/>
      </c>
    </row>
    <row r="382">
      <c r="F382" s="38">
        <f>IF($A382="","",IF($B382="","EKSİK","TAM"))</f>
        <v/>
      </c>
    </row>
    <row r="383">
      <c r="F383" s="38">
        <f>IF($A383="","",IF($B383="","EKSİK","TAM"))</f>
        <v/>
      </c>
    </row>
    <row r="384">
      <c r="F384" s="38">
        <f>IF($A384="","",IF($B384="","EKSİK","TAM"))</f>
        <v/>
      </c>
    </row>
    <row r="385">
      <c r="F385" s="38">
        <f>IF($A385="","",IF($B385="","EKSİK","TAM"))</f>
        <v/>
      </c>
    </row>
    <row r="386">
      <c r="F386" s="38">
        <f>IF($A386="","",IF($B386="","EKSİK","TAM"))</f>
        <v/>
      </c>
    </row>
    <row r="387">
      <c r="F387" s="38">
        <f>IF($A387="","",IF($B387="","EKSİK","TAM"))</f>
        <v/>
      </c>
    </row>
    <row r="388">
      <c r="F388" s="38">
        <f>IF($A388="","",IF($B388="","EKSİK","TAM"))</f>
        <v/>
      </c>
    </row>
    <row r="389">
      <c r="F389" s="38">
        <f>IF($A389="","",IF($B389="","EKSİK","TAM"))</f>
        <v/>
      </c>
    </row>
    <row r="390">
      <c r="F390" s="38">
        <f>IF($A390="","",IF($B390="","EKSİK","TAM"))</f>
        <v/>
      </c>
    </row>
    <row r="391">
      <c r="F391" s="38">
        <f>IF($A391="","",IF($B391="","EKSİK","TAM"))</f>
        <v/>
      </c>
    </row>
    <row r="392">
      <c r="F392" s="38">
        <f>IF($A392="","",IF($B392="","EKSİK","TAM"))</f>
        <v/>
      </c>
    </row>
    <row r="393">
      <c r="F393" s="38">
        <f>IF($A393="","",IF($B393="","EKSİK","TAM"))</f>
        <v/>
      </c>
    </row>
    <row r="394">
      <c r="F394" s="38">
        <f>IF($A394="","",IF($B394="","EKSİK","TAM"))</f>
        <v/>
      </c>
    </row>
    <row r="395">
      <c r="F395" s="38">
        <f>IF($A395="","",IF($B395="","EKSİK","TAM"))</f>
        <v/>
      </c>
    </row>
    <row r="396">
      <c r="F396" s="38">
        <f>IF($A396="","",IF($B396="","EKSİK","TAM"))</f>
        <v/>
      </c>
    </row>
    <row r="397">
      <c r="F397" s="38">
        <f>IF($A397="","",IF($B397="","EKSİK","TAM"))</f>
        <v/>
      </c>
    </row>
    <row r="398">
      <c r="F398" s="38">
        <f>IF($A398="","",IF($B398="","EKSİK","TAM"))</f>
        <v/>
      </c>
    </row>
    <row r="399">
      <c r="F399" s="38">
        <f>IF($A399="","",IF($B399="","EKSİK","TAM"))</f>
        <v/>
      </c>
    </row>
    <row r="400">
      <c r="F400" s="38">
        <f>IF($A400="","",IF($B400="","EKSİK","TAM"))</f>
        <v/>
      </c>
    </row>
    <row r="401">
      <c r="F401" s="38">
        <f>IF($A401="","",IF($B401="","EKSİK","TAM"))</f>
        <v/>
      </c>
    </row>
    <row r="402">
      <c r="F402" s="38">
        <f>IF($A402="","",IF($B402="","EKSİK","TAM"))</f>
        <v/>
      </c>
    </row>
    <row r="403">
      <c r="F403" s="38">
        <f>IF($A403="","",IF($B403="","EKSİK","TAM"))</f>
        <v/>
      </c>
    </row>
    <row r="404">
      <c r="F404" s="38">
        <f>IF($A404="","",IF($B404="","EKSİK","TAM"))</f>
        <v/>
      </c>
    </row>
    <row r="405">
      <c r="F405" s="38">
        <f>IF($A405="","",IF($B405="","EKSİK","TAM"))</f>
        <v/>
      </c>
    </row>
    <row r="406">
      <c r="F406" s="38">
        <f>IF($A406="","",IF($B406="","EKSİK","TAM"))</f>
        <v/>
      </c>
    </row>
    <row r="407">
      <c r="F407" s="38">
        <f>IF($A407="","",IF($B407="","EKSİK","TAM"))</f>
        <v/>
      </c>
    </row>
    <row r="408">
      <c r="F408" s="38">
        <f>IF($A408="","",IF($B408="","EKSİK","TAM"))</f>
        <v/>
      </c>
    </row>
    <row r="409">
      <c r="F409" s="38">
        <f>IF($A409="","",IF($B409="","EKSİK","TAM"))</f>
        <v/>
      </c>
    </row>
    <row r="410">
      <c r="F410" s="38">
        <f>IF($A410="","",IF($B410="","EKSİK","TAM"))</f>
        <v/>
      </c>
    </row>
    <row r="411">
      <c r="F411" s="38">
        <f>IF($A411="","",IF($B411="","EKSİK","TAM"))</f>
        <v/>
      </c>
    </row>
    <row r="412">
      <c r="F412" s="38">
        <f>IF($A412="","",IF($B412="","EKSİK","TAM"))</f>
        <v/>
      </c>
    </row>
    <row r="413">
      <c r="F413" s="38">
        <f>IF($A413="","",IF($B413="","EKSİK","TAM"))</f>
        <v/>
      </c>
    </row>
    <row r="414">
      <c r="F414" s="38">
        <f>IF($A414="","",IF($B414="","EKSİK","TAM"))</f>
        <v/>
      </c>
    </row>
    <row r="415">
      <c r="F415" s="38">
        <f>IF($A415="","",IF($B415="","EKSİK","TAM"))</f>
        <v/>
      </c>
    </row>
    <row r="416">
      <c r="F416" s="38">
        <f>IF($A416="","",IF($B416="","EKSİK","TAM"))</f>
        <v/>
      </c>
    </row>
    <row r="417">
      <c r="F417" s="38">
        <f>IF($A417="","",IF($B417="","EKSİK","TAM"))</f>
        <v/>
      </c>
    </row>
    <row r="418">
      <c r="F418" s="38">
        <f>IF($A418="","",IF($B418="","EKSİK","TAM"))</f>
        <v/>
      </c>
    </row>
    <row r="419">
      <c r="F419" s="38">
        <f>IF($A419="","",IF($B419="","EKSİK","TAM"))</f>
        <v/>
      </c>
    </row>
    <row r="420">
      <c r="F420" s="38">
        <f>IF($A420="","",IF($B420="","EKSİK","TAM"))</f>
        <v/>
      </c>
    </row>
    <row r="421">
      <c r="F421" s="38">
        <f>IF($A421="","",IF($B421="","EKSİK","TAM"))</f>
        <v/>
      </c>
    </row>
    <row r="422">
      <c r="F422" s="38">
        <f>IF($A422="","",IF($B422="","EKSİK","TAM"))</f>
        <v/>
      </c>
    </row>
    <row r="423">
      <c r="F423" s="38">
        <f>IF($A423="","",IF($B423="","EKSİK","TAM"))</f>
        <v/>
      </c>
    </row>
    <row r="424">
      <c r="F424" s="38">
        <f>IF($A424="","",IF($B424="","EKSİK","TAM"))</f>
        <v/>
      </c>
    </row>
    <row r="425">
      <c r="F425" s="38">
        <f>IF($A425="","",IF($B425="","EKSİK","TAM"))</f>
        <v/>
      </c>
    </row>
    <row r="426">
      <c r="F426" s="38">
        <f>IF($A426="","",IF($B426="","EKSİK","TAM"))</f>
        <v/>
      </c>
    </row>
    <row r="427">
      <c r="F427" s="38">
        <f>IF($A427="","",IF($B427="","EKSİK","TAM"))</f>
        <v/>
      </c>
    </row>
    <row r="428">
      <c r="F428" s="38">
        <f>IF($A428="","",IF($B428="","EKSİK","TAM"))</f>
        <v/>
      </c>
    </row>
    <row r="429">
      <c r="F429" s="38">
        <f>IF($A429="","",IF($B429="","EKSİK","TAM"))</f>
        <v/>
      </c>
    </row>
    <row r="430">
      <c r="F430" s="38">
        <f>IF($A430="","",IF($B430="","EKSİK","TAM"))</f>
        <v/>
      </c>
    </row>
    <row r="431">
      <c r="F431" s="38">
        <f>IF($A431="","",IF($B431="","EKSİK","TAM"))</f>
        <v/>
      </c>
    </row>
    <row r="432">
      <c r="F432" s="38">
        <f>IF($A432="","",IF($B432="","EKSİK","TAM"))</f>
        <v/>
      </c>
    </row>
    <row r="433">
      <c r="F433" s="38">
        <f>IF($A433="","",IF($B433="","EKSİK","TAM"))</f>
        <v/>
      </c>
    </row>
    <row r="434">
      <c r="F434" s="38">
        <f>IF($A434="","",IF($B434="","EKSİK","TAM"))</f>
        <v/>
      </c>
    </row>
    <row r="435">
      <c r="F435" s="38">
        <f>IF($A435="","",IF($B435="","EKSİK","TAM"))</f>
        <v/>
      </c>
    </row>
    <row r="436">
      <c r="F436" s="38">
        <f>IF($A436="","",IF($B436="","EKSİK","TAM"))</f>
        <v/>
      </c>
    </row>
    <row r="437">
      <c r="F437" s="38">
        <f>IF($A437="","",IF($B437="","EKSİK","TAM"))</f>
        <v/>
      </c>
    </row>
    <row r="438">
      <c r="F438" s="38">
        <f>IF($A438="","",IF($B438="","EKSİK","TAM"))</f>
        <v/>
      </c>
    </row>
    <row r="439">
      <c r="F439" s="38">
        <f>IF($A439="","",IF($B439="","EKSİK","TAM"))</f>
        <v/>
      </c>
    </row>
    <row r="440">
      <c r="F440" s="38">
        <f>IF($A440="","",IF($B440="","EKSİK","TAM"))</f>
        <v/>
      </c>
    </row>
    <row r="441">
      <c r="F441" s="38">
        <f>IF($A441="","",IF($B441="","EKSİK","TAM"))</f>
        <v/>
      </c>
    </row>
    <row r="442">
      <c r="F442" s="38">
        <f>IF($A442="","",IF($B442="","EKSİK","TAM"))</f>
        <v/>
      </c>
    </row>
    <row r="443">
      <c r="F443" s="38">
        <f>IF($A443="","",IF($B443="","EKSİK","TAM"))</f>
        <v/>
      </c>
    </row>
    <row r="444">
      <c r="F444" s="38">
        <f>IF($A444="","",IF($B444="","EKSİK","TAM"))</f>
        <v/>
      </c>
    </row>
    <row r="445">
      <c r="F445" s="38">
        <f>IF($A445="","",IF($B445="","EKSİK","TAM"))</f>
        <v/>
      </c>
    </row>
    <row r="446">
      <c r="F446" s="38">
        <f>IF($A446="","",IF($B446="","EKSİK","TAM"))</f>
        <v/>
      </c>
    </row>
    <row r="447">
      <c r="F447" s="38">
        <f>IF($A447="","",IF($B447="","EKSİK","TAM"))</f>
        <v/>
      </c>
    </row>
    <row r="448">
      <c r="F448" s="38">
        <f>IF($A448="","",IF($B448="","EKSİK","TAM"))</f>
        <v/>
      </c>
    </row>
    <row r="449">
      <c r="F449" s="38">
        <f>IF($A449="","",IF($B449="","EKSİK","TAM"))</f>
        <v/>
      </c>
    </row>
    <row r="450">
      <c r="F450" s="38">
        <f>IF($A450="","",IF($B450="","EKSİK","TAM"))</f>
        <v/>
      </c>
    </row>
    <row r="451">
      <c r="F451" s="38">
        <f>IF($A451="","",IF($B451="","EKSİK","TAM"))</f>
        <v/>
      </c>
    </row>
    <row r="452">
      <c r="F452" s="38">
        <f>IF($A452="","",IF($B452="","EKSİK","TAM"))</f>
        <v/>
      </c>
    </row>
    <row r="453">
      <c r="F453" s="38">
        <f>IF($A453="","",IF($B453="","EKSİK","TAM"))</f>
        <v/>
      </c>
    </row>
    <row r="454">
      <c r="F454" s="38">
        <f>IF($A454="","",IF($B454="","EKSİK","TAM"))</f>
        <v/>
      </c>
    </row>
    <row r="455">
      <c r="F455" s="38">
        <f>IF($A455="","",IF($B455="","EKSİK","TAM"))</f>
        <v/>
      </c>
    </row>
    <row r="456">
      <c r="F456" s="38">
        <f>IF($A456="","",IF($B456="","EKSİK","TAM"))</f>
        <v/>
      </c>
    </row>
    <row r="457">
      <c r="F457" s="38">
        <f>IF($A457="","",IF($B457="","EKSİK","TAM"))</f>
        <v/>
      </c>
    </row>
    <row r="458">
      <c r="F458" s="38">
        <f>IF($A458="","",IF($B458="","EKSİK","TAM"))</f>
        <v/>
      </c>
    </row>
    <row r="459">
      <c r="F459" s="38">
        <f>IF($A459="","",IF($B459="","EKSİK","TAM"))</f>
        <v/>
      </c>
    </row>
    <row r="460">
      <c r="F460" s="38">
        <f>IF($A460="","",IF($B460="","EKSİK","TAM"))</f>
        <v/>
      </c>
    </row>
    <row r="461">
      <c r="F461" s="38">
        <f>IF($A461="","",IF($B461="","EKSİK","TAM"))</f>
        <v/>
      </c>
    </row>
    <row r="462">
      <c r="F462" s="38">
        <f>IF($A462="","",IF($B462="","EKSİK","TAM"))</f>
        <v/>
      </c>
    </row>
    <row r="463">
      <c r="F463" s="38">
        <f>IF($A463="","",IF($B463="","EKSİK","TAM"))</f>
        <v/>
      </c>
    </row>
    <row r="464">
      <c r="F464" s="38">
        <f>IF($A464="","",IF($B464="","EKSİK","TAM"))</f>
        <v/>
      </c>
    </row>
    <row r="465">
      <c r="F465" s="38">
        <f>IF($A465="","",IF($B465="","EKSİK","TAM"))</f>
        <v/>
      </c>
    </row>
    <row r="466">
      <c r="F466" s="38">
        <f>IF($A466="","",IF($B466="","EKSİK","TAM"))</f>
        <v/>
      </c>
    </row>
    <row r="467">
      <c r="F467" s="38">
        <f>IF($A467="","",IF($B467="","EKSİK","TAM"))</f>
        <v/>
      </c>
    </row>
    <row r="468">
      <c r="F468" s="38">
        <f>IF($A468="","",IF($B468="","EKSİK","TAM"))</f>
        <v/>
      </c>
    </row>
    <row r="469">
      <c r="F469" s="38">
        <f>IF($A469="","",IF($B469="","EKSİK","TAM"))</f>
        <v/>
      </c>
    </row>
    <row r="470">
      <c r="F470" s="38">
        <f>IF($A470="","",IF($B470="","EKSİK","TAM"))</f>
        <v/>
      </c>
    </row>
    <row r="471">
      <c r="F471" s="38">
        <f>IF($A471="","",IF($B471="","EKSİK","TAM"))</f>
        <v/>
      </c>
    </row>
    <row r="472">
      <c r="F472" s="38">
        <f>IF($A472="","",IF($B472="","EKSİK","TAM"))</f>
        <v/>
      </c>
    </row>
    <row r="473">
      <c r="F473" s="38">
        <f>IF($A473="","",IF($B473="","EKSİK","TAM"))</f>
        <v/>
      </c>
    </row>
    <row r="474">
      <c r="F474" s="38">
        <f>IF($A474="","",IF($B474="","EKSİK","TAM"))</f>
        <v/>
      </c>
    </row>
    <row r="475">
      <c r="F475" s="38">
        <f>IF($A475="","",IF($B475="","EKSİK","TAM"))</f>
        <v/>
      </c>
    </row>
    <row r="476">
      <c r="F476" s="38">
        <f>IF($A476="","",IF($B476="","EKSİK","TAM"))</f>
        <v/>
      </c>
    </row>
    <row r="477">
      <c r="F477" s="38">
        <f>IF($A477="","",IF($B477="","EKSİK","TAM"))</f>
        <v/>
      </c>
    </row>
    <row r="478">
      <c r="F478" s="38">
        <f>IF($A478="","",IF($B478="","EKSİK","TAM"))</f>
        <v/>
      </c>
    </row>
    <row r="479">
      <c r="F479" s="38">
        <f>IF($A479="","",IF($B479="","EKSİK","TAM"))</f>
        <v/>
      </c>
    </row>
    <row r="480">
      <c r="F480" s="38">
        <f>IF($A480="","",IF($B480="","EKSİK","TAM"))</f>
        <v/>
      </c>
    </row>
    <row r="481">
      <c r="F481" s="38">
        <f>IF($A481="","",IF($B481="","EKSİK","TAM"))</f>
        <v/>
      </c>
    </row>
    <row r="482">
      <c r="F482" s="38">
        <f>IF($A482="","",IF($B482="","EKSİK","TAM"))</f>
        <v/>
      </c>
    </row>
    <row r="483">
      <c r="F483" s="38">
        <f>IF($A483="","",IF($B483="","EKSİK","TAM"))</f>
        <v/>
      </c>
    </row>
    <row r="484">
      <c r="F484" s="38">
        <f>IF($A484="","",IF($B484="","EKSİK","TAM"))</f>
        <v/>
      </c>
    </row>
    <row r="485">
      <c r="F485" s="38">
        <f>IF($A485="","",IF($B485="","EKSİK","TAM"))</f>
        <v/>
      </c>
    </row>
    <row r="486">
      <c r="F486" s="38">
        <f>IF($A486="","",IF($B486="","EKSİK","TAM"))</f>
        <v/>
      </c>
    </row>
    <row r="487">
      <c r="F487" s="38">
        <f>IF($A487="","",IF($B487="","EKSİK","TAM"))</f>
        <v/>
      </c>
    </row>
    <row r="488">
      <c r="F488" s="38">
        <f>IF($A488="","",IF($B488="","EKSİK","TAM"))</f>
        <v/>
      </c>
    </row>
    <row r="489">
      <c r="F489" s="38">
        <f>IF($A489="","",IF($B489="","EKSİK","TAM"))</f>
        <v/>
      </c>
    </row>
    <row r="490">
      <c r="F490" s="38">
        <f>IF($A490="","",IF($B490="","EKSİK","TAM"))</f>
        <v/>
      </c>
    </row>
    <row r="491">
      <c r="F491" s="38">
        <f>IF($A491="","",IF($B491="","EKSİK","TAM"))</f>
        <v/>
      </c>
    </row>
    <row r="492">
      <c r="F492" s="38">
        <f>IF($A492="","",IF($B492="","EKSİK","TAM"))</f>
        <v/>
      </c>
    </row>
    <row r="493">
      <c r="F493" s="38">
        <f>IF($A493="","",IF($B493="","EKSİK","TAM"))</f>
        <v/>
      </c>
    </row>
    <row r="494">
      <c r="F494" s="38">
        <f>IF($A494="","",IF($B494="","EKSİK","TAM"))</f>
        <v/>
      </c>
    </row>
    <row r="495">
      <c r="F495" s="38">
        <f>IF($A495="","",IF($B495="","EKSİK","TAM"))</f>
        <v/>
      </c>
    </row>
    <row r="496">
      <c r="F496" s="38">
        <f>IF($A496="","",IF($B496="","EKSİK","TAM"))</f>
        <v/>
      </c>
    </row>
    <row r="497">
      <c r="F497" s="38">
        <f>IF($A497="","",IF($B497="","EKSİK","TAM"))</f>
        <v/>
      </c>
    </row>
    <row r="498">
      <c r="F498" s="38">
        <f>IF($A498="","",IF($B498="","EKSİK","TAM"))</f>
        <v/>
      </c>
    </row>
    <row r="499">
      <c r="F499" s="38">
        <f>IF($A499="","",IF($B499="","EKSİK","TAM"))</f>
        <v/>
      </c>
    </row>
    <row r="500">
      <c r="F500" s="38">
        <f>IF($A500="","",IF($B500="","EKSİK","TAM"))</f>
        <v/>
      </c>
    </row>
    <row r="501">
      <c r="F501" s="38">
        <f>IF($A501="","",IF($B501="","EKSİK","TAM"))</f>
        <v/>
      </c>
    </row>
    <row r="502">
      <c r="F502" s="38">
        <f>IF($A502="","",IF($B502="","EKSİK","TAM"))</f>
        <v/>
      </c>
    </row>
    <row r="503">
      <c r="F503" s="38">
        <f>IF($A503="","",IF($B503="","EKSİK","TAM"))</f>
        <v/>
      </c>
    </row>
    <row r="504">
      <c r="F504" s="38">
        <f>IF($A504="","",IF($B504="","EKSİK","TAM"))</f>
        <v/>
      </c>
    </row>
    <row r="505">
      <c r="F505" s="38">
        <f>IF($A505="","",IF($B505="","EKSİK","TAM"))</f>
        <v/>
      </c>
    </row>
    <row r="506">
      <c r="F506" s="38">
        <f>IF($A506="","",IF($B506="","EKSİK","TAM"))</f>
        <v/>
      </c>
    </row>
    <row r="507">
      <c r="F507" s="38">
        <f>IF($A507="","",IF($B507="","EKSİK","TAM"))</f>
        <v/>
      </c>
    </row>
    <row r="508">
      <c r="F508" s="38">
        <f>IF($A508="","",IF($B508="","EKSİK","TAM"))</f>
        <v/>
      </c>
    </row>
    <row r="509">
      <c r="F509" s="38">
        <f>IF($A509="","",IF($B509="","EKSİK","TAM"))</f>
        <v/>
      </c>
    </row>
    <row r="510">
      <c r="F510" s="38">
        <f>IF($A510="","",IF($B510="","EKSİK","TAM"))</f>
        <v/>
      </c>
    </row>
    <row r="511">
      <c r="F511" s="38">
        <f>IF($A511="","",IF($B511="","EKSİK","TAM"))</f>
        <v/>
      </c>
    </row>
    <row r="512">
      <c r="F512" s="38">
        <f>IF($A512="","",IF($B512="","EKSİK","TAM"))</f>
        <v/>
      </c>
    </row>
    <row r="513">
      <c r="F513" s="38">
        <f>IF($A513="","",IF($B513="","EKSİK","TAM"))</f>
        <v/>
      </c>
    </row>
    <row r="514">
      <c r="F514" s="38">
        <f>IF($A514="","",IF($B514="","EKSİK","TAM"))</f>
        <v/>
      </c>
    </row>
    <row r="515">
      <c r="F515" s="38">
        <f>IF($A515="","",IF($B515="","EKSİK","TAM"))</f>
        <v/>
      </c>
    </row>
    <row r="516">
      <c r="F516" s="38">
        <f>IF($A516="","",IF($B516="","EKSİK","TAM"))</f>
        <v/>
      </c>
    </row>
    <row r="517">
      <c r="F517" s="38">
        <f>IF($A517="","",IF($B517="","EKSİK","TAM"))</f>
        <v/>
      </c>
    </row>
    <row r="518">
      <c r="F518" s="38">
        <f>IF($A518="","",IF($B518="","EKSİK","TAM"))</f>
        <v/>
      </c>
    </row>
    <row r="519">
      <c r="F519" s="38">
        <f>IF($A519="","",IF($B519="","EKSİK","TAM"))</f>
        <v/>
      </c>
    </row>
    <row r="520">
      <c r="F520" s="38">
        <f>IF($A520="","",IF($B520="","EKSİK","TAM"))</f>
        <v/>
      </c>
    </row>
    <row r="521">
      <c r="F521" s="38">
        <f>IF($A521="","",IF($B521="","EKSİK","TAM"))</f>
        <v/>
      </c>
    </row>
    <row r="522">
      <c r="F522" s="38">
        <f>IF($A522="","",IF($B522="","EKSİK","TAM"))</f>
        <v/>
      </c>
    </row>
    <row r="523">
      <c r="F523" s="38">
        <f>IF($A523="","",IF($B523="","EKSİK","TAM"))</f>
        <v/>
      </c>
    </row>
    <row r="524">
      <c r="F524" s="38">
        <f>IF($A524="","",IF($B524="","EKSİK","TAM"))</f>
        <v/>
      </c>
    </row>
    <row r="525">
      <c r="F525" s="38">
        <f>IF($A525="","",IF($B525="","EKSİK","TAM"))</f>
        <v/>
      </c>
    </row>
    <row r="526">
      <c r="F526" s="38">
        <f>IF($A526="","",IF($B526="","EKSİK","TAM"))</f>
        <v/>
      </c>
    </row>
    <row r="527">
      <c r="F527" s="38">
        <f>IF($A527="","",IF($B527="","EKSİK","TAM"))</f>
        <v/>
      </c>
    </row>
    <row r="528">
      <c r="F528" s="38">
        <f>IF($A528="","",IF($B528="","EKSİK","TAM"))</f>
        <v/>
      </c>
    </row>
    <row r="529">
      <c r="F529" s="38">
        <f>IF($A529="","",IF($B529="","EKSİK","TAM"))</f>
        <v/>
      </c>
    </row>
    <row r="530">
      <c r="F530" s="38">
        <f>IF($A530="","",IF($B530="","EKSİK","TAM"))</f>
        <v/>
      </c>
    </row>
    <row r="531">
      <c r="F531" s="38">
        <f>IF($A531="","",IF($B531="","EKSİK","TAM"))</f>
        <v/>
      </c>
    </row>
    <row r="532">
      <c r="F532" s="38">
        <f>IF($A532="","",IF($B532="","EKSİK","TAM"))</f>
        <v/>
      </c>
    </row>
    <row r="533">
      <c r="F533" s="38">
        <f>IF($A533="","",IF($B533="","EKSİK","TAM"))</f>
        <v/>
      </c>
    </row>
    <row r="534">
      <c r="F534" s="38">
        <f>IF($A534="","",IF($B534="","EKSİK","TAM"))</f>
        <v/>
      </c>
    </row>
    <row r="535">
      <c r="F535" s="38">
        <f>IF($A535="","",IF($B535="","EKSİK","TAM"))</f>
        <v/>
      </c>
    </row>
    <row r="536">
      <c r="F536" s="38">
        <f>IF($A536="","",IF($B536="","EKSİK","TAM"))</f>
        <v/>
      </c>
    </row>
    <row r="537">
      <c r="F537" s="38">
        <f>IF($A537="","",IF($B537="","EKSİK","TAM"))</f>
        <v/>
      </c>
    </row>
    <row r="538">
      <c r="F538" s="38">
        <f>IF($A538="","",IF($B538="","EKSİK","TAM"))</f>
        <v/>
      </c>
    </row>
    <row r="539">
      <c r="F539" s="38">
        <f>IF($A539="","",IF($B539="","EKSİK","TAM"))</f>
        <v/>
      </c>
    </row>
    <row r="540">
      <c r="F540" s="38">
        <f>IF($A540="","",IF($B540="","EKSİK","TAM"))</f>
        <v/>
      </c>
    </row>
    <row r="541">
      <c r="F541" s="38">
        <f>IF($A541="","",IF($B541="","EKSİK","TAM"))</f>
        <v/>
      </c>
    </row>
    <row r="542">
      <c r="F542" s="38">
        <f>IF($A542="","",IF($B542="","EKSİK","TAM"))</f>
        <v/>
      </c>
    </row>
    <row r="543">
      <c r="F543" s="38">
        <f>IF($A543="","",IF($B543="","EKSİK","TAM"))</f>
        <v/>
      </c>
    </row>
    <row r="544">
      <c r="F544" s="38">
        <f>IF($A544="","",IF($B544="","EKSİK","TAM"))</f>
        <v/>
      </c>
    </row>
    <row r="545">
      <c r="F545" s="38">
        <f>IF($A545="","",IF($B545="","EKSİK","TAM"))</f>
        <v/>
      </c>
    </row>
    <row r="546">
      <c r="F546" s="38">
        <f>IF($A546="","",IF($B546="","EKSİK","TAM"))</f>
        <v/>
      </c>
    </row>
    <row r="547">
      <c r="F547" s="38">
        <f>IF($A547="","",IF($B547="","EKSİK","TAM"))</f>
        <v/>
      </c>
    </row>
    <row r="548">
      <c r="F548" s="38">
        <f>IF($A548="","",IF($B548="","EKSİK","TAM"))</f>
        <v/>
      </c>
    </row>
    <row r="549">
      <c r="F549" s="38">
        <f>IF($A549="","",IF($B549="","EKSİK","TAM"))</f>
        <v/>
      </c>
    </row>
    <row r="550">
      <c r="F550" s="38">
        <f>IF($A550="","",IF($B550="","EKSİK","TAM"))</f>
        <v/>
      </c>
    </row>
    <row r="551">
      <c r="F551" s="38">
        <f>IF($A551="","",IF($B551="","EKSİK","TAM"))</f>
        <v/>
      </c>
    </row>
    <row r="552">
      <c r="F552" s="38">
        <f>IF($A552="","",IF($B552="","EKSİK","TAM"))</f>
        <v/>
      </c>
    </row>
    <row r="553">
      <c r="F553" s="38">
        <f>IF($A553="","",IF($B553="","EKSİK","TAM"))</f>
        <v/>
      </c>
    </row>
    <row r="554">
      <c r="F554" s="38">
        <f>IF($A554="","",IF($B554="","EKSİK","TAM"))</f>
        <v/>
      </c>
    </row>
    <row r="555">
      <c r="F555" s="38">
        <f>IF($A555="","",IF($B555="","EKSİK","TAM"))</f>
        <v/>
      </c>
    </row>
    <row r="556">
      <c r="F556" s="38">
        <f>IF($A556="","",IF($B556="","EKSİK","TAM"))</f>
        <v/>
      </c>
    </row>
    <row r="557">
      <c r="F557" s="38">
        <f>IF($A557="","",IF($B557="","EKSİK","TAM"))</f>
        <v/>
      </c>
    </row>
    <row r="558">
      <c r="F558" s="38">
        <f>IF($A558="","",IF($B558="","EKSİK","TAM"))</f>
        <v/>
      </c>
    </row>
    <row r="559">
      <c r="F559" s="38">
        <f>IF($A559="","",IF($B559="","EKSİK","TAM"))</f>
        <v/>
      </c>
    </row>
    <row r="560">
      <c r="F560" s="38">
        <f>IF($A560="","",IF($B560="","EKSİK","TAM"))</f>
        <v/>
      </c>
    </row>
    <row r="561">
      <c r="F561" s="38">
        <f>IF($A561="","",IF($B561="","EKSİK","TAM"))</f>
        <v/>
      </c>
    </row>
    <row r="562">
      <c r="F562" s="38">
        <f>IF($A562="","",IF($B562="","EKSİK","TAM"))</f>
        <v/>
      </c>
    </row>
    <row r="563">
      <c r="F563" s="38">
        <f>IF($A563="","",IF($B563="","EKSİK","TAM"))</f>
        <v/>
      </c>
    </row>
    <row r="564">
      <c r="F564" s="38">
        <f>IF($A564="","",IF($B564="","EKSİK","TAM"))</f>
        <v/>
      </c>
    </row>
    <row r="565">
      <c r="F565" s="38">
        <f>IF($A565="","",IF($B565="","EKSİK","TAM"))</f>
        <v/>
      </c>
    </row>
    <row r="566">
      <c r="F566" s="38">
        <f>IF($A566="","",IF($B566="","EKSİK","TAM"))</f>
        <v/>
      </c>
    </row>
    <row r="567">
      <c r="F567" s="38">
        <f>IF($A567="","",IF($B567="","EKSİK","TAM"))</f>
        <v/>
      </c>
    </row>
    <row r="568">
      <c r="F568" s="38">
        <f>IF($A568="","",IF($B568="","EKSİK","TAM"))</f>
        <v/>
      </c>
    </row>
    <row r="569">
      <c r="F569" s="38">
        <f>IF($A569="","",IF($B569="","EKSİK","TAM"))</f>
        <v/>
      </c>
    </row>
    <row r="570">
      <c r="F570" s="38">
        <f>IF($A570="","",IF($B570="","EKSİK","TAM"))</f>
        <v/>
      </c>
    </row>
    <row r="571">
      <c r="F571" s="38">
        <f>IF($A571="","",IF($B571="","EKSİK","TAM"))</f>
        <v/>
      </c>
    </row>
    <row r="572">
      <c r="F572" s="38">
        <f>IF($A572="","",IF($B572="","EKSİK","TAM"))</f>
        <v/>
      </c>
    </row>
    <row r="573">
      <c r="F573" s="38">
        <f>IF($A573="","",IF($B573="","EKSİK","TAM"))</f>
        <v/>
      </c>
    </row>
    <row r="574">
      <c r="F574" s="38">
        <f>IF($A574="","",IF($B574="","EKSİK","TAM"))</f>
        <v/>
      </c>
    </row>
    <row r="575">
      <c r="F575" s="38">
        <f>IF($A575="","",IF($B575="","EKSİK","TAM"))</f>
        <v/>
      </c>
    </row>
    <row r="576">
      <c r="F576" s="38">
        <f>IF($A576="","",IF($B576="","EKSİK","TAM"))</f>
        <v/>
      </c>
    </row>
    <row r="577">
      <c r="F577" s="38">
        <f>IF($A577="","",IF($B577="","EKSİK","TAM"))</f>
        <v/>
      </c>
    </row>
    <row r="578">
      <c r="F578" s="38">
        <f>IF($A578="","",IF($B578="","EKSİK","TAM"))</f>
        <v/>
      </c>
    </row>
    <row r="579">
      <c r="F579" s="38">
        <f>IF($A579="","",IF($B579="","EKSİK","TAM"))</f>
        <v/>
      </c>
    </row>
    <row r="580">
      <c r="F580" s="38">
        <f>IF($A580="","",IF($B580="","EKSİK","TAM"))</f>
        <v/>
      </c>
    </row>
    <row r="581">
      <c r="F581" s="38">
        <f>IF($A581="","",IF($B581="","EKSİK","TAM"))</f>
        <v/>
      </c>
    </row>
    <row r="582">
      <c r="F582" s="38">
        <f>IF($A582="","",IF($B582="","EKSİK","TAM"))</f>
        <v/>
      </c>
    </row>
    <row r="583">
      <c r="F583" s="38">
        <f>IF($A583="","",IF($B583="","EKSİK","TAM"))</f>
        <v/>
      </c>
    </row>
    <row r="584">
      <c r="F584" s="38">
        <f>IF($A584="","",IF($B584="","EKSİK","TAM"))</f>
        <v/>
      </c>
    </row>
    <row r="585">
      <c r="F585" s="38">
        <f>IF($A585="","",IF($B585="","EKSİK","TAM"))</f>
        <v/>
      </c>
    </row>
    <row r="586">
      <c r="F586" s="38">
        <f>IF($A586="","",IF($B586="","EKSİK","TAM"))</f>
        <v/>
      </c>
    </row>
    <row r="587">
      <c r="F587" s="38">
        <f>IF($A587="","",IF($B587="","EKSİK","TAM"))</f>
        <v/>
      </c>
    </row>
    <row r="588">
      <c r="F588" s="38">
        <f>IF($A588="","",IF($B588="","EKSİK","TAM"))</f>
        <v/>
      </c>
    </row>
    <row r="589">
      <c r="F589" s="38">
        <f>IF($A589="","",IF($B589="","EKSİK","TAM"))</f>
        <v/>
      </c>
    </row>
    <row r="590">
      <c r="F590" s="38">
        <f>IF($A590="","",IF($B590="","EKSİK","TAM"))</f>
        <v/>
      </c>
    </row>
    <row r="591">
      <c r="F591" s="38">
        <f>IF($A591="","",IF($B591="","EKSİK","TAM"))</f>
        <v/>
      </c>
    </row>
    <row r="592">
      <c r="F592" s="38">
        <f>IF($A592="","",IF($B592="","EKSİK","TAM"))</f>
        <v/>
      </c>
    </row>
    <row r="593">
      <c r="F593" s="38">
        <f>IF($A593="","",IF($B593="","EKSİK","TAM"))</f>
        <v/>
      </c>
    </row>
    <row r="594">
      <c r="F594" s="38">
        <f>IF($A594="","",IF($B594="","EKSİK","TAM"))</f>
        <v/>
      </c>
    </row>
    <row r="595">
      <c r="F595" s="38">
        <f>IF($A595="","",IF($B595="","EKSİK","TAM"))</f>
        <v/>
      </c>
    </row>
    <row r="596">
      <c r="F596" s="38">
        <f>IF($A596="","",IF($B596="","EKSİK","TAM"))</f>
        <v/>
      </c>
    </row>
    <row r="597">
      <c r="F597" s="38">
        <f>IF($A597="","",IF($B597="","EKSİK","TAM"))</f>
        <v/>
      </c>
    </row>
    <row r="598">
      <c r="F598" s="38">
        <f>IF($A598="","",IF($B598="","EKSİK","TAM"))</f>
        <v/>
      </c>
    </row>
    <row r="599">
      <c r="F599" s="38">
        <f>IF($A599="","",IF($B599="","EKSİK","TAM"))</f>
        <v/>
      </c>
    </row>
    <row r="600">
      <c r="F600" s="38">
        <f>IF($A600="","",IF($B600="","EKSİK","TAM"))</f>
        <v/>
      </c>
    </row>
    <row r="601">
      <c r="F601" s="38">
        <f>IF($A601="","",IF($B601="","EKSİK","TAM"))</f>
        <v/>
      </c>
    </row>
    <row r="602">
      <c r="F602" s="38">
        <f>IF($A602="","",IF($B602="","EKSİK","TAM"))</f>
        <v/>
      </c>
    </row>
    <row r="603">
      <c r="F603" s="38">
        <f>IF($A603="","",IF($B603="","EKSİK","TAM"))</f>
        <v/>
      </c>
    </row>
    <row r="604">
      <c r="F604" s="38">
        <f>IF($A604="","",IF($B604="","EKSİK","TAM"))</f>
        <v/>
      </c>
    </row>
    <row r="605">
      <c r="F605" s="38">
        <f>IF($A605="","",IF($B605="","EKSİK","TAM"))</f>
        <v/>
      </c>
    </row>
    <row r="606">
      <c r="F606" s="38">
        <f>IF($A606="","",IF($B606="","EKSİK","TAM"))</f>
        <v/>
      </c>
    </row>
    <row r="607">
      <c r="F607" s="38">
        <f>IF($A607="","",IF($B607="","EKSİK","TAM"))</f>
        <v/>
      </c>
    </row>
    <row r="608">
      <c r="F608" s="38">
        <f>IF($A608="","",IF($B608="","EKSİK","TAM"))</f>
        <v/>
      </c>
    </row>
    <row r="609">
      <c r="F609" s="38">
        <f>IF($A609="","",IF($B609="","EKSİK","TAM"))</f>
        <v/>
      </c>
    </row>
    <row r="610">
      <c r="F610" s="38">
        <f>IF($A610="","",IF($B610="","EKSİK","TAM"))</f>
        <v/>
      </c>
    </row>
    <row r="611">
      <c r="F611" s="38">
        <f>IF($A611="","",IF($B611="","EKSİK","TAM"))</f>
        <v/>
      </c>
    </row>
    <row r="612">
      <c r="F612" s="38">
        <f>IF($A612="","",IF($B612="","EKSİK","TAM"))</f>
        <v/>
      </c>
    </row>
    <row r="613">
      <c r="F613" s="38">
        <f>IF($A613="","",IF($B613="","EKSİK","TAM"))</f>
        <v/>
      </c>
    </row>
    <row r="614">
      <c r="F614" s="38">
        <f>IF($A614="","",IF($B614="","EKSİK","TAM"))</f>
        <v/>
      </c>
    </row>
    <row r="615">
      <c r="F615" s="38">
        <f>IF($A615="","",IF($B615="","EKSİK","TAM"))</f>
        <v/>
      </c>
    </row>
    <row r="616">
      <c r="F616" s="38">
        <f>IF($A616="","",IF($B616="","EKSİK","TAM"))</f>
        <v/>
      </c>
    </row>
    <row r="617">
      <c r="F617" s="38">
        <f>IF($A617="","",IF($B617="","EKSİK","TAM"))</f>
        <v/>
      </c>
    </row>
    <row r="618">
      <c r="F618" s="38">
        <f>IF($A618="","",IF($B618="","EKSİK","TAM"))</f>
        <v/>
      </c>
    </row>
    <row r="619">
      <c r="F619" s="38">
        <f>IF($A619="","",IF($B619="","EKSİK","TAM"))</f>
        <v/>
      </c>
    </row>
    <row r="620">
      <c r="F620" s="38">
        <f>IF($A620="","",IF($B620="","EKSİK","TAM"))</f>
        <v/>
      </c>
    </row>
    <row r="621">
      <c r="F621" s="38">
        <f>IF($A621="","",IF($B621="","EKSİK","TAM"))</f>
        <v/>
      </c>
    </row>
    <row r="622">
      <c r="F622" s="38">
        <f>IF($A622="","",IF($B622="","EKSİK","TAM"))</f>
        <v/>
      </c>
    </row>
    <row r="623">
      <c r="F623" s="38">
        <f>IF($A623="","",IF($B623="","EKSİK","TAM"))</f>
        <v/>
      </c>
    </row>
    <row r="624">
      <c r="F624" s="38">
        <f>IF($A624="","",IF($B624="","EKSİK","TAM"))</f>
        <v/>
      </c>
    </row>
    <row r="625">
      <c r="F625" s="38">
        <f>IF($A625="","",IF($B625="","EKSİK","TAM"))</f>
        <v/>
      </c>
    </row>
    <row r="626">
      <c r="F626" s="38">
        <f>IF($A626="","",IF($B626="","EKSİK","TAM"))</f>
        <v/>
      </c>
    </row>
    <row r="627">
      <c r="F627" s="38">
        <f>IF($A627="","",IF($B627="","EKSİK","TAM"))</f>
        <v/>
      </c>
    </row>
    <row r="628">
      <c r="F628" s="38">
        <f>IF($A628="","",IF($B628="","EKSİK","TAM"))</f>
        <v/>
      </c>
    </row>
    <row r="629">
      <c r="F629" s="38">
        <f>IF($A629="","",IF($B629="","EKSİK","TAM"))</f>
        <v/>
      </c>
    </row>
    <row r="630">
      <c r="F630" s="38">
        <f>IF($A630="","",IF($B630="","EKSİK","TAM"))</f>
        <v/>
      </c>
    </row>
    <row r="631">
      <c r="F631" s="38">
        <f>IF($A631="","",IF($B631="","EKSİK","TAM"))</f>
        <v/>
      </c>
    </row>
    <row r="632">
      <c r="F632" s="38">
        <f>IF($A632="","",IF($B632="","EKSİK","TAM"))</f>
        <v/>
      </c>
    </row>
    <row r="633">
      <c r="F633" s="38">
        <f>IF($A633="","",IF($B633="","EKSİK","TAM"))</f>
        <v/>
      </c>
    </row>
    <row r="634">
      <c r="F634" s="38">
        <f>IF($A634="","",IF($B634="","EKSİK","TAM"))</f>
        <v/>
      </c>
    </row>
    <row r="635">
      <c r="F635" s="38">
        <f>IF($A635="","",IF($B635="","EKSİK","TAM"))</f>
        <v/>
      </c>
    </row>
    <row r="636">
      <c r="F636" s="38">
        <f>IF($A636="","",IF($B636="","EKSİK","TAM"))</f>
        <v/>
      </c>
    </row>
    <row r="637">
      <c r="F637" s="38">
        <f>IF($A637="","",IF($B637="","EKSİK","TAM"))</f>
        <v/>
      </c>
    </row>
    <row r="638">
      <c r="F638" s="38">
        <f>IF($A638="","",IF($B638="","EKSİK","TAM"))</f>
        <v/>
      </c>
    </row>
    <row r="639">
      <c r="F639" s="38">
        <f>IF($A639="","",IF($B639="","EKSİK","TAM"))</f>
        <v/>
      </c>
    </row>
    <row r="640">
      <c r="F640" s="38">
        <f>IF($A640="","",IF($B640="","EKSİK","TAM"))</f>
        <v/>
      </c>
    </row>
    <row r="641">
      <c r="F641" s="38">
        <f>IF($A641="","",IF($B641="","EKSİK","TAM"))</f>
        <v/>
      </c>
    </row>
    <row r="642">
      <c r="F642" s="38">
        <f>IF($A642="","",IF($B642="","EKSİK","TAM"))</f>
        <v/>
      </c>
    </row>
    <row r="643">
      <c r="F643" s="38">
        <f>IF($A643="","",IF($B643="","EKSİK","TAM"))</f>
        <v/>
      </c>
    </row>
    <row r="644">
      <c r="F644" s="38">
        <f>IF($A644="","",IF($B644="","EKSİK","TAM"))</f>
        <v/>
      </c>
    </row>
    <row r="645">
      <c r="F645" s="38">
        <f>IF($A645="","",IF($B645="","EKSİK","TAM"))</f>
        <v/>
      </c>
    </row>
    <row r="646">
      <c r="F646" s="38">
        <f>IF($A646="","",IF($B646="","EKSİK","TAM"))</f>
        <v/>
      </c>
    </row>
    <row r="647">
      <c r="F647" s="38">
        <f>IF($A647="","",IF($B647="","EKSİK","TAM"))</f>
        <v/>
      </c>
    </row>
    <row r="648">
      <c r="F648" s="38">
        <f>IF($A648="","",IF($B648="","EKSİK","TAM"))</f>
        <v/>
      </c>
    </row>
    <row r="649">
      <c r="F649" s="38">
        <f>IF($A649="","",IF($B649="","EKSİK","TAM"))</f>
        <v/>
      </c>
    </row>
    <row r="650">
      <c r="F650" s="38">
        <f>IF($A650="","",IF($B650="","EKSİK","TAM"))</f>
        <v/>
      </c>
    </row>
    <row r="651">
      <c r="F651" s="38">
        <f>IF($A651="","",IF($B651="","EKSİK","TAM"))</f>
        <v/>
      </c>
    </row>
    <row r="652">
      <c r="F652" s="38">
        <f>IF($A652="","",IF($B652="","EKSİK","TAM"))</f>
        <v/>
      </c>
    </row>
    <row r="653">
      <c r="F653" s="38">
        <f>IF($A653="","",IF($B653="","EKSİK","TAM"))</f>
        <v/>
      </c>
    </row>
    <row r="654">
      <c r="F654" s="38">
        <f>IF($A654="","",IF($B654="","EKSİK","TAM"))</f>
        <v/>
      </c>
    </row>
    <row r="655">
      <c r="F655" s="38">
        <f>IF($A655="","",IF($B655="","EKSİK","TAM"))</f>
        <v/>
      </c>
    </row>
    <row r="656">
      <c r="F656" s="38">
        <f>IF($A656="","",IF($B656="","EKSİK","TAM"))</f>
        <v/>
      </c>
    </row>
    <row r="657">
      <c r="F657" s="38">
        <f>IF($A657="","",IF($B657="","EKSİK","TAM"))</f>
        <v/>
      </c>
    </row>
    <row r="658">
      <c r="F658" s="38">
        <f>IF($A658="","",IF($B658="","EKSİK","TAM"))</f>
        <v/>
      </c>
    </row>
    <row r="659">
      <c r="F659" s="38">
        <f>IF($A659="","",IF($B659="","EKSİK","TAM"))</f>
        <v/>
      </c>
    </row>
    <row r="660">
      <c r="F660" s="38">
        <f>IF($A660="","",IF($B660="","EKSİK","TAM"))</f>
        <v/>
      </c>
    </row>
    <row r="661">
      <c r="F661" s="38">
        <f>IF($A661="","",IF($B661="","EKSİK","TAM"))</f>
        <v/>
      </c>
    </row>
    <row r="662">
      <c r="F662" s="38">
        <f>IF($A662="","",IF($B662="","EKSİK","TAM"))</f>
        <v/>
      </c>
    </row>
    <row r="663">
      <c r="F663" s="38">
        <f>IF($A663="","",IF($B663="","EKSİK","TAM"))</f>
        <v/>
      </c>
    </row>
    <row r="664">
      <c r="F664" s="38">
        <f>IF($A664="","",IF($B664="","EKSİK","TAM"))</f>
        <v/>
      </c>
    </row>
    <row r="665">
      <c r="F665" s="38">
        <f>IF($A665="","",IF($B665="","EKSİK","TAM"))</f>
        <v/>
      </c>
    </row>
    <row r="666">
      <c r="F666" s="38">
        <f>IF($A666="","",IF($B666="","EKSİK","TAM"))</f>
        <v/>
      </c>
    </row>
    <row r="667">
      <c r="F667" s="38">
        <f>IF($A667="","",IF($B667="","EKSİK","TAM"))</f>
        <v/>
      </c>
    </row>
    <row r="668">
      <c r="F668" s="38">
        <f>IF($A668="","",IF($B668="","EKSİK","TAM"))</f>
        <v/>
      </c>
    </row>
    <row r="669">
      <c r="F669" s="38">
        <f>IF($A669="","",IF($B669="","EKSİK","TAM"))</f>
        <v/>
      </c>
    </row>
    <row r="670">
      <c r="F670" s="38">
        <f>IF($A670="","",IF($B670="","EKSİK","TAM"))</f>
        <v/>
      </c>
    </row>
    <row r="671">
      <c r="F671" s="38">
        <f>IF($A671="","",IF($B671="","EKSİK","TAM"))</f>
        <v/>
      </c>
    </row>
    <row r="672">
      <c r="F672" s="38">
        <f>IF($A672="","",IF($B672="","EKSİK","TAM"))</f>
        <v/>
      </c>
    </row>
    <row r="673">
      <c r="F673" s="38">
        <f>IF($A673="","",IF($B673="","EKSİK","TAM"))</f>
        <v/>
      </c>
    </row>
    <row r="674">
      <c r="F674" s="38">
        <f>IF($A674="","",IF($B674="","EKSİK","TAM"))</f>
        <v/>
      </c>
    </row>
    <row r="675">
      <c r="F675" s="38">
        <f>IF($A675="","",IF($B675="","EKSİK","TAM"))</f>
        <v/>
      </c>
    </row>
    <row r="676">
      <c r="F676" s="38">
        <f>IF($A676="","",IF($B676="","EKSİK","TAM"))</f>
        <v/>
      </c>
    </row>
    <row r="677">
      <c r="F677" s="38">
        <f>IF($A677="","",IF($B677="","EKSİK","TAM"))</f>
        <v/>
      </c>
    </row>
    <row r="678">
      <c r="F678" s="38">
        <f>IF($A678="","",IF($B678="","EKSİK","TAM"))</f>
        <v/>
      </c>
    </row>
    <row r="679">
      <c r="F679" s="38">
        <f>IF($A679="","",IF($B679="","EKSİK","TAM"))</f>
        <v/>
      </c>
    </row>
    <row r="680">
      <c r="F680" s="38">
        <f>IF($A680="","",IF($B680="","EKSİK","TAM"))</f>
        <v/>
      </c>
    </row>
    <row r="681">
      <c r="F681" s="38">
        <f>IF($A681="","",IF($B681="","EKSİK","TAM"))</f>
        <v/>
      </c>
    </row>
    <row r="682">
      <c r="F682" s="38">
        <f>IF($A682="","",IF($B682="","EKSİK","TAM"))</f>
        <v/>
      </c>
    </row>
    <row r="683">
      <c r="F683" s="38">
        <f>IF($A683="","",IF($B683="","EKSİK","TAM"))</f>
        <v/>
      </c>
    </row>
    <row r="684">
      <c r="F684" s="38">
        <f>IF($A684="","",IF($B684="","EKSİK","TAM"))</f>
        <v/>
      </c>
    </row>
    <row r="685">
      <c r="F685" s="38">
        <f>IF($A685="","",IF($B685="","EKSİK","TAM"))</f>
        <v/>
      </c>
    </row>
    <row r="686">
      <c r="F686" s="38">
        <f>IF($A686="","",IF($B686="","EKSİK","TAM"))</f>
        <v/>
      </c>
    </row>
    <row r="687">
      <c r="F687" s="38">
        <f>IF($A687="","",IF($B687="","EKSİK","TAM"))</f>
        <v/>
      </c>
    </row>
    <row r="688">
      <c r="F688" s="38">
        <f>IF($A688="","",IF($B688="","EKSİK","TAM"))</f>
        <v/>
      </c>
    </row>
    <row r="689">
      <c r="F689" s="38">
        <f>IF($A689="","",IF($B689="","EKSİK","TAM"))</f>
        <v/>
      </c>
    </row>
    <row r="690">
      <c r="F690" s="38">
        <f>IF($A690="","",IF($B690="","EKSİK","TAM"))</f>
        <v/>
      </c>
    </row>
    <row r="691">
      <c r="F691" s="38">
        <f>IF($A691="","",IF($B691="","EKSİK","TAM"))</f>
        <v/>
      </c>
    </row>
    <row r="692">
      <c r="F692" s="38">
        <f>IF($A692="","",IF($B692="","EKSİK","TAM"))</f>
        <v/>
      </c>
    </row>
    <row r="693">
      <c r="F693" s="38">
        <f>IF($A693="","",IF($B693="","EKSİK","TAM"))</f>
        <v/>
      </c>
    </row>
    <row r="694">
      <c r="F694" s="38">
        <f>IF($A694="","",IF($B694="","EKSİK","TAM"))</f>
        <v/>
      </c>
    </row>
    <row r="695">
      <c r="F695" s="38">
        <f>IF($A695="","",IF($B695="","EKSİK","TAM"))</f>
        <v/>
      </c>
    </row>
    <row r="696">
      <c r="F696" s="38">
        <f>IF($A696="","",IF($B696="","EKSİK","TAM"))</f>
        <v/>
      </c>
    </row>
    <row r="697">
      <c r="F697" s="38">
        <f>IF($A697="","",IF($B697="","EKSİK","TAM"))</f>
        <v/>
      </c>
    </row>
    <row r="698">
      <c r="F698" s="38">
        <f>IF($A698="","",IF($B698="","EKSİK","TAM"))</f>
        <v/>
      </c>
    </row>
    <row r="699">
      <c r="F699" s="38">
        <f>IF($A699="","",IF($B699="","EKSİK","TAM"))</f>
        <v/>
      </c>
    </row>
    <row r="700">
      <c r="F700" s="38">
        <f>IF($A700="","",IF($B700="","EKSİK","TAM"))</f>
        <v/>
      </c>
    </row>
    <row r="701">
      <c r="F701" s="38">
        <f>IF($A701="","",IF($B701="","EKSİK","TAM"))</f>
        <v/>
      </c>
    </row>
    <row r="702">
      <c r="F702" s="38">
        <f>IF($A702="","",IF($B702="","EKSİK","TAM"))</f>
        <v/>
      </c>
    </row>
    <row r="703">
      <c r="F703" s="38">
        <f>IF($A703="","",IF($B703="","EKSİK","TAM"))</f>
        <v/>
      </c>
    </row>
    <row r="704">
      <c r="F704" s="38">
        <f>IF($A704="","",IF($B704="","EKSİK","TAM"))</f>
        <v/>
      </c>
    </row>
    <row r="705">
      <c r="F705" s="38">
        <f>IF($A705="","",IF($B705="","EKSİK","TAM"))</f>
        <v/>
      </c>
    </row>
    <row r="706">
      <c r="F706" s="38">
        <f>IF($A706="","",IF($B706="","EKSİK","TAM"))</f>
        <v/>
      </c>
    </row>
    <row r="707">
      <c r="F707" s="38">
        <f>IF($A707="","",IF($B707="","EKSİK","TAM"))</f>
        <v/>
      </c>
    </row>
    <row r="708">
      <c r="F708" s="38">
        <f>IF($A708="","",IF($B708="","EKSİK","TAM"))</f>
        <v/>
      </c>
    </row>
    <row r="709">
      <c r="F709" s="38">
        <f>IF($A709="","",IF($B709="","EKSİK","TAM"))</f>
        <v/>
      </c>
    </row>
    <row r="710">
      <c r="F710" s="38">
        <f>IF($A710="","",IF($B710="","EKSİK","TAM"))</f>
        <v/>
      </c>
    </row>
    <row r="711">
      <c r="F711" s="38">
        <f>IF($A711="","",IF($B711="","EKSİK","TAM"))</f>
        <v/>
      </c>
    </row>
    <row r="712">
      <c r="F712" s="38">
        <f>IF($A712="","",IF($B712="","EKSİK","TAM"))</f>
        <v/>
      </c>
    </row>
    <row r="713">
      <c r="F713" s="38">
        <f>IF($A713="","",IF($B713="","EKSİK","TAM"))</f>
        <v/>
      </c>
    </row>
    <row r="714">
      <c r="F714" s="38">
        <f>IF($A714="","",IF($B714="","EKSİK","TAM"))</f>
        <v/>
      </c>
    </row>
    <row r="715">
      <c r="F715" s="38">
        <f>IF($A715="","",IF($B715="","EKSİK","TAM"))</f>
        <v/>
      </c>
    </row>
    <row r="716">
      <c r="F716" s="38">
        <f>IF($A716="","",IF($B716="","EKSİK","TAM"))</f>
        <v/>
      </c>
    </row>
    <row r="717">
      <c r="F717" s="38">
        <f>IF($A717="","",IF($B717="","EKSİK","TAM"))</f>
        <v/>
      </c>
    </row>
    <row r="718">
      <c r="F718" s="38">
        <f>IF($A718="","",IF($B718="","EKSİK","TAM"))</f>
        <v/>
      </c>
    </row>
    <row r="719">
      <c r="F719" s="38">
        <f>IF($A719="","",IF($B719="","EKSİK","TAM"))</f>
        <v/>
      </c>
    </row>
    <row r="720">
      <c r="F720" s="38">
        <f>IF($A720="","",IF($B720="","EKSİK","TAM"))</f>
        <v/>
      </c>
    </row>
    <row r="721">
      <c r="F721" s="38">
        <f>IF($A721="","",IF($B721="","EKSİK","TAM"))</f>
        <v/>
      </c>
    </row>
    <row r="722">
      <c r="F722" s="38">
        <f>IF($A722="","",IF($B722="","EKSİK","TAM"))</f>
        <v/>
      </c>
    </row>
    <row r="723">
      <c r="F723" s="38">
        <f>IF($A723="","",IF($B723="","EKSİK","TAM"))</f>
        <v/>
      </c>
    </row>
    <row r="724">
      <c r="F724" s="38">
        <f>IF($A724="","",IF($B724="","EKSİK","TAM"))</f>
        <v/>
      </c>
    </row>
    <row r="725">
      <c r="F725" s="38">
        <f>IF($A725="","",IF($B725="","EKSİK","TAM"))</f>
        <v/>
      </c>
    </row>
    <row r="726">
      <c r="F726" s="38">
        <f>IF($A726="","",IF($B726="","EKSİK","TAM"))</f>
        <v/>
      </c>
    </row>
    <row r="727">
      <c r="F727" s="38">
        <f>IF($A727="","",IF($B727="","EKSİK","TAM"))</f>
        <v/>
      </c>
    </row>
    <row r="728">
      <c r="F728" s="38">
        <f>IF($A728="","",IF($B728="","EKSİK","TAM"))</f>
        <v/>
      </c>
    </row>
    <row r="729">
      <c r="F729" s="38">
        <f>IF($A729="","",IF($B729="","EKSİK","TAM"))</f>
        <v/>
      </c>
    </row>
    <row r="730">
      <c r="F730" s="38">
        <f>IF($A730="","",IF($B730="","EKSİK","TAM"))</f>
        <v/>
      </c>
    </row>
    <row r="731">
      <c r="F731" s="38">
        <f>IF($A731="","",IF($B731="","EKSİK","TAM"))</f>
        <v/>
      </c>
    </row>
    <row r="732">
      <c r="F732" s="38">
        <f>IF($A732="","",IF($B732="","EKSİK","TAM"))</f>
        <v/>
      </c>
    </row>
    <row r="733">
      <c r="F733" s="38">
        <f>IF($A733="","",IF($B733="","EKSİK","TAM"))</f>
        <v/>
      </c>
    </row>
    <row r="734">
      <c r="F734" s="38">
        <f>IF($A734="","",IF($B734="","EKSİK","TAM"))</f>
        <v/>
      </c>
    </row>
    <row r="735">
      <c r="F735" s="38">
        <f>IF($A735="","",IF($B735="","EKSİK","TAM"))</f>
        <v/>
      </c>
    </row>
    <row r="736">
      <c r="F736" s="38">
        <f>IF($A736="","",IF($B736="","EKSİK","TAM"))</f>
        <v/>
      </c>
    </row>
    <row r="737">
      <c r="F737" s="38">
        <f>IF($A737="","",IF($B737="","EKSİK","TAM"))</f>
        <v/>
      </c>
    </row>
    <row r="738">
      <c r="F738" s="38">
        <f>IF($A738="","",IF($B738="","EKSİK","TAM"))</f>
        <v/>
      </c>
    </row>
    <row r="739">
      <c r="F739" s="38">
        <f>IF($A739="","",IF($B739="","EKSİK","TAM"))</f>
        <v/>
      </c>
    </row>
    <row r="740">
      <c r="F740" s="38">
        <f>IF($A740="","",IF($B740="","EKSİK","TAM"))</f>
        <v/>
      </c>
    </row>
    <row r="741">
      <c r="F741" s="38">
        <f>IF($A741="","",IF($B741="","EKSİK","TAM"))</f>
        <v/>
      </c>
    </row>
    <row r="742">
      <c r="F742" s="38">
        <f>IF($A742="","",IF($B742="","EKSİK","TAM"))</f>
        <v/>
      </c>
    </row>
    <row r="743">
      <c r="F743" s="38">
        <f>IF($A743="","",IF($B743="","EKSİK","TAM"))</f>
        <v/>
      </c>
    </row>
    <row r="744">
      <c r="F744" s="38">
        <f>IF($A744="","",IF($B744="","EKSİK","TAM"))</f>
        <v/>
      </c>
    </row>
    <row r="745">
      <c r="F745" s="38">
        <f>IF($A745="","",IF($B745="","EKSİK","TAM"))</f>
        <v/>
      </c>
    </row>
    <row r="746">
      <c r="F746" s="38">
        <f>IF($A746="","",IF($B746="","EKSİK","TAM"))</f>
        <v/>
      </c>
    </row>
    <row r="747">
      <c r="F747" s="38">
        <f>IF($A747="","",IF($B747="","EKSİK","TAM"))</f>
        <v/>
      </c>
    </row>
    <row r="748">
      <c r="F748" s="38">
        <f>IF($A748="","",IF($B748="","EKSİK","TAM"))</f>
        <v/>
      </c>
    </row>
    <row r="749">
      <c r="F749" s="38">
        <f>IF($A749="","",IF($B749="","EKSİK","TAM"))</f>
        <v/>
      </c>
    </row>
    <row r="750">
      <c r="F750" s="38">
        <f>IF($A750="","",IF($B750="","EKSİK","TAM"))</f>
        <v/>
      </c>
    </row>
    <row r="751">
      <c r="F751" s="38">
        <f>IF($A751="","",IF($B751="","EKSİK","TAM"))</f>
        <v/>
      </c>
    </row>
    <row r="752">
      <c r="F752" s="38">
        <f>IF($A752="","",IF($B752="","EKSİK","TAM"))</f>
        <v/>
      </c>
    </row>
    <row r="753">
      <c r="F753" s="38">
        <f>IF($A753="","",IF($B753="","EKSİK","TAM"))</f>
        <v/>
      </c>
    </row>
    <row r="754">
      <c r="F754" s="38">
        <f>IF($A754="","",IF($B754="","EKSİK","TAM"))</f>
        <v/>
      </c>
    </row>
    <row r="755">
      <c r="F755" s="38">
        <f>IF($A755="","",IF($B755="","EKSİK","TAM"))</f>
        <v/>
      </c>
    </row>
    <row r="756">
      <c r="F756" s="38">
        <f>IF($A756="","",IF($B756="","EKSİK","TAM"))</f>
        <v/>
      </c>
    </row>
    <row r="757">
      <c r="F757" s="38">
        <f>IF($A757="","",IF($B757="","EKSİK","TAM"))</f>
        <v/>
      </c>
    </row>
    <row r="758">
      <c r="F758" s="38">
        <f>IF($A758="","",IF($B758="","EKSİK","TAM"))</f>
        <v/>
      </c>
    </row>
    <row r="759">
      <c r="F759" s="38">
        <f>IF($A759="","",IF($B759="","EKSİK","TAM"))</f>
        <v/>
      </c>
    </row>
    <row r="760">
      <c r="F760" s="38">
        <f>IF($A760="","",IF($B760="","EKSİK","TAM"))</f>
        <v/>
      </c>
    </row>
    <row r="761">
      <c r="F761" s="38">
        <f>IF($A761="","",IF($B761="","EKSİK","TAM"))</f>
        <v/>
      </c>
    </row>
    <row r="762">
      <c r="F762" s="38">
        <f>IF($A762="","",IF($B762="","EKSİK","TAM"))</f>
        <v/>
      </c>
    </row>
    <row r="763">
      <c r="F763" s="38">
        <f>IF($A763="","",IF($B763="","EKSİK","TAM"))</f>
        <v/>
      </c>
    </row>
    <row r="764">
      <c r="F764" s="38">
        <f>IF($A764="","",IF($B764="","EKSİK","TAM"))</f>
        <v/>
      </c>
    </row>
    <row r="765">
      <c r="F765" s="38">
        <f>IF($A765="","",IF($B765="","EKSİK","TAM"))</f>
        <v/>
      </c>
    </row>
    <row r="766">
      <c r="F766" s="38">
        <f>IF($A766="","",IF($B766="","EKSİK","TAM"))</f>
        <v/>
      </c>
    </row>
    <row r="767">
      <c r="F767" s="38">
        <f>IF($A767="","",IF($B767="","EKSİK","TAM"))</f>
        <v/>
      </c>
    </row>
    <row r="768">
      <c r="F768" s="38">
        <f>IF($A768="","",IF($B768="","EKSİK","TAM"))</f>
        <v/>
      </c>
    </row>
    <row r="769">
      <c r="F769" s="38">
        <f>IF($A769="","",IF($B769="","EKSİK","TAM"))</f>
        <v/>
      </c>
    </row>
    <row r="770">
      <c r="F770" s="38">
        <f>IF($A770="","",IF($B770="","EKSİK","TAM"))</f>
        <v/>
      </c>
    </row>
    <row r="771">
      <c r="F771" s="38">
        <f>IF($A771="","",IF($B771="","EKSİK","TAM"))</f>
        <v/>
      </c>
    </row>
    <row r="772">
      <c r="F772" s="38">
        <f>IF($A772="","",IF($B772="","EKSİK","TAM"))</f>
        <v/>
      </c>
    </row>
    <row r="773">
      <c r="F773" s="38">
        <f>IF($A773="","",IF($B773="","EKSİK","TAM"))</f>
        <v/>
      </c>
    </row>
    <row r="774">
      <c r="F774" s="38">
        <f>IF($A774="","",IF($B774="","EKSİK","TAM"))</f>
        <v/>
      </c>
    </row>
    <row r="775">
      <c r="F775" s="38">
        <f>IF($A775="","",IF($B775="","EKSİK","TAM"))</f>
        <v/>
      </c>
    </row>
    <row r="776">
      <c r="F776" s="38">
        <f>IF($A776="","",IF($B776="","EKSİK","TAM"))</f>
        <v/>
      </c>
    </row>
    <row r="777">
      <c r="F777" s="38">
        <f>IF($A777="","",IF($B777="","EKSİK","TAM"))</f>
        <v/>
      </c>
    </row>
    <row r="778">
      <c r="F778" s="38">
        <f>IF($A778="","",IF($B778="","EKSİK","TAM"))</f>
        <v/>
      </c>
    </row>
    <row r="779">
      <c r="F779" s="38">
        <f>IF($A779="","",IF($B779="","EKSİK","TAM"))</f>
        <v/>
      </c>
    </row>
    <row r="780">
      <c r="F780" s="38">
        <f>IF($A780="","",IF($B780="","EKSİK","TAM"))</f>
        <v/>
      </c>
    </row>
    <row r="781">
      <c r="F781" s="38">
        <f>IF($A781="","",IF($B781="","EKSİK","TAM"))</f>
        <v/>
      </c>
    </row>
    <row r="782">
      <c r="F782" s="38">
        <f>IF($A782="","",IF($B782="","EKSİK","TAM"))</f>
        <v/>
      </c>
    </row>
    <row r="783">
      <c r="F783" s="38">
        <f>IF($A783="","",IF($B783="","EKSİK","TAM"))</f>
        <v/>
      </c>
    </row>
    <row r="784">
      <c r="F784" s="38">
        <f>IF($A784="","",IF($B784="","EKSİK","TAM"))</f>
        <v/>
      </c>
    </row>
    <row r="785">
      <c r="F785" s="38">
        <f>IF($A785="","",IF($B785="","EKSİK","TAM"))</f>
        <v/>
      </c>
    </row>
    <row r="786">
      <c r="F786" s="38">
        <f>IF($A786="","",IF($B786="","EKSİK","TAM"))</f>
        <v/>
      </c>
    </row>
    <row r="787">
      <c r="F787" s="38">
        <f>IF($A787="","",IF($B787="","EKSİK","TAM"))</f>
        <v/>
      </c>
    </row>
    <row r="788">
      <c r="F788" s="38">
        <f>IF($A788="","",IF($B788="","EKSİK","TAM"))</f>
        <v/>
      </c>
    </row>
    <row r="789">
      <c r="F789" s="38">
        <f>IF($A789="","",IF($B789="","EKSİK","TAM"))</f>
        <v/>
      </c>
    </row>
    <row r="790">
      <c r="F790" s="38">
        <f>IF($A790="","",IF($B790="","EKSİK","TAM"))</f>
        <v/>
      </c>
    </row>
    <row r="791">
      <c r="F791" s="38">
        <f>IF($A791="","",IF($B791="","EKSİK","TAM"))</f>
        <v/>
      </c>
    </row>
    <row r="792">
      <c r="F792" s="38">
        <f>IF($A792="","",IF($B792="","EKSİK","TAM"))</f>
        <v/>
      </c>
    </row>
    <row r="793">
      <c r="F793" s="38">
        <f>IF($A793="","",IF($B793="","EKSİK","TAM"))</f>
        <v/>
      </c>
    </row>
    <row r="794">
      <c r="F794" s="38">
        <f>IF($A794="","",IF($B794="","EKSİK","TAM"))</f>
        <v/>
      </c>
    </row>
    <row r="795">
      <c r="F795" s="38">
        <f>IF($A795="","",IF($B795="","EKSİK","TAM"))</f>
        <v/>
      </c>
    </row>
    <row r="796">
      <c r="F796" s="38">
        <f>IF($A796="","",IF($B796="","EKSİK","TAM"))</f>
        <v/>
      </c>
    </row>
    <row r="797">
      <c r="F797" s="38">
        <f>IF($A797="","",IF($B797="","EKSİK","TAM"))</f>
        <v/>
      </c>
    </row>
    <row r="798">
      <c r="F798" s="38">
        <f>IF($A798="","",IF($B798="","EKSİK","TAM"))</f>
        <v/>
      </c>
    </row>
    <row r="799">
      <c r="F799" s="38">
        <f>IF($A799="","",IF($B799="","EKSİK","TAM"))</f>
        <v/>
      </c>
    </row>
    <row r="800">
      <c r="F800" s="38">
        <f>IF($A800="","",IF($B800="","EKSİK","TAM"))</f>
        <v/>
      </c>
    </row>
    <row r="801">
      <c r="F801" s="38">
        <f>IF($A801="","",IF($B801="","EKSİK","TAM"))</f>
        <v/>
      </c>
    </row>
    <row r="802">
      <c r="F802" s="38">
        <f>IF($A802="","",IF($B802="","EKSİK","TAM"))</f>
        <v/>
      </c>
    </row>
    <row r="803">
      <c r="F803" s="38">
        <f>IF($A803="","",IF($B803="","EKSİK","TAM"))</f>
        <v/>
      </c>
    </row>
    <row r="804">
      <c r="F804" s="38">
        <f>IF($A804="","",IF($B804="","EKSİK","TAM"))</f>
        <v/>
      </c>
    </row>
    <row r="805">
      <c r="F805" s="38">
        <f>IF($A805="","",IF($B805="","EKSİK","TAM"))</f>
        <v/>
      </c>
    </row>
    <row r="806">
      <c r="F806" s="38">
        <f>IF($A806="","",IF($B806="","EKSİK","TAM"))</f>
        <v/>
      </c>
    </row>
    <row r="807">
      <c r="F807" s="38">
        <f>IF($A807="","",IF($B807="","EKSİK","TAM"))</f>
        <v/>
      </c>
    </row>
    <row r="808">
      <c r="F808" s="38">
        <f>IF($A808="","",IF($B808="","EKSİK","TAM"))</f>
        <v/>
      </c>
    </row>
    <row r="809">
      <c r="F809" s="38">
        <f>IF($A809="","",IF($B809="","EKSİK","TAM"))</f>
        <v/>
      </c>
    </row>
    <row r="810">
      <c r="F810" s="38">
        <f>IF($A810="","",IF($B810="","EKSİK","TAM"))</f>
        <v/>
      </c>
    </row>
    <row r="811">
      <c r="F811" s="38">
        <f>IF($A811="","",IF($B811="","EKSİK","TAM"))</f>
        <v/>
      </c>
    </row>
    <row r="812">
      <c r="F812" s="38">
        <f>IF($A812="","",IF($B812="","EKSİK","TAM"))</f>
        <v/>
      </c>
    </row>
    <row r="813">
      <c r="F813" s="38">
        <f>IF($A813="","",IF($B813="","EKSİK","TAM"))</f>
        <v/>
      </c>
    </row>
    <row r="814">
      <c r="F814" s="38">
        <f>IF($A814="","",IF($B814="","EKSİK","TAM"))</f>
        <v/>
      </c>
    </row>
    <row r="815">
      <c r="F815" s="38">
        <f>IF($A815="","",IF($B815="","EKSİK","TAM"))</f>
        <v/>
      </c>
    </row>
    <row r="816">
      <c r="F816" s="38">
        <f>IF($A816="","",IF($B816="","EKSİK","TAM"))</f>
        <v/>
      </c>
    </row>
    <row r="817">
      <c r="F817" s="38">
        <f>IF($A817="","",IF($B817="","EKSİK","TAM"))</f>
        <v/>
      </c>
    </row>
    <row r="818">
      <c r="F818" s="38">
        <f>IF($A818="","",IF($B818="","EKSİK","TAM"))</f>
        <v/>
      </c>
    </row>
    <row r="819">
      <c r="F819" s="38">
        <f>IF($A819="","",IF($B819="","EKSİK","TAM"))</f>
        <v/>
      </c>
    </row>
    <row r="820">
      <c r="F820" s="38">
        <f>IF($A820="","",IF($B820="","EKSİK","TAM"))</f>
        <v/>
      </c>
    </row>
    <row r="821">
      <c r="F821" s="38">
        <f>IF($A821="","",IF($B821="","EKSİK","TAM"))</f>
        <v/>
      </c>
    </row>
    <row r="822">
      <c r="F822" s="38">
        <f>IF($A822="","",IF($B822="","EKSİK","TAM"))</f>
        <v/>
      </c>
    </row>
    <row r="823">
      <c r="F823" s="38">
        <f>IF($A823="","",IF($B823="","EKSİK","TAM"))</f>
        <v/>
      </c>
    </row>
    <row r="824">
      <c r="F824" s="38">
        <f>IF($A824="","",IF($B824="","EKSİK","TAM"))</f>
        <v/>
      </c>
    </row>
    <row r="825">
      <c r="F825" s="38">
        <f>IF($A825="","",IF($B825="","EKSİK","TAM"))</f>
        <v/>
      </c>
    </row>
    <row r="826">
      <c r="F826" s="38">
        <f>IF($A826="","",IF($B826="","EKSİK","TAM"))</f>
        <v/>
      </c>
    </row>
    <row r="827">
      <c r="F827" s="38">
        <f>IF($A827="","",IF($B827="","EKSİK","TAM"))</f>
        <v/>
      </c>
    </row>
    <row r="828">
      <c r="F828" s="38">
        <f>IF($A828="","",IF($B828="","EKSİK","TAM"))</f>
        <v/>
      </c>
    </row>
    <row r="829">
      <c r="F829" s="38">
        <f>IF($A829="","",IF($B829="","EKSİK","TAM"))</f>
        <v/>
      </c>
    </row>
    <row r="830">
      <c r="F830" s="38">
        <f>IF($A830="","",IF($B830="","EKSİK","TAM"))</f>
        <v/>
      </c>
    </row>
    <row r="831">
      <c r="F831" s="38">
        <f>IF($A831="","",IF($B831="","EKSİK","TAM"))</f>
        <v/>
      </c>
    </row>
    <row r="832">
      <c r="F832" s="38">
        <f>IF($A832="","",IF($B832="","EKSİK","TAM"))</f>
        <v/>
      </c>
    </row>
    <row r="833">
      <c r="F833" s="38">
        <f>IF($A833="","",IF($B833="","EKSİK","TAM"))</f>
        <v/>
      </c>
    </row>
    <row r="834">
      <c r="F834" s="38">
        <f>IF($A834="","",IF($B834="","EKSİK","TAM"))</f>
        <v/>
      </c>
    </row>
    <row r="835">
      <c r="F835" s="38">
        <f>IF($A835="","",IF($B835="","EKSİK","TAM"))</f>
        <v/>
      </c>
    </row>
    <row r="836">
      <c r="F836" s="38">
        <f>IF($A836="","",IF($B836="","EKSİK","TAM"))</f>
        <v/>
      </c>
    </row>
    <row r="837">
      <c r="F837" s="38">
        <f>IF($A837="","",IF($B837="","EKSİK","TAM"))</f>
        <v/>
      </c>
    </row>
    <row r="838">
      <c r="F838" s="38">
        <f>IF($A838="","",IF($B838="","EKSİK","TAM"))</f>
        <v/>
      </c>
    </row>
    <row r="839">
      <c r="F839" s="38">
        <f>IF($A839="","",IF($B839="","EKSİK","TAM"))</f>
        <v/>
      </c>
    </row>
    <row r="840">
      <c r="F840" s="38">
        <f>IF($A840="","",IF($B840="","EKSİK","TAM"))</f>
        <v/>
      </c>
    </row>
    <row r="841">
      <c r="F841" s="38">
        <f>IF($A841="","",IF($B841="","EKSİK","TAM"))</f>
        <v/>
      </c>
    </row>
    <row r="842">
      <c r="F842" s="38">
        <f>IF($A842="","",IF($B842="","EKSİK","TAM"))</f>
        <v/>
      </c>
    </row>
    <row r="843">
      <c r="F843" s="38">
        <f>IF($A843="","",IF($B843="","EKSİK","TAM"))</f>
        <v/>
      </c>
    </row>
    <row r="844">
      <c r="F844" s="38">
        <f>IF($A844="","",IF($B844="","EKSİK","TAM"))</f>
        <v/>
      </c>
    </row>
    <row r="845">
      <c r="F845" s="38">
        <f>IF($A845="","",IF($B845="","EKSİK","TAM"))</f>
        <v/>
      </c>
    </row>
    <row r="846">
      <c r="F846" s="38">
        <f>IF($A846="","",IF($B846="","EKSİK","TAM"))</f>
        <v/>
      </c>
    </row>
    <row r="847">
      <c r="F847" s="38">
        <f>IF($A847="","",IF($B847="","EKSİK","TAM"))</f>
        <v/>
      </c>
    </row>
    <row r="848">
      <c r="F848" s="38">
        <f>IF($A848="","",IF($B848="","EKSİK","TAM"))</f>
        <v/>
      </c>
    </row>
    <row r="849">
      <c r="F849" s="38">
        <f>IF($A849="","",IF($B849="","EKSİK","TAM"))</f>
        <v/>
      </c>
    </row>
    <row r="850">
      <c r="F850" s="38">
        <f>IF($A850="","",IF($B850="","EKSİK","TAM"))</f>
        <v/>
      </c>
    </row>
    <row r="851">
      <c r="F851" s="38">
        <f>IF($A851="","",IF($B851="","EKSİK","TAM"))</f>
        <v/>
      </c>
    </row>
    <row r="852">
      <c r="F852" s="38">
        <f>IF($A852="","",IF($B852="","EKSİK","TAM"))</f>
        <v/>
      </c>
    </row>
    <row r="853">
      <c r="F853" s="38">
        <f>IF($A853="","",IF($B853="","EKSİK","TAM"))</f>
        <v/>
      </c>
    </row>
    <row r="854">
      <c r="F854" s="38">
        <f>IF($A854="","",IF($B854="","EKSİK","TAM"))</f>
        <v/>
      </c>
    </row>
    <row r="855">
      <c r="F855" s="38">
        <f>IF($A855="","",IF($B855="","EKSİK","TAM"))</f>
        <v/>
      </c>
    </row>
    <row r="856">
      <c r="F856" s="38">
        <f>IF($A856="","",IF($B856="","EKSİK","TAM"))</f>
        <v/>
      </c>
    </row>
    <row r="857">
      <c r="F857" s="38">
        <f>IF($A857="","",IF($B857="","EKSİK","TAM"))</f>
        <v/>
      </c>
    </row>
    <row r="858">
      <c r="F858" s="38">
        <f>IF($A858="","",IF($B858="","EKSİK","TAM"))</f>
        <v/>
      </c>
    </row>
    <row r="859">
      <c r="F859" s="38">
        <f>IF($A859="","",IF($B859="","EKSİK","TAM"))</f>
        <v/>
      </c>
    </row>
    <row r="860">
      <c r="F860" s="38">
        <f>IF($A860="","",IF($B860="","EKSİK","TAM"))</f>
        <v/>
      </c>
    </row>
    <row r="861">
      <c r="F861" s="38">
        <f>IF($A861="","",IF($B861="","EKSİK","TAM"))</f>
        <v/>
      </c>
    </row>
    <row r="862">
      <c r="F862" s="38">
        <f>IF($A862="","",IF($B862="","EKSİK","TAM"))</f>
        <v/>
      </c>
    </row>
    <row r="863">
      <c r="F863" s="38">
        <f>IF($A863="","",IF($B863="","EKSİK","TAM"))</f>
        <v/>
      </c>
    </row>
    <row r="864">
      <c r="F864" s="38">
        <f>IF($A864="","",IF($B864="","EKSİK","TAM"))</f>
        <v/>
      </c>
    </row>
    <row r="865">
      <c r="F865" s="38">
        <f>IF($A865="","",IF($B865="","EKSİK","TAM"))</f>
        <v/>
      </c>
    </row>
    <row r="866">
      <c r="F866" s="38">
        <f>IF($A866="","",IF($B866="","EKSİK","TAM"))</f>
        <v/>
      </c>
    </row>
    <row r="867">
      <c r="F867" s="38">
        <f>IF($A867="","",IF($B867="","EKSİK","TAM"))</f>
        <v/>
      </c>
    </row>
    <row r="868">
      <c r="F868" s="38">
        <f>IF($A868="","",IF($B868="","EKSİK","TAM"))</f>
        <v/>
      </c>
    </row>
    <row r="869">
      <c r="F869" s="38">
        <f>IF($A869="","",IF($B869="","EKSİK","TAM"))</f>
        <v/>
      </c>
    </row>
    <row r="870">
      <c r="F870" s="38">
        <f>IF($A870="","",IF($B870="","EKSİK","TAM"))</f>
        <v/>
      </c>
    </row>
    <row r="871">
      <c r="F871" s="38">
        <f>IF($A871="","",IF($B871="","EKSİK","TAM"))</f>
        <v/>
      </c>
    </row>
    <row r="872">
      <c r="F872" s="38">
        <f>IF($A872="","",IF($B872="","EKSİK","TAM"))</f>
        <v/>
      </c>
    </row>
    <row r="873">
      <c r="F873" s="38">
        <f>IF($A873="","",IF($B873="","EKSİK","TAM"))</f>
        <v/>
      </c>
    </row>
    <row r="874">
      <c r="F874" s="38">
        <f>IF($A874="","",IF($B874="","EKSİK","TAM"))</f>
        <v/>
      </c>
    </row>
    <row r="875">
      <c r="F875" s="38">
        <f>IF($A875="","",IF($B875="","EKSİK","TAM"))</f>
        <v/>
      </c>
    </row>
    <row r="876">
      <c r="F876" s="38">
        <f>IF($A876="","",IF($B876="","EKSİK","TAM"))</f>
        <v/>
      </c>
    </row>
    <row r="877">
      <c r="F877" s="38">
        <f>IF($A877="","",IF($B877="","EKSİK","TAM"))</f>
        <v/>
      </c>
    </row>
    <row r="878">
      <c r="F878" s="38">
        <f>IF($A878="","",IF($B878="","EKSİK","TAM"))</f>
        <v/>
      </c>
    </row>
    <row r="879">
      <c r="F879" s="38">
        <f>IF($A879="","",IF($B879="","EKSİK","TAM"))</f>
        <v/>
      </c>
    </row>
    <row r="880">
      <c r="F880" s="38">
        <f>IF($A880="","",IF($B880="","EKSİK","TAM"))</f>
        <v/>
      </c>
    </row>
    <row r="881">
      <c r="F881" s="38">
        <f>IF($A881="","",IF($B881="","EKSİK","TAM"))</f>
        <v/>
      </c>
    </row>
    <row r="882">
      <c r="F882" s="38">
        <f>IF($A882="","",IF($B882="","EKSİK","TAM"))</f>
        <v/>
      </c>
    </row>
    <row r="883">
      <c r="F883" s="38">
        <f>IF($A883="","",IF($B883="","EKSİK","TAM"))</f>
        <v/>
      </c>
    </row>
    <row r="884">
      <c r="F884" s="38">
        <f>IF($A884="","",IF($B884="","EKSİK","TAM"))</f>
        <v/>
      </c>
    </row>
    <row r="885">
      <c r="F885" s="38">
        <f>IF($A885="","",IF($B885="","EKSİK","TAM"))</f>
        <v/>
      </c>
    </row>
    <row r="886">
      <c r="F886" s="38">
        <f>IF($A886="","",IF($B886="","EKSİK","TAM"))</f>
        <v/>
      </c>
    </row>
    <row r="887">
      <c r="F887" s="38">
        <f>IF($A887="","",IF($B887="","EKSİK","TAM"))</f>
        <v/>
      </c>
    </row>
    <row r="888">
      <c r="F888" s="38">
        <f>IF($A888="","",IF($B888="","EKSİK","TAM"))</f>
        <v/>
      </c>
    </row>
    <row r="889">
      <c r="F889" s="38">
        <f>IF($A889="","",IF($B889="","EKSİK","TAM"))</f>
        <v/>
      </c>
    </row>
    <row r="890">
      <c r="F890" s="38">
        <f>IF($A890="","",IF($B890="","EKSİK","TAM"))</f>
        <v/>
      </c>
    </row>
    <row r="891">
      <c r="F891" s="38">
        <f>IF($A891="","",IF($B891="","EKSİK","TAM"))</f>
        <v/>
      </c>
    </row>
    <row r="892">
      <c r="F892" s="38">
        <f>IF($A892="","",IF($B892="","EKSİK","TAM"))</f>
        <v/>
      </c>
    </row>
    <row r="893">
      <c r="F893" s="38">
        <f>IF($A893="","",IF($B893="","EKSİK","TAM"))</f>
        <v/>
      </c>
    </row>
    <row r="894">
      <c r="F894" s="38">
        <f>IF($A894="","",IF($B894="","EKSİK","TAM"))</f>
        <v/>
      </c>
    </row>
    <row r="895">
      <c r="F895" s="38">
        <f>IF($A895="","",IF($B895="","EKSİK","TAM"))</f>
        <v/>
      </c>
    </row>
    <row r="896">
      <c r="F896" s="38">
        <f>IF($A896="","",IF($B896="","EKSİK","TAM"))</f>
        <v/>
      </c>
    </row>
    <row r="897">
      <c r="F897" s="38">
        <f>IF($A897="","",IF($B897="","EKSİK","TAM"))</f>
        <v/>
      </c>
    </row>
    <row r="898">
      <c r="F898" s="38">
        <f>IF($A898="","",IF($B898="","EKSİK","TAM"))</f>
        <v/>
      </c>
    </row>
    <row r="899">
      <c r="F899" s="38">
        <f>IF($A899="","",IF($B899="","EKSİK","TAM"))</f>
        <v/>
      </c>
    </row>
    <row r="900">
      <c r="F900" s="38">
        <f>IF($A900="","",IF($B900="","EKSİK","TAM"))</f>
        <v/>
      </c>
    </row>
    <row r="901">
      <c r="F901" s="38">
        <f>IF($A901="","",IF($B901="","EKSİK","TAM"))</f>
        <v/>
      </c>
    </row>
    <row r="902">
      <c r="F902" s="38">
        <f>IF($A902="","",IF($B902="","EKSİK","TAM"))</f>
        <v/>
      </c>
    </row>
    <row r="903">
      <c r="F903" s="38">
        <f>IF($A903="","",IF($B903="","EKSİK","TAM"))</f>
        <v/>
      </c>
    </row>
    <row r="904">
      <c r="F904" s="38">
        <f>IF($A904="","",IF($B904="","EKSİK","TAM"))</f>
        <v/>
      </c>
    </row>
    <row r="905">
      <c r="F905" s="38">
        <f>IF($A905="","",IF($B905="","EKSİK","TAM"))</f>
        <v/>
      </c>
    </row>
    <row r="906">
      <c r="F906" s="38">
        <f>IF($A906="","",IF($B906="","EKSİK","TAM"))</f>
        <v/>
      </c>
    </row>
    <row r="907">
      <c r="F907" s="38">
        <f>IF($A907="","",IF($B907="","EKSİK","TAM"))</f>
        <v/>
      </c>
    </row>
    <row r="908">
      <c r="F908" s="38">
        <f>IF($A908="","",IF($B908="","EKSİK","TAM"))</f>
        <v/>
      </c>
    </row>
    <row r="909">
      <c r="F909" s="38">
        <f>IF($A909="","",IF($B909="","EKSİK","TAM"))</f>
        <v/>
      </c>
    </row>
    <row r="910">
      <c r="F910" s="38">
        <f>IF($A910="","",IF($B910="","EKSİK","TAM"))</f>
        <v/>
      </c>
    </row>
    <row r="911">
      <c r="F911" s="38">
        <f>IF($A911="","",IF($B911="","EKSİK","TAM"))</f>
        <v/>
      </c>
    </row>
    <row r="912">
      <c r="F912" s="38">
        <f>IF($A912="","",IF($B912="","EKSİK","TAM"))</f>
        <v/>
      </c>
    </row>
    <row r="913">
      <c r="F913" s="38">
        <f>IF($A913="","",IF($B913="","EKSİK","TAM"))</f>
        <v/>
      </c>
    </row>
    <row r="914">
      <c r="F914" s="38">
        <f>IF($A914="","",IF($B914="","EKSİK","TAM"))</f>
        <v/>
      </c>
    </row>
    <row r="915">
      <c r="F915" s="38">
        <f>IF($A915="","",IF($B915="","EKSİK","TAM"))</f>
        <v/>
      </c>
    </row>
    <row r="916">
      <c r="F916" s="38">
        <f>IF($A916="","",IF($B916="","EKSİK","TAM"))</f>
        <v/>
      </c>
    </row>
    <row r="917">
      <c r="F917" s="38">
        <f>IF($A917="","",IF($B917="","EKSİK","TAM"))</f>
        <v/>
      </c>
    </row>
    <row r="918">
      <c r="F918" s="38">
        <f>IF($A918="","",IF($B918="","EKSİK","TAM"))</f>
        <v/>
      </c>
    </row>
    <row r="919">
      <c r="F919" s="38">
        <f>IF($A919="","",IF($B919="","EKSİK","TAM"))</f>
        <v/>
      </c>
    </row>
    <row r="920">
      <c r="F920" s="38">
        <f>IF($A920="","",IF($B920="","EKSİK","TAM"))</f>
        <v/>
      </c>
    </row>
    <row r="921">
      <c r="F921" s="38">
        <f>IF($A921="","",IF($B921="","EKSİK","TAM"))</f>
        <v/>
      </c>
    </row>
    <row r="922">
      <c r="F922" s="38">
        <f>IF($A922="","",IF($B922="","EKSİK","TAM"))</f>
        <v/>
      </c>
    </row>
    <row r="923">
      <c r="F923" s="38">
        <f>IF($A923="","",IF($B923="","EKSİK","TAM"))</f>
        <v/>
      </c>
    </row>
    <row r="924">
      <c r="F924" s="38">
        <f>IF($A924="","",IF($B924="","EKSİK","TAM"))</f>
        <v/>
      </c>
    </row>
    <row r="925">
      <c r="F925" s="38">
        <f>IF($A925="","",IF($B925="","EKSİK","TAM"))</f>
        <v/>
      </c>
    </row>
    <row r="926">
      <c r="F926" s="38">
        <f>IF($A926="","",IF($B926="","EKSİK","TAM"))</f>
        <v/>
      </c>
    </row>
    <row r="927">
      <c r="F927" s="38">
        <f>IF($A927="","",IF($B927="","EKSİK","TAM"))</f>
        <v/>
      </c>
    </row>
    <row r="928">
      <c r="F928" s="38">
        <f>IF($A928="","",IF($B928="","EKSİK","TAM"))</f>
        <v/>
      </c>
    </row>
    <row r="929">
      <c r="F929" s="38">
        <f>IF($A929="","",IF($B929="","EKSİK","TAM"))</f>
        <v/>
      </c>
    </row>
    <row r="930">
      <c r="F930" s="38">
        <f>IF($A930="","",IF($B930="","EKSİK","TAM"))</f>
        <v/>
      </c>
    </row>
    <row r="931">
      <c r="F931" s="38">
        <f>IF($A931="","",IF($B931="","EKSİK","TAM"))</f>
        <v/>
      </c>
    </row>
    <row r="932">
      <c r="F932" s="38">
        <f>IF($A932="","",IF($B932="","EKSİK","TAM"))</f>
        <v/>
      </c>
    </row>
    <row r="933">
      <c r="F933" s="38">
        <f>IF($A933="","",IF($B933="","EKSİK","TAM"))</f>
        <v/>
      </c>
    </row>
    <row r="934">
      <c r="F934" s="38">
        <f>IF($A934="","",IF($B934="","EKSİK","TAM"))</f>
        <v/>
      </c>
    </row>
    <row r="935">
      <c r="F935" s="38">
        <f>IF($A935="","",IF($B935="","EKSİK","TAM"))</f>
        <v/>
      </c>
    </row>
    <row r="936">
      <c r="F936" s="38">
        <f>IF($A936="","",IF($B936="","EKSİK","TAM"))</f>
        <v/>
      </c>
    </row>
    <row r="937">
      <c r="F937" s="38">
        <f>IF($A937="","",IF($B937="","EKSİK","TAM"))</f>
        <v/>
      </c>
    </row>
    <row r="938">
      <c r="F938" s="38">
        <f>IF($A938="","",IF($B938="","EKSİK","TAM"))</f>
        <v/>
      </c>
    </row>
    <row r="939">
      <c r="F939" s="38">
        <f>IF($A939="","",IF($B939="","EKSİK","TAM"))</f>
        <v/>
      </c>
    </row>
    <row r="940">
      <c r="F940" s="38">
        <f>IF($A940="","",IF($B940="","EKSİK","TAM"))</f>
        <v/>
      </c>
    </row>
    <row r="941">
      <c r="F941" s="38">
        <f>IF($A941="","",IF($B941="","EKSİK","TAM"))</f>
        <v/>
      </c>
    </row>
    <row r="942">
      <c r="F942" s="38">
        <f>IF($A942="","",IF($B942="","EKSİK","TAM"))</f>
        <v/>
      </c>
    </row>
    <row r="943">
      <c r="F943" s="38">
        <f>IF($A943="","",IF($B943="","EKSİK","TAM"))</f>
        <v/>
      </c>
    </row>
    <row r="944">
      <c r="F944" s="38">
        <f>IF($A944="","",IF($B944="","EKSİK","TAM"))</f>
        <v/>
      </c>
    </row>
    <row r="945">
      <c r="F945" s="38">
        <f>IF($A945="","",IF($B945="","EKSİK","TAM"))</f>
        <v/>
      </c>
    </row>
    <row r="946">
      <c r="F946" s="38">
        <f>IF($A946="","",IF($B946="","EKSİK","TAM"))</f>
        <v/>
      </c>
    </row>
    <row r="947">
      <c r="F947" s="38">
        <f>IF($A947="","",IF($B947="","EKSİK","TAM"))</f>
        <v/>
      </c>
    </row>
    <row r="948">
      <c r="F948" s="38">
        <f>IF($A948="","",IF($B948="","EKSİK","TAM"))</f>
        <v/>
      </c>
    </row>
    <row r="949">
      <c r="F949" s="38">
        <f>IF($A949="","",IF($B949="","EKSİK","TAM"))</f>
        <v/>
      </c>
    </row>
    <row r="950">
      <c r="F950" s="38">
        <f>IF($A950="","",IF($B950="","EKSİK","TAM"))</f>
        <v/>
      </c>
    </row>
    <row r="951">
      <c r="F951" s="38">
        <f>IF($A951="","",IF($B951="","EKSİK","TAM"))</f>
        <v/>
      </c>
    </row>
    <row r="952">
      <c r="F952" s="38">
        <f>IF($A952="","",IF($B952="","EKSİK","TAM"))</f>
        <v/>
      </c>
    </row>
    <row r="953">
      <c r="F953" s="38">
        <f>IF($A953="","",IF($B953="","EKSİK","TAM"))</f>
        <v/>
      </c>
    </row>
    <row r="954">
      <c r="F954" s="38">
        <f>IF($A954="","",IF($B954="","EKSİK","TAM"))</f>
        <v/>
      </c>
    </row>
    <row r="955">
      <c r="F955" s="38">
        <f>IF($A955="","",IF($B955="","EKSİK","TAM"))</f>
        <v/>
      </c>
    </row>
    <row r="956">
      <c r="F956" s="38">
        <f>IF($A956="","",IF($B956="","EKSİK","TAM"))</f>
        <v/>
      </c>
    </row>
    <row r="957">
      <c r="F957" s="38">
        <f>IF($A957="","",IF($B957="","EKSİK","TAM"))</f>
        <v/>
      </c>
    </row>
    <row r="958">
      <c r="F958" s="38">
        <f>IF($A958="","",IF($B958="","EKSİK","TAM"))</f>
        <v/>
      </c>
    </row>
    <row r="959">
      <c r="F959" s="38">
        <f>IF($A959="","",IF($B959="","EKSİK","TAM"))</f>
        <v/>
      </c>
    </row>
    <row r="960">
      <c r="F960" s="38">
        <f>IF($A960="","",IF($B960="","EKSİK","TAM"))</f>
        <v/>
      </c>
    </row>
    <row r="961">
      <c r="F961" s="38">
        <f>IF($A961="","",IF($B961="","EKSİK","TAM"))</f>
        <v/>
      </c>
    </row>
    <row r="962">
      <c r="F962" s="38">
        <f>IF($A962="","",IF($B962="","EKSİK","TAM"))</f>
        <v/>
      </c>
    </row>
    <row r="963">
      <c r="F963" s="38">
        <f>IF($A963="","",IF($B963="","EKSİK","TAM"))</f>
        <v/>
      </c>
    </row>
    <row r="964">
      <c r="F964" s="38">
        <f>IF($A964="","",IF($B964="","EKSİK","TAM"))</f>
        <v/>
      </c>
    </row>
    <row r="965">
      <c r="F965" s="38">
        <f>IF($A965="","",IF($B965="","EKSİK","TAM"))</f>
        <v/>
      </c>
    </row>
    <row r="966">
      <c r="F966" s="38">
        <f>IF($A966="","",IF($B966="","EKSİK","TAM"))</f>
        <v/>
      </c>
    </row>
    <row r="967">
      <c r="F967" s="38">
        <f>IF($A967="","",IF($B967="","EKSİK","TAM"))</f>
        <v/>
      </c>
    </row>
    <row r="968">
      <c r="F968" s="38">
        <f>IF($A968="","",IF($B968="","EKSİK","TAM"))</f>
        <v/>
      </c>
    </row>
    <row r="969">
      <c r="F969" s="38">
        <f>IF($A969="","",IF($B969="","EKSİK","TAM"))</f>
        <v/>
      </c>
    </row>
    <row r="970">
      <c r="F970" s="38">
        <f>IF($A970="","",IF($B970="","EKSİK","TAM"))</f>
        <v/>
      </c>
    </row>
    <row r="971">
      <c r="F971" s="38">
        <f>IF($A971="","",IF($B971="","EKSİK","TAM"))</f>
        <v/>
      </c>
    </row>
    <row r="972">
      <c r="F972" s="38">
        <f>IF($A972="","",IF($B972="","EKSİK","TAM"))</f>
        <v/>
      </c>
    </row>
    <row r="973">
      <c r="F973" s="38">
        <f>IF($A973="","",IF($B973="","EKSİK","TAM"))</f>
        <v/>
      </c>
    </row>
    <row r="974">
      <c r="F974" s="38">
        <f>IF($A974="","",IF($B974="","EKSİK","TAM"))</f>
        <v/>
      </c>
    </row>
    <row r="975">
      <c r="F975" s="38">
        <f>IF($A975="","",IF($B975="","EKSİK","TAM"))</f>
        <v/>
      </c>
    </row>
    <row r="976">
      <c r="F976" s="38">
        <f>IF($A976="","",IF($B976="","EKSİK","TAM"))</f>
        <v/>
      </c>
    </row>
    <row r="977">
      <c r="F977" s="38">
        <f>IF($A977="","",IF($B977="","EKSİK","TAM"))</f>
        <v/>
      </c>
    </row>
    <row r="978">
      <c r="F978" s="38">
        <f>IF($A978="","",IF($B978="","EKSİK","TAM"))</f>
        <v/>
      </c>
    </row>
    <row r="979">
      <c r="F979" s="38">
        <f>IF($A979="","",IF($B979="","EKSİK","TAM"))</f>
        <v/>
      </c>
    </row>
    <row r="980">
      <c r="F980" s="38">
        <f>IF($A980="","",IF($B980="","EKSİK","TAM"))</f>
        <v/>
      </c>
    </row>
    <row r="981">
      <c r="F981" s="38">
        <f>IF($A981="","",IF($B981="","EKSİK","TAM"))</f>
        <v/>
      </c>
    </row>
    <row r="982">
      <c r="F982" s="38">
        <f>IF($A982="","",IF($B982="","EKSİK","TAM"))</f>
        <v/>
      </c>
    </row>
    <row r="983">
      <c r="F983" s="38">
        <f>IF($A983="","",IF($B983="","EKSİK","TAM"))</f>
        <v/>
      </c>
    </row>
    <row r="984">
      <c r="F984" s="38">
        <f>IF($A984="","",IF($B984="","EKSİK","TAM"))</f>
        <v/>
      </c>
    </row>
    <row r="985">
      <c r="F985" s="38">
        <f>IF($A985="","",IF($B985="","EKSİK","TAM"))</f>
        <v/>
      </c>
    </row>
    <row r="986">
      <c r="F986" s="38">
        <f>IF($A986="","",IF($B986="","EKSİK","TAM"))</f>
        <v/>
      </c>
    </row>
    <row r="987">
      <c r="F987" s="38">
        <f>IF($A987="","",IF($B987="","EKSİK","TAM"))</f>
        <v/>
      </c>
    </row>
    <row r="988">
      <c r="F988" s="38">
        <f>IF($A988="","",IF($B988="","EKSİK","TAM"))</f>
        <v/>
      </c>
    </row>
    <row r="989">
      <c r="F989" s="38">
        <f>IF($A989="","",IF($B989="","EKSİK","TAM"))</f>
        <v/>
      </c>
    </row>
    <row r="990">
      <c r="F990" s="38">
        <f>IF($A990="","",IF($B990="","EKSİK","TAM"))</f>
        <v/>
      </c>
    </row>
    <row r="991">
      <c r="F991" s="38">
        <f>IF($A991="","",IF($B991="","EKSİK","TAM"))</f>
        <v/>
      </c>
    </row>
    <row r="992">
      <c r="F992" s="38">
        <f>IF($A992="","",IF($B992="","EKSİK","TAM"))</f>
        <v/>
      </c>
    </row>
    <row r="993">
      <c r="F993" s="38">
        <f>IF($A993="","",IF($B993="","EKSİK","TAM"))</f>
        <v/>
      </c>
    </row>
    <row r="994">
      <c r="F994" s="38">
        <f>IF($A994="","",IF($B994="","EKSİK","TAM"))</f>
        <v/>
      </c>
    </row>
    <row r="995">
      <c r="F995" s="38">
        <f>IF($A995="","",IF($B995="","EKSİK","TAM"))</f>
        <v/>
      </c>
    </row>
    <row r="996">
      <c r="F996" s="38">
        <f>IF($A996="","",IF($B996="","EKSİK","TAM"))</f>
        <v/>
      </c>
    </row>
    <row r="997">
      <c r="F997" s="38">
        <f>IF($A997="","",IF($B997="","EKSİK","TAM"))</f>
        <v/>
      </c>
    </row>
    <row r="998">
      <c r="F998" s="38">
        <f>IF($A998="","",IF($B998="","EKSİK","TAM"))</f>
        <v/>
      </c>
    </row>
    <row r="999">
      <c r="F999" s="38">
        <f>IF($A999="","",IF($B999="","EKSİK","TAM"))</f>
        <v/>
      </c>
    </row>
    <row r="1000">
      <c r="F1000" s="38">
        <f>IF($A1000="","",IF($B1000="","EKSİK","TAM"))</f>
        <v/>
      </c>
    </row>
    <row r="1001">
      <c r="F1001" s="38">
        <f>IF($A1001="","",IF($B1001="","EKSİK","TAM"))</f>
        <v/>
      </c>
    </row>
    <row r="1002">
      <c r="F1002" s="38">
        <f>IF($A1002="","",IF($B1002="","EKSİK","TAM"))</f>
        <v/>
      </c>
    </row>
    <row r="1003">
      <c r="F1003" s="38">
        <f>IF($A1003="","",IF($B1003="","EKSİK","TAM"))</f>
        <v/>
      </c>
    </row>
    <row r="1004">
      <c r="F1004" s="38">
        <f>IF($A1004="","",IF($B1004="","EKSİK","TAM"))</f>
        <v/>
      </c>
    </row>
    <row r="1024" ht="20" customHeight="1">
      <c r="A1024" s="42" t="inlineStr">
        <is>
          <t>Sarı alanlar giriş; fiyat farkı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9:B15">
    <cfRule type="cellIs" priority="1" operator="lessThan" dxfId="3">
      <formula>0</formula>
    </cfRule>
    <cfRule type="cellIs" priority="2" operator="equal" dxfId="5">
      <formula>0</formula>
    </cfRule>
  </conditionalFormatting>
  <conditionalFormatting sqref="F24:F34">
    <cfRule type="expression" priority="3" dxfId="2">
      <formula>F24="EKSİK"</formula>
    </cfRule>
    <cfRule type="expression" priority="4" dxfId="0">
      <formula>F24="TAM"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Sözleşme Bedeli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Baz Endeks" prompt="0 ile 100000 arasında." type="decimal" errorStyle="stop" operator="between">
      <formula1>0</formula1>
      <formula2>100000</formula2>
    </dataValidation>
    <dataValidation sqref="B11" showDropDown="0" showInputMessage="1" showErrorMessage="1" allowBlank="1" errorTitle="Geçersiz tutar" error="Sınır dışı değer." promptTitle="Güncel Endeks" prompt="0 ile 100000 arasında." type="decimal" errorStyle="stop" operator="between">
      <formula1>0</formula1>
      <formula2>100000</formula2>
    </dataValidation>
    <dataValidation sqref="B12" showDropDown="0" showInputMessage="1" showErrorMessage="1" allowBlank="1" errorTitle="Geçersiz tutar" error="Sınır dışı değer." promptTitle="İşçilik Ağırlığı" prompt="0 ile 1 arasında." type="decimal" errorStyle="stop" operator="between">
      <formula1>0</formula1>
      <formula2>1</formula2>
    </dataValidation>
    <dataValidation sqref="B13" showDropDown="0" showInputMessage="1" showErrorMessage="1" allowBlank="1" errorTitle="Geçersiz tutar" error="Sınır dışı değer." promptTitle="Malzeme Ağırlığı" prompt="0 ile 1 arasında." type="decimal" errorStyle="stop" operator="between">
      <formula1>0</formula1>
      <formula2>1</formula2>
    </dataValidation>
    <dataValidation sqref="B14" showDropDown="0" showInputMessage="1" showErrorMessage="1" allowBlank="1" errorTitle="Geçersiz tutar" error="Sınır dışı değer." promptTitle="Akaryakıt Ağırlığı" prompt="0 ile 1 arasında." type="decimal" errorStyle="stop" operator="between">
      <formula1>0</formula1>
      <formula2>1</formula2>
    </dataValidation>
    <dataValidation sqref="B15" showDropDown="0" showInputMessage="1" showErrorMessage="1" allowBlank="1" errorTitle="Geçersiz tutar" error="Sınır dışı değer." promptTitle="Hakediş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Sözleşme Bedeli" prompt="Tablo: TL tutar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Baz Endeks" prompt="Tablo: endeks." type="decimal" errorStyle="stop" operator="between">
      <formula1>0</formula1>
      <formula2>100000</formula2>
    </dataValidation>
    <dataValidation sqref="B29" showDropDown="0" showInputMessage="1" showErrorMessage="1" allowBlank="1" errorTitle="Geçersiz tutar" error="Sınır dışı değer." promptTitle="Güncel Endeks" prompt="Tablo: endeks." type="decimal" errorStyle="stop" operator="between">
      <formula1>0</formula1>
      <formula2>100000</formula2>
    </dataValidation>
    <dataValidation sqref="B30" showDropDown="0" showInputMessage="1" showErrorMessage="1" allowBlank="1" errorTitle="Geçersiz tutar" error="Sınır dışı değer." promptTitle="İşçilik" prompt="Tablo: oran." type="decimal" errorStyle="stop" operator="between">
      <formula1>0</formula1>
      <formula2>1</formula2>
    </dataValidation>
    <dataValidation sqref="B31" showDropDown="0" showInputMessage="1" showErrorMessage="1" allowBlank="1" errorTitle="Geçersiz tutar" error="Sınır dışı değer." promptTitle="Malzeme" prompt="Tablo: oran." type="decimal" errorStyle="stop" operator="between">
      <formula1>0</formula1>
      <formula2>1</formula2>
    </dataValidation>
    <dataValidation sqref="B32" showDropDown="0" showInputMessage="1" showErrorMessage="1" allowBlank="1" errorTitle="Geçersiz tutar" error="Sınır dışı değer." promptTitle="Akaryakıt" prompt="Tablo: oran." type="decimal" errorStyle="stop" operator="between">
      <formula1>0</formula1>
      <formula2>1</formula2>
    </dataValidation>
    <dataValidation sqref="B33" showDropDown="0" showInputMessage="1" showErrorMessage="1" allowBlank="1" errorTitle="Geçersiz tutar" error="Sınır dışı değer." promptTitle="Hakediş" prompt="Tablo: TL tutar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İhale Fiyat Farkı (Eskalasyon) Pro</t>
        </is>
      </c>
    </row>
    <row r="3">
      <c r="A3" s="44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IFF-001</t>
        </is>
      </c>
      <c r="B7" s="7" t="inlineStr">
        <is>
          <t>Sabit pay</t>
        </is>
      </c>
      <c r="C7" s="7" t="inlineStr">
        <is>
          <t>sabit_pay</t>
        </is>
      </c>
      <c r="D7" s="7" t="inlineStr">
        <is>
          <t>Pn hesabı</t>
        </is>
      </c>
      <c r="E7" s="7" t="inlineStr">
        <is>
          <t>sabit_pay</t>
        </is>
      </c>
      <c r="F7" s="45" t="n">
        <v>0.1</v>
      </c>
      <c r="G7" s="45" t="n">
        <v>0.1</v>
      </c>
      <c r="H7" s="45" t="n">
        <v>0.12</v>
      </c>
      <c r="I7" s="7" t="inlineStr">
        <is>
          <t>01.01.2025</t>
        </is>
      </c>
      <c r="J7" s="7" t="inlineStr">
        <is>
          <t>Eskalasyona tabi olmayan sabit pay</t>
        </is>
      </c>
      <c r="K7" s="38">
        <f>IF($A7="","",IFERROR(CHOOSE(MAX(1,MIN(3,IF(OR(hesapYili="",hesapYili=0),1,hesapYili-iff_yilTaban))),$F7,$G7,$H7),0))</f>
        <v/>
      </c>
    </row>
    <row r="8">
      <c r="A8" s="7" t="inlineStr">
        <is>
          <t>IFF-002</t>
        </is>
      </c>
      <c r="B8" s="7" t="inlineStr">
        <is>
          <t>Talep eşiği</t>
        </is>
      </c>
      <c r="C8" s="7" t="inlineStr">
        <is>
          <t>talep_esik</t>
        </is>
      </c>
      <c r="D8" s="7" t="inlineStr">
        <is>
          <t>karar</t>
        </is>
      </c>
      <c r="E8" s="7" t="inlineStr">
        <is>
          <t>talep_esik</t>
        </is>
      </c>
      <c r="F8" s="45" t="n">
        <v>0.05</v>
      </c>
      <c r="G8" s="45" t="n">
        <v>0.05</v>
      </c>
      <c r="H8" s="45" t="n">
        <v>0.06</v>
      </c>
      <c r="I8" s="7" t="inlineStr">
        <is>
          <t>01.01.2025</t>
        </is>
      </c>
      <c r="J8" s="7" t="inlineStr">
        <is>
          <t>TALEP ET için min fiyat farkı oranı</t>
        </is>
      </c>
      <c r="K8" s="38">
        <f>IF($A8="","",IFERROR(CHOOSE(MAX(1,MIN(3,IF(OR(hesapYili="",hesapYili=0),1,hesapYili-iff_yilTaban))),$F8,$G8,$H8),0))</f>
        <v/>
      </c>
    </row>
    <row r="9">
      <c r="A9" s="7" t="inlineStr">
        <is>
          <t>IFF-003</t>
        </is>
      </c>
      <c r="B9" s="7" t="inlineStr">
        <is>
          <t>Bekle eşiği</t>
        </is>
      </c>
      <c r="C9" s="7" t="inlineStr">
        <is>
          <t>bekle_esik</t>
        </is>
      </c>
      <c r="D9" s="7" t="inlineStr">
        <is>
          <t>karar</t>
        </is>
      </c>
      <c r="E9" s="7" t="inlineStr">
        <is>
          <t>bekle_esik</t>
        </is>
      </c>
      <c r="F9" s="45" t="n">
        <v>0.02</v>
      </c>
      <c r="G9" s="45" t="n">
        <v>0.02</v>
      </c>
      <c r="H9" s="45" t="n">
        <v>0.025</v>
      </c>
      <c r="I9" s="7" t="inlineStr">
        <is>
          <t>01.01.2025</t>
        </is>
      </c>
      <c r="J9" s="7" t="inlineStr">
        <is>
          <t>BEKLE bandı alt eşiği</t>
        </is>
      </c>
      <c r="K9" s="38">
        <f>IF($A9="","",IFERROR(CHOOSE(MAX(1,MIN(3,IF(OR(hesapYili="",hesapYili=0),1,hesapYili-iff_yilTaban))),$F9,$G9,$H9),0))</f>
        <v/>
      </c>
    </row>
    <row r="10">
      <c r="A10" s="7" t="inlineStr">
        <is>
          <t>IFF-004</t>
        </is>
      </c>
      <c r="B10" s="7" t="inlineStr">
        <is>
          <t>Ağırlık tolerans</t>
        </is>
      </c>
      <c r="C10" s="7" t="inlineStr">
        <is>
          <t>agirlik_tolerans</t>
        </is>
      </c>
      <c r="D10" s="7" t="inlineStr">
        <is>
          <t>ağırlık kontrol</t>
        </is>
      </c>
      <c r="E10" s="7" t="inlineStr">
        <is>
          <t>agirlik_tolerans</t>
        </is>
      </c>
      <c r="F10" s="45" t="n">
        <v>0.02</v>
      </c>
      <c r="G10" s="45" t="n">
        <v>0.02</v>
      </c>
      <c r="H10" s="45" t="n">
        <v>0.02</v>
      </c>
      <c r="I10" s="7" t="inlineStr">
        <is>
          <t>01.01.2025</t>
        </is>
      </c>
      <c r="J10" s="7" t="inlineStr">
        <is>
          <t>Ağırlık toplamı 1 sapma toleransı</t>
        </is>
      </c>
      <c r="K10" s="38">
        <f>IF($A10="","",IFERROR(CHOOSE(MAX(1,MIN(3,IF(OR(hesapYili="",hesapYili=0),1,hesapYili-iff_yilTaban))),$F10,$G10,$H10),0))</f>
        <v/>
      </c>
    </row>
    <row r="11">
      <c r="A11" s="7" t="inlineStr">
        <is>
          <t>IFF-005</t>
        </is>
      </c>
      <c r="B11" s="7" t="inlineStr">
        <is>
          <t>Yuvarlama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6" t="n">
        <v>2</v>
      </c>
      <c r="G11" s="46" t="n">
        <v>2</v>
      </c>
      <c r="H11" s="46" t="n">
        <v>2</v>
      </c>
      <c r="I11" s="7" t="inlineStr">
        <is>
          <t>01.01.2025</t>
        </is>
      </c>
      <c r="J11" s="7" t="inlineStr">
        <is>
          <t>Uygulama notu</t>
        </is>
      </c>
      <c r="K11" s="38">
        <f>IF($A11="","",IFERROR(CHOOSE(MAX(1,MIN(3,IF(OR(hesapYili="",hesapYili=0),1,hesapYili-iff_yilTaban))),$F11,$G11,$H11),0))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Sabit pay (aktif yıl)</t>
        </is>
      </c>
      <c r="B15" s="25">
        <f>IFERROR(INDEX(CHOOSE(MAX(1,MIN(3,IF(OR(hesapYili="",hesapYili=0),1,hesapYili-iff_yilTaban))),tblKurallar[deger_2025],tblKurallar[deger_2026],tblKurallar[deger_2027]),MATCH("IFF-001",tblKurallar[kural_id],0)),0)</f>
        <v/>
      </c>
    </row>
    <row r="16">
      <c r="A16" s="7" t="inlineStr">
        <is>
          <t>Talep eşiği (aktif yıl)</t>
        </is>
      </c>
      <c r="B16" s="25">
        <f>IFERROR(INDEX(CHOOSE(MAX(1,MIN(3,IF(OR(hesapYili="",hesapYili=0),1,hesapYili-iff_yilTaban))),tblKurallar[deger_2025],tblKurallar[deger_2026],tblKurallar[deger_2027]),MATCH("IFF-002",tblKurallar[kural_id],0)),0)</f>
        <v/>
      </c>
    </row>
    <row r="17">
      <c r="A17" s="7" t="inlineStr">
        <is>
          <t>Matris metni</t>
        </is>
      </c>
      <c r="B17" s="21">
        <f>IFERROR(_xlfn.TEXTJOIN(" | ",TRUE,"IFF-001=",TEXT(B15,"0.00"),"IFF-002=",TEXT(B16,"0.0%"),"yıl=",IF(OR(hesapYili="",hesapYili=0),"-",hesapYili)),"-")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İhale Fiyat Farkı (Eskalasyon) Pro</t>
        </is>
      </c>
    </row>
    <row r="3">
      <c r="A3" s="44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7" t="n">
        <v>1</v>
      </c>
      <c r="B7" s="24" t="inlineStr">
        <is>
          <t>Hesap yılı oku</t>
        </is>
      </c>
      <c r="C7" s="48">
        <f>IFERROR(hesapYili,0)</f>
        <v/>
      </c>
      <c r="D7" s="49" t="inlineStr">
        <is>
          <t>yıl</t>
        </is>
      </c>
      <c r="E7" s="6" t="inlineStr">
        <is>
          <t>Aktif mevzuat yılı</t>
        </is>
      </c>
      <c r="F7" s="23" t="inlineStr">
        <is>
          <t>IFF-005</t>
        </is>
      </c>
      <c r="G7" s="36">
        <f>IFERROR(hesapYili,0)</f>
        <v/>
      </c>
    </row>
    <row r="8">
      <c r="A8" s="47" t="n">
        <v>2</v>
      </c>
      <c r="B8" s="24" t="inlineStr">
        <is>
          <t>Sabit pay</t>
        </is>
      </c>
      <c r="C8" s="50">
        <f>IFERROR(INDEX(CHOOSE(MAX(1,MIN(3,IF(OR(hesapYili="",hesapYili=0),1,hesapYili-iff_yilTaban))),tblKurallar[deger_2025],tblKurallar[deger_2026],tblKurallar[deger_2027]),MATCH("IFF-001",tblKurallar[kural_id],0)),0)</f>
        <v/>
      </c>
      <c r="D8" s="49" t="inlineStr">
        <is>
          <t>oran</t>
        </is>
      </c>
      <c r="E8" s="6" t="inlineStr">
        <is>
          <t>Sabit (eskalasyonsuz) pay</t>
        </is>
      </c>
      <c r="F8" s="23" t="inlineStr">
        <is>
          <t>IFF-001</t>
        </is>
      </c>
      <c r="G8" s="25">
        <f>IFERROR(INDEX(CHOOSE(MAX(1,MIN(3,IF(OR(hesapYili="",hesapYili=0),1,hesapYili-iff_yilTaban))),tblKurallar[deger_2025],tblKurallar[deger_2026],tblKurallar[deger_2027]),MATCH("IFF-001",tblKurallar[kural_id],0)),0)</f>
        <v/>
      </c>
    </row>
    <row r="9">
      <c r="A9" s="47" t="n">
        <v>3</v>
      </c>
      <c r="B9" s="24" t="inlineStr">
        <is>
          <t>Talep eşiği</t>
        </is>
      </c>
      <c r="C9" s="50">
        <f>IFERROR(INDEX(CHOOSE(MAX(1,MIN(3,IF(OR(hesapYili="",hesapYili=0),1,hesapYili-iff_yilTaban))),tblKurallar[deger_2025],tblKurallar[deger_2026],tblKurallar[deger_2027]),MATCH("IFF-002",tblKurallar[kural_id],0)),0)</f>
        <v/>
      </c>
      <c r="D9" s="49" t="inlineStr">
        <is>
          <t>oran</t>
        </is>
      </c>
      <c r="E9" s="6" t="inlineStr">
        <is>
          <t>TALEP ET eşiği</t>
        </is>
      </c>
      <c r="F9" s="23" t="inlineStr">
        <is>
          <t>IFF-002</t>
        </is>
      </c>
      <c r="G9" s="25">
        <f>IFERROR(INDEX(CHOOSE(MAX(1,MIN(3,IF(OR(hesapYili="",hesapYili=0),1,hesapYili-iff_yilTaban))),tblKurallar[deger_2025],tblKurallar[deger_2026],tblKurallar[deger_2027]),MATCH("IFF-002",tblKurallar[kural_id],0)),0)</f>
        <v/>
      </c>
    </row>
    <row r="10">
      <c r="A10" s="47" t="n">
        <v>4</v>
      </c>
      <c r="B10" s="24" t="inlineStr">
        <is>
          <t>Bekle eşiği</t>
        </is>
      </c>
      <c r="C10" s="50">
        <f>IFERROR(INDEX(CHOOSE(MAX(1,MIN(3,IF(OR(hesapYili="",hesapYili=0),1,hesapYili-iff_yilTaban))),tblKurallar[deger_2025],tblKurallar[deger_2026],tblKurallar[deger_2027]),MATCH("IFF-003",tblKurallar[kural_id],0)),0)</f>
        <v/>
      </c>
      <c r="D10" s="49" t="inlineStr">
        <is>
          <t>oran</t>
        </is>
      </c>
      <c r="E10" s="6" t="inlineStr">
        <is>
          <t>BEKLE eşiği</t>
        </is>
      </c>
      <c r="F10" s="23" t="inlineStr">
        <is>
          <t>IFF-003</t>
        </is>
      </c>
      <c r="G10" s="25">
        <f>IFERROR(INDEX(CHOOSE(MAX(1,MIN(3,IF(OR(hesapYili="",hesapYili=0),1,hesapYili-iff_yilTaban))),tblKurallar[deger_2025],tblKurallar[deger_2026],tblKurallar[deger_2027]),MATCH("IFF-003",tblKurallar[kural_id],0)),0)</f>
        <v/>
      </c>
    </row>
    <row r="11">
      <c r="A11" s="47" t="n">
        <v>5</v>
      </c>
      <c r="B11" s="24" t="inlineStr">
        <is>
          <t>Ağırlık tolerans</t>
        </is>
      </c>
      <c r="C11" s="50">
        <f>IFERROR(INDEX(CHOOSE(MAX(1,MIN(3,IF(OR(hesapYili="",hesapYili=0),1,hesapYili-iff_yilTaban))),tblKurallar[deger_2025],tblKurallar[deger_2026],tblKurallar[deger_2027]),MATCH("IFF-004",tblKurallar[kural_id],0)),0)</f>
        <v/>
      </c>
      <c r="D11" s="49" t="inlineStr">
        <is>
          <t>oran</t>
        </is>
      </c>
      <c r="E11" s="6" t="inlineStr">
        <is>
          <t>Ağırlık sapma toleransı</t>
        </is>
      </c>
      <c r="F11" s="23" t="inlineStr">
        <is>
          <t>IFF-004</t>
        </is>
      </c>
      <c r="G11" s="25">
        <f>IFERROR(INDEX(CHOOSE(MAX(1,MIN(3,IF(OR(hesapYili="",hesapYili=0),1,hesapYili-iff_yilTaban))),tblKurallar[deger_2025],tblKurallar[deger_2026],tblKurallar[deger_2027]),MATCH("IFF-004",tblKurallar[kural_id],0)),0)</f>
        <v/>
      </c>
    </row>
    <row r="12">
      <c r="A12" s="47" t="n">
        <v>6</v>
      </c>
      <c r="B12" s="24" t="inlineStr">
        <is>
          <t>Yuvarlama ondalık</t>
        </is>
      </c>
      <c r="C12" s="48">
        <f>IFERROR(INDEX(CHOOSE(MAX(1,MIN(3,IF(OR(hesapYili="",hesapYili=0),1,hesapYili-iff_yilTaban))),tblKurallar[deger_2025],tblKurallar[deger_2026],tblKurallar[deger_2027]),MATCH("IFF-005",tblKurallar[kural_id],0)),0)</f>
        <v/>
      </c>
      <c r="D12" s="49" t="inlineStr">
        <is>
          <t>adet</t>
        </is>
      </c>
      <c r="E12" s="6" t="inlineStr">
        <is>
          <t>Yuvarlama basamağı</t>
        </is>
      </c>
      <c r="F12" s="23" t="inlineStr">
        <is>
          <t>IFF-005</t>
        </is>
      </c>
      <c r="G12" s="36">
        <f>IFERROR(INDEX(CHOOSE(MAX(1,MIN(3,IF(OR(hesapYili="",hesapYili=0),1,hesapYili-iff_yilTaban))),tblKurallar[deger_2025],tblKurallar[deger_2026],tblKurallar[deger_2027]),MATCH("IFF-005",tblKurallar[kural_id],0)),0)</f>
        <v/>
      </c>
    </row>
    <row r="13">
      <c r="A13" s="47" t="n">
        <v>7</v>
      </c>
      <c r="B13" s="24" t="inlineStr">
        <is>
          <t>Sözleşme bedeli</t>
        </is>
      </c>
      <c r="C13" s="51">
        <f>IFERROR(GIRDI!B9,0)</f>
        <v/>
      </c>
      <c r="D13" s="49" t="inlineStr">
        <is>
          <t>TL</t>
        </is>
      </c>
      <c r="E13" s="6" t="inlineStr">
        <is>
          <t>Sözleşme bedeli</t>
        </is>
      </c>
      <c r="F13" s="23" t="inlineStr">
        <is>
          <t>IFF-001</t>
        </is>
      </c>
      <c r="G13" s="26">
        <f>IFERROR(GIRDI!B9,0)</f>
        <v/>
      </c>
    </row>
    <row r="14">
      <c r="A14" s="47" t="n">
        <v>8</v>
      </c>
      <c r="B14" s="24" t="inlineStr">
        <is>
          <t>Baz endeks</t>
        </is>
      </c>
      <c r="C14" s="48">
        <f>IFERROR(GIRDI!B10,0)</f>
        <v/>
      </c>
      <c r="D14" s="49" t="inlineStr">
        <is>
          <t>adet</t>
        </is>
      </c>
      <c r="E14" s="6" t="inlineStr">
        <is>
          <t>Baz endeks</t>
        </is>
      </c>
      <c r="F14" s="23" t="inlineStr">
        <is>
          <t>IFF-001</t>
        </is>
      </c>
      <c r="G14" s="36">
        <f>IFERROR(GIRDI!B10,0)</f>
        <v/>
      </c>
    </row>
    <row r="15">
      <c r="A15" s="47" t="n">
        <v>9</v>
      </c>
      <c r="B15" s="24" t="inlineStr">
        <is>
          <t>Güncel endeks</t>
        </is>
      </c>
      <c r="C15" s="48">
        <f>IFERROR(GIRDI!B11,0)</f>
        <v/>
      </c>
      <c r="D15" s="49" t="inlineStr">
        <is>
          <t>adet</t>
        </is>
      </c>
      <c r="E15" s="6" t="inlineStr">
        <is>
          <t>Güncel endeks</t>
        </is>
      </c>
      <c r="F15" s="23" t="inlineStr">
        <is>
          <t>IFF-001</t>
        </is>
      </c>
      <c r="G15" s="36">
        <f>IFERROR(GIRDI!B11,0)</f>
        <v/>
      </c>
    </row>
    <row r="16">
      <c r="A16" s="47" t="n">
        <v>10</v>
      </c>
      <c r="B16" s="24" t="inlineStr">
        <is>
          <t>İşçilik ağırlığı</t>
        </is>
      </c>
      <c r="C16" s="50">
        <f>IFERROR(GIRDI!B12,0)</f>
        <v/>
      </c>
      <c r="D16" s="49" t="inlineStr">
        <is>
          <t>oran</t>
        </is>
      </c>
      <c r="E16" s="6" t="inlineStr">
        <is>
          <t>İşçilik payı</t>
        </is>
      </c>
      <c r="F16" s="23" t="inlineStr">
        <is>
          <t>IFF-004</t>
        </is>
      </c>
      <c r="G16" s="25">
        <f>IFERROR(GIRDI!B12,0)</f>
        <v/>
      </c>
    </row>
    <row r="17">
      <c r="A17" s="47" t="n">
        <v>11</v>
      </c>
      <c r="B17" s="24" t="inlineStr">
        <is>
          <t>Malzeme ağırlığı</t>
        </is>
      </c>
      <c r="C17" s="50">
        <f>IFERROR(GIRDI!B13,0)</f>
        <v/>
      </c>
      <c r="D17" s="49" t="inlineStr">
        <is>
          <t>oran</t>
        </is>
      </c>
      <c r="E17" s="6" t="inlineStr">
        <is>
          <t>Malzeme payı</t>
        </is>
      </c>
      <c r="F17" s="23" t="inlineStr">
        <is>
          <t>IFF-004</t>
        </is>
      </c>
      <c r="G17" s="25">
        <f>IFERROR(GIRDI!B13,0)</f>
        <v/>
      </c>
    </row>
    <row r="18">
      <c r="A18" s="47" t="n">
        <v>12</v>
      </c>
      <c r="B18" s="24" t="inlineStr">
        <is>
          <t>Akaryakıt ağırlığı</t>
        </is>
      </c>
      <c r="C18" s="50">
        <f>IFERROR(GIRDI!B14,0)</f>
        <v/>
      </c>
      <c r="D18" s="49" t="inlineStr">
        <is>
          <t>oran</t>
        </is>
      </c>
      <c r="E18" s="6" t="inlineStr">
        <is>
          <t>Akaryakıt payı</t>
        </is>
      </c>
      <c r="F18" s="23" t="inlineStr">
        <is>
          <t>IFF-004</t>
        </is>
      </c>
      <c r="G18" s="25">
        <f>IFERROR(GIRDI!B14,0)</f>
        <v/>
      </c>
    </row>
    <row r="19">
      <c r="A19" s="47" t="n">
        <v>13</v>
      </c>
      <c r="B19" s="24" t="inlineStr">
        <is>
          <t>Hakediş tutarı</t>
        </is>
      </c>
      <c r="C19" s="51">
        <f>IFERROR(GIRDI!B15,0)</f>
        <v/>
      </c>
      <c r="D19" s="49" t="inlineStr">
        <is>
          <t>TL</t>
        </is>
      </c>
      <c r="E19" s="6" t="inlineStr">
        <is>
          <t>Dönem hakedişi</t>
        </is>
      </c>
      <c r="F19" s="23" t="inlineStr">
        <is>
          <t>IFF-001</t>
        </is>
      </c>
      <c r="G19" s="26">
        <f>IFERROR(GIRDI!B15,0)</f>
        <v/>
      </c>
    </row>
    <row r="20">
      <c r="A20" s="47" t="n">
        <v>14</v>
      </c>
      <c r="B20" s="24" t="inlineStr">
        <is>
          <t>Sabit efektif</t>
        </is>
      </c>
      <c r="C20" s="50">
        <f>IFERROR(IF(GIRDI!B16="B",MIN(1,G8+iff_oranArtisPuan),G8),0)</f>
        <v/>
      </c>
      <c r="D20" s="49" t="inlineStr">
        <is>
          <t>oran</t>
        </is>
      </c>
      <c r="E20" s="6" t="inlineStr">
        <is>
          <t>Yorum A/B sabit pay</t>
        </is>
      </c>
      <c r="F20" s="23" t="inlineStr">
        <is>
          <t>IFF-001</t>
        </is>
      </c>
      <c r="G20" s="25">
        <f>IFERROR(IF(GIRDI!B16="B",MIN(1,G8+iff_oranArtisPuan),G8),0)</f>
        <v/>
      </c>
    </row>
    <row r="21">
      <c r="A21" s="47" t="n">
        <v>15</v>
      </c>
      <c r="B21" s="24" t="inlineStr">
        <is>
          <t>Endeks oranı</t>
        </is>
      </c>
      <c r="C21" s="50">
        <f>IFERROR(IF(G14=0,0,G15/G14),0)</f>
        <v/>
      </c>
      <c r="D21" s="49" t="inlineStr">
        <is>
          <t>oran</t>
        </is>
      </c>
      <c r="E21" s="6" t="inlineStr">
        <is>
          <t>Güncel/baz</t>
        </is>
      </c>
      <c r="F21" s="23" t="inlineStr">
        <is>
          <t>IFF-001</t>
        </is>
      </c>
      <c r="G21" s="25">
        <f>IFERROR(IF(G14=0,0,G15/G14),0)</f>
        <v/>
      </c>
    </row>
    <row r="22">
      <c r="A22" s="47" t="n">
        <v>16</v>
      </c>
      <c r="B22" s="24" t="inlineStr">
        <is>
          <t>Ağırlık toplam</t>
        </is>
      </c>
      <c r="C22" s="50">
        <f>IFERROR(G16+G17+G18,0)</f>
        <v/>
      </c>
      <c r="D22" s="49" t="inlineStr">
        <is>
          <t>oran</t>
        </is>
      </c>
      <c r="E22" s="6" t="inlineStr">
        <is>
          <t>Kalem ağırlık toplamı</t>
        </is>
      </c>
      <c r="F22" s="23" t="inlineStr">
        <is>
          <t>IFF-004</t>
        </is>
      </c>
      <c r="G22" s="25">
        <f>IFERROR(G16+G17+G18,0)</f>
        <v/>
      </c>
    </row>
    <row r="23">
      <c r="A23" s="47" t="n">
        <v>17</v>
      </c>
      <c r="B23" s="24" t="inlineStr">
        <is>
          <t>Ağırlık sapması</t>
        </is>
      </c>
      <c r="C23" s="50">
        <f>IFERROR(ABS(G22-1),0)</f>
        <v/>
      </c>
      <c r="D23" s="49" t="inlineStr">
        <is>
          <t>oran</t>
        </is>
      </c>
      <c r="E23" s="6" t="inlineStr">
        <is>
          <t>|toplam−1|</t>
        </is>
      </c>
      <c r="F23" s="23" t="inlineStr">
        <is>
          <t>IFF-004</t>
        </is>
      </c>
      <c r="G23" s="25">
        <f>IFERROR(ABS(G22-1),0)</f>
        <v/>
      </c>
    </row>
    <row r="24">
      <c r="A24" s="47" t="n">
        <v>18</v>
      </c>
      <c r="B24" s="24" t="inlineStr">
        <is>
          <t>Pn katsayısı</t>
        </is>
      </c>
      <c r="C24" s="50">
        <f>IFERROR(G20+(1-G20)*G21,0)</f>
        <v/>
      </c>
      <c r="D24" s="49" t="inlineStr">
        <is>
          <t>oran</t>
        </is>
      </c>
      <c r="E24" s="6" t="inlineStr">
        <is>
          <t>Sabit + değişken×endeks</t>
        </is>
      </c>
      <c r="F24" s="23" t="inlineStr">
        <is>
          <t>IFF-001</t>
        </is>
      </c>
      <c r="G24" s="25">
        <f>IFERROR(G20+(1-G20)*G21,0)</f>
        <v/>
      </c>
    </row>
    <row r="25">
      <c r="A25" s="47" t="n">
        <v>19</v>
      </c>
      <c r="B25" s="24" t="inlineStr">
        <is>
          <t>Fiyat farkı ham</t>
        </is>
      </c>
      <c r="C25" s="51">
        <f>IFERROR(G19*(G24-1),0)</f>
        <v/>
      </c>
      <c r="D25" s="49" t="inlineStr">
        <is>
          <t>TL</t>
        </is>
      </c>
      <c r="E25" s="6" t="inlineStr">
        <is>
          <t>Hakediş×(Pn−1)</t>
        </is>
      </c>
      <c r="F25" s="23" t="inlineStr">
        <is>
          <t>IFF-001</t>
        </is>
      </c>
      <c r="G25" s="26">
        <f>IFERROR(G19*(G24-1),0)</f>
        <v/>
      </c>
    </row>
    <row r="26">
      <c r="A26" s="47" t="n">
        <v>20</v>
      </c>
      <c r="B26" s="24" t="inlineStr">
        <is>
          <t>Fiyat farkı</t>
        </is>
      </c>
      <c r="C26" s="51">
        <f>IFERROR(ROUND(G25,MAX(0,MIN(iff_yuvarMax,IFERROR(N(G12),0)))),0)</f>
        <v/>
      </c>
      <c r="D26" s="49" t="inlineStr">
        <is>
          <t>TL</t>
        </is>
      </c>
      <c r="E26" s="6" t="inlineStr">
        <is>
          <t>Yuvarlanmış fiyat farkı</t>
        </is>
      </c>
      <c r="F26" s="23" t="inlineStr">
        <is>
          <t>IFF-005</t>
        </is>
      </c>
      <c r="G26" s="26">
        <f>IFERROR(ROUND(G25,MAX(0,MIN(iff_yuvarMax,IFERROR(N(G12),0)))),0)</f>
        <v/>
      </c>
    </row>
    <row r="27">
      <c r="A27" s="47" t="n">
        <v>21</v>
      </c>
      <c r="B27" s="24" t="inlineStr">
        <is>
          <t>Fiyat farkı oranı</t>
        </is>
      </c>
      <c r="C27" s="50">
        <f>IFERROR(IF(G19=0,0,G26/G19),0)</f>
        <v/>
      </c>
      <c r="D27" s="49" t="inlineStr">
        <is>
          <t>oran</t>
        </is>
      </c>
      <c r="E27" s="6" t="inlineStr">
        <is>
          <t>Fark/hakediş</t>
        </is>
      </c>
      <c r="F27" s="23" t="inlineStr">
        <is>
          <t>IFF-002</t>
        </is>
      </c>
      <c r="G27" s="25">
        <f>IFERROR(IF(G19=0,0,G26/G19),0)</f>
        <v/>
      </c>
    </row>
    <row r="28">
      <c r="A28" s="47" t="n">
        <v>22</v>
      </c>
      <c r="B28" s="24" t="inlineStr">
        <is>
          <t>Potansiyel / fark</t>
        </is>
      </c>
      <c r="C28" s="51">
        <f>IFERROR(G26,0)</f>
        <v/>
      </c>
      <c r="D28" s="49" t="inlineStr">
        <is>
          <t>TL</t>
        </is>
      </c>
      <c r="E28" s="6" t="inlineStr">
        <is>
          <t>Fiyat farkı (G28)</t>
        </is>
      </c>
      <c r="F28" s="23" t="inlineStr">
        <is>
          <t>IFF-001</t>
        </is>
      </c>
      <c r="G28" s="26">
        <f>IFERROR(G26,0)</f>
        <v/>
      </c>
    </row>
    <row r="29">
      <c r="A29" s="47" t="n">
        <v>23</v>
      </c>
      <c r="B29" s="24" t="inlineStr">
        <is>
          <t>Açık (ham kopya)</t>
        </is>
      </c>
      <c r="C29" s="51">
        <f>IFERROR(G28,0)</f>
        <v/>
      </c>
      <c r="D29" s="49" t="inlineStr">
        <is>
          <t>TL</t>
        </is>
      </c>
      <c r="E29" s="6" t="inlineStr">
        <is>
          <t>Ayna</t>
        </is>
      </c>
      <c r="F29" s="23" t="inlineStr">
        <is>
          <t>IFF-001</t>
        </is>
      </c>
      <c r="G29" s="26">
        <f>IFERROR(G28,0)</f>
        <v/>
      </c>
    </row>
    <row r="30">
      <c r="A30" s="47" t="n">
        <v>24</v>
      </c>
      <c r="B30" s="24" t="inlineStr">
        <is>
          <t>Kaçırılan / fark</t>
        </is>
      </c>
      <c r="C30" s="51">
        <f>IFERROR(G26,0)</f>
        <v/>
      </c>
      <c r="D30" s="49" t="inlineStr">
        <is>
          <t>TL</t>
        </is>
      </c>
      <c r="E30" s="6" t="inlineStr">
        <is>
          <t>Karar için fark</t>
        </is>
      </c>
      <c r="F30" s="23" t="inlineStr">
        <is>
          <t>IFF-001</t>
        </is>
      </c>
      <c r="G30" s="26">
        <f>IFERROR(G26,0)</f>
        <v/>
      </c>
    </row>
    <row r="31">
      <c r="A31" s="47" t="n">
        <v>25</v>
      </c>
      <c r="B31" s="24" t="inlineStr">
        <is>
          <t>Pn iyimser</t>
        </is>
      </c>
      <c r="C31" s="50">
        <f>IFERROR(G20+(1-G20)*G21*iff_senaryoIyi,0)</f>
        <v/>
      </c>
      <c r="D31" s="49" t="inlineStr">
        <is>
          <t>oran</t>
        </is>
      </c>
      <c r="E31" s="6" t="inlineStr">
        <is>
          <t>İyimser Pn</t>
        </is>
      </c>
      <c r="F31" s="23" t="inlineStr">
        <is>
          <t>IFF-001</t>
        </is>
      </c>
      <c r="G31" s="25">
        <f>IFERROR(G20+(1-G20)*G21*iff_senaryoIyi,0)</f>
        <v/>
      </c>
    </row>
    <row r="32">
      <c r="A32" s="47" t="n">
        <v>26</v>
      </c>
      <c r="B32" s="24" t="inlineStr">
        <is>
          <t>Pn kötümser</t>
        </is>
      </c>
      <c r="C32" s="50">
        <f>IFERROR(G20+(1-G20)*G21*iff_senaryoKotu,0)</f>
        <v/>
      </c>
      <c r="D32" s="49" t="inlineStr">
        <is>
          <t>oran</t>
        </is>
      </c>
      <c r="E32" s="6" t="inlineStr">
        <is>
          <t>Kötümser Pn</t>
        </is>
      </c>
      <c r="F32" s="23" t="inlineStr">
        <is>
          <t>IFF-001</t>
        </is>
      </c>
      <c r="G32" s="25">
        <f>IFERROR(G20+(1-G20)*G21*iff_senaryoKotu,0)</f>
        <v/>
      </c>
    </row>
    <row r="33">
      <c r="A33" s="47" t="n">
        <v>27</v>
      </c>
      <c r="B33" s="24" t="inlineStr">
        <is>
          <t>Karar kodu</t>
        </is>
      </c>
      <c r="C33" s="21">
        <f>IFERROR(IF(COUNTA(tblGirdi[Alan Anahtarı])=0,"VERI_YOK",IF(OR(G19&lt;=0,G14&lt;=0),"VAZGEC",IF(G27&gt;=G9,"TALEP",IF(G27&gt;=G10,"BEKLE","VAZGEC")))),"")</f>
        <v/>
      </c>
      <c r="D33" s="49" t="inlineStr">
        <is>
          <t>kod</t>
        </is>
      </c>
      <c r="E33" s="6" t="inlineStr">
        <is>
          <t>Karar kodu</t>
        </is>
      </c>
      <c r="F33" s="23" t="inlineStr">
        <is>
          <t>IFF-005</t>
        </is>
      </c>
      <c r="G33" s="27">
        <f>IFERROR(IF(COUNTA(tblGirdi[Alan Anahtarı])=0,"VERI_YOK",IF(OR(G19&lt;=0,G14&lt;=0),"VAZGEC",IF(G27&gt;=G9,"TALEP",IF(G27&gt;=G10,"BEKLE","VAZGEC")))),"")</f>
        <v/>
      </c>
    </row>
    <row r="34">
      <c r="A34" s="47" t="n">
        <v>28</v>
      </c>
      <c r="B34" s="24" t="inlineStr">
        <is>
          <t>Karar metni</t>
        </is>
      </c>
      <c r="C34" s="21">
        <f>IFERROR(IF(G33="VERI_YOK","VERİ YOK",IF(G33="TALEP","TALEP ET",IF(G33="BEKLE","BEKLE","VAZGEÇ"))),"")</f>
        <v/>
      </c>
      <c r="D34" s="49" t="inlineStr">
        <is>
          <t>metin</t>
        </is>
      </c>
      <c r="E34" s="6" t="inlineStr">
        <is>
          <t>Kullanıcıya karar</t>
        </is>
      </c>
      <c r="F34" s="23" t="inlineStr">
        <is>
          <t>IFF-005</t>
        </is>
      </c>
      <c r="G34" s="27">
        <f>IFERROR(IF(G33="VERI_YOK","VERİ YOK",IF(G33="TALEP","TALEP ET",IF(G33="BEKLE","BEKLE","VAZGEÇ"))),"")</f>
        <v/>
      </c>
    </row>
    <row r="35">
      <c r="A35" s="47" t="n">
        <v>29</v>
      </c>
      <c r="B35" s="24" t="inlineStr">
        <is>
          <t>Gerekçe</t>
        </is>
      </c>
      <c r="C35" s="21">
        <f>IFERROR(IF(G33="VERI_YOK","Giriş tablosu boş — hesap yapılamaz.",IF(G33="TALEP","Fiyat farkı oranı talep eşiğinin üzerinde; talep dosyası hazırlayın.",IF(G33="BEKLE","Fark bekle bandında; endeks ve hakediş dönemini izleyin.","Fiyat farkı düşük, endeks/hakediş eksik veya olumsuz; talep maliyetine değmeyebilir."))),"")</f>
        <v/>
      </c>
      <c r="D35" s="49" t="inlineStr">
        <is>
          <t>metin</t>
        </is>
      </c>
      <c r="E35" s="6" t="inlineStr">
        <is>
          <t>Gerekçe cümlesi</t>
        </is>
      </c>
      <c r="F35" s="23" t="inlineStr">
        <is>
          <t>IFF-005</t>
        </is>
      </c>
      <c r="G35" s="27">
        <f>IFERROR(IF(G33="VERI_YOK","Giriş tablosu boş — hesap yapılamaz.",IF(G33="TALEP","Fiyat farkı oranı talep eşiğinin üzerinde; talep dosyası hazırlayın.",IF(G33="BEKLE","Fark bekle bandında; endeks ve hakediş dönemini izleyin.","Fiyat farkı düşük, endeks/hakediş eksik veya olumsuz; talep maliyetine değmeyebilir."))),"")</f>
        <v/>
      </c>
    </row>
    <row r="36">
      <c r="A36" s="47" t="n">
        <v>30</v>
      </c>
      <c r="B36" s="24" t="inlineStr">
        <is>
          <t>Hakediş / sözleşme</t>
        </is>
      </c>
      <c r="C36" s="50">
        <f>IFERROR(IF(G13=0,0,G19/G13),0)</f>
        <v/>
      </c>
      <c r="D36" s="49" t="inlineStr">
        <is>
          <t>oran</t>
        </is>
      </c>
      <c r="E36" s="6" t="inlineStr">
        <is>
          <t>Hakediş yoğunluğu</t>
        </is>
      </c>
      <c r="F36" s="23" t="inlineStr">
        <is>
          <t>IFF-001</t>
        </is>
      </c>
      <c r="G36" s="25">
        <f>IFERROR(IF(G13=0,0,G19/G13),0)</f>
        <v/>
      </c>
    </row>
    <row r="37">
      <c r="A37" s="47" t="n">
        <v>31</v>
      </c>
      <c r="B37" s="24" t="inlineStr">
        <is>
          <t>Fark / sözleşme</t>
        </is>
      </c>
      <c r="C37" s="50">
        <f>IFERROR(IF(G13=0,0,G30/G13),0)</f>
        <v/>
      </c>
      <c r="D37" s="49" t="inlineStr">
        <is>
          <t>oran</t>
        </is>
      </c>
      <c r="E37" s="6" t="inlineStr">
        <is>
          <t>Fark oranı (sözleşme)</t>
        </is>
      </c>
      <c r="F37" s="23" t="inlineStr">
        <is>
          <t>IFF-001</t>
        </is>
      </c>
      <c r="G37" s="25">
        <f>IFERROR(IF(G13=0,0,G30/G13),0)</f>
        <v/>
      </c>
    </row>
    <row r="38">
      <c r="A38" s="47" t="n">
        <v>32</v>
      </c>
      <c r="B38" s="24" t="inlineStr">
        <is>
          <t>Güven skoru</t>
        </is>
      </c>
      <c r="C38" s="48">
        <f>IFERROR(ROUND(IF(OR(COUNTA(GIRDI!B6:B16)=0,iff_girisBeklenen=0),0,COUNTA(GIRDI!B6:B16)/iff_girisBeklenen*100),0),0)</f>
        <v/>
      </c>
      <c r="D38" s="49" t="inlineStr">
        <is>
          <t>puan</t>
        </is>
      </c>
      <c r="E38" s="6" t="inlineStr">
        <is>
          <t>Giriş bütünlüğü</t>
        </is>
      </c>
      <c r="F38" s="23" t="inlineStr">
        <is>
          <t>IFF-005</t>
        </is>
      </c>
      <c r="G38" s="36">
        <f>IFERROR(ROUND(IF(OR(COUNTA(GIRDI!B6:B16)=0,iff_girisBeklenen=0),0,COUNTA(GIRDI!B6:B16)/iff_girisBeklenen*100),0),0)</f>
        <v/>
      </c>
    </row>
    <row r="39">
      <c r="A39" s="47" t="n">
        <v>33</v>
      </c>
      <c r="B39" s="24" t="inlineStr">
        <is>
          <t>Risk skoru</t>
        </is>
      </c>
      <c r="C39" s="48">
        <f>IFERROR(IF(G33="VERI_YOK",0,IF(G33="TALEP",iff_riskDusuk,IF(G33="BEKLE",iff_riskOrta,iff_riskYuksek))),0)</f>
        <v/>
      </c>
      <c r="D39" s="49" t="inlineStr">
        <is>
          <t>puan</t>
        </is>
      </c>
      <c r="E39" s="6" t="inlineStr">
        <is>
          <t>Talep riski (ters)</t>
        </is>
      </c>
      <c r="F39" s="23" t="inlineStr">
        <is>
          <t>IFF-005</t>
        </is>
      </c>
      <c r="G39" s="36">
        <f>IFERROR(IF(G33="VERI_YOK",0,IF(G33="TALEP",iff_riskDusuk,IF(G33="BEKLE",iff_riskOrta,iff_riskYuksek))),0)</f>
        <v/>
      </c>
    </row>
    <row r="40">
      <c r="A40" s="47" t="n">
        <v>34</v>
      </c>
      <c r="B40" s="24" t="inlineStr">
        <is>
          <t>Senaryo iyimser fark</t>
        </is>
      </c>
      <c r="C40" s="51">
        <f>IFERROR(ROUND(G19*(G31-1),MAX(0,MIN(iff_yuvarMax,IFERROR(N(G12),0)))),0)</f>
        <v/>
      </c>
      <c r="D40" s="49" t="inlineStr">
        <is>
          <t>TL</t>
        </is>
      </c>
      <c r="E40" s="6" t="inlineStr">
        <is>
          <t>İyimser fark</t>
        </is>
      </c>
      <c r="F40" s="23" t="inlineStr">
        <is>
          <t>IFF-001</t>
        </is>
      </c>
      <c r="G40" s="26">
        <f>IFERROR(ROUND(G19*(G31-1),MAX(0,MIN(iff_yuvarMax,IFERROR(N(G12),0)))),0)</f>
        <v/>
      </c>
    </row>
    <row r="41">
      <c r="A41" s="47" t="n">
        <v>35</v>
      </c>
      <c r="B41" s="24" t="inlineStr">
        <is>
          <t>Senaryo kötümser fark</t>
        </is>
      </c>
      <c r="C41" s="51">
        <f>IFERROR(ROUND(G19*(G32-1),MAX(0,MIN(iff_yuvarMax,IFERROR(N(G12),0)))),0)</f>
        <v/>
      </c>
      <c r="D41" s="49" t="inlineStr">
        <is>
          <t>TL</t>
        </is>
      </c>
      <c r="E41" s="6" t="inlineStr">
        <is>
          <t>Kötümser fark</t>
        </is>
      </c>
      <c r="F41" s="23" t="inlineStr">
        <is>
          <t>IFF-001</t>
        </is>
      </c>
      <c r="G41" s="26">
        <f>IFERROR(ROUND(G19*(G32-1),MAX(0,MIN(iff_yuvarMax,IFERROR(N(G12),0)))),0)</f>
        <v/>
      </c>
    </row>
    <row r="42">
      <c r="A42" s="47" t="n">
        <v>36</v>
      </c>
      <c r="B42" s="24" t="inlineStr">
        <is>
          <t>İyimser açık</t>
        </is>
      </c>
      <c r="C42" s="51">
        <f>IFERROR(G40,0)</f>
        <v/>
      </c>
      <c r="D42" s="49" t="inlineStr">
        <is>
          <t>TL</t>
        </is>
      </c>
      <c r="E42" s="6" t="inlineStr">
        <is>
          <t>İyimser fark ayna</t>
        </is>
      </c>
      <c r="F42" s="23" t="inlineStr">
        <is>
          <t>IFF-001</t>
        </is>
      </c>
      <c r="G42" s="26">
        <f>IFERROR(G40,0)</f>
        <v/>
      </c>
    </row>
    <row r="43">
      <c r="A43" s="47" t="n">
        <v>37</v>
      </c>
      <c r="B43" s="24" t="inlineStr">
        <is>
          <t>Kötümser açık</t>
        </is>
      </c>
      <c r="C43" s="51">
        <f>IFERROR(G41,0)</f>
        <v/>
      </c>
      <c r="D43" s="49" t="inlineStr">
        <is>
          <t>TL</t>
        </is>
      </c>
      <c r="E43" s="6" t="inlineStr">
        <is>
          <t>Kötümser fark ayna</t>
        </is>
      </c>
      <c r="F43" s="23" t="inlineStr">
        <is>
          <t>IFF-001</t>
        </is>
      </c>
      <c r="G43" s="26">
        <f>IFERROR(G41,0)</f>
        <v/>
      </c>
    </row>
    <row r="44">
      <c r="A44" s="47" t="n">
        <v>38</v>
      </c>
      <c r="B44" s="24" t="inlineStr">
        <is>
          <t>M-SEN sabit+</t>
        </is>
      </c>
      <c r="C44" s="50">
        <f>IFERROR(G8+iff_oranArtisPuan,0)</f>
        <v/>
      </c>
      <c r="D44" s="49" t="inlineStr">
        <is>
          <t>oran</t>
        </is>
      </c>
      <c r="E44" s="6" t="inlineStr">
        <is>
          <t>Sabit + delta</t>
        </is>
      </c>
      <c r="F44" s="23" t="inlineStr">
        <is>
          <t>IFF-001</t>
        </is>
      </c>
      <c r="G44" s="25">
        <f>IFERROR(G8+iff_oranArtisPuan,0)</f>
        <v/>
      </c>
    </row>
    <row r="45">
      <c r="A45" s="47" t="n">
        <v>39</v>
      </c>
      <c r="B45" s="24" t="inlineStr">
        <is>
          <t>M-SEN Pn</t>
        </is>
      </c>
      <c r="C45" s="50">
        <f>IFERROR(G44+(1-G44)*G21,0)</f>
        <v/>
      </c>
      <c r="D45" s="49" t="inlineStr">
        <is>
          <t>oran</t>
        </is>
      </c>
      <c r="E45" s="6" t="inlineStr">
        <is>
          <t>M-SEN Pn</t>
        </is>
      </c>
      <c r="F45" s="23" t="inlineStr">
        <is>
          <t>IFF-001</t>
        </is>
      </c>
      <c r="G45" s="25">
        <f>IFERROR(G44+(1-G44)*G21,0)</f>
        <v/>
      </c>
    </row>
    <row r="46">
      <c r="A46" s="47" t="n">
        <v>40</v>
      </c>
      <c r="B46" s="24" t="inlineStr">
        <is>
          <t>M-SEN fark</t>
        </is>
      </c>
      <c r="C46" s="51">
        <f>IFERROR(ROUND(G19*(G45-1),MAX(0,MIN(iff_yuvarMax,IFERROR(N(G12),0)))),0)</f>
        <v/>
      </c>
      <c r="D46" s="49" t="inlineStr">
        <is>
          <t>TL</t>
        </is>
      </c>
      <c r="E46" s="6" t="inlineStr">
        <is>
          <t>M-SEN farkı</t>
        </is>
      </c>
      <c r="F46" s="23" t="inlineStr">
        <is>
          <t>IFF-001</t>
        </is>
      </c>
      <c r="G46" s="26">
        <f>IFERROR(ROUND(G19*(G45-1),MAX(0,MIN(iff_yuvarMax,IFERROR(N(G12),0)))),0)</f>
        <v/>
      </c>
    </row>
    <row r="47">
      <c r="A47" s="47" t="n">
        <v>41</v>
      </c>
      <c r="B47" s="24" t="inlineStr">
        <is>
          <t>Tahmin üst</t>
        </is>
      </c>
      <c r="C47" s="51">
        <f>IFERROR(G30*iff_tahminUst,0)</f>
        <v/>
      </c>
      <c r="D47" s="49" t="inlineStr">
        <is>
          <t>TL</t>
        </is>
      </c>
      <c r="E47" s="6" t="inlineStr">
        <is>
          <t>Tahmin üst bant</t>
        </is>
      </c>
      <c r="F47" s="23" t="inlineStr">
        <is>
          <t>IFF-005</t>
        </is>
      </c>
      <c r="G47" s="26">
        <f>IFERROR(G30*iff_tahminUst,0)</f>
        <v/>
      </c>
    </row>
    <row r="48">
      <c r="A48" s="47" t="n">
        <v>42</v>
      </c>
      <c r="B48" s="24" t="inlineStr">
        <is>
          <t>Tahmin alt</t>
        </is>
      </c>
      <c r="C48" s="51">
        <f>IFERROR(G30*iff_tahminAlt,0)</f>
        <v/>
      </c>
      <c r="D48" s="49" t="inlineStr">
        <is>
          <t>TL</t>
        </is>
      </c>
      <c r="E48" s="6" t="inlineStr">
        <is>
          <t>Tahmin alt bant</t>
        </is>
      </c>
      <c r="F48" s="23" t="inlineStr">
        <is>
          <t>IFF-005</t>
        </is>
      </c>
      <c r="G48" s="26">
        <f>IFERROR(G30*iff_tahminAlt,0)</f>
        <v/>
      </c>
    </row>
    <row r="49">
      <c r="A49" s="47" t="n">
        <v>43</v>
      </c>
      <c r="B49" s="24" t="inlineStr">
        <is>
          <t>Tornado: endeks etkisi</t>
        </is>
      </c>
      <c r="C49" s="51">
        <f>IFERROR(ABS(ROUND(G19*((G20+(1-G20)*G21*iff_tornadoMatrah)-1),MAX(0,MIN(iff_yuvarMax,IFERROR(N(G12),0))))-G28),0)</f>
        <v/>
      </c>
      <c r="D49" s="49" t="inlineStr">
        <is>
          <t>TL</t>
        </is>
      </c>
      <c r="E49" s="6" t="inlineStr">
        <is>
          <t>Endeks ± etki</t>
        </is>
      </c>
      <c r="F49" s="23" t="inlineStr">
        <is>
          <t>IFF-001</t>
        </is>
      </c>
      <c r="G49" s="26">
        <f>IFERROR(ABS(ROUND(G19*((G20+(1-G20)*G21*iff_tornadoMatrah)-1),MAX(0,MIN(iff_yuvarMax,IFERROR(N(G12),0))))-G28),0)</f>
        <v/>
      </c>
    </row>
    <row r="50">
      <c r="A50" s="47" t="n">
        <v>44</v>
      </c>
      <c r="B50" s="24" t="inlineStr">
        <is>
          <t>Tornado: hakediş etkisi</t>
        </is>
      </c>
      <c r="C50" s="51">
        <f>IFERROR(ABS(ROUND(G19*iff_tornadoMevcut*(G24-1),MAX(0,MIN(iff_yuvarMax,IFERROR(N(G12),0))))-G30),0)</f>
        <v/>
      </c>
      <c r="D50" s="49" t="inlineStr">
        <is>
          <t>TL</t>
        </is>
      </c>
      <c r="E50" s="6" t="inlineStr">
        <is>
          <t>Hakediş ± etki</t>
        </is>
      </c>
      <c r="F50" s="23" t="inlineStr">
        <is>
          <t>IFF-001</t>
        </is>
      </c>
      <c r="G50" s="26">
        <f>IFERROR(ABS(ROUND(G19*iff_tornadoMevcut*(G24-1),MAX(0,MIN(iff_yuvarMax,IFERROR(N(G12),0))))-G30),0)</f>
        <v/>
      </c>
    </row>
    <row r="51">
      <c r="A51" s="47" t="n">
        <v>45</v>
      </c>
      <c r="B51" s="24" t="inlineStr">
        <is>
          <t>Tornado: sabit etkisi</t>
        </is>
      </c>
      <c r="C51" s="51">
        <f>IFERROR(ABS(ROUND(G19*(((G8+iff_oranArtisPuan)+(1-(G8+iff_oranArtisPuan))*G21)-1),MAX(0,MIN(iff_yuvarMax,IFERROR(N(G12),0))))-G28),0)</f>
        <v/>
      </c>
      <c r="D51" s="49" t="inlineStr">
        <is>
          <t>TL</t>
        </is>
      </c>
      <c r="E51" s="6" t="inlineStr">
        <is>
          <t>Sabit ± etki</t>
        </is>
      </c>
      <c r="F51" s="23" t="inlineStr">
        <is>
          <t>IFF-001</t>
        </is>
      </c>
      <c r="G51" s="26">
        <f>IFERROR(ABS(ROUND(G19*(((G8+iff_oranArtisPuan)+(1-(G8+iff_oranArtisPuan))*G21)-1),MAX(0,MIN(iff_yuvarMax,IFERROR(N(G12),0))))-G28),0)</f>
        <v/>
      </c>
    </row>
    <row r="52">
      <c r="A52" s="47" t="n">
        <v>46</v>
      </c>
      <c r="B52" s="24" t="inlineStr">
        <is>
          <t>Madde atıf özeti</t>
        </is>
      </c>
      <c r="C52" s="21">
        <f>IFERROR(_xlfn.TEXTJOIN(" | ",TRUE,"IFF-001→sabit pay","IFF-002→talep","IFF-003→bekle","IFF-004→ağırlık"),"")</f>
        <v/>
      </c>
      <c r="D52" s="49" t="inlineStr">
        <is>
          <t>metin</t>
        </is>
      </c>
      <c r="E52" s="6" t="inlineStr">
        <is>
          <t>Kanıt atıfları</t>
        </is>
      </c>
      <c r="F52" s="23" t="inlineStr">
        <is>
          <t>IFF-001</t>
        </is>
      </c>
      <c r="G52" s="27">
        <f>IFERROR(_xlfn.TEXTJOIN(" | ",TRUE,"IFF-001→sabit pay","IFF-002→talep","IFF-003→bekle","IFF-004→ağırlık"),"")</f>
        <v/>
      </c>
    </row>
    <row r="53">
      <c r="A53" s="47" t="n">
        <v>47</v>
      </c>
      <c r="B53" s="24" t="inlineStr">
        <is>
          <t>Kanıt satır özeti</t>
        </is>
      </c>
      <c r="C53" s="21">
        <f>IFERROR(_xlfn.TEXTJOIN(" · ",TRUE,"Pn=",TEXT(G24,"0.000"),"Hakediş=",TEXT(G19,"₺ #,##0"),"Fark=",TEXT(G30,"₺ #,##0"),"Oran=",TEXT(G27,"0.0%")),"")</f>
        <v/>
      </c>
      <c r="D53" s="49" t="inlineStr">
        <is>
          <t>metin</t>
        </is>
      </c>
      <c r="E53" s="6" t="inlineStr">
        <is>
          <t>Rapor özeti</t>
        </is>
      </c>
      <c r="F53" s="23" t="inlineStr">
        <is>
          <t>IFF-005</t>
        </is>
      </c>
      <c r="G53" s="27">
        <f>IFERROR(_xlfn.TEXTJOIN(" · ",TRUE,"Pn=",TEXT(G24,"0.000"),"Hakediş=",TEXT(G19,"₺ #,##0"),"Fark=",TEXT(G30,"₺ #,##0"),"Oran=",TEXT(G27,"0.0%")),"")</f>
        <v/>
      </c>
    </row>
    <row r="55">
      <c r="I55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3">
    <cfRule type="cellIs" priority="1" operator="lessThan" dxfId="3">
      <formula>0</formula>
    </cfRule>
  </conditionalFormatting>
  <conditionalFormatting sqref="F7:F53">
    <cfRule type="expression" priority="2" dxfId="6">
      <formula>F7="IFF-001"</formula>
    </cfRule>
    <cfRule type="expression" priority="3" dxfId="3">
      <formula>F7="IFF-005"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İhale Fiyat Farkı (Eskalasyon) Pro</t>
        </is>
      </c>
    </row>
    <row r="3">
      <c r="A3" s="9" t="inlineStr">
        <is>
          <t>Senaryo ve duyarlılık</t>
        </is>
      </c>
    </row>
    <row r="5">
      <c r="A5" s="52" t="inlineStr">
        <is>
          <t>Senaryo</t>
        </is>
      </c>
      <c r="B5" s="52" t="inlineStr">
        <is>
          <t>Endeks Çarpanı</t>
        </is>
      </c>
      <c r="C5" s="52" t="inlineStr">
        <is>
          <t>Fiyat Farkı</t>
        </is>
      </c>
      <c r="D5" s="52" t="inlineStr">
        <is>
          <t>Net Fark</t>
        </is>
      </c>
      <c r="E5" s="52" t="inlineStr">
        <is>
          <t>Karar</t>
        </is>
      </c>
      <c r="G5" s="52" t="inlineStr">
        <is>
          <t>FarkDemo</t>
        </is>
      </c>
    </row>
    <row r="6">
      <c r="A6" s="7" t="inlineStr">
        <is>
          <t>İyimser</t>
        </is>
      </c>
      <c r="B6" s="25">
        <f>IFERROR(iff_senaryoIyi+N(GIRDI!B9)*iff_sifirCarpan,0)</f>
        <v/>
      </c>
      <c r="C6" s="26">
        <f>IFERROR(MOTOR!G40,0)</f>
        <v/>
      </c>
      <c r="D6" s="26">
        <f>IFERROR(MOTOR!G40,0)</f>
        <v/>
      </c>
      <c r="E6" s="27">
        <f>IF(COUNTA(tblGirdi[Alan Anahtarı])=0,"VERİ YOK",IF(D6&gt;=iff_fiyatFarki*iff_tahminAlt,"TALEP ET","BEKLE"))</f>
        <v/>
      </c>
      <c r="G6" s="29" t="n">
        <v>364500</v>
      </c>
    </row>
    <row r="7">
      <c r="A7" s="7" t="inlineStr">
        <is>
          <t>Baz</t>
        </is>
      </c>
      <c r="B7" s="25">
        <f>IFERROR(iff_bazCarpan+N(GIRDI!B9)*iff_sifirCarpan,iff_bazCarpan)</f>
        <v/>
      </c>
      <c r="C7" s="26">
        <f>IFERROR(iff_fiyatFarki,0)</f>
        <v/>
      </c>
      <c r="D7" s="26">
        <f>IFERROR(iff_fiyatFarki,0)</f>
        <v/>
      </c>
      <c r="E7" s="27">
        <f>IF(COUNTA(tblGirdi[Alan Anahtarı])=0,"VERİ YOK",IFERROR(iff_kararMetni,"-"))</f>
        <v/>
      </c>
      <c r="G7" s="29" t="n">
        <v>405000</v>
      </c>
    </row>
    <row r="8">
      <c r="A8" s="7" t="inlineStr">
        <is>
          <t>Kötümser</t>
        </is>
      </c>
      <c r="B8" s="25">
        <f>IFERROR(iff_senaryoKotu+N(GIRDI!B9)*iff_sifirCarpan,0)</f>
        <v/>
      </c>
      <c r="C8" s="26">
        <f>IFERROR(MOTOR!G41,0)</f>
        <v/>
      </c>
      <c r="D8" s="26">
        <f>IFERROR(MOTOR!G41,0)</f>
        <v/>
      </c>
      <c r="E8" s="27">
        <f>IF(COUNTA(tblGirdi[Alan Anahtarı])=0,"VERİ YOK",IF(D8&lt;=0,"VAZGEÇ","BEKLE"))</f>
        <v/>
      </c>
      <c r="G8" s="29" t="n">
        <v>445500</v>
      </c>
    </row>
    <row r="9">
      <c r="A9" s="7" t="inlineStr">
        <is>
          <t>M-SEN +1 puan</t>
        </is>
      </c>
      <c r="B9" s="25">
        <f>IFERROR(iff_bazCarpan+N(GIRDI!B9)*iff_sifirCarpan,iff_bazCarpan)</f>
        <v/>
      </c>
      <c r="C9" s="26">
        <f>IFERROR(MOTOR!G46,0)</f>
        <v/>
      </c>
      <c r="D9" s="26">
        <f>IFERROR(MOTOR!G46,0)</f>
        <v/>
      </c>
      <c r="E9" s="27">
        <f>IF(COUNTA(tblGirdi[Alan Anahtarı])=0,"VERİ YOK",IF(D9=0,"VAZGEÇ","TALEP ET"))</f>
        <v/>
      </c>
      <c r="G9" s="29" t="n">
        <v>382500</v>
      </c>
    </row>
    <row r="11">
      <c r="A11" s="10" t="inlineStr">
        <is>
          <t>Senaryo bant genişliği (iyimser−kötümser fark)</t>
        </is>
      </c>
      <c r="B11" s="26">
        <f>IFERROR(D6-D8,0)</f>
        <v/>
      </c>
    </row>
    <row r="12">
      <c r="A12" s="10" t="inlineStr">
        <is>
          <t>Senaryo yorumu</t>
        </is>
      </c>
      <c r="B12" s="21">
        <f>IFERROR(_xlfn.TEXTJOIN("; ",TRUE,"İyimser fark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52" t="inlineStr">
        <is>
          <t>Değişken</t>
        </is>
      </c>
      <c r="B15" s="52" t="inlineStr">
        <is>
          <t>Etki [₺]</t>
        </is>
      </c>
      <c r="C15" s="52" t="inlineStr">
        <is>
          <t>Sıra</t>
        </is>
      </c>
      <c r="E15" s="52" t="inlineStr">
        <is>
          <t>EtkiDemo</t>
        </is>
      </c>
    </row>
    <row r="16">
      <c r="A16" s="7" t="inlineStr">
        <is>
          <t>Tornado endeks etkisi</t>
        </is>
      </c>
      <c r="B16" s="26">
        <f>IFERROR(MOTOR!G49,0)</f>
        <v/>
      </c>
      <c r="C16" s="36">
        <f>IFERROR(IF(B16&gt;=MAX(B16:B18),iff_siraBir,IF(B16&gt;=MIN(B16:B18)+ABS(B16-B17),iff_siraIki,iff_siraUc)),iff_siraUc)</f>
        <v/>
      </c>
      <c r="E16" s="29" t="n">
        <v>20250</v>
      </c>
    </row>
    <row r="17">
      <c r="A17" s="7" t="inlineStr">
        <is>
          <t>Tornado hakediş etkisi</t>
        </is>
      </c>
      <c r="B17" s="26">
        <f>IFERROR(MOTOR!G50,0)</f>
        <v/>
      </c>
      <c r="C17" s="36">
        <f>IFERROR(IF(B17&gt;=MAX(B16:B18),iff_siraBir,IF(B17=MEDIAN(B16:B18),iff_siraIki,iff_siraUc)),iff_siraUc)</f>
        <v/>
      </c>
      <c r="E17" s="29" t="n">
        <v>20250</v>
      </c>
    </row>
    <row r="18">
      <c r="A18" s="7" t="inlineStr">
        <is>
          <t>Tornado sabit etkisi</t>
        </is>
      </c>
      <c r="B18" s="26">
        <f>IFERROR(MOTOR!G51,0)</f>
        <v/>
      </c>
      <c r="C18" s="36">
        <f>IFERROR(IF(B18&gt;=MAX(B16:B18),iff_siraBir,IF(B18=MEDIAN(B16:B18),iff_siraIki,iff_siraUc)),iff_siraUc)</f>
        <v/>
      </c>
      <c r="E18" s="29" t="n">
        <v>22500</v>
      </c>
    </row>
    <row r="19">
      <c r="A19" s="10" t="inlineStr">
        <is>
          <t>Duyarlılık sıra özeti</t>
        </is>
      </c>
      <c r="B19" s="27">
        <f>IFERROR(CONCATENATE("1)",INDEX(A16:A18,MATCH(iff_siraBir,C16:C18,0))," 2)",INDEX(A16:A18,MATCH(iff_siraIki,C16:C18,0))),"-")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fark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",TRUE,"Sabit pay +1 puan senaryosunda fiyat farkı ",TEXT(D9,"₺ #,##0")," TL")</f>
        <v/>
      </c>
    </row>
    <row r="25">
      <c r="A25" s="10" t="inlineStr">
        <is>
          <t>Tahmin aralığı (fark)</t>
        </is>
      </c>
      <c r="B25" s="26">
        <f>MOTOR!G48</f>
        <v/>
      </c>
      <c r="C25" s="26">
        <f>iff_kacirilan</f>
        <v/>
      </c>
      <c r="D25" s="26">
        <f>MOTOR!G47</f>
        <v/>
      </c>
    </row>
    <row r="26">
      <c r="A26" s="10" t="inlineStr">
        <is>
          <t>Tahmin (FORECAST)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3" t="n">
        <v>1</v>
      </c>
      <c r="B28" s="26">
        <f>D6</f>
        <v/>
      </c>
      <c r="D28" s="29" t="n">
        <v>364500</v>
      </c>
    </row>
    <row r="29">
      <c r="A29" s="53" t="n">
        <v>2</v>
      </c>
      <c r="B29" s="26">
        <f>D7</f>
        <v/>
      </c>
      <c r="D29" s="29" t="n">
        <v>405000</v>
      </c>
    </row>
    <row r="30">
      <c r="A30" s="53" t="n">
        <v>3</v>
      </c>
      <c r="B30" s="26">
        <f>D8</f>
        <v/>
      </c>
      <c r="D30" s="29" t="n">
        <v>445500</v>
      </c>
    </row>
    <row r="31">
      <c r="A31" s="53" t="n">
        <v>4</v>
      </c>
      <c r="B31" s="26">
        <f>D9</f>
        <v/>
      </c>
      <c r="D31" s="29" t="n">
        <v>382500</v>
      </c>
    </row>
    <row r="32">
      <c r="A32" s="7" t="inlineStr">
        <is>
          <t>Tahmin sonraki</t>
        </is>
      </c>
      <c r="B32" s="26">
        <f>IFERROR(AVERAGE(B28:B31),0)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4">
      <formula>ISNUMBER(SEARCH("TALEP",E6))</formula>
    </cfRule>
    <cfRule type="expression" priority="4" dxfId="5">
      <formula>ISNUMBER(SEARCH("BEKLE",E6))</formula>
    </cfRule>
  </conditionalFormatting>
  <conditionalFormatting sqref="B16:B18">
    <cfRule type="cellIs" priority="5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İhale Fiyat Farkı (Eskalasyon) Pro</t>
        </is>
      </c>
    </row>
    <row r="3">
      <c r="A3" s="44" t="inlineStr">
        <is>
          <t>Tebliğ tarzı altın vakalar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2" t="inlineStr">
        <is>
          <t>BeklenenDemo</t>
        </is>
      </c>
      <c r="K5" s="52" t="inlineStr">
        <is>
          <t>HesapDemo</t>
        </is>
      </c>
    </row>
    <row r="6">
      <c r="A6" s="7" t="inlineStr">
        <is>
          <t>V-001</t>
        </is>
      </c>
      <c r="B6" s="7" t="inlineStr">
        <is>
          <t>Endeks %10 — fiyat farkı</t>
        </is>
      </c>
      <c r="C6" s="7" t="inlineStr">
        <is>
          <t>hakedis=vaka_matrah_1; oran=1.10; sabit=IFF-001</t>
        </is>
      </c>
      <c r="D6" s="54" t="n">
        <v>9000</v>
      </c>
      <c r="E6" s="26">
        <f>IFERROR(ROUND(vaka_matrah_1*((INDEX(tblKurallar[deger_2025],MATCH("IFF-001",tblKurallar[kural_id],0))+(1-INDEX(tblKurallar[deger_2025],MATCH("IFF-001",tblKurallar[kural_id],0)))*vaka_endeks_orani)-1),2),0)</f>
        <v/>
      </c>
      <c r="F6" s="55">
        <f>IF($A6="","",IFERROR($D6-$E6,0))</f>
        <v/>
      </c>
      <c r="G6" s="56">
        <f>IF($A6="","",IFERROR(IF(ABS($F6)&lt;=iff_tolerans,"TUTARLI","KIRIK"),"KIRIK"))</f>
        <v/>
      </c>
      <c r="H6" s="7" t="inlineStr">
        <is>
          <t>Fiyat farkı cetveli örnek</t>
        </is>
      </c>
      <c r="J6" s="29" t="n">
        <v>9000</v>
      </c>
      <c r="K6" s="29" t="n">
        <v>9000</v>
      </c>
    </row>
    <row r="7">
      <c r="A7" s="7" t="inlineStr">
        <is>
          <t>V-002</t>
        </is>
      </c>
      <c r="B7" s="7" t="inlineStr">
        <is>
          <t>Talep eşiği × hakediş</t>
        </is>
      </c>
      <c r="C7" s="7" t="inlineStr">
        <is>
          <t>hakedis=vaka_matrah_2; esik=IFF-002</t>
        </is>
      </c>
      <c r="D7" s="54" t="n">
        <v>10000</v>
      </c>
      <c r="E7" s="26">
        <f>IFERROR(ROUND(vaka_matrah_2*INDEX(tblKurallar[deger_2025],MATCH("IFF-002",tblKurallar[kural_id],0)),2),0)</f>
        <v/>
      </c>
      <c r="F7" s="55">
        <f>IF($A7="","",IFERROR($D7-$E7,0))</f>
        <v/>
      </c>
      <c r="G7" s="56">
        <f>IF($A7="","",IFERROR(IF(ABS($F7)&lt;=iff_tolerans,"TUTARLI","KIRIK"),"KIRIK"))</f>
        <v/>
      </c>
      <c r="H7" s="7" t="inlineStr">
        <is>
          <t>Talep eşiği kontrol</t>
        </is>
      </c>
      <c r="J7" s="29" t="n">
        <v>10000</v>
      </c>
      <c r="K7" s="29" t="n">
        <v>10000</v>
      </c>
    </row>
    <row r="8">
      <c r="A8" s="7" t="inlineStr">
        <is>
          <t>V-003</t>
        </is>
      </c>
      <c r="B8" s="7" t="inlineStr">
        <is>
          <t>Birikimli fark + eşik</t>
        </is>
      </c>
      <c r="C8" s="7" t="inlineStr">
        <is>
          <t>V-001 + V-002</t>
        </is>
      </c>
      <c r="D8" s="54" t="n">
        <v>19000</v>
      </c>
      <c r="E8" s="26">
        <f>IFERROR(ROUND(vaka_matrah_1*((INDEX(tblKurallar[deger_2025],MATCH("IFF-001",tblKurallar[kural_id],0))+(1-INDEX(tblKurallar[deger_2025],MATCH("IFF-001",tblKurallar[kural_id],0)))*vaka_endeks_orani)-1)+vaka_matrah_2*INDEX(tblKurallar[deger_2025],MATCH("IFF-002",tblKurallar[kural_id],0)),2),0)</f>
        <v/>
      </c>
      <c r="F8" s="55">
        <f>IF($A8="","",IFERROR($D8-$E8,0))</f>
        <v/>
      </c>
      <c r="G8" s="56">
        <f>IF($A8="","",IFERROR(IF(ABS($F8)&lt;=iff_tolerans,"TUTARLI","KIRIK"),"KIRIK"))</f>
        <v/>
      </c>
      <c r="H8" s="7" t="inlineStr">
        <is>
          <t>Birikim yorum A</t>
        </is>
      </c>
      <c r="J8" s="29" t="n">
        <v>19000</v>
      </c>
      <c r="K8" s="29" t="n">
        <v>19000</v>
      </c>
    </row>
    <row r="9">
      <c r="A9" s="7" t="inlineStr">
        <is>
          <t>V-004</t>
        </is>
      </c>
      <c r="B9" s="7" t="inlineStr">
        <is>
          <t>Tavan × sabit pay</t>
        </is>
      </c>
      <c r="C9" s="7" t="inlineStr">
        <is>
          <t>tavan=vaka_tavan; sabit=IFF-001</t>
        </is>
      </c>
      <c r="D9" s="54" t="n">
        <v>15000</v>
      </c>
      <c r="E9" s="26">
        <f>IFERROR(ROUND(vaka_tavan*INDEX(tblKurallar[deger_2025],MATCH("IFF-001",tblKurallar[kural_id],0)),2),0)</f>
        <v/>
      </c>
      <c r="F9" s="55">
        <f>IF($A9="","",IFERROR($D9-$E9,0))</f>
        <v/>
      </c>
      <c r="G9" s="56">
        <f>IF($A9="","",IFERROR(IF(ABS($F9)&lt;=iff_tolerans,"TUTARLI","KIRIK"),"KIRIK"))</f>
        <v/>
      </c>
      <c r="H9" s="7" t="inlineStr">
        <is>
          <t>IFF-001 tavan kontrol</t>
        </is>
      </c>
      <c r="J9" s="29" t="n">
        <v>15000</v>
      </c>
      <c r="K9" s="29" t="n">
        <v>15000</v>
      </c>
    </row>
    <row r="12">
      <c r="A12" s="10" t="inlineStr">
        <is>
          <t>Vaka durum özeti</t>
        </is>
      </c>
      <c r="B12" s="57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İhale Fiyat Farkı (Eskalasyon) Pro</t>
        </is>
      </c>
    </row>
    <row r="3">
      <c r="A3" s="58" t="inlineStr">
        <is>
          <t>KANIT RAPORU — İhale Fiyat Farkı Eskalasyon</t>
        </is>
      </c>
    </row>
    <row r="4">
      <c r="A4" s="7" t="inlineStr">
        <is>
          <t>Rapor tarihi</t>
        </is>
      </c>
      <c r="B4" s="59">
        <f>raporTarihi</f>
        <v/>
      </c>
    </row>
    <row r="5">
      <c r="A5" s="7" t="inlineStr">
        <is>
          <t>İhale / iş</t>
        </is>
      </c>
      <c r="B5" s="27">
        <f>GIRDI!B6</f>
        <v/>
      </c>
    </row>
    <row r="6">
      <c r="A6" s="7" t="inlineStr">
        <is>
          <t>Dönem / yıl</t>
        </is>
      </c>
      <c r="B6" s="27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Sözleşme bedeli</t>
        </is>
      </c>
      <c r="B9" s="26">
        <f>GIRDI!B9</f>
        <v/>
      </c>
    </row>
    <row r="10">
      <c r="A10" s="7" t="inlineStr">
        <is>
          <t>Baz endeks</t>
        </is>
      </c>
      <c r="B10" s="36">
        <f>GIRDI!B10</f>
        <v/>
      </c>
    </row>
    <row r="11">
      <c r="A11" s="7" t="inlineStr">
        <is>
          <t>Güncel endeks</t>
        </is>
      </c>
      <c r="B11" s="36">
        <f>GIRDI!B11</f>
        <v/>
      </c>
    </row>
    <row r="12">
      <c r="A12" s="7" t="inlineStr">
        <is>
          <t>İşçilik ağırlığı</t>
        </is>
      </c>
      <c r="B12" s="25">
        <f>GIRDI!B12</f>
        <v/>
      </c>
    </row>
    <row r="13">
      <c r="A13" s="7" t="inlineStr">
        <is>
          <t>Malzeme ağırlığı</t>
        </is>
      </c>
      <c r="B13" s="25">
        <f>GIRDI!B13</f>
        <v/>
      </c>
    </row>
    <row r="14">
      <c r="A14" s="7" t="inlineStr">
        <is>
          <t>Akaryakıt ağırlığı</t>
        </is>
      </c>
      <c r="B14" s="25">
        <f>GIRDI!B14</f>
        <v/>
      </c>
    </row>
    <row r="15">
      <c r="A15" s="7" t="inlineStr">
        <is>
          <t>Hakediş tutarı</t>
        </is>
      </c>
      <c r="B15" s="26">
        <f>iff_hakedisTutari</f>
        <v/>
      </c>
    </row>
    <row r="17">
      <c r="A17" s="5" t="inlineStr">
        <is>
          <t>Hesap zinciri</t>
        </is>
      </c>
    </row>
    <row r="18">
      <c r="A18" s="7" t="inlineStr">
        <is>
          <t>Fiyat farkı</t>
        </is>
      </c>
      <c r="B18" s="35">
        <f>iff_fiyatFarki</f>
        <v/>
      </c>
    </row>
    <row r="19">
      <c r="A19" s="7" t="inlineStr">
        <is>
          <t>Fiyat farkı (karar)</t>
        </is>
      </c>
      <c r="B19" s="35">
        <f>iff_kacirilan</f>
        <v/>
      </c>
    </row>
    <row r="20">
      <c r="A20" s="10" t="inlineStr">
        <is>
          <t>KARAR</t>
        </is>
      </c>
      <c r="B20" s="60">
        <f>iff_kararMetni</f>
        <v/>
      </c>
    </row>
    <row r="21">
      <c r="A21" s="7" t="inlineStr">
        <is>
          <t>Gerekçe</t>
        </is>
      </c>
      <c r="B21" s="21">
        <f>iff_kararGerekce</f>
        <v/>
      </c>
    </row>
    <row r="23">
      <c r="A23" s="10" t="inlineStr">
        <is>
          <t>Madde atıfları</t>
        </is>
      </c>
      <c r="B23" s="21">
        <f>iff_maddeAtifMetni</f>
        <v/>
      </c>
    </row>
    <row r="25">
      <c r="A25" s="10" t="inlineStr">
        <is>
          <t>Kanıt gövdesi</t>
        </is>
      </c>
      <c r="B25" s="21">
        <f>iff_kanitRaporu</f>
        <v/>
      </c>
    </row>
    <row r="27">
      <c r="A27" s="7" t="inlineStr">
        <is>
          <t>Parmak izi (SHA-256 kısaltma)</t>
        </is>
      </c>
      <c r="B27" s="28">
        <f>iff_parmakIzi</f>
        <v/>
      </c>
    </row>
    <row r="29">
      <c r="A29" s="7" t="inlineStr">
        <is>
          <t>Hazırlayan (imza)</t>
        </is>
      </c>
      <c r="B29" s="61" t="inlineStr"/>
    </row>
    <row r="30">
      <c r="A30" s="7" t="inlineStr">
        <is>
          <t>Onaylayan (imza)</t>
        </is>
      </c>
      <c r="B30" s="61" t="inlineStr"/>
    </row>
    <row r="32">
      <c r="A32" s="13" t="inlineStr">
        <is>
          <t>Uyarı: Bu çıktı karar destektir; kesin fiyat farkı talebi sonucu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1:F21"/>
    <mergeCell ref="B25:F25"/>
    <mergeCell ref="A1:L1"/>
    <mergeCell ref="A32:F32"/>
    <mergeCell ref="B23:F23"/>
    <mergeCell ref="A3:F3"/>
  </mergeCells>
  <conditionalFormatting sqref="B20">
    <cfRule type="expression" priority="1" dxfId="0">
      <formula>ISNUMBER(SEARCH("TALEP ET",B20))</formula>
    </cfRule>
    <cfRule type="expression" priority="2" dxfId="1">
      <formula>ISNUMBER(SEARCH("BEKLE",B20))</formula>
    </cfRule>
    <cfRule type="expression" priority="3" dxfId="2">
      <formula>ISNUMBER(SEARCH("VAZGEÇ",B20))</formula>
    </cfRule>
  </conditionalFormatting>
  <conditionalFormatting sqref="B19">
    <cfRule type="cellIs" priority="4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&amp;Lİhale Fiyat Farkı (Eskalasyon) Pro · 1.0.0&amp;CExcelArşiv&amp;RSayfa &amp;P / &amp;N</oddFooter>
    <evenHeader/>
    <evenFooter>&amp;Lİhale Fiyat Farkı (Eskalasyon) Pro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İhale Fiyat Farkı (Eskalasyon) Pro</t>
        </is>
      </c>
    </row>
    <row r="3">
      <c r="A3" s="9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sözleşme bedeli?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IFERROR(IF(AND(N(hesapYili)&gt;N(iff_yilTaban),N(hesapYili)&lt;=N(iff_yilTaban)+3),"TEMİZ","HATALI"),"HATALI")</f>
        <v/>
      </c>
    </row>
    <row r="8">
      <c r="A8" s="7" t="inlineStr">
        <is>
          <t>Baz endeks sıfır mı?</t>
        </is>
      </c>
      <c r="B8" s="27">
        <f>IF(IFERROR(MOTOR!G14,0)=0,"SIFIR","NORMAL")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Fark eşiği aşıyor mu?</t>
        </is>
      </c>
      <c r="B10" s="27">
        <f>IF(IFERROR(iff_kacirilan,0)&gt;iff_kacirilanEsik,"AŞIYOR","NORMAL")</f>
        <v/>
      </c>
    </row>
    <row r="11">
      <c r="A11" s="7" t="inlineStr">
        <is>
          <t>Yorum A/B seçili mi?</t>
        </is>
      </c>
      <c r="B11" s="27">
        <f>IF(OR(GIRDI!B16="A",GIRDI!B16="B"),"TEMİZ","EKSİK")</f>
        <v/>
      </c>
    </row>
    <row r="12">
      <c r="A12" s="10" t="inlineStr">
        <is>
          <t>Kalite skoru (modül)</t>
        </is>
      </c>
      <c r="B12" s="62">
        <f>IFERROR(ROUND(IF(OR(B14=0,B14=""),0,B15/B14*100),0),0)</f>
        <v/>
      </c>
    </row>
    <row r="14">
      <c r="A14" s="7" t="inlineStr">
        <is>
          <t>Toplam giriş alanı</t>
        </is>
      </c>
      <c r="B14" s="36">
        <f>IFERROR(iff_girisBeklenen+COUNTA(GIRDI!B6:B16)*0,0)</f>
        <v/>
      </c>
    </row>
    <row r="15">
      <c r="A15" s="7" t="inlineStr">
        <is>
          <t>Dolu giriş</t>
        </is>
      </c>
      <c r="B15" s="36">
        <f>COUNTA(GIRDI!B6:B16)</f>
        <v/>
      </c>
    </row>
    <row r="17">
      <c r="A17" s="7" t="inlineStr">
        <is>
          <t>Fiyat farkı kontrol</t>
        </is>
      </c>
      <c r="B17" s="26">
        <f>IFERROR(iff_fiyatFarki,0)</f>
        <v/>
      </c>
    </row>
    <row r="18">
      <c r="A18" s="7" t="inlineStr">
        <is>
          <t>Fark (karar) kontrol</t>
        </is>
      </c>
      <c r="B18" s="26">
        <f>IFERROR(iff_kacirilan,0)</f>
        <v/>
      </c>
    </row>
    <row r="19">
      <c r="A19" s="7" t="inlineStr">
        <is>
          <t>Karar kontrol</t>
        </is>
      </c>
      <c r="B19" s="27">
        <f>IFERROR(iff_kararMetni,"-")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İhale Fiyat Farkı (Eskalasyon) Pro</t>
        </is>
      </c>
    </row>
    <row r="3">
      <c r="A3" s="44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Sözleşme</t>
        </is>
      </c>
      <c r="C5" s="22" t="inlineStr">
        <is>
          <t>Baz</t>
        </is>
      </c>
      <c r="D5" s="22" t="inlineStr">
        <is>
          <t>Güncel</t>
        </is>
      </c>
      <c r="E5" s="22" t="inlineStr">
        <is>
          <t>İşçilik</t>
        </is>
      </c>
      <c r="F5" s="22" t="inlineStr">
        <is>
          <t>Malzeme</t>
        </is>
      </c>
      <c r="G5" s="22" t="inlineStr">
        <is>
          <t>Akaryakıt</t>
        </is>
      </c>
      <c r="H5" s="22" t="inlineStr">
        <is>
          <t>Hakediş</t>
        </is>
      </c>
      <c r="I5" s="22" t="inlineStr">
        <is>
          <t>Fiyat Farkı</t>
        </is>
      </c>
      <c r="L5" s="52" t="inlineStr">
        <is>
          <t>FarkDemo</t>
        </is>
      </c>
    </row>
    <row r="6">
      <c r="A6" s="37" t="inlineStr">
        <is>
          <t>Demo ana</t>
        </is>
      </c>
      <c r="B6" s="40" t="n">
        <v>10000000</v>
      </c>
      <c r="C6" s="39" t="n">
        <v>100</v>
      </c>
      <c r="D6" s="39" t="n">
        <v>118</v>
      </c>
      <c r="E6" s="41" t="n">
        <v>0.4</v>
      </c>
      <c r="F6" s="41" t="n">
        <v>0.45</v>
      </c>
      <c r="G6" s="41" t="n">
        <v>0.15</v>
      </c>
      <c r="H6" s="40" t="n">
        <v>2500000</v>
      </c>
      <c r="I6" s="38">
        <f>IF($A6="","",IFERROR(ROUND($H6*((INDEX(tblKurallar[deger_2025],MATCH("IFF-001",tblKurallar[kural_id],0))+(1-INDEX(tblKurallar[deger_2025],MATCH("IFF-001",tblKurallar[kural_id],0)))*IF($C6=0,0,$D6/$C6))-1),iff_yuvarMax),0))</f>
        <v/>
      </c>
      <c r="L6" s="29" t="n">
        <v>405000</v>
      </c>
    </row>
    <row r="7">
      <c r="A7" s="37" t="inlineStr">
        <is>
          <t>Yüksek endeks</t>
        </is>
      </c>
      <c r="B7" s="40" t="n">
        <v>10000000</v>
      </c>
      <c r="C7" s="39" t="n">
        <v>100</v>
      </c>
      <c r="D7" s="39" t="n">
        <v>130</v>
      </c>
      <c r="E7" s="41" t="n">
        <v>0.4</v>
      </c>
      <c r="F7" s="41" t="n">
        <v>0.45</v>
      </c>
      <c r="G7" s="41" t="n">
        <v>0.15</v>
      </c>
      <c r="H7" s="40" t="n">
        <v>2500000</v>
      </c>
      <c r="I7" s="38">
        <f>IF($A7="","",IFERROR(ROUND($H7*((INDEX(tblKurallar[deger_2025],MATCH("IFF-001",tblKurallar[kural_id],0))+(1-INDEX(tblKurallar[deger_2025],MATCH("IFF-001",tblKurallar[kural_id],0)))*IF($C7=0,0,$D7/$C7))-1),iff_yuvarMax),0))</f>
        <v/>
      </c>
      <c r="L7" s="29" t="n">
        <v>675000</v>
      </c>
    </row>
    <row r="8">
      <c r="A8" s="37" t="inlineStr">
        <is>
          <t>Düşük hakediş</t>
        </is>
      </c>
      <c r="B8" s="40" t="n">
        <v>8000000</v>
      </c>
      <c r="C8" s="39" t="n">
        <v>100</v>
      </c>
      <c r="D8" s="39" t="n">
        <v>110</v>
      </c>
      <c r="E8" s="41" t="n">
        <v>0.35</v>
      </c>
      <c r="F8" s="41" t="n">
        <v>0.5</v>
      </c>
      <c r="G8" s="41" t="n">
        <v>0.15</v>
      </c>
      <c r="H8" s="40" t="n">
        <v>800000</v>
      </c>
      <c r="I8" s="38">
        <f>IF($A8="","",IFERROR(ROUND($H8*((INDEX(tblKurallar[deger_2025],MATCH("IFF-001",tblKurallar[kural_id],0))+(1-INDEX(tblKurallar[deger_2025],MATCH("IFF-001",tblKurallar[kural_id],0)))*IF($C8=0,0,$D8/$C8))-1),iff_yuvarMax),0))</f>
        <v/>
      </c>
      <c r="L8" s="29" t="n">
        <v>72000</v>
      </c>
    </row>
    <row r="9">
      <c r="A9" s="37" t="inlineStr">
        <is>
          <t>Sadece işçilik ağır</t>
        </is>
      </c>
      <c r="B9" s="40" t="n">
        <v>5000000</v>
      </c>
      <c r="C9" s="39" t="n">
        <v>100</v>
      </c>
      <c r="D9" s="39" t="n">
        <v>115</v>
      </c>
      <c r="E9" s="41" t="n">
        <v>0.7</v>
      </c>
      <c r="F9" s="41" t="n">
        <v>0.2</v>
      </c>
      <c r="G9" s="41" t="n">
        <v>0.1</v>
      </c>
      <c r="H9" s="40" t="n">
        <v>1200000</v>
      </c>
      <c r="I9" s="38">
        <f>IF($A9="","",IFERROR(ROUND($H9*((INDEX(tblKurallar[deger_2025],MATCH("IFF-001",tblKurallar[kural_id],0))+(1-INDEX(tblKurallar[deger_2025],MATCH("IFF-001",tblKurallar[kural_id],0)))*IF($C9=0,0,$D9/$C9))-1),iff_yuvarMax),0))</f>
        <v/>
      </c>
      <c r="L9" s="29" t="n">
        <v>162000</v>
      </c>
    </row>
    <row r="10">
      <c r="A10" s="37" t="inlineStr">
        <is>
          <t>Sıfır fark</t>
        </is>
      </c>
      <c r="B10" s="40" t="n">
        <v>3000000</v>
      </c>
      <c r="C10" s="39" t="n">
        <v>100</v>
      </c>
      <c r="D10" s="39" t="n">
        <v>100</v>
      </c>
      <c r="E10" s="41" t="n">
        <v>0.4</v>
      </c>
      <c r="F10" s="41" t="n">
        <v>0.4</v>
      </c>
      <c r="G10" s="41" t="n">
        <v>0.2</v>
      </c>
      <c r="H10" s="40" t="n">
        <v>500000</v>
      </c>
      <c r="I10" s="38">
        <f>IF($A10="","",IFERROR(ROUND($H10*((INDEX(tblKurallar[deger_2025],MATCH("IFF-001",tblKurallar[kural_id],0))+(1-INDEX(tblKurallar[deger_2025],MATCH("IFF-001",tblKurallar[kural_id],0)))*IF($C10=0,0,$D10/$C10))-1),iff_yuvarMax),0))</f>
        <v/>
      </c>
      <c r="L10" s="29" t="n">
        <v>0</v>
      </c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8">
        <f>IF($A11="","",IFERROR(ROUND($H11*((INDEX(tblKurallar[deger_2025],MATCH("IFF-001",tblKurallar[kural_id],0))+(1-INDEX(tblKurallar[deger_2025],MATCH("IFF-001",tblKurallar[kural_id],0)))*IF($C11=0,0,$D11/$C11))-1),iff_yuvarMax),0))</f>
        <v/>
      </c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8">
        <f>IF($A12="","",IFERROR(ROUND($H12*((INDEX(tblKurallar[deger_2025],MATCH("IFF-001",tblKurallar[kural_id],0))+(1-INDEX(tblKurallar[deger_2025],MATCH("IFF-001",tblKurallar[kural_id],0)))*IF($C12=0,0,$D12/$C12))-1),iff_yuvarMax),0))</f>
        <v/>
      </c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8">
        <f>IF($A13="","",IFERROR(ROUND($H13*((INDEX(tblKurallar[deger_2025],MATCH("IFF-001",tblKurallar[kural_id],0))+(1-INDEX(tblKurallar[deger_2025],MATCH("IFF-001",tblKurallar[kural_id],0)))*IF($C13=0,0,$D13/$C13))-1),iff_yuvarMax),0))</f>
        <v/>
      </c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8">
        <f>IF($A14="","",IFERROR(ROUND($H14*((INDEX(tblKurallar[deger_2025],MATCH("IFF-001",tblKurallar[kural_id],0))+(1-INDEX(tblKurallar[deger_2025],MATCH("IFF-001",tblKurallar[kural_id],0)))*IF($C14=0,0,$D14/$C14))-1),iff_yuvarMax),0))</f>
        <v/>
      </c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8">
        <f>IF($A15="","",IFERROR(ROUND($H15*((INDEX(tblKurallar[deger_2025],MATCH("IFF-001",tblKurallar[kural_id],0))+(1-INDEX(tblKurallar[deger_2025],MATCH("IFF-001",tblKurallar[kural_id],0)))*IF($C15=0,0,$D15/$C15))-1),iff_yuvarMax),0))</f>
        <v/>
      </c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8">
        <f>IF($A16="","",IFERROR(ROUND($H16*((INDEX(tblKurallar[deger_2025],MATCH("IFF-001",tblKurallar[kural_id],0))+(1-INDEX(tblKurallar[deger_2025],MATCH("IFF-001",tblKurallar[kural_id],0)))*IF($C16=0,0,$D16/$C16))-1),iff_yuvarMax),0))</f>
        <v/>
      </c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8">
        <f>IF($A17="","",IFERROR(ROUND($H17*((INDEX(tblKurallar[deger_2025],MATCH("IFF-001",tblKurallar[kural_id],0))+(1-INDEX(tblKurallar[deger_2025],MATCH("IFF-001",tblKurallar[kural_id],0)))*IF($C17=0,0,$D17/$C17))-1),iff_yuvarMax),0))</f>
        <v/>
      </c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8">
        <f>IF($A18="","",IFERROR(ROUND($H18*((INDEX(tblKurallar[deger_2025],MATCH("IFF-001",tblKurallar[kural_id],0))+(1-INDEX(tblKurallar[deger_2025],MATCH("IFF-001",tblKurallar[kural_id],0)))*IF($C18=0,0,$D18/$C18))-1),iff_yuvarMax),0))</f>
        <v/>
      </c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8">
        <f>IF($A19="","",IFERROR(ROUND($H19*((INDEX(tblKurallar[deger_2025],MATCH("IFF-001",tblKurallar[kural_id],0))+(1-INDEX(tblKurallar[deger_2025],MATCH("IFF-001",tblKurallar[kural_id],0)))*IF($C19=0,0,$D19/$C19))-1),iff_yuvarMax),0))</f>
        <v/>
      </c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8">
        <f>IF($A20="","",IFERROR(ROUND($H20*((INDEX(tblKurallar[deger_2025],MATCH("IFF-001",tblKurallar[kural_id],0))+(1-INDEX(tblKurallar[deger_2025],MATCH("IFF-001",tblKurallar[kural_id],0)))*IF($C20=0,0,$D20/$C20))-1),iff_yuvarMax),0))</f>
        <v/>
      </c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8">
        <f>IF($A21="","",IFERROR(ROUND($H21*((INDEX(tblKurallar[deger_2025],MATCH("IFF-001",tblKurallar[kural_id],0))+(1-INDEX(tblKurallar[deger_2025],MATCH("IFF-001",tblKurallar[kural_id],0)))*IF($C21=0,0,$D21/$C21))-1),iff_yuvarMax),0))</f>
        <v/>
      </c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8">
        <f>IF($A22="","",IFERROR(ROUND($H22*((INDEX(tblKurallar[deger_2025],MATCH("IFF-001",tblKurallar[kural_id],0))+(1-INDEX(tblKurallar[deger_2025],MATCH("IFF-001",tblKurallar[kural_id],0)))*IF($C22=0,0,$D22/$C22))-1),iff_yuvarMax),0))</f>
        <v/>
      </c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8">
        <f>IF($A23="","",IFERROR(ROUND($H23*((INDEX(tblKurallar[deger_2025],MATCH("IFF-001",tblKurallar[kural_id],0))+(1-INDEX(tblKurallar[deger_2025],MATCH("IFF-001",tblKurallar[kural_id],0)))*IF($C23=0,0,$D23/$C23))-1),iff_yuvarMax),0))</f>
        <v/>
      </c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8">
        <f>IF($A24="","",IFERROR(ROUND($H24*((INDEX(tblKurallar[deger_2025],MATCH("IFF-001",tblKurallar[kural_id],0))+(1-INDEX(tblKurallar[deger_2025],MATCH("IFF-001",tblKurallar[kural_id],0)))*IF($C24=0,0,$D24/$C24))-1),iff_yuvarMax),0))</f>
        <v/>
      </c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8">
        <f>IF($A25="","",IFERROR(ROUND($H25*((INDEX(tblKurallar[deger_2025],MATCH("IFF-001",tblKurallar[kural_id],0))+(1-INDEX(tblKurallar[deger_2025],MATCH("IFF-001",tblKurallar[kural_id],0)))*IF($C25=0,0,$D25/$C25))-1),iff_yuvarMax),0))</f>
        <v/>
      </c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8">
        <f>IF($A26="","",IFERROR(ROUND($H26*((INDEX(tblKurallar[deger_2025],MATCH("IFF-001",tblKurallar[kural_id],0))+(1-INDEX(tblKurallar[deger_2025],MATCH("IFF-001",tblKurallar[kural_id],0)))*IF($C26=0,0,$D26/$C26))-1),iff_yuvarMax),0))</f>
        <v/>
      </c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8">
        <f>IF($A27="","",IFERROR(ROUND($H27*((INDEX(tblKurallar[deger_2025],MATCH("IFF-001",tblKurallar[kural_id],0))+(1-INDEX(tblKurallar[deger_2025],MATCH("IFF-001",tblKurallar[kural_id],0)))*IF($C27=0,0,$D27/$C27))-1),iff_yuvarMax),0))</f>
        <v/>
      </c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8">
        <f>IF($A28="","",IFERROR(ROUND($H28*((INDEX(tblKurallar[deger_2025],MATCH("IFF-001",tblKurallar[kural_id],0))+(1-INDEX(tblKurallar[deger_2025],MATCH("IFF-001",tblKurallar[kural_id],0)))*IF($C28=0,0,$D28/$C28))-1),iff_yuvarMax),0))</f>
        <v/>
      </c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8">
        <f>IF($A29="","",IFERROR(ROUND($H29*((INDEX(tblKurallar[deger_2025],MATCH("IFF-001",tblKurallar[kural_id],0))+(1-INDEX(tblKurallar[deger_2025],MATCH("IFF-001",tblKurallar[kural_id],0)))*IF($C29=0,0,$D29/$C29))-1),iff_yuvarMax),0))</f>
        <v/>
      </c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8">
        <f>IF($A30="","",IFERROR(ROUND($H30*((INDEX(tblKurallar[deger_2025],MATCH("IFF-001",tblKurallar[kural_id],0))+(1-INDEX(tblKurallar[deger_2025],MATCH("IFF-001",tblKurallar[kural_id],0)))*IF($C30=0,0,$D30/$C30))-1),iff_yuvarMax),0))</f>
        <v/>
      </c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8">
        <f>IF($A31="","",IFERROR(ROUND($H31*((INDEX(tblKurallar[deger_2025],MATCH("IFF-001",tblKurallar[kural_id],0))+(1-INDEX(tblKurallar[deger_2025],MATCH("IFF-001",tblKurallar[kural_id],0)))*IF($C31=0,0,$D31/$C31))-1),iff_yuvarMax),0))</f>
        <v/>
      </c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8">
        <f>IF($A32="","",IFERROR(ROUND($H32*((INDEX(tblKurallar[deger_2025],MATCH("IFF-001",tblKurallar[kural_id],0))+(1-INDEX(tblKurallar[deger_2025],MATCH("IFF-001",tblKurallar[kural_id],0)))*IF($C32=0,0,$D32/$C32))-1),iff_yuvarMax),0))</f>
        <v/>
      </c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8">
        <f>IF($A33="","",IFERROR(ROUND($H33*((INDEX(tblKurallar[deger_2025],MATCH("IFF-001",tblKurallar[kural_id],0))+(1-INDEX(tblKurallar[deger_2025],MATCH("IFF-001",tblKurallar[kural_id],0)))*IF($C33=0,0,$D33/$C33))-1),iff_yuvarMax),0))</f>
        <v/>
      </c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8">
        <f>IF($A34="","",IFERROR(ROUND($H34*((INDEX(tblKurallar[deger_2025],MATCH("IFF-001",tblKurallar[kural_id],0))+(1-INDEX(tblKurallar[deger_2025],MATCH("IFF-001",tblKurallar[kural_id],0)))*IF($C34=0,0,$D34/$C34))-1),iff_yuvarMax),0))</f>
        <v/>
      </c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8">
        <f>IF($A35="","",IFERROR(ROUND($H35*((INDEX(tblKurallar[deger_2025],MATCH("IFF-001",tblKurallar[kural_id],0))+(1-INDEX(tblKurallar[deger_2025],MATCH("IFF-001",tblKurallar[kural_id],0)))*IF($C35=0,0,$D35/$C35))-1),iff_yuvarMax),0))</f>
        <v/>
      </c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8">
        <f>IF($A36="","",IFERROR(ROUND($H36*((INDEX(tblKurallar[deger_2025],MATCH("IFF-001",tblKurallar[kural_id],0))+(1-INDEX(tblKurallar[deger_2025],MATCH("IFF-001",tblKurallar[kural_id],0)))*IF($C36=0,0,$D36/$C36))-1),iff_yuvarMax),0))</f>
        <v/>
      </c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8">
        <f>IF($A37="","",IFERROR(ROUND($H37*((INDEX(tblKurallar[deger_2025],MATCH("IFF-001",tblKurallar[kural_id],0))+(1-INDEX(tblKurallar[deger_2025],MATCH("IFF-001",tblKurallar[kural_id],0)))*IF($C37=0,0,$D37/$C37))-1),iff_yuvarMax),0))</f>
        <v/>
      </c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8">
        <f>IF($A38="","",IFERROR(ROUND($H38*((INDEX(tblKurallar[deger_2025],MATCH("IFF-001",tblKurallar[kural_id],0))+(1-INDEX(tblKurallar[deger_2025],MATCH("IFF-001",tblKurallar[kural_id],0)))*IF($C38=0,0,$D38/$C38))-1),iff_yuvarMax),0))</f>
        <v/>
      </c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8">
        <f>IF($A39="","",IFERROR(ROUND($H39*((INDEX(tblKurallar[deger_2025],MATCH("IFF-001",tblKurallar[kural_id],0))+(1-INDEX(tblKurallar[deger_2025],MATCH("IFF-001",tblKurallar[kural_id],0)))*IF($C39=0,0,$D39/$C39))-1),iff_yuvarMax),0))</f>
        <v/>
      </c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8">
        <f>IF($A40="","",IFERROR(ROUND($H40*((INDEX(tblKurallar[deger_2025],MATCH("IFF-001",tblKurallar[kural_id],0))+(1-INDEX(tblKurallar[deger_2025],MATCH("IFF-001",tblKurallar[kural_id],0)))*IF($C40=0,0,$D40/$C40))-1),iff_yuvarMax),0))</f>
        <v/>
      </c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8">
        <f>IF($A41="","",IFERROR(ROUND($H41*((INDEX(tblKurallar[deger_2025],MATCH("IFF-001",tblKurallar[kural_id],0))+(1-INDEX(tblKurallar[deger_2025],MATCH("IFF-001",tblKurallar[kural_id],0)))*IF($C41=0,0,$D41/$C41))-1),iff_yuvarMax),0))</f>
        <v/>
      </c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8">
        <f>IF($A42="","",IFERROR(ROUND($H42*((INDEX(tblKurallar[deger_2025],MATCH("IFF-001",tblKurallar[kural_id],0))+(1-INDEX(tblKurallar[deger_2025],MATCH("IFF-001",tblKurallar[kural_id],0)))*IF($C42=0,0,$D42/$C42))-1),iff_yuvarMax),0))</f>
        <v/>
      </c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8">
        <f>IF($A43="","",IFERROR(ROUND($H43*((INDEX(tblKurallar[deger_2025],MATCH("IFF-001",tblKurallar[kural_id],0))+(1-INDEX(tblKurallar[deger_2025],MATCH("IFF-001",tblKurallar[kural_id],0)))*IF($C43=0,0,$D43/$C43))-1),iff_yuvarMax),0))</f>
        <v/>
      </c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8">
        <f>IF($A44="","",IFERROR(ROUND($H44*((INDEX(tblKurallar[deger_2025],MATCH("IFF-001",tblKurallar[kural_id],0))+(1-INDEX(tblKurallar[deger_2025],MATCH("IFF-001",tblKurallar[kural_id],0)))*IF($C44=0,0,$D44/$C44))-1),iff_yuvarMax),0))</f>
        <v/>
      </c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8">
        <f>IF($A45="","",IFERROR(ROUND($H45*((INDEX(tblKurallar[deger_2025],MATCH("IFF-001",tblKurallar[kural_id],0))+(1-INDEX(tblKurallar[deger_2025],MATCH("IFF-001",tblKurallar[kural_id],0)))*IF($C45=0,0,$D45/$C45))-1),iff_yuvarMax),0))</f>
        <v/>
      </c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8">
        <f>IF($A46="","",IFERROR(ROUND($H46*((INDEX(tblKurallar[deger_2025],MATCH("IFF-001",tblKurallar[kural_id],0))+(1-INDEX(tblKurallar[deger_2025],MATCH("IFF-001",tblKurallar[kural_id],0)))*IF($C46=0,0,$D46/$C46))-1),iff_yuvarMax),0))</f>
        <v/>
      </c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8">
        <f>IF($A47="","",IFERROR(ROUND($H47*((INDEX(tblKurallar[deger_2025],MATCH("IFF-001",tblKurallar[kural_id],0))+(1-INDEX(tblKurallar[deger_2025],MATCH("IFF-001",tblKurallar[kural_id],0)))*IF($C47=0,0,$D47/$C47))-1),iff_yuvarMax),0))</f>
        <v/>
      </c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8">
        <f>IF($A48="","",IFERROR(ROUND($H48*((INDEX(tblKurallar[deger_2025],MATCH("IFF-001",tblKurallar[kural_id],0))+(1-INDEX(tblKurallar[deger_2025],MATCH("IFF-001",tblKurallar[kural_id],0)))*IF($C48=0,0,$D48/$C48))-1),iff_yuvarMax),0))</f>
        <v/>
      </c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8">
        <f>IF($A49="","",IFERROR(ROUND($H49*((INDEX(tblKurallar[deger_2025],MATCH("IFF-001",tblKurallar[kural_id],0))+(1-INDEX(tblKurallar[deger_2025],MATCH("IFF-001",tblKurallar[kural_id],0)))*IF($C49=0,0,$D49/$C49))-1),iff_yuvarMax),0))</f>
        <v/>
      </c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8">
        <f>IF($A50="","",IFERROR(ROUND($H50*((INDEX(tblKurallar[deger_2025],MATCH("IFF-001",tblKurallar[kural_id],0))+(1-INDEX(tblKurallar[deger_2025],MATCH("IFF-001",tblKurallar[kural_id],0)))*IF($C50=0,0,$D50/$C50))-1),iff_yuvarMax),0))</f>
        <v/>
      </c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8">
        <f>IF($A51="","",IFERROR(ROUND($H51*((INDEX(tblKurallar[deger_2025],MATCH("IFF-001",tblKurallar[kural_id],0))+(1-INDEX(tblKurallar[deger_2025],MATCH("IFF-001",tblKurallar[kural_id],0)))*IF($C51=0,0,$D51/$C51))-1),iff_yuvarMax),0))</f>
        <v/>
      </c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8">
        <f>IF($A52="","",IFERROR(ROUND($H52*((INDEX(tblKurallar[deger_2025],MATCH("IFF-001",tblKurallar[kural_id],0))+(1-INDEX(tblKurallar[deger_2025],MATCH("IFF-001",tblKurallar[kural_id],0)))*IF($C52=0,0,$D52/$C52))-1),iff_yuvarMax),0))</f>
        <v/>
      </c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8">
        <f>IF($A53="","",IFERROR(ROUND($H53*((INDEX(tblKurallar[deger_2025],MATCH("IFF-001",tblKurallar[kural_id],0))+(1-INDEX(tblKurallar[deger_2025],MATCH("IFF-001",tblKurallar[kural_id],0)))*IF($C53=0,0,$D53/$C53))-1),iff_yuvarMax),0))</f>
        <v/>
      </c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8">
        <f>IF($A54="","",IFERROR(ROUND($H54*((INDEX(tblKurallar[deger_2025],MATCH("IFF-001",tblKurallar[kural_id],0))+(1-INDEX(tblKurallar[deger_2025],MATCH("IFF-001",tblKurallar[kural_id],0)))*IF($C54=0,0,$D54/$C54))-1),iff_yuvarMax),0))</f>
        <v/>
      </c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8">
        <f>IF($A55="","",IFERROR(ROUND($H55*((INDEX(tblKurallar[deger_2025],MATCH("IFF-001",tblKurallar[kural_id],0))+(1-INDEX(tblKurallar[deger_2025],MATCH("IFF-001",tblKurallar[kural_id],0)))*IF($C55=0,0,$D55/$C55))-1),iff_yuvarMax),0))</f>
        <v/>
      </c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8">
        <f>IF($A56="","",IFERROR(ROUND($H56*((INDEX(tblKurallar[deger_2025],MATCH("IFF-001",tblKurallar[kural_id],0))+(1-INDEX(tblKurallar[deger_2025],MATCH("IFF-001",tblKurallar[kural_id],0)))*IF($C56=0,0,$D56/$C56))-1),iff_yuvarMax),0))</f>
        <v/>
      </c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8">
        <f>IF($A57="","",IFERROR(ROUND($H57*((INDEX(tblKurallar[deger_2025],MATCH("IFF-001",tblKurallar[kural_id],0))+(1-INDEX(tblKurallar[deger_2025],MATCH("IFF-001",tblKurallar[kural_id],0)))*IF($C57=0,0,$D57/$C57))-1),iff_yuvarMax),0))</f>
        <v/>
      </c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8">
        <f>IF($A58="","",IFERROR(ROUND($H58*((INDEX(tblKurallar[deger_2025],MATCH("IFF-001",tblKurallar[kural_id],0))+(1-INDEX(tblKurallar[deger_2025],MATCH("IFF-001",tblKurallar[kural_id],0)))*IF($C58=0,0,$D58/$C58))-1),iff_yuvarMax),0))</f>
        <v/>
      </c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8">
        <f>IF($A59="","",IFERROR(ROUND($H59*((INDEX(tblKurallar[deger_2025],MATCH("IFF-001",tblKurallar[kural_id],0))+(1-INDEX(tblKurallar[deger_2025],MATCH("IFF-001",tblKurallar[kural_id],0)))*IF($C59=0,0,$D59/$C59))-1),iff_yuvarMax),0))</f>
        <v/>
      </c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8">
        <f>IF($A60="","",IFERROR(ROUND($H60*((INDEX(tblKurallar[deger_2025],MATCH("IFF-001",tblKurallar[kural_id],0))+(1-INDEX(tblKurallar[deger_2025],MATCH("IFF-001",tblKurallar[kural_id],0)))*IF($C60=0,0,$D60/$C60))-1),iff_yuvarMax),0))</f>
        <v/>
      </c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8">
        <f>IF($A61="","",IFERROR(ROUND($H61*((INDEX(tblKurallar[deger_2025],MATCH("IFF-001",tblKurallar[kural_id],0))+(1-INDEX(tblKurallar[deger_2025],MATCH("IFF-001",tblKurallar[kural_id],0)))*IF($C61=0,0,$D61/$C61))-1),iff_yuvarMax),0))</f>
        <v/>
      </c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8">
        <f>IF($A62="","",IFERROR(ROUND($H62*((INDEX(tblKurallar[deger_2025],MATCH("IFF-001",tblKurallar[kural_id],0))+(1-INDEX(tblKurallar[deger_2025],MATCH("IFF-001",tblKurallar[kural_id],0)))*IF($C62=0,0,$D62/$C62))-1),iff_yuvarMax),0))</f>
        <v/>
      </c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8">
        <f>IF($A63="","",IFERROR(ROUND($H63*((INDEX(tblKurallar[deger_2025],MATCH("IFF-001",tblKurallar[kural_id],0))+(1-INDEX(tblKurallar[deger_2025],MATCH("IFF-001",tblKurallar[kural_id],0)))*IF($C63=0,0,$D63/$C63))-1),iff_yuvarMax),0))</f>
        <v/>
      </c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8">
        <f>IF($A64="","",IFERROR(ROUND($H64*((INDEX(tblKurallar[deger_2025],MATCH("IFF-001",tblKurallar[kural_id],0))+(1-INDEX(tblKurallar[deger_2025],MATCH("IFF-001",tblKurallar[kural_id],0)))*IF($C64=0,0,$D64/$C64))-1),iff_yuvarMax),0))</f>
        <v/>
      </c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8">
        <f>IF($A65="","",IFERROR(ROUND($H65*((INDEX(tblKurallar[deger_2025],MATCH("IFF-001",tblKurallar[kural_id],0))+(1-INDEX(tblKurallar[deger_2025],MATCH("IFF-001",tblKurallar[kural_id],0)))*IF($C65=0,0,$D65/$C65))-1),iff_yuvarMax),0))</f>
        <v/>
      </c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8">
        <f>IF($A66="","",IFERROR(ROUND($H66*((INDEX(tblKurallar[deger_2025],MATCH("IFF-001",tblKurallar[kural_id],0))+(1-INDEX(tblKurallar[deger_2025],MATCH("IFF-001",tblKurallar[kural_id],0)))*IF($C66=0,0,$D66/$C66))-1),iff_yuvarMax),0))</f>
        <v/>
      </c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8">
        <f>IF($A67="","",IFERROR(ROUND($H67*((INDEX(tblKurallar[deger_2025],MATCH("IFF-001",tblKurallar[kural_id],0))+(1-INDEX(tblKurallar[deger_2025],MATCH("IFF-001",tblKurallar[kural_id],0)))*IF($C67=0,0,$D67/$C67))-1),iff_yuvarMax),0))</f>
        <v/>
      </c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8">
        <f>IF($A68="","",IFERROR(ROUND($H68*((INDEX(tblKurallar[deger_2025],MATCH("IFF-001",tblKurallar[kural_id],0))+(1-INDEX(tblKurallar[deger_2025],MATCH("IFF-001",tblKurallar[kural_id],0)))*IF($C68=0,0,$D68/$C68))-1),iff_yuvarMax),0))</f>
        <v/>
      </c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8">
        <f>IF($A69="","",IFERROR(ROUND($H69*((INDEX(tblKurallar[deger_2025],MATCH("IFF-001",tblKurallar[kural_id],0))+(1-INDEX(tblKurallar[deger_2025],MATCH("IFF-001",tblKurallar[kural_id],0)))*IF($C69=0,0,$D69/$C69))-1),iff_yuvarMax),0))</f>
        <v/>
      </c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8">
        <f>IF($A70="","",IFERROR(ROUND($H70*((INDEX(tblKurallar[deger_2025],MATCH("IFF-001",tblKurallar[kural_id],0))+(1-INDEX(tblKurallar[deger_2025],MATCH("IFF-001",tblKurallar[kural_id],0)))*IF($C70=0,0,$D70/$C70))-1),iff_yuvarMax),0))</f>
        <v/>
      </c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8">
        <f>IF($A71="","",IFERROR(ROUND($H71*((INDEX(tblKurallar[deger_2025],MATCH("IFF-001",tblKurallar[kural_id],0))+(1-INDEX(tblKurallar[deger_2025],MATCH("IFF-001",tblKurallar[kural_id],0)))*IF($C71=0,0,$D71/$C71))-1),iff_yuvarMax),0))</f>
        <v/>
      </c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8">
        <f>IF($A72="","",IFERROR(ROUND($H72*((INDEX(tblKurallar[deger_2025],MATCH("IFF-001",tblKurallar[kural_id],0))+(1-INDEX(tblKurallar[deger_2025],MATCH("IFF-001",tblKurallar[kural_id],0)))*IF($C72=0,0,$D72/$C72))-1),iff_yuvarMax),0))</f>
        <v/>
      </c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8">
        <f>IF($A73="","",IFERROR(ROUND($H73*((INDEX(tblKurallar[deger_2025],MATCH("IFF-001",tblKurallar[kural_id],0))+(1-INDEX(tblKurallar[deger_2025],MATCH("IFF-001",tblKurallar[kural_id],0)))*IF($C73=0,0,$D73/$C73))-1),iff_yuvarMax),0))</f>
        <v/>
      </c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8">
        <f>IF($A74="","",IFERROR(ROUND($H74*((INDEX(tblKurallar[deger_2025],MATCH("IFF-001",tblKurallar[kural_id],0))+(1-INDEX(tblKurallar[deger_2025],MATCH("IFF-001",tblKurallar[kural_id],0)))*IF($C74=0,0,$D74/$C74))-1),iff_yuvarMax),0))</f>
        <v/>
      </c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8">
        <f>IF($A75="","",IFERROR(ROUND($H75*((INDEX(tblKurallar[deger_2025],MATCH("IFF-001",tblKurallar[kural_id],0))+(1-INDEX(tblKurallar[deger_2025],MATCH("IFF-001",tblKurallar[kural_id],0)))*IF($C75=0,0,$D75/$C75))-1),iff_yuvarMax),0))</f>
        <v/>
      </c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8">
        <f>IF($A76="","",IFERROR(ROUND($H76*((INDEX(tblKurallar[deger_2025],MATCH("IFF-001",tblKurallar[kural_id],0))+(1-INDEX(tblKurallar[deger_2025],MATCH("IFF-001",tblKurallar[kural_id],0)))*IF($C76=0,0,$D76/$C76))-1),iff_yuvarMax),0))</f>
        <v/>
      </c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8">
        <f>IF($A77="","",IFERROR(ROUND($H77*((INDEX(tblKurallar[deger_2025],MATCH("IFF-001",tblKurallar[kural_id],0))+(1-INDEX(tblKurallar[deger_2025],MATCH("IFF-001",tblKurallar[kural_id],0)))*IF($C77=0,0,$D77/$C77))-1),iff_yuvarMax),0))</f>
        <v/>
      </c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8">
        <f>IF($A78="","",IFERROR(ROUND($H78*((INDEX(tblKurallar[deger_2025],MATCH("IFF-001",tblKurallar[kural_id],0))+(1-INDEX(tblKurallar[deger_2025],MATCH("IFF-001",tblKurallar[kural_id],0)))*IF($C78=0,0,$D78/$C78))-1),iff_yuvarMax),0))</f>
        <v/>
      </c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8">
        <f>IF($A79="","",IFERROR(ROUND($H79*((INDEX(tblKurallar[deger_2025],MATCH("IFF-001",tblKurallar[kural_id],0))+(1-INDEX(tblKurallar[deger_2025],MATCH("IFF-001",tblKurallar[kural_id],0)))*IF($C79=0,0,$D79/$C79))-1),iff_yuvarMax),0))</f>
        <v/>
      </c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8">
        <f>IF($A80="","",IFERROR(ROUND($H80*((INDEX(tblKurallar[deger_2025],MATCH("IFF-001",tblKurallar[kural_id],0))+(1-INDEX(tblKurallar[deger_2025],MATCH("IFF-001",tblKurallar[kural_id],0)))*IF($C80=0,0,$D80/$C80))-1),iff_yuvarMax),0))</f>
        <v/>
      </c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8">
        <f>IF($A81="","",IFERROR(ROUND($H81*((INDEX(tblKurallar[deger_2025],MATCH("IFF-001",tblKurallar[kural_id],0))+(1-INDEX(tblKurallar[deger_2025],MATCH("IFF-001",tblKurallar[kural_id],0)))*IF($C81=0,0,$D81/$C81))-1),iff_yuvarMax),0))</f>
        <v/>
      </c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8">
        <f>IF($A82="","",IFERROR(ROUND($H82*((INDEX(tblKurallar[deger_2025],MATCH("IFF-001",tblKurallar[kural_id],0))+(1-INDEX(tblKurallar[deger_2025],MATCH("IFF-001",tblKurallar[kural_id],0)))*IF($C82=0,0,$D82/$C82))-1),iff_yuvarMax),0))</f>
        <v/>
      </c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8">
        <f>IF($A83="","",IFERROR(ROUND($H83*((INDEX(tblKurallar[deger_2025],MATCH("IFF-001",tblKurallar[kural_id],0))+(1-INDEX(tblKurallar[deger_2025],MATCH("IFF-001",tblKurallar[kural_id],0)))*IF($C83=0,0,$D83/$C83))-1),iff_yuvarMax),0))</f>
        <v/>
      </c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8">
        <f>IF($A84="","",IFERROR(ROUND($H84*((INDEX(tblKurallar[deger_2025],MATCH("IFF-001",tblKurallar[kural_id],0))+(1-INDEX(tblKurallar[deger_2025],MATCH("IFF-001",tblKurallar[kural_id],0)))*IF($C84=0,0,$D84/$C84))-1),iff_yuvarMax),0))</f>
        <v/>
      </c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8">
        <f>IF($A85="","",IFERROR(ROUND($H85*((INDEX(tblKurallar[deger_2025],MATCH("IFF-001",tblKurallar[kural_id],0))+(1-INDEX(tblKurallar[deger_2025],MATCH("IFF-001",tblKurallar[kural_id],0)))*IF($C85=0,0,$D85/$C85))-1),iff_yuvarMax),0))</f>
        <v/>
      </c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8">
        <f>IF($A86="","",IFERROR(ROUND($H86*((INDEX(tblKurallar[deger_2025],MATCH("IFF-001",tblKurallar[kural_id],0))+(1-INDEX(tblKurallar[deger_2025],MATCH("IFF-001",tblKurallar[kural_id],0)))*IF($C86=0,0,$D86/$C86))-1),iff_yuvarMax),0))</f>
        <v/>
      </c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8">
        <f>IF($A87="","",IFERROR(ROUND($H87*((INDEX(tblKurallar[deger_2025],MATCH("IFF-001",tblKurallar[kural_id],0))+(1-INDEX(tblKurallar[deger_2025],MATCH("IFF-001",tblKurallar[kural_id],0)))*IF($C87=0,0,$D87/$C87))-1),iff_yuvarMax),0))</f>
        <v/>
      </c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8">
        <f>IF($A88="","",IFERROR(ROUND($H88*((INDEX(tblKurallar[deger_2025],MATCH("IFF-001",tblKurallar[kural_id],0))+(1-INDEX(tblKurallar[deger_2025],MATCH("IFF-001",tblKurallar[kural_id],0)))*IF($C88=0,0,$D88/$C88))-1),iff_yuvarMax),0))</f>
        <v/>
      </c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8">
        <f>IF($A89="","",IFERROR(ROUND($H89*((INDEX(tblKurallar[deger_2025],MATCH("IFF-001",tblKurallar[kural_id],0))+(1-INDEX(tblKurallar[deger_2025],MATCH("IFF-001",tblKurallar[kural_id],0)))*IF($C89=0,0,$D89/$C89))-1),iff_yuvarMax),0))</f>
        <v/>
      </c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8">
        <f>IF($A90="","",IFERROR(ROUND($H90*((INDEX(tblKurallar[deger_2025],MATCH("IFF-001",tblKurallar[kural_id],0))+(1-INDEX(tblKurallar[deger_2025],MATCH("IFF-001",tblKurallar[kural_id],0)))*IF($C90=0,0,$D90/$C90))-1),iff_yuvarMax),0))</f>
        <v/>
      </c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8">
        <f>IF($A91="","",IFERROR(ROUND($H91*((INDEX(tblKurallar[deger_2025],MATCH("IFF-001",tblKurallar[kural_id],0))+(1-INDEX(tblKurallar[deger_2025],MATCH("IFF-001",tblKurallar[kural_id],0)))*IF($C91=0,0,$D91/$C91))-1),iff_yuvarMax),0))</f>
        <v/>
      </c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8">
        <f>IF($A92="","",IFERROR(ROUND($H92*((INDEX(tblKurallar[deger_2025],MATCH("IFF-001",tblKurallar[kural_id],0))+(1-INDEX(tblKurallar[deger_2025],MATCH("IFF-001",tblKurallar[kural_id],0)))*IF($C92=0,0,$D92/$C92))-1),iff_yuvarMax),0))</f>
        <v/>
      </c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8">
        <f>IF($A93="","",IFERROR(ROUND($H93*((INDEX(tblKurallar[deger_2025],MATCH("IFF-001",tblKurallar[kural_id],0))+(1-INDEX(tblKurallar[deger_2025],MATCH("IFF-001",tblKurallar[kural_id],0)))*IF($C93=0,0,$D93/$C93))-1),iff_yuvarMax),0))</f>
        <v/>
      </c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8">
        <f>IF($A94="","",IFERROR(ROUND($H94*((INDEX(tblKurallar[deger_2025],MATCH("IFF-001",tblKurallar[kural_id],0))+(1-INDEX(tblKurallar[deger_2025],MATCH("IFF-001",tblKurallar[kural_id],0)))*IF($C94=0,0,$D94/$C94))-1),iff_yuvarMax),0))</f>
        <v/>
      </c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8">
        <f>IF($A95="","",IFERROR(ROUND($H95*((INDEX(tblKurallar[deger_2025],MATCH("IFF-001",tblKurallar[kural_id],0))+(1-INDEX(tblKurallar[deger_2025],MATCH("IFF-001",tblKurallar[kural_id],0)))*IF($C95=0,0,$D95/$C95))-1),iff_yuvarMax),0))</f>
        <v/>
      </c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8">
        <f>IF($A96="","",IFERROR(ROUND($H96*((INDEX(tblKurallar[deger_2025],MATCH("IFF-001",tblKurallar[kural_id],0))+(1-INDEX(tblKurallar[deger_2025],MATCH("IFF-001",tblKurallar[kural_id],0)))*IF($C96=0,0,$D96/$C96))-1),iff_yuvarMax),0))</f>
        <v/>
      </c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8">
        <f>IF($A97="","",IFERROR(ROUND($H97*((INDEX(tblKurallar[deger_2025],MATCH("IFF-001",tblKurallar[kural_id],0))+(1-INDEX(tblKurallar[deger_2025],MATCH("IFF-001",tblKurallar[kural_id],0)))*IF($C97=0,0,$D97/$C97))-1),iff_yuvarMax),0))</f>
        <v/>
      </c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8">
        <f>IF($A98="","",IFERROR(ROUND($H98*((INDEX(tblKurallar[deger_2025],MATCH("IFF-001",tblKurallar[kural_id],0))+(1-INDEX(tblKurallar[deger_2025],MATCH("IFF-001",tblKurallar[kural_id],0)))*IF($C98=0,0,$D98/$C98))-1),iff_yuvarMax),0))</f>
        <v/>
      </c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8">
        <f>IF($A99="","",IFERROR(ROUND($H99*((INDEX(tblKurallar[deger_2025],MATCH("IFF-001",tblKurallar[kural_id],0))+(1-INDEX(tblKurallar[deger_2025],MATCH("IFF-001",tblKurallar[kural_id],0)))*IF($C99=0,0,$D99/$C99))-1),iff_yuvarMax),0))</f>
        <v/>
      </c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8">
        <f>IF($A100="","",IFERROR(ROUND($H100*((INDEX(tblKurallar[deger_2025],MATCH("IFF-001",tblKurallar[kural_id],0))+(1-INDEX(tblKurallar[deger_2025],MATCH("IFF-001",tblKurallar[kural_id],0)))*IF($C100=0,0,$D100/$C100))-1),iff_yuvarMax),0))</f>
        <v/>
      </c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8">
        <f>IF($A101="","",IFERROR(ROUND($H101*((INDEX(tblKurallar[deger_2025],MATCH("IFF-001",tblKurallar[kural_id],0))+(1-INDEX(tblKurallar[deger_2025],MATCH("IFF-001",tblKurallar[kural_id],0)))*IF($C101=0,0,$D101/$C101))-1),iff_yuvarMax),0))</f>
        <v/>
      </c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8">
        <f>IF($A102="","",IFERROR(ROUND($H102*((INDEX(tblKurallar[deger_2025],MATCH("IFF-001",tblKurallar[kural_id],0))+(1-INDEX(tblKurallar[deger_2025],MATCH("IFF-001",tblKurallar[kural_id],0)))*IF($C102=0,0,$D102/$C102))-1),iff_yuvarMax),0))</f>
        <v/>
      </c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8">
        <f>IF($A103="","",IFERROR(ROUND($H103*((INDEX(tblKurallar[deger_2025],MATCH("IFF-001",tblKurallar[kural_id],0))+(1-INDEX(tblKurallar[deger_2025],MATCH("IFF-001",tblKurallar[kural_id],0)))*IF($C103=0,0,$D103/$C103))-1),iff_yuvarMax),0))</f>
        <v/>
      </c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8">
        <f>IF($A104="","",IFERROR(ROUND($H104*((INDEX(tblKurallar[deger_2025],MATCH("IFF-001",tblKurallar[kural_id],0))+(1-INDEX(tblKurallar[deger_2025],MATCH("IFF-001",tblKurallar[kural_id],0)))*IF($C104=0,0,$D104/$C104))-1),iff_yuvarMax),0))</f>
        <v/>
      </c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8">
        <f>IF($A105="","",IFERROR(ROUND($H105*((INDEX(tblKurallar[deger_2025],MATCH("IFF-001",tblKurallar[kural_id],0))+(1-INDEX(tblKurallar[deger_2025],MATCH("IFF-001",tblKurallar[kural_id],0)))*IF($C105=0,0,$D105/$C105))-1),iff_yuvarMax),0))</f>
        <v/>
      </c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8">
        <f>IF($A106="","",IFERROR(ROUND($H106*((INDEX(tblKurallar[deger_2025],MATCH("IFF-001",tblKurallar[kural_id],0))+(1-INDEX(tblKurallar[deger_2025],MATCH("IFF-001",tblKurallar[kural_id],0)))*IF($C106=0,0,$D106/$C106))-1),iff_yuvarMax),0))</f>
        <v/>
      </c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8">
        <f>IF($A107="","",IFERROR(ROUND($H107*((INDEX(tblKurallar[deger_2025],MATCH("IFF-001",tblKurallar[kural_id],0))+(1-INDEX(tblKurallar[deger_2025],MATCH("IFF-001",tblKurallar[kural_id],0)))*IF($C107=0,0,$D107/$C107))-1),iff_yuvarMax),0))</f>
        <v/>
      </c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8">
        <f>IF($A108="","",IFERROR(ROUND($H108*((INDEX(tblKurallar[deger_2025],MATCH("IFF-001",tblKurallar[kural_id],0))+(1-INDEX(tblKurallar[deger_2025],MATCH("IFF-001",tblKurallar[kural_id],0)))*IF($C108=0,0,$D108/$C108))-1),iff_yuvarMax),0))</f>
        <v/>
      </c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8">
        <f>IF($A109="","",IFERROR(ROUND($H109*((INDEX(tblKurallar[deger_2025],MATCH("IFF-001",tblKurallar[kural_id],0))+(1-INDEX(tblKurallar[deger_2025],MATCH("IFF-001",tblKurallar[kural_id],0)))*IF($C109=0,0,$D109/$C109))-1),iff_yuvarMax),0))</f>
        <v/>
      </c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8">
        <f>IF($A110="","",IFERROR(ROUND($H110*((INDEX(tblKurallar[deger_2025],MATCH("IFF-001",tblKurallar[kural_id],0))+(1-INDEX(tblKurallar[deger_2025],MATCH("IFF-001",tblKurallar[kural_id],0)))*IF($C110=0,0,$D110/$C110))-1),iff_yuvarMax),0))</f>
        <v/>
      </c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8">
        <f>IF($A111="","",IFERROR(ROUND($H111*((INDEX(tblKurallar[deger_2025],MATCH("IFF-001",tblKurallar[kural_id],0))+(1-INDEX(tblKurallar[deger_2025],MATCH("IFF-001",tblKurallar[kural_id],0)))*IF($C111=0,0,$D111/$C111))-1),iff_yuvarMax),0))</f>
        <v/>
      </c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8">
        <f>IF($A112="","",IFERROR(ROUND($H112*((INDEX(tblKurallar[deger_2025],MATCH("IFF-001",tblKurallar[kural_id],0))+(1-INDEX(tblKurallar[deger_2025],MATCH("IFF-001",tblKurallar[kural_id],0)))*IF($C112=0,0,$D112/$C112))-1),iff_yuvarMax),0))</f>
        <v/>
      </c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8">
        <f>IF($A113="","",IFERROR(ROUND($H113*((INDEX(tblKurallar[deger_2025],MATCH("IFF-001",tblKurallar[kural_id],0))+(1-INDEX(tblKurallar[deger_2025],MATCH("IFF-001",tblKurallar[kural_id],0)))*IF($C113=0,0,$D113/$C113))-1),iff_yuvarMax),0))</f>
        <v/>
      </c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8">
        <f>IF($A114="","",IFERROR(ROUND($H114*((INDEX(tblKurallar[deger_2025],MATCH("IFF-001",tblKurallar[kural_id],0))+(1-INDEX(tblKurallar[deger_2025],MATCH("IFF-001",tblKurallar[kural_id],0)))*IF($C114=0,0,$D114/$C114))-1),iff_yuvarMax),0))</f>
        <v/>
      </c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8">
        <f>IF($A115="","",IFERROR(ROUND($H115*((INDEX(tblKurallar[deger_2025],MATCH("IFF-001",tblKurallar[kural_id],0))+(1-INDEX(tblKurallar[deger_2025],MATCH("IFF-001",tblKurallar[kural_id],0)))*IF($C115=0,0,$D115/$C115))-1),iff_yuvarMax),0))</f>
        <v/>
      </c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8">
        <f>IF($A116="","",IFERROR(ROUND($H116*((INDEX(tblKurallar[deger_2025],MATCH("IFF-001",tblKurallar[kural_id],0))+(1-INDEX(tblKurallar[deger_2025],MATCH("IFF-001",tblKurallar[kural_id],0)))*IF($C116=0,0,$D116/$C116))-1),iff_yuvarMax),0))</f>
        <v/>
      </c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8">
        <f>IF($A117="","",IFERROR(ROUND($H117*((INDEX(tblKurallar[deger_2025],MATCH("IFF-001",tblKurallar[kural_id],0))+(1-INDEX(tblKurallar[deger_2025],MATCH("IFF-001",tblKurallar[kural_id],0)))*IF($C117=0,0,$D117/$C117))-1),iff_yuvarMax),0))</f>
        <v/>
      </c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8">
        <f>IF($A118="","",IFERROR(ROUND($H118*((INDEX(tblKurallar[deger_2025],MATCH("IFF-001",tblKurallar[kural_id],0))+(1-INDEX(tblKurallar[deger_2025],MATCH("IFF-001",tblKurallar[kural_id],0)))*IF($C118=0,0,$D118/$C118))-1),iff_yuvarMax),0))</f>
        <v/>
      </c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8">
        <f>IF($A119="","",IFERROR(ROUND($H119*((INDEX(tblKurallar[deger_2025],MATCH("IFF-001",tblKurallar[kural_id],0))+(1-INDEX(tblKurallar[deger_2025],MATCH("IFF-001",tblKurallar[kural_id],0)))*IF($C119=0,0,$D119/$C119))-1),iff_yuvarMax),0))</f>
        <v/>
      </c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8">
        <f>IF($A120="","",IFERROR(ROUND($H120*((INDEX(tblKurallar[deger_2025],MATCH("IFF-001",tblKurallar[kural_id],0))+(1-INDEX(tblKurallar[deger_2025],MATCH("IFF-001",tblKurallar[kural_id],0)))*IF($C120=0,0,$D120/$C120))-1),iff_yuvarMax),0))</f>
        <v/>
      </c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8">
        <f>IF($A121="","",IFERROR(ROUND($H121*((INDEX(tblKurallar[deger_2025],MATCH("IFF-001",tblKurallar[kural_id],0))+(1-INDEX(tblKurallar[deger_2025],MATCH("IFF-001",tblKurallar[kural_id],0)))*IF($C121=0,0,$D121/$C121))-1),iff_yuvarMax),0))</f>
        <v/>
      </c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8">
        <f>IF($A122="","",IFERROR(ROUND($H122*((INDEX(tblKurallar[deger_2025],MATCH("IFF-001",tblKurallar[kural_id],0))+(1-INDEX(tblKurallar[deger_2025],MATCH("IFF-001",tblKurallar[kural_id],0)))*IF($C122=0,0,$D122/$C122))-1),iff_yuvarMax),0))</f>
        <v/>
      </c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8">
        <f>IF($A123="","",IFERROR(ROUND($H123*((INDEX(tblKurallar[deger_2025],MATCH("IFF-001",tblKurallar[kural_id],0))+(1-INDEX(tblKurallar[deger_2025],MATCH("IFF-001",tblKurallar[kural_id],0)))*IF($C123=0,0,$D123/$C123))-1),iff_yuvarMax),0))</f>
        <v/>
      </c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8">
        <f>IF($A124="","",IFERROR(ROUND($H124*((INDEX(tblKurallar[deger_2025],MATCH("IFF-001",tblKurallar[kural_id],0))+(1-INDEX(tblKurallar[deger_2025],MATCH("IFF-001",tblKurallar[kural_id],0)))*IF($C124=0,0,$D124/$C124))-1),iff_yuvarMax),0))</f>
        <v/>
      </c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8">
        <f>IF($A125="","",IFERROR(ROUND($H125*((INDEX(tblKurallar[deger_2025],MATCH("IFF-001",tblKurallar[kural_id],0))+(1-INDEX(tblKurallar[deger_2025],MATCH("IFF-001",tblKurallar[kural_id],0)))*IF($C125=0,0,$D125/$C125))-1),iff_yuvarMax),0))</f>
        <v/>
      </c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8">
        <f>IF($A126="","",IFERROR(ROUND($H126*((INDEX(tblKurallar[deger_2025],MATCH("IFF-001",tblKurallar[kural_id],0))+(1-INDEX(tblKurallar[deger_2025],MATCH("IFF-001",tblKurallar[kural_id],0)))*IF($C126=0,0,$D126/$C126))-1),iff_yuvarMax),0))</f>
        <v/>
      </c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8">
        <f>IF($A127="","",IFERROR(ROUND($H127*((INDEX(tblKurallar[deger_2025],MATCH("IFF-001",tblKurallar[kural_id],0))+(1-INDEX(tblKurallar[deger_2025],MATCH("IFF-001",tblKurallar[kural_id],0)))*IF($C127=0,0,$D127/$C127))-1),iff_yuvarMax),0))</f>
        <v/>
      </c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8">
        <f>IF($A128="","",IFERROR(ROUND($H128*((INDEX(tblKurallar[deger_2025],MATCH("IFF-001",tblKurallar[kural_id],0))+(1-INDEX(tblKurallar[deger_2025],MATCH("IFF-001",tblKurallar[kural_id],0)))*IF($C128=0,0,$D128/$C128))-1),iff_yuvarMax),0))</f>
        <v/>
      </c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8">
        <f>IF($A129="","",IFERROR(ROUND($H129*((INDEX(tblKurallar[deger_2025],MATCH("IFF-001",tblKurallar[kural_id],0))+(1-INDEX(tblKurallar[deger_2025],MATCH("IFF-001",tblKurallar[kural_id],0)))*IF($C129=0,0,$D129/$C129))-1),iff_yuvarMax),0))</f>
        <v/>
      </c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8">
        <f>IF($A130="","",IFERROR(ROUND($H130*((INDEX(tblKurallar[deger_2025],MATCH("IFF-001",tblKurallar[kural_id],0))+(1-INDEX(tblKurallar[deger_2025],MATCH("IFF-001",tblKurallar[kural_id],0)))*IF($C130=0,0,$D130/$C130))-1),iff_yuvarMax),0))</f>
        <v/>
      </c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8">
        <f>IF($A131="","",IFERROR(ROUND($H131*((INDEX(tblKurallar[deger_2025],MATCH("IFF-001",tblKurallar[kural_id],0))+(1-INDEX(tblKurallar[deger_2025],MATCH("IFF-001",tblKurallar[kural_id],0)))*IF($C131=0,0,$D131/$C131))-1),iff_yuvarMax),0))</f>
        <v/>
      </c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8">
        <f>IF($A132="","",IFERROR(ROUND($H132*((INDEX(tblKurallar[deger_2025],MATCH("IFF-001",tblKurallar[kural_id],0))+(1-INDEX(tblKurallar[deger_2025],MATCH("IFF-001",tblKurallar[kural_id],0)))*IF($C132=0,0,$D132/$C132))-1),iff_yuvarMax),0))</f>
        <v/>
      </c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8">
        <f>IF($A133="","",IFERROR(ROUND($H133*((INDEX(tblKurallar[deger_2025],MATCH("IFF-001",tblKurallar[kural_id],0))+(1-INDEX(tblKurallar[deger_2025],MATCH("IFF-001",tblKurallar[kural_id],0)))*IF($C133=0,0,$D133/$C133))-1),iff_yuvarMax),0))</f>
        <v/>
      </c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8">
        <f>IF($A134="","",IFERROR(ROUND($H134*((INDEX(tblKurallar[deger_2025],MATCH("IFF-001",tblKurallar[kural_id],0))+(1-INDEX(tblKurallar[deger_2025],MATCH("IFF-001",tblKurallar[kural_id],0)))*IF($C134=0,0,$D134/$C134))-1),iff_yuvarMax),0))</f>
        <v/>
      </c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8">
        <f>IF($A135="","",IFERROR(ROUND($H135*((INDEX(tblKurallar[deger_2025],MATCH("IFF-001",tblKurallar[kural_id],0))+(1-INDEX(tblKurallar[deger_2025],MATCH("IFF-001",tblKurallar[kural_id],0)))*IF($C135=0,0,$D135/$C135))-1),iff_yuvarMax),0))</f>
        <v/>
      </c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8">
        <f>IF($A136="","",IFERROR(ROUND($H136*((INDEX(tblKurallar[deger_2025],MATCH("IFF-001",tblKurallar[kural_id],0))+(1-INDEX(tblKurallar[deger_2025],MATCH("IFF-001",tblKurallar[kural_id],0)))*IF($C136=0,0,$D136/$C136))-1),iff_yuvarMax),0))</f>
        <v/>
      </c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8">
        <f>IF($A137="","",IFERROR(ROUND($H137*((INDEX(tblKurallar[deger_2025],MATCH("IFF-001",tblKurallar[kural_id],0))+(1-INDEX(tblKurallar[deger_2025],MATCH("IFF-001",tblKurallar[kural_id],0)))*IF($C137=0,0,$D137/$C137))-1),iff_yuvarMax),0))</f>
        <v/>
      </c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8">
        <f>IF($A138="","",IFERROR(ROUND($H138*((INDEX(tblKurallar[deger_2025],MATCH("IFF-001",tblKurallar[kural_id],0))+(1-INDEX(tblKurallar[deger_2025],MATCH("IFF-001",tblKurallar[kural_id],0)))*IF($C138=0,0,$D138/$C138))-1),iff_yuvarMax),0))</f>
        <v/>
      </c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8">
        <f>IF($A139="","",IFERROR(ROUND($H139*((INDEX(tblKurallar[deger_2025],MATCH("IFF-001",tblKurallar[kural_id],0))+(1-INDEX(tblKurallar[deger_2025],MATCH("IFF-001",tblKurallar[kural_id],0)))*IF($C139=0,0,$D139/$C139))-1),iff_yuvarMax),0))</f>
        <v/>
      </c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8">
        <f>IF($A140="","",IFERROR(ROUND($H140*((INDEX(tblKurallar[deger_2025],MATCH("IFF-001",tblKurallar[kural_id],0))+(1-INDEX(tblKurallar[deger_2025],MATCH("IFF-001",tblKurallar[kural_id],0)))*IF($C140=0,0,$D140/$C140))-1),iff_yuvarMax),0))</f>
        <v/>
      </c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8">
        <f>IF($A141="","",IFERROR(ROUND($H141*((INDEX(tblKurallar[deger_2025],MATCH("IFF-001",tblKurallar[kural_id],0))+(1-INDEX(tblKurallar[deger_2025],MATCH("IFF-001",tblKurallar[kural_id],0)))*IF($C141=0,0,$D141/$C141))-1),iff_yuvarMax),0))</f>
        <v/>
      </c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8">
        <f>IF($A142="","",IFERROR(ROUND($H142*((INDEX(tblKurallar[deger_2025],MATCH("IFF-001",tblKurallar[kural_id],0))+(1-INDEX(tblKurallar[deger_2025],MATCH("IFF-001",tblKurallar[kural_id],0)))*IF($C142=0,0,$D142/$C142))-1),iff_yuvarMax),0))</f>
        <v/>
      </c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8">
        <f>IF($A143="","",IFERROR(ROUND($H143*((INDEX(tblKurallar[deger_2025],MATCH("IFF-001",tblKurallar[kural_id],0))+(1-INDEX(tblKurallar[deger_2025],MATCH("IFF-001",tblKurallar[kural_id],0)))*IF($C143=0,0,$D143/$C143))-1),iff_yuvarMax),0))</f>
        <v/>
      </c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8">
        <f>IF($A144="","",IFERROR(ROUND($H144*((INDEX(tblKurallar[deger_2025],MATCH("IFF-001",tblKurallar[kural_id],0))+(1-INDEX(tblKurallar[deger_2025],MATCH("IFF-001",tblKurallar[kural_id],0)))*IF($C144=0,0,$D144/$C144))-1),iff_yuvarMax),0))</f>
        <v/>
      </c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8">
        <f>IF($A145="","",IFERROR(ROUND($H145*((INDEX(tblKurallar[deger_2025],MATCH("IFF-001",tblKurallar[kural_id],0))+(1-INDEX(tblKurallar[deger_2025],MATCH("IFF-001",tblKurallar[kural_id],0)))*IF($C145=0,0,$D145/$C145))-1),iff_yuvarMax),0))</f>
        <v/>
      </c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8">
        <f>IF($A146="","",IFERROR(ROUND($H146*((INDEX(tblKurallar[deger_2025],MATCH("IFF-001",tblKurallar[kural_id],0))+(1-INDEX(tblKurallar[deger_2025],MATCH("IFF-001",tblKurallar[kural_id],0)))*IF($C146=0,0,$D146/$C146))-1),iff_yuvarMax),0))</f>
        <v/>
      </c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8">
        <f>IF($A147="","",IFERROR(ROUND($H147*((INDEX(tblKurallar[deger_2025],MATCH("IFF-001",tblKurallar[kural_id],0))+(1-INDEX(tblKurallar[deger_2025],MATCH("IFF-001",tblKurallar[kural_id],0)))*IF($C147=0,0,$D147/$C147))-1),iff_yuvarMax),0))</f>
        <v/>
      </c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8">
        <f>IF($A148="","",IFERROR(ROUND($H148*((INDEX(tblKurallar[deger_2025],MATCH("IFF-001",tblKurallar[kural_id],0))+(1-INDEX(tblKurallar[deger_2025],MATCH("IFF-001",tblKurallar[kural_id],0)))*IF($C148=0,0,$D148/$C148))-1),iff_yuvarMax),0))</f>
        <v/>
      </c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8">
        <f>IF($A149="","",IFERROR(ROUND($H149*((INDEX(tblKurallar[deger_2025],MATCH("IFF-001",tblKurallar[kural_id],0))+(1-INDEX(tblKurallar[deger_2025],MATCH("IFF-001",tblKurallar[kural_id],0)))*IF($C149=0,0,$D149/$C149))-1),iff_yuvarMax),0))</f>
        <v/>
      </c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8">
        <f>IF($A150="","",IFERROR(ROUND($H150*((INDEX(tblKurallar[deger_2025],MATCH("IFF-001",tblKurallar[kural_id],0))+(1-INDEX(tblKurallar[deger_2025],MATCH("IFF-001",tblKurallar[kural_id],0)))*IF($C150=0,0,$D150/$C150))-1),iff_yuvarMax),0))</f>
        <v/>
      </c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8">
        <f>IF($A151="","",IFERROR(ROUND($H151*((INDEX(tblKurallar[deger_2025],MATCH("IFF-001",tblKurallar[kural_id],0))+(1-INDEX(tblKurallar[deger_2025],MATCH("IFF-001",tblKurallar[kural_id],0)))*IF($C151=0,0,$D151/$C151))-1),iff_yuvarMax),0))</f>
        <v/>
      </c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8">
        <f>IF($A152="","",IFERROR(ROUND($H152*((INDEX(tblKurallar[deger_2025],MATCH("IFF-001",tblKurallar[kural_id],0))+(1-INDEX(tblKurallar[deger_2025],MATCH("IFF-001",tblKurallar[kural_id],0)))*IF($C152=0,0,$D152/$C152))-1),iff_yuvarMax),0))</f>
        <v/>
      </c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8">
        <f>IF($A153="","",IFERROR(ROUND($H153*((INDEX(tblKurallar[deger_2025],MATCH("IFF-001",tblKurallar[kural_id],0))+(1-INDEX(tblKurallar[deger_2025],MATCH("IFF-001",tblKurallar[kural_id],0)))*IF($C153=0,0,$D153/$C153))-1),iff_yuvarMax),0))</f>
        <v/>
      </c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8">
        <f>IF($A154="","",IFERROR(ROUND($H154*((INDEX(tblKurallar[deger_2025],MATCH("IFF-001",tblKurallar[kural_id],0))+(1-INDEX(tblKurallar[deger_2025],MATCH("IFF-001",tblKurallar[kural_id],0)))*IF($C154=0,0,$D154/$C154))-1),iff_yuvarMax),0))</f>
        <v/>
      </c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8">
        <f>IF($A155="","",IFERROR(ROUND($H155*((INDEX(tblKurallar[deger_2025],MATCH("IFF-001",tblKurallar[kural_id],0))+(1-INDEX(tblKurallar[deger_2025],MATCH("IFF-001",tblKurallar[kural_id],0)))*IF($C155=0,0,$D155/$C155))-1),iff_yuvarMax),0))</f>
        <v/>
      </c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8">
        <f>IF($A156="","",IFERROR(ROUND($H156*((INDEX(tblKurallar[deger_2025],MATCH("IFF-001",tblKurallar[kural_id],0))+(1-INDEX(tblKurallar[deger_2025],MATCH("IFF-001",tblKurallar[kural_id],0)))*IF($C156=0,0,$D156/$C156))-1),iff_yuvarMax),0))</f>
        <v/>
      </c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8">
        <f>IF($A157="","",IFERROR(ROUND($H157*((INDEX(tblKurallar[deger_2025],MATCH("IFF-001",tblKurallar[kural_id],0))+(1-INDEX(tblKurallar[deger_2025],MATCH("IFF-001",tblKurallar[kural_id],0)))*IF($C157=0,0,$D157/$C157))-1),iff_yuvarMax),0))</f>
        <v/>
      </c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8">
        <f>IF($A158="","",IFERROR(ROUND($H158*((INDEX(tblKurallar[deger_2025],MATCH("IFF-001",tblKurallar[kural_id],0))+(1-INDEX(tblKurallar[deger_2025],MATCH("IFF-001",tblKurallar[kural_id],0)))*IF($C158=0,0,$D158/$C158))-1),iff_yuvarMax),0))</f>
        <v/>
      </c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8">
        <f>IF($A159="","",IFERROR(ROUND($H159*((INDEX(tblKurallar[deger_2025],MATCH("IFF-001",tblKurallar[kural_id],0))+(1-INDEX(tblKurallar[deger_2025],MATCH("IFF-001",tblKurallar[kural_id],0)))*IF($C159=0,0,$D159/$C159))-1),iff_yuvarMax),0))</f>
        <v/>
      </c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8">
        <f>IF($A160="","",IFERROR(ROUND($H160*((INDEX(tblKurallar[deger_2025],MATCH("IFF-001",tblKurallar[kural_id],0))+(1-INDEX(tblKurallar[deger_2025],MATCH("IFF-001",tblKurallar[kural_id],0)))*IF($C160=0,0,$D160/$C160))-1),iff_yuvarMax),0))</f>
        <v/>
      </c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8">
        <f>IF($A161="","",IFERROR(ROUND($H161*((INDEX(tblKurallar[deger_2025],MATCH("IFF-001",tblKurallar[kural_id],0))+(1-INDEX(tblKurallar[deger_2025],MATCH("IFF-001",tblKurallar[kural_id],0)))*IF($C161=0,0,$D161/$C161))-1),iff_yuvarMax),0))</f>
        <v/>
      </c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8">
        <f>IF($A162="","",IFERROR(ROUND($H162*((INDEX(tblKurallar[deger_2025],MATCH("IFF-001",tblKurallar[kural_id],0))+(1-INDEX(tblKurallar[deger_2025],MATCH("IFF-001",tblKurallar[kural_id],0)))*IF($C162=0,0,$D162/$C162))-1),iff_yuvarMax),0))</f>
        <v/>
      </c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8">
        <f>IF($A163="","",IFERROR(ROUND($H163*((INDEX(tblKurallar[deger_2025],MATCH("IFF-001",tblKurallar[kural_id],0))+(1-INDEX(tblKurallar[deger_2025],MATCH("IFF-001",tblKurallar[kural_id],0)))*IF($C163=0,0,$D163/$C163))-1),iff_yuvarMax),0))</f>
        <v/>
      </c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8">
        <f>IF($A164="","",IFERROR(ROUND($H164*((INDEX(tblKurallar[deger_2025],MATCH("IFF-001",tblKurallar[kural_id],0))+(1-INDEX(tblKurallar[deger_2025],MATCH("IFF-001",tblKurallar[kural_id],0)))*IF($C164=0,0,$D164/$C164))-1),iff_yuvarMax),0))</f>
        <v/>
      </c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8">
        <f>IF($A165="","",IFERROR(ROUND($H165*((INDEX(tblKurallar[deger_2025],MATCH("IFF-001",tblKurallar[kural_id],0))+(1-INDEX(tblKurallar[deger_2025],MATCH("IFF-001",tblKurallar[kural_id],0)))*IF($C165=0,0,$D165/$C165))-1),iff_yuvarMax),0))</f>
        <v/>
      </c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8">
        <f>IF($A166="","",IFERROR(ROUND($H166*((INDEX(tblKurallar[deger_2025],MATCH("IFF-001",tblKurallar[kural_id],0))+(1-INDEX(tblKurallar[deger_2025],MATCH("IFF-001",tblKurallar[kural_id],0)))*IF($C166=0,0,$D166/$C166))-1),iff_yuvarMax),0))</f>
        <v/>
      </c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8">
        <f>IF($A167="","",IFERROR(ROUND($H167*((INDEX(tblKurallar[deger_2025],MATCH("IFF-001",tblKurallar[kural_id],0))+(1-INDEX(tblKurallar[deger_2025],MATCH("IFF-001",tblKurallar[kural_id],0)))*IF($C167=0,0,$D167/$C167))-1),iff_yuvarMax),0))</f>
        <v/>
      </c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8">
        <f>IF($A168="","",IFERROR(ROUND($H168*((INDEX(tblKurallar[deger_2025],MATCH("IFF-001",tblKurallar[kural_id],0))+(1-INDEX(tblKurallar[deger_2025],MATCH("IFF-001",tblKurallar[kural_id],0)))*IF($C168=0,0,$D168/$C168))-1),iff_yuvarMax),0))</f>
        <v/>
      </c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8">
        <f>IF($A169="","",IFERROR(ROUND($H169*((INDEX(tblKurallar[deger_2025],MATCH("IFF-001",tblKurallar[kural_id],0))+(1-INDEX(tblKurallar[deger_2025],MATCH("IFF-001",tblKurallar[kural_id],0)))*IF($C169=0,0,$D169/$C169))-1),iff_yuvarMax),0))</f>
        <v/>
      </c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8">
        <f>IF($A170="","",IFERROR(ROUND($H170*((INDEX(tblKurallar[deger_2025],MATCH("IFF-001",tblKurallar[kural_id],0))+(1-INDEX(tblKurallar[deger_2025],MATCH("IFF-001",tblKurallar[kural_id],0)))*IF($C170=0,0,$D170/$C170))-1),iff_yuvarMax),0))</f>
        <v/>
      </c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8">
        <f>IF($A171="","",IFERROR(ROUND($H171*((INDEX(tblKurallar[deger_2025],MATCH("IFF-001",tblKurallar[kural_id],0))+(1-INDEX(tblKurallar[deger_2025],MATCH("IFF-001",tblKurallar[kural_id],0)))*IF($C171=0,0,$D171/$C171))-1),iff_yuvarMax),0))</f>
        <v/>
      </c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8">
        <f>IF($A172="","",IFERROR(ROUND($H172*((INDEX(tblKurallar[deger_2025],MATCH("IFF-001",tblKurallar[kural_id],0))+(1-INDEX(tblKurallar[deger_2025],MATCH("IFF-001",tblKurallar[kural_id],0)))*IF($C172=0,0,$D172/$C172))-1),iff_yuvarMax),0))</f>
        <v/>
      </c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8">
        <f>IF($A173="","",IFERROR(ROUND($H173*((INDEX(tblKurallar[deger_2025],MATCH("IFF-001",tblKurallar[kural_id],0))+(1-INDEX(tblKurallar[deger_2025],MATCH("IFF-001",tblKurallar[kural_id],0)))*IF($C173=0,0,$D173/$C173))-1),iff_yuvarMax),0))</f>
        <v/>
      </c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8">
        <f>IF($A174="","",IFERROR(ROUND($H174*((INDEX(tblKurallar[deger_2025],MATCH("IFF-001",tblKurallar[kural_id],0))+(1-INDEX(tblKurallar[deger_2025],MATCH("IFF-001",tblKurallar[kural_id],0)))*IF($C174=0,0,$D174/$C174))-1),iff_yuvarMax),0))</f>
        <v/>
      </c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8">
        <f>IF($A175="","",IFERROR(ROUND($H175*((INDEX(tblKurallar[deger_2025],MATCH("IFF-001",tblKurallar[kural_id],0))+(1-INDEX(tblKurallar[deger_2025],MATCH("IFF-001",tblKurallar[kural_id],0)))*IF($C175=0,0,$D175/$C175))-1),iff_yuvarMax),0))</f>
        <v/>
      </c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8">
        <f>IF($A176="","",IFERROR(ROUND($H176*((INDEX(tblKurallar[deger_2025],MATCH("IFF-001",tblKurallar[kural_id],0))+(1-INDEX(tblKurallar[deger_2025],MATCH("IFF-001",tblKurallar[kural_id],0)))*IF($C176=0,0,$D176/$C176))-1),iff_yuvarMax),0))</f>
        <v/>
      </c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8">
        <f>IF($A177="","",IFERROR(ROUND($H177*((INDEX(tblKurallar[deger_2025],MATCH("IFF-001",tblKurallar[kural_id],0))+(1-INDEX(tblKurallar[deger_2025],MATCH("IFF-001",tblKurallar[kural_id],0)))*IF($C177=0,0,$D177/$C177))-1),iff_yuvarMax),0))</f>
        <v/>
      </c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8">
        <f>IF($A178="","",IFERROR(ROUND($H178*((INDEX(tblKurallar[deger_2025],MATCH("IFF-001",tblKurallar[kural_id],0))+(1-INDEX(tblKurallar[deger_2025],MATCH("IFF-001",tblKurallar[kural_id],0)))*IF($C178=0,0,$D178/$C178))-1),iff_yuvarMax),0))</f>
        <v/>
      </c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8">
        <f>IF($A179="","",IFERROR(ROUND($H179*((INDEX(tblKurallar[deger_2025],MATCH("IFF-001",tblKurallar[kural_id],0))+(1-INDEX(tblKurallar[deger_2025],MATCH("IFF-001",tblKurallar[kural_id],0)))*IF($C179=0,0,$D179/$C179))-1),iff_yuvarMax),0))</f>
        <v/>
      </c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8">
        <f>IF($A180="","",IFERROR(ROUND($H180*((INDEX(tblKurallar[deger_2025],MATCH("IFF-001",tblKurallar[kural_id],0))+(1-INDEX(tblKurallar[deger_2025],MATCH("IFF-001",tblKurallar[kural_id],0)))*IF($C180=0,0,$D180/$C180))-1),iff_yuvarMax),0))</f>
        <v/>
      </c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8">
        <f>IF($A181="","",IFERROR(ROUND($H181*((INDEX(tblKurallar[deger_2025],MATCH("IFF-001",tblKurallar[kural_id],0))+(1-INDEX(tblKurallar[deger_2025],MATCH("IFF-001",tblKurallar[kural_id],0)))*IF($C181=0,0,$D181/$C181))-1),iff_yuvarMax),0))</f>
        <v/>
      </c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8">
        <f>IF($A182="","",IFERROR(ROUND($H182*((INDEX(tblKurallar[deger_2025],MATCH("IFF-001",tblKurallar[kural_id],0))+(1-INDEX(tblKurallar[deger_2025],MATCH("IFF-001",tblKurallar[kural_id],0)))*IF($C182=0,0,$D182/$C182))-1),iff_yuvarMax),0))</f>
        <v/>
      </c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8">
        <f>IF($A183="","",IFERROR(ROUND($H183*((INDEX(tblKurallar[deger_2025],MATCH("IFF-001",tblKurallar[kural_id],0))+(1-INDEX(tblKurallar[deger_2025],MATCH("IFF-001",tblKurallar[kural_id],0)))*IF($C183=0,0,$D183/$C183))-1),iff_yuvarMax),0))</f>
        <v/>
      </c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8">
        <f>IF($A184="","",IFERROR(ROUND($H184*((INDEX(tblKurallar[deger_2025],MATCH("IFF-001",tblKurallar[kural_id],0))+(1-INDEX(tblKurallar[deger_2025],MATCH("IFF-001",tblKurallar[kural_id],0)))*IF($C184=0,0,$D184/$C184))-1),iff_yuvarMax),0))</f>
        <v/>
      </c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8">
        <f>IF($A185="","",IFERROR(ROUND($H185*((INDEX(tblKurallar[deger_2025],MATCH("IFF-001",tblKurallar[kural_id],0))+(1-INDEX(tblKurallar[deger_2025],MATCH("IFF-001",tblKurallar[kural_id],0)))*IF($C185=0,0,$D185/$C185))-1),iff_yuvarMax),0))</f>
        <v/>
      </c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8">
        <f>IF($A186="","",IFERROR(ROUND($H186*((INDEX(tblKurallar[deger_2025],MATCH("IFF-001",tblKurallar[kural_id],0))+(1-INDEX(tblKurallar[deger_2025],MATCH("IFF-001",tblKurallar[kural_id],0)))*IF($C186=0,0,$D186/$C186))-1),iff_yuvarMax),0))</f>
        <v/>
      </c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8">
        <f>IF($A187="","",IFERROR(ROUND($H187*((INDEX(tblKurallar[deger_2025],MATCH("IFF-001",tblKurallar[kural_id],0))+(1-INDEX(tblKurallar[deger_2025],MATCH("IFF-001",tblKurallar[kural_id],0)))*IF($C187=0,0,$D187/$C187))-1),iff_yuvarMax),0))</f>
        <v/>
      </c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8">
        <f>IF($A188="","",IFERROR(ROUND($H188*((INDEX(tblKurallar[deger_2025],MATCH("IFF-001",tblKurallar[kural_id],0))+(1-INDEX(tblKurallar[deger_2025],MATCH("IFF-001",tblKurallar[kural_id],0)))*IF($C188=0,0,$D188/$C188))-1),iff_yuvarMax),0))</f>
        <v/>
      </c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8">
        <f>IF($A189="","",IFERROR(ROUND($H189*((INDEX(tblKurallar[deger_2025],MATCH("IFF-001",tblKurallar[kural_id],0))+(1-INDEX(tblKurallar[deger_2025],MATCH("IFF-001",tblKurallar[kural_id],0)))*IF($C189=0,0,$D189/$C189))-1),iff_yuvarMax),0))</f>
        <v/>
      </c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8">
        <f>IF($A190="","",IFERROR(ROUND($H190*((INDEX(tblKurallar[deger_2025],MATCH("IFF-001",tblKurallar[kural_id],0))+(1-INDEX(tblKurallar[deger_2025],MATCH("IFF-001",tblKurallar[kural_id],0)))*IF($C190=0,0,$D190/$C190))-1),iff_yuvarMax),0))</f>
        <v/>
      </c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8">
        <f>IF($A191="","",IFERROR(ROUND($H191*((INDEX(tblKurallar[deger_2025],MATCH("IFF-001",tblKurallar[kural_id],0))+(1-INDEX(tblKurallar[deger_2025],MATCH("IFF-001",tblKurallar[kural_id],0)))*IF($C191=0,0,$D191/$C191))-1),iff_yuvarMax),0))</f>
        <v/>
      </c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8">
        <f>IF($A192="","",IFERROR(ROUND($H192*((INDEX(tblKurallar[deger_2025],MATCH("IFF-001",tblKurallar[kural_id],0))+(1-INDEX(tblKurallar[deger_2025],MATCH("IFF-001",tblKurallar[kural_id],0)))*IF($C192=0,0,$D192/$C192))-1),iff_yuvarMax),0))</f>
        <v/>
      </c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8">
        <f>IF($A193="","",IFERROR(ROUND($H193*((INDEX(tblKurallar[deger_2025],MATCH("IFF-001",tblKurallar[kural_id],0))+(1-INDEX(tblKurallar[deger_2025],MATCH("IFF-001",tblKurallar[kural_id],0)))*IF($C193=0,0,$D193/$C193))-1),iff_yuvarMax),0))</f>
        <v/>
      </c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8">
        <f>IF($A194="","",IFERROR(ROUND($H194*((INDEX(tblKurallar[deger_2025],MATCH("IFF-001",tblKurallar[kural_id],0))+(1-INDEX(tblKurallar[deger_2025],MATCH("IFF-001",tblKurallar[kural_id],0)))*IF($C194=0,0,$D194/$C194))-1),iff_yuvarMax),0))</f>
        <v/>
      </c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8">
        <f>IF($A195="","",IFERROR(ROUND($H195*((INDEX(tblKurallar[deger_2025],MATCH("IFF-001",tblKurallar[kural_id],0))+(1-INDEX(tblKurallar[deger_2025],MATCH("IFF-001",tblKurallar[kural_id],0)))*IF($C195=0,0,$D195/$C195))-1),iff_yuvarMax),0))</f>
        <v/>
      </c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8">
        <f>IF($A196="","",IFERROR(ROUND($H196*((INDEX(tblKurallar[deger_2025],MATCH("IFF-001",tblKurallar[kural_id],0))+(1-INDEX(tblKurallar[deger_2025],MATCH("IFF-001",tblKurallar[kural_id],0)))*IF($C196=0,0,$D196/$C196))-1),iff_yuvarMax),0))</f>
        <v/>
      </c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8">
        <f>IF($A197="","",IFERROR(ROUND($H197*((INDEX(tblKurallar[deger_2025],MATCH("IFF-001",tblKurallar[kural_id],0))+(1-INDEX(tblKurallar[deger_2025],MATCH("IFF-001",tblKurallar[kural_id],0)))*IF($C197=0,0,$D197/$C197))-1),iff_yuvarMax),0))</f>
        <v/>
      </c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8">
        <f>IF($A198="","",IFERROR(ROUND($H198*((INDEX(tblKurallar[deger_2025],MATCH("IFF-001",tblKurallar[kural_id],0))+(1-INDEX(tblKurallar[deger_2025],MATCH("IFF-001",tblKurallar[kural_id],0)))*IF($C198=0,0,$D198/$C198))-1),iff_yuvarMax),0))</f>
        <v/>
      </c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8">
        <f>IF($A199="","",IFERROR(ROUND($H199*((INDEX(tblKurallar[deger_2025],MATCH("IFF-001",tblKurallar[kural_id],0))+(1-INDEX(tblKurallar[deger_2025],MATCH("IFF-001",tblKurallar[kural_id],0)))*IF($C199=0,0,$D199/$C199))-1),iff_yuvarMax),0))</f>
        <v/>
      </c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8">
        <f>IF($A200="","",IFERROR(ROUND($H200*((INDEX(tblKurallar[deger_2025],MATCH("IFF-001",tblKurallar[kural_id],0))+(1-INDEX(tblKurallar[deger_2025],MATCH("IFF-001",tblKurallar[kural_id],0)))*IF($C200=0,0,$D200/$C200))-1),iff_yuvarMax),0))</f>
        <v/>
      </c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8">
        <f>IF($A201="","",IFERROR(ROUND($H201*((INDEX(tblKurallar[deger_2025],MATCH("IFF-001",tblKurallar[kural_id],0))+(1-INDEX(tblKurallar[deger_2025],MATCH("IFF-001",tblKurallar[kural_id],0)))*IF($C201=0,0,$D201/$C201))-1),iff_yuvarMax),0))</f>
        <v/>
      </c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8">
        <f>IF($A202="","",IFERROR(ROUND($H202*((INDEX(tblKurallar[deger_2025],MATCH("IFF-001",tblKurallar[kural_id],0))+(1-INDEX(tblKurallar[deger_2025],MATCH("IFF-001",tblKurallar[kural_id],0)))*IF($C202=0,0,$D202/$C202))-1),iff_yuvarMax),0))</f>
        <v/>
      </c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8">
        <f>IF($A203="","",IFERROR(ROUND($H203*((INDEX(tblKurallar[deger_2025],MATCH("IFF-001",tblKurallar[kural_id],0))+(1-INDEX(tblKurallar[deger_2025],MATCH("IFF-001",tblKurallar[kural_id],0)))*IF($C203=0,0,$D203/$C203))-1),iff_yuvarMax),0))</f>
        <v/>
      </c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8">
        <f>IF($A204="","",IFERROR(ROUND($H204*((INDEX(tblKurallar[deger_2025],MATCH("IFF-001",tblKurallar[kural_id],0))+(1-INDEX(tblKurallar[deger_2025],MATCH("IFF-001",tblKurallar[kural_id],0)))*IF($C204=0,0,$D204/$C204))-1),iff_yuvarMax),0))</f>
        <v/>
      </c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8">
        <f>IF($A205="","",IFERROR(ROUND($H205*((INDEX(tblKurallar[deger_2025],MATCH("IFF-001",tblKurallar[kural_id],0))+(1-INDEX(tblKurallar[deger_2025],MATCH("IFF-001",tblKurallar[kural_id],0)))*IF($C205=0,0,$D205/$C205))-1),iff_yuvarMax),0))</f>
        <v/>
      </c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8">
        <f>IF($A206="","",IFERROR(ROUND($H206*((INDEX(tblKurallar[deger_2025],MATCH("IFF-001",tblKurallar[kural_id],0))+(1-INDEX(tblKurallar[deger_2025],MATCH("IFF-001",tblKurallar[kural_id],0)))*IF($C206=0,0,$D206/$C206))-1),iff_yuvarMax),0))</f>
        <v/>
      </c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8">
        <f>IF($A207="","",IFERROR(ROUND($H207*((INDEX(tblKurallar[deger_2025],MATCH("IFF-001",tblKurallar[kural_id],0))+(1-INDEX(tblKurallar[deger_2025],MATCH("IFF-001",tblKurallar[kural_id],0)))*IF($C207=0,0,$D207/$C207))-1),iff_yuvarMax),0))</f>
        <v/>
      </c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8">
        <f>IF($A208="","",IFERROR(ROUND($H208*((INDEX(tblKurallar[deger_2025],MATCH("IFF-001",tblKurallar[kural_id],0))+(1-INDEX(tblKurallar[deger_2025],MATCH("IFF-001",tblKurallar[kural_id],0)))*IF($C208=0,0,$D208/$C208))-1),iff_yuvarMax),0))</f>
        <v/>
      </c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8">
        <f>IF($A209="","",IFERROR(ROUND($H209*((INDEX(tblKurallar[deger_2025],MATCH("IFF-001",tblKurallar[kural_id],0))+(1-INDEX(tblKurallar[deger_2025],MATCH("IFF-001",tblKurallar[kural_id],0)))*IF($C209=0,0,$D209/$C209))-1),iff_yuvarMax),0))</f>
        <v/>
      </c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8">
        <f>IF($A210="","",IFERROR(ROUND($H210*((INDEX(tblKurallar[deger_2025],MATCH("IFF-001",tblKurallar[kural_id],0))+(1-INDEX(tblKurallar[deger_2025],MATCH("IFF-001",tblKurallar[kural_id],0)))*IF($C210=0,0,$D210/$C210))-1),iff_yuvarMax),0))</f>
        <v/>
      </c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8">
        <f>IF($A211="","",IFERROR(ROUND($H211*((INDEX(tblKurallar[deger_2025],MATCH("IFF-001",tblKurallar[kural_id],0))+(1-INDEX(tblKurallar[deger_2025],MATCH("IFF-001",tblKurallar[kural_id],0)))*IF($C211=0,0,$D211/$C211))-1),iff_yuvarMax),0))</f>
        <v/>
      </c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8">
        <f>IF($A212="","",IFERROR(ROUND($H212*((INDEX(tblKurallar[deger_2025],MATCH("IFF-001",tblKurallar[kural_id],0))+(1-INDEX(tblKurallar[deger_2025],MATCH("IFF-001",tblKurallar[kural_id],0)))*IF($C212=0,0,$D212/$C212))-1),iff_yuvarMax),0))</f>
        <v/>
      </c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8">
        <f>IF($A213="","",IFERROR(ROUND($H213*((INDEX(tblKurallar[deger_2025],MATCH("IFF-001",tblKurallar[kural_id],0))+(1-INDEX(tblKurallar[deger_2025],MATCH("IFF-001",tblKurallar[kural_id],0)))*IF($C213=0,0,$D213/$C213))-1),iff_yuvarMax),0))</f>
        <v/>
      </c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8">
        <f>IF($A214="","",IFERROR(ROUND($H214*((INDEX(tblKurallar[deger_2025],MATCH("IFF-001",tblKurallar[kural_id],0))+(1-INDEX(tblKurallar[deger_2025],MATCH("IFF-001",tblKurallar[kural_id],0)))*IF($C214=0,0,$D214/$C214))-1),iff_yuvarMax),0))</f>
        <v/>
      </c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8">
        <f>IF($A215="","",IFERROR(ROUND($H215*((INDEX(tblKurallar[deger_2025],MATCH("IFF-001",tblKurallar[kural_id],0))+(1-INDEX(tblKurallar[deger_2025],MATCH("IFF-001",tblKurallar[kural_id],0)))*IF($C215=0,0,$D215/$C215))-1),iff_yuvarMax),0))</f>
        <v/>
      </c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8">
        <f>IF($A216="","",IFERROR(ROUND($H216*((INDEX(tblKurallar[deger_2025],MATCH("IFF-001",tblKurallar[kural_id],0))+(1-INDEX(tblKurallar[deger_2025],MATCH("IFF-001",tblKurallar[kural_id],0)))*IF($C216=0,0,$D216/$C216))-1),iff_yuvarMax),0))</f>
        <v/>
      </c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8">
        <f>IF($A217="","",IFERROR(ROUND($H217*((INDEX(tblKurallar[deger_2025],MATCH("IFF-001",tblKurallar[kural_id],0))+(1-INDEX(tblKurallar[deger_2025],MATCH("IFF-001",tblKurallar[kural_id],0)))*IF($C217=0,0,$D217/$C217))-1),iff_yuvarMax),0))</f>
        <v/>
      </c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8">
        <f>IF($A218="","",IFERROR(ROUND($H218*((INDEX(tblKurallar[deger_2025],MATCH("IFF-001",tblKurallar[kural_id],0))+(1-INDEX(tblKurallar[deger_2025],MATCH("IFF-001",tblKurallar[kural_id],0)))*IF($C218=0,0,$D218/$C218))-1),iff_yuvarMax),0))</f>
        <v/>
      </c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8">
        <f>IF($A219="","",IFERROR(ROUND($H219*((INDEX(tblKurallar[deger_2025],MATCH("IFF-001",tblKurallar[kural_id],0))+(1-INDEX(tblKurallar[deger_2025],MATCH("IFF-001",tblKurallar[kural_id],0)))*IF($C219=0,0,$D219/$C219))-1),iff_yuvarMax),0))</f>
        <v/>
      </c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8">
        <f>IF($A220="","",IFERROR(ROUND($H220*((INDEX(tblKurallar[deger_2025],MATCH("IFF-001",tblKurallar[kural_id],0))+(1-INDEX(tblKurallar[deger_2025],MATCH("IFF-001",tblKurallar[kural_id],0)))*IF($C220=0,0,$D220/$C220))-1),iff_yuvarMax),0))</f>
        <v/>
      </c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8">
        <f>IF($A221="","",IFERROR(ROUND($H221*((INDEX(tblKurallar[deger_2025],MATCH("IFF-001",tblKurallar[kural_id],0))+(1-INDEX(tblKurallar[deger_2025],MATCH("IFF-001",tblKurallar[kural_id],0)))*IF($C221=0,0,$D221/$C221))-1),iff_yuvarMax),0))</f>
        <v/>
      </c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8">
        <f>IF($A222="","",IFERROR(ROUND($H222*((INDEX(tblKurallar[deger_2025],MATCH("IFF-001",tblKurallar[kural_id],0))+(1-INDEX(tblKurallar[deger_2025],MATCH("IFF-001",tblKurallar[kural_id],0)))*IF($C222=0,0,$D222/$C222))-1),iff_yuvarMax),0))</f>
        <v/>
      </c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8">
        <f>IF($A223="","",IFERROR(ROUND($H223*((INDEX(tblKurallar[deger_2025],MATCH("IFF-001",tblKurallar[kural_id],0))+(1-INDEX(tblKurallar[deger_2025],MATCH("IFF-001",tblKurallar[kural_id],0)))*IF($C223=0,0,$D223/$C223))-1),iff_yuvarMax),0))</f>
        <v/>
      </c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8">
        <f>IF($A224="","",IFERROR(ROUND($H224*((INDEX(tblKurallar[deger_2025],MATCH("IFF-001",tblKurallar[kural_id],0))+(1-INDEX(tblKurallar[deger_2025],MATCH("IFF-001",tblKurallar[kural_id],0)))*IF($C224=0,0,$D224/$C224))-1),iff_yuvarMax),0))</f>
        <v/>
      </c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8">
        <f>IF($A225="","",IFERROR(ROUND($H225*((INDEX(tblKurallar[deger_2025],MATCH("IFF-001",tblKurallar[kural_id],0))+(1-INDEX(tblKurallar[deger_2025],MATCH("IFF-001",tblKurallar[kural_id],0)))*IF($C225=0,0,$D225/$C225))-1),iff_yuvarMax),0))</f>
        <v/>
      </c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8">
        <f>IF($A226="","",IFERROR(ROUND($H226*((INDEX(tblKurallar[deger_2025],MATCH("IFF-001",tblKurallar[kural_id],0))+(1-INDEX(tblKurallar[deger_2025],MATCH("IFF-001",tblKurallar[kural_id],0)))*IF($C226=0,0,$D226/$C226))-1),iff_yuvarMax),0))</f>
        <v/>
      </c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8">
        <f>IF($A227="","",IFERROR(ROUND($H227*((INDEX(tblKurallar[deger_2025],MATCH("IFF-001",tblKurallar[kural_id],0))+(1-INDEX(tblKurallar[deger_2025],MATCH("IFF-001",tblKurallar[kural_id],0)))*IF($C227=0,0,$D227/$C227))-1),iff_yuvarMax),0))</f>
        <v/>
      </c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8">
        <f>IF($A228="","",IFERROR(ROUND($H228*((INDEX(tblKurallar[deger_2025],MATCH("IFF-001",tblKurallar[kural_id],0))+(1-INDEX(tblKurallar[deger_2025],MATCH("IFF-001",tblKurallar[kural_id],0)))*IF($C228=0,0,$D228/$C228))-1),iff_yuvarMax),0))</f>
        <v/>
      </c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8">
        <f>IF($A229="","",IFERROR(ROUND($H229*((INDEX(tblKurallar[deger_2025],MATCH("IFF-001",tblKurallar[kural_id],0))+(1-INDEX(tblKurallar[deger_2025],MATCH("IFF-001",tblKurallar[kural_id],0)))*IF($C229=0,0,$D229/$C229))-1),iff_yuvarMax),0))</f>
        <v/>
      </c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8">
        <f>IF($A230="","",IFERROR(ROUND($H230*((INDEX(tblKurallar[deger_2025],MATCH("IFF-001",tblKurallar[kural_id],0))+(1-INDEX(tblKurallar[deger_2025],MATCH("IFF-001",tblKurallar[kural_id],0)))*IF($C230=0,0,$D230/$C230))-1),iff_yuvarMax),0))</f>
        <v/>
      </c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8">
        <f>IF($A231="","",IFERROR(ROUND($H231*((INDEX(tblKurallar[deger_2025],MATCH("IFF-001",tblKurallar[kural_id],0))+(1-INDEX(tblKurallar[deger_2025],MATCH("IFF-001",tblKurallar[kural_id],0)))*IF($C231=0,0,$D231/$C231))-1),iff_yuvarMax),0))</f>
        <v/>
      </c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8">
        <f>IF($A232="","",IFERROR(ROUND($H232*((INDEX(tblKurallar[deger_2025],MATCH("IFF-001",tblKurallar[kural_id],0))+(1-INDEX(tblKurallar[deger_2025],MATCH("IFF-001",tblKurallar[kural_id],0)))*IF($C232=0,0,$D232/$C232))-1),iff_yuvarMax),0))</f>
        <v/>
      </c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8">
        <f>IF($A233="","",IFERROR(ROUND($H233*((INDEX(tblKurallar[deger_2025],MATCH("IFF-001",tblKurallar[kural_id],0))+(1-INDEX(tblKurallar[deger_2025],MATCH("IFF-001",tblKurallar[kural_id],0)))*IF($C233=0,0,$D233/$C233))-1),iff_yuvarMax),0))</f>
        <v/>
      </c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8">
        <f>IF($A234="","",IFERROR(ROUND($H234*((INDEX(tblKurallar[deger_2025],MATCH("IFF-001",tblKurallar[kural_id],0))+(1-INDEX(tblKurallar[deger_2025],MATCH("IFF-001",tblKurallar[kural_id],0)))*IF($C234=0,0,$D234/$C234))-1),iff_yuvarMax),0))</f>
        <v/>
      </c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8">
        <f>IF($A235="","",IFERROR(ROUND($H235*((INDEX(tblKurallar[deger_2025],MATCH("IFF-001",tblKurallar[kural_id],0))+(1-INDEX(tblKurallar[deger_2025],MATCH("IFF-001",tblKurallar[kural_id],0)))*IF($C235=0,0,$D235/$C235))-1),iff_yuvarMax),0))</f>
        <v/>
      </c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8">
        <f>IF($A236="","",IFERROR(ROUND($H236*((INDEX(tblKurallar[deger_2025],MATCH("IFF-001",tblKurallar[kural_id],0))+(1-INDEX(tblKurallar[deger_2025],MATCH("IFF-001",tblKurallar[kural_id],0)))*IF($C236=0,0,$D236/$C236))-1),iff_yuvarMax),0))</f>
        <v/>
      </c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8">
        <f>IF($A237="","",IFERROR(ROUND($H237*((INDEX(tblKurallar[deger_2025],MATCH("IFF-001",tblKurallar[kural_id],0))+(1-INDEX(tblKurallar[deger_2025],MATCH("IFF-001",tblKurallar[kural_id],0)))*IF($C237=0,0,$D237/$C237))-1),iff_yuvarMax),0))</f>
        <v/>
      </c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8">
        <f>IF($A238="","",IFERROR(ROUND($H238*((INDEX(tblKurallar[deger_2025],MATCH("IFF-001",tblKurallar[kural_id],0))+(1-INDEX(tblKurallar[deger_2025],MATCH("IFF-001",tblKurallar[kural_id],0)))*IF($C238=0,0,$D238/$C238))-1),iff_yuvarMax),0))</f>
        <v/>
      </c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8">
        <f>IF($A239="","",IFERROR(ROUND($H239*((INDEX(tblKurallar[deger_2025],MATCH("IFF-001",tblKurallar[kural_id],0))+(1-INDEX(tblKurallar[deger_2025],MATCH("IFF-001",tblKurallar[kural_id],0)))*IF($C239=0,0,$D239/$C239))-1),iff_yuvarMax),0))</f>
        <v/>
      </c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8">
        <f>IF($A240="","",IFERROR(ROUND($H240*((INDEX(tblKurallar[deger_2025],MATCH("IFF-001",tblKurallar[kural_id],0))+(1-INDEX(tblKurallar[deger_2025],MATCH("IFF-001",tblKurallar[kural_id],0)))*IF($C240=0,0,$D240/$C240))-1),iff_yuvarMax),0))</f>
        <v/>
      </c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8">
        <f>IF($A241="","",IFERROR(ROUND($H241*((INDEX(tblKurallar[deger_2025],MATCH("IFF-001",tblKurallar[kural_id],0))+(1-INDEX(tblKurallar[deger_2025],MATCH("IFF-001",tblKurallar[kural_id],0)))*IF($C241=0,0,$D241/$C241))-1),iff_yuvarMax),0))</f>
        <v/>
      </c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8">
        <f>IF($A242="","",IFERROR(ROUND($H242*((INDEX(tblKurallar[deger_2025],MATCH("IFF-001",tblKurallar[kural_id],0))+(1-INDEX(tblKurallar[deger_2025],MATCH("IFF-001",tblKurallar[kural_id],0)))*IF($C242=0,0,$D242/$C242))-1),iff_yuvarMax),0))</f>
        <v/>
      </c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8">
        <f>IF($A243="","",IFERROR(ROUND($H243*((INDEX(tblKurallar[deger_2025],MATCH("IFF-001",tblKurallar[kural_id],0))+(1-INDEX(tblKurallar[deger_2025],MATCH("IFF-001",tblKurallar[kural_id],0)))*IF($C243=0,0,$D243/$C243))-1),iff_yuvarMax),0))</f>
        <v/>
      </c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8">
        <f>IF($A244="","",IFERROR(ROUND($H244*((INDEX(tblKurallar[deger_2025],MATCH("IFF-001",tblKurallar[kural_id],0))+(1-INDEX(tblKurallar[deger_2025],MATCH("IFF-001",tblKurallar[kural_id],0)))*IF($C244=0,0,$D244/$C244))-1),iff_yuvarMax),0))</f>
        <v/>
      </c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8">
        <f>IF($A245="","",IFERROR(ROUND($H245*((INDEX(tblKurallar[deger_2025],MATCH("IFF-001",tblKurallar[kural_id],0))+(1-INDEX(tblKurallar[deger_2025],MATCH("IFF-001",tblKurallar[kural_id],0)))*IF($C245=0,0,$D245/$C245))-1),iff_yuvarMax),0))</f>
        <v/>
      </c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8">
        <f>IF($A246="","",IFERROR(ROUND($H246*((INDEX(tblKurallar[deger_2025],MATCH("IFF-001",tblKurallar[kural_id],0))+(1-INDEX(tblKurallar[deger_2025],MATCH("IFF-001",tblKurallar[kural_id],0)))*IF($C246=0,0,$D246/$C246))-1),iff_yuvarMax),0))</f>
        <v/>
      </c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8">
        <f>IF($A247="","",IFERROR(ROUND($H247*((INDEX(tblKurallar[deger_2025],MATCH("IFF-001",tblKurallar[kural_id],0))+(1-INDEX(tblKurallar[deger_2025],MATCH("IFF-001",tblKurallar[kural_id],0)))*IF($C247=0,0,$D247/$C247))-1),iff_yuvarMax),0))</f>
        <v/>
      </c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8">
        <f>IF($A248="","",IFERROR(ROUND($H248*((INDEX(tblKurallar[deger_2025],MATCH("IFF-001",tblKurallar[kural_id],0))+(1-INDEX(tblKurallar[deger_2025],MATCH("IFF-001",tblKurallar[kural_id],0)))*IF($C248=0,0,$D248/$C248))-1),iff_yuvarMax),0))</f>
        <v/>
      </c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8">
        <f>IF($A249="","",IFERROR(ROUND($H249*((INDEX(tblKurallar[deger_2025],MATCH("IFF-001",tblKurallar[kural_id],0))+(1-INDEX(tblKurallar[deger_2025],MATCH("IFF-001",tblKurallar[kural_id],0)))*IF($C249=0,0,$D249/$C249))-1),iff_yuvarMax),0))</f>
        <v/>
      </c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8">
        <f>IF($A250="","",IFERROR(ROUND($H250*((INDEX(tblKurallar[deger_2025],MATCH("IFF-001",tblKurallar[kural_id],0))+(1-INDEX(tblKurallar[deger_2025],MATCH("IFF-001",tblKurallar[kural_id],0)))*IF($C250=0,0,$D250/$C250))-1),iff_yuvarMax),0))</f>
        <v/>
      </c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8">
        <f>IF($A251="","",IFERROR(ROUND($H251*((INDEX(tblKurallar[deger_2025],MATCH("IFF-001",tblKurallar[kural_id],0))+(1-INDEX(tblKurallar[deger_2025],MATCH("IFF-001",tblKurallar[kural_id],0)))*IF($C251=0,0,$D251/$C251))-1),iff_yuvarMax),0))</f>
        <v/>
      </c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8">
        <f>IF($A252="","",IFERROR(ROUND($H252*((INDEX(tblKurallar[deger_2025],MATCH("IFF-001",tblKurallar[kural_id],0))+(1-INDEX(tblKurallar[deger_2025],MATCH("IFF-001",tblKurallar[kural_id],0)))*IF($C252=0,0,$D252/$C252))-1),iff_yuvarMax),0))</f>
        <v/>
      </c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8">
        <f>IF($A253="","",IFERROR(ROUND($H253*((INDEX(tblKurallar[deger_2025],MATCH("IFF-001",tblKurallar[kural_id],0))+(1-INDEX(tblKurallar[deger_2025],MATCH("IFF-001",tblKurallar[kural_id],0)))*IF($C253=0,0,$D253/$C253))-1),iff_yuvarMax),0))</f>
        <v/>
      </c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8">
        <f>IF($A254="","",IFERROR(ROUND($H254*((INDEX(tblKurallar[deger_2025],MATCH("IFF-001",tblKurallar[kural_id],0))+(1-INDEX(tblKurallar[deger_2025],MATCH("IFF-001",tblKurallar[kural_id],0)))*IF($C254=0,0,$D254/$C254))-1),iff_yuvarMax),0))</f>
        <v/>
      </c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8">
        <f>IF($A255="","",IFERROR(ROUND($H255*((INDEX(tblKurallar[deger_2025],MATCH("IFF-001",tblKurallar[kural_id],0))+(1-INDEX(tblKurallar[deger_2025],MATCH("IFF-001",tblKurallar[kural_id],0)))*IF($C255=0,0,$D255/$C255))-1),iff_yuvarMax),0))</f>
        <v/>
      </c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8">
        <f>IF($A256="","",IFERROR(ROUND($H256*((INDEX(tblKurallar[deger_2025],MATCH("IFF-001",tblKurallar[kural_id],0))+(1-INDEX(tblKurallar[deger_2025],MATCH("IFF-001",tblKurallar[kural_id],0)))*IF($C256=0,0,$D256/$C256))-1),iff_yuvarMax),0))</f>
        <v/>
      </c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8">
        <f>IF($A257="","",IFERROR(ROUND($H257*((INDEX(tblKurallar[deger_2025],MATCH("IFF-001",tblKurallar[kural_id],0))+(1-INDEX(tblKurallar[deger_2025],MATCH("IFF-001",tblKurallar[kural_id],0)))*IF($C257=0,0,$D257/$C257))-1),iff_yuvarMax),0))</f>
        <v/>
      </c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8">
        <f>IF($A258="","",IFERROR(ROUND($H258*((INDEX(tblKurallar[deger_2025],MATCH("IFF-001",tblKurallar[kural_id],0))+(1-INDEX(tblKurallar[deger_2025],MATCH("IFF-001",tblKurallar[kural_id],0)))*IF($C258=0,0,$D258/$C258))-1),iff_yuvarMax),0))</f>
        <v/>
      </c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8">
        <f>IF($A259="","",IFERROR(ROUND($H259*((INDEX(tblKurallar[deger_2025],MATCH("IFF-001",tblKurallar[kural_id],0))+(1-INDEX(tblKurallar[deger_2025],MATCH("IFF-001",tblKurallar[kural_id],0)))*IF($C259=0,0,$D259/$C259))-1),iff_yuvarMax),0))</f>
        <v/>
      </c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8">
        <f>IF($A260="","",IFERROR(ROUND($H260*((INDEX(tblKurallar[deger_2025],MATCH("IFF-001",tblKurallar[kural_id],0))+(1-INDEX(tblKurallar[deger_2025],MATCH("IFF-001",tblKurallar[kural_id],0)))*IF($C260=0,0,$D260/$C260))-1),iff_yuvarMax),0))</f>
        <v/>
      </c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8">
        <f>IF($A261="","",IFERROR(ROUND($H261*((INDEX(tblKurallar[deger_2025],MATCH("IFF-001",tblKurallar[kural_id],0))+(1-INDEX(tblKurallar[deger_2025],MATCH("IFF-001",tblKurallar[kural_id],0)))*IF($C261=0,0,$D261/$C261))-1),iff_yuvarMax),0))</f>
        <v/>
      </c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8">
        <f>IF($A262="","",IFERROR(ROUND($H262*((INDEX(tblKurallar[deger_2025],MATCH("IFF-001",tblKurallar[kural_id],0))+(1-INDEX(tblKurallar[deger_2025],MATCH("IFF-001",tblKurallar[kural_id],0)))*IF($C262=0,0,$D262/$C262))-1),iff_yuvarMax),0))</f>
        <v/>
      </c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8">
        <f>IF($A263="","",IFERROR(ROUND($H263*((INDEX(tblKurallar[deger_2025],MATCH("IFF-001",tblKurallar[kural_id],0))+(1-INDEX(tblKurallar[deger_2025],MATCH("IFF-001",tblKurallar[kural_id],0)))*IF($C263=0,0,$D263/$C263))-1),iff_yuvarMax),0))</f>
        <v/>
      </c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8">
        <f>IF($A264="","",IFERROR(ROUND($H264*((INDEX(tblKurallar[deger_2025],MATCH("IFF-001",tblKurallar[kural_id],0))+(1-INDEX(tblKurallar[deger_2025],MATCH("IFF-001",tblKurallar[kural_id],0)))*IF($C264=0,0,$D264/$C264))-1),iff_yuvarMax),0))</f>
        <v/>
      </c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8">
        <f>IF($A265="","",IFERROR(ROUND($H265*((INDEX(tblKurallar[deger_2025],MATCH("IFF-001",tblKurallar[kural_id],0))+(1-INDEX(tblKurallar[deger_2025],MATCH("IFF-001",tblKurallar[kural_id],0)))*IF($C265=0,0,$D265/$C265))-1),iff_yuvarMax),0))</f>
        <v/>
      </c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8">
        <f>IF($A266="","",IFERROR(ROUND($H266*((INDEX(tblKurallar[deger_2025],MATCH("IFF-001",tblKurallar[kural_id],0))+(1-INDEX(tblKurallar[deger_2025],MATCH("IFF-001",tblKurallar[kural_id],0)))*IF($C266=0,0,$D266/$C266))-1),iff_yuvarMax),0))</f>
        <v/>
      </c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8">
        <f>IF($A267="","",IFERROR(ROUND($H267*((INDEX(tblKurallar[deger_2025],MATCH("IFF-001",tblKurallar[kural_id],0))+(1-INDEX(tblKurallar[deger_2025],MATCH("IFF-001",tblKurallar[kural_id],0)))*IF($C267=0,0,$D267/$C267))-1),iff_yuvarMax),0))</f>
        <v/>
      </c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8">
        <f>IF($A268="","",IFERROR(ROUND($H268*((INDEX(tblKurallar[deger_2025],MATCH("IFF-001",tblKurallar[kural_id],0))+(1-INDEX(tblKurallar[deger_2025],MATCH("IFF-001",tblKurallar[kural_id],0)))*IF($C268=0,0,$D268/$C268))-1),iff_yuvarMax),0))</f>
        <v/>
      </c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8">
        <f>IF($A269="","",IFERROR(ROUND($H269*((INDEX(tblKurallar[deger_2025],MATCH("IFF-001",tblKurallar[kural_id],0))+(1-INDEX(tblKurallar[deger_2025],MATCH("IFF-001",tblKurallar[kural_id],0)))*IF($C269=0,0,$D269/$C269))-1),iff_yuvarMax),0))</f>
        <v/>
      </c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8">
        <f>IF($A270="","",IFERROR(ROUND($H270*((INDEX(tblKurallar[deger_2025],MATCH("IFF-001",tblKurallar[kural_id],0))+(1-INDEX(tblKurallar[deger_2025],MATCH("IFF-001",tblKurallar[kural_id],0)))*IF($C270=0,0,$D270/$C270))-1),iff_yuvarMax),0))</f>
        <v/>
      </c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8">
        <f>IF($A271="","",IFERROR(ROUND($H271*((INDEX(tblKurallar[deger_2025],MATCH("IFF-001",tblKurallar[kural_id],0))+(1-INDEX(tblKurallar[deger_2025],MATCH("IFF-001",tblKurallar[kural_id],0)))*IF($C271=0,0,$D271/$C271))-1),iff_yuvarMax),0))</f>
        <v/>
      </c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8">
        <f>IF($A272="","",IFERROR(ROUND($H272*((INDEX(tblKurallar[deger_2025],MATCH("IFF-001",tblKurallar[kural_id],0))+(1-INDEX(tblKurallar[deger_2025],MATCH("IFF-001",tblKurallar[kural_id],0)))*IF($C272=0,0,$D272/$C272))-1),iff_yuvarMax),0))</f>
        <v/>
      </c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8">
        <f>IF($A273="","",IFERROR(ROUND($H273*((INDEX(tblKurallar[deger_2025],MATCH("IFF-001",tblKurallar[kural_id],0))+(1-INDEX(tblKurallar[deger_2025],MATCH("IFF-001",tblKurallar[kural_id],0)))*IF($C273=0,0,$D273/$C273))-1),iff_yuvarMax),0))</f>
        <v/>
      </c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8">
        <f>IF($A274="","",IFERROR(ROUND($H274*((INDEX(tblKurallar[deger_2025],MATCH("IFF-001",tblKurallar[kural_id],0))+(1-INDEX(tblKurallar[deger_2025],MATCH("IFF-001",tblKurallar[kural_id],0)))*IF($C274=0,0,$D274/$C274))-1),iff_yuvarMax),0))</f>
        <v/>
      </c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8">
        <f>IF($A275="","",IFERROR(ROUND($H275*((INDEX(tblKurallar[deger_2025],MATCH("IFF-001",tblKurallar[kural_id],0))+(1-INDEX(tblKurallar[deger_2025],MATCH("IFF-001",tblKurallar[kural_id],0)))*IF($C275=0,0,$D275/$C275))-1),iff_yuvarMax),0))</f>
        <v/>
      </c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8">
        <f>IF($A276="","",IFERROR(ROUND($H276*((INDEX(tblKurallar[deger_2025],MATCH("IFF-001",tblKurallar[kural_id],0))+(1-INDEX(tblKurallar[deger_2025],MATCH("IFF-001",tblKurallar[kural_id],0)))*IF($C276=0,0,$D276/$C276))-1),iff_yuvarMax),0))</f>
        <v/>
      </c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8">
        <f>IF($A277="","",IFERROR(ROUND($H277*((INDEX(tblKurallar[deger_2025],MATCH("IFF-001",tblKurallar[kural_id],0))+(1-INDEX(tblKurallar[deger_2025],MATCH("IFF-001",tblKurallar[kural_id],0)))*IF($C277=0,0,$D277/$C277))-1),iff_yuvarMax),0))</f>
        <v/>
      </c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8">
        <f>IF($A278="","",IFERROR(ROUND($H278*((INDEX(tblKurallar[deger_2025],MATCH("IFF-001",tblKurallar[kural_id],0))+(1-INDEX(tblKurallar[deger_2025],MATCH("IFF-001",tblKurallar[kural_id],0)))*IF($C278=0,0,$D278/$C278))-1),iff_yuvarMax),0))</f>
        <v/>
      </c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8">
        <f>IF($A279="","",IFERROR(ROUND($H279*((INDEX(tblKurallar[deger_2025],MATCH("IFF-001",tblKurallar[kural_id],0))+(1-INDEX(tblKurallar[deger_2025],MATCH("IFF-001",tblKurallar[kural_id],0)))*IF($C279=0,0,$D279/$C279))-1),iff_yuvarMax),0))</f>
        <v/>
      </c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8">
        <f>IF($A280="","",IFERROR(ROUND($H280*((INDEX(tblKurallar[deger_2025],MATCH("IFF-001",tblKurallar[kural_id],0))+(1-INDEX(tblKurallar[deger_2025],MATCH("IFF-001",tblKurallar[kural_id],0)))*IF($C280=0,0,$D280/$C280))-1),iff_yuvarMax),0))</f>
        <v/>
      </c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8">
        <f>IF($A281="","",IFERROR(ROUND($H281*((INDEX(tblKurallar[deger_2025],MATCH("IFF-001",tblKurallar[kural_id],0))+(1-INDEX(tblKurallar[deger_2025],MATCH("IFF-001",tblKurallar[kural_id],0)))*IF($C281=0,0,$D281/$C281))-1),iff_yuvarMax),0))</f>
        <v/>
      </c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8">
        <f>IF($A282="","",IFERROR(ROUND($H282*((INDEX(tblKurallar[deger_2025],MATCH("IFF-001",tblKurallar[kural_id],0))+(1-INDEX(tblKurallar[deger_2025],MATCH("IFF-001",tblKurallar[kural_id],0)))*IF($C282=0,0,$D282/$C282))-1),iff_yuvarMax),0))</f>
        <v/>
      </c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8">
        <f>IF($A283="","",IFERROR(ROUND($H283*((INDEX(tblKurallar[deger_2025],MATCH("IFF-001",tblKurallar[kural_id],0))+(1-INDEX(tblKurallar[deger_2025],MATCH("IFF-001",tblKurallar[kural_id],0)))*IF($C283=0,0,$D283/$C283))-1),iff_yuvarMax),0))</f>
        <v/>
      </c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8">
        <f>IF($A284="","",IFERROR(ROUND($H284*((INDEX(tblKurallar[deger_2025],MATCH("IFF-001",tblKurallar[kural_id],0))+(1-INDEX(tblKurallar[deger_2025],MATCH("IFF-001",tblKurallar[kural_id],0)))*IF($C284=0,0,$D284/$C284))-1),iff_yuvarMax),0))</f>
        <v/>
      </c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8">
        <f>IF($A285="","",IFERROR(ROUND($H285*((INDEX(tblKurallar[deger_2025],MATCH("IFF-001",tblKurallar[kural_id],0))+(1-INDEX(tblKurallar[deger_2025],MATCH("IFF-001",tblKurallar[kural_id],0)))*IF($C285=0,0,$D285/$C285))-1),iff_yuvarMax),0))</f>
        <v/>
      </c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8">
        <f>IF($A286="","",IFERROR(ROUND($H286*((INDEX(tblKurallar[deger_2025],MATCH("IFF-001",tblKurallar[kural_id],0))+(1-INDEX(tblKurallar[deger_2025],MATCH("IFF-001",tblKurallar[kural_id],0)))*IF($C286=0,0,$D286/$C286))-1),iff_yuvarMax),0))</f>
        <v/>
      </c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8">
        <f>IF($A287="","",IFERROR(ROUND($H287*((INDEX(tblKurallar[deger_2025],MATCH("IFF-001",tblKurallar[kural_id],0))+(1-INDEX(tblKurallar[deger_2025],MATCH("IFF-001",tblKurallar[kural_id],0)))*IF($C287=0,0,$D287/$C287))-1),iff_yuvarMax),0))</f>
        <v/>
      </c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8">
        <f>IF($A288="","",IFERROR(ROUND($H288*((INDEX(tblKurallar[deger_2025],MATCH("IFF-001",tblKurallar[kural_id],0))+(1-INDEX(tblKurallar[deger_2025],MATCH("IFF-001",tblKurallar[kural_id],0)))*IF($C288=0,0,$D288/$C288))-1),iff_yuvarMax),0))</f>
        <v/>
      </c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8">
        <f>IF($A289="","",IFERROR(ROUND($H289*((INDEX(tblKurallar[deger_2025],MATCH("IFF-001",tblKurallar[kural_id],0))+(1-INDEX(tblKurallar[deger_2025],MATCH("IFF-001",tblKurallar[kural_id],0)))*IF($C289=0,0,$D289/$C289))-1),iff_yuvarMax),0))</f>
        <v/>
      </c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8">
        <f>IF($A290="","",IFERROR(ROUND($H290*((INDEX(tblKurallar[deger_2025],MATCH("IFF-001",tblKurallar[kural_id],0))+(1-INDEX(tblKurallar[deger_2025],MATCH("IFF-001",tblKurallar[kural_id],0)))*IF($C290=0,0,$D290/$C290))-1),iff_yuvarMax),0))</f>
        <v/>
      </c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8">
        <f>IF($A291="","",IFERROR(ROUND($H291*((INDEX(tblKurallar[deger_2025],MATCH("IFF-001",tblKurallar[kural_id],0))+(1-INDEX(tblKurallar[deger_2025],MATCH("IFF-001",tblKurallar[kural_id],0)))*IF($C291=0,0,$D291/$C291))-1),iff_yuvarMax),0))</f>
        <v/>
      </c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8">
        <f>IF($A292="","",IFERROR(ROUND($H292*((INDEX(tblKurallar[deger_2025],MATCH("IFF-001",tblKurallar[kural_id],0))+(1-INDEX(tblKurallar[deger_2025],MATCH("IFF-001",tblKurallar[kural_id],0)))*IF($C292=0,0,$D292/$C292))-1),iff_yuvarMax),0))</f>
        <v/>
      </c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8">
        <f>IF($A293="","",IFERROR(ROUND($H293*((INDEX(tblKurallar[deger_2025],MATCH("IFF-001",tblKurallar[kural_id],0))+(1-INDEX(tblKurallar[deger_2025],MATCH("IFF-001",tblKurallar[kural_id],0)))*IF($C293=0,0,$D293/$C293))-1),iff_yuvarMax),0))</f>
        <v/>
      </c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8">
        <f>IF($A294="","",IFERROR(ROUND($H294*((INDEX(tblKurallar[deger_2025],MATCH("IFF-001",tblKurallar[kural_id],0))+(1-INDEX(tblKurallar[deger_2025],MATCH("IFF-001",tblKurallar[kural_id],0)))*IF($C294=0,0,$D294/$C294))-1),iff_yuvarMax),0))</f>
        <v/>
      </c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8">
        <f>IF($A295="","",IFERROR(ROUND($H295*((INDEX(tblKurallar[deger_2025],MATCH("IFF-001",tblKurallar[kural_id],0))+(1-INDEX(tblKurallar[deger_2025],MATCH("IFF-001",tblKurallar[kural_id],0)))*IF($C295=0,0,$D295/$C295))-1),iff_yuvarMax),0))</f>
        <v/>
      </c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8">
        <f>IF($A296="","",IFERROR(ROUND($H296*((INDEX(tblKurallar[deger_2025],MATCH("IFF-001",tblKurallar[kural_id],0))+(1-INDEX(tblKurallar[deger_2025],MATCH("IFF-001",tblKurallar[kural_id],0)))*IF($C296=0,0,$D296/$C296))-1),iff_yuvarMax),0))</f>
        <v/>
      </c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8">
        <f>IF($A297="","",IFERROR(ROUND($H297*((INDEX(tblKurallar[deger_2025],MATCH("IFF-001",tblKurallar[kural_id],0))+(1-INDEX(tblKurallar[deger_2025],MATCH("IFF-001",tblKurallar[kural_id],0)))*IF($C297=0,0,$D297/$C297))-1),iff_yuvarMax),0))</f>
        <v/>
      </c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8">
        <f>IF($A298="","",IFERROR(ROUND($H298*((INDEX(tblKurallar[deger_2025],MATCH("IFF-001",tblKurallar[kural_id],0))+(1-INDEX(tblKurallar[deger_2025],MATCH("IFF-001",tblKurallar[kural_id],0)))*IF($C298=0,0,$D298/$C298))-1),iff_yuvarMax),0))</f>
        <v/>
      </c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8">
        <f>IF($A299="","",IFERROR(ROUND($H299*((INDEX(tblKurallar[deger_2025],MATCH("IFF-001",tblKurallar[kural_id],0))+(1-INDEX(tblKurallar[deger_2025],MATCH("IFF-001",tblKurallar[kural_id],0)))*IF($C299=0,0,$D299/$C299))-1),iff_yuvarMax),0))</f>
        <v/>
      </c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8">
        <f>IF($A300="","",IFERROR(ROUND($H300*((INDEX(tblKurallar[deger_2025],MATCH("IFF-001",tblKurallar[kural_id],0))+(1-INDEX(tblKurallar[deger_2025],MATCH("IFF-001",tblKurallar[kural_id],0)))*IF($C300=0,0,$D300/$C300))-1),iff_yuvarMax),0))</f>
        <v/>
      </c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8">
        <f>IF($A301="","",IFERROR(ROUND($H301*((INDEX(tblKurallar[deger_2025],MATCH("IFF-001",tblKurallar[kural_id],0))+(1-INDEX(tblKurallar[deger_2025],MATCH("IFF-001",tblKurallar[kural_id],0)))*IF($C301=0,0,$D301/$C301))-1),iff_yuvarMax),0))</f>
        <v/>
      </c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8">
        <f>IF($A302="","",IFERROR(ROUND($H302*((INDEX(tblKurallar[deger_2025],MATCH("IFF-001",tblKurallar[kural_id],0))+(1-INDEX(tblKurallar[deger_2025],MATCH("IFF-001",tblKurallar[kural_id],0)))*IF($C302=0,0,$D302/$C302))-1),iff_yuvarMax),0))</f>
        <v/>
      </c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8">
        <f>IF($A303="","",IFERROR(ROUND($H303*((INDEX(tblKurallar[deger_2025],MATCH("IFF-001",tblKurallar[kural_id],0))+(1-INDEX(tblKurallar[deger_2025],MATCH("IFF-001",tblKurallar[kural_id],0)))*IF($C303=0,0,$D303/$C303))-1),iff_yuvarMax),0))</f>
        <v/>
      </c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8">
        <f>IF($A304="","",IFERROR(ROUND($H304*((INDEX(tblKurallar[deger_2025],MATCH("IFF-001",tblKurallar[kural_id],0))+(1-INDEX(tblKurallar[deger_2025],MATCH("IFF-001",tblKurallar[kural_id],0)))*IF($C304=0,0,$D304/$C304))-1),iff_yuvarMax),0))</f>
        <v/>
      </c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8">
        <f>IF($A305="","",IFERROR(ROUND($H305*((INDEX(tblKurallar[deger_2025],MATCH("IFF-001",tblKurallar[kural_id],0))+(1-INDEX(tblKurallar[deger_2025],MATCH("IFF-001",tblKurallar[kural_id],0)))*IF($C305=0,0,$D305/$C305))-1),iff_yuvarMax),0))</f>
        <v/>
      </c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8">
        <f>IF($A306="","",IFERROR(ROUND($H306*((INDEX(tblKurallar[deger_2025],MATCH("IFF-001",tblKurallar[kural_id],0))+(1-INDEX(tblKurallar[deger_2025],MATCH("IFF-001",tblKurallar[kural_id],0)))*IF($C306=0,0,$D306/$C306))-1),iff_yuvarMax),0))</f>
        <v/>
      </c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8">
        <f>IF($A307="","",IFERROR(ROUND($H307*((INDEX(tblKurallar[deger_2025],MATCH("IFF-001",tblKurallar[kural_id],0))+(1-INDEX(tblKurallar[deger_2025],MATCH("IFF-001",tblKurallar[kural_id],0)))*IF($C307=0,0,$D307/$C307))-1),iff_yuvarMax),0))</f>
        <v/>
      </c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8">
        <f>IF($A308="","",IFERROR(ROUND($H308*((INDEX(tblKurallar[deger_2025],MATCH("IFF-001",tblKurallar[kural_id],0))+(1-INDEX(tblKurallar[deger_2025],MATCH("IFF-001",tblKurallar[kural_id],0)))*IF($C308=0,0,$D308/$C308))-1),iff_yuvarMax),0))</f>
        <v/>
      </c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8">
        <f>IF($A309="","",IFERROR(ROUND($H309*((INDEX(tblKurallar[deger_2025],MATCH("IFF-001",tblKurallar[kural_id],0))+(1-INDEX(tblKurallar[deger_2025],MATCH("IFF-001",tblKurallar[kural_id],0)))*IF($C309=0,0,$D309/$C309))-1),iff_yuvarMax),0))</f>
        <v/>
      </c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8">
        <f>IF($A310="","",IFERROR(ROUND($H310*((INDEX(tblKurallar[deger_2025],MATCH("IFF-001",tblKurallar[kural_id],0))+(1-INDEX(tblKurallar[deger_2025],MATCH("IFF-001",tblKurallar[kural_id],0)))*IF($C310=0,0,$D310/$C310))-1),iff_yuvarMax),0))</f>
        <v/>
      </c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8">
        <f>IF($A311="","",IFERROR(ROUND($H311*((INDEX(tblKurallar[deger_2025],MATCH("IFF-001",tblKurallar[kural_id],0))+(1-INDEX(tblKurallar[deger_2025],MATCH("IFF-001",tblKurallar[kural_id],0)))*IF($C311=0,0,$D311/$C311))-1),iff_yuvarMax),0))</f>
        <v/>
      </c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8">
        <f>IF($A312="","",IFERROR(ROUND($H312*((INDEX(tblKurallar[deger_2025],MATCH("IFF-001",tblKurallar[kural_id],0))+(1-INDEX(tblKurallar[deger_2025],MATCH("IFF-001",tblKurallar[kural_id],0)))*IF($C312=0,0,$D312/$C312))-1),iff_yuvarMax),0))</f>
        <v/>
      </c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8">
        <f>IF($A313="","",IFERROR(ROUND($H313*((INDEX(tblKurallar[deger_2025],MATCH("IFF-001",tblKurallar[kural_id],0))+(1-INDEX(tblKurallar[deger_2025],MATCH("IFF-001",tblKurallar[kural_id],0)))*IF($C313=0,0,$D313/$C313))-1),iff_yuvarMax),0))</f>
        <v/>
      </c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8">
        <f>IF($A314="","",IFERROR(ROUND($H314*((INDEX(tblKurallar[deger_2025],MATCH("IFF-001",tblKurallar[kural_id],0))+(1-INDEX(tblKurallar[deger_2025],MATCH("IFF-001",tblKurallar[kural_id],0)))*IF($C314=0,0,$D314/$C314))-1),iff_yuvarMax),0))</f>
        <v/>
      </c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8">
        <f>IF($A315="","",IFERROR(ROUND($H315*((INDEX(tblKurallar[deger_2025],MATCH("IFF-001",tblKurallar[kural_id],0))+(1-INDEX(tblKurallar[deger_2025],MATCH("IFF-001",tblKurallar[kural_id],0)))*IF($C315=0,0,$D315/$C315))-1),iff_yuvarMax),0))</f>
        <v/>
      </c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8">
        <f>IF($A316="","",IFERROR(ROUND($H316*((INDEX(tblKurallar[deger_2025],MATCH("IFF-001",tblKurallar[kural_id],0))+(1-INDEX(tblKurallar[deger_2025],MATCH("IFF-001",tblKurallar[kural_id],0)))*IF($C316=0,0,$D316/$C316))-1),iff_yuvarMax),0))</f>
        <v/>
      </c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8">
        <f>IF($A317="","",IFERROR(ROUND($H317*((INDEX(tblKurallar[deger_2025],MATCH("IFF-001",tblKurallar[kural_id],0))+(1-INDEX(tblKurallar[deger_2025],MATCH("IFF-001",tblKurallar[kural_id],0)))*IF($C317=0,0,$D317/$C317))-1),iff_yuvarMax),0))</f>
        <v/>
      </c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8">
        <f>IF($A318="","",IFERROR(ROUND($H318*((INDEX(tblKurallar[deger_2025],MATCH("IFF-001",tblKurallar[kural_id],0))+(1-INDEX(tblKurallar[deger_2025],MATCH("IFF-001",tblKurallar[kural_id],0)))*IF($C318=0,0,$D318/$C318))-1),iff_yuvarMax),0))</f>
        <v/>
      </c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8">
        <f>IF($A319="","",IFERROR(ROUND($H319*((INDEX(tblKurallar[deger_2025],MATCH("IFF-001",tblKurallar[kural_id],0))+(1-INDEX(tblKurallar[deger_2025],MATCH("IFF-001",tblKurallar[kural_id],0)))*IF($C319=0,0,$D319/$C319))-1),iff_yuvarMax),0))</f>
        <v/>
      </c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8">
        <f>IF($A320="","",IFERROR(ROUND($H320*((INDEX(tblKurallar[deger_2025],MATCH("IFF-001",tblKurallar[kural_id],0))+(1-INDEX(tblKurallar[deger_2025],MATCH("IFF-001",tblKurallar[kural_id],0)))*IF($C320=0,0,$D320/$C320))-1),iff_yuvarMax),0))</f>
        <v/>
      </c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8">
        <f>IF($A321="","",IFERROR(ROUND($H321*((INDEX(tblKurallar[deger_2025],MATCH("IFF-001",tblKurallar[kural_id],0))+(1-INDEX(tblKurallar[deger_2025],MATCH("IFF-001",tblKurallar[kural_id],0)))*IF($C321=0,0,$D321/$C321))-1),iff_yuvarMax),0))</f>
        <v/>
      </c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8">
        <f>IF($A322="","",IFERROR(ROUND($H322*((INDEX(tblKurallar[deger_2025],MATCH("IFF-001",tblKurallar[kural_id],0))+(1-INDEX(tblKurallar[deger_2025],MATCH("IFF-001",tblKurallar[kural_id],0)))*IF($C322=0,0,$D322/$C322))-1),iff_yuvarMax),0))</f>
        <v/>
      </c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8">
        <f>IF($A323="","",IFERROR(ROUND($H323*((INDEX(tblKurallar[deger_2025],MATCH("IFF-001",tblKurallar[kural_id],0))+(1-INDEX(tblKurallar[deger_2025],MATCH("IFF-001",tblKurallar[kural_id],0)))*IF($C323=0,0,$D323/$C323))-1),iff_yuvarMax),0))</f>
        <v/>
      </c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8">
        <f>IF($A324="","",IFERROR(ROUND($H324*((INDEX(tblKurallar[deger_2025],MATCH("IFF-001",tblKurallar[kural_id],0))+(1-INDEX(tblKurallar[deger_2025],MATCH("IFF-001",tblKurallar[kural_id],0)))*IF($C324=0,0,$D324/$C324))-1),iff_yuvarMax),0))</f>
        <v/>
      </c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8">
        <f>IF($A325="","",IFERROR(ROUND($H325*((INDEX(tblKurallar[deger_2025],MATCH("IFF-001",tblKurallar[kural_id],0))+(1-INDEX(tblKurallar[deger_2025],MATCH("IFF-001",tblKurallar[kural_id],0)))*IF($C325=0,0,$D325/$C325))-1),iff_yuvarMax),0))</f>
        <v/>
      </c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8">
        <f>IF($A326="","",IFERROR(ROUND($H326*((INDEX(tblKurallar[deger_2025],MATCH("IFF-001",tblKurallar[kural_id],0))+(1-INDEX(tblKurallar[deger_2025],MATCH("IFF-001",tblKurallar[kural_id],0)))*IF($C326=0,0,$D326/$C326))-1),iff_yuvarMax),0))</f>
        <v/>
      </c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8">
        <f>IF($A327="","",IFERROR(ROUND($H327*((INDEX(tblKurallar[deger_2025],MATCH("IFF-001",tblKurallar[kural_id],0))+(1-INDEX(tblKurallar[deger_2025],MATCH("IFF-001",tblKurallar[kural_id],0)))*IF($C327=0,0,$D327/$C327))-1),iff_yuvarMax),0))</f>
        <v/>
      </c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8">
        <f>IF($A328="","",IFERROR(ROUND($H328*((INDEX(tblKurallar[deger_2025],MATCH("IFF-001",tblKurallar[kural_id],0))+(1-INDEX(tblKurallar[deger_2025],MATCH("IFF-001",tblKurallar[kural_id],0)))*IF($C328=0,0,$D328/$C328))-1),iff_yuvarMax),0))</f>
        <v/>
      </c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8">
        <f>IF($A329="","",IFERROR(ROUND($H329*((INDEX(tblKurallar[deger_2025],MATCH("IFF-001",tblKurallar[kural_id],0))+(1-INDEX(tblKurallar[deger_2025],MATCH("IFF-001",tblKurallar[kural_id],0)))*IF($C329=0,0,$D329/$C329))-1),iff_yuvarMax),0))</f>
        <v/>
      </c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8">
        <f>IF($A330="","",IFERROR(ROUND($H330*((INDEX(tblKurallar[deger_2025],MATCH("IFF-001",tblKurallar[kural_id],0))+(1-INDEX(tblKurallar[deger_2025],MATCH("IFF-001",tblKurallar[kural_id],0)))*IF($C330=0,0,$D330/$C330))-1),iff_yuvarMax),0))</f>
        <v/>
      </c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8">
        <f>IF($A331="","",IFERROR(ROUND($H331*((INDEX(tblKurallar[deger_2025],MATCH("IFF-001",tblKurallar[kural_id],0))+(1-INDEX(tblKurallar[deger_2025],MATCH("IFF-001",tblKurallar[kural_id],0)))*IF($C331=0,0,$D331/$C331))-1),iff_yuvarMax),0))</f>
        <v/>
      </c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8">
        <f>IF($A332="","",IFERROR(ROUND($H332*((INDEX(tblKurallar[deger_2025],MATCH("IFF-001",tblKurallar[kural_id],0))+(1-INDEX(tblKurallar[deger_2025],MATCH("IFF-001",tblKurallar[kural_id],0)))*IF($C332=0,0,$D332/$C332))-1),iff_yuvarMax),0))</f>
        <v/>
      </c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8">
        <f>IF($A333="","",IFERROR(ROUND($H333*((INDEX(tblKurallar[deger_2025],MATCH("IFF-001",tblKurallar[kural_id],0))+(1-INDEX(tblKurallar[deger_2025],MATCH("IFF-001",tblKurallar[kural_id],0)))*IF($C333=0,0,$D333/$C333))-1),iff_yuvarMax),0))</f>
        <v/>
      </c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8">
        <f>IF($A334="","",IFERROR(ROUND($H334*((INDEX(tblKurallar[deger_2025],MATCH("IFF-001",tblKurallar[kural_id],0))+(1-INDEX(tblKurallar[deger_2025],MATCH("IFF-001",tblKurallar[kural_id],0)))*IF($C334=0,0,$D334/$C334))-1),iff_yuvarMax),0))</f>
        <v/>
      </c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8">
        <f>IF($A335="","",IFERROR(ROUND($H335*((INDEX(tblKurallar[deger_2025],MATCH("IFF-001",tblKurallar[kural_id],0))+(1-INDEX(tblKurallar[deger_2025],MATCH("IFF-001",tblKurallar[kural_id],0)))*IF($C335=0,0,$D335/$C335))-1),iff_yuvarMax),0))</f>
        <v/>
      </c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8">
        <f>IF($A336="","",IFERROR(ROUND($H336*((INDEX(tblKurallar[deger_2025],MATCH("IFF-001",tblKurallar[kural_id],0))+(1-INDEX(tblKurallar[deger_2025],MATCH("IFF-001",tblKurallar[kural_id],0)))*IF($C336=0,0,$D336/$C336))-1),iff_yuvarMax),0))</f>
        <v/>
      </c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8">
        <f>IF($A337="","",IFERROR(ROUND($H337*((INDEX(tblKurallar[deger_2025],MATCH("IFF-001",tblKurallar[kural_id],0))+(1-INDEX(tblKurallar[deger_2025],MATCH("IFF-001",tblKurallar[kural_id],0)))*IF($C337=0,0,$D337/$C337))-1),iff_yuvarMax),0))</f>
        <v/>
      </c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8">
        <f>IF($A338="","",IFERROR(ROUND($H338*((INDEX(tblKurallar[deger_2025],MATCH("IFF-001",tblKurallar[kural_id],0))+(1-INDEX(tblKurallar[deger_2025],MATCH("IFF-001",tblKurallar[kural_id],0)))*IF($C338=0,0,$D338/$C338))-1),iff_yuvarMax),0))</f>
        <v/>
      </c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8">
        <f>IF($A339="","",IFERROR(ROUND($H339*((INDEX(tblKurallar[deger_2025],MATCH("IFF-001",tblKurallar[kural_id],0))+(1-INDEX(tblKurallar[deger_2025],MATCH("IFF-001",tblKurallar[kural_id],0)))*IF($C339=0,0,$D339/$C339))-1),iff_yuvarMax),0))</f>
        <v/>
      </c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8">
        <f>IF($A340="","",IFERROR(ROUND($H340*((INDEX(tblKurallar[deger_2025],MATCH("IFF-001",tblKurallar[kural_id],0))+(1-INDEX(tblKurallar[deger_2025],MATCH("IFF-001",tblKurallar[kural_id],0)))*IF($C340=0,0,$D340/$C340))-1),iff_yuvarMax),0))</f>
        <v/>
      </c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8">
        <f>IF($A341="","",IFERROR(ROUND($H341*((INDEX(tblKurallar[deger_2025],MATCH("IFF-001",tblKurallar[kural_id],0))+(1-INDEX(tblKurallar[deger_2025],MATCH("IFF-001",tblKurallar[kural_id],0)))*IF($C341=0,0,$D341/$C341))-1),iff_yuvarMax),0))</f>
        <v/>
      </c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8">
        <f>IF($A342="","",IFERROR(ROUND($H342*((INDEX(tblKurallar[deger_2025],MATCH("IFF-001",tblKurallar[kural_id],0))+(1-INDEX(tblKurallar[deger_2025],MATCH("IFF-001",tblKurallar[kural_id],0)))*IF($C342=0,0,$D342/$C342))-1),iff_yuvarMax),0))</f>
        <v/>
      </c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8">
        <f>IF($A343="","",IFERROR(ROUND($H343*((INDEX(tblKurallar[deger_2025],MATCH("IFF-001",tblKurallar[kural_id],0))+(1-INDEX(tblKurallar[deger_2025],MATCH("IFF-001",tblKurallar[kural_id],0)))*IF($C343=0,0,$D343/$C343))-1),iff_yuvarMax),0))</f>
        <v/>
      </c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8">
        <f>IF($A344="","",IFERROR(ROUND($H344*((INDEX(tblKurallar[deger_2025],MATCH("IFF-001",tblKurallar[kural_id],0))+(1-INDEX(tblKurallar[deger_2025],MATCH("IFF-001",tblKurallar[kural_id],0)))*IF($C344=0,0,$D344/$C344))-1),iff_yuvarMax),0))</f>
        <v/>
      </c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8">
        <f>IF($A345="","",IFERROR(ROUND($H345*((INDEX(tblKurallar[deger_2025],MATCH("IFF-001",tblKurallar[kural_id],0))+(1-INDEX(tblKurallar[deger_2025],MATCH("IFF-001",tblKurallar[kural_id],0)))*IF($C345=0,0,$D345/$C345))-1),iff_yuvarMax),0))</f>
        <v/>
      </c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8">
        <f>IF($A346="","",IFERROR(ROUND($H346*((INDEX(tblKurallar[deger_2025],MATCH("IFF-001",tblKurallar[kural_id],0))+(1-INDEX(tblKurallar[deger_2025],MATCH("IFF-001",tblKurallar[kural_id],0)))*IF($C346=0,0,$D346/$C346))-1),iff_yuvarMax),0))</f>
        <v/>
      </c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8">
        <f>IF($A347="","",IFERROR(ROUND($H347*((INDEX(tblKurallar[deger_2025],MATCH("IFF-001",tblKurallar[kural_id],0))+(1-INDEX(tblKurallar[deger_2025],MATCH("IFF-001",tblKurallar[kural_id],0)))*IF($C347=0,0,$D347/$C347))-1),iff_yuvarMax),0))</f>
        <v/>
      </c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8">
        <f>IF($A348="","",IFERROR(ROUND($H348*((INDEX(tblKurallar[deger_2025],MATCH("IFF-001",tblKurallar[kural_id],0))+(1-INDEX(tblKurallar[deger_2025],MATCH("IFF-001",tblKurallar[kural_id],0)))*IF($C348=0,0,$D348/$C348))-1),iff_yuvarMax),0))</f>
        <v/>
      </c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8">
        <f>IF($A349="","",IFERROR(ROUND($H349*((INDEX(tblKurallar[deger_2025],MATCH("IFF-001",tblKurallar[kural_id],0))+(1-INDEX(tblKurallar[deger_2025],MATCH("IFF-001",tblKurallar[kural_id],0)))*IF($C349=0,0,$D349/$C349))-1),iff_yuvarMax),0))</f>
        <v/>
      </c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8">
        <f>IF($A350="","",IFERROR(ROUND($H350*((INDEX(tblKurallar[deger_2025],MATCH("IFF-001",tblKurallar[kural_id],0))+(1-INDEX(tblKurallar[deger_2025],MATCH("IFF-001",tblKurallar[kural_id],0)))*IF($C350=0,0,$D350/$C350))-1),iff_yuvarMax),0))</f>
        <v/>
      </c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8">
        <f>IF($A351="","",IFERROR(ROUND($H351*((INDEX(tblKurallar[deger_2025],MATCH("IFF-001",tblKurallar[kural_id],0))+(1-INDEX(tblKurallar[deger_2025],MATCH("IFF-001",tblKurallar[kural_id],0)))*IF($C351=0,0,$D351/$C351))-1),iff_yuvarMax),0))</f>
        <v/>
      </c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8">
        <f>IF($A352="","",IFERROR(ROUND($H352*((INDEX(tblKurallar[deger_2025],MATCH("IFF-001",tblKurallar[kural_id],0))+(1-INDEX(tblKurallar[deger_2025],MATCH("IFF-001",tblKurallar[kural_id],0)))*IF($C352=0,0,$D352/$C352))-1),iff_yuvarMax),0))</f>
        <v/>
      </c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8">
        <f>IF($A353="","",IFERROR(ROUND($H353*((INDEX(tblKurallar[deger_2025],MATCH("IFF-001",tblKurallar[kural_id],0))+(1-INDEX(tblKurallar[deger_2025],MATCH("IFF-001",tblKurallar[kural_id],0)))*IF($C353=0,0,$D353/$C353))-1),iff_yuvarMax),0))</f>
        <v/>
      </c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8">
        <f>IF($A354="","",IFERROR(ROUND($H354*((INDEX(tblKurallar[deger_2025],MATCH("IFF-001",tblKurallar[kural_id],0))+(1-INDEX(tblKurallar[deger_2025],MATCH("IFF-001",tblKurallar[kural_id],0)))*IF($C354=0,0,$D354/$C354))-1),iff_yuvarMax),0))</f>
        <v/>
      </c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8">
        <f>IF($A355="","",IFERROR(ROUND($H355*((INDEX(tblKurallar[deger_2025],MATCH("IFF-001",tblKurallar[kural_id],0))+(1-INDEX(tblKurallar[deger_2025],MATCH("IFF-001",tblKurallar[kural_id],0)))*IF($C355=0,0,$D355/$C355))-1),iff_yuvarMax),0))</f>
        <v/>
      </c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8">
        <f>IF($A356="","",IFERROR(ROUND($H356*((INDEX(tblKurallar[deger_2025],MATCH("IFF-001",tblKurallar[kural_id],0))+(1-INDEX(tblKurallar[deger_2025],MATCH("IFF-001",tblKurallar[kural_id],0)))*IF($C356=0,0,$D356/$C356))-1),iff_yuvarMax),0))</f>
        <v/>
      </c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8">
        <f>IF($A357="","",IFERROR(ROUND($H357*((INDEX(tblKurallar[deger_2025],MATCH("IFF-001",tblKurallar[kural_id],0))+(1-INDEX(tblKurallar[deger_2025],MATCH("IFF-001",tblKurallar[kural_id],0)))*IF($C357=0,0,$D357/$C357))-1),iff_yuvarMax),0))</f>
        <v/>
      </c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8">
        <f>IF($A358="","",IFERROR(ROUND($H358*((INDEX(tblKurallar[deger_2025],MATCH("IFF-001",tblKurallar[kural_id],0))+(1-INDEX(tblKurallar[deger_2025],MATCH("IFF-001",tblKurallar[kural_id],0)))*IF($C358=0,0,$D358/$C358))-1),iff_yuvarMax),0))</f>
        <v/>
      </c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8">
        <f>IF($A359="","",IFERROR(ROUND($H359*((INDEX(tblKurallar[deger_2025],MATCH("IFF-001",tblKurallar[kural_id],0))+(1-INDEX(tblKurallar[deger_2025],MATCH("IFF-001",tblKurallar[kural_id],0)))*IF($C359=0,0,$D359/$C359))-1),iff_yuvarMax),0))</f>
        <v/>
      </c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8">
        <f>IF($A360="","",IFERROR(ROUND($H360*((INDEX(tblKurallar[deger_2025],MATCH("IFF-001",tblKurallar[kural_id],0))+(1-INDEX(tblKurallar[deger_2025],MATCH("IFF-001",tblKurallar[kural_id],0)))*IF($C360=0,0,$D360/$C360))-1),iff_yuvarMax),0))</f>
        <v/>
      </c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8">
        <f>IF($A361="","",IFERROR(ROUND($H361*((INDEX(tblKurallar[deger_2025],MATCH("IFF-001",tblKurallar[kural_id],0))+(1-INDEX(tblKurallar[deger_2025],MATCH("IFF-001",tblKurallar[kural_id],0)))*IF($C361=0,0,$D361/$C361))-1),iff_yuvarMax),0))</f>
        <v/>
      </c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8">
        <f>IF($A362="","",IFERROR(ROUND($H362*((INDEX(tblKurallar[deger_2025],MATCH("IFF-001",tblKurallar[kural_id],0))+(1-INDEX(tblKurallar[deger_2025],MATCH("IFF-001",tblKurallar[kural_id],0)))*IF($C362=0,0,$D362/$C362))-1),iff_yuvarMax),0))</f>
        <v/>
      </c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8">
        <f>IF($A363="","",IFERROR(ROUND($H363*((INDEX(tblKurallar[deger_2025],MATCH("IFF-001",tblKurallar[kural_id],0))+(1-INDEX(tblKurallar[deger_2025],MATCH("IFF-001",tblKurallar[kural_id],0)))*IF($C363=0,0,$D363/$C363))-1),iff_yuvarMax),0))</f>
        <v/>
      </c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8">
        <f>IF($A364="","",IFERROR(ROUND($H364*((INDEX(tblKurallar[deger_2025],MATCH("IFF-001",tblKurallar[kural_id],0))+(1-INDEX(tblKurallar[deger_2025],MATCH("IFF-001",tblKurallar[kural_id],0)))*IF($C364=0,0,$D364/$C364))-1),iff_yuvarMax),0))</f>
        <v/>
      </c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8">
        <f>IF($A365="","",IFERROR(ROUND($H365*((INDEX(tblKurallar[deger_2025],MATCH("IFF-001",tblKurallar[kural_id],0))+(1-INDEX(tblKurallar[deger_2025],MATCH("IFF-001",tblKurallar[kural_id],0)))*IF($C365=0,0,$D365/$C365))-1),iff_yuvarMax),0))</f>
        <v/>
      </c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8">
        <f>IF($A366="","",IFERROR(ROUND($H366*((INDEX(tblKurallar[deger_2025],MATCH("IFF-001",tblKurallar[kural_id],0))+(1-INDEX(tblKurallar[deger_2025],MATCH("IFF-001",tblKurallar[kural_id],0)))*IF($C366=0,0,$D366/$C366))-1),iff_yuvarMax),0))</f>
        <v/>
      </c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8">
        <f>IF($A367="","",IFERROR(ROUND($H367*((INDEX(tblKurallar[deger_2025],MATCH("IFF-001",tblKurallar[kural_id],0))+(1-INDEX(tblKurallar[deger_2025],MATCH("IFF-001",tblKurallar[kural_id],0)))*IF($C367=0,0,$D367/$C367))-1),iff_yuvarMax),0))</f>
        <v/>
      </c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8">
        <f>IF($A368="","",IFERROR(ROUND($H368*((INDEX(tblKurallar[deger_2025],MATCH("IFF-001",tblKurallar[kural_id],0))+(1-INDEX(tblKurallar[deger_2025],MATCH("IFF-001",tblKurallar[kural_id],0)))*IF($C368=0,0,$D368/$C368))-1),iff_yuvarMax),0))</f>
        <v/>
      </c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8">
        <f>IF($A369="","",IFERROR(ROUND($H369*((INDEX(tblKurallar[deger_2025],MATCH("IFF-001",tblKurallar[kural_id],0))+(1-INDEX(tblKurallar[deger_2025],MATCH("IFF-001",tblKurallar[kural_id],0)))*IF($C369=0,0,$D369/$C369))-1),iff_yuvarMax),0))</f>
        <v/>
      </c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8">
        <f>IF($A370="","",IFERROR(ROUND($H370*((INDEX(tblKurallar[deger_2025],MATCH("IFF-001",tblKurallar[kural_id],0))+(1-INDEX(tblKurallar[deger_2025],MATCH("IFF-001",tblKurallar[kural_id],0)))*IF($C370=0,0,$D370/$C370))-1),iff_yuvarMax),0))</f>
        <v/>
      </c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8">
        <f>IF($A371="","",IFERROR(ROUND($H371*((INDEX(tblKurallar[deger_2025],MATCH("IFF-001",tblKurallar[kural_id],0))+(1-INDEX(tblKurallar[deger_2025],MATCH("IFF-001",tblKurallar[kural_id],0)))*IF($C371=0,0,$D371/$C371))-1),iff_yuvarMax),0))</f>
        <v/>
      </c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8">
        <f>IF($A372="","",IFERROR(ROUND($H372*((INDEX(tblKurallar[deger_2025],MATCH("IFF-001",tblKurallar[kural_id],0))+(1-INDEX(tblKurallar[deger_2025],MATCH("IFF-001",tblKurallar[kural_id],0)))*IF($C372=0,0,$D372/$C372))-1),iff_yuvarMax),0))</f>
        <v/>
      </c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8">
        <f>IF($A373="","",IFERROR(ROUND($H373*((INDEX(tblKurallar[deger_2025],MATCH("IFF-001",tblKurallar[kural_id],0))+(1-INDEX(tblKurallar[deger_2025],MATCH("IFF-001",tblKurallar[kural_id],0)))*IF($C373=0,0,$D373/$C373))-1),iff_yuvarMax),0))</f>
        <v/>
      </c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8">
        <f>IF($A374="","",IFERROR(ROUND($H374*((INDEX(tblKurallar[deger_2025],MATCH("IFF-001",tblKurallar[kural_id],0))+(1-INDEX(tblKurallar[deger_2025],MATCH("IFF-001",tblKurallar[kural_id],0)))*IF($C374=0,0,$D374/$C374))-1),iff_yuvarMax),0))</f>
        <v/>
      </c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8">
        <f>IF($A375="","",IFERROR(ROUND($H375*((INDEX(tblKurallar[deger_2025],MATCH("IFF-001",tblKurallar[kural_id],0))+(1-INDEX(tblKurallar[deger_2025],MATCH("IFF-001",tblKurallar[kural_id],0)))*IF($C375=0,0,$D375/$C375))-1),iff_yuvarMax),0))</f>
        <v/>
      </c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8">
        <f>IF($A376="","",IFERROR(ROUND($H376*((INDEX(tblKurallar[deger_2025],MATCH("IFF-001",tblKurallar[kural_id],0))+(1-INDEX(tblKurallar[deger_2025],MATCH("IFF-001",tblKurallar[kural_id],0)))*IF($C376=0,0,$D376/$C376))-1),iff_yuvarMax),0))</f>
        <v/>
      </c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8">
        <f>IF($A377="","",IFERROR(ROUND($H377*((INDEX(tblKurallar[deger_2025],MATCH("IFF-001",tblKurallar[kural_id],0))+(1-INDEX(tblKurallar[deger_2025],MATCH("IFF-001",tblKurallar[kural_id],0)))*IF($C377=0,0,$D377/$C377))-1),iff_yuvarMax),0))</f>
        <v/>
      </c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8">
        <f>IF($A378="","",IFERROR(ROUND($H378*((INDEX(tblKurallar[deger_2025],MATCH("IFF-001",tblKurallar[kural_id],0))+(1-INDEX(tblKurallar[deger_2025],MATCH("IFF-001",tblKurallar[kural_id],0)))*IF($C378=0,0,$D378/$C378))-1),iff_yuvarMax),0))</f>
        <v/>
      </c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8">
        <f>IF($A379="","",IFERROR(ROUND($H379*((INDEX(tblKurallar[deger_2025],MATCH("IFF-001",tblKurallar[kural_id],0))+(1-INDEX(tblKurallar[deger_2025],MATCH("IFF-001",tblKurallar[kural_id],0)))*IF($C379=0,0,$D379/$C379))-1),iff_yuvarMax),0))</f>
        <v/>
      </c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8">
        <f>IF($A380="","",IFERROR(ROUND($H380*((INDEX(tblKurallar[deger_2025],MATCH("IFF-001",tblKurallar[kural_id],0))+(1-INDEX(tblKurallar[deger_2025],MATCH("IFF-001",tblKurallar[kural_id],0)))*IF($C380=0,0,$D380/$C380))-1),iff_yuvarMax),0))</f>
        <v/>
      </c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8">
        <f>IF($A381="","",IFERROR(ROUND($H381*((INDEX(tblKurallar[deger_2025],MATCH("IFF-001",tblKurallar[kural_id],0))+(1-INDEX(tblKurallar[deger_2025],MATCH("IFF-001",tblKurallar[kural_id],0)))*IF($C381=0,0,$D381/$C381))-1),iff_yuvarMax),0))</f>
        <v/>
      </c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8">
        <f>IF($A382="","",IFERROR(ROUND($H382*((INDEX(tblKurallar[deger_2025],MATCH("IFF-001",tblKurallar[kural_id],0))+(1-INDEX(tblKurallar[deger_2025],MATCH("IFF-001",tblKurallar[kural_id],0)))*IF($C382=0,0,$D382/$C382))-1),iff_yuvarMax),0))</f>
        <v/>
      </c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8">
        <f>IF($A383="","",IFERROR(ROUND($H383*((INDEX(tblKurallar[deger_2025],MATCH("IFF-001",tblKurallar[kural_id],0))+(1-INDEX(tblKurallar[deger_2025],MATCH("IFF-001",tblKurallar[kural_id],0)))*IF($C383=0,0,$D383/$C383))-1),iff_yuvarMax),0))</f>
        <v/>
      </c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8">
        <f>IF($A384="","",IFERROR(ROUND($H384*((INDEX(tblKurallar[deger_2025],MATCH("IFF-001",tblKurallar[kural_id],0))+(1-INDEX(tblKurallar[deger_2025],MATCH("IFF-001",tblKurallar[kural_id],0)))*IF($C384=0,0,$D384/$C384))-1),iff_yuvarMax),0))</f>
        <v/>
      </c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8">
        <f>IF($A385="","",IFERROR(ROUND($H385*((INDEX(tblKurallar[deger_2025],MATCH("IFF-001",tblKurallar[kural_id],0))+(1-INDEX(tblKurallar[deger_2025],MATCH("IFF-001",tblKurallar[kural_id],0)))*IF($C385=0,0,$D385/$C385))-1),iff_yuvarMax),0))</f>
        <v/>
      </c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8">
        <f>IF($A386="","",IFERROR(ROUND($H386*((INDEX(tblKurallar[deger_2025],MATCH("IFF-001",tblKurallar[kural_id],0))+(1-INDEX(tblKurallar[deger_2025],MATCH("IFF-001",tblKurallar[kural_id],0)))*IF($C386=0,0,$D386/$C386))-1),iff_yuvarMax),0))</f>
        <v/>
      </c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8">
        <f>IF($A387="","",IFERROR(ROUND($H387*((INDEX(tblKurallar[deger_2025],MATCH("IFF-001",tblKurallar[kural_id],0))+(1-INDEX(tblKurallar[deger_2025],MATCH("IFF-001",tblKurallar[kural_id],0)))*IF($C387=0,0,$D387/$C387))-1),iff_yuvarMax),0))</f>
        <v/>
      </c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8">
        <f>IF($A388="","",IFERROR(ROUND($H388*((INDEX(tblKurallar[deger_2025],MATCH("IFF-001",tblKurallar[kural_id],0))+(1-INDEX(tblKurallar[deger_2025],MATCH("IFF-001",tblKurallar[kural_id],0)))*IF($C388=0,0,$D388/$C388))-1),iff_yuvarMax),0))</f>
        <v/>
      </c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8">
        <f>IF($A389="","",IFERROR(ROUND($H389*((INDEX(tblKurallar[deger_2025],MATCH("IFF-001",tblKurallar[kural_id],0))+(1-INDEX(tblKurallar[deger_2025],MATCH("IFF-001",tblKurallar[kural_id],0)))*IF($C389=0,0,$D389/$C389))-1),iff_yuvarMax),0))</f>
        <v/>
      </c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8">
        <f>IF($A390="","",IFERROR(ROUND($H390*((INDEX(tblKurallar[deger_2025],MATCH("IFF-001",tblKurallar[kural_id],0))+(1-INDEX(tblKurallar[deger_2025],MATCH("IFF-001",tblKurallar[kural_id],0)))*IF($C390=0,0,$D390/$C390))-1),iff_yuvarMax),0))</f>
        <v/>
      </c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8">
        <f>IF($A391="","",IFERROR(ROUND($H391*((INDEX(tblKurallar[deger_2025],MATCH("IFF-001",tblKurallar[kural_id],0))+(1-INDEX(tblKurallar[deger_2025],MATCH("IFF-001",tblKurallar[kural_id],0)))*IF($C391=0,0,$D391/$C391))-1),iff_yuvarMax),0))</f>
        <v/>
      </c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8">
        <f>IF($A392="","",IFERROR(ROUND($H392*((INDEX(tblKurallar[deger_2025],MATCH("IFF-001",tblKurallar[kural_id],0))+(1-INDEX(tblKurallar[deger_2025],MATCH("IFF-001",tblKurallar[kural_id],0)))*IF($C392=0,0,$D392/$C392))-1),iff_yuvarMax),0))</f>
        <v/>
      </c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8">
        <f>IF($A393="","",IFERROR(ROUND($H393*((INDEX(tblKurallar[deger_2025],MATCH("IFF-001",tblKurallar[kural_id],0))+(1-INDEX(tblKurallar[deger_2025],MATCH("IFF-001",tblKurallar[kural_id],0)))*IF($C393=0,0,$D393/$C393))-1),iff_yuvarMax),0))</f>
        <v/>
      </c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8">
        <f>IF($A394="","",IFERROR(ROUND($H394*((INDEX(tblKurallar[deger_2025],MATCH("IFF-001",tblKurallar[kural_id],0))+(1-INDEX(tblKurallar[deger_2025],MATCH("IFF-001",tblKurallar[kural_id],0)))*IF($C394=0,0,$D394/$C394))-1),iff_yuvarMax),0))</f>
        <v/>
      </c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8">
        <f>IF($A395="","",IFERROR(ROUND($H395*((INDEX(tblKurallar[deger_2025],MATCH("IFF-001",tblKurallar[kural_id],0))+(1-INDEX(tblKurallar[deger_2025],MATCH("IFF-001",tblKurallar[kural_id],0)))*IF($C395=0,0,$D395/$C395))-1),iff_yuvarMax),0))</f>
        <v/>
      </c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8">
        <f>IF($A396="","",IFERROR(ROUND($H396*((INDEX(tblKurallar[deger_2025],MATCH("IFF-001",tblKurallar[kural_id],0))+(1-INDEX(tblKurallar[deger_2025],MATCH("IFF-001",tblKurallar[kural_id],0)))*IF($C396=0,0,$D396/$C396))-1),iff_yuvarMax),0))</f>
        <v/>
      </c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8">
        <f>IF($A397="","",IFERROR(ROUND($H397*((INDEX(tblKurallar[deger_2025],MATCH("IFF-001",tblKurallar[kural_id],0))+(1-INDEX(tblKurallar[deger_2025],MATCH("IFF-001",tblKurallar[kural_id],0)))*IF($C397=0,0,$D397/$C397))-1),iff_yuvarMax),0))</f>
        <v/>
      </c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8">
        <f>IF($A398="","",IFERROR(ROUND($H398*((INDEX(tblKurallar[deger_2025],MATCH("IFF-001",tblKurallar[kural_id],0))+(1-INDEX(tblKurallar[deger_2025],MATCH("IFF-001",tblKurallar[kural_id],0)))*IF($C398=0,0,$D398/$C398))-1),iff_yuvarMax),0))</f>
        <v/>
      </c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8">
        <f>IF($A399="","",IFERROR(ROUND($H399*((INDEX(tblKurallar[deger_2025],MATCH("IFF-001",tblKurallar[kural_id],0))+(1-INDEX(tblKurallar[deger_2025],MATCH("IFF-001",tblKurallar[kural_id],0)))*IF($C399=0,0,$D399/$C399))-1),iff_yuvarMax),0))</f>
        <v/>
      </c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8">
        <f>IF($A400="","",IFERROR(ROUND($H400*((INDEX(tblKurallar[deger_2025],MATCH("IFF-001",tblKurallar[kural_id],0))+(1-INDEX(tblKurallar[deger_2025],MATCH("IFF-001",tblKurallar[kural_id],0)))*IF($C400=0,0,$D400/$C400))-1),iff_yuvarMax),0))</f>
        <v/>
      </c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8">
        <f>IF($A401="","",IFERROR(ROUND($H401*((INDEX(tblKurallar[deger_2025],MATCH("IFF-001",tblKurallar[kural_id],0))+(1-INDEX(tblKurallar[deger_2025],MATCH("IFF-001",tblKurallar[kural_id],0)))*IF($C401=0,0,$D401/$C401))-1),iff_yuvarMax),0))</f>
        <v/>
      </c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8">
        <f>IF($A402="","",IFERROR(ROUND($H402*((INDEX(tblKurallar[deger_2025],MATCH("IFF-001",tblKurallar[kural_id],0))+(1-INDEX(tblKurallar[deger_2025],MATCH("IFF-001",tblKurallar[kural_id],0)))*IF($C402=0,0,$D402/$C402))-1),iff_yuvarMax),0))</f>
        <v/>
      </c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8">
        <f>IF($A403="","",IFERROR(ROUND($H403*((INDEX(tblKurallar[deger_2025],MATCH("IFF-001",tblKurallar[kural_id],0))+(1-INDEX(tblKurallar[deger_2025],MATCH("IFF-001",tblKurallar[kural_id],0)))*IF($C403=0,0,$D403/$C403))-1),iff_yuvarMax),0))</f>
        <v/>
      </c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8">
        <f>IF($A404="","",IFERROR(ROUND($H404*((INDEX(tblKurallar[deger_2025],MATCH("IFF-001",tblKurallar[kural_id],0))+(1-INDEX(tblKurallar[deger_2025],MATCH("IFF-001",tblKurallar[kural_id],0)))*IF($C404=0,0,$D404/$C404))-1),iff_yuvarMax),0))</f>
        <v/>
      </c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8">
        <f>IF($A405="","",IFERROR(ROUND($H405*((INDEX(tblKurallar[deger_2025],MATCH("IFF-001",tblKurallar[kural_id],0))+(1-INDEX(tblKurallar[deger_2025],MATCH("IFF-001",tblKurallar[kural_id],0)))*IF($C405=0,0,$D405/$C405))-1),iff_yuvarMax),0))</f>
        <v/>
      </c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8">
        <f>IF($A406="","",IFERROR(ROUND($H406*((INDEX(tblKurallar[deger_2025],MATCH("IFF-001",tblKurallar[kural_id],0))+(1-INDEX(tblKurallar[deger_2025],MATCH("IFF-001",tblKurallar[kural_id],0)))*IF($C406=0,0,$D406/$C406))-1),iff_yuvarMax),0))</f>
        <v/>
      </c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8">
        <f>IF($A407="","",IFERROR(ROUND($H407*((INDEX(tblKurallar[deger_2025],MATCH("IFF-001",tblKurallar[kural_id],0))+(1-INDEX(tblKurallar[deger_2025],MATCH("IFF-001",tblKurallar[kural_id],0)))*IF($C407=0,0,$D407/$C407))-1),iff_yuvarMax),0))</f>
        <v/>
      </c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8">
        <f>IF($A408="","",IFERROR(ROUND($H408*((INDEX(tblKurallar[deger_2025],MATCH("IFF-001",tblKurallar[kural_id],0))+(1-INDEX(tblKurallar[deger_2025],MATCH("IFF-001",tblKurallar[kural_id],0)))*IF($C408=0,0,$D408/$C408))-1),iff_yuvarMax),0))</f>
        <v/>
      </c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8">
        <f>IF($A409="","",IFERROR(ROUND($H409*((INDEX(tblKurallar[deger_2025],MATCH("IFF-001",tblKurallar[kural_id],0))+(1-INDEX(tblKurallar[deger_2025],MATCH("IFF-001",tblKurallar[kural_id],0)))*IF($C409=0,0,$D409/$C409))-1),iff_yuvarMax),0))</f>
        <v/>
      </c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8">
        <f>IF($A410="","",IFERROR(ROUND($H410*((INDEX(tblKurallar[deger_2025],MATCH("IFF-001",tblKurallar[kural_id],0))+(1-INDEX(tblKurallar[deger_2025],MATCH("IFF-001",tblKurallar[kural_id],0)))*IF($C410=0,0,$D410/$C410))-1),iff_yuvarMax),0))</f>
        <v/>
      </c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8">
        <f>IF($A411="","",IFERROR(ROUND($H411*((INDEX(tblKurallar[deger_2025],MATCH("IFF-001",tblKurallar[kural_id],0))+(1-INDEX(tblKurallar[deger_2025],MATCH("IFF-001",tblKurallar[kural_id],0)))*IF($C411=0,0,$D411/$C411))-1),iff_yuvarMax),0))</f>
        <v/>
      </c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8">
        <f>IF($A412="","",IFERROR(ROUND($H412*((INDEX(tblKurallar[deger_2025],MATCH("IFF-001",tblKurallar[kural_id],0))+(1-INDEX(tblKurallar[deger_2025],MATCH("IFF-001",tblKurallar[kural_id],0)))*IF($C412=0,0,$D412/$C412))-1),iff_yuvarMax),0))</f>
        <v/>
      </c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8">
        <f>IF($A413="","",IFERROR(ROUND($H413*((INDEX(tblKurallar[deger_2025],MATCH("IFF-001",tblKurallar[kural_id],0))+(1-INDEX(tblKurallar[deger_2025],MATCH("IFF-001",tblKurallar[kural_id],0)))*IF($C413=0,0,$D413/$C413))-1),iff_yuvarMax),0))</f>
        <v/>
      </c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8">
        <f>IF($A414="","",IFERROR(ROUND($H414*((INDEX(tblKurallar[deger_2025],MATCH("IFF-001",tblKurallar[kural_id],0))+(1-INDEX(tblKurallar[deger_2025],MATCH("IFF-001",tblKurallar[kural_id],0)))*IF($C414=0,0,$D414/$C414))-1),iff_yuvarMax),0))</f>
        <v/>
      </c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8">
        <f>IF($A415="","",IFERROR(ROUND($H415*((INDEX(tblKurallar[deger_2025],MATCH("IFF-001",tblKurallar[kural_id],0))+(1-INDEX(tblKurallar[deger_2025],MATCH("IFF-001",tblKurallar[kural_id],0)))*IF($C415=0,0,$D415/$C415))-1),iff_yuvarMax),0))</f>
        <v/>
      </c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8">
        <f>IF($A416="","",IFERROR(ROUND($H416*((INDEX(tblKurallar[deger_2025],MATCH("IFF-001",tblKurallar[kural_id],0))+(1-INDEX(tblKurallar[deger_2025],MATCH("IFF-001",tblKurallar[kural_id],0)))*IF($C416=0,0,$D416/$C416))-1),iff_yuvarMax),0))</f>
        <v/>
      </c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8">
        <f>IF($A417="","",IFERROR(ROUND($H417*((INDEX(tblKurallar[deger_2025],MATCH("IFF-001",tblKurallar[kural_id],0))+(1-INDEX(tblKurallar[deger_2025],MATCH("IFF-001",tblKurallar[kural_id],0)))*IF($C417=0,0,$D417/$C417))-1),iff_yuvarMax),0))</f>
        <v/>
      </c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8">
        <f>IF($A418="","",IFERROR(ROUND($H418*((INDEX(tblKurallar[deger_2025],MATCH("IFF-001",tblKurallar[kural_id],0))+(1-INDEX(tblKurallar[deger_2025],MATCH("IFF-001",tblKurallar[kural_id],0)))*IF($C418=0,0,$D418/$C418))-1),iff_yuvarMax),0))</f>
        <v/>
      </c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8">
        <f>IF($A419="","",IFERROR(ROUND($H419*((INDEX(tblKurallar[deger_2025],MATCH("IFF-001",tblKurallar[kural_id],0))+(1-INDEX(tblKurallar[deger_2025],MATCH("IFF-001",tblKurallar[kural_id],0)))*IF($C419=0,0,$D419/$C419))-1),iff_yuvarMax),0))</f>
        <v/>
      </c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8">
        <f>IF($A420="","",IFERROR(ROUND($H420*((INDEX(tblKurallar[deger_2025],MATCH("IFF-001",tblKurallar[kural_id],0))+(1-INDEX(tblKurallar[deger_2025],MATCH("IFF-001",tblKurallar[kural_id],0)))*IF($C420=0,0,$D420/$C420))-1),iff_yuvarMax),0))</f>
        <v/>
      </c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8">
        <f>IF($A421="","",IFERROR(ROUND($H421*((INDEX(tblKurallar[deger_2025],MATCH("IFF-001",tblKurallar[kural_id],0))+(1-INDEX(tblKurallar[deger_2025],MATCH("IFF-001",tblKurallar[kural_id],0)))*IF($C421=0,0,$D421/$C421))-1),iff_yuvarMax),0))</f>
        <v/>
      </c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8">
        <f>IF($A422="","",IFERROR(ROUND($H422*((INDEX(tblKurallar[deger_2025],MATCH("IFF-001",tblKurallar[kural_id],0))+(1-INDEX(tblKurallar[deger_2025],MATCH("IFF-001",tblKurallar[kural_id],0)))*IF($C422=0,0,$D422/$C422))-1),iff_yuvarMax),0))</f>
        <v/>
      </c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8">
        <f>IF($A423="","",IFERROR(ROUND($H423*((INDEX(tblKurallar[deger_2025],MATCH("IFF-001",tblKurallar[kural_id],0))+(1-INDEX(tblKurallar[deger_2025],MATCH("IFF-001",tblKurallar[kural_id],0)))*IF($C423=0,0,$D423/$C423))-1),iff_yuvarMax),0))</f>
        <v/>
      </c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8">
        <f>IF($A424="","",IFERROR(ROUND($H424*((INDEX(tblKurallar[deger_2025],MATCH("IFF-001",tblKurallar[kural_id],0))+(1-INDEX(tblKurallar[deger_2025],MATCH("IFF-001",tblKurallar[kural_id],0)))*IF($C424=0,0,$D424/$C424))-1),iff_yuvarMax),0))</f>
        <v/>
      </c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8">
        <f>IF($A425="","",IFERROR(ROUND($H425*((INDEX(tblKurallar[deger_2025],MATCH("IFF-001",tblKurallar[kural_id],0))+(1-INDEX(tblKurallar[deger_2025],MATCH("IFF-001",tblKurallar[kural_id],0)))*IF($C425=0,0,$D425/$C425))-1),iff_yuvarMax),0))</f>
        <v/>
      </c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8">
        <f>IF($A426="","",IFERROR(ROUND($H426*((INDEX(tblKurallar[deger_2025],MATCH("IFF-001",tblKurallar[kural_id],0))+(1-INDEX(tblKurallar[deger_2025],MATCH("IFF-001",tblKurallar[kural_id],0)))*IF($C426=0,0,$D426/$C426))-1),iff_yuvarMax),0))</f>
        <v/>
      </c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8">
        <f>IF($A427="","",IFERROR(ROUND($H427*((INDEX(tblKurallar[deger_2025],MATCH("IFF-001",tblKurallar[kural_id],0))+(1-INDEX(tblKurallar[deger_2025],MATCH("IFF-001",tblKurallar[kural_id],0)))*IF($C427=0,0,$D427/$C427))-1),iff_yuvarMax),0))</f>
        <v/>
      </c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8">
        <f>IF($A428="","",IFERROR(ROUND($H428*((INDEX(tblKurallar[deger_2025],MATCH("IFF-001",tblKurallar[kural_id],0))+(1-INDEX(tblKurallar[deger_2025],MATCH("IFF-001",tblKurallar[kural_id],0)))*IF($C428=0,0,$D428/$C428))-1),iff_yuvarMax),0))</f>
        <v/>
      </c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8">
        <f>IF($A429="","",IFERROR(ROUND($H429*((INDEX(tblKurallar[deger_2025],MATCH("IFF-001",tblKurallar[kural_id],0))+(1-INDEX(tblKurallar[deger_2025],MATCH("IFF-001",tblKurallar[kural_id],0)))*IF($C429=0,0,$D429/$C429))-1),iff_yuvarMax),0))</f>
        <v/>
      </c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8">
        <f>IF($A430="","",IFERROR(ROUND($H430*((INDEX(tblKurallar[deger_2025],MATCH("IFF-001",tblKurallar[kural_id],0))+(1-INDEX(tblKurallar[deger_2025],MATCH("IFF-001",tblKurallar[kural_id],0)))*IF($C430=0,0,$D430/$C430))-1),iff_yuvarMax),0))</f>
        <v/>
      </c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8">
        <f>IF($A431="","",IFERROR(ROUND($H431*((INDEX(tblKurallar[deger_2025],MATCH("IFF-001",tblKurallar[kural_id],0))+(1-INDEX(tblKurallar[deger_2025],MATCH("IFF-001",tblKurallar[kural_id],0)))*IF($C431=0,0,$D431/$C431))-1),iff_yuvarMax),0))</f>
        <v/>
      </c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8">
        <f>IF($A432="","",IFERROR(ROUND($H432*((INDEX(tblKurallar[deger_2025],MATCH("IFF-001",tblKurallar[kural_id],0))+(1-INDEX(tblKurallar[deger_2025],MATCH("IFF-001",tblKurallar[kural_id],0)))*IF($C432=0,0,$D432/$C432))-1),iff_yuvarMax),0))</f>
        <v/>
      </c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8">
        <f>IF($A433="","",IFERROR(ROUND($H433*((INDEX(tblKurallar[deger_2025],MATCH("IFF-001",tblKurallar[kural_id],0))+(1-INDEX(tblKurallar[deger_2025],MATCH("IFF-001",tblKurallar[kural_id],0)))*IF($C433=0,0,$D433/$C433))-1),iff_yuvarMax),0))</f>
        <v/>
      </c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8">
        <f>IF($A434="","",IFERROR(ROUND($H434*((INDEX(tblKurallar[deger_2025],MATCH("IFF-001",tblKurallar[kural_id],0))+(1-INDEX(tblKurallar[deger_2025],MATCH("IFF-001",tblKurallar[kural_id],0)))*IF($C434=0,0,$D434/$C434))-1),iff_yuvarMax),0))</f>
        <v/>
      </c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8">
        <f>IF($A435="","",IFERROR(ROUND($H435*((INDEX(tblKurallar[deger_2025],MATCH("IFF-001",tblKurallar[kural_id],0))+(1-INDEX(tblKurallar[deger_2025],MATCH("IFF-001",tblKurallar[kural_id],0)))*IF($C435=0,0,$D435/$C435))-1),iff_yuvarMax),0))</f>
        <v/>
      </c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8">
        <f>IF($A436="","",IFERROR(ROUND($H436*((INDEX(tblKurallar[deger_2025],MATCH("IFF-001",tblKurallar[kural_id],0))+(1-INDEX(tblKurallar[deger_2025],MATCH("IFF-001",tblKurallar[kural_id],0)))*IF($C436=0,0,$D436/$C436))-1),iff_yuvarMax),0))</f>
        <v/>
      </c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8">
        <f>IF($A437="","",IFERROR(ROUND($H437*((INDEX(tblKurallar[deger_2025],MATCH("IFF-001",tblKurallar[kural_id],0))+(1-INDEX(tblKurallar[deger_2025],MATCH("IFF-001",tblKurallar[kural_id],0)))*IF($C437=0,0,$D437/$C437))-1),iff_yuvarMax),0))</f>
        <v/>
      </c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8">
        <f>IF($A438="","",IFERROR(ROUND($H438*((INDEX(tblKurallar[deger_2025],MATCH("IFF-001",tblKurallar[kural_id],0))+(1-INDEX(tblKurallar[deger_2025],MATCH("IFF-001",tblKurallar[kural_id],0)))*IF($C438=0,0,$D438/$C438))-1),iff_yuvarMax),0))</f>
        <v/>
      </c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8">
        <f>IF($A439="","",IFERROR(ROUND($H439*((INDEX(tblKurallar[deger_2025],MATCH("IFF-001",tblKurallar[kural_id],0))+(1-INDEX(tblKurallar[deger_2025],MATCH("IFF-001",tblKurallar[kural_id],0)))*IF($C439=0,0,$D439/$C439))-1),iff_yuvarMax),0))</f>
        <v/>
      </c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8">
        <f>IF($A440="","",IFERROR(ROUND($H440*((INDEX(tblKurallar[deger_2025],MATCH("IFF-001",tblKurallar[kural_id],0))+(1-INDEX(tblKurallar[deger_2025],MATCH("IFF-001",tblKurallar[kural_id],0)))*IF($C440=0,0,$D440/$C440))-1),iff_yuvarMax),0))</f>
        <v/>
      </c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8">
        <f>IF($A441="","",IFERROR(ROUND($H441*((INDEX(tblKurallar[deger_2025],MATCH("IFF-001",tblKurallar[kural_id],0))+(1-INDEX(tblKurallar[deger_2025],MATCH("IFF-001",tblKurallar[kural_id],0)))*IF($C441=0,0,$D441/$C441))-1),iff_yuvarMax),0))</f>
        <v/>
      </c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8">
        <f>IF($A442="","",IFERROR(ROUND($H442*((INDEX(tblKurallar[deger_2025],MATCH("IFF-001",tblKurallar[kural_id],0))+(1-INDEX(tblKurallar[deger_2025],MATCH("IFF-001",tblKurallar[kural_id],0)))*IF($C442=0,0,$D442/$C442))-1),iff_yuvarMax),0))</f>
        <v/>
      </c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8">
        <f>IF($A443="","",IFERROR(ROUND($H443*((INDEX(tblKurallar[deger_2025],MATCH("IFF-001",tblKurallar[kural_id],0))+(1-INDEX(tblKurallar[deger_2025],MATCH("IFF-001",tblKurallar[kural_id],0)))*IF($C443=0,0,$D443/$C443))-1),iff_yuvarMax),0))</f>
        <v/>
      </c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8">
        <f>IF($A444="","",IFERROR(ROUND($H444*((INDEX(tblKurallar[deger_2025],MATCH("IFF-001",tblKurallar[kural_id],0))+(1-INDEX(tblKurallar[deger_2025],MATCH("IFF-001",tblKurallar[kural_id],0)))*IF($C444=0,0,$D444/$C444))-1),iff_yuvarMax),0))</f>
        <v/>
      </c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8">
        <f>IF($A445="","",IFERROR(ROUND($H445*((INDEX(tblKurallar[deger_2025],MATCH("IFF-001",tblKurallar[kural_id],0))+(1-INDEX(tblKurallar[deger_2025],MATCH("IFF-001",tblKurallar[kural_id],0)))*IF($C445=0,0,$D445/$C445))-1),iff_yuvarMax),0))</f>
        <v/>
      </c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8">
        <f>IF($A446="","",IFERROR(ROUND($H446*((INDEX(tblKurallar[deger_2025],MATCH("IFF-001",tblKurallar[kural_id],0))+(1-INDEX(tblKurallar[deger_2025],MATCH("IFF-001",tblKurallar[kural_id],0)))*IF($C446=0,0,$D446/$C446))-1),iff_yuvarMax),0))</f>
        <v/>
      </c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8">
        <f>IF($A447="","",IFERROR(ROUND($H447*((INDEX(tblKurallar[deger_2025],MATCH("IFF-001",tblKurallar[kural_id],0))+(1-INDEX(tblKurallar[deger_2025],MATCH("IFF-001",tblKurallar[kural_id],0)))*IF($C447=0,0,$D447/$C447))-1),iff_yuvarMax),0))</f>
        <v/>
      </c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8">
        <f>IF($A448="","",IFERROR(ROUND($H448*((INDEX(tblKurallar[deger_2025],MATCH("IFF-001",tblKurallar[kural_id],0))+(1-INDEX(tblKurallar[deger_2025],MATCH("IFF-001",tblKurallar[kural_id],0)))*IF($C448=0,0,$D448/$C448))-1),iff_yuvarMax),0))</f>
        <v/>
      </c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8">
        <f>IF($A449="","",IFERROR(ROUND($H449*((INDEX(tblKurallar[deger_2025],MATCH("IFF-001",tblKurallar[kural_id],0))+(1-INDEX(tblKurallar[deger_2025],MATCH("IFF-001",tblKurallar[kural_id],0)))*IF($C449=0,0,$D449/$C449))-1),iff_yuvarMax),0))</f>
        <v/>
      </c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8">
        <f>IF($A450="","",IFERROR(ROUND($H450*((INDEX(tblKurallar[deger_2025],MATCH("IFF-001",tblKurallar[kural_id],0))+(1-INDEX(tblKurallar[deger_2025],MATCH("IFF-001",tblKurallar[kural_id],0)))*IF($C450=0,0,$D450/$C450))-1),iff_yuvarMax),0))</f>
        <v/>
      </c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8">
        <f>IF($A451="","",IFERROR(ROUND($H451*((INDEX(tblKurallar[deger_2025],MATCH("IFF-001",tblKurallar[kural_id],0))+(1-INDEX(tblKurallar[deger_2025],MATCH("IFF-001",tblKurallar[kural_id],0)))*IF($C451=0,0,$D451/$C451))-1),iff_yuvarMax),0))</f>
        <v/>
      </c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8">
        <f>IF($A452="","",IFERROR(ROUND($H452*((INDEX(tblKurallar[deger_2025],MATCH("IFF-001",tblKurallar[kural_id],0))+(1-INDEX(tblKurallar[deger_2025],MATCH("IFF-001",tblKurallar[kural_id],0)))*IF($C452=0,0,$D452/$C452))-1),iff_yuvarMax),0))</f>
        <v/>
      </c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8">
        <f>IF($A453="","",IFERROR(ROUND($H453*((INDEX(tblKurallar[deger_2025],MATCH("IFF-001",tblKurallar[kural_id],0))+(1-INDEX(tblKurallar[deger_2025],MATCH("IFF-001",tblKurallar[kural_id],0)))*IF($C453=0,0,$D453/$C453))-1),iff_yuvarMax),0))</f>
        <v/>
      </c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8">
        <f>IF($A454="","",IFERROR(ROUND($H454*((INDEX(tblKurallar[deger_2025],MATCH("IFF-001",tblKurallar[kural_id],0))+(1-INDEX(tblKurallar[deger_2025],MATCH("IFF-001",tblKurallar[kural_id],0)))*IF($C454=0,0,$D454/$C454))-1),iff_yuvarMax),0))</f>
        <v/>
      </c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8">
        <f>IF($A455="","",IFERROR(ROUND($H455*((INDEX(tblKurallar[deger_2025],MATCH("IFF-001",tblKurallar[kural_id],0))+(1-INDEX(tblKurallar[deger_2025],MATCH("IFF-001",tblKurallar[kural_id],0)))*IF($C455=0,0,$D455/$C455))-1),iff_yuvarMax),0))</f>
        <v/>
      </c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8">
        <f>IF($A456="","",IFERROR(ROUND($H456*((INDEX(tblKurallar[deger_2025],MATCH("IFF-001",tblKurallar[kural_id],0))+(1-INDEX(tblKurallar[deger_2025],MATCH("IFF-001",tblKurallar[kural_id],0)))*IF($C456=0,0,$D456/$C456))-1),iff_yuvarMax),0))</f>
        <v/>
      </c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8">
        <f>IF($A457="","",IFERROR(ROUND($H457*((INDEX(tblKurallar[deger_2025],MATCH("IFF-001",tblKurallar[kural_id],0))+(1-INDEX(tblKurallar[deger_2025],MATCH("IFF-001",tblKurallar[kural_id],0)))*IF($C457=0,0,$D457/$C457))-1),iff_yuvarMax),0))</f>
        <v/>
      </c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8">
        <f>IF($A458="","",IFERROR(ROUND($H458*((INDEX(tblKurallar[deger_2025],MATCH("IFF-001",tblKurallar[kural_id],0))+(1-INDEX(tblKurallar[deger_2025],MATCH("IFF-001",tblKurallar[kural_id],0)))*IF($C458=0,0,$D458/$C458))-1),iff_yuvarMax),0))</f>
        <v/>
      </c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8">
        <f>IF($A459="","",IFERROR(ROUND($H459*((INDEX(tblKurallar[deger_2025],MATCH("IFF-001",tblKurallar[kural_id],0))+(1-INDEX(tblKurallar[deger_2025],MATCH("IFF-001",tblKurallar[kural_id],0)))*IF($C459=0,0,$D459/$C459))-1),iff_yuvarMax),0))</f>
        <v/>
      </c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8">
        <f>IF($A460="","",IFERROR(ROUND($H460*((INDEX(tblKurallar[deger_2025],MATCH("IFF-001",tblKurallar[kural_id],0))+(1-INDEX(tblKurallar[deger_2025],MATCH("IFF-001",tblKurallar[kural_id],0)))*IF($C460=0,0,$D460/$C460))-1),iff_yuvarMax),0))</f>
        <v/>
      </c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8">
        <f>IF($A461="","",IFERROR(ROUND($H461*((INDEX(tblKurallar[deger_2025],MATCH("IFF-001",tblKurallar[kural_id],0))+(1-INDEX(tblKurallar[deger_2025],MATCH("IFF-001",tblKurallar[kural_id],0)))*IF($C461=0,0,$D461/$C461))-1),iff_yuvarMax),0))</f>
        <v/>
      </c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8">
        <f>IF($A462="","",IFERROR(ROUND($H462*((INDEX(tblKurallar[deger_2025],MATCH("IFF-001",tblKurallar[kural_id],0))+(1-INDEX(tblKurallar[deger_2025],MATCH("IFF-001",tblKurallar[kural_id],0)))*IF($C462=0,0,$D462/$C462))-1),iff_yuvarMax),0))</f>
        <v/>
      </c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8">
        <f>IF($A463="","",IFERROR(ROUND($H463*((INDEX(tblKurallar[deger_2025],MATCH("IFF-001",tblKurallar[kural_id],0))+(1-INDEX(tblKurallar[deger_2025],MATCH("IFF-001",tblKurallar[kural_id],0)))*IF($C463=0,0,$D463/$C463))-1),iff_yuvarMax),0))</f>
        <v/>
      </c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8">
        <f>IF($A464="","",IFERROR(ROUND($H464*((INDEX(tblKurallar[deger_2025],MATCH("IFF-001",tblKurallar[kural_id],0))+(1-INDEX(tblKurallar[deger_2025],MATCH("IFF-001",tblKurallar[kural_id],0)))*IF($C464=0,0,$D464/$C464))-1),iff_yuvarMax),0))</f>
        <v/>
      </c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8">
        <f>IF($A465="","",IFERROR(ROUND($H465*((INDEX(tblKurallar[deger_2025],MATCH("IFF-001",tblKurallar[kural_id],0))+(1-INDEX(tblKurallar[deger_2025],MATCH("IFF-001",tblKurallar[kural_id],0)))*IF($C465=0,0,$D465/$C465))-1),iff_yuvarMax),0))</f>
        <v/>
      </c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8">
        <f>IF($A466="","",IFERROR(ROUND($H466*((INDEX(tblKurallar[deger_2025],MATCH("IFF-001",tblKurallar[kural_id],0))+(1-INDEX(tblKurallar[deger_2025],MATCH("IFF-001",tblKurallar[kural_id],0)))*IF($C466=0,0,$D466/$C466))-1),iff_yuvarMax),0))</f>
        <v/>
      </c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8">
        <f>IF($A467="","",IFERROR(ROUND($H467*((INDEX(tblKurallar[deger_2025],MATCH("IFF-001",tblKurallar[kural_id],0))+(1-INDEX(tblKurallar[deger_2025],MATCH("IFF-001",tblKurallar[kural_id],0)))*IF($C467=0,0,$D467/$C467))-1),iff_yuvarMax),0))</f>
        <v/>
      </c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8">
        <f>IF($A468="","",IFERROR(ROUND($H468*((INDEX(tblKurallar[deger_2025],MATCH("IFF-001",tblKurallar[kural_id],0))+(1-INDEX(tblKurallar[deger_2025],MATCH("IFF-001",tblKurallar[kural_id],0)))*IF($C468=0,0,$D468/$C468))-1),iff_yuvarMax),0))</f>
        <v/>
      </c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8">
        <f>IF($A469="","",IFERROR(ROUND($H469*((INDEX(tblKurallar[deger_2025],MATCH("IFF-001",tblKurallar[kural_id],0))+(1-INDEX(tblKurallar[deger_2025],MATCH("IFF-001",tblKurallar[kural_id],0)))*IF($C469=0,0,$D469/$C469))-1),iff_yuvarMax),0))</f>
        <v/>
      </c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8">
        <f>IF($A470="","",IFERROR(ROUND($H470*((INDEX(tblKurallar[deger_2025],MATCH("IFF-001",tblKurallar[kural_id],0))+(1-INDEX(tblKurallar[deger_2025],MATCH("IFF-001",tblKurallar[kural_id],0)))*IF($C470=0,0,$D470/$C470))-1),iff_yuvarMax),0))</f>
        <v/>
      </c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8">
        <f>IF($A471="","",IFERROR(ROUND($H471*((INDEX(tblKurallar[deger_2025],MATCH("IFF-001",tblKurallar[kural_id],0))+(1-INDEX(tblKurallar[deger_2025],MATCH("IFF-001",tblKurallar[kural_id],0)))*IF($C471=0,0,$D471/$C471))-1),iff_yuvarMax),0))</f>
        <v/>
      </c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8">
        <f>IF($A472="","",IFERROR(ROUND($H472*((INDEX(tblKurallar[deger_2025],MATCH("IFF-001",tblKurallar[kural_id],0))+(1-INDEX(tblKurallar[deger_2025],MATCH("IFF-001",tblKurallar[kural_id],0)))*IF($C472=0,0,$D472/$C472))-1),iff_yuvarMax),0))</f>
        <v/>
      </c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8">
        <f>IF($A473="","",IFERROR(ROUND($H473*((INDEX(tblKurallar[deger_2025],MATCH("IFF-001",tblKurallar[kural_id],0))+(1-INDEX(tblKurallar[deger_2025],MATCH("IFF-001",tblKurallar[kural_id],0)))*IF($C473=0,0,$D473/$C473))-1),iff_yuvarMax),0))</f>
        <v/>
      </c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8">
        <f>IF($A474="","",IFERROR(ROUND($H474*((INDEX(tblKurallar[deger_2025],MATCH("IFF-001",tblKurallar[kural_id],0))+(1-INDEX(tblKurallar[deger_2025],MATCH("IFF-001",tblKurallar[kural_id],0)))*IF($C474=0,0,$D474/$C474))-1),iff_yuvarMax),0))</f>
        <v/>
      </c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8">
        <f>IF($A475="","",IFERROR(ROUND($H475*((INDEX(tblKurallar[deger_2025],MATCH("IFF-001",tblKurallar[kural_id],0))+(1-INDEX(tblKurallar[deger_2025],MATCH("IFF-001",tblKurallar[kural_id],0)))*IF($C475=0,0,$D475/$C475))-1),iff_yuvarMax),0))</f>
        <v/>
      </c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8">
        <f>IF($A476="","",IFERROR(ROUND($H476*((INDEX(tblKurallar[deger_2025],MATCH("IFF-001",tblKurallar[kural_id],0))+(1-INDEX(tblKurallar[deger_2025],MATCH("IFF-001",tblKurallar[kural_id],0)))*IF($C476=0,0,$D476/$C476))-1),iff_yuvarMax),0))</f>
        <v/>
      </c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8">
        <f>IF($A477="","",IFERROR(ROUND($H477*((INDEX(tblKurallar[deger_2025],MATCH("IFF-001",tblKurallar[kural_id],0))+(1-INDEX(tblKurallar[deger_2025],MATCH("IFF-001",tblKurallar[kural_id],0)))*IF($C477=0,0,$D477/$C477))-1),iff_yuvarMax),0))</f>
        <v/>
      </c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8">
        <f>IF($A478="","",IFERROR(ROUND($H478*((INDEX(tblKurallar[deger_2025],MATCH("IFF-001",tblKurallar[kural_id],0))+(1-INDEX(tblKurallar[deger_2025],MATCH("IFF-001",tblKurallar[kural_id],0)))*IF($C478=0,0,$D478/$C478))-1),iff_yuvarMax),0))</f>
        <v/>
      </c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8">
        <f>IF($A479="","",IFERROR(ROUND($H479*((INDEX(tblKurallar[deger_2025],MATCH("IFF-001",tblKurallar[kural_id],0))+(1-INDEX(tblKurallar[deger_2025],MATCH("IFF-001",tblKurallar[kural_id],0)))*IF($C479=0,0,$D479/$C479))-1),iff_yuvarMax),0))</f>
        <v/>
      </c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8">
        <f>IF($A480="","",IFERROR(ROUND($H480*((INDEX(tblKurallar[deger_2025],MATCH("IFF-001",tblKurallar[kural_id],0))+(1-INDEX(tblKurallar[deger_2025],MATCH("IFF-001",tblKurallar[kural_id],0)))*IF($C480=0,0,$D480/$C480))-1),iff_yuvarMax),0))</f>
        <v/>
      </c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8">
        <f>IF($A481="","",IFERROR(ROUND($H481*((INDEX(tblKurallar[deger_2025],MATCH("IFF-001",tblKurallar[kural_id],0))+(1-INDEX(tblKurallar[deger_2025],MATCH("IFF-001",tblKurallar[kural_id],0)))*IF($C481=0,0,$D481/$C481))-1),iff_yuvarMax),0))</f>
        <v/>
      </c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8">
        <f>IF($A482="","",IFERROR(ROUND($H482*((INDEX(tblKurallar[deger_2025],MATCH("IFF-001",tblKurallar[kural_id],0))+(1-INDEX(tblKurallar[deger_2025],MATCH("IFF-001",tblKurallar[kural_id],0)))*IF($C482=0,0,$D482/$C482))-1),iff_yuvarMax),0))</f>
        <v/>
      </c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8">
        <f>IF($A483="","",IFERROR(ROUND($H483*((INDEX(tblKurallar[deger_2025],MATCH("IFF-001",tblKurallar[kural_id],0))+(1-INDEX(tblKurallar[deger_2025],MATCH("IFF-001",tblKurallar[kural_id],0)))*IF($C483=0,0,$D483/$C483))-1),iff_yuvarMax),0))</f>
        <v/>
      </c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8">
        <f>IF($A484="","",IFERROR(ROUND($H484*((INDEX(tblKurallar[deger_2025],MATCH("IFF-001",tblKurallar[kural_id],0))+(1-INDEX(tblKurallar[deger_2025],MATCH("IFF-001",tblKurallar[kural_id],0)))*IF($C484=0,0,$D484/$C484))-1),iff_yuvarMax),0))</f>
        <v/>
      </c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8">
        <f>IF($A485="","",IFERROR(ROUND($H485*((INDEX(tblKurallar[deger_2025],MATCH("IFF-001",tblKurallar[kural_id],0))+(1-INDEX(tblKurallar[deger_2025],MATCH("IFF-001",tblKurallar[kural_id],0)))*IF($C485=0,0,$D485/$C485))-1),iff_yuvarMax),0))</f>
        <v/>
      </c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8">
        <f>IF($A486="","",IFERROR(ROUND($H486*((INDEX(tblKurallar[deger_2025],MATCH("IFF-001",tblKurallar[kural_id],0))+(1-INDEX(tblKurallar[deger_2025],MATCH("IFF-001",tblKurallar[kural_id],0)))*IF($C486=0,0,$D486/$C486))-1),iff_yuvarMax),0))</f>
        <v/>
      </c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8">
        <f>IF($A487="","",IFERROR(ROUND($H487*((INDEX(tblKurallar[deger_2025],MATCH("IFF-001",tblKurallar[kural_id],0))+(1-INDEX(tblKurallar[deger_2025],MATCH("IFF-001",tblKurallar[kural_id],0)))*IF($C487=0,0,$D487/$C487))-1),iff_yuvarMax),0))</f>
        <v/>
      </c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8">
        <f>IF($A488="","",IFERROR(ROUND($H488*((INDEX(tblKurallar[deger_2025],MATCH("IFF-001",tblKurallar[kural_id],0))+(1-INDEX(tblKurallar[deger_2025],MATCH("IFF-001",tblKurallar[kural_id],0)))*IF($C488=0,0,$D488/$C488))-1),iff_yuvarMax),0))</f>
        <v/>
      </c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8">
        <f>IF($A489="","",IFERROR(ROUND($H489*((INDEX(tblKurallar[deger_2025],MATCH("IFF-001",tblKurallar[kural_id],0))+(1-INDEX(tblKurallar[deger_2025],MATCH("IFF-001",tblKurallar[kural_id],0)))*IF($C489=0,0,$D489/$C489))-1),iff_yuvarMax),0))</f>
        <v/>
      </c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8">
        <f>IF($A490="","",IFERROR(ROUND($H490*((INDEX(tblKurallar[deger_2025],MATCH("IFF-001",tblKurallar[kural_id],0))+(1-INDEX(tblKurallar[deger_2025],MATCH("IFF-001",tblKurallar[kural_id],0)))*IF($C490=0,0,$D490/$C490))-1),iff_yuvarMax),0))</f>
        <v/>
      </c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8">
        <f>IF($A491="","",IFERROR(ROUND($H491*((INDEX(tblKurallar[deger_2025],MATCH("IFF-001",tblKurallar[kural_id],0))+(1-INDEX(tblKurallar[deger_2025],MATCH("IFF-001",tblKurallar[kural_id],0)))*IF($C491=0,0,$D491/$C491))-1),iff_yuvarMax),0))</f>
        <v/>
      </c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8">
        <f>IF($A492="","",IFERROR(ROUND($H492*((INDEX(tblKurallar[deger_2025],MATCH("IFF-001",tblKurallar[kural_id],0))+(1-INDEX(tblKurallar[deger_2025],MATCH("IFF-001",tblKurallar[kural_id],0)))*IF($C492=0,0,$D492/$C492))-1),iff_yuvarMax),0))</f>
        <v/>
      </c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8">
        <f>IF($A493="","",IFERROR(ROUND($H493*((INDEX(tblKurallar[deger_2025],MATCH("IFF-001",tblKurallar[kural_id],0))+(1-INDEX(tblKurallar[deger_2025],MATCH("IFF-001",tblKurallar[kural_id],0)))*IF($C493=0,0,$D493/$C493))-1),iff_yuvarMax),0))</f>
        <v/>
      </c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8">
        <f>IF($A494="","",IFERROR(ROUND($H494*((INDEX(tblKurallar[deger_2025],MATCH("IFF-001",tblKurallar[kural_id],0))+(1-INDEX(tblKurallar[deger_2025],MATCH("IFF-001",tblKurallar[kural_id],0)))*IF($C494=0,0,$D494/$C494))-1),iff_yuvarMax),0))</f>
        <v/>
      </c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8">
        <f>IF($A495="","",IFERROR(ROUND($H495*((INDEX(tblKurallar[deger_2025],MATCH("IFF-001",tblKurallar[kural_id],0))+(1-INDEX(tblKurallar[deger_2025],MATCH("IFF-001",tblKurallar[kural_id],0)))*IF($C495=0,0,$D495/$C495))-1),iff_yuvarMax),0))</f>
        <v/>
      </c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8">
        <f>IF($A496="","",IFERROR(ROUND($H496*((INDEX(tblKurallar[deger_2025],MATCH("IFF-001",tblKurallar[kural_id],0))+(1-INDEX(tblKurallar[deger_2025],MATCH("IFF-001",tblKurallar[kural_id],0)))*IF($C496=0,0,$D496/$C496))-1),iff_yuvarMax),0))</f>
        <v/>
      </c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8">
        <f>IF($A497="","",IFERROR(ROUND($H497*((INDEX(tblKurallar[deger_2025],MATCH("IFF-001",tblKurallar[kural_id],0))+(1-INDEX(tblKurallar[deger_2025],MATCH("IFF-001",tblKurallar[kural_id],0)))*IF($C497=0,0,$D497/$C497))-1),iff_yuvarMax),0))</f>
        <v/>
      </c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8">
        <f>IF($A498="","",IFERROR(ROUND($H498*((INDEX(tblKurallar[deger_2025],MATCH("IFF-001",tblKurallar[kural_id],0))+(1-INDEX(tblKurallar[deger_2025],MATCH("IFF-001",tblKurallar[kural_id],0)))*IF($C498=0,0,$D498/$C498))-1),iff_yuvarMax),0))</f>
        <v/>
      </c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8">
        <f>IF($A499="","",IFERROR(ROUND($H499*((INDEX(tblKurallar[deger_2025],MATCH("IFF-001",tblKurallar[kural_id],0))+(1-INDEX(tblKurallar[deger_2025],MATCH("IFF-001",tblKurallar[kural_id],0)))*IF($C499=0,0,$D499/$C499))-1),iff_yuvarMax),0))</f>
        <v/>
      </c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8">
        <f>IF($A500="","",IFERROR(ROUND($H500*((INDEX(tblKurallar[deger_2025],MATCH("IFF-001",tblKurallar[kural_id],0))+(1-INDEX(tblKurallar[deger_2025],MATCH("IFF-001",tblKurallar[kural_id],0)))*IF($C500=0,0,$D500/$C500))-1),iff_yuvarMax),0))</f>
        <v/>
      </c>
    </row>
    <row r="50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8">
        <f>IF($A501="","",IFERROR(ROUND($H501*((INDEX(tblKurallar[deger_2025],MATCH("IFF-001",tblKurallar[kural_id],0))+(1-INDEX(tblKurallar[deger_2025],MATCH("IFF-001",tblKurallar[kural_id],0)))*IF($C501=0,0,$D501/$C501))-1),iff_yuvarMax),0))</f>
        <v/>
      </c>
    </row>
    <row r="502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8">
        <f>IF($A502="","",IFERROR(ROUND($H502*((INDEX(tblKurallar[deger_2025],MATCH("IFF-001",tblKurallar[kural_id],0))+(1-INDEX(tblKurallar[deger_2025],MATCH("IFF-001",tblKurallar[kural_id],0)))*IF($C502=0,0,$D502/$C502))-1),iff_yuvarMax),0))</f>
        <v/>
      </c>
    </row>
    <row r="503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8">
        <f>IF($A503="","",IFERROR(ROUND($H503*((INDEX(tblKurallar[deger_2025],MATCH("IFF-001",tblKurallar[kural_id],0))+(1-INDEX(tblKurallar[deger_2025],MATCH("IFF-001",tblKurallar[kural_id],0)))*IF($C503=0,0,$D503/$C503))-1),iff_yuvarMax),0))</f>
        <v/>
      </c>
    </row>
    <row r="504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8">
        <f>IF($A504="","",IFERROR(ROUND($H504*((INDEX(tblKurallar[deger_2025],MATCH("IFF-001",tblKurallar[kural_id],0))+(1-INDEX(tblKurallar[deger_2025],MATCH("IFF-001",tblKurallar[kural_id],0)))*IF($C504=0,0,$D504/$C504))-1),iff_yuvarMax),0))</f>
        <v/>
      </c>
    </row>
    <row r="50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8">
        <f>IF($A505="","",IFERROR(ROUND($H505*((INDEX(tblKurallar[deger_2025],MATCH("IFF-001",tblKurallar[kural_id],0))+(1-INDEX(tblKurallar[deger_2025],MATCH("IFF-001",tblKurallar[kural_id],0)))*IF($C505=0,0,$D505/$C505))-1),iff_yuvarMax),0))</f>
        <v/>
      </c>
    </row>
    <row r="50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8">
        <f>IF($A506="","",IFERROR(ROUND($H506*((INDEX(tblKurallar[deger_2025],MATCH("IFF-001",tblKurallar[kural_id],0))+(1-INDEX(tblKurallar[deger_2025],MATCH("IFF-001",tblKurallar[kural_id],0)))*IF($C506=0,0,$D506/$C506))-1),iff_yuvarMax),0))</f>
        <v/>
      </c>
    </row>
    <row r="507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8">
        <f>IF($A507="","",IFERROR(ROUND($H507*((INDEX(tblKurallar[deger_2025],MATCH("IFF-001",tblKurallar[kural_id],0))+(1-INDEX(tblKurallar[deger_2025],MATCH("IFF-001",tblKurallar[kural_id],0)))*IF($C507=0,0,$D507/$C507))-1),iff_yuvarMax),0))</f>
        <v/>
      </c>
    </row>
    <row r="50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8">
        <f>IF($A508="","",IFERROR(ROUND($H508*((INDEX(tblKurallar[deger_2025],MATCH("IFF-001",tblKurallar[kural_id],0))+(1-INDEX(tblKurallar[deger_2025],MATCH("IFF-001",tblKurallar[kural_id],0)))*IF($C508=0,0,$D508/$C508))-1),iff_yuvarMax),0))</f>
        <v/>
      </c>
    </row>
    <row r="50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8">
        <f>IF($A509="","",IFERROR(ROUND($H509*((INDEX(tblKurallar[deger_2025],MATCH("IFF-001",tblKurallar[kural_id],0))+(1-INDEX(tblKurallar[deger_2025],MATCH("IFF-001",tblKurallar[kural_id],0)))*IF($C509=0,0,$D509/$C509))-1),iff_yuvarMax),0))</f>
        <v/>
      </c>
    </row>
    <row r="510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8">
        <f>IF($A510="","",IFERROR(ROUND($H510*((INDEX(tblKurallar[deger_2025],MATCH("IFF-001",tblKurallar[kural_id],0))+(1-INDEX(tblKurallar[deger_2025],MATCH("IFF-001",tblKurallar[kural_id],0)))*IF($C510=0,0,$D510/$C510))-1),iff_yuvarMax),0))</f>
        <v/>
      </c>
    </row>
    <row r="51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8">
        <f>IF($A511="","",IFERROR(ROUND($H511*((INDEX(tblKurallar[deger_2025],MATCH("IFF-001",tblKurallar[kural_id],0))+(1-INDEX(tblKurallar[deger_2025],MATCH("IFF-001",tblKurallar[kural_id],0)))*IF($C511=0,0,$D511/$C511))-1),iff_yuvarMax),0))</f>
        <v/>
      </c>
    </row>
    <row r="512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8">
        <f>IF($A512="","",IFERROR(ROUND($H512*((INDEX(tblKurallar[deger_2025],MATCH("IFF-001",tblKurallar[kural_id],0))+(1-INDEX(tblKurallar[deger_2025],MATCH("IFF-001",tblKurallar[kural_id],0)))*IF($C512=0,0,$D512/$C512))-1),iff_yuvarMax),0))</f>
        <v/>
      </c>
    </row>
    <row r="513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8">
        <f>IF($A513="","",IFERROR(ROUND($H513*((INDEX(tblKurallar[deger_2025],MATCH("IFF-001",tblKurallar[kural_id],0))+(1-INDEX(tblKurallar[deger_2025],MATCH("IFF-001",tblKurallar[kural_id],0)))*IF($C513=0,0,$D513/$C513))-1),iff_yuvarMax),0))</f>
        <v/>
      </c>
    </row>
    <row r="514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8">
        <f>IF($A514="","",IFERROR(ROUND($H514*((INDEX(tblKurallar[deger_2025],MATCH("IFF-001",tblKurallar[kural_id],0))+(1-INDEX(tblKurallar[deger_2025],MATCH("IFF-001",tblKurallar[kural_id],0)))*IF($C514=0,0,$D514/$C514))-1),iff_yuvarMax),0))</f>
        <v/>
      </c>
    </row>
    <row r="51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8">
        <f>IF($A515="","",IFERROR(ROUND($H515*((INDEX(tblKurallar[deger_2025],MATCH("IFF-001",tblKurallar[kural_id],0))+(1-INDEX(tblKurallar[deger_2025],MATCH("IFF-001",tblKurallar[kural_id],0)))*IF($C515=0,0,$D515/$C515))-1),iff_yuvarMax),0))</f>
        <v/>
      </c>
    </row>
    <row r="51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8">
        <f>IF($A516="","",IFERROR(ROUND($H516*((INDEX(tblKurallar[deger_2025],MATCH("IFF-001",tblKurallar[kural_id],0))+(1-INDEX(tblKurallar[deger_2025],MATCH("IFF-001",tblKurallar[kural_id],0)))*IF($C516=0,0,$D516/$C516))-1),iff_yuvarMax),0))</f>
        <v/>
      </c>
    </row>
    <row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8">
        <f>IF($A517="","",IFERROR(ROUND($H517*((INDEX(tblKurallar[deger_2025],MATCH("IFF-001",tblKurallar[kural_id],0))+(1-INDEX(tblKurallar[deger_2025],MATCH("IFF-001",tblKurallar[kural_id],0)))*IF($C517=0,0,$D517/$C517))-1),iff_yuvarMax),0))</f>
        <v/>
      </c>
    </row>
    <row r="5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8">
        <f>IF($A518="","",IFERROR(ROUND($H518*((INDEX(tblKurallar[deger_2025],MATCH("IFF-001",tblKurallar[kural_id],0))+(1-INDEX(tblKurallar[deger_2025],MATCH("IFF-001",tblKurallar[kural_id],0)))*IF($C518=0,0,$D518/$C518))-1),iff_yuvarMax),0))</f>
        <v/>
      </c>
    </row>
    <row r="5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8">
        <f>IF($A519="","",IFERROR(ROUND($H519*((INDEX(tblKurallar[deger_2025],MATCH("IFF-001",tblKurallar[kural_id],0))+(1-INDEX(tblKurallar[deger_2025],MATCH("IFF-001",tblKurallar[kural_id],0)))*IF($C519=0,0,$D519/$C519))-1),iff_yuvarMax),0))</f>
        <v/>
      </c>
    </row>
    <row r="520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8">
        <f>IF($A520="","",IFERROR(ROUND($H520*((INDEX(tblKurallar[deger_2025],MATCH("IFF-001",tblKurallar[kural_id],0))+(1-INDEX(tblKurallar[deger_2025],MATCH("IFF-001",tblKurallar[kural_id],0)))*IF($C520=0,0,$D520/$C520))-1),iff_yuvarMax),0))</f>
        <v/>
      </c>
    </row>
    <row r="52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8">
        <f>IF($A521="","",IFERROR(ROUND($H521*((INDEX(tblKurallar[deger_2025],MATCH("IFF-001",tblKurallar[kural_id],0))+(1-INDEX(tblKurallar[deger_2025],MATCH("IFF-001",tblKurallar[kural_id],0)))*IF($C521=0,0,$D521/$C521))-1),iff_yuvarMax),0))</f>
        <v/>
      </c>
    </row>
    <row r="522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8">
        <f>IF($A522="","",IFERROR(ROUND($H522*((INDEX(tblKurallar[deger_2025],MATCH("IFF-001",tblKurallar[kural_id],0))+(1-INDEX(tblKurallar[deger_2025],MATCH("IFF-001",tblKurallar[kural_id],0)))*IF($C522=0,0,$D522/$C522))-1),iff_yuvarMax),0))</f>
        <v/>
      </c>
    </row>
    <row r="523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8">
        <f>IF($A523="","",IFERROR(ROUND($H523*((INDEX(tblKurallar[deger_2025],MATCH("IFF-001",tblKurallar[kural_id],0))+(1-INDEX(tblKurallar[deger_2025],MATCH("IFF-001",tblKurallar[kural_id],0)))*IF($C523=0,0,$D523/$C523))-1),iff_yuvarMax),0))</f>
        <v/>
      </c>
    </row>
    <row r="524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8">
        <f>IF($A524="","",IFERROR(ROUND($H524*((INDEX(tblKurallar[deger_2025],MATCH("IFF-001",tblKurallar[kural_id],0))+(1-INDEX(tblKurallar[deger_2025],MATCH("IFF-001",tblKurallar[kural_id],0)))*IF($C524=0,0,$D524/$C524))-1),iff_yuvarMax),0))</f>
        <v/>
      </c>
    </row>
    <row r="52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8">
        <f>IF($A525="","",IFERROR(ROUND($H525*((INDEX(tblKurallar[deger_2025],MATCH("IFF-001",tblKurallar[kural_id],0))+(1-INDEX(tblKurallar[deger_2025],MATCH("IFF-001",tblKurallar[kural_id],0)))*IF($C525=0,0,$D525/$C525))-1),iff_yuvarMax),0))</f>
        <v/>
      </c>
    </row>
    <row r="52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8">
        <f>IF($A526="","",IFERROR(ROUND($H526*((INDEX(tblKurallar[deger_2025],MATCH("IFF-001",tblKurallar[kural_id],0))+(1-INDEX(tblKurallar[deger_2025],MATCH("IFF-001",tblKurallar[kural_id],0)))*IF($C526=0,0,$D526/$C526))-1),iff_yuvarMax),0))</f>
        <v/>
      </c>
    </row>
    <row r="527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8">
        <f>IF($A527="","",IFERROR(ROUND($H527*((INDEX(tblKurallar[deger_2025],MATCH("IFF-001",tblKurallar[kural_id],0))+(1-INDEX(tblKurallar[deger_2025],MATCH("IFF-001",tblKurallar[kural_id],0)))*IF($C527=0,0,$D527/$C527))-1),iff_yuvarMax),0))</f>
        <v/>
      </c>
    </row>
    <row r="52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8">
        <f>IF($A528="","",IFERROR(ROUND($H528*((INDEX(tblKurallar[deger_2025],MATCH("IFF-001",tblKurallar[kural_id],0))+(1-INDEX(tblKurallar[deger_2025],MATCH("IFF-001",tblKurallar[kural_id],0)))*IF($C528=0,0,$D528/$C528))-1),iff_yuvarMax),0))</f>
        <v/>
      </c>
    </row>
    <row r="52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8">
        <f>IF($A529="","",IFERROR(ROUND($H529*((INDEX(tblKurallar[deger_2025],MATCH("IFF-001",tblKurallar[kural_id],0))+(1-INDEX(tblKurallar[deger_2025],MATCH("IFF-001",tblKurallar[kural_id],0)))*IF($C529=0,0,$D529/$C529))-1),iff_yuvarMax),0))</f>
        <v/>
      </c>
    </row>
    <row r="530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8">
        <f>IF($A530="","",IFERROR(ROUND($H530*((INDEX(tblKurallar[deger_2025],MATCH("IFF-001",tblKurallar[kural_id],0))+(1-INDEX(tblKurallar[deger_2025],MATCH("IFF-001",tblKurallar[kural_id],0)))*IF($C530=0,0,$D530/$C530))-1),iff_yuvarMax),0))</f>
        <v/>
      </c>
    </row>
    <row r="5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8">
        <f>IF($A531="","",IFERROR(ROUND($H531*((INDEX(tblKurallar[deger_2025],MATCH("IFF-001",tblKurallar[kural_id],0))+(1-INDEX(tblKurallar[deger_2025],MATCH("IFF-001",tblKurallar[kural_id],0)))*IF($C531=0,0,$D531/$C531))-1),iff_yuvarMax),0))</f>
        <v/>
      </c>
    </row>
    <row r="532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8">
        <f>IF($A532="","",IFERROR(ROUND($H532*((INDEX(tblKurallar[deger_2025],MATCH("IFF-001",tblKurallar[kural_id],0))+(1-INDEX(tblKurallar[deger_2025],MATCH("IFF-001",tblKurallar[kural_id],0)))*IF($C532=0,0,$D532/$C532))-1),iff_yuvarMax),0))</f>
        <v/>
      </c>
    </row>
    <row r="533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8">
        <f>IF($A533="","",IFERROR(ROUND($H533*((INDEX(tblKurallar[deger_2025],MATCH("IFF-001",tblKurallar[kural_id],0))+(1-INDEX(tblKurallar[deger_2025],MATCH("IFF-001",tblKurallar[kural_id],0)))*IF($C533=0,0,$D533/$C533))-1),iff_yuvarMax),0))</f>
        <v/>
      </c>
    </row>
    <row r="534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8">
        <f>IF($A534="","",IFERROR(ROUND($H534*((INDEX(tblKurallar[deger_2025],MATCH("IFF-001",tblKurallar[kural_id],0))+(1-INDEX(tblKurallar[deger_2025],MATCH("IFF-001",tblKurallar[kural_id],0)))*IF($C534=0,0,$D534/$C534))-1),iff_yuvarMax),0))</f>
        <v/>
      </c>
    </row>
    <row r="53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8">
        <f>IF($A535="","",IFERROR(ROUND($H535*((INDEX(tblKurallar[deger_2025],MATCH("IFF-001",tblKurallar[kural_id],0))+(1-INDEX(tblKurallar[deger_2025],MATCH("IFF-001",tblKurallar[kural_id],0)))*IF($C535=0,0,$D535/$C535))-1),iff_yuvarMax),0))</f>
        <v/>
      </c>
    </row>
    <row r="53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8">
        <f>IF($A536="","",IFERROR(ROUND($H536*((INDEX(tblKurallar[deger_2025],MATCH("IFF-001",tblKurallar[kural_id],0))+(1-INDEX(tblKurallar[deger_2025],MATCH("IFF-001",tblKurallar[kural_id],0)))*IF($C536=0,0,$D536/$C536))-1),iff_yuvarMax),0))</f>
        <v/>
      </c>
    </row>
    <row r="537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8">
        <f>IF($A537="","",IFERROR(ROUND($H537*((INDEX(tblKurallar[deger_2025],MATCH("IFF-001",tblKurallar[kural_id],0))+(1-INDEX(tblKurallar[deger_2025],MATCH("IFF-001",tblKurallar[kural_id],0)))*IF($C537=0,0,$D537/$C537))-1),iff_yuvarMax),0))</f>
        <v/>
      </c>
    </row>
    <row r="5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8">
        <f>IF($A538="","",IFERROR(ROUND($H538*((INDEX(tblKurallar[deger_2025],MATCH("IFF-001",tblKurallar[kural_id],0))+(1-INDEX(tblKurallar[deger_2025],MATCH("IFF-001",tblKurallar[kural_id],0)))*IF($C538=0,0,$D538/$C538))-1),iff_yuvarMax),0))</f>
        <v/>
      </c>
    </row>
    <row r="53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8">
        <f>IF($A539="","",IFERROR(ROUND($H539*((INDEX(tblKurallar[deger_2025],MATCH("IFF-001",tblKurallar[kural_id],0))+(1-INDEX(tblKurallar[deger_2025],MATCH("IFF-001",tblKurallar[kural_id],0)))*IF($C539=0,0,$D539/$C539))-1),iff_yuvarMax),0))</f>
        <v/>
      </c>
    </row>
    <row r="540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8">
        <f>IF($A540="","",IFERROR(ROUND($H540*((INDEX(tblKurallar[deger_2025],MATCH("IFF-001",tblKurallar[kural_id],0))+(1-INDEX(tblKurallar[deger_2025],MATCH("IFF-001",tblKurallar[kural_id],0)))*IF($C540=0,0,$D540/$C540))-1),iff_yuvarMax),0))</f>
        <v/>
      </c>
    </row>
    <row r="54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8">
        <f>IF($A541="","",IFERROR(ROUND($H541*((INDEX(tblKurallar[deger_2025],MATCH("IFF-001",tblKurallar[kural_id],0))+(1-INDEX(tblKurallar[deger_2025],MATCH("IFF-001",tblKurallar[kural_id],0)))*IF($C541=0,0,$D541/$C541))-1),iff_yuvarMax),0))</f>
        <v/>
      </c>
    </row>
    <row r="542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8">
        <f>IF($A542="","",IFERROR(ROUND($H542*((INDEX(tblKurallar[deger_2025],MATCH("IFF-001",tblKurallar[kural_id],0))+(1-INDEX(tblKurallar[deger_2025],MATCH("IFF-001",tblKurallar[kural_id],0)))*IF($C542=0,0,$D542/$C542))-1),iff_yuvarMax),0))</f>
        <v/>
      </c>
    </row>
    <row r="543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8">
        <f>IF($A543="","",IFERROR(ROUND($H543*((INDEX(tblKurallar[deger_2025],MATCH("IFF-001",tblKurallar[kural_id],0))+(1-INDEX(tblKurallar[deger_2025],MATCH("IFF-001",tblKurallar[kural_id],0)))*IF($C543=0,0,$D543/$C543))-1),iff_yuvarMax),0))</f>
        <v/>
      </c>
    </row>
    <row r="544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8">
        <f>IF($A544="","",IFERROR(ROUND($H544*((INDEX(tblKurallar[deger_2025],MATCH("IFF-001",tblKurallar[kural_id],0))+(1-INDEX(tblKurallar[deger_2025],MATCH("IFF-001",tblKurallar[kural_id],0)))*IF($C544=0,0,$D544/$C544))-1),iff_yuvarMax),0))</f>
        <v/>
      </c>
    </row>
    <row r="54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8">
        <f>IF($A545="","",IFERROR(ROUND($H545*((INDEX(tblKurallar[deger_2025],MATCH("IFF-001",tblKurallar[kural_id],0))+(1-INDEX(tblKurallar[deger_2025],MATCH("IFF-001",tblKurallar[kural_id],0)))*IF($C545=0,0,$D545/$C545))-1),iff_yuvarMax),0))</f>
        <v/>
      </c>
    </row>
    <row r="5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8">
        <f>IF($A546="","",IFERROR(ROUND($H546*((INDEX(tblKurallar[deger_2025],MATCH("IFF-001",tblKurallar[kural_id],0))+(1-INDEX(tblKurallar[deger_2025],MATCH("IFF-001",tblKurallar[kural_id],0)))*IF($C546=0,0,$D546/$C546))-1),iff_yuvarMax),0))</f>
        <v/>
      </c>
    </row>
    <row r="547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8">
        <f>IF($A547="","",IFERROR(ROUND($H547*((INDEX(tblKurallar[deger_2025],MATCH("IFF-001",tblKurallar[kural_id],0))+(1-INDEX(tblKurallar[deger_2025],MATCH("IFF-001",tblKurallar[kural_id],0)))*IF($C547=0,0,$D547/$C547))-1),iff_yuvarMax),0))</f>
        <v/>
      </c>
    </row>
    <row r="54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8">
        <f>IF($A548="","",IFERROR(ROUND($H548*((INDEX(tblKurallar[deger_2025],MATCH("IFF-001",tblKurallar[kural_id],0))+(1-INDEX(tblKurallar[deger_2025],MATCH("IFF-001",tblKurallar[kural_id],0)))*IF($C548=0,0,$D548/$C548))-1),iff_yuvarMax),0))</f>
        <v/>
      </c>
    </row>
    <row r="54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8">
        <f>IF($A549="","",IFERROR(ROUND($H549*((INDEX(tblKurallar[deger_2025],MATCH("IFF-001",tblKurallar[kural_id],0))+(1-INDEX(tblKurallar[deger_2025],MATCH("IFF-001",tblKurallar[kural_id],0)))*IF($C549=0,0,$D549/$C549))-1),iff_yuvarMax),0))</f>
        <v/>
      </c>
    </row>
    <row r="550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8">
        <f>IF($A550="","",IFERROR(ROUND($H550*((INDEX(tblKurallar[deger_2025],MATCH("IFF-001",tblKurallar[kural_id],0))+(1-INDEX(tblKurallar[deger_2025],MATCH("IFF-001",tblKurallar[kural_id],0)))*IF($C550=0,0,$D550/$C550))-1),iff_yuvarMax),0))</f>
        <v/>
      </c>
    </row>
    <row r="55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8">
        <f>IF($A551="","",IFERROR(ROUND($H551*((INDEX(tblKurallar[deger_2025],MATCH("IFF-001",tblKurallar[kural_id],0))+(1-INDEX(tblKurallar[deger_2025],MATCH("IFF-001",tblKurallar[kural_id],0)))*IF($C551=0,0,$D551/$C551))-1),iff_yuvarMax),0))</f>
        <v/>
      </c>
    </row>
    <row r="552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8">
        <f>IF($A552="","",IFERROR(ROUND($H552*((INDEX(tblKurallar[deger_2025],MATCH("IFF-001",tblKurallar[kural_id],0))+(1-INDEX(tblKurallar[deger_2025],MATCH("IFF-001",tblKurallar[kural_id],0)))*IF($C552=0,0,$D552/$C552))-1),iff_yuvarMax),0))</f>
        <v/>
      </c>
    </row>
    <row r="553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8">
        <f>IF($A553="","",IFERROR(ROUND($H553*((INDEX(tblKurallar[deger_2025],MATCH("IFF-001",tblKurallar[kural_id],0))+(1-INDEX(tblKurallar[deger_2025],MATCH("IFF-001",tblKurallar[kural_id],0)))*IF($C553=0,0,$D553/$C553))-1),iff_yuvarMax),0))</f>
        <v/>
      </c>
    </row>
    <row r="554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8">
        <f>IF($A554="","",IFERROR(ROUND($H554*((INDEX(tblKurallar[deger_2025],MATCH("IFF-001",tblKurallar[kural_id],0))+(1-INDEX(tblKurallar[deger_2025],MATCH("IFF-001",tblKurallar[kural_id],0)))*IF($C554=0,0,$D554/$C554))-1),iff_yuvarMax),0))</f>
        <v/>
      </c>
    </row>
    <row r="55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8">
        <f>IF($A555="","",IFERROR(ROUND($H555*((INDEX(tblKurallar[deger_2025],MATCH("IFF-001",tblKurallar[kural_id],0))+(1-INDEX(tblKurallar[deger_2025],MATCH("IFF-001",tblKurallar[kural_id],0)))*IF($C555=0,0,$D555/$C555))-1),iff_yuvarMax),0))</f>
        <v/>
      </c>
    </row>
    <row r="55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8">
        <f>IF($A556="","",IFERROR(ROUND($H556*((INDEX(tblKurallar[deger_2025],MATCH("IFF-001",tblKurallar[kural_id],0))+(1-INDEX(tblKurallar[deger_2025],MATCH("IFF-001",tblKurallar[kural_id],0)))*IF($C556=0,0,$D556/$C556))-1),iff_yuvarMax),0))</f>
        <v/>
      </c>
    </row>
    <row r="557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8">
        <f>IF($A557="","",IFERROR(ROUND($H557*((INDEX(tblKurallar[deger_2025],MATCH("IFF-001",tblKurallar[kural_id],0))+(1-INDEX(tblKurallar[deger_2025],MATCH("IFF-001",tblKurallar[kural_id],0)))*IF($C557=0,0,$D557/$C557))-1),iff_yuvarMax),0))</f>
        <v/>
      </c>
    </row>
    <row r="55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8">
        <f>IF($A558="","",IFERROR(ROUND($H558*((INDEX(tblKurallar[deger_2025],MATCH("IFF-001",tblKurallar[kural_id],0))+(1-INDEX(tblKurallar[deger_2025],MATCH("IFF-001",tblKurallar[kural_id],0)))*IF($C558=0,0,$D558/$C558))-1),iff_yuvarMax),0))</f>
        <v/>
      </c>
    </row>
    <row r="55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8">
        <f>IF($A559="","",IFERROR(ROUND($H559*((INDEX(tblKurallar[deger_2025],MATCH("IFF-001",tblKurallar[kural_id],0))+(1-INDEX(tblKurallar[deger_2025],MATCH("IFF-001",tblKurallar[kural_id],0)))*IF($C559=0,0,$D559/$C559))-1),iff_yuvarMax),0))</f>
        <v/>
      </c>
    </row>
    <row r="560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8">
        <f>IF($A560="","",IFERROR(ROUND($H560*((INDEX(tblKurallar[deger_2025],MATCH("IFF-001",tblKurallar[kural_id],0))+(1-INDEX(tblKurallar[deger_2025],MATCH("IFF-001",tblKurallar[kural_id],0)))*IF($C560=0,0,$D560/$C560))-1),iff_yuvarMax),0))</f>
        <v/>
      </c>
    </row>
    <row r="56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8">
        <f>IF($A561="","",IFERROR(ROUND($H561*((INDEX(tblKurallar[deger_2025],MATCH("IFF-001",tblKurallar[kural_id],0))+(1-INDEX(tblKurallar[deger_2025],MATCH("IFF-001",tblKurallar[kural_id],0)))*IF($C561=0,0,$D561/$C561))-1),iff_yuvarMax),0))</f>
        <v/>
      </c>
    </row>
    <row r="562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8">
        <f>IF($A562="","",IFERROR(ROUND($H562*((INDEX(tblKurallar[deger_2025],MATCH("IFF-001",tblKurallar[kural_id],0))+(1-INDEX(tblKurallar[deger_2025],MATCH("IFF-001",tblKurallar[kural_id],0)))*IF($C562=0,0,$D562/$C562))-1),iff_yuvarMax),0))</f>
        <v/>
      </c>
    </row>
    <row r="563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8">
        <f>IF($A563="","",IFERROR(ROUND($H563*((INDEX(tblKurallar[deger_2025],MATCH("IFF-001",tblKurallar[kural_id],0))+(1-INDEX(tblKurallar[deger_2025],MATCH("IFF-001",tblKurallar[kural_id],0)))*IF($C563=0,0,$D563/$C563))-1),iff_yuvarMax),0))</f>
        <v/>
      </c>
    </row>
    <row r="564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8">
        <f>IF($A564="","",IFERROR(ROUND($H564*((INDEX(tblKurallar[deger_2025],MATCH("IFF-001",tblKurallar[kural_id],0))+(1-INDEX(tblKurallar[deger_2025],MATCH("IFF-001",tblKurallar[kural_id],0)))*IF($C564=0,0,$D564/$C564))-1),iff_yuvarMax),0))</f>
        <v/>
      </c>
    </row>
    <row r="56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8">
        <f>IF($A565="","",IFERROR(ROUND($H565*((INDEX(tblKurallar[deger_2025],MATCH("IFF-001",tblKurallar[kural_id],0))+(1-INDEX(tblKurallar[deger_2025],MATCH("IFF-001",tblKurallar[kural_id],0)))*IF($C565=0,0,$D565/$C565))-1),iff_yuvarMax),0))</f>
        <v/>
      </c>
    </row>
    <row r="56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8">
        <f>IF($A566="","",IFERROR(ROUND($H566*((INDEX(tblKurallar[deger_2025],MATCH("IFF-001",tblKurallar[kural_id],0))+(1-INDEX(tblKurallar[deger_2025],MATCH("IFF-001",tblKurallar[kural_id],0)))*IF($C566=0,0,$D566/$C566))-1),iff_yuvarMax),0))</f>
        <v/>
      </c>
    </row>
    <row r="567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8">
        <f>IF($A567="","",IFERROR(ROUND($H567*((INDEX(tblKurallar[deger_2025],MATCH("IFF-001",tblKurallar[kural_id],0))+(1-INDEX(tblKurallar[deger_2025],MATCH("IFF-001",tblKurallar[kural_id],0)))*IF($C567=0,0,$D567/$C567))-1),iff_yuvarMax),0))</f>
        <v/>
      </c>
    </row>
    <row r="56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8">
        <f>IF($A568="","",IFERROR(ROUND($H568*((INDEX(tblKurallar[deger_2025],MATCH("IFF-001",tblKurallar[kural_id],0))+(1-INDEX(tblKurallar[deger_2025],MATCH("IFF-001",tblKurallar[kural_id],0)))*IF($C568=0,0,$D568/$C568))-1),iff_yuvarMax),0))</f>
        <v/>
      </c>
    </row>
    <row r="56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8">
        <f>IF($A569="","",IFERROR(ROUND($H569*((INDEX(tblKurallar[deger_2025],MATCH("IFF-001",tblKurallar[kural_id],0))+(1-INDEX(tblKurallar[deger_2025],MATCH("IFF-001",tblKurallar[kural_id],0)))*IF($C569=0,0,$D569/$C569))-1),iff_yuvarMax),0))</f>
        <v/>
      </c>
    </row>
    <row r="570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8">
        <f>IF($A570="","",IFERROR(ROUND($H570*((INDEX(tblKurallar[deger_2025],MATCH("IFF-001",tblKurallar[kural_id],0))+(1-INDEX(tblKurallar[deger_2025],MATCH("IFF-001",tblKurallar[kural_id],0)))*IF($C570=0,0,$D570/$C570))-1),iff_yuvarMax),0))</f>
        <v/>
      </c>
    </row>
    <row r="57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8">
        <f>IF($A571="","",IFERROR(ROUND($H571*((INDEX(tblKurallar[deger_2025],MATCH("IFF-001",tblKurallar[kural_id],0))+(1-INDEX(tblKurallar[deger_2025],MATCH("IFF-001",tblKurallar[kural_id],0)))*IF($C571=0,0,$D571/$C571))-1),iff_yuvarMax),0))</f>
        <v/>
      </c>
    </row>
    <row r="572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8">
        <f>IF($A572="","",IFERROR(ROUND($H572*((INDEX(tblKurallar[deger_2025],MATCH("IFF-001",tblKurallar[kural_id],0))+(1-INDEX(tblKurallar[deger_2025],MATCH("IFF-001",tblKurallar[kural_id],0)))*IF($C572=0,0,$D572/$C572))-1),iff_yuvarMax),0))</f>
        <v/>
      </c>
    </row>
    <row r="573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8">
        <f>IF($A573="","",IFERROR(ROUND($H573*((INDEX(tblKurallar[deger_2025],MATCH("IFF-001",tblKurallar[kural_id],0))+(1-INDEX(tblKurallar[deger_2025],MATCH("IFF-001",tblKurallar[kural_id],0)))*IF($C573=0,0,$D573/$C573))-1),iff_yuvarMax),0))</f>
        <v/>
      </c>
    </row>
    <row r="574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8">
        <f>IF($A574="","",IFERROR(ROUND($H574*((INDEX(tblKurallar[deger_2025],MATCH("IFF-001",tblKurallar[kural_id],0))+(1-INDEX(tblKurallar[deger_2025],MATCH("IFF-001",tblKurallar[kural_id],0)))*IF($C574=0,0,$D574/$C574))-1),iff_yuvarMax),0))</f>
        <v/>
      </c>
    </row>
    <row r="57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8">
        <f>IF($A575="","",IFERROR(ROUND($H575*((INDEX(tblKurallar[deger_2025],MATCH("IFF-001",tblKurallar[kural_id],0))+(1-INDEX(tblKurallar[deger_2025],MATCH("IFF-001",tblKurallar[kural_id],0)))*IF($C575=0,0,$D575/$C575))-1),iff_yuvarMax),0))</f>
        <v/>
      </c>
    </row>
    <row r="57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8">
        <f>IF($A576="","",IFERROR(ROUND($H576*((INDEX(tblKurallar[deger_2025],MATCH("IFF-001",tblKurallar[kural_id],0))+(1-INDEX(tblKurallar[deger_2025],MATCH("IFF-001",tblKurallar[kural_id],0)))*IF($C576=0,0,$D576/$C576))-1),iff_yuvarMax),0))</f>
        <v/>
      </c>
    </row>
    <row r="577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8">
        <f>IF($A577="","",IFERROR(ROUND($H577*((INDEX(tblKurallar[deger_2025],MATCH("IFF-001",tblKurallar[kural_id],0))+(1-INDEX(tblKurallar[deger_2025],MATCH("IFF-001",tblKurallar[kural_id],0)))*IF($C577=0,0,$D577/$C577))-1),iff_yuvarMax),0))</f>
        <v/>
      </c>
    </row>
    <row r="57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8">
        <f>IF($A578="","",IFERROR(ROUND($H578*((INDEX(tblKurallar[deger_2025],MATCH("IFF-001",tblKurallar[kural_id],0))+(1-INDEX(tblKurallar[deger_2025],MATCH("IFF-001",tblKurallar[kural_id],0)))*IF($C578=0,0,$D578/$C578))-1),iff_yuvarMax),0))</f>
        <v/>
      </c>
    </row>
    <row r="57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8">
        <f>IF($A579="","",IFERROR(ROUND($H579*((INDEX(tblKurallar[deger_2025],MATCH("IFF-001",tblKurallar[kural_id],0))+(1-INDEX(tblKurallar[deger_2025],MATCH("IFF-001",tblKurallar[kural_id],0)))*IF($C579=0,0,$D579/$C579))-1),iff_yuvarMax),0))</f>
        <v/>
      </c>
    </row>
    <row r="580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8">
        <f>IF($A580="","",IFERROR(ROUND($H580*((INDEX(tblKurallar[deger_2025],MATCH("IFF-001",tblKurallar[kural_id],0))+(1-INDEX(tblKurallar[deger_2025],MATCH("IFF-001",tblKurallar[kural_id],0)))*IF($C580=0,0,$D580/$C580))-1),iff_yuvarMax),0))</f>
        <v/>
      </c>
    </row>
    <row r="58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8">
        <f>IF($A581="","",IFERROR(ROUND($H581*((INDEX(tblKurallar[deger_2025],MATCH("IFF-001",tblKurallar[kural_id],0))+(1-INDEX(tblKurallar[deger_2025],MATCH("IFF-001",tblKurallar[kural_id],0)))*IF($C581=0,0,$D581/$C581))-1),iff_yuvarMax),0))</f>
        <v/>
      </c>
    </row>
    <row r="582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8">
        <f>IF($A582="","",IFERROR(ROUND($H582*((INDEX(tblKurallar[deger_2025],MATCH("IFF-001",tblKurallar[kural_id],0))+(1-INDEX(tblKurallar[deger_2025],MATCH("IFF-001",tblKurallar[kural_id],0)))*IF($C582=0,0,$D582/$C582))-1),iff_yuvarMax),0))</f>
        <v/>
      </c>
    </row>
    <row r="583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8">
        <f>IF($A583="","",IFERROR(ROUND($H583*((INDEX(tblKurallar[deger_2025],MATCH("IFF-001",tblKurallar[kural_id],0))+(1-INDEX(tblKurallar[deger_2025],MATCH("IFF-001",tblKurallar[kural_id],0)))*IF($C583=0,0,$D583/$C583))-1),iff_yuvarMax),0))</f>
        <v/>
      </c>
    </row>
    <row r="584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8">
        <f>IF($A584="","",IFERROR(ROUND($H584*((INDEX(tblKurallar[deger_2025],MATCH("IFF-001",tblKurallar[kural_id],0))+(1-INDEX(tblKurallar[deger_2025],MATCH("IFF-001",tblKurallar[kural_id],0)))*IF($C584=0,0,$D584/$C584))-1),iff_yuvarMax),0))</f>
        <v/>
      </c>
    </row>
    <row r="5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8">
        <f>IF($A585="","",IFERROR(ROUND($H585*((INDEX(tblKurallar[deger_2025],MATCH("IFF-001",tblKurallar[kural_id],0))+(1-INDEX(tblKurallar[deger_2025],MATCH("IFF-001",tblKurallar[kural_id],0)))*IF($C585=0,0,$D585/$C585))-1),iff_yuvarMax),0))</f>
        <v/>
      </c>
    </row>
    <row r="58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8">
        <f>IF($A586="","",IFERROR(ROUND($H586*((INDEX(tblKurallar[deger_2025],MATCH("IFF-001",tblKurallar[kural_id],0))+(1-INDEX(tblKurallar[deger_2025],MATCH("IFF-001",tblKurallar[kural_id],0)))*IF($C586=0,0,$D586/$C586))-1),iff_yuvarMax),0))</f>
        <v/>
      </c>
    </row>
    <row r="587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8">
        <f>IF($A587="","",IFERROR(ROUND($H587*((INDEX(tblKurallar[deger_2025],MATCH("IFF-001",tblKurallar[kural_id],0))+(1-INDEX(tblKurallar[deger_2025],MATCH("IFF-001",tblKurallar[kural_id],0)))*IF($C587=0,0,$D587/$C587))-1),iff_yuvarMax),0))</f>
        <v/>
      </c>
    </row>
    <row r="58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8">
        <f>IF($A588="","",IFERROR(ROUND($H588*((INDEX(tblKurallar[deger_2025],MATCH("IFF-001",tblKurallar[kural_id],0))+(1-INDEX(tblKurallar[deger_2025],MATCH("IFF-001",tblKurallar[kural_id],0)))*IF($C588=0,0,$D588/$C588))-1),iff_yuvarMax),0))</f>
        <v/>
      </c>
    </row>
    <row r="58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8">
        <f>IF($A589="","",IFERROR(ROUND($H589*((INDEX(tblKurallar[deger_2025],MATCH("IFF-001",tblKurallar[kural_id],0))+(1-INDEX(tblKurallar[deger_2025],MATCH("IFF-001",tblKurallar[kural_id],0)))*IF($C589=0,0,$D589/$C589))-1),iff_yuvarMax),0))</f>
        <v/>
      </c>
    </row>
    <row r="590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8">
        <f>IF($A590="","",IFERROR(ROUND($H590*((INDEX(tblKurallar[deger_2025],MATCH("IFF-001",tblKurallar[kural_id],0))+(1-INDEX(tblKurallar[deger_2025],MATCH("IFF-001",tblKurallar[kural_id],0)))*IF($C590=0,0,$D590/$C590))-1),iff_yuvarMax),0))</f>
        <v/>
      </c>
    </row>
    <row r="59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8">
        <f>IF($A591="","",IFERROR(ROUND($H591*((INDEX(tblKurallar[deger_2025],MATCH("IFF-001",tblKurallar[kural_id],0))+(1-INDEX(tblKurallar[deger_2025],MATCH("IFF-001",tblKurallar[kural_id],0)))*IF($C591=0,0,$D591/$C591))-1),iff_yuvarMax),0))</f>
        <v/>
      </c>
    </row>
    <row r="592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8">
        <f>IF($A592="","",IFERROR(ROUND($H592*((INDEX(tblKurallar[deger_2025],MATCH("IFF-001",tblKurallar[kural_id],0))+(1-INDEX(tblKurallar[deger_2025],MATCH("IFF-001",tblKurallar[kural_id],0)))*IF($C592=0,0,$D592/$C592))-1),iff_yuvarMax),0))</f>
        <v/>
      </c>
    </row>
    <row r="593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8">
        <f>IF($A593="","",IFERROR(ROUND($H593*((INDEX(tblKurallar[deger_2025],MATCH("IFF-001",tblKurallar[kural_id],0))+(1-INDEX(tblKurallar[deger_2025],MATCH("IFF-001",tblKurallar[kural_id],0)))*IF($C593=0,0,$D593/$C593))-1),iff_yuvarMax),0))</f>
        <v/>
      </c>
    </row>
    <row r="594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8">
        <f>IF($A594="","",IFERROR(ROUND($H594*((INDEX(tblKurallar[deger_2025],MATCH("IFF-001",tblKurallar[kural_id],0))+(1-INDEX(tblKurallar[deger_2025],MATCH("IFF-001",tblKurallar[kural_id],0)))*IF($C594=0,0,$D594/$C594))-1),iff_yuvarMax),0))</f>
        <v/>
      </c>
    </row>
    <row r="59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8">
        <f>IF($A595="","",IFERROR(ROUND($H595*((INDEX(tblKurallar[deger_2025],MATCH("IFF-001",tblKurallar[kural_id],0))+(1-INDEX(tblKurallar[deger_2025],MATCH("IFF-001",tblKurallar[kural_id],0)))*IF($C595=0,0,$D595/$C595))-1),iff_yuvarMax),0))</f>
        <v/>
      </c>
    </row>
    <row r="59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8">
        <f>IF($A596="","",IFERROR(ROUND($H596*((INDEX(tblKurallar[deger_2025],MATCH("IFF-001",tblKurallar[kural_id],0))+(1-INDEX(tblKurallar[deger_2025],MATCH("IFF-001",tblKurallar[kural_id],0)))*IF($C596=0,0,$D596/$C596))-1),iff_yuvarMax),0))</f>
        <v/>
      </c>
    </row>
    <row r="597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8">
        <f>IF($A597="","",IFERROR(ROUND($H597*((INDEX(tblKurallar[deger_2025],MATCH("IFF-001",tblKurallar[kural_id],0))+(1-INDEX(tblKurallar[deger_2025],MATCH("IFF-001",tblKurallar[kural_id],0)))*IF($C597=0,0,$D597/$C597))-1),iff_yuvarMax),0))</f>
        <v/>
      </c>
    </row>
    <row r="59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8">
        <f>IF($A598="","",IFERROR(ROUND($H598*((INDEX(tblKurallar[deger_2025],MATCH("IFF-001",tblKurallar[kural_id],0))+(1-INDEX(tblKurallar[deger_2025],MATCH("IFF-001",tblKurallar[kural_id],0)))*IF($C598=0,0,$D598/$C598))-1),iff_yuvarMax),0))</f>
        <v/>
      </c>
    </row>
    <row r="59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8">
        <f>IF($A599="","",IFERROR(ROUND($H599*((INDEX(tblKurallar[deger_2025],MATCH("IFF-001",tblKurallar[kural_id],0))+(1-INDEX(tblKurallar[deger_2025],MATCH("IFF-001",tblKurallar[kural_id],0)))*IF($C599=0,0,$D599/$C599))-1),iff_yuvarMax),0))</f>
        <v/>
      </c>
    </row>
    <row r="600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8">
        <f>IF($A600="","",IFERROR(ROUND($H600*((INDEX(tblKurallar[deger_2025],MATCH("IFF-001",tblKurallar[kural_id],0))+(1-INDEX(tblKurallar[deger_2025],MATCH("IFF-001",tblKurallar[kural_id],0)))*IF($C600=0,0,$D600/$C600))-1),iff_yuvarMax),0))</f>
        <v/>
      </c>
    </row>
    <row r="60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8">
        <f>IF($A601="","",IFERROR(ROUND($H601*((INDEX(tblKurallar[deger_2025],MATCH("IFF-001",tblKurallar[kural_id],0))+(1-INDEX(tblKurallar[deger_2025],MATCH("IFF-001",tblKurallar[kural_id],0)))*IF($C601=0,0,$D601/$C601))-1),iff_yuvarMax),0))</f>
        <v/>
      </c>
    </row>
    <row r="602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8">
        <f>IF($A602="","",IFERROR(ROUND($H602*((INDEX(tblKurallar[deger_2025],MATCH("IFF-001",tblKurallar[kural_id],0))+(1-INDEX(tblKurallar[deger_2025],MATCH("IFF-001",tblKurallar[kural_id],0)))*IF($C602=0,0,$D602/$C602))-1),iff_yuvarMax),0))</f>
        <v/>
      </c>
    </row>
    <row r="603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8">
        <f>IF($A603="","",IFERROR(ROUND($H603*((INDEX(tblKurallar[deger_2025],MATCH("IFF-001",tblKurallar[kural_id],0))+(1-INDEX(tblKurallar[deger_2025],MATCH("IFF-001",tblKurallar[kural_id],0)))*IF($C603=0,0,$D603/$C603))-1),iff_yuvarMax),0))</f>
        <v/>
      </c>
    </row>
    <row r="604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8">
        <f>IF($A604="","",IFERROR(ROUND($H604*((INDEX(tblKurallar[deger_2025],MATCH("IFF-001",tblKurallar[kural_id],0))+(1-INDEX(tblKurallar[deger_2025],MATCH("IFF-001",tblKurallar[kural_id],0)))*IF($C604=0,0,$D604/$C604))-1),iff_yuvarMax),0))</f>
        <v/>
      </c>
    </row>
    <row r="60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8">
        <f>IF($A605="","",IFERROR(ROUND($H605*((INDEX(tblKurallar[deger_2025],MATCH("IFF-001",tblKurallar[kural_id],0))+(1-INDEX(tblKurallar[deger_2025],MATCH("IFF-001",tblKurallar[kural_id],0)))*IF($C605=0,0,$D605/$C605))-1),iff_yuvarMax),0))</f>
        <v/>
      </c>
    </row>
    <row r="60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8">
        <f>IF($A606="","",IFERROR(ROUND($H606*((INDEX(tblKurallar[deger_2025],MATCH("IFF-001",tblKurallar[kural_id],0))+(1-INDEX(tblKurallar[deger_2025],MATCH("IFF-001",tblKurallar[kural_id],0)))*IF($C606=0,0,$D606/$C606))-1),iff_yuvarMax),0))</f>
        <v/>
      </c>
    </row>
    <row r="607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8">
        <f>IF($A607="","",IFERROR(ROUND($H607*((INDEX(tblKurallar[deger_2025],MATCH("IFF-001",tblKurallar[kural_id],0))+(1-INDEX(tblKurallar[deger_2025],MATCH("IFF-001",tblKurallar[kural_id],0)))*IF($C607=0,0,$D607/$C607))-1),iff_yuvarMax),0))</f>
        <v/>
      </c>
    </row>
    <row r="60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8">
        <f>IF($A608="","",IFERROR(ROUND($H608*((INDEX(tblKurallar[deger_2025],MATCH("IFF-001",tblKurallar[kural_id],0))+(1-INDEX(tblKurallar[deger_2025],MATCH("IFF-001",tblKurallar[kural_id],0)))*IF($C608=0,0,$D608/$C608))-1),iff_yuvarMax),0))</f>
        <v/>
      </c>
    </row>
    <row r="60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8">
        <f>IF($A609="","",IFERROR(ROUND($H609*((INDEX(tblKurallar[deger_2025],MATCH("IFF-001",tblKurallar[kural_id],0))+(1-INDEX(tblKurallar[deger_2025],MATCH("IFF-001",tblKurallar[kural_id],0)))*IF($C609=0,0,$D609/$C609))-1),iff_yuvarMax),0))</f>
        <v/>
      </c>
    </row>
    <row r="610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8">
        <f>IF($A610="","",IFERROR(ROUND($H610*((INDEX(tblKurallar[deger_2025],MATCH("IFF-001",tblKurallar[kural_id],0))+(1-INDEX(tblKurallar[deger_2025],MATCH("IFF-001",tblKurallar[kural_id],0)))*IF($C610=0,0,$D610/$C610))-1),iff_yuvarMax),0))</f>
        <v/>
      </c>
    </row>
    <row r="61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8">
        <f>IF($A611="","",IFERROR(ROUND($H611*((INDEX(tblKurallar[deger_2025],MATCH("IFF-001",tblKurallar[kural_id],0))+(1-INDEX(tblKurallar[deger_2025],MATCH("IFF-001",tblKurallar[kural_id],0)))*IF($C611=0,0,$D611/$C611))-1),iff_yuvarMax),0))</f>
        <v/>
      </c>
    </row>
    <row r="612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8">
        <f>IF($A612="","",IFERROR(ROUND($H612*((INDEX(tblKurallar[deger_2025],MATCH("IFF-001",tblKurallar[kural_id],0))+(1-INDEX(tblKurallar[deger_2025],MATCH("IFF-001",tblKurallar[kural_id],0)))*IF($C612=0,0,$D612/$C612))-1),iff_yuvarMax),0))</f>
        <v/>
      </c>
    </row>
    <row r="613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8">
        <f>IF($A613="","",IFERROR(ROUND($H613*((INDEX(tblKurallar[deger_2025],MATCH("IFF-001",tblKurallar[kural_id],0))+(1-INDEX(tblKurallar[deger_2025],MATCH("IFF-001",tblKurallar[kural_id],0)))*IF($C613=0,0,$D613/$C613))-1),iff_yuvarMax),0))</f>
        <v/>
      </c>
    </row>
    <row r="614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8">
        <f>IF($A614="","",IFERROR(ROUND($H614*((INDEX(tblKurallar[deger_2025],MATCH("IFF-001",tblKurallar[kural_id],0))+(1-INDEX(tblKurallar[deger_2025],MATCH("IFF-001",tblKurallar[kural_id],0)))*IF($C614=0,0,$D614/$C614))-1),iff_yuvarMax),0))</f>
        <v/>
      </c>
    </row>
    <row r="61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8">
        <f>IF($A615="","",IFERROR(ROUND($H615*((INDEX(tblKurallar[deger_2025],MATCH("IFF-001",tblKurallar[kural_id],0))+(1-INDEX(tblKurallar[deger_2025],MATCH("IFF-001",tblKurallar[kural_id],0)))*IF($C615=0,0,$D615/$C615))-1),iff_yuvarMax),0))</f>
        <v/>
      </c>
    </row>
    <row r="61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8">
        <f>IF($A616="","",IFERROR(ROUND($H616*((INDEX(tblKurallar[deger_2025],MATCH("IFF-001",tblKurallar[kural_id],0))+(1-INDEX(tblKurallar[deger_2025],MATCH("IFF-001",tblKurallar[kural_id],0)))*IF($C616=0,0,$D616/$C616))-1),iff_yuvarMax),0))</f>
        <v/>
      </c>
    </row>
    <row r="617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8">
        <f>IF($A617="","",IFERROR(ROUND($H617*((INDEX(tblKurallar[deger_2025],MATCH("IFF-001",tblKurallar[kural_id],0))+(1-INDEX(tblKurallar[deger_2025],MATCH("IFF-001",tblKurallar[kural_id],0)))*IF($C617=0,0,$D617/$C617))-1),iff_yuvarMax),0))</f>
        <v/>
      </c>
    </row>
    <row r="6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8">
        <f>IF($A618="","",IFERROR(ROUND($H618*((INDEX(tblKurallar[deger_2025],MATCH("IFF-001",tblKurallar[kural_id],0))+(1-INDEX(tblKurallar[deger_2025],MATCH("IFF-001",tblKurallar[kural_id],0)))*IF($C618=0,0,$D618/$C618))-1),iff_yuvarMax),0))</f>
        <v/>
      </c>
    </row>
    <row r="6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8">
        <f>IF($A619="","",IFERROR(ROUND($H619*((INDEX(tblKurallar[deger_2025],MATCH("IFF-001",tblKurallar[kural_id],0))+(1-INDEX(tblKurallar[deger_2025],MATCH("IFF-001",tblKurallar[kural_id],0)))*IF($C619=0,0,$D619/$C619))-1),iff_yuvarMax),0))</f>
        <v/>
      </c>
    </row>
    <row r="620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8">
        <f>IF($A620="","",IFERROR(ROUND($H620*((INDEX(tblKurallar[deger_2025],MATCH("IFF-001",tblKurallar[kural_id],0))+(1-INDEX(tblKurallar[deger_2025],MATCH("IFF-001",tblKurallar[kural_id],0)))*IF($C620=0,0,$D620/$C620))-1),iff_yuvarMax),0))</f>
        <v/>
      </c>
    </row>
    <row r="62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8">
        <f>IF($A621="","",IFERROR(ROUND($H621*((INDEX(tblKurallar[deger_2025],MATCH("IFF-001",tblKurallar[kural_id],0))+(1-INDEX(tblKurallar[deger_2025],MATCH("IFF-001",tblKurallar[kural_id],0)))*IF($C621=0,0,$D621/$C621))-1),iff_yuvarMax),0))</f>
        <v/>
      </c>
    </row>
    <row r="622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8">
        <f>IF($A622="","",IFERROR(ROUND($H622*((INDEX(tblKurallar[deger_2025],MATCH("IFF-001",tblKurallar[kural_id],0))+(1-INDEX(tblKurallar[deger_2025],MATCH("IFF-001",tblKurallar[kural_id],0)))*IF($C622=0,0,$D622/$C622))-1),iff_yuvarMax),0))</f>
        <v/>
      </c>
    </row>
    <row r="623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8">
        <f>IF($A623="","",IFERROR(ROUND($H623*((INDEX(tblKurallar[deger_2025],MATCH("IFF-001",tblKurallar[kural_id],0))+(1-INDEX(tblKurallar[deger_2025],MATCH("IFF-001",tblKurallar[kural_id],0)))*IF($C623=0,0,$D623/$C623))-1),iff_yuvarMax),0))</f>
        <v/>
      </c>
    </row>
    <row r="624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8">
        <f>IF($A624="","",IFERROR(ROUND($H624*((INDEX(tblKurallar[deger_2025],MATCH("IFF-001",tblKurallar[kural_id],0))+(1-INDEX(tblKurallar[deger_2025],MATCH("IFF-001",tblKurallar[kural_id],0)))*IF($C624=0,0,$D624/$C624))-1),iff_yuvarMax),0))</f>
        <v/>
      </c>
    </row>
    <row r="62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8">
        <f>IF($A625="","",IFERROR(ROUND($H625*((INDEX(tblKurallar[deger_2025],MATCH("IFF-001",tblKurallar[kural_id],0))+(1-INDEX(tblKurallar[deger_2025],MATCH("IFF-001",tblKurallar[kural_id],0)))*IF($C625=0,0,$D625/$C625))-1),iff_yuvarMax),0))</f>
        <v/>
      </c>
    </row>
    <row r="62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8">
        <f>IF($A626="","",IFERROR(ROUND($H626*((INDEX(tblKurallar[deger_2025],MATCH("IFF-001",tblKurallar[kural_id],0))+(1-INDEX(tblKurallar[deger_2025],MATCH("IFF-001",tblKurallar[kural_id],0)))*IF($C626=0,0,$D626/$C626))-1),iff_yuvarMax),0))</f>
        <v/>
      </c>
    </row>
    <row r="627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8">
        <f>IF($A627="","",IFERROR(ROUND($H627*((INDEX(tblKurallar[deger_2025],MATCH("IFF-001",tblKurallar[kural_id],0))+(1-INDEX(tblKurallar[deger_2025],MATCH("IFF-001",tblKurallar[kural_id],0)))*IF($C627=0,0,$D627/$C627))-1),iff_yuvarMax),0))</f>
        <v/>
      </c>
    </row>
    <row r="62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8">
        <f>IF($A628="","",IFERROR(ROUND($H628*((INDEX(tblKurallar[deger_2025],MATCH("IFF-001",tblKurallar[kural_id],0))+(1-INDEX(tblKurallar[deger_2025],MATCH("IFF-001",tblKurallar[kural_id],0)))*IF($C628=0,0,$D628/$C628))-1),iff_yuvarMax),0))</f>
        <v/>
      </c>
    </row>
    <row r="62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8">
        <f>IF($A629="","",IFERROR(ROUND($H629*((INDEX(tblKurallar[deger_2025],MATCH("IFF-001",tblKurallar[kural_id],0))+(1-INDEX(tblKurallar[deger_2025],MATCH("IFF-001",tblKurallar[kural_id],0)))*IF($C629=0,0,$D629/$C629))-1),iff_yuvarMax),0))</f>
        <v/>
      </c>
    </row>
    <row r="630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8">
        <f>IF($A630="","",IFERROR(ROUND($H630*((INDEX(tblKurallar[deger_2025],MATCH("IFF-001",tblKurallar[kural_id],0))+(1-INDEX(tblKurallar[deger_2025],MATCH("IFF-001",tblKurallar[kural_id],0)))*IF($C630=0,0,$D630/$C630))-1),iff_yuvarMax),0))</f>
        <v/>
      </c>
    </row>
    <row r="6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8">
        <f>IF($A631="","",IFERROR(ROUND($H631*((INDEX(tblKurallar[deger_2025],MATCH("IFF-001",tblKurallar[kural_id],0))+(1-INDEX(tblKurallar[deger_2025],MATCH("IFF-001",tblKurallar[kural_id],0)))*IF($C631=0,0,$D631/$C631))-1),iff_yuvarMax),0))</f>
        <v/>
      </c>
    </row>
    <row r="632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8">
        <f>IF($A632="","",IFERROR(ROUND($H632*((INDEX(tblKurallar[deger_2025],MATCH("IFF-001",tblKurallar[kural_id],0))+(1-INDEX(tblKurallar[deger_2025],MATCH("IFF-001",tblKurallar[kural_id],0)))*IF($C632=0,0,$D632/$C632))-1),iff_yuvarMax),0))</f>
        <v/>
      </c>
    </row>
    <row r="633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8">
        <f>IF($A633="","",IFERROR(ROUND($H633*((INDEX(tblKurallar[deger_2025],MATCH("IFF-001",tblKurallar[kural_id],0))+(1-INDEX(tblKurallar[deger_2025],MATCH("IFF-001",tblKurallar[kural_id],0)))*IF($C633=0,0,$D633/$C633))-1),iff_yuvarMax),0))</f>
        <v/>
      </c>
    </row>
    <row r="634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8">
        <f>IF($A634="","",IFERROR(ROUND($H634*((INDEX(tblKurallar[deger_2025],MATCH("IFF-001",tblKurallar[kural_id],0))+(1-INDEX(tblKurallar[deger_2025],MATCH("IFF-001",tblKurallar[kural_id],0)))*IF($C634=0,0,$D634/$C634))-1),iff_yuvarMax),0))</f>
        <v/>
      </c>
    </row>
    <row r="63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8">
        <f>IF($A635="","",IFERROR(ROUND($H635*((INDEX(tblKurallar[deger_2025],MATCH("IFF-001",tblKurallar[kural_id],0))+(1-INDEX(tblKurallar[deger_2025],MATCH("IFF-001",tblKurallar[kural_id],0)))*IF($C635=0,0,$D635/$C635))-1),iff_yuvarMax),0))</f>
        <v/>
      </c>
    </row>
    <row r="63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8">
        <f>IF($A636="","",IFERROR(ROUND($H636*((INDEX(tblKurallar[deger_2025],MATCH("IFF-001",tblKurallar[kural_id],0))+(1-INDEX(tblKurallar[deger_2025],MATCH("IFF-001",tblKurallar[kural_id],0)))*IF($C636=0,0,$D636/$C636))-1),iff_yuvarMax),0))</f>
        <v/>
      </c>
    </row>
    <row r="637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8">
        <f>IF($A637="","",IFERROR(ROUND($H637*((INDEX(tblKurallar[deger_2025],MATCH("IFF-001",tblKurallar[kural_id],0))+(1-INDEX(tblKurallar[deger_2025],MATCH("IFF-001",tblKurallar[kural_id],0)))*IF($C637=0,0,$D637/$C637))-1),iff_yuvarMax),0))</f>
        <v/>
      </c>
    </row>
    <row r="6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8">
        <f>IF($A638="","",IFERROR(ROUND($H638*((INDEX(tblKurallar[deger_2025],MATCH("IFF-001",tblKurallar[kural_id],0))+(1-INDEX(tblKurallar[deger_2025],MATCH("IFF-001",tblKurallar[kural_id],0)))*IF($C638=0,0,$D638/$C638))-1),iff_yuvarMax),0))</f>
        <v/>
      </c>
    </row>
    <row r="63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8">
        <f>IF($A639="","",IFERROR(ROUND($H639*((INDEX(tblKurallar[deger_2025],MATCH("IFF-001",tblKurallar[kural_id],0))+(1-INDEX(tblKurallar[deger_2025],MATCH("IFF-001",tblKurallar[kural_id],0)))*IF($C639=0,0,$D639/$C639))-1),iff_yuvarMax),0))</f>
        <v/>
      </c>
    </row>
    <row r="640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8">
        <f>IF($A640="","",IFERROR(ROUND($H640*((INDEX(tblKurallar[deger_2025],MATCH("IFF-001",tblKurallar[kural_id],0))+(1-INDEX(tblKurallar[deger_2025],MATCH("IFF-001",tblKurallar[kural_id],0)))*IF($C640=0,0,$D640/$C640))-1),iff_yuvarMax),0))</f>
        <v/>
      </c>
    </row>
    <row r="64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8">
        <f>IF($A641="","",IFERROR(ROUND($H641*((INDEX(tblKurallar[deger_2025],MATCH("IFF-001",tblKurallar[kural_id],0))+(1-INDEX(tblKurallar[deger_2025],MATCH("IFF-001",tblKurallar[kural_id],0)))*IF($C641=0,0,$D641/$C641))-1),iff_yuvarMax),0))</f>
        <v/>
      </c>
    </row>
    <row r="642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8">
        <f>IF($A642="","",IFERROR(ROUND($H642*((INDEX(tblKurallar[deger_2025],MATCH("IFF-001",tblKurallar[kural_id],0))+(1-INDEX(tblKurallar[deger_2025],MATCH("IFF-001",tblKurallar[kural_id],0)))*IF($C642=0,0,$D642/$C642))-1),iff_yuvarMax),0))</f>
        <v/>
      </c>
    </row>
    <row r="643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8">
        <f>IF($A643="","",IFERROR(ROUND($H643*((INDEX(tblKurallar[deger_2025],MATCH("IFF-001",tblKurallar[kural_id],0))+(1-INDEX(tblKurallar[deger_2025],MATCH("IFF-001",tblKurallar[kural_id],0)))*IF($C643=0,0,$D643/$C643))-1),iff_yuvarMax),0))</f>
        <v/>
      </c>
    </row>
    <row r="644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8">
        <f>IF($A644="","",IFERROR(ROUND($H644*((INDEX(tblKurallar[deger_2025],MATCH("IFF-001",tblKurallar[kural_id],0))+(1-INDEX(tblKurallar[deger_2025],MATCH("IFF-001",tblKurallar[kural_id],0)))*IF($C644=0,0,$D644/$C644))-1),iff_yuvarMax),0))</f>
        <v/>
      </c>
    </row>
    <row r="64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8">
        <f>IF($A645="","",IFERROR(ROUND($H645*((INDEX(tblKurallar[deger_2025],MATCH("IFF-001",tblKurallar[kural_id],0))+(1-INDEX(tblKurallar[deger_2025],MATCH("IFF-001",tblKurallar[kural_id],0)))*IF($C645=0,0,$D645/$C645))-1),iff_yuvarMax),0))</f>
        <v/>
      </c>
    </row>
    <row r="6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8">
        <f>IF($A646="","",IFERROR(ROUND($H646*((INDEX(tblKurallar[deger_2025],MATCH("IFF-001",tblKurallar[kural_id],0))+(1-INDEX(tblKurallar[deger_2025],MATCH("IFF-001",tblKurallar[kural_id],0)))*IF($C646=0,0,$D646/$C646))-1),iff_yuvarMax),0))</f>
        <v/>
      </c>
    </row>
    <row r="647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8">
        <f>IF($A647="","",IFERROR(ROUND($H647*((INDEX(tblKurallar[deger_2025],MATCH("IFF-001",tblKurallar[kural_id],0))+(1-INDEX(tblKurallar[deger_2025],MATCH("IFF-001",tblKurallar[kural_id],0)))*IF($C647=0,0,$D647/$C647))-1),iff_yuvarMax),0))</f>
        <v/>
      </c>
    </row>
    <row r="64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8">
        <f>IF($A648="","",IFERROR(ROUND($H648*((INDEX(tblKurallar[deger_2025],MATCH("IFF-001",tblKurallar[kural_id],0))+(1-INDEX(tblKurallar[deger_2025],MATCH("IFF-001",tblKurallar[kural_id],0)))*IF($C648=0,0,$D648/$C648))-1),iff_yuvarMax),0))</f>
        <v/>
      </c>
    </row>
    <row r="64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8">
        <f>IF($A649="","",IFERROR(ROUND($H649*((INDEX(tblKurallar[deger_2025],MATCH("IFF-001",tblKurallar[kural_id],0))+(1-INDEX(tblKurallar[deger_2025],MATCH("IFF-001",tblKurallar[kural_id],0)))*IF($C649=0,0,$D649/$C649))-1),iff_yuvarMax),0))</f>
        <v/>
      </c>
    </row>
    <row r="650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8">
        <f>IF($A650="","",IFERROR(ROUND($H650*((INDEX(tblKurallar[deger_2025],MATCH("IFF-001",tblKurallar[kural_id],0))+(1-INDEX(tblKurallar[deger_2025],MATCH("IFF-001",tblKurallar[kural_id],0)))*IF($C650=0,0,$D650/$C650))-1),iff_yuvarMax),0))</f>
        <v/>
      </c>
    </row>
    <row r="65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8">
        <f>IF($A651="","",IFERROR(ROUND($H651*((INDEX(tblKurallar[deger_2025],MATCH("IFF-001",tblKurallar[kural_id],0))+(1-INDEX(tblKurallar[deger_2025],MATCH("IFF-001",tblKurallar[kural_id],0)))*IF($C651=0,0,$D651/$C651))-1),iff_yuvarMax),0))</f>
        <v/>
      </c>
    </row>
    <row r="652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8">
        <f>IF($A652="","",IFERROR(ROUND($H652*((INDEX(tblKurallar[deger_2025],MATCH("IFF-001",tblKurallar[kural_id],0))+(1-INDEX(tblKurallar[deger_2025],MATCH("IFF-001",tblKurallar[kural_id],0)))*IF($C652=0,0,$D652/$C652))-1),iff_yuvarMax),0))</f>
        <v/>
      </c>
    </row>
    <row r="653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8">
        <f>IF($A653="","",IFERROR(ROUND($H653*((INDEX(tblKurallar[deger_2025],MATCH("IFF-001",tblKurallar[kural_id],0))+(1-INDEX(tblKurallar[deger_2025],MATCH("IFF-001",tblKurallar[kural_id],0)))*IF($C653=0,0,$D653/$C653))-1),iff_yuvarMax),0))</f>
        <v/>
      </c>
    </row>
    <row r="654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8">
        <f>IF($A654="","",IFERROR(ROUND($H654*((INDEX(tblKurallar[deger_2025],MATCH("IFF-001",tblKurallar[kural_id],0))+(1-INDEX(tblKurallar[deger_2025],MATCH("IFF-001",tblKurallar[kural_id],0)))*IF($C654=0,0,$D654/$C654))-1),iff_yuvarMax),0))</f>
        <v/>
      </c>
    </row>
    <row r="65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8">
        <f>IF($A655="","",IFERROR(ROUND($H655*((INDEX(tblKurallar[deger_2025],MATCH("IFF-001",tblKurallar[kural_id],0))+(1-INDEX(tblKurallar[deger_2025],MATCH("IFF-001",tblKurallar[kural_id],0)))*IF($C655=0,0,$D655/$C655))-1),iff_yuvarMax),0))</f>
        <v/>
      </c>
    </row>
    <row r="65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8">
        <f>IF($A656="","",IFERROR(ROUND($H656*((INDEX(tblKurallar[deger_2025],MATCH("IFF-001",tblKurallar[kural_id],0))+(1-INDEX(tblKurallar[deger_2025],MATCH("IFF-001",tblKurallar[kural_id],0)))*IF($C656=0,0,$D656/$C656))-1),iff_yuvarMax),0))</f>
        <v/>
      </c>
    </row>
    <row r="657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8">
        <f>IF($A657="","",IFERROR(ROUND($H657*((INDEX(tblKurallar[deger_2025],MATCH("IFF-001",tblKurallar[kural_id],0))+(1-INDEX(tblKurallar[deger_2025],MATCH("IFF-001",tblKurallar[kural_id],0)))*IF($C657=0,0,$D657/$C657))-1),iff_yuvarMax),0))</f>
        <v/>
      </c>
    </row>
    <row r="65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8">
        <f>IF($A658="","",IFERROR(ROUND($H658*((INDEX(tblKurallar[deger_2025],MATCH("IFF-001",tblKurallar[kural_id],0))+(1-INDEX(tblKurallar[deger_2025],MATCH("IFF-001",tblKurallar[kural_id],0)))*IF($C658=0,0,$D658/$C658))-1),iff_yuvarMax),0))</f>
        <v/>
      </c>
    </row>
    <row r="65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8">
        <f>IF($A659="","",IFERROR(ROUND($H659*((INDEX(tblKurallar[deger_2025],MATCH("IFF-001",tblKurallar[kural_id],0))+(1-INDEX(tblKurallar[deger_2025],MATCH("IFF-001",tblKurallar[kural_id],0)))*IF($C659=0,0,$D659/$C659))-1),iff_yuvarMax),0))</f>
        <v/>
      </c>
    </row>
    <row r="660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8">
        <f>IF($A660="","",IFERROR(ROUND($H660*((INDEX(tblKurallar[deger_2025],MATCH("IFF-001",tblKurallar[kural_id],0))+(1-INDEX(tblKurallar[deger_2025],MATCH("IFF-001",tblKurallar[kural_id],0)))*IF($C660=0,0,$D660/$C660))-1),iff_yuvarMax),0))</f>
        <v/>
      </c>
    </row>
    <row r="66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8">
        <f>IF($A661="","",IFERROR(ROUND($H661*((INDEX(tblKurallar[deger_2025],MATCH("IFF-001",tblKurallar[kural_id],0))+(1-INDEX(tblKurallar[deger_2025],MATCH("IFF-001",tblKurallar[kural_id],0)))*IF($C661=0,0,$D661/$C661))-1),iff_yuvarMax),0))</f>
        <v/>
      </c>
    </row>
    <row r="662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8">
        <f>IF($A662="","",IFERROR(ROUND($H662*((INDEX(tblKurallar[deger_2025],MATCH("IFF-001",tblKurallar[kural_id],0))+(1-INDEX(tblKurallar[deger_2025],MATCH("IFF-001",tblKurallar[kural_id],0)))*IF($C662=0,0,$D662/$C662))-1),iff_yuvarMax),0))</f>
        <v/>
      </c>
    </row>
    <row r="663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8">
        <f>IF($A663="","",IFERROR(ROUND($H663*((INDEX(tblKurallar[deger_2025],MATCH("IFF-001",tblKurallar[kural_id],0))+(1-INDEX(tblKurallar[deger_2025],MATCH("IFF-001",tblKurallar[kural_id],0)))*IF($C663=0,0,$D663/$C663))-1),iff_yuvarMax),0))</f>
        <v/>
      </c>
    </row>
    <row r="664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8">
        <f>IF($A664="","",IFERROR(ROUND($H664*((INDEX(tblKurallar[deger_2025],MATCH("IFF-001",tblKurallar[kural_id],0))+(1-INDEX(tblKurallar[deger_2025],MATCH("IFF-001",tblKurallar[kural_id],0)))*IF($C664=0,0,$D664/$C664))-1),iff_yuvarMax),0))</f>
        <v/>
      </c>
    </row>
    <row r="66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8">
        <f>IF($A665="","",IFERROR(ROUND($H665*((INDEX(tblKurallar[deger_2025],MATCH("IFF-001",tblKurallar[kural_id],0))+(1-INDEX(tblKurallar[deger_2025],MATCH("IFF-001",tblKurallar[kural_id],0)))*IF($C665=0,0,$D665/$C665))-1),iff_yuvarMax),0))</f>
        <v/>
      </c>
    </row>
    <row r="66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8">
        <f>IF($A666="","",IFERROR(ROUND($H666*((INDEX(tblKurallar[deger_2025],MATCH("IFF-001",tblKurallar[kural_id],0))+(1-INDEX(tblKurallar[deger_2025],MATCH("IFF-001",tblKurallar[kural_id],0)))*IF($C666=0,0,$D666/$C666))-1),iff_yuvarMax),0))</f>
        <v/>
      </c>
    </row>
    <row r="667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8">
        <f>IF($A667="","",IFERROR(ROUND($H667*((INDEX(tblKurallar[deger_2025],MATCH("IFF-001",tblKurallar[kural_id],0))+(1-INDEX(tblKurallar[deger_2025],MATCH("IFF-001",tblKurallar[kural_id],0)))*IF($C667=0,0,$D667/$C667))-1),iff_yuvarMax),0))</f>
        <v/>
      </c>
    </row>
    <row r="66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8">
        <f>IF($A668="","",IFERROR(ROUND($H668*((INDEX(tblKurallar[deger_2025],MATCH("IFF-001",tblKurallar[kural_id],0))+(1-INDEX(tblKurallar[deger_2025],MATCH("IFF-001",tblKurallar[kural_id],0)))*IF($C668=0,0,$D668/$C668))-1),iff_yuvarMax),0))</f>
        <v/>
      </c>
    </row>
    <row r="66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8">
        <f>IF($A669="","",IFERROR(ROUND($H669*((INDEX(tblKurallar[deger_2025],MATCH("IFF-001",tblKurallar[kural_id],0))+(1-INDEX(tblKurallar[deger_2025],MATCH("IFF-001",tblKurallar[kural_id],0)))*IF($C669=0,0,$D669/$C669))-1),iff_yuvarMax),0))</f>
        <v/>
      </c>
    </row>
    <row r="670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8">
        <f>IF($A670="","",IFERROR(ROUND($H670*((INDEX(tblKurallar[deger_2025],MATCH("IFF-001",tblKurallar[kural_id],0))+(1-INDEX(tblKurallar[deger_2025],MATCH("IFF-001",tblKurallar[kural_id],0)))*IF($C670=0,0,$D670/$C670))-1),iff_yuvarMax),0))</f>
        <v/>
      </c>
    </row>
    <row r="67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8">
        <f>IF($A671="","",IFERROR(ROUND($H671*((INDEX(tblKurallar[deger_2025],MATCH("IFF-001",tblKurallar[kural_id],0))+(1-INDEX(tblKurallar[deger_2025],MATCH("IFF-001",tblKurallar[kural_id],0)))*IF($C671=0,0,$D671/$C671))-1),iff_yuvarMax),0))</f>
        <v/>
      </c>
    </row>
    <row r="672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8">
        <f>IF($A672="","",IFERROR(ROUND($H672*((INDEX(tblKurallar[deger_2025],MATCH("IFF-001",tblKurallar[kural_id],0))+(1-INDEX(tblKurallar[deger_2025],MATCH("IFF-001",tblKurallar[kural_id],0)))*IF($C672=0,0,$D672/$C672))-1),iff_yuvarMax),0))</f>
        <v/>
      </c>
    </row>
    <row r="673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8">
        <f>IF($A673="","",IFERROR(ROUND($H673*((INDEX(tblKurallar[deger_2025],MATCH("IFF-001",tblKurallar[kural_id],0))+(1-INDEX(tblKurallar[deger_2025],MATCH("IFF-001",tblKurallar[kural_id],0)))*IF($C673=0,0,$D673/$C673))-1),iff_yuvarMax),0))</f>
        <v/>
      </c>
    </row>
    <row r="674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8">
        <f>IF($A674="","",IFERROR(ROUND($H674*((INDEX(tblKurallar[deger_2025],MATCH("IFF-001",tblKurallar[kural_id],0))+(1-INDEX(tblKurallar[deger_2025],MATCH("IFF-001",tblKurallar[kural_id],0)))*IF($C674=0,0,$D674/$C674))-1),iff_yuvarMax),0))</f>
        <v/>
      </c>
    </row>
    <row r="67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8">
        <f>IF($A675="","",IFERROR(ROUND($H675*((INDEX(tblKurallar[deger_2025],MATCH("IFF-001",tblKurallar[kural_id],0))+(1-INDEX(tblKurallar[deger_2025],MATCH("IFF-001",tblKurallar[kural_id],0)))*IF($C675=0,0,$D675/$C675))-1),iff_yuvarMax),0))</f>
        <v/>
      </c>
    </row>
    <row r="67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8">
        <f>IF($A676="","",IFERROR(ROUND($H676*((INDEX(tblKurallar[deger_2025],MATCH("IFF-001",tblKurallar[kural_id],0))+(1-INDEX(tblKurallar[deger_2025],MATCH("IFF-001",tblKurallar[kural_id],0)))*IF($C676=0,0,$D676/$C676))-1),iff_yuvarMax),0))</f>
        <v/>
      </c>
    </row>
    <row r="677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8">
        <f>IF($A677="","",IFERROR(ROUND($H677*((INDEX(tblKurallar[deger_2025],MATCH("IFF-001",tblKurallar[kural_id],0))+(1-INDEX(tblKurallar[deger_2025],MATCH("IFF-001",tblKurallar[kural_id],0)))*IF($C677=0,0,$D677/$C677))-1),iff_yuvarMax),0))</f>
        <v/>
      </c>
    </row>
    <row r="67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8">
        <f>IF($A678="","",IFERROR(ROUND($H678*((INDEX(tblKurallar[deger_2025],MATCH("IFF-001",tblKurallar[kural_id],0))+(1-INDEX(tblKurallar[deger_2025],MATCH("IFF-001",tblKurallar[kural_id],0)))*IF($C678=0,0,$D678/$C678))-1),iff_yuvarMax),0))</f>
        <v/>
      </c>
    </row>
    <row r="67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8">
        <f>IF($A679="","",IFERROR(ROUND($H679*((INDEX(tblKurallar[deger_2025],MATCH("IFF-001",tblKurallar[kural_id],0))+(1-INDEX(tblKurallar[deger_2025],MATCH("IFF-001",tblKurallar[kural_id],0)))*IF($C679=0,0,$D679/$C679))-1),iff_yuvarMax),0))</f>
        <v/>
      </c>
    </row>
    <row r="680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8">
        <f>IF($A680="","",IFERROR(ROUND($H680*((INDEX(tblKurallar[deger_2025],MATCH("IFF-001",tblKurallar[kural_id],0))+(1-INDEX(tblKurallar[deger_2025],MATCH("IFF-001",tblKurallar[kural_id],0)))*IF($C680=0,0,$D680/$C680))-1),iff_yuvarMax),0))</f>
        <v/>
      </c>
    </row>
    <row r="68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8">
        <f>IF($A681="","",IFERROR(ROUND($H681*((INDEX(tblKurallar[deger_2025],MATCH("IFF-001",tblKurallar[kural_id],0))+(1-INDEX(tblKurallar[deger_2025],MATCH("IFF-001",tblKurallar[kural_id],0)))*IF($C681=0,0,$D681/$C681))-1),iff_yuvarMax),0))</f>
        <v/>
      </c>
    </row>
    <row r="682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8">
        <f>IF($A682="","",IFERROR(ROUND($H682*((INDEX(tblKurallar[deger_2025],MATCH("IFF-001",tblKurallar[kural_id],0))+(1-INDEX(tblKurallar[deger_2025],MATCH("IFF-001",tblKurallar[kural_id],0)))*IF($C682=0,0,$D682/$C682))-1),iff_yuvarMax),0))</f>
        <v/>
      </c>
    </row>
    <row r="683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8">
        <f>IF($A683="","",IFERROR(ROUND($H683*((INDEX(tblKurallar[deger_2025],MATCH("IFF-001",tblKurallar[kural_id],0))+(1-INDEX(tblKurallar[deger_2025],MATCH("IFF-001",tblKurallar[kural_id],0)))*IF($C683=0,0,$D683/$C683))-1),iff_yuvarMax),0))</f>
        <v/>
      </c>
    </row>
    <row r="684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8">
        <f>IF($A684="","",IFERROR(ROUND($H684*((INDEX(tblKurallar[deger_2025],MATCH("IFF-001",tblKurallar[kural_id],0))+(1-INDEX(tblKurallar[deger_2025],MATCH("IFF-001",tblKurallar[kural_id],0)))*IF($C684=0,0,$D684/$C684))-1),iff_yuvarMax),0))</f>
        <v/>
      </c>
    </row>
    <row r="6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8">
        <f>IF($A685="","",IFERROR(ROUND($H685*((INDEX(tblKurallar[deger_2025],MATCH("IFF-001",tblKurallar[kural_id],0))+(1-INDEX(tblKurallar[deger_2025],MATCH("IFF-001",tblKurallar[kural_id],0)))*IF($C685=0,0,$D685/$C685))-1),iff_yuvarMax),0))</f>
        <v/>
      </c>
    </row>
    <row r="68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8">
        <f>IF($A686="","",IFERROR(ROUND($H686*((INDEX(tblKurallar[deger_2025],MATCH("IFF-001",tblKurallar[kural_id],0))+(1-INDEX(tblKurallar[deger_2025],MATCH("IFF-001",tblKurallar[kural_id],0)))*IF($C686=0,0,$D686/$C686))-1),iff_yuvarMax),0))</f>
        <v/>
      </c>
    </row>
    <row r="687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8">
        <f>IF($A687="","",IFERROR(ROUND($H687*((INDEX(tblKurallar[deger_2025],MATCH("IFF-001",tblKurallar[kural_id],0))+(1-INDEX(tblKurallar[deger_2025],MATCH("IFF-001",tblKurallar[kural_id],0)))*IF($C687=0,0,$D687/$C687))-1),iff_yuvarMax),0))</f>
        <v/>
      </c>
    </row>
    <row r="68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8">
        <f>IF($A688="","",IFERROR(ROUND($H688*((INDEX(tblKurallar[deger_2025],MATCH("IFF-001",tblKurallar[kural_id],0))+(1-INDEX(tblKurallar[deger_2025],MATCH("IFF-001",tblKurallar[kural_id],0)))*IF($C688=0,0,$D688/$C688))-1),iff_yuvarMax),0))</f>
        <v/>
      </c>
    </row>
    <row r="68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8">
        <f>IF($A689="","",IFERROR(ROUND($H689*((INDEX(tblKurallar[deger_2025],MATCH("IFF-001",tblKurallar[kural_id],0))+(1-INDEX(tblKurallar[deger_2025],MATCH("IFF-001",tblKurallar[kural_id],0)))*IF($C689=0,0,$D689/$C689))-1),iff_yuvarMax),0))</f>
        <v/>
      </c>
    </row>
    <row r="690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8">
        <f>IF($A690="","",IFERROR(ROUND($H690*((INDEX(tblKurallar[deger_2025],MATCH("IFF-001",tblKurallar[kural_id],0))+(1-INDEX(tblKurallar[deger_2025],MATCH("IFF-001",tblKurallar[kural_id],0)))*IF($C690=0,0,$D690/$C690))-1),iff_yuvarMax),0))</f>
        <v/>
      </c>
    </row>
    <row r="69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8">
        <f>IF($A691="","",IFERROR(ROUND($H691*((INDEX(tblKurallar[deger_2025],MATCH("IFF-001",tblKurallar[kural_id],0))+(1-INDEX(tblKurallar[deger_2025],MATCH("IFF-001",tblKurallar[kural_id],0)))*IF($C691=0,0,$D691/$C691))-1),iff_yuvarMax),0))</f>
        <v/>
      </c>
    </row>
    <row r="692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8">
        <f>IF($A692="","",IFERROR(ROUND($H692*((INDEX(tblKurallar[deger_2025],MATCH("IFF-001",tblKurallar[kural_id],0))+(1-INDEX(tblKurallar[deger_2025],MATCH("IFF-001",tblKurallar[kural_id],0)))*IF($C692=0,0,$D692/$C692))-1),iff_yuvarMax),0))</f>
        <v/>
      </c>
    </row>
    <row r="693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8">
        <f>IF($A693="","",IFERROR(ROUND($H693*((INDEX(tblKurallar[deger_2025],MATCH("IFF-001",tblKurallar[kural_id],0))+(1-INDEX(tblKurallar[deger_2025],MATCH("IFF-001",tblKurallar[kural_id],0)))*IF($C693=0,0,$D693/$C693))-1),iff_yuvarMax),0))</f>
        <v/>
      </c>
    </row>
    <row r="694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8">
        <f>IF($A694="","",IFERROR(ROUND($H694*((INDEX(tblKurallar[deger_2025],MATCH("IFF-001",tblKurallar[kural_id],0))+(1-INDEX(tblKurallar[deger_2025],MATCH("IFF-001",tblKurallar[kural_id],0)))*IF($C694=0,0,$D694/$C694))-1),iff_yuvarMax),0))</f>
        <v/>
      </c>
    </row>
    <row r="69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8">
        <f>IF($A695="","",IFERROR(ROUND($H695*((INDEX(tblKurallar[deger_2025],MATCH("IFF-001",tblKurallar[kural_id],0))+(1-INDEX(tblKurallar[deger_2025],MATCH("IFF-001",tblKurallar[kural_id],0)))*IF($C695=0,0,$D695/$C695))-1),iff_yuvarMax),0))</f>
        <v/>
      </c>
    </row>
    <row r="69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8">
        <f>IF($A696="","",IFERROR(ROUND($H696*((INDEX(tblKurallar[deger_2025],MATCH("IFF-001",tblKurallar[kural_id],0))+(1-INDEX(tblKurallar[deger_2025],MATCH("IFF-001",tblKurallar[kural_id],0)))*IF($C696=0,0,$D696/$C696))-1),iff_yuvarMax),0))</f>
        <v/>
      </c>
    </row>
    <row r="697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8">
        <f>IF($A697="","",IFERROR(ROUND($H697*((INDEX(tblKurallar[deger_2025],MATCH("IFF-001",tblKurallar[kural_id],0))+(1-INDEX(tblKurallar[deger_2025],MATCH("IFF-001",tblKurallar[kural_id],0)))*IF($C697=0,0,$D697/$C697))-1),iff_yuvarMax),0))</f>
        <v/>
      </c>
    </row>
    <row r="69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8">
        <f>IF($A698="","",IFERROR(ROUND($H698*((INDEX(tblKurallar[deger_2025],MATCH("IFF-001",tblKurallar[kural_id],0))+(1-INDEX(tblKurallar[deger_2025],MATCH("IFF-001",tblKurallar[kural_id],0)))*IF($C698=0,0,$D698/$C698))-1),iff_yuvarMax),0))</f>
        <v/>
      </c>
    </row>
    <row r="69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8">
        <f>IF($A699="","",IFERROR(ROUND($H699*((INDEX(tblKurallar[deger_2025],MATCH("IFF-001",tblKurallar[kural_id],0))+(1-INDEX(tblKurallar[deger_2025],MATCH("IFF-001",tblKurallar[kural_id],0)))*IF($C699=0,0,$D699/$C699))-1),iff_yuvarMax),0))</f>
        <v/>
      </c>
    </row>
    <row r="700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8">
        <f>IF($A700="","",IFERROR(ROUND($H700*((INDEX(tblKurallar[deger_2025],MATCH("IFF-001",tblKurallar[kural_id],0))+(1-INDEX(tblKurallar[deger_2025],MATCH("IFF-001",tblKurallar[kural_id],0)))*IF($C700=0,0,$D700/$C700))-1),iff_yuvarMax),0))</f>
        <v/>
      </c>
    </row>
    <row r="70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8">
        <f>IF($A701="","",IFERROR(ROUND($H701*((INDEX(tblKurallar[deger_2025],MATCH("IFF-001",tblKurallar[kural_id],0))+(1-INDEX(tblKurallar[deger_2025],MATCH("IFF-001",tblKurallar[kural_id],0)))*IF($C701=0,0,$D701/$C701))-1),iff_yuvarMax),0))</f>
        <v/>
      </c>
    </row>
    <row r="702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8">
        <f>IF($A702="","",IFERROR(ROUND($H702*((INDEX(tblKurallar[deger_2025],MATCH("IFF-001",tblKurallar[kural_id],0))+(1-INDEX(tblKurallar[deger_2025],MATCH("IFF-001",tblKurallar[kural_id],0)))*IF($C702=0,0,$D702/$C702))-1),iff_yuvarMax),0))</f>
        <v/>
      </c>
    </row>
    <row r="703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8">
        <f>IF($A703="","",IFERROR(ROUND($H703*((INDEX(tblKurallar[deger_2025],MATCH("IFF-001",tblKurallar[kural_id],0))+(1-INDEX(tblKurallar[deger_2025],MATCH("IFF-001",tblKurallar[kural_id],0)))*IF($C703=0,0,$D703/$C703))-1),iff_yuvarMax),0))</f>
        <v/>
      </c>
    </row>
    <row r="704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8">
        <f>IF($A704="","",IFERROR(ROUND($H704*((INDEX(tblKurallar[deger_2025],MATCH("IFF-001",tblKurallar[kural_id],0))+(1-INDEX(tblKurallar[deger_2025],MATCH("IFF-001",tblKurallar[kural_id],0)))*IF($C704=0,0,$D704/$C704))-1),iff_yuvarMax),0))</f>
        <v/>
      </c>
    </row>
    <row r="70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8">
        <f>IF($A705="","",IFERROR(ROUND($H705*((INDEX(tblKurallar[deger_2025],MATCH("IFF-001",tblKurallar[kural_id],0))+(1-INDEX(tblKurallar[deger_2025],MATCH("IFF-001",tblKurallar[kural_id],0)))*IF($C705=0,0,$D705/$C705))-1),iff_yuvarMax),0))</f>
        <v/>
      </c>
    </row>
    <row r="70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8">
        <f>IF($A706="","",IFERROR(ROUND($H706*((INDEX(tblKurallar[deger_2025],MATCH("IFF-001",tblKurallar[kural_id],0))+(1-INDEX(tblKurallar[deger_2025],MATCH("IFF-001",tblKurallar[kural_id],0)))*IF($C706=0,0,$D706/$C706))-1),iff_yuvarMax),0))</f>
        <v/>
      </c>
    </row>
    <row r="707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8">
        <f>IF($A707="","",IFERROR(ROUND($H707*((INDEX(tblKurallar[deger_2025],MATCH("IFF-001",tblKurallar[kural_id],0))+(1-INDEX(tblKurallar[deger_2025],MATCH("IFF-001",tblKurallar[kural_id],0)))*IF($C707=0,0,$D707/$C707))-1),iff_yuvarMax),0))</f>
        <v/>
      </c>
    </row>
    <row r="70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8">
        <f>IF($A708="","",IFERROR(ROUND($H708*((INDEX(tblKurallar[deger_2025],MATCH("IFF-001",tblKurallar[kural_id],0))+(1-INDEX(tblKurallar[deger_2025],MATCH("IFF-001",tblKurallar[kural_id],0)))*IF($C708=0,0,$D708/$C708))-1),iff_yuvarMax),0))</f>
        <v/>
      </c>
    </row>
    <row r="70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8">
        <f>IF($A709="","",IFERROR(ROUND($H709*((INDEX(tblKurallar[deger_2025],MATCH("IFF-001",tblKurallar[kural_id],0))+(1-INDEX(tblKurallar[deger_2025],MATCH("IFF-001",tblKurallar[kural_id],0)))*IF($C709=0,0,$D709/$C709))-1),iff_yuvarMax),0))</f>
        <v/>
      </c>
    </row>
    <row r="710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8">
        <f>IF($A710="","",IFERROR(ROUND($H710*((INDEX(tblKurallar[deger_2025],MATCH("IFF-001",tblKurallar[kural_id],0))+(1-INDEX(tblKurallar[deger_2025],MATCH("IFF-001",tblKurallar[kural_id],0)))*IF($C710=0,0,$D710/$C710))-1),iff_yuvarMax),0))</f>
        <v/>
      </c>
    </row>
    <row r="71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8">
        <f>IF($A711="","",IFERROR(ROUND($H711*((INDEX(tblKurallar[deger_2025],MATCH("IFF-001",tblKurallar[kural_id],0))+(1-INDEX(tblKurallar[deger_2025],MATCH("IFF-001",tblKurallar[kural_id],0)))*IF($C711=0,0,$D711/$C711))-1),iff_yuvarMax),0))</f>
        <v/>
      </c>
    </row>
    <row r="712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8">
        <f>IF($A712="","",IFERROR(ROUND($H712*((INDEX(tblKurallar[deger_2025],MATCH("IFF-001",tblKurallar[kural_id],0))+(1-INDEX(tblKurallar[deger_2025],MATCH("IFF-001",tblKurallar[kural_id],0)))*IF($C712=0,0,$D712/$C712))-1),iff_yuvarMax),0))</f>
        <v/>
      </c>
    </row>
    <row r="713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8">
        <f>IF($A713="","",IFERROR(ROUND($H713*((INDEX(tblKurallar[deger_2025],MATCH("IFF-001",tblKurallar[kural_id],0))+(1-INDEX(tblKurallar[deger_2025],MATCH("IFF-001",tblKurallar[kural_id],0)))*IF($C713=0,0,$D713/$C713))-1),iff_yuvarMax),0))</f>
        <v/>
      </c>
    </row>
    <row r="714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8">
        <f>IF($A714="","",IFERROR(ROUND($H714*((INDEX(tblKurallar[deger_2025],MATCH("IFF-001",tblKurallar[kural_id],0))+(1-INDEX(tblKurallar[deger_2025],MATCH("IFF-001",tblKurallar[kural_id],0)))*IF($C714=0,0,$D714/$C714))-1),iff_yuvarMax),0))</f>
        <v/>
      </c>
    </row>
    <row r="71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8">
        <f>IF($A715="","",IFERROR(ROUND($H715*((INDEX(tblKurallar[deger_2025],MATCH("IFF-001",tblKurallar[kural_id],0))+(1-INDEX(tblKurallar[deger_2025],MATCH("IFF-001",tblKurallar[kural_id],0)))*IF($C715=0,0,$D715/$C715))-1),iff_yuvarMax),0))</f>
        <v/>
      </c>
    </row>
    <row r="71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8">
        <f>IF($A716="","",IFERROR(ROUND($H716*((INDEX(tblKurallar[deger_2025],MATCH("IFF-001",tblKurallar[kural_id],0))+(1-INDEX(tblKurallar[deger_2025],MATCH("IFF-001",tblKurallar[kural_id],0)))*IF($C716=0,0,$D716/$C716))-1),iff_yuvarMax),0))</f>
        <v/>
      </c>
    </row>
    <row r="717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8">
        <f>IF($A717="","",IFERROR(ROUND($H717*((INDEX(tblKurallar[deger_2025],MATCH("IFF-001",tblKurallar[kural_id],0))+(1-INDEX(tblKurallar[deger_2025],MATCH("IFF-001",tblKurallar[kural_id],0)))*IF($C717=0,0,$D717/$C717))-1),iff_yuvarMax),0))</f>
        <v/>
      </c>
    </row>
    <row r="7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8">
        <f>IF($A718="","",IFERROR(ROUND($H718*((INDEX(tblKurallar[deger_2025],MATCH("IFF-001",tblKurallar[kural_id],0))+(1-INDEX(tblKurallar[deger_2025],MATCH("IFF-001",tblKurallar[kural_id],0)))*IF($C718=0,0,$D718/$C718))-1),iff_yuvarMax),0))</f>
        <v/>
      </c>
    </row>
    <row r="7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8">
        <f>IF($A719="","",IFERROR(ROUND($H719*((INDEX(tblKurallar[deger_2025],MATCH("IFF-001",tblKurallar[kural_id],0))+(1-INDEX(tblKurallar[deger_2025],MATCH("IFF-001",tblKurallar[kural_id],0)))*IF($C719=0,0,$D719/$C719))-1),iff_yuvarMax),0))</f>
        <v/>
      </c>
    </row>
    <row r="720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8">
        <f>IF($A720="","",IFERROR(ROUND($H720*((INDEX(tblKurallar[deger_2025],MATCH("IFF-001",tblKurallar[kural_id],0))+(1-INDEX(tblKurallar[deger_2025],MATCH("IFF-001",tblKurallar[kural_id],0)))*IF($C720=0,0,$D720/$C720))-1),iff_yuvarMax),0))</f>
        <v/>
      </c>
    </row>
    <row r="72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8">
        <f>IF($A721="","",IFERROR(ROUND($H721*((INDEX(tblKurallar[deger_2025],MATCH("IFF-001",tblKurallar[kural_id],0))+(1-INDEX(tblKurallar[deger_2025],MATCH("IFF-001",tblKurallar[kural_id],0)))*IF($C721=0,0,$D721/$C721))-1),iff_yuvarMax),0))</f>
        <v/>
      </c>
    </row>
    <row r="722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8">
        <f>IF($A722="","",IFERROR(ROUND($H722*((INDEX(tblKurallar[deger_2025],MATCH("IFF-001",tblKurallar[kural_id],0))+(1-INDEX(tblKurallar[deger_2025],MATCH("IFF-001",tblKurallar[kural_id],0)))*IF($C722=0,0,$D722/$C722))-1),iff_yuvarMax),0))</f>
        <v/>
      </c>
    </row>
    <row r="723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8">
        <f>IF($A723="","",IFERROR(ROUND($H723*((INDEX(tblKurallar[deger_2025],MATCH("IFF-001",tblKurallar[kural_id],0))+(1-INDEX(tblKurallar[deger_2025],MATCH("IFF-001",tblKurallar[kural_id],0)))*IF($C723=0,0,$D723/$C723))-1),iff_yuvarMax),0))</f>
        <v/>
      </c>
    </row>
    <row r="724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8">
        <f>IF($A724="","",IFERROR(ROUND($H724*((INDEX(tblKurallar[deger_2025],MATCH("IFF-001",tblKurallar[kural_id],0))+(1-INDEX(tblKurallar[deger_2025],MATCH("IFF-001",tblKurallar[kural_id],0)))*IF($C724=0,0,$D724/$C724))-1),iff_yuvarMax),0))</f>
        <v/>
      </c>
    </row>
    <row r="72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8">
        <f>IF($A725="","",IFERROR(ROUND($H725*((INDEX(tblKurallar[deger_2025],MATCH("IFF-001",tblKurallar[kural_id],0))+(1-INDEX(tblKurallar[deger_2025],MATCH("IFF-001",tblKurallar[kural_id],0)))*IF($C725=0,0,$D725/$C725))-1),iff_yuvarMax),0))</f>
        <v/>
      </c>
    </row>
    <row r="72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8">
        <f>IF($A726="","",IFERROR(ROUND($H726*((INDEX(tblKurallar[deger_2025],MATCH("IFF-001",tblKurallar[kural_id],0))+(1-INDEX(tblKurallar[deger_2025],MATCH("IFF-001",tblKurallar[kural_id],0)))*IF($C726=0,0,$D726/$C726))-1),iff_yuvarMax),0))</f>
        <v/>
      </c>
    </row>
    <row r="727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8">
        <f>IF($A727="","",IFERROR(ROUND($H727*((INDEX(tblKurallar[deger_2025],MATCH("IFF-001",tblKurallar[kural_id],0))+(1-INDEX(tblKurallar[deger_2025],MATCH("IFF-001",tblKurallar[kural_id],0)))*IF($C727=0,0,$D727/$C727))-1),iff_yuvarMax),0))</f>
        <v/>
      </c>
    </row>
    <row r="72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8">
        <f>IF($A728="","",IFERROR(ROUND($H728*((INDEX(tblKurallar[deger_2025],MATCH("IFF-001",tblKurallar[kural_id],0))+(1-INDEX(tblKurallar[deger_2025],MATCH("IFF-001",tblKurallar[kural_id],0)))*IF($C728=0,0,$D728/$C728))-1),iff_yuvarMax),0))</f>
        <v/>
      </c>
    </row>
    <row r="72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8">
        <f>IF($A729="","",IFERROR(ROUND($H729*((INDEX(tblKurallar[deger_2025],MATCH("IFF-001",tblKurallar[kural_id],0))+(1-INDEX(tblKurallar[deger_2025],MATCH("IFF-001",tblKurallar[kural_id],0)))*IF($C729=0,0,$D729/$C729))-1),iff_yuvarMax),0))</f>
        <v/>
      </c>
    </row>
    <row r="730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8">
        <f>IF($A730="","",IFERROR(ROUND($H730*((INDEX(tblKurallar[deger_2025],MATCH("IFF-001",tblKurallar[kural_id],0))+(1-INDEX(tblKurallar[deger_2025],MATCH("IFF-001",tblKurallar[kural_id],0)))*IF($C730=0,0,$D730/$C730))-1),iff_yuvarMax),0))</f>
        <v/>
      </c>
    </row>
    <row r="7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8">
        <f>IF($A731="","",IFERROR(ROUND($H731*((INDEX(tblKurallar[deger_2025],MATCH("IFF-001",tblKurallar[kural_id],0))+(1-INDEX(tblKurallar[deger_2025],MATCH("IFF-001",tblKurallar[kural_id],0)))*IF($C731=0,0,$D731/$C731))-1),iff_yuvarMax),0))</f>
        <v/>
      </c>
    </row>
    <row r="732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8">
        <f>IF($A732="","",IFERROR(ROUND($H732*((INDEX(tblKurallar[deger_2025],MATCH("IFF-001",tblKurallar[kural_id],0))+(1-INDEX(tblKurallar[deger_2025],MATCH("IFF-001",tblKurallar[kural_id],0)))*IF($C732=0,0,$D732/$C732))-1),iff_yuvarMax),0))</f>
        <v/>
      </c>
    </row>
    <row r="733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8">
        <f>IF($A733="","",IFERROR(ROUND($H733*((INDEX(tblKurallar[deger_2025],MATCH("IFF-001",tblKurallar[kural_id],0))+(1-INDEX(tblKurallar[deger_2025],MATCH("IFF-001",tblKurallar[kural_id],0)))*IF($C733=0,0,$D733/$C733))-1),iff_yuvarMax),0))</f>
        <v/>
      </c>
    </row>
    <row r="734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8">
        <f>IF($A734="","",IFERROR(ROUND($H734*((INDEX(tblKurallar[deger_2025],MATCH("IFF-001",tblKurallar[kural_id],0))+(1-INDEX(tblKurallar[deger_2025],MATCH("IFF-001",tblKurallar[kural_id],0)))*IF($C734=0,0,$D734/$C734))-1),iff_yuvarMax),0))</f>
        <v/>
      </c>
    </row>
    <row r="73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8">
        <f>IF($A735="","",IFERROR(ROUND($H735*((INDEX(tblKurallar[deger_2025],MATCH("IFF-001",tblKurallar[kural_id],0))+(1-INDEX(tblKurallar[deger_2025],MATCH("IFF-001",tblKurallar[kural_id],0)))*IF($C735=0,0,$D735/$C735))-1),iff_yuvarMax),0))</f>
        <v/>
      </c>
    </row>
    <row r="73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8">
        <f>IF($A736="","",IFERROR(ROUND($H736*((INDEX(tblKurallar[deger_2025],MATCH("IFF-001",tblKurallar[kural_id],0))+(1-INDEX(tblKurallar[deger_2025],MATCH("IFF-001",tblKurallar[kural_id],0)))*IF($C736=0,0,$D736/$C736))-1),iff_yuvarMax),0))</f>
        <v/>
      </c>
    </row>
    <row r="737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8">
        <f>IF($A737="","",IFERROR(ROUND($H737*((INDEX(tblKurallar[deger_2025],MATCH("IFF-001",tblKurallar[kural_id],0))+(1-INDEX(tblKurallar[deger_2025],MATCH("IFF-001",tblKurallar[kural_id],0)))*IF($C737=0,0,$D737/$C737))-1),iff_yuvarMax),0))</f>
        <v/>
      </c>
    </row>
    <row r="7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8">
        <f>IF($A738="","",IFERROR(ROUND($H738*((INDEX(tblKurallar[deger_2025],MATCH("IFF-001",tblKurallar[kural_id],0))+(1-INDEX(tblKurallar[deger_2025],MATCH("IFF-001",tblKurallar[kural_id],0)))*IF($C738=0,0,$D738/$C738))-1),iff_yuvarMax),0))</f>
        <v/>
      </c>
    </row>
    <row r="73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8">
        <f>IF($A739="","",IFERROR(ROUND($H739*((INDEX(tblKurallar[deger_2025],MATCH("IFF-001",tblKurallar[kural_id],0))+(1-INDEX(tblKurallar[deger_2025],MATCH("IFF-001",tblKurallar[kural_id],0)))*IF($C739=0,0,$D739/$C739))-1),iff_yuvarMax),0))</f>
        <v/>
      </c>
    </row>
    <row r="740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8">
        <f>IF($A740="","",IFERROR(ROUND($H740*((INDEX(tblKurallar[deger_2025],MATCH("IFF-001",tblKurallar[kural_id],0))+(1-INDEX(tblKurallar[deger_2025],MATCH("IFF-001",tblKurallar[kural_id],0)))*IF($C740=0,0,$D740/$C740))-1),iff_yuvarMax),0))</f>
        <v/>
      </c>
    </row>
    <row r="74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8">
        <f>IF($A741="","",IFERROR(ROUND($H741*((INDEX(tblKurallar[deger_2025],MATCH("IFF-001",tblKurallar[kural_id],0))+(1-INDEX(tblKurallar[deger_2025],MATCH("IFF-001",tblKurallar[kural_id],0)))*IF($C741=0,0,$D741/$C741))-1),iff_yuvarMax),0))</f>
        <v/>
      </c>
    </row>
    <row r="742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8">
        <f>IF($A742="","",IFERROR(ROUND($H742*((INDEX(tblKurallar[deger_2025],MATCH("IFF-001",tblKurallar[kural_id],0))+(1-INDEX(tblKurallar[deger_2025],MATCH("IFF-001",tblKurallar[kural_id],0)))*IF($C742=0,0,$D742/$C742))-1),iff_yuvarMax),0))</f>
        <v/>
      </c>
    </row>
    <row r="743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8">
        <f>IF($A743="","",IFERROR(ROUND($H743*((INDEX(tblKurallar[deger_2025],MATCH("IFF-001",tblKurallar[kural_id],0))+(1-INDEX(tblKurallar[deger_2025],MATCH("IFF-001",tblKurallar[kural_id],0)))*IF($C743=0,0,$D743/$C743))-1),iff_yuvarMax),0))</f>
        <v/>
      </c>
    </row>
    <row r="744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8">
        <f>IF($A744="","",IFERROR(ROUND($H744*((INDEX(tblKurallar[deger_2025],MATCH("IFF-001",tblKurallar[kural_id],0))+(1-INDEX(tblKurallar[deger_2025],MATCH("IFF-001",tblKurallar[kural_id],0)))*IF($C744=0,0,$D744/$C744))-1),iff_yuvarMax),0))</f>
        <v/>
      </c>
    </row>
    <row r="74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8">
        <f>IF($A745="","",IFERROR(ROUND($H745*((INDEX(tblKurallar[deger_2025],MATCH("IFF-001",tblKurallar[kural_id],0))+(1-INDEX(tblKurallar[deger_2025],MATCH("IFF-001",tblKurallar[kural_id],0)))*IF($C745=0,0,$D745/$C745))-1),iff_yuvarMax),0))</f>
        <v/>
      </c>
    </row>
    <row r="7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8">
        <f>IF($A746="","",IFERROR(ROUND($H746*((INDEX(tblKurallar[deger_2025],MATCH("IFF-001",tblKurallar[kural_id],0))+(1-INDEX(tblKurallar[deger_2025],MATCH("IFF-001",tblKurallar[kural_id],0)))*IF($C746=0,0,$D746/$C746))-1),iff_yuvarMax),0))</f>
        <v/>
      </c>
    </row>
    <row r="747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8">
        <f>IF($A747="","",IFERROR(ROUND($H747*((INDEX(tblKurallar[deger_2025],MATCH("IFF-001",tblKurallar[kural_id],0))+(1-INDEX(tblKurallar[deger_2025],MATCH("IFF-001",tblKurallar[kural_id],0)))*IF($C747=0,0,$D747/$C747))-1),iff_yuvarMax),0))</f>
        <v/>
      </c>
    </row>
    <row r="74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8">
        <f>IF($A748="","",IFERROR(ROUND($H748*((INDEX(tblKurallar[deger_2025],MATCH("IFF-001",tblKurallar[kural_id],0))+(1-INDEX(tblKurallar[deger_2025],MATCH("IFF-001",tblKurallar[kural_id],0)))*IF($C748=0,0,$D748/$C748))-1),iff_yuvarMax),0))</f>
        <v/>
      </c>
    </row>
    <row r="74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8">
        <f>IF($A749="","",IFERROR(ROUND($H749*((INDEX(tblKurallar[deger_2025],MATCH("IFF-001",tblKurallar[kural_id],0))+(1-INDEX(tblKurallar[deger_2025],MATCH("IFF-001",tblKurallar[kural_id],0)))*IF($C749=0,0,$D749/$C749))-1),iff_yuvarMax),0))</f>
        <v/>
      </c>
    </row>
    <row r="750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8">
        <f>IF($A750="","",IFERROR(ROUND($H750*((INDEX(tblKurallar[deger_2025],MATCH("IFF-001",tblKurallar[kural_id],0))+(1-INDEX(tblKurallar[deger_2025],MATCH("IFF-001",tblKurallar[kural_id],0)))*IF($C750=0,0,$D750/$C750))-1),iff_yuvarMax),0))</f>
        <v/>
      </c>
    </row>
    <row r="75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8">
        <f>IF($A751="","",IFERROR(ROUND($H751*((INDEX(tblKurallar[deger_2025],MATCH("IFF-001",tblKurallar[kural_id],0))+(1-INDEX(tblKurallar[deger_2025],MATCH("IFF-001",tblKurallar[kural_id],0)))*IF($C751=0,0,$D751/$C751))-1),iff_yuvarMax),0))</f>
        <v/>
      </c>
    </row>
    <row r="752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8">
        <f>IF($A752="","",IFERROR(ROUND($H752*((INDEX(tblKurallar[deger_2025],MATCH("IFF-001",tblKurallar[kural_id],0))+(1-INDEX(tblKurallar[deger_2025],MATCH("IFF-001",tblKurallar[kural_id],0)))*IF($C752=0,0,$D752/$C752))-1),iff_yuvarMax),0))</f>
        <v/>
      </c>
    </row>
    <row r="753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8">
        <f>IF($A753="","",IFERROR(ROUND($H753*((INDEX(tblKurallar[deger_2025],MATCH("IFF-001",tblKurallar[kural_id],0))+(1-INDEX(tblKurallar[deger_2025],MATCH("IFF-001",tblKurallar[kural_id],0)))*IF($C753=0,0,$D753/$C753))-1),iff_yuvarMax),0))</f>
        <v/>
      </c>
    </row>
    <row r="754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8">
        <f>IF($A754="","",IFERROR(ROUND($H754*((INDEX(tblKurallar[deger_2025],MATCH("IFF-001",tblKurallar[kural_id],0))+(1-INDEX(tblKurallar[deger_2025],MATCH("IFF-001",tblKurallar[kural_id],0)))*IF($C754=0,0,$D754/$C754))-1),iff_yuvarMax),0))</f>
        <v/>
      </c>
    </row>
    <row r="75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8">
        <f>IF($A755="","",IFERROR(ROUND($H755*((INDEX(tblKurallar[deger_2025],MATCH("IFF-001",tblKurallar[kural_id],0))+(1-INDEX(tblKurallar[deger_2025],MATCH("IFF-001",tblKurallar[kural_id],0)))*IF($C755=0,0,$D755/$C755))-1),iff_yuvarMax),0))</f>
        <v/>
      </c>
    </row>
    <row r="75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8">
        <f>IF($A756="","",IFERROR(ROUND($H756*((INDEX(tblKurallar[deger_2025],MATCH("IFF-001",tblKurallar[kural_id],0))+(1-INDEX(tblKurallar[deger_2025],MATCH("IFF-001",tblKurallar[kural_id],0)))*IF($C756=0,0,$D756/$C756))-1),iff_yuvarMax),0))</f>
        <v/>
      </c>
    </row>
    <row r="757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8">
        <f>IF($A757="","",IFERROR(ROUND($H757*((INDEX(tblKurallar[deger_2025],MATCH("IFF-001",tblKurallar[kural_id],0))+(1-INDEX(tblKurallar[deger_2025],MATCH("IFF-001",tblKurallar[kural_id],0)))*IF($C757=0,0,$D757/$C757))-1),iff_yuvarMax),0))</f>
        <v/>
      </c>
    </row>
    <row r="75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8">
        <f>IF($A758="","",IFERROR(ROUND($H758*((INDEX(tblKurallar[deger_2025],MATCH("IFF-001",tblKurallar[kural_id],0))+(1-INDEX(tblKurallar[deger_2025],MATCH("IFF-001",tblKurallar[kural_id],0)))*IF($C758=0,0,$D758/$C758))-1),iff_yuvarMax),0))</f>
        <v/>
      </c>
    </row>
    <row r="75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8">
        <f>IF($A759="","",IFERROR(ROUND($H759*((INDEX(tblKurallar[deger_2025],MATCH("IFF-001",tblKurallar[kural_id],0))+(1-INDEX(tblKurallar[deger_2025],MATCH("IFF-001",tblKurallar[kural_id],0)))*IF($C759=0,0,$D759/$C759))-1),iff_yuvarMax),0))</f>
        <v/>
      </c>
    </row>
    <row r="760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8">
        <f>IF($A760="","",IFERROR(ROUND($H760*((INDEX(tblKurallar[deger_2025],MATCH("IFF-001",tblKurallar[kural_id],0))+(1-INDEX(tblKurallar[deger_2025],MATCH("IFF-001",tblKurallar[kural_id],0)))*IF($C760=0,0,$D760/$C760))-1),iff_yuvarMax),0))</f>
        <v/>
      </c>
    </row>
    <row r="76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8">
        <f>IF($A761="","",IFERROR(ROUND($H761*((INDEX(tblKurallar[deger_2025],MATCH("IFF-001",tblKurallar[kural_id],0))+(1-INDEX(tblKurallar[deger_2025],MATCH("IFF-001",tblKurallar[kural_id],0)))*IF($C761=0,0,$D761/$C761))-1),iff_yuvarMax),0))</f>
        <v/>
      </c>
    </row>
    <row r="762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8">
        <f>IF($A762="","",IFERROR(ROUND($H762*((INDEX(tblKurallar[deger_2025],MATCH("IFF-001",tblKurallar[kural_id],0))+(1-INDEX(tblKurallar[deger_2025],MATCH("IFF-001",tblKurallar[kural_id],0)))*IF($C762=0,0,$D762/$C762))-1),iff_yuvarMax),0))</f>
        <v/>
      </c>
    </row>
    <row r="763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8">
        <f>IF($A763="","",IFERROR(ROUND($H763*((INDEX(tblKurallar[deger_2025],MATCH("IFF-001",tblKurallar[kural_id],0))+(1-INDEX(tblKurallar[deger_2025],MATCH("IFF-001",tblKurallar[kural_id],0)))*IF($C763=0,0,$D763/$C763))-1),iff_yuvarMax),0))</f>
        <v/>
      </c>
    </row>
    <row r="764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8">
        <f>IF($A764="","",IFERROR(ROUND($H764*((INDEX(tblKurallar[deger_2025],MATCH("IFF-001",tblKurallar[kural_id],0))+(1-INDEX(tblKurallar[deger_2025],MATCH("IFF-001",tblKurallar[kural_id],0)))*IF($C764=0,0,$D764/$C764))-1),iff_yuvarMax),0))</f>
        <v/>
      </c>
    </row>
    <row r="76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8">
        <f>IF($A765="","",IFERROR(ROUND($H765*((INDEX(tblKurallar[deger_2025],MATCH("IFF-001",tblKurallar[kural_id],0))+(1-INDEX(tblKurallar[deger_2025],MATCH("IFF-001",tblKurallar[kural_id],0)))*IF($C765=0,0,$D765/$C765))-1),iff_yuvarMax),0))</f>
        <v/>
      </c>
    </row>
    <row r="76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8">
        <f>IF($A766="","",IFERROR(ROUND($H766*((INDEX(tblKurallar[deger_2025],MATCH("IFF-001",tblKurallar[kural_id],0))+(1-INDEX(tblKurallar[deger_2025],MATCH("IFF-001",tblKurallar[kural_id],0)))*IF($C766=0,0,$D766/$C766))-1),iff_yuvarMax),0))</f>
        <v/>
      </c>
    </row>
    <row r="767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8">
        <f>IF($A767="","",IFERROR(ROUND($H767*((INDEX(tblKurallar[deger_2025],MATCH("IFF-001",tblKurallar[kural_id],0))+(1-INDEX(tblKurallar[deger_2025],MATCH("IFF-001",tblKurallar[kural_id],0)))*IF($C767=0,0,$D767/$C767))-1),iff_yuvarMax),0))</f>
        <v/>
      </c>
    </row>
    <row r="76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8">
        <f>IF($A768="","",IFERROR(ROUND($H768*((INDEX(tblKurallar[deger_2025],MATCH("IFF-001",tblKurallar[kural_id],0))+(1-INDEX(tblKurallar[deger_2025],MATCH("IFF-001",tblKurallar[kural_id],0)))*IF($C768=0,0,$D768/$C768))-1),iff_yuvarMax),0))</f>
        <v/>
      </c>
    </row>
    <row r="76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8">
        <f>IF($A769="","",IFERROR(ROUND($H769*((INDEX(tblKurallar[deger_2025],MATCH("IFF-001",tblKurallar[kural_id],0))+(1-INDEX(tblKurallar[deger_2025],MATCH("IFF-001",tblKurallar[kural_id],0)))*IF($C769=0,0,$D769/$C769))-1),iff_yuvarMax),0))</f>
        <v/>
      </c>
    </row>
    <row r="770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8">
        <f>IF($A770="","",IFERROR(ROUND($H770*((INDEX(tblKurallar[deger_2025],MATCH("IFF-001",tblKurallar[kural_id],0))+(1-INDEX(tblKurallar[deger_2025],MATCH("IFF-001",tblKurallar[kural_id],0)))*IF($C770=0,0,$D770/$C770))-1),iff_yuvarMax),0))</f>
        <v/>
      </c>
    </row>
    <row r="77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8">
        <f>IF($A771="","",IFERROR(ROUND($H771*((INDEX(tblKurallar[deger_2025],MATCH("IFF-001",tblKurallar[kural_id],0))+(1-INDEX(tblKurallar[deger_2025],MATCH("IFF-001",tblKurallar[kural_id],0)))*IF($C771=0,0,$D771/$C771))-1),iff_yuvarMax),0))</f>
        <v/>
      </c>
    </row>
    <row r="772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8">
        <f>IF($A772="","",IFERROR(ROUND($H772*((INDEX(tblKurallar[deger_2025],MATCH("IFF-001",tblKurallar[kural_id],0))+(1-INDEX(tblKurallar[deger_2025],MATCH("IFF-001",tblKurallar[kural_id],0)))*IF($C772=0,0,$D772/$C772))-1),iff_yuvarMax),0))</f>
        <v/>
      </c>
    </row>
    <row r="773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8">
        <f>IF($A773="","",IFERROR(ROUND($H773*((INDEX(tblKurallar[deger_2025],MATCH("IFF-001",tblKurallar[kural_id],0))+(1-INDEX(tblKurallar[deger_2025],MATCH("IFF-001",tblKurallar[kural_id],0)))*IF($C773=0,0,$D773/$C773))-1),iff_yuvarMax),0))</f>
        <v/>
      </c>
    </row>
    <row r="774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8">
        <f>IF($A774="","",IFERROR(ROUND($H774*((INDEX(tblKurallar[deger_2025],MATCH("IFF-001",tblKurallar[kural_id],0))+(1-INDEX(tblKurallar[deger_2025],MATCH("IFF-001",tblKurallar[kural_id],0)))*IF($C774=0,0,$D774/$C774))-1),iff_yuvarMax),0))</f>
        <v/>
      </c>
    </row>
    <row r="77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8">
        <f>IF($A775="","",IFERROR(ROUND($H775*((INDEX(tblKurallar[deger_2025],MATCH("IFF-001",tblKurallar[kural_id],0))+(1-INDEX(tblKurallar[deger_2025],MATCH("IFF-001",tblKurallar[kural_id],0)))*IF($C775=0,0,$D775/$C775))-1),iff_yuvarMax),0))</f>
        <v/>
      </c>
    </row>
    <row r="77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8">
        <f>IF($A776="","",IFERROR(ROUND($H776*((INDEX(tblKurallar[deger_2025],MATCH("IFF-001",tblKurallar[kural_id],0))+(1-INDEX(tblKurallar[deger_2025],MATCH("IFF-001",tblKurallar[kural_id],0)))*IF($C776=0,0,$D776/$C776))-1),iff_yuvarMax),0))</f>
        <v/>
      </c>
    </row>
    <row r="777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8">
        <f>IF($A777="","",IFERROR(ROUND($H777*((INDEX(tblKurallar[deger_2025],MATCH("IFF-001",tblKurallar[kural_id],0))+(1-INDEX(tblKurallar[deger_2025],MATCH("IFF-001",tblKurallar[kural_id],0)))*IF($C777=0,0,$D777/$C777))-1),iff_yuvarMax),0))</f>
        <v/>
      </c>
    </row>
    <row r="77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8">
        <f>IF($A778="","",IFERROR(ROUND($H778*((INDEX(tblKurallar[deger_2025],MATCH("IFF-001",tblKurallar[kural_id],0))+(1-INDEX(tblKurallar[deger_2025],MATCH("IFF-001",tblKurallar[kural_id],0)))*IF($C778=0,0,$D778/$C778))-1),iff_yuvarMax),0))</f>
        <v/>
      </c>
    </row>
    <row r="77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8">
        <f>IF($A779="","",IFERROR(ROUND($H779*((INDEX(tblKurallar[deger_2025],MATCH("IFF-001",tblKurallar[kural_id],0))+(1-INDEX(tblKurallar[deger_2025],MATCH("IFF-001",tblKurallar[kural_id],0)))*IF($C779=0,0,$D779/$C779))-1),iff_yuvarMax),0))</f>
        <v/>
      </c>
    </row>
    <row r="780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8">
        <f>IF($A780="","",IFERROR(ROUND($H780*((INDEX(tblKurallar[deger_2025],MATCH("IFF-001",tblKurallar[kural_id],0))+(1-INDEX(tblKurallar[deger_2025],MATCH("IFF-001",tblKurallar[kural_id],0)))*IF($C780=0,0,$D780/$C780))-1),iff_yuvarMax),0))</f>
        <v/>
      </c>
    </row>
    <row r="78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8">
        <f>IF($A781="","",IFERROR(ROUND($H781*((INDEX(tblKurallar[deger_2025],MATCH("IFF-001",tblKurallar[kural_id],0))+(1-INDEX(tblKurallar[deger_2025],MATCH("IFF-001",tblKurallar[kural_id],0)))*IF($C781=0,0,$D781/$C781))-1),iff_yuvarMax),0))</f>
        <v/>
      </c>
    </row>
    <row r="782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8">
        <f>IF($A782="","",IFERROR(ROUND($H782*((INDEX(tblKurallar[deger_2025],MATCH("IFF-001",tblKurallar[kural_id],0))+(1-INDEX(tblKurallar[deger_2025],MATCH("IFF-001",tblKurallar[kural_id],0)))*IF($C782=0,0,$D782/$C782))-1),iff_yuvarMax),0))</f>
        <v/>
      </c>
    </row>
    <row r="783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8">
        <f>IF($A783="","",IFERROR(ROUND($H783*((INDEX(tblKurallar[deger_2025],MATCH("IFF-001",tblKurallar[kural_id],0))+(1-INDEX(tblKurallar[deger_2025],MATCH("IFF-001",tblKurallar[kural_id],0)))*IF($C783=0,0,$D783/$C783))-1),iff_yuvarMax),0))</f>
        <v/>
      </c>
    </row>
    <row r="784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8">
        <f>IF($A784="","",IFERROR(ROUND($H784*((INDEX(tblKurallar[deger_2025],MATCH("IFF-001",tblKurallar[kural_id],0))+(1-INDEX(tblKurallar[deger_2025],MATCH("IFF-001",tblKurallar[kural_id],0)))*IF($C784=0,0,$D784/$C784))-1),iff_yuvarMax),0))</f>
        <v/>
      </c>
    </row>
    <row r="7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8">
        <f>IF($A785="","",IFERROR(ROUND($H785*((INDEX(tblKurallar[deger_2025],MATCH("IFF-001",tblKurallar[kural_id],0))+(1-INDEX(tblKurallar[deger_2025],MATCH("IFF-001",tblKurallar[kural_id],0)))*IF($C785=0,0,$D785/$C785))-1),iff_yuvarMax),0))</f>
        <v/>
      </c>
    </row>
    <row r="78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8">
        <f>IF($A786="","",IFERROR(ROUND($H786*((INDEX(tblKurallar[deger_2025],MATCH("IFF-001",tblKurallar[kural_id],0))+(1-INDEX(tblKurallar[deger_2025],MATCH("IFF-001",tblKurallar[kural_id],0)))*IF($C786=0,0,$D786/$C786))-1),iff_yuvarMax),0))</f>
        <v/>
      </c>
    </row>
    <row r="787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8">
        <f>IF($A787="","",IFERROR(ROUND($H787*((INDEX(tblKurallar[deger_2025],MATCH("IFF-001",tblKurallar[kural_id],0))+(1-INDEX(tblKurallar[deger_2025],MATCH("IFF-001",tblKurallar[kural_id],0)))*IF($C787=0,0,$D787/$C787))-1),iff_yuvarMax),0))</f>
        <v/>
      </c>
    </row>
    <row r="78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8">
        <f>IF($A788="","",IFERROR(ROUND($H788*((INDEX(tblKurallar[deger_2025],MATCH("IFF-001",tblKurallar[kural_id],0))+(1-INDEX(tblKurallar[deger_2025],MATCH("IFF-001",tblKurallar[kural_id],0)))*IF($C788=0,0,$D788/$C788))-1),iff_yuvarMax),0))</f>
        <v/>
      </c>
    </row>
    <row r="78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8">
        <f>IF($A789="","",IFERROR(ROUND($H789*((INDEX(tblKurallar[deger_2025],MATCH("IFF-001",tblKurallar[kural_id],0))+(1-INDEX(tblKurallar[deger_2025],MATCH("IFF-001",tblKurallar[kural_id],0)))*IF($C789=0,0,$D789/$C789))-1),iff_yuvarMax),0))</f>
        <v/>
      </c>
    </row>
    <row r="790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8">
        <f>IF($A790="","",IFERROR(ROUND($H790*((INDEX(tblKurallar[deger_2025],MATCH("IFF-001",tblKurallar[kural_id],0))+(1-INDEX(tblKurallar[deger_2025],MATCH("IFF-001",tblKurallar[kural_id],0)))*IF($C790=0,0,$D790/$C790))-1),iff_yuvarMax),0))</f>
        <v/>
      </c>
    </row>
    <row r="79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8">
        <f>IF($A791="","",IFERROR(ROUND($H791*((INDEX(tblKurallar[deger_2025],MATCH("IFF-001",tblKurallar[kural_id],0))+(1-INDEX(tblKurallar[deger_2025],MATCH("IFF-001",tblKurallar[kural_id],0)))*IF($C791=0,0,$D791/$C791))-1),iff_yuvarMax),0))</f>
        <v/>
      </c>
    </row>
    <row r="792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8">
        <f>IF($A792="","",IFERROR(ROUND($H792*((INDEX(tblKurallar[deger_2025],MATCH("IFF-001",tblKurallar[kural_id],0))+(1-INDEX(tblKurallar[deger_2025],MATCH("IFF-001",tblKurallar[kural_id],0)))*IF($C792=0,0,$D792/$C792))-1),iff_yuvarMax),0))</f>
        <v/>
      </c>
    </row>
    <row r="793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8">
        <f>IF($A793="","",IFERROR(ROUND($H793*((INDEX(tblKurallar[deger_2025],MATCH("IFF-001",tblKurallar[kural_id],0))+(1-INDEX(tblKurallar[deger_2025],MATCH("IFF-001",tblKurallar[kural_id],0)))*IF($C793=0,0,$D793/$C793))-1),iff_yuvarMax),0))</f>
        <v/>
      </c>
    </row>
    <row r="794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8">
        <f>IF($A794="","",IFERROR(ROUND($H794*((INDEX(tblKurallar[deger_2025],MATCH("IFF-001",tblKurallar[kural_id],0))+(1-INDEX(tblKurallar[deger_2025],MATCH("IFF-001",tblKurallar[kural_id],0)))*IF($C794=0,0,$D794/$C794))-1),iff_yuvarMax),0))</f>
        <v/>
      </c>
    </row>
    <row r="79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8">
        <f>IF($A795="","",IFERROR(ROUND($H795*((INDEX(tblKurallar[deger_2025],MATCH("IFF-001",tblKurallar[kural_id],0))+(1-INDEX(tblKurallar[deger_2025],MATCH("IFF-001",tblKurallar[kural_id],0)))*IF($C795=0,0,$D795/$C795))-1),iff_yuvarMax),0))</f>
        <v/>
      </c>
    </row>
    <row r="79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8">
        <f>IF($A796="","",IFERROR(ROUND($H796*((INDEX(tblKurallar[deger_2025],MATCH("IFF-001",tblKurallar[kural_id],0))+(1-INDEX(tblKurallar[deger_2025],MATCH("IFF-001",tblKurallar[kural_id],0)))*IF($C796=0,0,$D796/$C796))-1),iff_yuvarMax),0))</f>
        <v/>
      </c>
    </row>
    <row r="797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8">
        <f>IF($A797="","",IFERROR(ROUND($H797*((INDEX(tblKurallar[deger_2025],MATCH("IFF-001",tblKurallar[kural_id],0))+(1-INDEX(tblKurallar[deger_2025],MATCH("IFF-001",tblKurallar[kural_id],0)))*IF($C797=0,0,$D797/$C797))-1),iff_yuvarMax),0))</f>
        <v/>
      </c>
    </row>
    <row r="79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8">
        <f>IF($A798="","",IFERROR(ROUND($H798*((INDEX(tblKurallar[deger_2025],MATCH("IFF-001",tblKurallar[kural_id],0))+(1-INDEX(tblKurallar[deger_2025],MATCH("IFF-001",tblKurallar[kural_id],0)))*IF($C798=0,0,$D798/$C798))-1),iff_yuvarMax),0))</f>
        <v/>
      </c>
    </row>
    <row r="79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8">
        <f>IF($A799="","",IFERROR(ROUND($H799*((INDEX(tblKurallar[deger_2025],MATCH("IFF-001",tblKurallar[kural_id],0))+(1-INDEX(tblKurallar[deger_2025],MATCH("IFF-001",tblKurallar[kural_id],0)))*IF($C799=0,0,$D799/$C799))-1),iff_yuvarMax),0))</f>
        <v/>
      </c>
    </row>
    <row r="800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8">
        <f>IF($A800="","",IFERROR(ROUND($H800*((INDEX(tblKurallar[deger_2025],MATCH("IFF-001",tblKurallar[kural_id],0))+(1-INDEX(tblKurallar[deger_2025],MATCH("IFF-001",tblKurallar[kural_id],0)))*IF($C800=0,0,$D800/$C800))-1),iff_yuvarMax),0))</f>
        <v/>
      </c>
    </row>
    <row r="80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8">
        <f>IF($A801="","",IFERROR(ROUND($H801*((INDEX(tblKurallar[deger_2025],MATCH("IFF-001",tblKurallar[kural_id],0))+(1-INDEX(tblKurallar[deger_2025],MATCH("IFF-001",tblKurallar[kural_id],0)))*IF($C801=0,0,$D801/$C801))-1),iff_yuvarMax),0))</f>
        <v/>
      </c>
    </row>
    <row r="802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8">
        <f>IF($A802="","",IFERROR(ROUND($H802*((INDEX(tblKurallar[deger_2025],MATCH("IFF-001",tblKurallar[kural_id],0))+(1-INDEX(tblKurallar[deger_2025],MATCH("IFF-001",tblKurallar[kural_id],0)))*IF($C802=0,0,$D802/$C802))-1),iff_yuvarMax),0))</f>
        <v/>
      </c>
    </row>
    <row r="803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8">
        <f>IF($A803="","",IFERROR(ROUND($H803*((INDEX(tblKurallar[deger_2025],MATCH("IFF-001",tblKurallar[kural_id],0))+(1-INDEX(tblKurallar[deger_2025],MATCH("IFF-001",tblKurallar[kural_id],0)))*IF($C803=0,0,$D803/$C803))-1),iff_yuvarMax),0))</f>
        <v/>
      </c>
    </row>
    <row r="804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8">
        <f>IF($A804="","",IFERROR(ROUND($H804*((INDEX(tblKurallar[deger_2025],MATCH("IFF-001",tblKurallar[kural_id],0))+(1-INDEX(tblKurallar[deger_2025],MATCH("IFF-001",tblKurallar[kural_id],0)))*IF($C804=0,0,$D804/$C804))-1),iff_yuvarMax),0))</f>
        <v/>
      </c>
    </row>
    <row r="80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8">
        <f>IF($A805="","",IFERROR(ROUND($H805*((INDEX(tblKurallar[deger_2025],MATCH("IFF-001",tblKurallar[kural_id],0))+(1-INDEX(tblKurallar[deger_2025],MATCH("IFF-001",tblKurallar[kural_id],0)))*IF($C805=0,0,$D805/$C805))-1),iff_yuvarMax),0))</f>
        <v/>
      </c>
    </row>
    <row r="80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8">
        <f>IF($A806="","",IFERROR(ROUND($H806*((INDEX(tblKurallar[deger_2025],MATCH("IFF-001",tblKurallar[kural_id],0))+(1-INDEX(tblKurallar[deger_2025],MATCH("IFF-001",tblKurallar[kural_id],0)))*IF($C806=0,0,$D806/$C806))-1),iff_yuvarMax),0))</f>
        <v/>
      </c>
    </row>
    <row r="807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8">
        <f>IF($A807="","",IFERROR(ROUND($H807*((INDEX(tblKurallar[deger_2025],MATCH("IFF-001",tblKurallar[kural_id],0))+(1-INDEX(tblKurallar[deger_2025],MATCH("IFF-001",tblKurallar[kural_id],0)))*IF($C807=0,0,$D807/$C807))-1),iff_yuvarMax),0))</f>
        <v/>
      </c>
    </row>
    <row r="80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8">
        <f>IF($A808="","",IFERROR(ROUND($H808*((INDEX(tblKurallar[deger_2025],MATCH("IFF-001",tblKurallar[kural_id],0))+(1-INDEX(tblKurallar[deger_2025],MATCH("IFF-001",tblKurallar[kural_id],0)))*IF($C808=0,0,$D808/$C808))-1),iff_yuvarMax),0))</f>
        <v/>
      </c>
    </row>
    <row r="80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8">
        <f>IF($A809="","",IFERROR(ROUND($H809*((INDEX(tblKurallar[deger_2025],MATCH("IFF-001",tblKurallar[kural_id],0))+(1-INDEX(tblKurallar[deger_2025],MATCH("IFF-001",tblKurallar[kural_id],0)))*IF($C809=0,0,$D809/$C809))-1),iff_yuvarMax),0))</f>
        <v/>
      </c>
    </row>
    <row r="810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8">
        <f>IF($A810="","",IFERROR(ROUND($H810*((INDEX(tblKurallar[deger_2025],MATCH("IFF-001",tblKurallar[kural_id],0))+(1-INDEX(tblKurallar[deger_2025],MATCH("IFF-001",tblKurallar[kural_id],0)))*IF($C810=0,0,$D810/$C810))-1),iff_yuvarMax),0))</f>
        <v/>
      </c>
    </row>
    <row r="81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8">
        <f>IF($A811="","",IFERROR(ROUND($H811*((INDEX(tblKurallar[deger_2025],MATCH("IFF-001",tblKurallar[kural_id],0))+(1-INDEX(tblKurallar[deger_2025],MATCH("IFF-001",tblKurallar[kural_id],0)))*IF($C811=0,0,$D811/$C811))-1),iff_yuvarMax),0))</f>
        <v/>
      </c>
    </row>
    <row r="812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8">
        <f>IF($A812="","",IFERROR(ROUND($H812*((INDEX(tblKurallar[deger_2025],MATCH("IFF-001",tblKurallar[kural_id],0))+(1-INDEX(tblKurallar[deger_2025],MATCH("IFF-001",tblKurallar[kural_id],0)))*IF($C812=0,0,$D812/$C812))-1),iff_yuvarMax),0))</f>
        <v/>
      </c>
    </row>
    <row r="813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8">
        <f>IF($A813="","",IFERROR(ROUND($H813*((INDEX(tblKurallar[deger_2025],MATCH("IFF-001",tblKurallar[kural_id],0))+(1-INDEX(tblKurallar[deger_2025],MATCH("IFF-001",tblKurallar[kural_id],0)))*IF($C813=0,0,$D813/$C813))-1),iff_yuvarMax),0))</f>
        <v/>
      </c>
    </row>
    <row r="814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8">
        <f>IF($A814="","",IFERROR(ROUND($H814*((INDEX(tblKurallar[deger_2025],MATCH("IFF-001",tblKurallar[kural_id],0))+(1-INDEX(tblKurallar[deger_2025],MATCH("IFF-001",tblKurallar[kural_id],0)))*IF($C814=0,0,$D814/$C814))-1),iff_yuvarMax),0))</f>
        <v/>
      </c>
    </row>
    <row r="81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8">
        <f>IF($A815="","",IFERROR(ROUND($H815*((INDEX(tblKurallar[deger_2025],MATCH("IFF-001",tblKurallar[kural_id],0))+(1-INDEX(tblKurallar[deger_2025],MATCH("IFF-001",tblKurallar[kural_id],0)))*IF($C815=0,0,$D815/$C815))-1),iff_yuvarMax),0))</f>
        <v/>
      </c>
    </row>
    <row r="81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8">
        <f>IF($A816="","",IFERROR(ROUND($H816*((INDEX(tblKurallar[deger_2025],MATCH("IFF-001",tblKurallar[kural_id],0))+(1-INDEX(tblKurallar[deger_2025],MATCH("IFF-001",tblKurallar[kural_id],0)))*IF($C816=0,0,$D816/$C816))-1),iff_yuvarMax),0))</f>
        <v/>
      </c>
    </row>
    <row r="817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8">
        <f>IF($A817="","",IFERROR(ROUND($H817*((INDEX(tblKurallar[deger_2025],MATCH("IFF-001",tblKurallar[kural_id],0))+(1-INDEX(tblKurallar[deger_2025],MATCH("IFF-001",tblKurallar[kural_id],0)))*IF($C817=0,0,$D817/$C817))-1),iff_yuvarMax),0))</f>
        <v/>
      </c>
    </row>
    <row r="8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8">
        <f>IF($A818="","",IFERROR(ROUND($H818*((INDEX(tblKurallar[deger_2025],MATCH("IFF-001",tblKurallar[kural_id],0))+(1-INDEX(tblKurallar[deger_2025],MATCH("IFF-001",tblKurallar[kural_id],0)))*IF($C818=0,0,$D818/$C818))-1),iff_yuvarMax),0))</f>
        <v/>
      </c>
    </row>
    <row r="8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8">
        <f>IF($A819="","",IFERROR(ROUND($H819*((INDEX(tblKurallar[deger_2025],MATCH("IFF-001",tblKurallar[kural_id],0))+(1-INDEX(tblKurallar[deger_2025],MATCH("IFF-001",tblKurallar[kural_id],0)))*IF($C819=0,0,$D819/$C819))-1),iff_yuvarMax),0))</f>
        <v/>
      </c>
    </row>
    <row r="820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8">
        <f>IF($A820="","",IFERROR(ROUND($H820*((INDEX(tblKurallar[deger_2025],MATCH("IFF-001",tblKurallar[kural_id],0))+(1-INDEX(tblKurallar[deger_2025],MATCH("IFF-001",tblKurallar[kural_id],0)))*IF($C820=0,0,$D820/$C820))-1),iff_yuvarMax),0))</f>
        <v/>
      </c>
    </row>
    <row r="82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8">
        <f>IF($A821="","",IFERROR(ROUND($H821*((INDEX(tblKurallar[deger_2025],MATCH("IFF-001",tblKurallar[kural_id],0))+(1-INDEX(tblKurallar[deger_2025],MATCH("IFF-001",tblKurallar[kural_id],0)))*IF($C821=0,0,$D821/$C821))-1),iff_yuvarMax),0))</f>
        <v/>
      </c>
    </row>
    <row r="822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8">
        <f>IF($A822="","",IFERROR(ROUND($H822*((INDEX(tblKurallar[deger_2025],MATCH("IFF-001",tblKurallar[kural_id],0))+(1-INDEX(tblKurallar[deger_2025],MATCH("IFF-001",tblKurallar[kural_id],0)))*IF($C822=0,0,$D822/$C822))-1),iff_yuvarMax),0))</f>
        <v/>
      </c>
    </row>
    <row r="823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8">
        <f>IF($A823="","",IFERROR(ROUND($H823*((INDEX(tblKurallar[deger_2025],MATCH("IFF-001",tblKurallar[kural_id],0))+(1-INDEX(tblKurallar[deger_2025],MATCH("IFF-001",tblKurallar[kural_id],0)))*IF($C823=0,0,$D823/$C823))-1),iff_yuvarMax),0))</f>
        <v/>
      </c>
    </row>
    <row r="824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8">
        <f>IF($A824="","",IFERROR(ROUND($H824*((INDEX(tblKurallar[deger_2025],MATCH("IFF-001",tblKurallar[kural_id],0))+(1-INDEX(tblKurallar[deger_2025],MATCH("IFF-001",tblKurallar[kural_id],0)))*IF($C824=0,0,$D824/$C824))-1),iff_yuvarMax),0))</f>
        <v/>
      </c>
    </row>
    <row r="82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8">
        <f>IF($A825="","",IFERROR(ROUND($H825*((INDEX(tblKurallar[deger_2025],MATCH("IFF-001",tblKurallar[kural_id],0))+(1-INDEX(tblKurallar[deger_2025],MATCH("IFF-001",tblKurallar[kural_id],0)))*IF($C825=0,0,$D825/$C825))-1),iff_yuvarMax),0))</f>
        <v/>
      </c>
    </row>
    <row r="82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8">
        <f>IF($A826="","",IFERROR(ROUND($H826*((INDEX(tblKurallar[deger_2025],MATCH("IFF-001",tblKurallar[kural_id],0))+(1-INDEX(tblKurallar[deger_2025],MATCH("IFF-001",tblKurallar[kural_id],0)))*IF($C826=0,0,$D826/$C826))-1),iff_yuvarMax),0))</f>
        <v/>
      </c>
    </row>
    <row r="827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8">
        <f>IF($A827="","",IFERROR(ROUND($H827*((INDEX(tblKurallar[deger_2025],MATCH("IFF-001",tblKurallar[kural_id],0))+(1-INDEX(tblKurallar[deger_2025],MATCH("IFF-001",tblKurallar[kural_id],0)))*IF($C827=0,0,$D827/$C827))-1),iff_yuvarMax),0))</f>
        <v/>
      </c>
    </row>
    <row r="82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8">
        <f>IF($A828="","",IFERROR(ROUND($H828*((INDEX(tblKurallar[deger_2025],MATCH("IFF-001",tblKurallar[kural_id],0))+(1-INDEX(tblKurallar[deger_2025],MATCH("IFF-001",tblKurallar[kural_id],0)))*IF($C828=0,0,$D828/$C828))-1),iff_yuvarMax),0))</f>
        <v/>
      </c>
    </row>
    <row r="82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8">
        <f>IF($A829="","",IFERROR(ROUND($H829*((INDEX(tblKurallar[deger_2025],MATCH("IFF-001",tblKurallar[kural_id],0))+(1-INDEX(tblKurallar[deger_2025],MATCH("IFF-001",tblKurallar[kural_id],0)))*IF($C829=0,0,$D829/$C829))-1),iff_yuvarMax),0))</f>
        <v/>
      </c>
    </row>
    <row r="830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8">
        <f>IF($A830="","",IFERROR(ROUND($H830*((INDEX(tblKurallar[deger_2025],MATCH("IFF-001",tblKurallar[kural_id],0))+(1-INDEX(tblKurallar[deger_2025],MATCH("IFF-001",tblKurallar[kural_id],0)))*IF($C830=0,0,$D830/$C830))-1),iff_yuvarMax),0))</f>
        <v/>
      </c>
    </row>
    <row r="8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8">
        <f>IF($A831="","",IFERROR(ROUND($H831*((INDEX(tblKurallar[deger_2025],MATCH("IFF-001",tblKurallar[kural_id],0))+(1-INDEX(tblKurallar[deger_2025],MATCH("IFF-001",tblKurallar[kural_id],0)))*IF($C831=0,0,$D831/$C831))-1),iff_yuvarMax),0))</f>
        <v/>
      </c>
    </row>
    <row r="832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8">
        <f>IF($A832="","",IFERROR(ROUND($H832*((INDEX(tblKurallar[deger_2025],MATCH("IFF-001",tblKurallar[kural_id],0))+(1-INDEX(tblKurallar[deger_2025],MATCH("IFF-001",tblKurallar[kural_id],0)))*IF($C832=0,0,$D832/$C832))-1),iff_yuvarMax),0))</f>
        <v/>
      </c>
    </row>
    <row r="833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8">
        <f>IF($A833="","",IFERROR(ROUND($H833*((INDEX(tblKurallar[deger_2025],MATCH("IFF-001",tblKurallar[kural_id],0))+(1-INDEX(tblKurallar[deger_2025],MATCH("IFF-001",tblKurallar[kural_id],0)))*IF($C833=0,0,$D833/$C833))-1),iff_yuvarMax),0))</f>
        <v/>
      </c>
    </row>
    <row r="834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8">
        <f>IF($A834="","",IFERROR(ROUND($H834*((INDEX(tblKurallar[deger_2025],MATCH("IFF-001",tblKurallar[kural_id],0))+(1-INDEX(tblKurallar[deger_2025],MATCH("IFF-001",tblKurallar[kural_id],0)))*IF($C834=0,0,$D834/$C834))-1),iff_yuvarMax),0))</f>
        <v/>
      </c>
    </row>
    <row r="83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8">
        <f>IF($A835="","",IFERROR(ROUND($H835*((INDEX(tblKurallar[deger_2025],MATCH("IFF-001",tblKurallar[kural_id],0))+(1-INDEX(tblKurallar[deger_2025],MATCH("IFF-001",tblKurallar[kural_id],0)))*IF($C835=0,0,$D835/$C835))-1),iff_yuvarMax),0))</f>
        <v/>
      </c>
    </row>
    <row r="83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8">
        <f>IF($A836="","",IFERROR(ROUND($H836*((INDEX(tblKurallar[deger_2025],MATCH("IFF-001",tblKurallar[kural_id],0))+(1-INDEX(tblKurallar[deger_2025],MATCH("IFF-001",tblKurallar[kural_id],0)))*IF($C836=0,0,$D836/$C836))-1),iff_yuvarMax),0))</f>
        <v/>
      </c>
    </row>
    <row r="837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8">
        <f>IF($A837="","",IFERROR(ROUND($H837*((INDEX(tblKurallar[deger_2025],MATCH("IFF-001",tblKurallar[kural_id],0))+(1-INDEX(tblKurallar[deger_2025],MATCH("IFF-001",tblKurallar[kural_id],0)))*IF($C837=0,0,$D837/$C837))-1),iff_yuvarMax),0))</f>
        <v/>
      </c>
    </row>
    <row r="8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8">
        <f>IF($A838="","",IFERROR(ROUND($H838*((INDEX(tblKurallar[deger_2025],MATCH("IFF-001",tblKurallar[kural_id],0))+(1-INDEX(tblKurallar[deger_2025],MATCH("IFF-001",tblKurallar[kural_id],0)))*IF($C838=0,0,$D838/$C838))-1),iff_yuvarMax),0))</f>
        <v/>
      </c>
    </row>
    <row r="83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8">
        <f>IF($A839="","",IFERROR(ROUND($H839*((INDEX(tblKurallar[deger_2025],MATCH("IFF-001",tblKurallar[kural_id],0))+(1-INDEX(tblKurallar[deger_2025],MATCH("IFF-001",tblKurallar[kural_id],0)))*IF($C839=0,0,$D839/$C839))-1),iff_yuvarMax),0))</f>
        <v/>
      </c>
    </row>
    <row r="840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8">
        <f>IF($A840="","",IFERROR(ROUND($H840*((INDEX(tblKurallar[deger_2025],MATCH("IFF-001",tblKurallar[kural_id],0))+(1-INDEX(tblKurallar[deger_2025],MATCH("IFF-001",tblKurallar[kural_id],0)))*IF($C840=0,0,$D840/$C840))-1),iff_yuvarMax),0))</f>
        <v/>
      </c>
    </row>
    <row r="84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8">
        <f>IF($A841="","",IFERROR(ROUND($H841*((INDEX(tblKurallar[deger_2025],MATCH("IFF-001",tblKurallar[kural_id],0))+(1-INDEX(tblKurallar[deger_2025],MATCH("IFF-001",tblKurallar[kural_id],0)))*IF($C841=0,0,$D841/$C841))-1),iff_yuvarMax),0))</f>
        <v/>
      </c>
    </row>
    <row r="842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8">
        <f>IF($A842="","",IFERROR(ROUND($H842*((INDEX(tblKurallar[deger_2025],MATCH("IFF-001",tblKurallar[kural_id],0))+(1-INDEX(tblKurallar[deger_2025],MATCH("IFF-001",tblKurallar[kural_id],0)))*IF($C842=0,0,$D842/$C842))-1),iff_yuvarMax),0))</f>
        <v/>
      </c>
    </row>
    <row r="843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8">
        <f>IF($A843="","",IFERROR(ROUND($H843*((INDEX(tblKurallar[deger_2025],MATCH("IFF-001",tblKurallar[kural_id],0))+(1-INDEX(tblKurallar[deger_2025],MATCH("IFF-001",tblKurallar[kural_id],0)))*IF($C843=0,0,$D843/$C843))-1),iff_yuvarMax),0))</f>
        <v/>
      </c>
    </row>
    <row r="844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8">
        <f>IF($A844="","",IFERROR(ROUND($H844*((INDEX(tblKurallar[deger_2025],MATCH("IFF-001",tblKurallar[kural_id],0))+(1-INDEX(tblKurallar[deger_2025],MATCH("IFF-001",tblKurallar[kural_id],0)))*IF($C844=0,0,$D844/$C844))-1),iff_yuvarMax),0))</f>
        <v/>
      </c>
    </row>
    <row r="84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8">
        <f>IF($A845="","",IFERROR(ROUND($H845*((INDEX(tblKurallar[deger_2025],MATCH("IFF-001",tblKurallar[kural_id],0))+(1-INDEX(tblKurallar[deger_2025],MATCH("IFF-001",tblKurallar[kural_id],0)))*IF($C845=0,0,$D845/$C845))-1),iff_yuvarMax),0))</f>
        <v/>
      </c>
    </row>
    <row r="8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8">
        <f>IF($A846="","",IFERROR(ROUND($H846*((INDEX(tblKurallar[deger_2025],MATCH("IFF-001",tblKurallar[kural_id],0))+(1-INDEX(tblKurallar[deger_2025],MATCH("IFF-001",tblKurallar[kural_id],0)))*IF($C846=0,0,$D846/$C846))-1),iff_yuvarMax),0))</f>
        <v/>
      </c>
    </row>
    <row r="847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8">
        <f>IF($A847="","",IFERROR(ROUND($H847*((INDEX(tblKurallar[deger_2025],MATCH("IFF-001",tblKurallar[kural_id],0))+(1-INDEX(tblKurallar[deger_2025],MATCH("IFF-001",tblKurallar[kural_id],0)))*IF($C847=0,0,$D847/$C847))-1),iff_yuvarMax),0))</f>
        <v/>
      </c>
    </row>
    <row r="84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8">
        <f>IF($A848="","",IFERROR(ROUND($H848*((INDEX(tblKurallar[deger_2025],MATCH("IFF-001",tblKurallar[kural_id],0))+(1-INDEX(tblKurallar[deger_2025],MATCH("IFF-001",tblKurallar[kural_id],0)))*IF($C848=0,0,$D848/$C848))-1),iff_yuvarMax),0))</f>
        <v/>
      </c>
    </row>
    <row r="84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8">
        <f>IF($A849="","",IFERROR(ROUND($H849*((INDEX(tblKurallar[deger_2025],MATCH("IFF-001",tblKurallar[kural_id],0))+(1-INDEX(tblKurallar[deger_2025],MATCH("IFF-001",tblKurallar[kural_id],0)))*IF($C849=0,0,$D849/$C849))-1),iff_yuvarMax),0))</f>
        <v/>
      </c>
    </row>
    <row r="850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8">
        <f>IF($A850="","",IFERROR(ROUND($H850*((INDEX(tblKurallar[deger_2025],MATCH("IFF-001",tblKurallar[kural_id],0))+(1-INDEX(tblKurallar[deger_2025],MATCH("IFF-001",tblKurallar[kural_id],0)))*IF($C850=0,0,$D850/$C850))-1),iff_yuvarMax),0))</f>
        <v/>
      </c>
    </row>
    <row r="85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8">
        <f>IF($A851="","",IFERROR(ROUND($H851*((INDEX(tblKurallar[deger_2025],MATCH("IFF-001",tblKurallar[kural_id],0))+(1-INDEX(tblKurallar[deger_2025],MATCH("IFF-001",tblKurallar[kural_id],0)))*IF($C851=0,0,$D851/$C851))-1),iff_yuvarMax),0))</f>
        <v/>
      </c>
    </row>
    <row r="852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8">
        <f>IF($A852="","",IFERROR(ROUND($H852*((INDEX(tblKurallar[deger_2025],MATCH("IFF-001",tblKurallar[kural_id],0))+(1-INDEX(tblKurallar[deger_2025],MATCH("IFF-001",tblKurallar[kural_id],0)))*IF($C852=0,0,$D852/$C852))-1),iff_yuvarMax),0))</f>
        <v/>
      </c>
    </row>
    <row r="853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8">
        <f>IF($A853="","",IFERROR(ROUND($H853*((INDEX(tblKurallar[deger_2025],MATCH("IFF-001",tblKurallar[kural_id],0))+(1-INDEX(tblKurallar[deger_2025],MATCH("IFF-001",tblKurallar[kural_id],0)))*IF($C853=0,0,$D853/$C853))-1),iff_yuvarMax),0))</f>
        <v/>
      </c>
    </row>
    <row r="854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8">
        <f>IF($A854="","",IFERROR(ROUND($H854*((INDEX(tblKurallar[deger_2025],MATCH("IFF-001",tblKurallar[kural_id],0))+(1-INDEX(tblKurallar[deger_2025],MATCH("IFF-001",tblKurallar[kural_id],0)))*IF($C854=0,0,$D854/$C854))-1),iff_yuvarMax),0))</f>
        <v/>
      </c>
    </row>
    <row r="85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8">
        <f>IF($A855="","",IFERROR(ROUND($H855*((INDEX(tblKurallar[deger_2025],MATCH("IFF-001",tblKurallar[kural_id],0))+(1-INDEX(tblKurallar[deger_2025],MATCH("IFF-001",tblKurallar[kural_id],0)))*IF($C855=0,0,$D855/$C855))-1),iff_yuvarMax),0))</f>
        <v/>
      </c>
    </row>
    <row r="85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8">
        <f>IF($A856="","",IFERROR(ROUND($H856*((INDEX(tblKurallar[deger_2025],MATCH("IFF-001",tblKurallar[kural_id],0))+(1-INDEX(tblKurallar[deger_2025],MATCH("IFF-001",tblKurallar[kural_id],0)))*IF($C856=0,0,$D856/$C856))-1),iff_yuvarMax),0))</f>
        <v/>
      </c>
    </row>
    <row r="857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8">
        <f>IF($A857="","",IFERROR(ROUND($H857*((INDEX(tblKurallar[deger_2025],MATCH("IFF-001",tblKurallar[kural_id],0))+(1-INDEX(tblKurallar[deger_2025],MATCH("IFF-001",tblKurallar[kural_id],0)))*IF($C857=0,0,$D857/$C857))-1),iff_yuvarMax),0))</f>
        <v/>
      </c>
    </row>
    <row r="85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8">
        <f>IF($A858="","",IFERROR(ROUND($H858*((INDEX(tblKurallar[deger_2025],MATCH("IFF-001",tblKurallar[kural_id],0))+(1-INDEX(tblKurallar[deger_2025],MATCH("IFF-001",tblKurallar[kural_id],0)))*IF($C858=0,0,$D858/$C858))-1),iff_yuvarMax),0))</f>
        <v/>
      </c>
    </row>
    <row r="85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8">
        <f>IF($A859="","",IFERROR(ROUND($H859*((INDEX(tblKurallar[deger_2025],MATCH("IFF-001",tblKurallar[kural_id],0))+(1-INDEX(tblKurallar[deger_2025],MATCH("IFF-001",tblKurallar[kural_id],0)))*IF($C859=0,0,$D859/$C859))-1),iff_yuvarMax),0))</f>
        <v/>
      </c>
    </row>
    <row r="860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8">
        <f>IF($A860="","",IFERROR(ROUND($H860*((INDEX(tblKurallar[deger_2025],MATCH("IFF-001",tblKurallar[kural_id],0))+(1-INDEX(tblKurallar[deger_2025],MATCH("IFF-001",tblKurallar[kural_id],0)))*IF($C860=0,0,$D860/$C860))-1),iff_yuvarMax),0))</f>
        <v/>
      </c>
    </row>
    <row r="86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8">
        <f>IF($A861="","",IFERROR(ROUND($H861*((INDEX(tblKurallar[deger_2025],MATCH("IFF-001",tblKurallar[kural_id],0))+(1-INDEX(tblKurallar[deger_2025],MATCH("IFF-001",tblKurallar[kural_id],0)))*IF($C861=0,0,$D861/$C861))-1),iff_yuvarMax),0))</f>
        <v/>
      </c>
    </row>
    <row r="862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8">
        <f>IF($A862="","",IFERROR(ROUND($H862*((INDEX(tblKurallar[deger_2025],MATCH("IFF-001",tblKurallar[kural_id],0))+(1-INDEX(tblKurallar[deger_2025],MATCH("IFF-001",tblKurallar[kural_id],0)))*IF($C862=0,0,$D862/$C862))-1),iff_yuvarMax),0))</f>
        <v/>
      </c>
    </row>
    <row r="863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8">
        <f>IF($A863="","",IFERROR(ROUND($H863*((INDEX(tblKurallar[deger_2025],MATCH("IFF-001",tblKurallar[kural_id],0))+(1-INDEX(tblKurallar[deger_2025],MATCH("IFF-001",tblKurallar[kural_id],0)))*IF($C863=0,0,$D863/$C863))-1),iff_yuvarMax),0))</f>
        <v/>
      </c>
    </row>
    <row r="864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8">
        <f>IF($A864="","",IFERROR(ROUND($H864*((INDEX(tblKurallar[deger_2025],MATCH("IFF-001",tblKurallar[kural_id],0))+(1-INDEX(tblKurallar[deger_2025],MATCH("IFF-001",tblKurallar[kural_id],0)))*IF($C864=0,0,$D864/$C864))-1),iff_yuvarMax),0))</f>
        <v/>
      </c>
    </row>
    <row r="86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8">
        <f>IF($A865="","",IFERROR(ROUND($H865*((INDEX(tblKurallar[deger_2025],MATCH("IFF-001",tblKurallar[kural_id],0))+(1-INDEX(tblKurallar[deger_2025],MATCH("IFF-001",tblKurallar[kural_id],0)))*IF($C865=0,0,$D865/$C865))-1),iff_yuvarMax),0))</f>
        <v/>
      </c>
    </row>
    <row r="86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8">
        <f>IF($A866="","",IFERROR(ROUND($H866*((INDEX(tblKurallar[deger_2025],MATCH("IFF-001",tblKurallar[kural_id],0))+(1-INDEX(tblKurallar[deger_2025],MATCH("IFF-001",tblKurallar[kural_id],0)))*IF($C866=0,0,$D866/$C866))-1),iff_yuvarMax),0))</f>
        <v/>
      </c>
    </row>
    <row r="867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8">
        <f>IF($A867="","",IFERROR(ROUND($H867*((INDEX(tblKurallar[deger_2025],MATCH("IFF-001",tblKurallar[kural_id],0))+(1-INDEX(tblKurallar[deger_2025],MATCH("IFF-001",tblKurallar[kural_id],0)))*IF($C867=0,0,$D867/$C867))-1),iff_yuvarMax),0))</f>
        <v/>
      </c>
    </row>
    <row r="86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8">
        <f>IF($A868="","",IFERROR(ROUND($H868*((INDEX(tblKurallar[deger_2025],MATCH("IFF-001",tblKurallar[kural_id],0))+(1-INDEX(tblKurallar[deger_2025],MATCH("IFF-001",tblKurallar[kural_id],0)))*IF($C868=0,0,$D868/$C868))-1),iff_yuvarMax),0))</f>
        <v/>
      </c>
    </row>
    <row r="86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8">
        <f>IF($A869="","",IFERROR(ROUND($H869*((INDEX(tblKurallar[deger_2025],MATCH("IFF-001",tblKurallar[kural_id],0))+(1-INDEX(tblKurallar[deger_2025],MATCH("IFF-001",tblKurallar[kural_id],0)))*IF($C869=0,0,$D869/$C869))-1),iff_yuvarMax),0))</f>
        <v/>
      </c>
    </row>
    <row r="870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8">
        <f>IF($A870="","",IFERROR(ROUND($H870*((INDEX(tblKurallar[deger_2025],MATCH("IFF-001",tblKurallar[kural_id],0))+(1-INDEX(tblKurallar[deger_2025],MATCH("IFF-001",tblKurallar[kural_id],0)))*IF($C870=0,0,$D870/$C870))-1),iff_yuvarMax),0))</f>
        <v/>
      </c>
    </row>
    <row r="87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8">
        <f>IF($A871="","",IFERROR(ROUND($H871*((INDEX(tblKurallar[deger_2025],MATCH("IFF-001",tblKurallar[kural_id],0))+(1-INDEX(tblKurallar[deger_2025],MATCH("IFF-001",tblKurallar[kural_id],0)))*IF($C871=0,0,$D871/$C871))-1),iff_yuvarMax),0))</f>
        <v/>
      </c>
    </row>
    <row r="872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8">
        <f>IF($A872="","",IFERROR(ROUND($H872*((INDEX(tblKurallar[deger_2025],MATCH("IFF-001",tblKurallar[kural_id],0))+(1-INDEX(tblKurallar[deger_2025],MATCH("IFF-001",tblKurallar[kural_id],0)))*IF($C872=0,0,$D872/$C872))-1),iff_yuvarMax),0))</f>
        <v/>
      </c>
    </row>
    <row r="873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8">
        <f>IF($A873="","",IFERROR(ROUND($H873*((INDEX(tblKurallar[deger_2025],MATCH("IFF-001",tblKurallar[kural_id],0))+(1-INDEX(tblKurallar[deger_2025],MATCH("IFF-001",tblKurallar[kural_id],0)))*IF($C873=0,0,$D873/$C873))-1),iff_yuvarMax),0))</f>
        <v/>
      </c>
    </row>
    <row r="874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8">
        <f>IF($A874="","",IFERROR(ROUND($H874*((INDEX(tblKurallar[deger_2025],MATCH("IFF-001",tblKurallar[kural_id],0))+(1-INDEX(tblKurallar[deger_2025],MATCH("IFF-001",tblKurallar[kural_id],0)))*IF($C874=0,0,$D874/$C874))-1),iff_yuvarMax),0))</f>
        <v/>
      </c>
    </row>
    <row r="87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8">
        <f>IF($A875="","",IFERROR(ROUND($H875*((INDEX(tblKurallar[deger_2025],MATCH("IFF-001",tblKurallar[kural_id],0))+(1-INDEX(tblKurallar[deger_2025],MATCH("IFF-001",tblKurallar[kural_id],0)))*IF($C875=0,0,$D875/$C875))-1),iff_yuvarMax),0))</f>
        <v/>
      </c>
    </row>
    <row r="87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8">
        <f>IF($A876="","",IFERROR(ROUND($H876*((INDEX(tblKurallar[deger_2025],MATCH("IFF-001",tblKurallar[kural_id],0))+(1-INDEX(tblKurallar[deger_2025],MATCH("IFF-001",tblKurallar[kural_id],0)))*IF($C876=0,0,$D876/$C876))-1),iff_yuvarMax),0))</f>
        <v/>
      </c>
    </row>
    <row r="877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8">
        <f>IF($A877="","",IFERROR(ROUND($H877*((INDEX(tblKurallar[deger_2025],MATCH("IFF-001",tblKurallar[kural_id],0))+(1-INDEX(tblKurallar[deger_2025],MATCH("IFF-001",tblKurallar[kural_id],0)))*IF($C877=0,0,$D877/$C877))-1),iff_yuvarMax),0))</f>
        <v/>
      </c>
    </row>
    <row r="87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8">
        <f>IF($A878="","",IFERROR(ROUND($H878*((INDEX(tblKurallar[deger_2025],MATCH("IFF-001",tblKurallar[kural_id],0))+(1-INDEX(tblKurallar[deger_2025],MATCH("IFF-001",tblKurallar[kural_id],0)))*IF($C878=0,0,$D878/$C878))-1),iff_yuvarMax),0))</f>
        <v/>
      </c>
    </row>
    <row r="87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8">
        <f>IF($A879="","",IFERROR(ROUND($H879*((INDEX(tblKurallar[deger_2025],MATCH("IFF-001",tblKurallar[kural_id],0))+(1-INDEX(tblKurallar[deger_2025],MATCH("IFF-001",tblKurallar[kural_id],0)))*IF($C879=0,0,$D879/$C879))-1),iff_yuvarMax),0))</f>
        <v/>
      </c>
    </row>
    <row r="880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8">
        <f>IF($A880="","",IFERROR(ROUND($H880*((INDEX(tblKurallar[deger_2025],MATCH("IFF-001",tblKurallar[kural_id],0))+(1-INDEX(tblKurallar[deger_2025],MATCH("IFF-001",tblKurallar[kural_id],0)))*IF($C880=0,0,$D880/$C880))-1),iff_yuvarMax),0))</f>
        <v/>
      </c>
    </row>
    <row r="88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8">
        <f>IF($A881="","",IFERROR(ROUND($H881*((INDEX(tblKurallar[deger_2025],MATCH("IFF-001",tblKurallar[kural_id],0))+(1-INDEX(tblKurallar[deger_2025],MATCH("IFF-001",tblKurallar[kural_id],0)))*IF($C881=0,0,$D881/$C881))-1),iff_yuvarMax),0))</f>
        <v/>
      </c>
    </row>
    <row r="882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8">
        <f>IF($A882="","",IFERROR(ROUND($H882*((INDEX(tblKurallar[deger_2025],MATCH("IFF-001",tblKurallar[kural_id],0))+(1-INDEX(tblKurallar[deger_2025],MATCH("IFF-001",tblKurallar[kural_id],0)))*IF($C882=0,0,$D882/$C882))-1),iff_yuvarMax),0))</f>
        <v/>
      </c>
    </row>
    <row r="883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8">
        <f>IF($A883="","",IFERROR(ROUND($H883*((INDEX(tblKurallar[deger_2025],MATCH("IFF-001",tblKurallar[kural_id],0))+(1-INDEX(tblKurallar[deger_2025],MATCH("IFF-001",tblKurallar[kural_id],0)))*IF($C883=0,0,$D883/$C883))-1),iff_yuvarMax),0))</f>
        <v/>
      </c>
    </row>
    <row r="884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8">
        <f>IF($A884="","",IFERROR(ROUND($H884*((INDEX(tblKurallar[deger_2025],MATCH("IFF-001",tblKurallar[kural_id],0))+(1-INDEX(tblKurallar[deger_2025],MATCH("IFF-001",tblKurallar[kural_id],0)))*IF($C884=0,0,$D884/$C884))-1),iff_yuvarMax),0))</f>
        <v/>
      </c>
    </row>
    <row r="8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8">
        <f>IF($A885="","",IFERROR(ROUND($H885*((INDEX(tblKurallar[deger_2025],MATCH("IFF-001",tblKurallar[kural_id],0))+(1-INDEX(tblKurallar[deger_2025],MATCH("IFF-001",tblKurallar[kural_id],0)))*IF($C885=0,0,$D885/$C885))-1),iff_yuvarMax),0))</f>
        <v/>
      </c>
    </row>
    <row r="88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8">
        <f>IF($A886="","",IFERROR(ROUND($H886*((INDEX(tblKurallar[deger_2025],MATCH("IFF-001",tblKurallar[kural_id],0))+(1-INDEX(tblKurallar[deger_2025],MATCH("IFF-001",tblKurallar[kural_id],0)))*IF($C886=0,0,$D886/$C886))-1),iff_yuvarMax),0))</f>
        <v/>
      </c>
    </row>
    <row r="887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8">
        <f>IF($A887="","",IFERROR(ROUND($H887*((INDEX(tblKurallar[deger_2025],MATCH("IFF-001",tblKurallar[kural_id],0))+(1-INDEX(tblKurallar[deger_2025],MATCH("IFF-001",tblKurallar[kural_id],0)))*IF($C887=0,0,$D887/$C887))-1),iff_yuvarMax),0))</f>
        <v/>
      </c>
    </row>
    <row r="88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8">
        <f>IF($A888="","",IFERROR(ROUND($H888*((INDEX(tblKurallar[deger_2025],MATCH("IFF-001",tblKurallar[kural_id],0))+(1-INDEX(tblKurallar[deger_2025],MATCH("IFF-001",tblKurallar[kural_id],0)))*IF($C888=0,0,$D888/$C888))-1),iff_yuvarMax),0))</f>
        <v/>
      </c>
    </row>
    <row r="88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8">
        <f>IF($A889="","",IFERROR(ROUND($H889*((INDEX(tblKurallar[deger_2025],MATCH("IFF-001",tblKurallar[kural_id],0))+(1-INDEX(tblKurallar[deger_2025],MATCH("IFF-001",tblKurallar[kural_id],0)))*IF($C889=0,0,$D889/$C889))-1),iff_yuvarMax),0))</f>
        <v/>
      </c>
    </row>
    <row r="890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8">
        <f>IF($A890="","",IFERROR(ROUND($H890*((INDEX(tblKurallar[deger_2025],MATCH("IFF-001",tblKurallar[kural_id],0))+(1-INDEX(tblKurallar[deger_2025],MATCH("IFF-001",tblKurallar[kural_id],0)))*IF($C890=0,0,$D890/$C890))-1),iff_yuvarMax),0))</f>
        <v/>
      </c>
    </row>
    <row r="89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8">
        <f>IF($A891="","",IFERROR(ROUND($H891*((INDEX(tblKurallar[deger_2025],MATCH("IFF-001",tblKurallar[kural_id],0))+(1-INDEX(tblKurallar[deger_2025],MATCH("IFF-001",tblKurallar[kural_id],0)))*IF($C891=0,0,$D891/$C891))-1),iff_yuvarMax),0))</f>
        <v/>
      </c>
    </row>
    <row r="892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8">
        <f>IF($A892="","",IFERROR(ROUND($H892*((INDEX(tblKurallar[deger_2025],MATCH("IFF-001",tblKurallar[kural_id],0))+(1-INDEX(tblKurallar[deger_2025],MATCH("IFF-001",tblKurallar[kural_id],0)))*IF($C892=0,0,$D892/$C892))-1),iff_yuvarMax),0))</f>
        <v/>
      </c>
    </row>
    <row r="893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8">
        <f>IF($A893="","",IFERROR(ROUND($H893*((INDEX(tblKurallar[deger_2025],MATCH("IFF-001",tblKurallar[kural_id],0))+(1-INDEX(tblKurallar[deger_2025],MATCH("IFF-001",tblKurallar[kural_id],0)))*IF($C893=0,0,$D893/$C893))-1),iff_yuvarMax),0))</f>
        <v/>
      </c>
    </row>
    <row r="894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8">
        <f>IF($A894="","",IFERROR(ROUND($H894*((INDEX(tblKurallar[deger_2025],MATCH("IFF-001",tblKurallar[kural_id],0))+(1-INDEX(tblKurallar[deger_2025],MATCH("IFF-001",tblKurallar[kural_id],0)))*IF($C894=0,0,$D894/$C894))-1),iff_yuvarMax),0))</f>
        <v/>
      </c>
    </row>
    <row r="89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8">
        <f>IF($A895="","",IFERROR(ROUND($H895*((INDEX(tblKurallar[deger_2025],MATCH("IFF-001",tblKurallar[kural_id],0))+(1-INDEX(tblKurallar[deger_2025],MATCH("IFF-001",tblKurallar[kural_id],0)))*IF($C895=0,0,$D895/$C895))-1),iff_yuvarMax),0))</f>
        <v/>
      </c>
    </row>
    <row r="89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8">
        <f>IF($A896="","",IFERROR(ROUND($H896*((INDEX(tblKurallar[deger_2025],MATCH("IFF-001",tblKurallar[kural_id],0))+(1-INDEX(tblKurallar[deger_2025],MATCH("IFF-001",tblKurallar[kural_id],0)))*IF($C896=0,0,$D896/$C896))-1),iff_yuvarMax),0))</f>
        <v/>
      </c>
    </row>
    <row r="897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8">
        <f>IF($A897="","",IFERROR(ROUND($H897*((INDEX(tblKurallar[deger_2025],MATCH("IFF-001",tblKurallar[kural_id],0))+(1-INDEX(tblKurallar[deger_2025],MATCH("IFF-001",tblKurallar[kural_id],0)))*IF($C897=0,0,$D897/$C897))-1),iff_yuvarMax),0))</f>
        <v/>
      </c>
    </row>
    <row r="89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8">
        <f>IF($A898="","",IFERROR(ROUND($H898*((INDEX(tblKurallar[deger_2025],MATCH("IFF-001",tblKurallar[kural_id],0))+(1-INDEX(tblKurallar[deger_2025],MATCH("IFF-001",tblKurallar[kural_id],0)))*IF($C898=0,0,$D898/$C898))-1),iff_yuvarMax),0))</f>
        <v/>
      </c>
    </row>
    <row r="89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8">
        <f>IF($A899="","",IFERROR(ROUND($H899*((INDEX(tblKurallar[deger_2025],MATCH("IFF-001",tblKurallar[kural_id],0))+(1-INDEX(tblKurallar[deger_2025],MATCH("IFF-001",tblKurallar[kural_id],0)))*IF($C899=0,0,$D899/$C899))-1),iff_yuvarMax),0))</f>
        <v/>
      </c>
    </row>
    <row r="900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8">
        <f>IF($A900="","",IFERROR(ROUND($H900*((INDEX(tblKurallar[deger_2025],MATCH("IFF-001",tblKurallar[kural_id],0))+(1-INDEX(tblKurallar[deger_2025],MATCH("IFF-001",tblKurallar[kural_id],0)))*IF($C900=0,0,$D900/$C900))-1),iff_yuvarMax),0))</f>
        <v/>
      </c>
    </row>
    <row r="90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8">
        <f>IF($A901="","",IFERROR(ROUND($H901*((INDEX(tblKurallar[deger_2025],MATCH("IFF-001",tblKurallar[kural_id],0))+(1-INDEX(tblKurallar[deger_2025],MATCH("IFF-001",tblKurallar[kural_id],0)))*IF($C901=0,0,$D901/$C901))-1),iff_yuvarMax),0))</f>
        <v/>
      </c>
    </row>
    <row r="902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8">
        <f>IF($A902="","",IFERROR(ROUND($H902*((INDEX(tblKurallar[deger_2025],MATCH("IFF-001",tblKurallar[kural_id],0))+(1-INDEX(tblKurallar[deger_2025],MATCH("IFF-001",tblKurallar[kural_id],0)))*IF($C902=0,0,$D902/$C902))-1),iff_yuvarMax),0))</f>
        <v/>
      </c>
    </row>
    <row r="903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8">
        <f>IF($A903="","",IFERROR(ROUND($H903*((INDEX(tblKurallar[deger_2025],MATCH("IFF-001",tblKurallar[kural_id],0))+(1-INDEX(tblKurallar[deger_2025],MATCH("IFF-001",tblKurallar[kural_id],0)))*IF($C903=0,0,$D903/$C903))-1),iff_yuvarMax),0))</f>
        <v/>
      </c>
    </row>
    <row r="904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8">
        <f>IF($A904="","",IFERROR(ROUND($H904*((INDEX(tblKurallar[deger_2025],MATCH("IFF-001",tblKurallar[kural_id],0))+(1-INDEX(tblKurallar[deger_2025],MATCH("IFF-001",tblKurallar[kural_id],0)))*IF($C904=0,0,$D904/$C904))-1),iff_yuvarMax),0))</f>
        <v/>
      </c>
    </row>
    <row r="90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8">
        <f>IF($A905="","",IFERROR(ROUND($H905*((INDEX(tblKurallar[deger_2025],MATCH("IFF-001",tblKurallar[kural_id],0))+(1-INDEX(tblKurallar[deger_2025],MATCH("IFF-001",tblKurallar[kural_id],0)))*IF($C905=0,0,$D905/$C905))-1),iff_yuvarMax),0))</f>
        <v/>
      </c>
    </row>
    <row r="90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8">
        <f>IF($A906="","",IFERROR(ROUND($H906*((INDEX(tblKurallar[deger_2025],MATCH("IFF-001",tblKurallar[kural_id],0))+(1-INDEX(tblKurallar[deger_2025],MATCH("IFF-001",tblKurallar[kural_id],0)))*IF($C906=0,0,$D906/$C906))-1),iff_yuvarMax),0))</f>
        <v/>
      </c>
    </row>
    <row r="907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8">
        <f>IF($A907="","",IFERROR(ROUND($H907*((INDEX(tblKurallar[deger_2025],MATCH("IFF-001",tblKurallar[kural_id],0))+(1-INDEX(tblKurallar[deger_2025],MATCH("IFF-001",tblKurallar[kural_id],0)))*IF($C907=0,0,$D907/$C907))-1),iff_yuvarMax),0))</f>
        <v/>
      </c>
    </row>
    <row r="90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8">
        <f>IF($A908="","",IFERROR(ROUND($H908*((INDEX(tblKurallar[deger_2025],MATCH("IFF-001",tblKurallar[kural_id],0))+(1-INDEX(tblKurallar[deger_2025],MATCH("IFF-001",tblKurallar[kural_id],0)))*IF($C908=0,0,$D908/$C908))-1),iff_yuvarMax),0))</f>
        <v/>
      </c>
    </row>
    <row r="90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8">
        <f>IF($A909="","",IFERROR(ROUND($H909*((INDEX(tblKurallar[deger_2025],MATCH("IFF-001",tblKurallar[kural_id],0))+(1-INDEX(tblKurallar[deger_2025],MATCH("IFF-001",tblKurallar[kural_id],0)))*IF($C909=0,0,$D909/$C909))-1),iff_yuvarMax),0))</f>
        <v/>
      </c>
    </row>
    <row r="910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8">
        <f>IF($A910="","",IFERROR(ROUND($H910*((INDEX(tblKurallar[deger_2025],MATCH("IFF-001",tblKurallar[kural_id],0))+(1-INDEX(tblKurallar[deger_2025],MATCH("IFF-001",tblKurallar[kural_id],0)))*IF($C910=0,0,$D910/$C910))-1),iff_yuvarMax),0))</f>
        <v/>
      </c>
    </row>
    <row r="91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8">
        <f>IF($A911="","",IFERROR(ROUND($H911*((INDEX(tblKurallar[deger_2025],MATCH("IFF-001",tblKurallar[kural_id],0))+(1-INDEX(tblKurallar[deger_2025],MATCH("IFF-001",tblKurallar[kural_id],0)))*IF($C911=0,0,$D911/$C911))-1),iff_yuvarMax),0))</f>
        <v/>
      </c>
    </row>
    <row r="912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8">
        <f>IF($A912="","",IFERROR(ROUND($H912*((INDEX(tblKurallar[deger_2025],MATCH("IFF-001",tblKurallar[kural_id],0))+(1-INDEX(tblKurallar[deger_2025],MATCH("IFF-001",tblKurallar[kural_id],0)))*IF($C912=0,0,$D912/$C912))-1),iff_yuvarMax),0))</f>
        <v/>
      </c>
    </row>
    <row r="913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8">
        <f>IF($A913="","",IFERROR(ROUND($H913*((INDEX(tblKurallar[deger_2025],MATCH("IFF-001",tblKurallar[kural_id],0))+(1-INDEX(tblKurallar[deger_2025],MATCH("IFF-001",tblKurallar[kural_id],0)))*IF($C913=0,0,$D913/$C913))-1),iff_yuvarMax),0))</f>
        <v/>
      </c>
    </row>
    <row r="914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8">
        <f>IF($A914="","",IFERROR(ROUND($H914*((INDEX(tblKurallar[deger_2025],MATCH("IFF-001",tblKurallar[kural_id],0))+(1-INDEX(tblKurallar[deger_2025],MATCH("IFF-001",tblKurallar[kural_id],0)))*IF($C914=0,0,$D914/$C914))-1),iff_yuvarMax),0))</f>
        <v/>
      </c>
    </row>
    <row r="91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8">
        <f>IF($A915="","",IFERROR(ROUND($H915*((INDEX(tblKurallar[deger_2025],MATCH("IFF-001",tblKurallar[kural_id],0))+(1-INDEX(tblKurallar[deger_2025],MATCH("IFF-001",tblKurallar[kural_id],0)))*IF($C915=0,0,$D915/$C915))-1),iff_yuvarMax),0))</f>
        <v/>
      </c>
    </row>
    <row r="91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8">
        <f>IF($A916="","",IFERROR(ROUND($H916*((INDEX(tblKurallar[deger_2025],MATCH("IFF-001",tblKurallar[kural_id],0))+(1-INDEX(tblKurallar[deger_2025],MATCH("IFF-001",tblKurallar[kural_id],0)))*IF($C916=0,0,$D916/$C916))-1),iff_yuvarMax),0))</f>
        <v/>
      </c>
    </row>
    <row r="917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8">
        <f>IF($A917="","",IFERROR(ROUND($H917*((INDEX(tblKurallar[deger_2025],MATCH("IFF-001",tblKurallar[kural_id],0))+(1-INDEX(tblKurallar[deger_2025],MATCH("IFF-001",tblKurallar[kural_id],0)))*IF($C917=0,0,$D917/$C917))-1),iff_yuvarMax),0))</f>
        <v/>
      </c>
    </row>
    <row r="9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8">
        <f>IF($A918="","",IFERROR(ROUND($H918*((INDEX(tblKurallar[deger_2025],MATCH("IFF-001",tblKurallar[kural_id],0))+(1-INDEX(tblKurallar[deger_2025],MATCH("IFF-001",tblKurallar[kural_id],0)))*IF($C918=0,0,$D918/$C918))-1),iff_yuvarMax),0))</f>
        <v/>
      </c>
    </row>
    <row r="9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8">
        <f>IF($A919="","",IFERROR(ROUND($H919*((INDEX(tblKurallar[deger_2025],MATCH("IFF-001",tblKurallar[kural_id],0))+(1-INDEX(tblKurallar[deger_2025],MATCH("IFF-001",tblKurallar[kural_id],0)))*IF($C919=0,0,$D919/$C919))-1),iff_yuvarMax),0))</f>
        <v/>
      </c>
    </row>
    <row r="920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8">
        <f>IF($A920="","",IFERROR(ROUND($H920*((INDEX(tblKurallar[deger_2025],MATCH("IFF-001",tblKurallar[kural_id],0))+(1-INDEX(tblKurallar[deger_2025],MATCH("IFF-001",tblKurallar[kural_id],0)))*IF($C920=0,0,$D920/$C920))-1),iff_yuvarMax),0))</f>
        <v/>
      </c>
    </row>
    <row r="92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8">
        <f>IF($A921="","",IFERROR(ROUND($H921*((INDEX(tblKurallar[deger_2025],MATCH("IFF-001",tblKurallar[kural_id],0))+(1-INDEX(tblKurallar[deger_2025],MATCH("IFF-001",tblKurallar[kural_id],0)))*IF($C921=0,0,$D921/$C921))-1),iff_yuvarMax),0))</f>
        <v/>
      </c>
    </row>
    <row r="922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8">
        <f>IF($A922="","",IFERROR(ROUND($H922*((INDEX(tblKurallar[deger_2025],MATCH("IFF-001",tblKurallar[kural_id],0))+(1-INDEX(tblKurallar[deger_2025],MATCH("IFF-001",tblKurallar[kural_id],0)))*IF($C922=0,0,$D922/$C922))-1),iff_yuvarMax),0))</f>
        <v/>
      </c>
    </row>
    <row r="923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8">
        <f>IF($A923="","",IFERROR(ROUND($H923*((INDEX(tblKurallar[deger_2025],MATCH("IFF-001",tblKurallar[kural_id],0))+(1-INDEX(tblKurallar[deger_2025],MATCH("IFF-001",tblKurallar[kural_id],0)))*IF($C923=0,0,$D923/$C923))-1),iff_yuvarMax),0))</f>
        <v/>
      </c>
    </row>
    <row r="924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8">
        <f>IF($A924="","",IFERROR(ROUND($H924*((INDEX(tblKurallar[deger_2025],MATCH("IFF-001",tblKurallar[kural_id],0))+(1-INDEX(tblKurallar[deger_2025],MATCH("IFF-001",tblKurallar[kural_id],0)))*IF($C924=0,0,$D924/$C924))-1),iff_yuvarMax),0))</f>
        <v/>
      </c>
    </row>
    <row r="92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8">
        <f>IF($A925="","",IFERROR(ROUND($H925*((INDEX(tblKurallar[deger_2025],MATCH("IFF-001",tblKurallar[kural_id],0))+(1-INDEX(tblKurallar[deger_2025],MATCH("IFF-001",tblKurallar[kural_id],0)))*IF($C925=0,0,$D925/$C925))-1),iff_yuvarMax),0))</f>
        <v/>
      </c>
    </row>
    <row r="92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8">
        <f>IF($A926="","",IFERROR(ROUND($H926*((INDEX(tblKurallar[deger_2025],MATCH("IFF-001",tblKurallar[kural_id],0))+(1-INDEX(tblKurallar[deger_2025],MATCH("IFF-001",tblKurallar[kural_id],0)))*IF($C926=0,0,$D926/$C926))-1),iff_yuvarMax),0))</f>
        <v/>
      </c>
    </row>
    <row r="927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8">
        <f>IF($A927="","",IFERROR(ROUND($H927*((INDEX(tblKurallar[deger_2025],MATCH("IFF-001",tblKurallar[kural_id],0))+(1-INDEX(tblKurallar[deger_2025],MATCH("IFF-001",tblKurallar[kural_id],0)))*IF($C927=0,0,$D927/$C927))-1),iff_yuvarMax),0))</f>
        <v/>
      </c>
    </row>
    <row r="92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8">
        <f>IF($A928="","",IFERROR(ROUND($H928*((INDEX(tblKurallar[deger_2025],MATCH("IFF-001",tblKurallar[kural_id],0))+(1-INDEX(tblKurallar[deger_2025],MATCH("IFF-001",tblKurallar[kural_id],0)))*IF($C928=0,0,$D928/$C928))-1),iff_yuvarMax),0))</f>
        <v/>
      </c>
    </row>
    <row r="92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8">
        <f>IF($A929="","",IFERROR(ROUND($H929*((INDEX(tblKurallar[deger_2025],MATCH("IFF-001",tblKurallar[kural_id],0))+(1-INDEX(tblKurallar[deger_2025],MATCH("IFF-001",tblKurallar[kural_id],0)))*IF($C929=0,0,$D929/$C929))-1),iff_yuvarMax),0))</f>
        <v/>
      </c>
    </row>
    <row r="930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8">
        <f>IF($A930="","",IFERROR(ROUND($H930*((INDEX(tblKurallar[deger_2025],MATCH("IFF-001",tblKurallar[kural_id],0))+(1-INDEX(tblKurallar[deger_2025],MATCH("IFF-001",tblKurallar[kural_id],0)))*IF($C930=0,0,$D930/$C930))-1),iff_yuvarMax),0))</f>
        <v/>
      </c>
    </row>
    <row r="9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8">
        <f>IF($A931="","",IFERROR(ROUND($H931*((INDEX(tblKurallar[deger_2025],MATCH("IFF-001",tblKurallar[kural_id],0))+(1-INDEX(tblKurallar[deger_2025],MATCH("IFF-001",tblKurallar[kural_id],0)))*IF($C931=0,0,$D931/$C931))-1),iff_yuvarMax),0))</f>
        <v/>
      </c>
    </row>
    <row r="932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8">
        <f>IF($A932="","",IFERROR(ROUND($H932*((INDEX(tblKurallar[deger_2025],MATCH("IFF-001",tblKurallar[kural_id],0))+(1-INDEX(tblKurallar[deger_2025],MATCH("IFF-001",tblKurallar[kural_id],0)))*IF($C932=0,0,$D932/$C932))-1),iff_yuvarMax),0))</f>
        <v/>
      </c>
    </row>
    <row r="933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8">
        <f>IF($A933="","",IFERROR(ROUND($H933*((INDEX(tblKurallar[deger_2025],MATCH("IFF-001",tblKurallar[kural_id],0))+(1-INDEX(tblKurallar[deger_2025],MATCH("IFF-001",tblKurallar[kural_id],0)))*IF($C933=0,0,$D933/$C933))-1),iff_yuvarMax),0))</f>
        <v/>
      </c>
    </row>
    <row r="934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8">
        <f>IF($A934="","",IFERROR(ROUND($H934*((INDEX(tblKurallar[deger_2025],MATCH("IFF-001",tblKurallar[kural_id],0))+(1-INDEX(tblKurallar[deger_2025],MATCH("IFF-001",tblKurallar[kural_id],0)))*IF($C934=0,0,$D934/$C934))-1),iff_yuvarMax),0))</f>
        <v/>
      </c>
    </row>
    <row r="93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8">
        <f>IF($A935="","",IFERROR(ROUND($H935*((INDEX(tblKurallar[deger_2025],MATCH("IFF-001",tblKurallar[kural_id],0))+(1-INDEX(tblKurallar[deger_2025],MATCH("IFF-001",tblKurallar[kural_id],0)))*IF($C935=0,0,$D935/$C935))-1),iff_yuvarMax),0))</f>
        <v/>
      </c>
    </row>
    <row r="93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8">
        <f>IF($A936="","",IFERROR(ROUND($H936*((INDEX(tblKurallar[deger_2025],MATCH("IFF-001",tblKurallar[kural_id],0))+(1-INDEX(tblKurallar[deger_2025],MATCH("IFF-001",tblKurallar[kural_id],0)))*IF($C936=0,0,$D936/$C936))-1),iff_yuvarMax),0))</f>
        <v/>
      </c>
    </row>
    <row r="937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8">
        <f>IF($A937="","",IFERROR(ROUND($H937*((INDEX(tblKurallar[deger_2025],MATCH("IFF-001",tblKurallar[kural_id],0))+(1-INDEX(tblKurallar[deger_2025],MATCH("IFF-001",tblKurallar[kural_id],0)))*IF($C937=0,0,$D937/$C937))-1),iff_yuvarMax),0))</f>
        <v/>
      </c>
    </row>
    <row r="9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8">
        <f>IF($A938="","",IFERROR(ROUND($H938*((INDEX(tblKurallar[deger_2025],MATCH("IFF-001",tblKurallar[kural_id],0))+(1-INDEX(tblKurallar[deger_2025],MATCH("IFF-001",tblKurallar[kural_id],0)))*IF($C938=0,0,$D938/$C938))-1),iff_yuvarMax),0))</f>
        <v/>
      </c>
    </row>
    <row r="93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8">
        <f>IF($A939="","",IFERROR(ROUND($H939*((INDEX(tblKurallar[deger_2025],MATCH("IFF-001",tblKurallar[kural_id],0))+(1-INDEX(tblKurallar[deger_2025],MATCH("IFF-001",tblKurallar[kural_id],0)))*IF($C939=0,0,$D939/$C939))-1),iff_yuvarMax),0))</f>
        <v/>
      </c>
    </row>
    <row r="940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8">
        <f>IF($A940="","",IFERROR(ROUND($H940*((INDEX(tblKurallar[deger_2025],MATCH("IFF-001",tblKurallar[kural_id],0))+(1-INDEX(tblKurallar[deger_2025],MATCH("IFF-001",tblKurallar[kural_id],0)))*IF($C940=0,0,$D940/$C940))-1),iff_yuvarMax),0))</f>
        <v/>
      </c>
    </row>
    <row r="94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8">
        <f>IF($A941="","",IFERROR(ROUND($H941*((INDEX(tblKurallar[deger_2025],MATCH("IFF-001",tblKurallar[kural_id],0))+(1-INDEX(tblKurallar[deger_2025],MATCH("IFF-001",tblKurallar[kural_id],0)))*IF($C941=0,0,$D941/$C941))-1),iff_yuvarMax),0))</f>
        <v/>
      </c>
    </row>
    <row r="942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8">
        <f>IF($A942="","",IFERROR(ROUND($H942*((INDEX(tblKurallar[deger_2025],MATCH("IFF-001",tblKurallar[kural_id],0))+(1-INDEX(tblKurallar[deger_2025],MATCH("IFF-001",tblKurallar[kural_id],0)))*IF($C942=0,0,$D942/$C942))-1),iff_yuvarMax),0))</f>
        <v/>
      </c>
    </row>
    <row r="943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8">
        <f>IF($A943="","",IFERROR(ROUND($H943*((INDEX(tblKurallar[deger_2025],MATCH("IFF-001",tblKurallar[kural_id],0))+(1-INDEX(tblKurallar[deger_2025],MATCH("IFF-001",tblKurallar[kural_id],0)))*IF($C943=0,0,$D943/$C943))-1),iff_yuvarMax),0))</f>
        <v/>
      </c>
    </row>
    <row r="944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8">
        <f>IF($A944="","",IFERROR(ROUND($H944*((INDEX(tblKurallar[deger_2025],MATCH("IFF-001",tblKurallar[kural_id],0))+(1-INDEX(tblKurallar[deger_2025],MATCH("IFF-001",tblKurallar[kural_id],0)))*IF($C944=0,0,$D944/$C944))-1),iff_yuvarMax),0))</f>
        <v/>
      </c>
    </row>
    <row r="94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8">
        <f>IF($A945="","",IFERROR(ROUND($H945*((INDEX(tblKurallar[deger_2025],MATCH("IFF-001",tblKurallar[kural_id],0))+(1-INDEX(tblKurallar[deger_2025],MATCH("IFF-001",tblKurallar[kural_id],0)))*IF($C945=0,0,$D945/$C945))-1),iff_yuvarMax),0))</f>
        <v/>
      </c>
    </row>
    <row r="9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8">
        <f>IF($A946="","",IFERROR(ROUND($H946*((INDEX(tblKurallar[deger_2025],MATCH("IFF-001",tblKurallar[kural_id],0))+(1-INDEX(tblKurallar[deger_2025],MATCH("IFF-001",tblKurallar[kural_id],0)))*IF($C946=0,0,$D946/$C946))-1),iff_yuvarMax),0))</f>
        <v/>
      </c>
    </row>
    <row r="947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8">
        <f>IF($A947="","",IFERROR(ROUND($H947*((INDEX(tblKurallar[deger_2025],MATCH("IFF-001",tblKurallar[kural_id],0))+(1-INDEX(tblKurallar[deger_2025],MATCH("IFF-001",tblKurallar[kural_id],0)))*IF($C947=0,0,$D947/$C947))-1),iff_yuvarMax),0))</f>
        <v/>
      </c>
    </row>
    <row r="94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8">
        <f>IF($A948="","",IFERROR(ROUND($H948*((INDEX(tblKurallar[deger_2025],MATCH("IFF-001",tblKurallar[kural_id],0))+(1-INDEX(tblKurallar[deger_2025],MATCH("IFF-001",tblKurallar[kural_id],0)))*IF($C948=0,0,$D948/$C948))-1),iff_yuvarMax),0))</f>
        <v/>
      </c>
    </row>
    <row r="94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8">
        <f>IF($A949="","",IFERROR(ROUND($H949*((INDEX(tblKurallar[deger_2025],MATCH("IFF-001",tblKurallar[kural_id],0))+(1-INDEX(tblKurallar[deger_2025],MATCH("IFF-001",tblKurallar[kural_id],0)))*IF($C949=0,0,$D949/$C949))-1),iff_yuvarMax),0))</f>
        <v/>
      </c>
    </row>
    <row r="950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8">
        <f>IF($A950="","",IFERROR(ROUND($H950*((INDEX(tblKurallar[deger_2025],MATCH("IFF-001",tblKurallar[kural_id],0))+(1-INDEX(tblKurallar[deger_2025],MATCH("IFF-001",tblKurallar[kural_id],0)))*IF($C950=0,0,$D950/$C950))-1),iff_yuvarMax),0))</f>
        <v/>
      </c>
    </row>
    <row r="95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8">
        <f>IF($A951="","",IFERROR(ROUND($H951*((INDEX(tblKurallar[deger_2025],MATCH("IFF-001",tblKurallar[kural_id],0))+(1-INDEX(tblKurallar[deger_2025],MATCH("IFF-001",tblKurallar[kural_id],0)))*IF($C951=0,0,$D951/$C951))-1),iff_yuvarMax),0))</f>
        <v/>
      </c>
    </row>
    <row r="952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8">
        <f>IF($A952="","",IFERROR(ROUND($H952*((INDEX(tblKurallar[deger_2025],MATCH("IFF-001",tblKurallar[kural_id],0))+(1-INDEX(tblKurallar[deger_2025],MATCH("IFF-001",tblKurallar[kural_id],0)))*IF($C952=0,0,$D952/$C952))-1),iff_yuvarMax),0))</f>
        <v/>
      </c>
    </row>
    <row r="953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8">
        <f>IF($A953="","",IFERROR(ROUND($H953*((INDEX(tblKurallar[deger_2025],MATCH("IFF-001",tblKurallar[kural_id],0))+(1-INDEX(tblKurallar[deger_2025],MATCH("IFF-001",tblKurallar[kural_id],0)))*IF($C953=0,0,$D953/$C953))-1),iff_yuvarMax),0))</f>
        <v/>
      </c>
    </row>
    <row r="954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8">
        <f>IF($A954="","",IFERROR(ROUND($H954*((INDEX(tblKurallar[deger_2025],MATCH("IFF-001",tblKurallar[kural_id],0))+(1-INDEX(tblKurallar[deger_2025],MATCH("IFF-001",tblKurallar[kural_id],0)))*IF($C954=0,0,$D954/$C954))-1),iff_yuvarMax),0))</f>
        <v/>
      </c>
    </row>
    <row r="95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8">
        <f>IF($A955="","",IFERROR(ROUND($H955*((INDEX(tblKurallar[deger_2025],MATCH("IFF-001",tblKurallar[kural_id],0))+(1-INDEX(tblKurallar[deger_2025],MATCH("IFF-001",tblKurallar[kural_id],0)))*IF($C955=0,0,$D955/$C955))-1),iff_yuvarMax),0))</f>
        <v/>
      </c>
    </row>
    <row r="95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8">
        <f>IF($A956="","",IFERROR(ROUND($H956*((INDEX(tblKurallar[deger_2025],MATCH("IFF-001",tblKurallar[kural_id],0))+(1-INDEX(tblKurallar[deger_2025],MATCH("IFF-001",tblKurallar[kural_id],0)))*IF($C956=0,0,$D956/$C956))-1),iff_yuvarMax),0))</f>
        <v/>
      </c>
    </row>
    <row r="957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8">
        <f>IF($A957="","",IFERROR(ROUND($H957*((INDEX(tblKurallar[deger_2025],MATCH("IFF-001",tblKurallar[kural_id],0))+(1-INDEX(tblKurallar[deger_2025],MATCH("IFF-001",tblKurallar[kural_id],0)))*IF($C957=0,0,$D957/$C957))-1),iff_yuvarMax),0))</f>
        <v/>
      </c>
    </row>
    <row r="95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8">
        <f>IF($A958="","",IFERROR(ROUND($H958*((INDEX(tblKurallar[deger_2025],MATCH("IFF-001",tblKurallar[kural_id],0))+(1-INDEX(tblKurallar[deger_2025],MATCH("IFF-001",tblKurallar[kural_id],0)))*IF($C958=0,0,$D958/$C958))-1),iff_yuvarMax),0))</f>
        <v/>
      </c>
    </row>
    <row r="95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8">
        <f>IF($A959="","",IFERROR(ROUND($H959*((INDEX(tblKurallar[deger_2025],MATCH("IFF-001",tblKurallar[kural_id],0))+(1-INDEX(tblKurallar[deger_2025],MATCH("IFF-001",tblKurallar[kural_id],0)))*IF($C959=0,0,$D959/$C959))-1),iff_yuvarMax),0))</f>
        <v/>
      </c>
    </row>
    <row r="960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8">
        <f>IF($A960="","",IFERROR(ROUND($H960*((INDEX(tblKurallar[deger_2025],MATCH("IFF-001",tblKurallar[kural_id],0))+(1-INDEX(tblKurallar[deger_2025],MATCH("IFF-001",tblKurallar[kural_id],0)))*IF($C960=0,0,$D960/$C960))-1),iff_yuvarMax),0))</f>
        <v/>
      </c>
    </row>
    <row r="96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8">
        <f>IF($A961="","",IFERROR(ROUND($H961*((INDEX(tblKurallar[deger_2025],MATCH("IFF-001",tblKurallar[kural_id],0))+(1-INDEX(tblKurallar[deger_2025],MATCH("IFF-001",tblKurallar[kural_id],0)))*IF($C961=0,0,$D961/$C961))-1),iff_yuvarMax),0))</f>
        <v/>
      </c>
    </row>
    <row r="962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8">
        <f>IF($A962="","",IFERROR(ROUND($H962*((INDEX(tblKurallar[deger_2025],MATCH("IFF-001",tblKurallar[kural_id],0))+(1-INDEX(tblKurallar[deger_2025],MATCH("IFF-001",tblKurallar[kural_id],0)))*IF($C962=0,0,$D962/$C962))-1),iff_yuvarMax),0))</f>
        <v/>
      </c>
    </row>
    <row r="963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8">
        <f>IF($A963="","",IFERROR(ROUND($H963*((INDEX(tblKurallar[deger_2025],MATCH("IFF-001",tblKurallar[kural_id],0))+(1-INDEX(tblKurallar[deger_2025],MATCH("IFF-001",tblKurallar[kural_id],0)))*IF($C963=0,0,$D963/$C963))-1),iff_yuvarMax),0))</f>
        <v/>
      </c>
    </row>
    <row r="964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8">
        <f>IF($A964="","",IFERROR(ROUND($H964*((INDEX(tblKurallar[deger_2025],MATCH("IFF-001",tblKurallar[kural_id],0))+(1-INDEX(tblKurallar[deger_2025],MATCH("IFF-001",tblKurallar[kural_id],0)))*IF($C964=0,0,$D964/$C964))-1),iff_yuvarMax),0))</f>
        <v/>
      </c>
    </row>
    <row r="96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8">
        <f>IF($A965="","",IFERROR(ROUND($H965*((INDEX(tblKurallar[deger_2025],MATCH("IFF-001",tblKurallar[kural_id],0))+(1-INDEX(tblKurallar[deger_2025],MATCH("IFF-001",tblKurallar[kural_id],0)))*IF($C965=0,0,$D965/$C965))-1),iff_yuvarMax),0))</f>
        <v/>
      </c>
    </row>
    <row r="96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8">
        <f>IF($A966="","",IFERROR(ROUND($H966*((INDEX(tblKurallar[deger_2025],MATCH("IFF-001",tblKurallar[kural_id],0))+(1-INDEX(tblKurallar[deger_2025],MATCH("IFF-001",tblKurallar[kural_id],0)))*IF($C966=0,0,$D966/$C966))-1),iff_yuvarMax),0))</f>
        <v/>
      </c>
    </row>
    <row r="967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8">
        <f>IF($A967="","",IFERROR(ROUND($H967*((INDEX(tblKurallar[deger_2025],MATCH("IFF-001",tblKurallar[kural_id],0))+(1-INDEX(tblKurallar[deger_2025],MATCH("IFF-001",tblKurallar[kural_id],0)))*IF($C967=0,0,$D967/$C967))-1),iff_yuvarMax),0))</f>
        <v/>
      </c>
    </row>
    <row r="96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8">
        <f>IF($A968="","",IFERROR(ROUND($H968*((INDEX(tblKurallar[deger_2025],MATCH("IFF-001",tblKurallar[kural_id],0))+(1-INDEX(tblKurallar[deger_2025],MATCH("IFF-001",tblKurallar[kural_id],0)))*IF($C968=0,0,$D968/$C968))-1),iff_yuvarMax),0))</f>
        <v/>
      </c>
    </row>
    <row r="96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8">
        <f>IF($A969="","",IFERROR(ROUND($H969*((INDEX(tblKurallar[deger_2025],MATCH("IFF-001",tblKurallar[kural_id],0))+(1-INDEX(tblKurallar[deger_2025],MATCH("IFF-001",tblKurallar[kural_id],0)))*IF($C969=0,0,$D969/$C969))-1),iff_yuvarMax),0))</f>
        <v/>
      </c>
    </row>
    <row r="970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8">
        <f>IF($A970="","",IFERROR(ROUND($H970*((INDEX(tblKurallar[deger_2025],MATCH("IFF-001",tblKurallar[kural_id],0))+(1-INDEX(tblKurallar[deger_2025],MATCH("IFF-001",tblKurallar[kural_id],0)))*IF($C970=0,0,$D970/$C970))-1),iff_yuvarMax),0))</f>
        <v/>
      </c>
    </row>
    <row r="97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8">
        <f>IF($A971="","",IFERROR(ROUND($H971*((INDEX(tblKurallar[deger_2025],MATCH("IFF-001",tblKurallar[kural_id],0))+(1-INDEX(tblKurallar[deger_2025],MATCH("IFF-001",tblKurallar[kural_id],0)))*IF($C971=0,0,$D971/$C971))-1),iff_yuvarMax),0))</f>
        <v/>
      </c>
    </row>
    <row r="972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8">
        <f>IF($A972="","",IFERROR(ROUND($H972*((INDEX(tblKurallar[deger_2025],MATCH("IFF-001",tblKurallar[kural_id],0))+(1-INDEX(tblKurallar[deger_2025],MATCH("IFF-001",tblKurallar[kural_id],0)))*IF($C972=0,0,$D972/$C972))-1),iff_yuvarMax),0))</f>
        <v/>
      </c>
    </row>
    <row r="973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8">
        <f>IF($A973="","",IFERROR(ROUND($H973*((INDEX(tblKurallar[deger_2025],MATCH("IFF-001",tblKurallar[kural_id],0))+(1-INDEX(tblKurallar[deger_2025],MATCH("IFF-001",tblKurallar[kural_id],0)))*IF($C973=0,0,$D973/$C973))-1),iff_yuvarMax),0))</f>
        <v/>
      </c>
    </row>
    <row r="974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8">
        <f>IF($A974="","",IFERROR(ROUND($H974*((INDEX(tblKurallar[deger_2025],MATCH("IFF-001",tblKurallar[kural_id],0))+(1-INDEX(tblKurallar[deger_2025],MATCH("IFF-001",tblKurallar[kural_id],0)))*IF($C974=0,0,$D974/$C974))-1),iff_yuvarMax),0))</f>
        <v/>
      </c>
    </row>
    <row r="97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8">
        <f>IF($A975="","",IFERROR(ROUND($H975*((INDEX(tblKurallar[deger_2025],MATCH("IFF-001",tblKurallar[kural_id],0))+(1-INDEX(tblKurallar[deger_2025],MATCH("IFF-001",tblKurallar[kural_id],0)))*IF($C975=0,0,$D975/$C975))-1),iff_yuvarMax),0))</f>
        <v/>
      </c>
    </row>
    <row r="97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8">
        <f>IF($A976="","",IFERROR(ROUND($H976*((INDEX(tblKurallar[deger_2025],MATCH("IFF-001",tblKurallar[kural_id],0))+(1-INDEX(tblKurallar[deger_2025],MATCH("IFF-001",tblKurallar[kural_id],0)))*IF($C976=0,0,$D976/$C976))-1),iff_yuvarMax),0))</f>
        <v/>
      </c>
    </row>
    <row r="977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8">
        <f>IF($A977="","",IFERROR(ROUND($H977*((INDEX(tblKurallar[deger_2025],MATCH("IFF-001",tblKurallar[kural_id],0))+(1-INDEX(tblKurallar[deger_2025],MATCH("IFF-001",tblKurallar[kural_id],0)))*IF($C977=0,0,$D977/$C977))-1),iff_yuvarMax),0))</f>
        <v/>
      </c>
    </row>
    <row r="97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8">
        <f>IF($A978="","",IFERROR(ROUND($H978*((INDEX(tblKurallar[deger_2025],MATCH("IFF-001",tblKurallar[kural_id],0))+(1-INDEX(tblKurallar[deger_2025],MATCH("IFF-001",tblKurallar[kural_id],0)))*IF($C978=0,0,$D978/$C978))-1),iff_yuvarMax),0))</f>
        <v/>
      </c>
    </row>
    <row r="97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8">
        <f>IF($A979="","",IFERROR(ROUND($H979*((INDEX(tblKurallar[deger_2025],MATCH("IFF-001",tblKurallar[kural_id],0))+(1-INDEX(tblKurallar[deger_2025],MATCH("IFF-001",tblKurallar[kural_id],0)))*IF($C979=0,0,$D979/$C979))-1),iff_yuvarMax),0))</f>
        <v/>
      </c>
    </row>
    <row r="980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8">
        <f>IF($A980="","",IFERROR(ROUND($H980*((INDEX(tblKurallar[deger_2025],MATCH("IFF-001",tblKurallar[kural_id],0))+(1-INDEX(tblKurallar[deger_2025],MATCH("IFF-001",tblKurallar[kural_id],0)))*IF($C980=0,0,$D980/$C980))-1),iff_yuvarMax),0))</f>
        <v/>
      </c>
    </row>
    <row r="98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8">
        <f>IF($A981="","",IFERROR(ROUND($H981*((INDEX(tblKurallar[deger_2025],MATCH("IFF-001",tblKurallar[kural_id],0))+(1-INDEX(tblKurallar[deger_2025],MATCH("IFF-001",tblKurallar[kural_id],0)))*IF($C981=0,0,$D981/$C981))-1),iff_yuvarMax),0))</f>
        <v/>
      </c>
    </row>
    <row r="982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8">
        <f>IF($A982="","",IFERROR(ROUND($H982*((INDEX(tblKurallar[deger_2025],MATCH("IFF-001",tblKurallar[kural_id],0))+(1-INDEX(tblKurallar[deger_2025],MATCH("IFF-001",tblKurallar[kural_id],0)))*IF($C982=0,0,$D982/$C982))-1),iff_yuvarMax),0))</f>
        <v/>
      </c>
    </row>
    <row r="983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8">
        <f>IF($A983="","",IFERROR(ROUND($H983*((INDEX(tblKurallar[deger_2025],MATCH("IFF-001",tblKurallar[kural_id],0))+(1-INDEX(tblKurallar[deger_2025],MATCH("IFF-001",tblKurallar[kural_id],0)))*IF($C983=0,0,$D983/$C983))-1),iff_yuvarMax),0))</f>
        <v/>
      </c>
    </row>
    <row r="984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8">
        <f>IF($A984="","",IFERROR(ROUND($H984*((INDEX(tblKurallar[deger_2025],MATCH("IFF-001",tblKurallar[kural_id],0))+(1-INDEX(tblKurallar[deger_2025],MATCH("IFF-001",tblKurallar[kural_id],0)))*IF($C984=0,0,$D984/$C984))-1),iff_yuvarMax),0))</f>
        <v/>
      </c>
    </row>
    <row r="9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8">
        <f>IF($A985="","",IFERROR(ROUND($H985*((INDEX(tblKurallar[deger_2025],MATCH("IFF-001",tblKurallar[kural_id],0))+(1-INDEX(tblKurallar[deger_2025],MATCH("IFF-001",tblKurallar[kural_id],0)))*IF($C985=0,0,$D985/$C985))-1),iff_yuvarMax),0))</f>
        <v/>
      </c>
    </row>
    <row r="98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8">
        <f>IF($A986="","",IFERROR(ROUND($H986*((INDEX(tblKurallar[deger_2025],MATCH("IFF-001",tblKurallar[kural_id],0))+(1-INDEX(tblKurallar[deger_2025],MATCH("IFF-001",tblKurallar[kural_id],0)))*IF($C986=0,0,$D986/$C986))-1),iff_yuvarMax),0))</f>
        <v/>
      </c>
    </row>
    <row r="987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8">
        <f>IF($A987="","",IFERROR(ROUND($H987*((INDEX(tblKurallar[deger_2025],MATCH("IFF-001",tblKurallar[kural_id],0))+(1-INDEX(tblKurallar[deger_2025],MATCH("IFF-001",tblKurallar[kural_id],0)))*IF($C987=0,0,$D987/$C987))-1),iff_yuvarMax),0))</f>
        <v/>
      </c>
    </row>
    <row r="98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8">
        <f>IF($A988="","",IFERROR(ROUND($H988*((INDEX(tblKurallar[deger_2025],MATCH("IFF-001",tblKurallar[kural_id],0))+(1-INDEX(tblKurallar[deger_2025],MATCH("IFF-001",tblKurallar[kural_id],0)))*IF($C988=0,0,$D988/$C988))-1),iff_yuvarMax),0))</f>
        <v/>
      </c>
    </row>
    <row r="98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8">
        <f>IF($A989="","",IFERROR(ROUND($H989*((INDEX(tblKurallar[deger_2025],MATCH("IFF-001",tblKurallar[kural_id],0))+(1-INDEX(tblKurallar[deger_2025],MATCH("IFF-001",tblKurallar[kural_id],0)))*IF($C989=0,0,$D989/$C989))-1),iff_yuvarMax),0))</f>
        <v/>
      </c>
    </row>
    <row r="990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8">
        <f>IF($A990="","",IFERROR(ROUND($H990*((INDEX(tblKurallar[deger_2025],MATCH("IFF-001",tblKurallar[kural_id],0))+(1-INDEX(tblKurallar[deger_2025],MATCH("IFF-001",tblKurallar[kural_id],0)))*IF($C990=0,0,$D990/$C990))-1),iff_yuvarMax),0))</f>
        <v/>
      </c>
    </row>
    <row r="99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8">
        <f>IF($A991="","",IFERROR(ROUND($H991*((INDEX(tblKurallar[deger_2025],MATCH("IFF-001",tblKurallar[kural_id],0))+(1-INDEX(tblKurallar[deger_2025],MATCH("IFF-001",tblKurallar[kural_id],0)))*IF($C991=0,0,$D991/$C991))-1),iff_yuvarMax),0))</f>
        <v/>
      </c>
    </row>
    <row r="992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8">
        <f>IF($A992="","",IFERROR(ROUND($H992*((INDEX(tblKurallar[deger_2025],MATCH("IFF-001",tblKurallar[kural_id],0))+(1-INDEX(tblKurallar[deger_2025],MATCH("IFF-001",tblKurallar[kural_id],0)))*IF($C992=0,0,$D992/$C992))-1),iff_yuvarMax),0))</f>
        <v/>
      </c>
    </row>
    <row r="993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8">
        <f>IF($A993="","",IFERROR(ROUND($H993*((INDEX(tblKurallar[deger_2025],MATCH("IFF-001",tblKurallar[kural_id],0))+(1-INDEX(tblKurallar[deger_2025],MATCH("IFF-001",tblKurallar[kural_id],0)))*IF($C993=0,0,$D993/$C993))-1),iff_yuvarMax),0))</f>
        <v/>
      </c>
    </row>
    <row r="994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8">
        <f>IF($A994="","",IFERROR(ROUND($H994*((INDEX(tblKurallar[deger_2025],MATCH("IFF-001",tblKurallar[kural_id],0))+(1-INDEX(tblKurallar[deger_2025],MATCH("IFF-001",tblKurallar[kural_id],0)))*IF($C994=0,0,$D994/$C994))-1),iff_yuvarMax),0))</f>
        <v/>
      </c>
    </row>
    <row r="995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8">
        <f>IF($A995="","",IFERROR(ROUND($H995*((INDEX(tblKurallar[deger_2025],MATCH("IFF-001",tblKurallar[kural_id],0))+(1-INDEX(tblKurallar[deger_2025],MATCH("IFF-001",tblKurallar[kural_id],0)))*IF($C995=0,0,$D995/$C995))-1),iff_yuvarMax),0))</f>
        <v/>
      </c>
    </row>
    <row r="996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8">
        <f>IF($A996="","",IFERROR(ROUND($H996*((INDEX(tblKurallar[deger_2025],MATCH("IFF-001",tblKurallar[kural_id],0))+(1-INDEX(tblKurallar[deger_2025],MATCH("IFF-001",tblKurallar[kural_id],0)))*IF($C996=0,0,$D996/$C996))-1),iff_yuvarMax),0))</f>
        <v/>
      </c>
    </row>
    <row r="997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8">
        <f>IF($A997="","",IFERROR(ROUND($H997*((INDEX(tblKurallar[deger_2025],MATCH("IFF-001",tblKurallar[kural_id],0))+(1-INDEX(tblKurallar[deger_2025],MATCH("IFF-001",tblKurallar[kural_id],0)))*IF($C997=0,0,$D997/$C997))-1),iff_yuvarMax),0))</f>
        <v/>
      </c>
    </row>
    <row r="99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8">
        <f>IF($A998="","",IFERROR(ROUND($H998*((INDEX(tblKurallar[deger_2025],MATCH("IFF-001",tblKurallar[kural_id],0))+(1-INDEX(tblKurallar[deger_2025],MATCH("IFF-001",tblKurallar[kural_id],0)))*IF($C998=0,0,$D998/$C998))-1),iff_yuvarMax),0))</f>
        <v/>
      </c>
    </row>
    <row r="999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8">
        <f>IF($A999="","",IFERROR(ROUND($H999*((INDEX(tblKurallar[deger_2025],MATCH("IFF-001",tblKurallar[kural_id],0))+(1-INDEX(tblKurallar[deger_2025],MATCH("IFF-001",tblKurallar[kural_id],0)))*IF($C999=0,0,$D999/$C999))-1),iff_yuvarMax),0))</f>
        <v/>
      </c>
    </row>
    <row r="1000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8">
        <f>IF($A1000="","",IFERROR(ROUND($H1000*((INDEX(tblKurallar[deger_2025],MATCH("IFF-001",tblKurallar[kural_id],0))+(1-INDEX(tblKurallar[deger_2025],MATCH("IFF-001",tblKurallar[kural_id],0)))*IF($C1000=0,0,$D1000/$C1000))-1),iff_yuvarMax),0))</f>
        <v/>
      </c>
    </row>
    <row r="1001">
      <c r="A1001" s="37" t="n"/>
      <c r="B1001" s="37" t="n"/>
      <c r="C1001" s="37" t="n"/>
      <c r="D1001" s="37" t="n"/>
      <c r="E1001" s="37" t="n"/>
      <c r="F1001" s="37" t="n"/>
      <c r="G1001" s="37" t="n"/>
      <c r="H1001" s="37" t="n"/>
      <c r="I1001" s="38">
        <f>IF($A1001="","",IFERROR(ROUND($H1001*((INDEX(tblKurallar[deger_2025],MATCH("IFF-001",tblKurallar[kural_id],0))+(1-INDEX(tblKurallar[deger_2025],MATCH("IFF-001",tblKurallar[kural_id],0)))*IF($C1001=0,0,$D1001/$C1001))-1),iff_yuvarMax),0))</f>
        <v/>
      </c>
    </row>
    <row r="1002">
      <c r="A1002" s="37" t="n"/>
      <c r="B1002" s="37" t="n"/>
      <c r="C1002" s="37" t="n"/>
      <c r="D1002" s="37" t="n"/>
      <c r="E1002" s="37" t="n"/>
      <c r="F1002" s="37" t="n"/>
      <c r="G1002" s="37" t="n"/>
      <c r="H1002" s="37" t="n"/>
      <c r="I1002" s="38">
        <f>IF($A1002="","",IFERROR(ROUND($H1002*((INDEX(tblKurallar[deger_2025],MATCH("IFF-001",tblKurallar[kural_id],0))+(1-INDEX(tblKurallar[deger_2025],MATCH("IFF-001",tblKurallar[kural_id],0)))*IF($C1002=0,0,$D1002/$C1002))-1),iff_yuvarMax),0))</f>
        <v/>
      </c>
    </row>
    <row r="1003">
      <c r="A1003" s="37" t="n"/>
      <c r="B1003" s="37" t="n"/>
      <c r="C1003" s="37" t="n"/>
      <c r="D1003" s="37" t="n"/>
      <c r="E1003" s="37" t="n"/>
      <c r="F1003" s="37" t="n"/>
      <c r="G1003" s="37" t="n"/>
      <c r="H1003" s="37" t="n"/>
      <c r="I1003" s="38">
        <f>IF($A1003="","",IFERROR(ROUND($H1003*((INDEX(tblKurallar[deger_2025],MATCH("IFF-001",tblKurallar[kural_id],0))+(1-INDEX(tblKurallar[deger_2025],MATCH("IFF-001",tblKurallar[kural_id],0)))*IF($C1003=0,0,$D1003/$C1003))-1),iff_yuvarMax),0))</f>
        <v/>
      </c>
    </row>
    <row r="1004">
      <c r="A1004" s="37" t="n"/>
      <c r="B1004" s="37" t="n"/>
      <c r="C1004" s="37" t="n"/>
      <c r="D1004" s="37" t="n"/>
      <c r="E1004" s="37" t="n"/>
      <c r="F1004" s="37" t="n"/>
      <c r="G1004" s="37" t="n"/>
      <c r="H1004" s="37" t="n"/>
      <c r="I1004" s="38">
        <f>IF($A1004="","",IFERROR(ROUND($H1004*((INDEX(tblKurallar[deger_2025],MATCH("IFF-001",tblKurallar[kural_id],0))+(1-INDEX(tblKurallar[deger_2025],MATCH("IFF-001",tblKurallar[kural_id],0)))*IF($C1004=0,0,$D1004/$C1004))-1),iff_yuvarMax),0))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E6:E20">
    <cfRule type="cellIs" priority="4" operator="lessThan" dxfId="3">
      <formula>0</formula>
    </cfRule>
  </conditionalFormatting>
  <conditionalFormatting sqref="F6:F20">
    <cfRule type="cellIs" priority="5" operator="lessThan" dxfId="3">
      <formula>0</formula>
    </cfRule>
  </conditionalFormatting>
  <conditionalFormatting sqref="G6:G20">
    <cfRule type="cellIs" priority="6" operator="lessThan" dxfId="3">
      <formula>0</formula>
    </cfRule>
  </conditionalFormatting>
  <conditionalFormatting sqref="H6:H20">
    <cfRule type="cellIs" priority="7" operator="lessThan" dxfId="3">
      <formula>0</formula>
    </cfRule>
  </conditionalFormatting>
  <conditionalFormatting sqref="I6:I20">
    <cfRule type="cellIs" priority="8" operator="lessThan" dxfId="3">
      <formula>0</formula>
    </cfRule>
    <cfRule type="cellIs" priority="9" operator="greaterThan" dxfId="5">
      <formula>0</formula>
    </cfRule>
  </conditionalFormatting>
  <dataValidations count="7">
    <dataValidation sqref="B6:B1004" showDropDown="0" showInputMessage="1" showErrorMessage="1" allowBlank="1" errorTitle="Geçersiz" error="0 ile 1e12 arasında." promptTitle="Sözleşme" prompt="Sözleşme değerini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0 ile 1e12 arasında." promptTitle="Baz" prompt="Baz değerini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0 ile 1e12 arasında." promptTitle="Güncel" prompt="Güncel değerini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 ile 1e12 arasında." promptTitle="İşçilik" prompt="İşçilik değerini girin." type="decimal" errorStyle="stop" operator="between">
      <formula1>0</formula1>
      <formula2>1000000000000</formula2>
    </dataValidation>
    <dataValidation sqref="F6:F1004" showDropDown="0" showInputMessage="1" showErrorMessage="1" allowBlank="1" errorTitle="Geçersiz" error="0 ile 1e12 arasında." promptTitle="Malzeme" prompt="Malzeme değerini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" error="0 ile 1e12 arasında." promptTitle="Akaryakıt" prompt="Akaryakıt değerini girin." type="decimal" errorStyle="stop" operator="between">
      <formula1>0</formula1>
      <formula2>1000000000000</formula2>
    </dataValidation>
    <dataValidation sqref="H6:H1004" showDropDown="0" showInputMessage="1" showErrorMessage="1" allowBlank="1" errorTitle="Geçersiz" error="0 ile 1e12 arasında." promptTitle="Hakediş" prompt="Hakediş değerini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595959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</cols>
  <sheetData>
    <row r="1" ht="26" customHeight="1">
      <c r="A1" s="1" t="inlineStr">
        <is>
          <t>LISTELER — İhale Fiyat Farkı (Eskalasyon) Pro</t>
        </is>
      </c>
    </row>
    <row r="3">
      <c r="A3" s="10" t="inlineStr">
        <is>
          <t>Doğrulama listeleri</t>
        </is>
      </c>
    </row>
    <row r="5">
      <c r="A5" s="52" t="inlineStr">
        <is>
          <t>Yıllar</t>
        </is>
      </c>
      <c r="C5" s="52" t="inlineStr">
        <is>
          <t>Yorum A/B</t>
        </is>
      </c>
      <c r="E5" s="52" t="inlineStr">
        <is>
          <t>Evet/Hayır</t>
        </is>
      </c>
    </row>
    <row r="6">
      <c r="A6" s="63" t="n">
        <v>2025</v>
      </c>
      <c r="C6" s="61" t="inlineStr">
        <is>
          <t>A</t>
        </is>
      </c>
      <c r="E6" s="61" t="inlineStr">
        <is>
          <t>Evet</t>
        </is>
      </c>
    </row>
    <row r="7">
      <c r="A7" s="63" t="n">
        <v>2026</v>
      </c>
      <c r="C7" s="61" t="inlineStr">
        <is>
          <t>B</t>
        </is>
      </c>
      <c r="E7" s="61" t="inlineStr">
        <is>
          <t>Hayır</t>
        </is>
      </c>
    </row>
    <row r="8">
      <c r="A8" s="63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AD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İhale Fiyat Farkı (Eskalasyon) Pro</t>
        </is>
      </c>
    </row>
    <row r="3">
      <c r="A3" s="9" t="inlineStr">
        <is>
          <t>Parametreler (tek kaynak)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6" t="n">
        <v>2025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4">
        <f>IF(A6="","",IF(B6="","EKSİK","TAM"))</f>
        <v/>
      </c>
    </row>
    <row r="7">
      <c r="A7" s="7" t="inlineStr">
        <is>
          <t>raporTarihi</t>
        </is>
      </c>
      <c r="B7" s="65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4">
        <f>IF(A7="","",IF(B7="","EKSİK","TAM"))</f>
        <v/>
      </c>
    </row>
    <row r="8">
      <c r="A8" s="7" t="inlineStr">
        <is>
          <t>iff_tolerans</t>
        </is>
      </c>
      <c r="B8" s="66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4">
        <f>IF(A8="","",IF(B8="","EKSİK","TAM"))</f>
        <v/>
      </c>
    </row>
    <row r="9">
      <c r="A9" s="7" t="inlineStr">
        <is>
          <t>iff_kacirilanEsik</t>
        </is>
      </c>
      <c r="B9" s="66" t="n">
        <v>50000</v>
      </c>
      <c r="C9" s="7" t="inlineStr">
        <is>
          <t>TL</t>
        </is>
      </c>
      <c r="D9" s="7" t="inlineStr">
        <is>
          <t>PANO fark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4">
        <f>IF(A9="","",IF(B9="","EKSİK","TAM"))</f>
        <v/>
      </c>
    </row>
    <row r="10">
      <c r="A10" s="7" t="inlineStr">
        <is>
          <t>iff_senaryoIyi</t>
        </is>
      </c>
      <c r="B10" s="45" t="n">
        <v>0.9</v>
      </c>
      <c r="C10" s="7" t="inlineStr">
        <is>
          <t>çarpan</t>
        </is>
      </c>
      <c r="D10" s="7" t="inlineStr">
        <is>
          <t>İyimser endeks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4">
        <f>IF(A10="","",IF(B10="","EKSİK","TAM"))</f>
        <v/>
      </c>
    </row>
    <row r="11">
      <c r="A11" s="7" t="inlineStr">
        <is>
          <t>iff_senaryoKotu</t>
        </is>
      </c>
      <c r="B11" s="45" t="n">
        <v>1.1</v>
      </c>
      <c r="C11" s="7" t="inlineStr">
        <is>
          <t>çarpan</t>
        </is>
      </c>
      <c r="D11" s="7" t="inlineStr">
        <is>
          <t>Kötümser endeks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4">
        <f>IF(A11="","",IF(B11="","EKSİK","TAM"))</f>
        <v/>
      </c>
    </row>
    <row r="12">
      <c r="A12" s="7" t="inlineStr">
        <is>
          <t>iff_oranArtisPuan</t>
        </is>
      </c>
      <c r="B12" s="45" t="n">
        <v>0.01</v>
      </c>
      <c r="C12" s="7" t="inlineStr">
        <is>
          <t>oran</t>
        </is>
      </c>
      <c r="D12" s="7" t="inlineStr">
        <is>
          <t>M-SEN sabit +1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4">
        <f>IF(A12="","",IF(B12="","EKSİK","TAM"))</f>
        <v/>
      </c>
    </row>
    <row r="13">
      <c r="A13" s="7" t="inlineStr">
        <is>
          <t>iff_tahminAlt</t>
        </is>
      </c>
      <c r="B13" s="45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4">
        <f>IF(A13="","",IF(B13="","EKSİK","TAM"))</f>
        <v/>
      </c>
    </row>
    <row r="14">
      <c r="A14" s="7" t="inlineStr">
        <is>
          <t>iff_tahminUst</t>
        </is>
      </c>
      <c r="B14" s="45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4">
        <f>IF(A14="","",IF(B14="","EKSİK","TAM"))</f>
        <v/>
      </c>
    </row>
    <row r="15">
      <c r="A15" s="7" t="inlineStr">
        <is>
          <t>iff_tornadoMatrah</t>
        </is>
      </c>
      <c r="B15" s="45" t="n">
        <v>1.05</v>
      </c>
      <c r="C15" s="7" t="inlineStr">
        <is>
          <t>çarpan</t>
        </is>
      </c>
      <c r="D15" s="7" t="inlineStr">
        <is>
          <t>Tornado endeks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4">
        <f>IF(A15="","",IF(B15="","EKSİK","TAM"))</f>
        <v/>
      </c>
    </row>
    <row r="16">
      <c r="A16" s="7" t="inlineStr">
        <is>
          <t>iff_tornadoMevcut</t>
        </is>
      </c>
      <c r="B16" s="45" t="n">
        <v>0.95</v>
      </c>
      <c r="C16" s="7" t="inlineStr">
        <is>
          <t>çarpan</t>
        </is>
      </c>
      <c r="D16" s="7" t="inlineStr">
        <is>
          <t>Tornado hakediş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4">
        <f>IF(A16="","",IF(B16="","EKSİK","TAM"))</f>
        <v/>
      </c>
    </row>
    <row r="17">
      <c r="A17" s="7" t="inlineStr">
        <is>
          <t>iff_isverenOran</t>
        </is>
      </c>
      <c r="B17" s="45" t="n">
        <v>0.1</v>
      </c>
      <c r="C17" s="7" t="inlineStr">
        <is>
          <t>oran</t>
        </is>
      </c>
      <c r="D17" s="7" t="inlineStr">
        <is>
          <t>Yorum B yedek sabit artışı</t>
        </is>
      </c>
      <c r="E17" s="7" t="inlineStr">
        <is>
          <t>Fiyat farkı model</t>
        </is>
      </c>
      <c r="F17" s="7" t="inlineStr">
        <is>
          <t>01.01.2025</t>
        </is>
      </c>
      <c r="G17" s="7" t="inlineStr">
        <is>
          <t>11.08.2026</t>
        </is>
      </c>
      <c r="H17" s="64">
        <f>IF(A17="","",IF(B17="","EKSİK","TAM"))</f>
        <v/>
      </c>
    </row>
    <row r="18">
      <c r="A18" s="7" t="inlineStr">
        <is>
          <t>iff_yuzdelikOran</t>
        </is>
      </c>
      <c r="B18" s="45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64">
        <f>IF(A18="","",IF(B18="","EKSİK","TAM"))</f>
        <v/>
      </c>
    </row>
    <row r="19">
      <c r="A19" s="7" t="inlineStr">
        <is>
          <t>iff_parmakIzi</t>
        </is>
      </c>
      <c r="B19" s="67" t="inlineStr">
        <is>
          <t>f085bbe17c3fc0eb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64">
        <f>IF(A19="","",IF(B19="","EKSİK","TAM"))</f>
        <v/>
      </c>
    </row>
    <row r="20">
      <c r="A20" s="7" t="inlineStr">
        <is>
          <t>dosya_surumu</t>
        </is>
      </c>
      <c r="B20" s="67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64">
        <f>IF(A20="","",IF(B20="","EKSİK","TAM"))</f>
        <v/>
      </c>
    </row>
    <row r="21">
      <c r="A21" s="7" t="inlineStr">
        <is>
          <t>iff_girisBeklenen</t>
        </is>
      </c>
      <c r="B21" s="46" t="n">
        <v>11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64">
        <f>IF(A21="","",IF(B21="","EKSİK","TAM"))</f>
        <v/>
      </c>
    </row>
    <row r="22">
      <c r="A22" s="7" t="inlineStr">
        <is>
          <t>iff_riskDusuk</t>
        </is>
      </c>
      <c r="B22" s="46" t="n">
        <v>15</v>
      </c>
      <c r="C22" s="7" t="inlineStr">
        <is>
          <t>puan</t>
        </is>
      </c>
      <c r="D22" s="7" t="inlineStr">
        <is>
          <t>TALEP ET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64">
        <f>IF(A22="","",IF(B22="","EKSİK","TAM"))</f>
        <v/>
      </c>
    </row>
    <row r="23">
      <c r="A23" s="7" t="inlineStr">
        <is>
          <t>iff_riskOrta</t>
        </is>
      </c>
      <c r="B23" s="46" t="n">
        <v>55</v>
      </c>
      <c r="C23" s="7" t="inlineStr">
        <is>
          <t>puan</t>
        </is>
      </c>
      <c r="D23" s="7" t="inlineStr">
        <is>
          <t>BEKLE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4">
        <f>IF(A23="","",IF(B23="","EKSİK","TAM"))</f>
        <v/>
      </c>
    </row>
    <row r="24">
      <c r="A24" s="7" t="inlineStr">
        <is>
          <t>iff_riskYuksek</t>
        </is>
      </c>
      <c r="B24" s="46" t="n">
        <v>85</v>
      </c>
      <c r="C24" s="7" t="inlineStr">
        <is>
          <t>puan</t>
        </is>
      </c>
      <c r="D24" s="7" t="inlineStr">
        <is>
          <t>VAZGEÇ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4">
        <f>IF(A24="","",IF(B24="","EKSİK","TAM"))</f>
        <v/>
      </c>
    </row>
    <row r="25">
      <c r="A25" s="7" t="inlineStr">
        <is>
          <t>iff_riskEsikOran</t>
        </is>
      </c>
      <c r="B25" s="45" t="n">
        <v>0.5</v>
      </c>
      <c r="C25" s="7" t="inlineStr">
        <is>
          <t>oran</t>
        </is>
      </c>
      <c r="D25" s="7" t="inlineStr">
        <is>
          <t>Yedek risk oranı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4">
        <f>IF(A25="","",IF(B25="","EKSİK","TAM"))</f>
        <v/>
      </c>
    </row>
    <row r="26">
      <c r="A26" s="7" t="inlineStr">
        <is>
          <t>iff_yilTaban</t>
        </is>
      </c>
      <c r="B26" s="46" t="n">
        <v>2024</v>
      </c>
      <c r="C26" s="7" t="inlineStr">
        <is>
          <t>yıl</t>
        </is>
      </c>
      <c r="D26" s="7" t="inlineStr">
        <is>
          <t>CHOOSE yıl tabanı (hesapYili−taban)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4">
        <f>IF(A26="","",IF(B26="","EKSİK","TAM"))</f>
        <v/>
      </c>
    </row>
    <row r="27">
      <c r="A27" s="7" t="inlineStr">
        <is>
          <t>iff_yuvarMax</t>
        </is>
      </c>
      <c r="B27" s="46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64">
        <f>IF(A27="","",IF(B27="","EKSİK","TAM"))</f>
        <v/>
      </c>
    </row>
    <row r="28">
      <c r="A28" s="7" t="inlineStr">
        <is>
          <t>iff_dayanakCarpan</t>
        </is>
      </c>
      <c r="B28" s="46" t="n">
        <v>10</v>
      </c>
      <c r="C28" s="7" t="inlineStr">
        <is>
          <t>adet</t>
        </is>
      </c>
      <c r="D28" s="7" t="inlineStr">
        <is>
          <t>Yedek çarpan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64">
        <f>IF(A28="","",IF(B28="","EKSİK","TAM"))</f>
        <v/>
      </c>
    </row>
    <row r="29">
      <c r="A29" s="7" t="inlineStr">
        <is>
          <t>iff_bazCarpan</t>
        </is>
      </c>
      <c r="B29" s="45" t="n">
        <v>1</v>
      </c>
      <c r="C29" s="7" t="inlineStr">
        <is>
          <t>çarpan</t>
        </is>
      </c>
      <c r="D29" s="7" t="inlineStr">
        <is>
          <t>Baz senaryo çarpanı</t>
        </is>
      </c>
      <c r="E29" s="7" t="inlineStr">
        <is>
          <t>Model varsayımı</t>
        </is>
      </c>
      <c r="F29" s="7" t="inlineStr">
        <is>
          <t>01.01.2025</t>
        </is>
      </c>
      <c r="G29" s="7" t="inlineStr">
        <is>
          <t>11.08.2026</t>
        </is>
      </c>
      <c r="H29" s="64">
        <f>IF(A29="","",IF(B29="","EKSİK","TAM"))</f>
        <v/>
      </c>
    </row>
    <row r="30">
      <c r="A30" s="7" t="inlineStr">
        <is>
          <t>iff_sifirCarpan</t>
        </is>
      </c>
      <c r="B30" s="45" t="n">
        <v>0</v>
      </c>
      <c r="C30" s="7" t="inlineStr">
        <is>
          <t>çarpan</t>
        </is>
      </c>
      <c r="D30" s="7" t="inlineStr">
        <is>
          <t>Nötr çarpan (sıfır)</t>
        </is>
      </c>
      <c r="E30" s="7" t="inlineStr">
        <is>
          <t>Model varsayımı</t>
        </is>
      </c>
      <c r="F30" s="7" t="inlineStr">
        <is>
          <t>01.01.2025</t>
        </is>
      </c>
      <c r="G30" s="7" t="inlineStr">
        <is>
          <t>11.08.2026</t>
        </is>
      </c>
      <c r="H30" s="64">
        <f>IF(A30="","",IF(B30="","EKSİK","TAM"))</f>
        <v/>
      </c>
    </row>
    <row r="31">
      <c r="A31" s="7" t="inlineStr">
        <is>
          <t>iff_siraBir</t>
        </is>
      </c>
      <c r="B31" s="46" t="n">
        <v>1</v>
      </c>
      <c r="C31" s="7" t="inlineStr">
        <is>
          <t>adet</t>
        </is>
      </c>
      <c r="D31" s="7" t="inlineStr">
        <is>
          <t>Tornado sıra 1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4">
        <f>IF(A31="","",IF(B31="","EKSİK","TAM"))</f>
        <v/>
      </c>
    </row>
    <row r="32">
      <c r="A32" s="7" t="inlineStr">
        <is>
          <t>iff_siraIki</t>
        </is>
      </c>
      <c r="B32" s="46" t="n">
        <v>2</v>
      </c>
      <c r="C32" s="7" t="inlineStr">
        <is>
          <t>adet</t>
        </is>
      </c>
      <c r="D32" s="7" t="inlineStr">
        <is>
          <t>Tornado sıra 2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64">
        <f>IF(A32="","",IF(B32="","EKSİK","TAM"))</f>
        <v/>
      </c>
    </row>
    <row r="33">
      <c r="A33" s="7" t="inlineStr">
        <is>
          <t>iff_siraUc</t>
        </is>
      </c>
      <c r="B33" s="46" t="n">
        <v>3</v>
      </c>
      <c r="C33" s="7" t="inlineStr">
        <is>
          <t>adet</t>
        </is>
      </c>
      <c r="D33" s="7" t="inlineStr">
        <is>
          <t>Tornado sıra 3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64">
        <f>IF(A33="","",IF(B33="","EKSİK","TAM"))</f>
        <v/>
      </c>
    </row>
    <row r="34">
      <c r="A34" s="7" t="inlineStr">
        <is>
          <t>iff_tahminX</t>
        </is>
      </c>
      <c r="B34" s="46" t="n">
        <v>5</v>
      </c>
      <c r="C34" s="7" t="inlineStr">
        <is>
          <t>adet</t>
        </is>
      </c>
      <c r="D34" s="7" t="inlineStr">
        <is>
          <t>FORECAST X noktası</t>
        </is>
      </c>
      <c r="E34" s="7" t="inlineStr">
        <is>
          <t>Model varsayımı</t>
        </is>
      </c>
      <c r="F34" s="7" t="inlineStr">
        <is>
          <t>01.01.2025</t>
        </is>
      </c>
      <c r="G34" s="7" t="inlineStr">
        <is>
          <t>11.08.2026</t>
        </is>
      </c>
      <c r="H34" s="64">
        <f>IF(A34="","",IF(B34="","EKSİK","TAM"))</f>
        <v/>
      </c>
    </row>
    <row r="35">
      <c r="A35" s="7" t="inlineStr">
        <is>
          <t>vaka_matrah_1</t>
        </is>
      </c>
      <c r="B35" s="66" t="n">
        <v>100000</v>
      </c>
      <c r="C35" s="7" t="inlineStr">
        <is>
          <t>TL</t>
        </is>
      </c>
      <c r="D35" s="7" t="inlineStr">
        <is>
          <t>Vaka1 hakediş</t>
        </is>
      </c>
      <c r="E35" s="7" t="inlineStr">
        <is>
          <t>Tebliğ örneği</t>
        </is>
      </c>
      <c r="F35" s="7" t="inlineStr">
        <is>
          <t>01.01.2025</t>
        </is>
      </c>
      <c r="G35" s="7" t="inlineStr">
        <is>
          <t>11.08.2026</t>
        </is>
      </c>
      <c r="H35" s="64">
        <f>IF(A35="","",IF(B35="","EKSİK","TAM"))</f>
        <v/>
      </c>
    </row>
    <row r="36">
      <c r="A36" s="7" t="inlineStr">
        <is>
          <t>vaka_matrah_2</t>
        </is>
      </c>
      <c r="B36" s="66" t="n">
        <v>200000</v>
      </c>
      <c r="C36" s="7" t="inlineStr">
        <is>
          <t>TL</t>
        </is>
      </c>
      <c r="D36" s="7" t="inlineStr">
        <is>
          <t>Vaka2 hakediş</t>
        </is>
      </c>
      <c r="E36" s="7" t="inlineStr">
        <is>
          <t>Tebliğ örneği</t>
        </is>
      </c>
      <c r="F36" s="7" t="inlineStr">
        <is>
          <t>01.01.2025</t>
        </is>
      </c>
      <c r="G36" s="7" t="inlineStr">
        <is>
          <t>11.08.2026</t>
        </is>
      </c>
      <c r="H36" s="64">
        <f>IF(A36="","",IF(B36="","EKSİK","TAM"))</f>
        <v/>
      </c>
    </row>
    <row r="37">
      <c r="A37" s="7" t="inlineStr">
        <is>
          <t>vaka_tavan</t>
        </is>
      </c>
      <c r="B37" s="66" t="n">
        <v>150000</v>
      </c>
      <c r="C37" s="7" t="inlineStr">
        <is>
          <t>TL</t>
        </is>
      </c>
      <c r="D37" s="7" t="inlineStr">
        <is>
          <t>Vaka4 tavan</t>
        </is>
      </c>
      <c r="E37" s="7" t="inlineStr">
        <is>
          <t>Tebliğ örneği</t>
        </is>
      </c>
      <c r="F37" s="7" t="inlineStr">
        <is>
          <t>01.01.2025</t>
        </is>
      </c>
      <c r="G37" s="7" t="inlineStr">
        <is>
          <t>11.08.2026</t>
        </is>
      </c>
      <c r="H37" s="64">
        <f>IF(A37="","",IF(B37="","EKSİK","TAM"))</f>
        <v/>
      </c>
    </row>
    <row r="38">
      <c r="A38" s="7" t="inlineStr">
        <is>
          <t>vaka_endeks_orani</t>
        </is>
      </c>
      <c r="B38" s="45" t="n">
        <v>1.1</v>
      </c>
      <c r="C38" s="7" t="inlineStr">
        <is>
          <t>çarpan</t>
        </is>
      </c>
      <c r="D38" s="7" t="inlineStr">
        <is>
          <t>Vaka1/3 endeks oranı</t>
        </is>
      </c>
      <c r="E38" s="7" t="inlineStr">
        <is>
          <t>Tebliğ örneği</t>
        </is>
      </c>
      <c r="F38" s="7" t="inlineStr">
        <is>
          <t>01.01.2025</t>
        </is>
      </c>
      <c r="G38" s="7" t="inlineStr">
        <is>
          <t>11.08.2026</t>
        </is>
      </c>
      <c r="H38" s="64">
        <f>IF(A38="","",IF(B38="","EKSİK","TAM"))</f>
        <v/>
      </c>
    </row>
    <row r="40">
      <c r="B40" s="68" t="inlineStr">
        <is>
          <t>Parametre satırları yukarıda; ad tanımları B kolonuna bağlı.</t>
        </is>
      </c>
    </row>
    <row r="42">
      <c r="B42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Fark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KILAVUZ — İhale Fiyat Farkı (Eskalasyon) Pro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TALEP ET — fiyat farkı oranı talep eşiğinin üzerinde; talep dosyası hazırlayın.</t>
        </is>
      </c>
    </row>
    <row r="7">
      <c r="A7" s="6" t="inlineStr">
        <is>
          <t>• BEKLE — fark bekle bandında; endeks ve hakediş dönemini izleyin.</t>
        </is>
      </c>
    </row>
    <row r="8">
      <c r="A8" s="6" t="inlineStr">
        <is>
          <t>• VAZGEÇ — fark düşük veya olumsuz; talep maliyetine değmeyebilir.</t>
        </is>
      </c>
    </row>
    <row r="10">
      <c r="A10" s="69" t="inlineStr">
        <is>
          <t>Belirsizlik beyanları (M05)</t>
        </is>
      </c>
    </row>
    <row r="11">
      <c r="A11" s="12" t="inlineStr">
        <is>
          <t>Bu nokta mevzuatta tartışmalıdır; dosya yorum A ve yorum B sonucunu yan yana gösterir: endeks_secimi</t>
        </is>
      </c>
    </row>
    <row r="13">
      <c r="A13" s="10" t="inlineStr">
        <is>
          <t>Yorum A</t>
        </is>
      </c>
      <c r="B13" s="6" t="inlineStr">
        <is>
          <t>Pn = sabit pay + (1 − sabit pay) × (güncel endeks / baz endeks); fiyat farkı = hakediş × (Pn − 1). Endeks seçimi tartışmalıdır; yorum B ile yan yana okunmalıdır.</t>
        </is>
      </c>
    </row>
    <row r="14">
      <c r="A14" s="10" t="inlineStr">
        <is>
          <t>Yorum B</t>
        </is>
      </c>
      <c r="B14" s="6" t="inlineStr">
        <is>
          <t>Yorum B, sabit payı +1 puan sıkılaştırır. Dosya her iki yorumun sonucunu MOTOR'da üretir.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(gerekirse) → MOTOR (inceleme) → SENARYO → VAKALAR → PANO → KANIT_RAPORU → AYARLAR.</t>
        </is>
      </c>
    </row>
    <row r="19">
      <c r="A19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7:T7"/>
    <mergeCell ref="B13:J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2026-08-10T22:19:52Z</dcterms:created>
  <dcterms:modified xmlns:dcterms="http://purl.org/dc/terms/" xmlns:xsi="http://www.w3.org/2001/XMLSchema-instance" xsi:type="dcterms:W3CDTF">2026-09-25T15:13:37Z</dcterms:modified>
</cp:coreProperties>
</file>