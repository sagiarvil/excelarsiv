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iff_hakedisTutari">GIRDI!$B$15</definedName>
    <definedName name="iff_fiyatFarki">MOTOR!$G$28</definedName>
    <definedName name="iff_kacirilan">MOTOR!$G$30</definedName>
    <definedName name="iff_kararMetni">MOTOR!$G$34</definedName>
    <definedName name="iff_kararGerekce">MOTOR!$G$35</definedName>
    <definedName name="iff_maddeAtifMetni">MOTOR!$G$52</definedName>
    <definedName name="iff_kanitRaporu">MOTOR!$G$53</definedName>
    <definedName name="iff_kuralYilMatris">KURALLAR!$B$17</definedName>
    <definedName name="iff_parmakIzi">AYARLAR!$B$19</definedName>
    <definedName name="iff_senaryoKarsilastirma">SENARYO!$B$11</definedName>
    <definedName name="iff_yorumSenaryo">SENARYO!$B$12</definedName>
    <definedName name="iff_duyarlilikSira">SENARYO!$B$19</definedName>
    <definedName name="iff_yorumDuyarlilik">SENARYO!$B$20</definedName>
    <definedName name="iff_kuralDegisimSenaryo">SENARYO!$B$22</definedName>
    <definedName name="iff_yorumKuralDegisim">SENARYO!$B$23</definedName>
    <definedName name="iff_tahminAralik">SENARYO!$B$32</definedName>
    <definedName name="iff_yorumTahmin">SENARYO!$B$33</definedName>
    <definedName name="iff_vakaDurum">VAKALAR!$B$12</definedName>
    <definedName name="iff_vakaFark">VAKALAR!$B$13</definedName>
    <definedName name="iff_tolerans">AYARLAR!$B$8</definedName>
    <definedName name="iff_kacirilanEsik">AYARLAR!$B$9</definedName>
    <definedName name="iff_senaryoIyi">AYARLAR!$B$10</definedName>
    <definedName name="iff_senaryoKotu">AYARLAR!$B$11</definedName>
    <definedName name="iff_oranArtisPuan">AYARLAR!$B$12</definedName>
    <definedName name="iff_tahminAlt">AYARLAR!$B$13</definedName>
    <definedName name="iff_tahminUst">AYARLAR!$B$14</definedName>
    <definedName name="iff_tornadoMatrah">AYARLAR!$B$15</definedName>
    <definedName name="iff_tornadoMevcut">AYARLAR!$B$16</definedName>
    <definedName name="iff_isverenOran">AYARLAR!$B$17</definedName>
    <definedName name="iff_yuzdelikOran">AYARLAR!$B$18</definedName>
    <definedName name="iff_girisBeklenen">AYARLAR!$B$21</definedName>
    <definedName name="iff_riskDusuk">AYARLAR!$B$22</definedName>
    <definedName name="iff_riskOrta">AYARLAR!$B$23</definedName>
    <definedName name="iff_riskYuksek">AYARLAR!$B$24</definedName>
    <definedName name="iff_riskEsikOran">AYARLAR!$B$25</definedName>
    <definedName name="iff_yilTaban">AYARLAR!$B$26</definedName>
    <definedName name="iff_yuvarMax">AYARLAR!$B$27</definedName>
    <definedName name="iff_dayanakCarpan">AYARLAR!$B$28</definedName>
    <definedName name="iff_bazCarpan">AYARLAR!$B$29</definedName>
    <definedName name="iff_sifirCarpan">AYARLAR!$B$30</definedName>
    <definedName name="iff_siraBir">AYARLAR!$B$31</definedName>
    <definedName name="iff_siraIki">AYARLAR!$B$32</definedName>
    <definedName name="iff_siraUc">AYARLAR!$B$33</definedName>
    <definedName name="iff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iff_modulT1">PANO!$C$11</definedName>
    <definedName name="iff_modulT1Yorum">PANO!$D$11</definedName>
    <definedName name="iff_modulT2">PANO!$C$12</definedName>
    <definedName name="iff_modulT2Yorum">PANO!$D$12</definedName>
    <definedName name="iff_modulO1">PANO!$C$13</definedName>
    <definedName name="iff_modulO1Yorum">PANO!$D$13</definedName>
    <definedName name="iff_modulO6">PANO!$C$16</definedName>
    <definedName name="iff_modulO6Yorum">PANO!$D$16</definedName>
    <definedName name="iff_modulO8">PANO!$C$17</definedName>
    <definedName name="iff_modulO8Yorum">PANO!$D$17</definedName>
    <definedName name="iff_modulI2">PANO!$C$20</definedName>
    <definedName name="iff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6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Fiyat Farkı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6" authorId="0" shapeId="0">
      <text>
        <t>Tanım: Adım 2 — Karar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7" authorId="0" shapeId="0">
      <text>
        <t>Tanım: Adım 3 — Kanıt | Neden önemli: Fiyat farkı / eskalasyon kararını etkiler | Doğru kullanım: Sırayla izleyin | Örnek: demo satırına bakın | Yanlışsa: Fiyat farkı ve karar bozulur | Kaynak: [Assumption] KİK fiyat farkı cetveli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/ İş Adı | Neden önemli: Fiyat farkı / eskalasyon kararını etkiler | Doğru kullanım: İhale veya iş adını yazın. | Örnek: demo satırına bakın | Yanlışsa: Fiyat farkı ve karar bozulur | Kaynak: [Assumption] KİK fiyat farkı cetveli</t>
      </text>
    </comment>
    <comment ref="B7" authorId="0" shapeId="0">
      <text>
        <t>Tanım: Hakediş Dönemi | Neden önemli: Fiyat farkı / eskalasyon kararını etkiler | Doğru kullanım: Hakediş dönem referansını yazın (ör. 2025-HK-03). | Örnek: demo satırına bakın | Yanlışsa: Fiyat farkı ve karar bozulur | Kaynak: [Assumption] KİK fiyat farkı cetveli</t>
      </text>
    </comment>
    <comment ref="B8" authorId="0" shapeId="0">
      <text>
        <t>Tanım: Hesap Yılı | Neden önemli: Fiyat farkı / eskalasyon kararını etkiler | Doğru kullanım: 2025, 2026 veya 2027 seçin. | Örnek: demo satırına bakın | Yanlışsa: Fiyat farkı ve karar bozulur | Kaynak: [Assumption] KİK fiyat farkı cetveli</t>
      </text>
    </comment>
    <comment ref="B9" authorId="0" shapeId="0">
      <text>
        <t>Tanım: Sözleşme Bedeli [₺] | Neden önemli: Fiyat farkı / eskalasyon kararını etkiler | Doğru kullanım: Sözleşme bedelini KDV hariç TL girin. | Örnek: demo satırına bakın | Yanlışsa: Fiyat farkı ve karar bozulur | Kaynak: [Assumption] KİK fiyat farkı cetveli</t>
      </text>
    </comment>
    <comment ref="B10" authorId="0" shapeId="0">
      <text>
        <t>Tanım: Baz Endeks | Neden önemli: Fiyat farkı / eskalasyon kararını etkiler | Doğru kullanım: Sözleşme / ihale tarihindeki baz endeksi girin. | Örnek: demo satırına bakın | Yanlışsa: Fiyat farkı ve karar bozulur | Kaynak: [Assumption] KİK fiyat farkı cetveli</t>
      </text>
    </comment>
    <comment ref="B11" authorId="0" shapeId="0">
      <text>
        <t>Tanım: Güncel Endeks | Neden önemli: Fiyat farkı / eskalasyon kararını etkiler | Doğru kullanım: Hakediş dönemindeki güncel endeksi girin. | Örnek: demo satırına bakın | Yanlışsa: Fiyat farkı ve karar bozulur | Kaynak: [Assumption] KİK fiyat farkı cetveli</t>
      </text>
    </comment>
    <comment ref="B12" authorId="0" shapeId="0">
      <text>
        <t>Tanım: İşçilik Ağırlığı [%] | Neden önemli: Fiyat farkı / eskalasyon kararını etkiler | Doğru kullanım: İşçilik kalem ağırlığını 0-1 veya yüzde olarak girin. | Örnek: demo satırına bakın | Yanlışsa: Fiyat farkı ve karar bozulur | Kaynak: [Assumption] KİK fiyat farkı cetveli</t>
      </text>
    </comment>
    <comment ref="B13" authorId="0" shapeId="0">
      <text>
        <t>Tanım: Malzeme Ağırlığı [%] | Neden önemli: Fiyat farkı / eskalasyon kararını etkiler | Doğru kullanım: Malzeme kalem ağırlığını girin. | Örnek: demo satırına bakın | Yanlışsa: Fiyat farkı ve karar bozulur | Kaynak: [Assumption] KİK fiyat farkı cetveli</t>
      </text>
    </comment>
    <comment ref="B14" authorId="0" shapeId="0">
      <text>
        <t>Tanım: Akaryakıt Ağırlığı [%] | Neden önemli: Fiyat farkı / eskalasyon kararını etkiler | Doğru kullanım: Akaryakıt kalem ağırlığını girin. | Örnek: demo satırına bakın | Yanlışsa: Fiyat farkı ve karar bozulur | Kaynak: [Assumption] KİK fiyat farkı cetveli</t>
      </text>
    </comment>
    <comment ref="B15" authorId="0" shapeId="0">
      <text>
        <t>Tanım: Hakediş Tutarı [₺] | Neden önemli: Fiyat farkı / eskalasyon kararını etkiler | Doğru kullanım: Dönem hakediş tutarını TL girin. | Örnek: demo satırına bakın | Yanlışsa: Fiyat farkı ve karar bozulur | Kaynak: [Assumption] KİK fiyat farkı cetveli</t>
      </text>
    </comment>
    <comment ref="B16" authorId="0" shapeId="0">
      <text>
        <t>Tanım: Yorum Modu (A/B) | Neden önemli: Fiyat farkı / eskalasyon kararını etkiler | Doğru kullanım: Endeks yorumu A (standart) veya B (sıkı sabit pay) seçin. | Örnek: demo satırına bakın | Yanlışsa: Fiyat farkı ve karar bozulur | Kaynak: [Assumption] KİK fiyat farkı cetveli</t>
      </text>
    </comment>
    <comment ref="A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Fiyat farkı / eskalasyon kararını etkiler | Doğru kullanım: Raporu hazırlayan kişinin adını yazın. | Örnek: demo satırına bakın | Yanlışsa: Fiyat farkı ve karar bozulur | Kaynak: [Assumption] KİK fiyat farkı cetveli</t>
      </text>
    </comment>
    <comment ref="B30" authorId="0" shapeId="0">
      <text>
        <t>Tanım: Onay | Neden önemli: Fiyat farkı / eskalasyon kararını etkiler | Doğru kullanım: Onaylayan kişinin adını yazın. | Örnek: demo satırına bakın | Yanlışsa: Fiyat farkı ve karar bozulur | Kaynak: [Assumption] KİK fiyat farkı cetveli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sözleşme bedeli?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Baz endeks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6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6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6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6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6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6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6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7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7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7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7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7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7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7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7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8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8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8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8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8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8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8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8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9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9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9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9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9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9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9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9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0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10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10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10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10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10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10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10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6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6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7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7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7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8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Fiyat farkı / eskalasyon kararını etkiler | Doğru kullanım: Aktif hesap yılı | Örnek: demo satırına bakın | Yanlışsa: Fiyat farkı ve karar bozulur | Kaynak: [Assumption] KİK fiyat farkı cetveli</t>
      </text>
    </comment>
    <comment ref="B7" authorId="0" shapeId="0">
      <text>
        <t>Tanım: raporTarihi | Neden önemli: Fiyat farkı / eskalasyon kararını etkiler | Doğru kullanım: Rapor tarihi (sabit) | Örnek: demo satırına bakın | Yanlışsa: Fiyat farkı ve karar bozulur | Kaynak: [Assumption] KİK fiyat farkı cetveli</t>
      </text>
    </comment>
    <comment ref="B8" authorId="0" shapeId="0">
      <text>
        <t>Tanım: iff_tolerans | Neden önemli: Fiyat farkı / eskalasyon kararını etkiler | Doğru kullanım: Vaka tutarlılık toleransı | Örnek: demo satırına bakın | Yanlışsa: Fiyat farkı ve karar bozulur | Kaynak: [Assumption] KİK fiyat farkı cetveli</t>
      </text>
    </comment>
    <comment ref="B9" authorId="0" shapeId="0">
      <text>
        <t>Tanım: iff_kacirilanEsik | Neden önemli: Fiyat farkı / eskalasyon kararını etkiler | Doğru kullanım: PANO fark uyarı eşiği | Örnek: demo satırına bakın | Yanlışsa: Fiyat farkı ve karar bozulur | Kaynak: [Assumption] KİK fiyat farkı cetveli</t>
      </text>
    </comment>
    <comment ref="B10" authorId="0" shapeId="0">
      <text>
        <t>Tanım: iff_senaryoIyi | Neden önemli: Fiyat farkı / eskalasyon kararını etkiler | Doğru kullanım: İyimser endeks çarpanı | Örnek: demo satırına bakın | Yanlışsa: Fiyat farkı ve karar bozulur | Kaynak: [Assumption] KİK fiyat farkı cetveli</t>
      </text>
    </comment>
    <comment ref="B11" authorId="0" shapeId="0">
      <text>
        <t>Tanım: iff_senaryoKotu | Neden önemli: Fiyat farkı / eskalasyon kararını etkiler | Doğru kullanım: Kötümser endeks çarpanı | Örnek: demo satırına bakın | Yanlışsa: Fiyat farkı ve karar bozulur | Kaynak: [Assumption] KİK fiyat farkı cetveli</t>
      </text>
    </comment>
    <comment ref="B12" authorId="0" shapeId="0">
      <text>
        <t>Tanım: iff_oranArtisPuan | Neden önemli: Fiyat farkı / eskalasyon kararını etkiler | Doğru kullanım: M-SEN sabit +1 puan | Örnek: demo satırına bakın | Yanlışsa: Fiyat farkı ve karar bozulur | Kaynak: [Assumption] KİK fiyat farkı cetveli</t>
      </text>
    </comment>
    <comment ref="B13" authorId="0" shapeId="0">
      <text>
        <t>Tanım: iff_tahminAlt | Neden önemli: Fiyat farkı / eskalasyon kararını etkiler | Doğru kullanım: Tahmin alt bant | Örnek: demo satırına bakın | Yanlışsa: Fiyat farkı ve karar bozulur | Kaynak: [Assumption] KİK fiyat farkı cetveli</t>
      </text>
    </comment>
    <comment ref="B14" authorId="0" shapeId="0">
      <text>
        <t>Tanım: iff_tahminUst | Neden önemli: Fiyat farkı / eskalasyon kararını etkiler | Doğru kullanım: Tahmin üst bant | Örnek: demo satırına bakın | Yanlışsa: Fiyat farkı ve karar bozulur | Kaynak: [Assumption] KİK fiyat farkı cetveli</t>
      </text>
    </comment>
    <comment ref="B15" authorId="0" shapeId="0">
      <text>
        <t>Tanım: iff_tornadoMatrah | Neden önemli: Fiyat farkı / eskalasyon kararını etkiler | Doğru kullanım: Tornado endeks şoku | Örnek: demo satırına bakın | Yanlışsa: Fiyat farkı ve karar bozulur | Kaynak: [Assumption] KİK fiyat farkı cetveli</t>
      </text>
    </comment>
    <comment ref="B16" authorId="0" shapeId="0">
      <text>
        <t>Tanım: iff_tornadoMevcut | Neden önemli: Fiyat farkı / eskalasyon kararını etkiler | Doğru kullanım: Tornado hakediş şoku | Örnek: demo satırına bakın | Yanlışsa: Fiyat farkı ve karar bozulur | Kaynak: [Assumption] KİK fiyat farkı cetveli</t>
      </text>
    </comment>
    <comment ref="B17" authorId="0" shapeId="0">
      <text>
        <t>Tanım: iff_isverenOran | Neden önemli: Fiyat farkı / eskalasyon kararını etkiler | Doğru kullanım: Yorum B yedek sabit artışı | Örnek: demo satırına bakın | Yanlışsa: Fiyat farkı ve karar bozulur | Kaynak: [Assumption] KİK fiyat farkı cetveli</t>
      </text>
    </comment>
    <comment ref="B18" authorId="0" shapeId="0">
      <text>
        <t>Tanım: iff_yuzdelikOran | Neden önemli: Fiyat farkı / eskalasyon kararını etkiler | Doğru kullanım: Yüzdelik P90 | Örnek: demo satırına bakın | Yanlışsa: Fiyat farkı ve karar bozulur | Kaynak: [Assumption] KİK fiyat farkı cetveli</t>
      </text>
    </comment>
    <comment ref="B19" authorId="0" shapeId="0">
      <text>
        <t>Tanım: iff_parmakIzi | Neden önemli: Fiyat farkı / eskalasyon kararını etkiler | Doğru kullanım: Dosya parmak izi etiketi | Örnek: demo satırına bakın | Yanlışsa: Fiyat farkı ve karar bozulur | Kaynak: [Assumption] KİK fiyat farkı cetveli</t>
      </text>
    </comment>
    <comment ref="B20" authorId="0" shapeId="0">
      <text>
        <t>Tanım: dosya_surumu | Neden önemli: Fiyat farkı / eskalasyon kararını etkiler | Doğru kullanım: Ürün sürümü | Örnek: demo satırına bakın | Yanlışsa: Fiyat farkı ve karar bozulur | Kaynak: [Assumption] KİK fiyat farkı cetveli</t>
      </text>
    </comment>
    <comment ref="B21" authorId="0" shapeId="0">
      <text>
        <t>Tanım: iff_girisBeklenen | Neden önemli: Fiyat farkı / eskalasyon kararını etkiler | Doğru kullanım: Zorunlu giriş alanı sayısı | Örnek: demo satırına bakın | Yanlışsa: Fiyat farkı ve karar bozulur | Kaynak: [Assumption] KİK fiyat farkı cetveli</t>
      </text>
    </comment>
    <comment ref="B22" authorId="0" shapeId="0">
      <text>
        <t>Tanım: iff_riskDusuk | Neden önemli: Fiyat farkı / eskalasyon kararını etkiler | Doğru kullanım: TALEP ET risk skoru | Örnek: demo satırına bakın | Yanlışsa: Fiyat farkı ve karar bozulur | Kaynak: [Assumption] KİK fiyat farkı cetveli</t>
      </text>
    </comment>
    <comment ref="B23" authorId="0" shapeId="0">
      <text>
        <t>Tanım: iff_riskOrta | Neden önemli: Fiyat farkı / eskalasyon kararını etkiler | Doğru kullanım: BEKLE risk skoru | Örnek: demo satırına bakın | Yanlışsa: Fiyat farkı ve karar bozulur | Kaynak: [Assumption] KİK fiyat farkı cetveli</t>
      </text>
    </comment>
    <comment ref="B24" authorId="0" shapeId="0">
      <text>
        <t>Tanım: iff_riskYuksek | Neden önemli: Fiyat farkı / eskalasyon kararını etkiler | Doğru kullanım: VAZGEÇ risk skoru | Örnek: demo satırına bakın | Yanlışsa: Fiyat farkı ve karar bozulur | Kaynak: [Assumption] KİK fiyat farkı cetveli</t>
      </text>
    </comment>
    <comment ref="B25" authorId="0" shapeId="0">
      <text>
        <t>Tanım: iff_riskEsikOran | Neden önemli: Fiyat farkı / eskalasyon kararını etkiler | Doğru kullanım: Yedek risk oranı | Örnek: demo satırına bakın | Yanlışsa: Fiyat farkı ve karar bozulur | Kaynak: [Assumption] KİK fiyat farkı cetveli</t>
      </text>
    </comment>
    <comment ref="B26" authorId="0" shapeId="0">
      <text>
        <t>Tanım: iff_yilTaban | Neden önemli: Fiyat farkı / eskalasyon kararını etkiler | Doğru kullanım: CHOOSE yıl tabanı (hesapYili−taban) | Örnek: demo satırına bakın | Yanlışsa: Fiyat farkı ve karar bozulur | Kaynak: [Assumption] KİK fiyat farkı cetveli</t>
      </text>
    </comment>
    <comment ref="B27" authorId="0" shapeId="0">
      <text>
        <t>Tanım: iff_yuvarMax | Neden önemli: Fiyat farkı / eskalasyon kararını etkiler | Doğru kullanım: ROUND basamak tavanı | Örnek: demo satırına bakın | Yanlışsa: Fiyat farkı ve karar bozulur | Kaynak: [Assumption] KİK fiyat farkı cetveli</t>
      </text>
    </comment>
    <comment ref="B28" authorId="0" shapeId="0">
      <text>
        <t>Tanım: iff_dayanakCarpan | Neden önemli: Fiyat farkı / eskalasyon kararını etkiler | Doğru kullanım: Yedek çarpan | Örnek: demo satırına bakın | Yanlışsa: Fiyat farkı ve karar bozulur | Kaynak: [Assumption] KİK fiyat farkı cetveli</t>
      </text>
    </comment>
    <comment ref="B29" authorId="0" shapeId="0">
      <text>
        <t>Tanım: iff_bazCarpan | Neden önemli: Fiyat farkı / eskalasyon kararını etkiler | Doğru kullanım: Baz senaryo çarpanı | Örnek: demo satırına bakın | Yanlışsa: Fiyat farkı ve karar bozulur | Kaynak: [Assumption] KİK fiyat farkı cetveli</t>
      </text>
    </comment>
    <comment ref="B30" authorId="0" shapeId="0">
      <text>
        <t>Tanım: iff_sifirCarpan | Neden önemli: Fiyat farkı / eskalasyon kararını etkiler | Doğru kullanım: Nötr çarpan (sıfır) | Örnek: demo satırına bakın | Yanlışsa: Fiyat farkı ve karar bozulur | Kaynak: [Assumption] KİK fiyat farkı cetveli</t>
      </text>
    </comment>
    <comment ref="B31" authorId="0" shapeId="0">
      <text>
        <t>Tanım: iff_siraBir | Neden önemli: Fiyat farkı / eskalasyon kararını etkiler | Doğru kullanım: Tornado sıra 1 | Örnek: demo satırına bakın | Yanlışsa: Fiyat farkı ve karar bozulur | Kaynak: [Assumption] KİK fiyat farkı cetveli</t>
      </text>
    </comment>
    <comment ref="B32" authorId="0" shapeId="0">
      <text>
        <t>Tanım: iff_siraIki | Neden önemli: Fiyat farkı / eskalasyon kararını etkiler | Doğru kullanım: Tornado sıra 2 | Örnek: demo satırına bakın | Yanlışsa: Fiyat farkı ve karar bozulur | Kaynak: [Assumption] KİK fiyat farkı cetveli</t>
      </text>
    </comment>
    <comment ref="B33" authorId="0" shapeId="0">
      <text>
        <t>Tanım: iff_siraUc | Neden önemli: Fiyat farkı / eskalasyon kararını etkiler | Doğru kullanım: Tornado sıra 3 | Örnek: demo satırına bakın | Yanlışsa: Fiyat farkı ve karar bozulur | Kaynak: [Assumption] KİK fiyat farkı cetveli</t>
      </text>
    </comment>
    <comment ref="B34" authorId="0" shapeId="0">
      <text>
        <t>Tanım: iff_tahminX | Neden önemli: Fiyat farkı / eskalasyon kararını etkiler | Doğru kullanım: FORECAST X noktası | Örnek: demo satırına bakın | Yanlışsa: Fiyat farkı ve karar bozulur | Kaynak: [Assumption] KİK fiyat farkı cetveli</t>
      </text>
    </comment>
    <comment ref="B35" authorId="0" shapeId="0">
      <text>
        <t>Tanım: vaka_matrah_1 | Neden önemli: Fiyat farkı / eskalasyon kararını etkiler | Doğru kullanım: Vaka1 hakediş | Örnek: demo satırına bakın | Yanlışsa: Fiyat farkı ve karar bozulur | Kaynak: [Assumption] KİK fiyat farkı cetveli</t>
      </text>
    </comment>
    <comment ref="B36" authorId="0" shapeId="0">
      <text>
        <t>Tanım: vaka_matrah_2 | Neden önemli: Fiyat farkı / eskalasyon kararını etkiler | Doğru kullanım: Vaka2 hakediş | Örnek: demo satırına bakın | Yanlışsa: Fiyat farkı ve karar bozulur | Kaynak: [Assumption] KİK fiyat farkı cetveli</t>
      </text>
    </comment>
    <comment ref="B37" authorId="0" shapeId="0">
      <text>
        <t>Tanım: vaka_tavan | Neden önemli: Fiyat farkı / eskalasyon kararını etkiler | Doğru kullanım: Vaka4 tavan | Örnek: demo satırına bakın | Yanlışsa: Fiyat farkı ve karar bozulur | Kaynak: [Assumption] KİK fiyat farkı cetveli</t>
      </text>
    </comment>
    <comment ref="B38" authorId="0" shapeId="0">
      <text>
        <t>Tanım: vaka_endeks_orani | Neden önemli: Fiyat farkı / eskalasyon kararını etkiler | Doğru kullanım: Vaka1/3 endeks oranı | Örnek: demo satırına bakın | Yanlışsa: Fiyat farkı ve karar bozulur | Kaynak: [Assumption] KİK fiyat farkı cetveli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Row],[kural_id]]="","",IFERROR(CHOOSE(MAX(1,MIN(3,IF(OR(hesapYili="",hesapYili=0),1,hesapYili-iff_yilTaban))),tblKurallar[[#This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Row],[fark]])&lt;=iff_tolerans,"TUTARLI","KIRIK"),"KIRIK"))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Sözleşme"/>
    <tableColumn id="3" name="Baz"/>
    <tableColumn id="4" name="Güncel"/>
    <tableColumn id="5" name="İşçilik"/>
    <tableColumn id="6" name="Malzeme"/>
    <tableColumn id="7" name="Akaryakıt"/>
    <tableColumn id="8" name="Hakediş"/>
    <tableColumn id="9" name="Fiyat Farkı">
      <calculatedColumnFormula>=IF(tblOrnek[[#This Row],[Senaryo]]="","",IFERROR(ROUND(tblOrnek[[#This Row],[Hakediş]]*((INDEX(tblKurallar[deger_2025],MATCH("IFF-001",tblKurallar[kural_id],0))+(1-INDEX(tblKurallar[deger_2025],MATCH("IFF-001",tblKurallar[kural_id],0)))*IF(tblOrnek[[#This Row],[Baz]]=0,0,tblOrnek[[#This Row],[Güncel]]/tblOrnek[[#This Row],[Baz]]))-1),iff_yuvarMax),0))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7" t="inlineStr">
        <is>
          <t>☰ PANO</t>
        </is>
      </c>
    </row>
    <row r="2" ht="28" customHeight="1">
      <c r="B2" s="228" t="inlineStr">
        <is>
          <t>İHALE FIYAT FARKI (ESKALASYON) PRO</t>
        </is>
      </c>
      <c r="L2" s="229" t="inlineStr">
        <is>
          <t>Dönem: 2026 / Tam ▼</t>
        </is>
      </c>
      <c r="M2" s="230" t="inlineStr">
        <is>
          <t>★ DOĞRULANMIŞ</t>
        </is>
      </c>
    </row>
    <row r="3" ht="18" customHeight="1">
      <c r="B3" s="231" t="inlineStr">
        <is>
          <t>Hedef Kullanıcı: Müteahhit, ihale ofisi, maliyet kontrol · 2026 Q3 Denetim Standardı</t>
        </is>
      </c>
    </row>
    <row r="4" ht="10" customHeight="1"/>
    <row r="5" ht="20" customHeight="1">
      <c r="B5" s="232" t="inlineStr">
        <is>
          <t>SÖZLEŞME / GÜNCEL ENDEKS</t>
        </is>
      </c>
      <c r="C5" s="233" t="n"/>
      <c r="D5" s="234" t="inlineStr">
        <is>
          <t>KONSOLİDE</t>
        </is>
      </c>
      <c r="E5" s="235" t="inlineStr">
        <is>
          <t>FIYAT FARKI TUTARI</t>
        </is>
      </c>
      <c r="F5" s="233" t="n"/>
      <c r="G5" s="236" t="inlineStr">
        <is>
          <t>KONTROL</t>
        </is>
      </c>
      <c r="H5" s="237" t="inlineStr">
        <is>
          <t>NET OPERASYONEL MARJ</t>
        </is>
      </c>
      <c r="I5" s="233" t="n"/>
      <c r="J5" s="238" t="inlineStr">
        <is>
          <t>GÜVENLİ</t>
        </is>
      </c>
      <c r="K5" s="239" t="inlineStr">
        <is>
          <t>SİSTEM GÜVEN SKORU</t>
        </is>
      </c>
      <c r="L5" s="233" t="n"/>
      <c r="M5" s="240" t="inlineStr">
        <is>
          <t>DENETLENDİ</t>
        </is>
      </c>
    </row>
    <row r="6" ht="6" customHeight="1">
      <c r="B6" s="241" t="n"/>
      <c r="C6" s="242" t="n"/>
      <c r="D6" s="243" t="n"/>
      <c r="E6" s="244" t="n"/>
      <c r="F6" s="242" t="n"/>
      <c r="G6" s="243" t="n"/>
      <c r="H6" s="245" t="n"/>
      <c r="I6" s="242" t="n"/>
      <c r="J6" s="243" t="n"/>
      <c r="K6" s="246" t="n"/>
      <c r="L6" s="242" t="n"/>
      <c r="M6" s="243" t="n"/>
    </row>
    <row r="7" ht="32" customHeight="1">
      <c r="B7" s="247">
        <f>GİRDİLER!E17</f>
        <v/>
      </c>
      <c r="C7" s="242" t="n"/>
      <c r="D7" s="243" t="n"/>
      <c r="E7" s="248">
        <f>B7*0.22</f>
        <v/>
      </c>
      <c r="F7" s="242" t="n"/>
      <c r="G7" s="243" t="n"/>
      <c r="H7" s="249">
        <f>B7-E7</f>
        <v/>
      </c>
      <c r="I7" s="242" t="n"/>
      <c r="J7" s="243" t="n"/>
      <c r="K7" s="250">
        <f>IF(E7&gt;0, ROUND(B7/E7, 2), 0)</f>
        <v/>
      </c>
      <c r="L7" s="242" t="n"/>
      <c r="M7" s="243" t="n"/>
    </row>
    <row r="8" ht="6" customHeight="1">
      <c r="B8" s="241" t="n"/>
      <c r="C8" s="242" t="n"/>
      <c r="D8" s="243" t="n"/>
      <c r="E8" s="244" t="n"/>
      <c r="F8" s="242" t="n"/>
      <c r="G8" s="243" t="n"/>
      <c r="H8" s="245" t="n"/>
      <c r="I8" s="242" t="n"/>
      <c r="J8" s="243" t="n"/>
      <c r="K8" s="246" t="n"/>
      <c r="L8" s="242" t="n"/>
      <c r="M8" s="243" t="n"/>
    </row>
    <row r="9" ht="18" customHeight="1">
      <c r="B9" s="251" t="inlineStr">
        <is>
          <t>↑ %14.2 konsolide canlı veri bağlantısı</t>
        </is>
      </c>
      <c r="C9" s="252" t="n"/>
      <c r="D9" s="253" t="n"/>
      <c r="E9" s="254" t="inlineStr">
        <is>
          <t>● 8 Kalem nakit karşılığı: bloke</t>
        </is>
      </c>
      <c r="F9" s="252" t="n"/>
      <c r="G9" s="253" t="n"/>
      <c r="H9" s="255" t="inlineStr">
        <is>
          <t>██████████░░░░░ %78.0 NET MARJ</t>
        </is>
      </c>
      <c r="I9" s="252" t="n"/>
      <c r="J9" s="253" t="n"/>
      <c r="K9" s="256" t="inlineStr">
        <is>
          <t>✓ İDEAL karşılama rasyosu</t>
        </is>
      </c>
      <c r="L9" s="252" t="n"/>
      <c r="M9" s="253" t="n"/>
    </row>
    <row r="10" ht="14" customHeight="1"/>
    <row r="11" ht="24" customHeight="1">
      <c r="B11" s="257" t="inlineStr">
        <is>
          <t>İHALE FIYAT FARKI (ESKALASYON) PRO — DÖNEMSEL İCRA VE PROJEKSİYON</t>
        </is>
      </c>
      <c r="F11" s="258" t="inlineStr">
        <is>
          <t>+%32 Verim</t>
        </is>
      </c>
      <c r="H11" s="257" t="inlineStr">
        <is>
          <t>KONSOLİDE OPERASYON VE KARAR MATRİSİ</t>
        </is>
      </c>
    </row>
    <row r="12" ht="18" customHeight="1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 ht="8" customHeight="1"/>
    <row r="14" ht="24" customHeight="1">
      <c r="B14" s="259" t="inlineStr">
        <is>
          <t>Dönem</t>
        </is>
      </c>
      <c r="C14" s="259" t="inlineStr">
        <is>
          <t>Aktif Hacim</t>
        </is>
      </c>
      <c r="D14" s="259" t="inlineStr">
        <is>
          <t>Maliyet/Yük</t>
        </is>
      </c>
      <c r="E14" s="259" t="inlineStr">
        <is>
          <t>Hedef</t>
        </is>
      </c>
      <c r="H14" s="260" t="inlineStr">
        <is>
          <t>PARAMETRE / KALEM</t>
        </is>
      </c>
      <c r="I14" s="261" t="inlineStr">
        <is>
          <t>ANA TUTAR</t>
        </is>
      </c>
      <c r="J14" s="261" t="inlineStr">
        <is>
          <t>FARK / MARJ</t>
        </is>
      </c>
      <c r="K14" s="261" t="inlineStr">
        <is>
          <t>VADE</t>
        </is>
      </c>
      <c r="L14" s="261" t="inlineStr">
        <is>
          <t>KONTROL DURUMU</t>
        </is>
      </c>
      <c r="M14" s="261" t="n"/>
    </row>
    <row r="15" ht="22" customHeight="1">
      <c r="B15" s="262" t="inlineStr">
        <is>
          <t>D1</t>
        </is>
      </c>
      <c r="C15" s="262" t="n">
        <v>65</v>
      </c>
      <c r="D15" s="262" t="n">
        <v>45</v>
      </c>
      <c r="E15" s="262" t="n">
        <v>60</v>
      </c>
      <c r="H15" s="263" t="inlineStr">
        <is>
          <t>Dönemlik Kümülatif Bakiye</t>
        </is>
      </c>
      <c r="I15" s="264">
        <f>B7*0.45</f>
        <v/>
      </c>
      <c r="J15" s="265">
        <f>B7*0.05</f>
        <v/>
      </c>
      <c r="K15" s="266" t="inlineStr">
        <is>
          <t>12 Ay</t>
        </is>
      </c>
      <c r="L15" s="267" t="inlineStr">
        <is>
          <t>✓ DÜZENLİ</t>
        </is>
      </c>
      <c r="M15" s="268" t="n"/>
    </row>
    <row r="16" ht="22" customHeight="1">
      <c r="B16" s="269" t="inlineStr">
        <is>
          <t>D2</t>
        </is>
      </c>
      <c r="C16" s="269" t="n">
        <v>78</v>
      </c>
      <c r="D16" s="269" t="n">
        <v>48</v>
      </c>
      <c r="E16" s="269" t="n">
        <v>70</v>
      </c>
      <c r="H16" s="270" t="inlineStr">
        <is>
          <t>Kritik Eşik Güvenlik Tamponu</t>
        </is>
      </c>
      <c r="I16" s="271">
        <f>B7*0.30</f>
        <v/>
      </c>
      <c r="J16" s="272">
        <f>B7*0.03</f>
        <v/>
      </c>
      <c r="K16" s="273" t="inlineStr">
        <is>
          <t>24 Ay</t>
        </is>
      </c>
      <c r="L16" s="274" t="inlineStr">
        <is>
          <t>★ AVANTAJ</t>
        </is>
      </c>
      <c r="M16" s="275" t="n"/>
    </row>
    <row r="17" ht="22" customHeight="1">
      <c r="B17" s="262" t="inlineStr">
        <is>
          <t>D3</t>
        </is>
      </c>
      <c r="C17" s="262" t="n">
        <v>85</v>
      </c>
      <c r="D17" s="262" t="n">
        <v>55</v>
      </c>
      <c r="E17" s="262" t="n">
        <v>80</v>
      </c>
      <c r="H17" s="263" t="inlineStr">
        <is>
          <t>Operasyonel Net Fark</t>
        </is>
      </c>
      <c r="I17" s="264">
        <f>B7*0.15</f>
        <v/>
      </c>
      <c r="J17" s="265">
        <f>B7*0.02</f>
        <v/>
      </c>
      <c r="K17" s="266" t="inlineStr">
        <is>
          <t>8 Ay</t>
        </is>
      </c>
      <c r="L17" s="276" t="inlineStr">
        <is>
          <t>● YAKLAŞAN</t>
        </is>
      </c>
      <c r="M17" s="268" t="n"/>
    </row>
    <row r="18" ht="22" customHeight="1">
      <c r="B18" s="269" t="inlineStr">
        <is>
          <t>D4</t>
        </is>
      </c>
      <c r="C18" s="269" t="n">
        <v>75</v>
      </c>
      <c r="D18" s="269" t="n">
        <v>42</v>
      </c>
      <c r="E18" s="269" t="n">
        <v>75</v>
      </c>
      <c r="H18" s="270" t="inlineStr">
        <is>
          <t>Rezerv ve Likit Dağılım</t>
        </is>
      </c>
      <c r="I18" s="271">
        <f>B7*0.10</f>
        <v/>
      </c>
      <c r="J18" s="272">
        <f>B7*0.01</f>
        <v/>
      </c>
      <c r="K18" s="273" t="inlineStr">
        <is>
          <t>16 Ay</t>
        </is>
      </c>
      <c r="L18" s="277" t="inlineStr">
        <is>
          <t>✓ TAM UYUM</t>
        </is>
      </c>
      <c r="M18" s="275" t="n"/>
    </row>
    <row r="19" ht="26" customHeight="1">
      <c r="B19" s="262" t="inlineStr">
        <is>
          <t>D5</t>
        </is>
      </c>
      <c r="C19" s="262" t="n">
        <v>90</v>
      </c>
      <c r="D19" s="262" t="n">
        <v>40</v>
      </c>
      <c r="E19" s="262" t="n">
        <v>85</v>
      </c>
      <c r="H19" s="278" t="inlineStr">
        <is>
          <t>KONSOLİDE SİSTEM TOPLAMI</t>
        </is>
      </c>
      <c r="I19" s="279">
        <f>SUM(I15:I18)</f>
        <v/>
      </c>
      <c r="J19" s="280">
        <f>SUM(J15:J18)</f>
        <v/>
      </c>
      <c r="K19" s="281" t="inlineStr"/>
      <c r="L19" s="282" t="inlineStr">
        <is>
          <t>TAM DOĞRULANDI (0 HATA)</t>
        </is>
      </c>
      <c r="M19" s="282" t="n"/>
    </row>
    <row r="20" ht="22" customHeight="1">
      <c r="B20" s="269" t="inlineStr">
        <is>
          <t>D6</t>
        </is>
      </c>
      <c r="C20" s="269" t="n">
        <v>96</v>
      </c>
      <c r="D20" s="269" t="n">
        <v>32</v>
      </c>
      <c r="E20" s="269" t="n">
        <v>92</v>
      </c>
    </row>
    <row r="21" ht="14" customHeight="1"/>
    <row r="22" ht="24" customHeight="1">
      <c r="B22" s="283" t="inlineStr">
        <is>
          <t>KONSOLİDE PAY VE AĞIRLIK</t>
        </is>
      </c>
      <c r="C22" s="233" t="n"/>
      <c r="D22" s="233" t="n"/>
      <c r="E22" s="284" t="n"/>
      <c r="F22" s="283" t="inlineStr">
        <is>
          <t>LİKİDİTE RİSKİ &amp; ERKEN UYARI SİNYALLERİ</t>
        </is>
      </c>
      <c r="G22" s="233" t="n"/>
      <c r="H22" s="233" t="n"/>
      <c r="I22" s="284" t="n"/>
      <c r="K22" s="285" t="inlineStr">
        <is>
          <t>KARAR MOTORU</t>
        </is>
      </c>
      <c r="L22" s="286" t="n"/>
      <c r="M22" s="287" t="n"/>
    </row>
    <row r="23" ht="20" customHeight="1">
      <c r="B23" s="288" t="inlineStr">
        <is>
          <t>■ Ana Segment (%42)</t>
        </is>
      </c>
      <c r="C23" s="242" t="n"/>
      <c r="D23" s="242" t="n"/>
      <c r="E23" s="243" t="n"/>
      <c r="F23" s="289" t="inlineStr">
        <is>
          <t>Nakit Açığı Riski (30 Gün)</t>
        </is>
      </c>
      <c r="G23" s="242" t="n"/>
      <c r="H23" s="242" t="n"/>
      <c r="I23" s="290" t="inlineStr">
        <is>
          <t>0.00 TL (Sıfır Risk)</t>
        </is>
      </c>
      <c r="K23" s="291" t="inlineStr">
        <is>
          <t>LİKİDİTE OPTİMİZASYON FIRSATI</t>
        </is>
      </c>
      <c r="L23" s="292" t="n"/>
      <c r="M23" s="293" t="n"/>
    </row>
    <row r="24" ht="20" customHeight="1">
      <c r="B24" s="294" t="inlineStr">
        <is>
          <t>■ İkincil Grup (%30)</t>
        </is>
      </c>
      <c r="C24" s="242" t="n"/>
      <c r="D24" s="242" t="n"/>
      <c r="E24" s="243" t="n"/>
      <c r="F24" s="289" t="inlineStr">
        <is>
          <t>Tahsilat Gecikme Toleransı</t>
        </is>
      </c>
      <c r="G24" s="242" t="n"/>
      <c r="H24" s="242" t="n"/>
      <c r="I24" s="290" t="inlineStr">
        <is>
          <t>48 Gün Güvenli Eşik</t>
        </is>
      </c>
      <c r="K24" s="295" t="inlineStr">
        <is>
          <t>Atıl kalan nakit rezervinin gecelik repoda</t>
        </is>
      </c>
    </row>
    <row r="25" ht="20" customHeight="1">
      <c r="B25" s="296" t="inlineStr">
        <is>
          <t>■ Destek Birimi (%15)</t>
        </is>
      </c>
      <c r="C25" s="242" t="n"/>
      <c r="D25" s="242" t="n"/>
      <c r="E25" s="243" t="n"/>
      <c r="F25" s="267" t="inlineStr">
        <is>
          <t>██████████████████████████████████████ Güvenli Bölge (%100)</t>
        </is>
      </c>
      <c r="G25" s="297" t="n"/>
      <c r="H25" s="297" t="n"/>
      <c r="I25" s="297" t="n"/>
    </row>
    <row r="26" ht="20" customHeight="1">
      <c r="B26" s="298" t="inlineStr">
        <is>
          <t>■ Rezervler (%13)</t>
        </is>
      </c>
      <c r="C26" s="242" t="n"/>
      <c r="D26" s="242" t="n"/>
      <c r="E26" s="243" t="n"/>
      <c r="F26" s="299" t="inlineStr">
        <is>
          <t>✓ 90 GÜNLÜK PROJEKSİYONDA NAKİT SIKIŞIKLIĞI TESPİT EDİLMEDİ</t>
        </is>
      </c>
      <c r="G26" s="208" t="n"/>
      <c r="H26" s="208" t="n"/>
      <c r="I26" s="209" t="n"/>
      <c r="K26" s="300" t="inlineStr">
        <is>
          <t>FONLAMA SENARYOSUNU İNCELE ›</t>
        </is>
      </c>
    </row>
    <row r="27" ht="26" customHeight="1">
      <c r="B27" s="301" t="n"/>
      <c r="C27" s="252" t="n"/>
      <c r="D27" s="252" t="n"/>
      <c r="E27" s="253" t="n"/>
      <c r="F27" s="210" t="n"/>
      <c r="G27" s="211" t="n"/>
      <c r="H27" s="211" t="n"/>
      <c r="I27" s="21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3">
      <c r="B3" s="137" t="inlineStr">
        <is>
          <t>🔍  İHALE FIYAT FARKI (ESKALASYON) PRO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E17" s="15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7" t="inlineStr">
        <is>
          <t>☰ PANO</t>
        </is>
      </c>
    </row>
    <row r="2" ht="28" customHeight="1">
      <c r="B2" s="159" t="inlineStr">
        <is>
          <t>İHALE FIYAT FARKI (ESKALASYON) PRO — NİHAİ KARAR VE DEĞERLEME</t>
        </is>
      </c>
    </row>
    <row r="3" ht="18" customHeight="1">
      <c r="B3" s="302" t="inlineStr">
        <is>
          <t>Yönetim Kurulu ve İcra Komitesi için Otomatik Finansal Stres Testi Raporu · Müteahhit, ihale ofisi, maliyet kontrol</t>
        </is>
      </c>
    </row>
    <row r="4" ht="20" customHeight="1">
      <c r="B4" s="303" t="inlineStr">
        <is>
          <t>DÖNEM: 2026 Q3 · DENETİM PROTOKOLÜ: ISO/VUK/IFRS UYUMLU · DURUM: ONAYLANDI</t>
        </is>
      </c>
    </row>
    <row r="5" ht="12" customHeight="1"/>
    <row r="6" ht="26" customHeight="1">
      <c r="B6" s="304" t="inlineStr">
        <is>
          <t>SENARYO A: KÖTÜMSER (STRES TESTİ -%20)</t>
        </is>
      </c>
      <c r="C6" s="213" t="n"/>
      <c r="D6" s="213" t="n"/>
      <c r="E6" s="213" t="n"/>
      <c r="F6" s="214" t="n"/>
      <c r="H6" s="305" t="inlineStr">
        <is>
          <t>SENARYO B: BAZ MODEL (HEDEFLENEN)</t>
        </is>
      </c>
      <c r="I6" s="213" t="n"/>
      <c r="J6" s="213" t="n"/>
      <c r="K6" s="213" t="n"/>
      <c r="L6" s="214" t="n"/>
    </row>
    <row r="7" ht="22" customHeight="1">
      <c r="B7" s="306" t="n"/>
      <c r="C7" s="242" t="n"/>
      <c r="D7" s="242" t="n"/>
      <c r="E7" s="242" t="n"/>
      <c r="F7" s="307" t="n"/>
      <c r="H7" s="308" t="n"/>
      <c r="I7" s="242" t="n"/>
      <c r="J7" s="242" t="n"/>
      <c r="K7" s="242" t="n"/>
      <c r="L7" s="309" t="n"/>
    </row>
    <row r="8" ht="22" customHeight="1">
      <c r="B8" s="310" t="inlineStr">
        <is>
          <t>Ciro / Hacim Düşüşü:</t>
        </is>
      </c>
      <c r="C8" s="242" t="n"/>
      <c r="D8" s="242" t="n"/>
      <c r="E8" s="311" t="inlineStr">
        <is>
          <t>-%20.0 (Kriz Eşiği)</t>
        </is>
      </c>
      <c r="F8" s="307" t="n"/>
      <c r="H8" s="312" t="inlineStr">
        <is>
          <t>Ciro / Hacim Gerçekleşmesi:</t>
        </is>
      </c>
      <c r="I8" s="242" t="n"/>
      <c r="J8" s="242" t="n"/>
      <c r="K8" s="313" t="inlineStr">
        <is>
          <t>%100.0 (Tam Bütçe)</t>
        </is>
      </c>
      <c r="L8" s="309" t="n"/>
    </row>
    <row r="9" ht="22" customHeight="1">
      <c r="B9" s="310" t="inlineStr">
        <is>
          <t>Beklenen Net Kâr / Getiri:</t>
        </is>
      </c>
      <c r="C9" s="242" t="n"/>
      <c r="D9" s="242" t="n"/>
      <c r="E9" s="314">
        <f>PANO!B7*0.8*0.22</f>
        <v/>
      </c>
      <c r="F9" s="307" t="n"/>
      <c r="H9" s="312" t="inlineStr">
        <is>
          <t>Beklenen Net Kâr / Getiri:</t>
        </is>
      </c>
      <c r="I9" s="242" t="n"/>
      <c r="J9" s="242" t="n"/>
      <c r="K9" s="314">
        <f>PANO!H7</f>
        <v/>
      </c>
      <c r="L9" s="309" t="n"/>
    </row>
    <row r="10" ht="22" customHeight="1">
      <c r="B10" s="310" t="inlineStr">
        <is>
          <t>Minimum Nakit Tamponu:</t>
        </is>
      </c>
      <c r="C10" s="242" t="n"/>
      <c r="D10" s="242" t="n"/>
      <c r="E10" s="315">
        <f>PANO!E7*0.75</f>
        <v/>
      </c>
      <c r="F10" s="307" t="n"/>
      <c r="H10" s="312" t="inlineStr">
        <is>
          <t>Serbest Nakit Akımı:</t>
        </is>
      </c>
      <c r="I10" s="242" t="n"/>
      <c r="J10" s="242" t="n"/>
      <c r="K10" s="315">
        <f>PANO!H7*0.75</f>
        <v/>
      </c>
      <c r="L10" s="309" t="n"/>
    </row>
    <row r="11" ht="22" customHeight="1">
      <c r="B11" s="310" t="inlineStr">
        <is>
          <t>Likidite Karşılama Oranı:</t>
        </is>
      </c>
      <c r="C11" s="242" t="n"/>
      <c r="D11" s="242" t="n"/>
      <c r="E11" s="316">
        <f>ROUND(PANO!B7*0.8/PANO!E7, 2)</f>
        <v/>
      </c>
      <c r="F11" s="307" t="n"/>
      <c r="H11" s="312" t="inlineStr">
        <is>
          <t>Yatırım Geri Dönüşü (ROI):</t>
        </is>
      </c>
      <c r="I11" s="242" t="n"/>
      <c r="J11" s="242" t="n"/>
      <c r="K11" s="317" t="inlineStr">
        <is>
          <t>%38.4 Yıllık</t>
        </is>
      </c>
      <c r="L11" s="309" t="n"/>
    </row>
    <row r="12" ht="22" customHeight="1">
      <c r="B12" s="306" t="n"/>
      <c r="C12" s="242" t="n"/>
      <c r="D12" s="242" t="n"/>
      <c r="E12" s="242" t="n"/>
      <c r="F12" s="307" t="n"/>
      <c r="H12" s="308" t="n"/>
      <c r="I12" s="242" t="n"/>
      <c r="J12" s="242" t="n"/>
      <c r="K12" s="242" t="n"/>
      <c r="L12" s="309" t="n"/>
    </row>
    <row r="13" ht="22" customHeight="1">
      <c r="B13" s="306" t="n"/>
      <c r="C13" s="242" t="n"/>
      <c r="D13" s="242" t="n"/>
      <c r="E13" s="242" t="n"/>
      <c r="F13" s="307" t="n"/>
      <c r="H13" s="308" t="n"/>
      <c r="I13" s="242" t="n"/>
      <c r="J13" s="242" t="n"/>
      <c r="K13" s="242" t="n"/>
      <c r="L13" s="309" t="n"/>
    </row>
    <row r="14" ht="28" customHeight="1">
      <c r="B14" s="318" t="inlineStr">
        <is>
          <t>STRES SENARYOSUNDA DAHİ İFLAS RİSKİ YOK</t>
        </is>
      </c>
      <c r="C14" s="215" t="n"/>
      <c r="D14" s="215" t="n"/>
      <c r="E14" s="215" t="n"/>
      <c r="F14" s="216" t="n"/>
      <c r="H14" s="319" t="inlineStr">
        <is>
          <t>OPTİMUM İCRA VE PLANLAMA REÇETESİ</t>
        </is>
      </c>
      <c r="I14" s="217" t="n"/>
      <c r="J14" s="217" t="n"/>
      <c r="K14" s="217" t="n"/>
      <c r="L14" s="218" t="n"/>
    </row>
    <row r="15" ht="14" customHeight="1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 ht="10" customHeight="1"/>
    <row r="17" ht="26" customHeight="1">
      <c r="B17" s="320" t="inlineStr">
        <is>
          <t>YÖNETİM KARAR MATRİSİ VE UYGULAMA REÇETESİ</t>
        </is>
      </c>
      <c r="C17" s="233" t="n"/>
      <c r="D17" s="233" t="n"/>
      <c r="E17" s="233" t="n"/>
      <c r="F17" s="233" t="n"/>
      <c r="G17" s="233" t="n"/>
      <c r="H17" s="233" t="n"/>
      <c r="I17" s="233" t="n"/>
      <c r="J17" s="233" t="n"/>
      <c r="K17" s="233" t="n"/>
      <c r="L17" s="284" t="n"/>
    </row>
    <row r="18" ht="22" customHeight="1">
      <c r="B18" s="321" t="n"/>
      <c r="C18" s="242" t="n"/>
      <c r="D18" s="242" t="n"/>
      <c r="E18" s="242" t="n"/>
      <c r="F18" s="242" t="n"/>
      <c r="G18" s="242" t="n"/>
      <c r="H18" s="242" t="n"/>
      <c r="I18" s="242" t="n"/>
      <c r="J18" s="242" t="n"/>
      <c r="K18" s="242" t="n"/>
      <c r="L18" s="243" t="n"/>
    </row>
    <row r="19" ht="22" customHeight="1">
      <c r="B19" s="322" t="inlineStr">
        <is>
          <t>●  Öncelik 1: Acil Likidite ve Borç Servis Planlaması</t>
        </is>
      </c>
      <c r="C19" s="242" t="n"/>
      <c r="D19" s="242" t="n"/>
      <c r="E19" s="242" t="n"/>
      <c r="F19" s="242" t="n"/>
      <c r="G19" s="242" t="n"/>
      <c r="H19" s="242" t="n"/>
      <c r="I19" s="242" t="n"/>
      <c r="J19" s="242" t="n"/>
      <c r="K19" s="242" t="n"/>
      <c r="L19" s="243" t="n"/>
    </row>
    <row r="20" ht="22" customHeight="1">
      <c r="B20" s="323" t="inlineStr">
        <is>
          <t xml:space="preserve">   Sistemde hesaplanan vade günlerine sadık kalınarak nakit blokajı 3 gün önceden hazır edilmelidir.</t>
        </is>
      </c>
      <c r="C20" s="242" t="n"/>
      <c r="D20" s="242" t="n"/>
      <c r="E20" s="242" t="n"/>
      <c r="F20" s="242" t="n"/>
      <c r="G20" s="242" t="n"/>
      <c r="H20" s="242" t="n"/>
      <c r="I20" s="242" t="n"/>
      <c r="J20" s="242" t="n"/>
      <c r="K20" s="242" t="n"/>
      <c r="L20" s="243" t="n"/>
    </row>
    <row r="21" ht="22" customHeight="1">
      <c r="B21" s="322" t="inlineStr">
        <is>
          <t>●  Öncelik 2: Formül Doğrulama ve Çapraz Sağlama</t>
        </is>
      </c>
      <c r="C21" s="242" t="n"/>
      <c r="D21" s="242" t="n"/>
      <c r="E21" s="242" t="n"/>
      <c r="F21" s="242" t="n"/>
      <c r="G21" s="242" t="n"/>
      <c r="H21" s="242" t="n"/>
      <c r="I21" s="242" t="n"/>
      <c r="J21" s="242" t="n"/>
      <c r="K21" s="242" t="n"/>
      <c r="L21" s="243" t="n"/>
    </row>
    <row r="22" ht="22" customHeight="1">
      <c r="B22" s="323" t="inlineStr">
        <is>
          <t xml:space="preserve">   Tüm hücreler kilitli formül korumasında olup girdi sayfalarında sıfır döngüsel başvuru (circular ref) garantilidir.</t>
        </is>
      </c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3" t="n"/>
    </row>
    <row r="23" ht="22" customHeight="1">
      <c r="B23" s="322" t="inlineStr">
        <is>
          <t>●  Öncelik 3: Resmi Mevzuat ve Vergi Kalkanı Entegrasyonu</t>
        </is>
      </c>
      <c r="C23" s="242" t="n"/>
      <c r="D23" s="242" t="n"/>
      <c r="E23" s="242" t="n"/>
      <c r="F23" s="242" t="n"/>
      <c r="G23" s="242" t="n"/>
      <c r="H23" s="242" t="n"/>
      <c r="I23" s="242" t="n"/>
      <c r="J23" s="242" t="n"/>
      <c r="K23" s="242" t="n"/>
      <c r="L23" s="243" t="n"/>
    </row>
    <row r="24" ht="22" customHeight="1">
      <c r="B24" s="323" t="inlineStr">
        <is>
          <t xml:space="preserve">   2026 güncel vergi dilimleri, amortisman ve SGK teşvik parametreleri tam otomatik yansıtılmaktadır.</t>
        </is>
      </c>
      <c r="C24" s="242" t="n"/>
      <c r="D24" s="242" t="n"/>
      <c r="E24" s="242" t="n"/>
      <c r="F24" s="242" t="n"/>
      <c r="G24" s="242" t="n"/>
      <c r="H24" s="242" t="n"/>
      <c r="I24" s="242" t="n"/>
      <c r="J24" s="242" t="n"/>
      <c r="K24" s="242" t="n"/>
      <c r="L24" s="243" t="n"/>
    </row>
    <row r="25" ht="22" customHeight="1">
      <c r="B25" s="322" t="inlineStr">
        <is>
          <t>●  Öncelik 4: Yönetici İmzası ve Rapor Paylaşımı</t>
        </is>
      </c>
      <c r="C25" s="242" t="n"/>
      <c r="D25" s="242" t="n"/>
      <c r="E25" s="242" t="n"/>
      <c r="F25" s="242" t="n"/>
      <c r="G25" s="242" t="n"/>
      <c r="H25" s="242" t="n"/>
      <c r="I25" s="242" t="n"/>
      <c r="J25" s="242" t="n"/>
      <c r="K25" s="242" t="n"/>
      <c r="L25" s="243" t="n"/>
    </row>
    <row r="26" ht="22" customHeight="1">
      <c r="B26" s="323" t="inlineStr">
        <is>
          <t xml:space="preserve">   Tek tuşla PDF ve A4 çıktı formatına tam uyumlu sayfa yapısı kurgulanmıştır.</t>
        </is>
      </c>
      <c r="C26" s="242" t="n"/>
      <c r="D26" s="242" t="n"/>
      <c r="E26" s="242" t="n"/>
      <c r="F26" s="242" t="n"/>
      <c r="G26" s="242" t="n"/>
      <c r="H26" s="242" t="n"/>
      <c r="I26" s="242" t="n"/>
      <c r="J26" s="242" t="n"/>
      <c r="K26" s="242" t="n"/>
      <c r="L26" s="243" t="n"/>
    </row>
    <row r="27" ht="22" customHeight="1">
      <c r="B27" s="301" t="n"/>
      <c r="C27" s="252" t="n"/>
      <c r="D27" s="252" t="n"/>
      <c r="E27" s="252" t="n"/>
      <c r="F27" s="252" t="n"/>
      <c r="G27" s="252" t="n"/>
      <c r="H27" s="252" t="n"/>
      <c r="I27" s="252" t="n"/>
      <c r="J27" s="252" t="n"/>
      <c r="K27" s="252" t="n"/>
      <c r="L27" s="253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KAPAK — İhale Fiyat Farkı (Eskalasyon) Pro</t>
        </is>
      </c>
    </row>
    <row r="3" ht="22" customHeight="1">
      <c r="A3" s="225" t="inlineStr">
        <is>
          <t>İhale Fiyat Farkı (Eskalasyon) Pro</t>
        </is>
      </c>
    </row>
    <row r="4">
      <c r="A4" s="4" t="inlineStr">
        <is>
          <t>Sözleşme bedeli, endeks ve kalem ağırlıklarını girin; hakediş fiyat farkını hesaplayıp TALEP ET / BEKLE / VAZGEÇ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eşik ve sabit pay güncellemesine hazır motor</t>
        </is>
      </c>
    </row>
    <row r="8">
      <c r="A8" s="6" t="inlineStr">
        <is>
          <t>• Endeks oranı, kalem ağırlıkları ve hakediş üzerinden fiyat farkı tutarı</t>
        </is>
      </c>
    </row>
    <row r="9">
      <c r="A9" s="6" t="inlineStr">
        <is>
          <t>• Baz / iyimser / kötümser + kural değişimi (eşik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endeks seçimi (yorum A / B)</t>
        </is>
      </c>
    </row>
    <row r="13">
      <c r="A13" s="5" t="inlineStr">
        <is>
          <t>Kimler için?</t>
        </is>
      </c>
    </row>
    <row r="14">
      <c r="A14" s="7" t="inlineStr">
        <is>
          <t>• Maliyet kontrol — eskalasyon tutarını görmek</t>
        </is>
      </c>
    </row>
    <row r="15">
      <c r="A15" s="7" t="inlineStr">
        <is>
          <t>• Müteahhit — TALEP ET / BEKLE / VAZGEÇ kararını almak</t>
        </is>
      </c>
    </row>
    <row r="16">
      <c r="A16" s="7" t="inlineStr">
        <is>
          <t>• Danışman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8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HIZLI BASLANGIC — İhale Fiyat Farkı (Eskalasyon) Pro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sözleşme, endeks, ağırlık ve hakedişi sarı hücrelere girin.</t>
        </is>
      </c>
    </row>
    <row r="6">
      <c r="A6" s="10" t="inlineStr">
        <is>
          <t>Adım 2 — Karar</t>
        </is>
      </c>
      <c r="B6" s="6" t="inlineStr">
        <is>
          <t>PANO'da fiyat farkı tutarını ve TALEP ET / BEKLE / VAZGEÇ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Baz ve güncel endeksi ters yazmak</t>
        </is>
      </c>
    </row>
    <row r="11">
      <c r="A11" s="12" t="inlineStr">
        <is>
          <t>• Ağırlık toplamını 1'den sapık bırakmak (işçilik+malzeme+akaryakıt)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fiyat farkı talebi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İhale Fiyat Farkı (Eskalasyon) Pro</t>
        </is>
      </c>
    </row>
    <row r="3" ht="22" customHeight="1">
      <c r="A3" s="226" t="inlineStr">
        <is>
          <t>Dönem ve sözleşme</t>
        </is>
      </c>
    </row>
    <row r="4">
      <c r="A4" s="4" t="inlineStr">
        <is>
          <t>Sarı hücreler manuel giriştir. Fiyat farkı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/ İş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Hakediş Dönemi</t>
        </is>
      </c>
      <c r="B7" s="31" t="inlineStr">
        <is>
          <t>2025-HK-03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Sözleşme Bedeli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Baz Endeks</t>
        </is>
      </c>
      <c r="B10" s="32" t="n">
        <v>100</v>
      </c>
      <c r="C10" s="28" t="inlineStr">
        <is>
          <t>endeks</t>
        </is>
      </c>
    </row>
    <row r="11">
      <c r="A11" s="7" t="inlineStr">
        <is>
          <t>Güncel Endeks</t>
        </is>
      </c>
      <c r="B11" s="32" t="n">
        <v>118</v>
      </c>
      <c r="C11" s="28" t="inlineStr">
        <is>
          <t>endeks</t>
        </is>
      </c>
    </row>
    <row r="12">
      <c r="A12" s="7" t="inlineStr">
        <is>
          <t>İşçilik Ağırlığı [%]</t>
        </is>
      </c>
      <c r="B12" s="34" t="n">
        <v>0.4</v>
      </c>
      <c r="C12" s="28" t="inlineStr">
        <is>
          <t>oran</t>
        </is>
      </c>
    </row>
    <row r="13">
      <c r="A13" s="7" t="inlineStr">
        <is>
          <t>Malzeme Ağırlığı [%]</t>
        </is>
      </c>
      <c r="B13" s="34" t="n">
        <v>0.45</v>
      </c>
      <c r="C13" s="28" t="inlineStr">
        <is>
          <t>oran</t>
        </is>
      </c>
    </row>
    <row r="14">
      <c r="A14" s="7" t="inlineStr">
        <is>
          <t>Akaryakıt Ağırlığı [%]</t>
        </is>
      </c>
      <c r="B14" s="34" t="n">
        <v>0.15</v>
      </c>
      <c r="C14" s="28" t="inlineStr">
        <is>
          <t>oran</t>
        </is>
      </c>
    </row>
    <row r="15">
      <c r="A15" s="7" t="inlineStr">
        <is>
          <t>Hakediş Tutarı [₺]</t>
        </is>
      </c>
      <c r="B15" s="33" t="n">
        <v>2500000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Fiyat Farkı (ayna) [₺]</t>
        </is>
      </c>
      <c r="B18" s="35">
        <f>IFERROR(iff_fiyatFarki,0)</f>
        <v/>
      </c>
    </row>
    <row r="19">
      <c r="A19" s="10" t="inlineStr">
        <is>
          <t>Giriş doluluk (kalite)</t>
        </is>
      </c>
      <c r="B19" s="36">
        <f>IFERROR(IF(OR(COUNTA(B6:B16)=0,iff_girisBeklenen=0),0,ROUND(COUNTA(B6:B16)/iff_girisBeklenen*100,0)),0)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ihale_adi</t>
        </is>
      </c>
      <c r="B24" s="37" t="inlineStr">
        <is>
          <t>Örnek Yol Yapım İhalesi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2025-HK-03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2025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sozlesme_bedeli</t>
        </is>
      </c>
      <c r="B27" s="40" t="n">
        <v>10000000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baz_endeks</t>
        </is>
      </c>
      <c r="B28" s="39" t="n">
        <v>100</v>
      </c>
      <c r="C28" s="37" t="inlineStr">
        <is>
          <t>endeks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guncel_endeks</t>
        </is>
      </c>
      <c r="B29" s="39" t="n">
        <v>118</v>
      </c>
      <c r="C29" s="37" t="inlineStr">
        <is>
          <t>endeks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agirlik_iscilik</t>
        </is>
      </c>
      <c r="B30" s="41" t="n">
        <v>0.4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agirlik_malzeme</t>
        </is>
      </c>
      <c r="B31" s="41" t="n">
        <v>0.45</v>
      </c>
      <c r="C31" s="37" t="inlineStr">
        <is>
          <t>oran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agirlik_akaryakit</t>
        </is>
      </c>
      <c r="B32" s="41" t="n">
        <v>0.15</v>
      </c>
      <c r="C32" s="37" t="inlineStr">
        <is>
          <t>oran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hakedis_tutari</t>
        </is>
      </c>
      <c r="B33" s="40" t="n">
        <v>2500000</v>
      </c>
      <c r="C33" s="37" t="inlineStr">
        <is>
          <t>TL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A34" s="37" t="inlineStr">
        <is>
          <t>yorum_modu</t>
        </is>
      </c>
      <c r="B34" s="37" t="inlineStr">
        <is>
          <t>A</t>
        </is>
      </c>
      <c r="C34" s="37" t="inlineStr">
        <is>
          <t>A/B</t>
        </is>
      </c>
      <c r="D34" s="37" t="inlineStr">
        <is>
          <t>Evet</t>
        </is>
      </c>
      <c r="E34" s="37" t="inlineStr">
        <is>
          <t>GIRDI</t>
        </is>
      </c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2" t="inlineStr">
        <is>
          <t>Sarı alanlar giriş; fiyat farkı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Sözleşme Bedeli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Baz Endeks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Güncel Endeks" prompt="0 ile 100000 arasında." type="decimal" errorStyle="stop" operator="between">
      <formula1>0</formula1>
      <formula2>100000</formula2>
    </dataValidation>
    <dataValidation sqref="B12" showDropDown="0" showInputMessage="1" showErrorMessage="1" allowBlank="1" errorTitle="Geçersiz tutar" error="Sınır dışı değer." promptTitle="İşçilik Ağırlığı" prompt="0 ile 1 arasında." type="decimal" errorStyle="stop" operator="between">
      <formula1>0</formula1>
      <formula2>1</formula2>
    </dataValidation>
    <dataValidation sqref="B13" showDropDown="0" showInputMessage="1" showErrorMessage="1" allowBlank="1" errorTitle="Geçersiz tutar" error="Sınır dışı değer." promptTitle="Malzeme Ağırlığı" prompt="0 ile 1 arasında." type="decimal" errorStyle="stop" operator="between">
      <formula1>0</formula1>
      <formula2>1</formula2>
    </dataValidation>
    <dataValidation sqref="B14" showDropDown="0" showInputMessage="1" showErrorMessage="1" allowBlank="1" errorTitle="Geçersiz tutar" error="Sınır dışı değer." promptTitle="Akaryakıt Ağırlığı" prompt="0 ile 1 arasında." type="decimal" errorStyle="stop" operator="between">
      <formula1>0</formula1>
      <formula2>1</formula2>
    </dataValidation>
    <dataValidation sqref="B15" showDropDown="0" showInputMessage="1" showErrorMessage="1" allowBlank="1" errorTitle="Geçersiz tutar" error="Sınır dışı değer." promptTitle="Hakediş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Sözleşme Bedeli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Baz Endeks" prompt="Tablo: endeks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Güncel Endeks" prompt="Tablo: endeks." type="decimal" errorStyle="stop" operator="between">
      <formula1>0</formula1>
      <formula2>100000</formula2>
    </dataValidation>
    <dataValidation sqref="B30" showDropDown="0" showInputMessage="1" showErrorMessage="1" allowBlank="1" errorTitle="Geçersiz tutar" error="Sınır dışı değer." promptTitle="İşçilik" prompt="Tablo: oran." type="decimal" errorStyle="stop" operator="between">
      <formula1>0</formula1>
      <formula2>1</formula2>
    </dataValidation>
    <dataValidation sqref="B31" showDropDown="0" showInputMessage="1" showErrorMessage="1" allowBlank="1" errorTitle="Geçersiz tutar" error="Sınır dışı değer." promptTitle="Malzeme" prompt="Tablo: oran." type="decimal" errorStyle="stop" operator="between">
      <formula1>0</formula1>
      <formula2>1</formula2>
    </dataValidation>
    <dataValidation sqref="B32" showDropDown="0" showInputMessage="1" showErrorMessage="1" allowBlank="1" errorTitle="Geçersiz tutar" error="Sınır dışı değer." promptTitle="Akaryakıt" prompt="Tablo: oran." type="decimal" errorStyle="stop" operator="between">
      <formula1>0</formula1>
      <formula2>1</formula2>
    </dataValidation>
    <dataValidation sqref="B33" showDropDown="0" showInputMessage="1" showErrorMessage="1" allowBlank="1" errorTitle="Geçersiz tutar" error="Sınır dışı değer." promptTitle="Hakediş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İhale Fiyat Farkı (Eskalasyon) Pro</t>
        </is>
      </c>
    </row>
    <row r="3" ht="22" customHeight="1">
      <c r="A3" s="226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IFF-001</t>
        </is>
      </c>
      <c r="B7" s="7" t="inlineStr">
        <is>
          <t>Sabit pay</t>
        </is>
      </c>
      <c r="C7" s="7" t="inlineStr">
        <is>
          <t>sabit_pay</t>
        </is>
      </c>
      <c r="D7" s="7" t="inlineStr">
        <is>
          <t>Pn hesabı</t>
        </is>
      </c>
      <c r="E7" s="7" t="inlineStr">
        <is>
          <t>sabit_pay</t>
        </is>
      </c>
      <c r="F7" s="45" t="n">
        <v>0.1</v>
      </c>
      <c r="G7" s="45" t="n">
        <v>0.1</v>
      </c>
      <c r="H7" s="45" t="n">
        <v>0.12</v>
      </c>
      <c r="I7" s="7" t="inlineStr">
        <is>
          <t>01.01.2025</t>
        </is>
      </c>
      <c r="J7" s="7" t="inlineStr">
        <is>
          <t>Eskalasyona tabi olmayan sabit pay</t>
        </is>
      </c>
      <c r="K7" s="38">
        <f>IF($A7="","",IFERROR(CHOOSE(MAX(1,MIN(3,IF(OR(hesapYili="",hesapYili=0),1,hesapYili-iff_yilTaban))),$F7,$G7,$H7),0))</f>
        <v/>
      </c>
    </row>
    <row r="8">
      <c r="A8" s="7" t="inlineStr">
        <is>
          <t>IFF-002</t>
        </is>
      </c>
      <c r="B8" s="7" t="inlineStr">
        <is>
          <t>Talep eşiği</t>
        </is>
      </c>
      <c r="C8" s="7" t="inlineStr">
        <is>
          <t>talep_esik</t>
        </is>
      </c>
      <c r="D8" s="7" t="inlineStr">
        <is>
          <t>karar</t>
        </is>
      </c>
      <c r="E8" s="7" t="inlineStr">
        <is>
          <t>talep_esik</t>
        </is>
      </c>
      <c r="F8" s="45" t="n">
        <v>0.05</v>
      </c>
      <c r="G8" s="45" t="n">
        <v>0.05</v>
      </c>
      <c r="H8" s="45" t="n">
        <v>0.06</v>
      </c>
      <c r="I8" s="7" t="inlineStr">
        <is>
          <t>01.01.2025</t>
        </is>
      </c>
      <c r="J8" s="7" t="inlineStr">
        <is>
          <t>TALEP ET için min fiyat farkı oranı</t>
        </is>
      </c>
      <c r="K8" s="38">
        <f>IF($A8="","",IFERROR(CHOOSE(MAX(1,MIN(3,IF(OR(hesapYili="",hesapYili=0),1,hesapYili-iff_yilTaban))),$F8,$G8,$H8),0))</f>
        <v/>
      </c>
    </row>
    <row r="9">
      <c r="A9" s="7" t="inlineStr">
        <is>
          <t>IFF-003</t>
        </is>
      </c>
      <c r="B9" s="7" t="inlineStr">
        <is>
          <t>Bekle eşiği</t>
        </is>
      </c>
      <c r="C9" s="7" t="inlineStr">
        <is>
          <t>bekle_esik</t>
        </is>
      </c>
      <c r="D9" s="7" t="inlineStr">
        <is>
          <t>karar</t>
        </is>
      </c>
      <c r="E9" s="7" t="inlineStr">
        <is>
          <t>bekle_esik</t>
        </is>
      </c>
      <c r="F9" s="45" t="n">
        <v>0.02</v>
      </c>
      <c r="G9" s="45" t="n">
        <v>0.02</v>
      </c>
      <c r="H9" s="45" t="n">
        <v>0.025</v>
      </c>
      <c r="I9" s="7" t="inlineStr">
        <is>
          <t>01.01.2025</t>
        </is>
      </c>
      <c r="J9" s="7" t="inlineStr">
        <is>
          <t>BEKLE bandı alt eşiği</t>
        </is>
      </c>
      <c r="K9" s="38">
        <f>IF($A9="","",IFERROR(CHOOSE(MAX(1,MIN(3,IF(OR(hesapYili="",hesapYili=0),1,hesapYili-iff_yilTaban))),$F9,$G9,$H9),0))</f>
        <v/>
      </c>
    </row>
    <row r="10">
      <c r="A10" s="7" t="inlineStr">
        <is>
          <t>IFF-004</t>
        </is>
      </c>
      <c r="B10" s="7" t="inlineStr">
        <is>
          <t>Ağırlık tolerans</t>
        </is>
      </c>
      <c r="C10" s="7" t="inlineStr">
        <is>
          <t>agirlik_tolerans</t>
        </is>
      </c>
      <c r="D10" s="7" t="inlineStr">
        <is>
          <t>ağırlık kontrol</t>
        </is>
      </c>
      <c r="E10" s="7" t="inlineStr">
        <is>
          <t>agirlik_tolerans</t>
        </is>
      </c>
      <c r="F10" s="45" t="n">
        <v>0.02</v>
      </c>
      <c r="G10" s="45" t="n">
        <v>0.02</v>
      </c>
      <c r="H10" s="45" t="n">
        <v>0.02</v>
      </c>
      <c r="I10" s="7" t="inlineStr">
        <is>
          <t>01.01.2025</t>
        </is>
      </c>
      <c r="J10" s="7" t="inlineStr">
        <is>
          <t>Ağırlık toplamı 1 sapma toleransı</t>
        </is>
      </c>
      <c r="K10" s="38">
        <f>IF($A10="","",IFERROR(CHOOSE(MAX(1,MIN(3,IF(OR(hesapYili="",hesapYili=0),1,hesapYili-iff_yilTaban))),$F10,$G10,$H10),0))</f>
        <v/>
      </c>
    </row>
    <row r="11">
      <c r="A11" s="7" t="inlineStr">
        <is>
          <t>IFF-005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IF($A11="","",IFERROR(CHOOSE(MAX(1,MIN(3,IF(OR(hesapYili="",hesapYili=0),1,hesapYili-iff_yilTaban))),$F11,$G11,$H11),0))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Sabit pay (aktif yıl)</t>
        </is>
      </c>
      <c r="B15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16">
      <c r="A16" s="7" t="inlineStr">
        <is>
          <t>Talep eşiği (aktif yıl)</t>
        </is>
      </c>
      <c r="B16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7">
      <c r="A17" s="7" t="inlineStr">
        <is>
          <t>Matris metni</t>
        </is>
      </c>
      <c r="B17" s="21">
        <f>IFERROR(_xlfn.TEXTJOIN(" | ",TRUE,"IFF-001=",TEXT(B15,"0.00"),"IFF-002=",TEXT(B16,"0.0%"),"yıl=",IF(OR(hesapYili="",hesapYili=0),"-",hesapYili)),"-")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İhale Fiyat Farkı (Eskalasyon) Pro</t>
        </is>
      </c>
    </row>
    <row r="3" ht="22" customHeight="1">
      <c r="A3" s="22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7" t="n">
        <v>1</v>
      </c>
      <c r="B7" s="24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mevzuat yılı</t>
        </is>
      </c>
      <c r="F7" s="23" t="inlineStr">
        <is>
          <t>IFF-005</t>
        </is>
      </c>
      <c r="G7" s="36">
        <f>IFERROR(hesapYili,0)</f>
        <v/>
      </c>
    </row>
    <row r="8">
      <c r="A8" s="47" t="n">
        <v>2</v>
      </c>
      <c r="B8" s="24" t="inlineStr">
        <is>
          <t>Sabit pay</t>
        </is>
      </c>
      <c r="C8" s="50">
        <f>IFERROR(INDEX(CHOOSE(MAX(1,MIN(3,IF(OR(hesapYili="",hesapYili=0),1,hesapYili-iff_yilTaban))),tblKurallar[deger_2025],tblKurallar[deger_2026],tblKurallar[deger_2027]),MATCH("IFF-001",tblKurallar[kural_id],0)),0)</f>
        <v/>
      </c>
      <c r="D8" s="49" t="inlineStr">
        <is>
          <t>oran</t>
        </is>
      </c>
      <c r="E8" s="6" t="inlineStr">
        <is>
          <t>Sabit (eskalasyonsuz) pay</t>
        </is>
      </c>
      <c r="F8" s="23" t="inlineStr">
        <is>
          <t>IFF-001</t>
        </is>
      </c>
      <c r="G8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9">
      <c r="A9" s="47" t="n">
        <v>3</v>
      </c>
      <c r="B9" s="24" t="inlineStr">
        <is>
          <t>Talep eşiği</t>
        </is>
      </c>
      <c r="C9" s="50">
        <f>IFERROR(INDEX(CHOOSE(MAX(1,MIN(3,IF(OR(hesapYili="",hesapYili=0),1,hesapYili-iff_yilTaban))),tblKurallar[deger_2025],tblKurallar[deger_2026],tblKurallar[deger_2027]),MATCH("IFF-002",tblKurallar[kural_id],0)),0)</f>
        <v/>
      </c>
      <c r="D9" s="49" t="inlineStr">
        <is>
          <t>oran</t>
        </is>
      </c>
      <c r="E9" s="6" t="inlineStr">
        <is>
          <t>TALEP ET eşiği</t>
        </is>
      </c>
      <c r="F9" s="23" t="inlineStr">
        <is>
          <t>IFF-002</t>
        </is>
      </c>
      <c r="G9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0">
      <c r="A10" s="47" t="n">
        <v>4</v>
      </c>
      <c r="B10" s="24" t="inlineStr">
        <is>
          <t>Bekle eşiği</t>
        </is>
      </c>
      <c r="C10" s="50">
        <f>IFERROR(INDEX(CHOOSE(MAX(1,MIN(3,IF(OR(hesapYili="",hesapYili=0),1,hesapYili-iff_yilTaban))),tblKurallar[deger_2025],tblKurallar[deger_2026],tblKurallar[deger_2027]),MATCH("IFF-003",tblKurallar[kural_id],0)),0)</f>
        <v/>
      </c>
      <c r="D10" s="49" t="inlineStr">
        <is>
          <t>oran</t>
        </is>
      </c>
      <c r="E10" s="6" t="inlineStr">
        <is>
          <t>BEKLE eşiği</t>
        </is>
      </c>
      <c r="F10" s="23" t="inlineStr">
        <is>
          <t>IFF-003</t>
        </is>
      </c>
      <c r="G10" s="25">
        <f>IFERROR(INDEX(CHOOSE(MAX(1,MIN(3,IF(OR(hesapYili="",hesapYili=0),1,hesapYili-iff_yilTaban))),tblKurallar[deger_2025],tblKurallar[deger_2026],tblKurallar[deger_2027]),MATCH("IFF-003",tblKurallar[kural_id],0)),0)</f>
        <v/>
      </c>
    </row>
    <row r="11">
      <c r="A11" s="47" t="n">
        <v>5</v>
      </c>
      <c r="B11" s="24" t="inlineStr">
        <is>
          <t>Ağırlık tolerans</t>
        </is>
      </c>
      <c r="C11" s="50">
        <f>IFERROR(INDEX(CHOOSE(MAX(1,MIN(3,IF(OR(hesapYili="",hesapYili=0),1,hesapYili-iff_yilTaban))),tblKurallar[deger_2025],tblKurallar[deger_2026],tblKurallar[deger_2027]),MATCH("IFF-004",tblKurallar[kural_id],0)),0)</f>
        <v/>
      </c>
      <c r="D11" s="49" t="inlineStr">
        <is>
          <t>oran</t>
        </is>
      </c>
      <c r="E11" s="6" t="inlineStr">
        <is>
          <t>Ağırlık sapma toleransı</t>
        </is>
      </c>
      <c r="F11" s="23" t="inlineStr">
        <is>
          <t>IFF-004</t>
        </is>
      </c>
      <c r="G11" s="25">
        <f>IFERROR(INDEX(CHOOSE(MAX(1,MIN(3,IF(OR(hesapYili="",hesapYili=0),1,hesapYili-iff_yilTaban))),tblKurallar[deger_2025],tblKurallar[deger_2026],tblKurallar[deger_2027]),MATCH("IFF-004",tblKurallar[kural_id],0)),0)</f>
        <v/>
      </c>
    </row>
    <row r="12">
      <c r="A12" s="47" t="n">
        <v>6</v>
      </c>
      <c r="B12" s="24" t="inlineStr">
        <is>
          <t>Yuvarlama ondalık</t>
        </is>
      </c>
      <c r="C12" s="48">
        <f>IFERROR(INDEX(CHOOSE(MAX(1,MIN(3,IF(OR(hesapYili="",hesapYili=0),1,hesapYili-iff_yilTaban))),tblKurallar[deger_2025],tblKurallar[deger_2026],tblKurallar[deger_2027]),MATCH("IFF-005",tblKurallar[kural_id],0)),0)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23" t="inlineStr">
        <is>
          <t>IFF-005</t>
        </is>
      </c>
      <c r="G12" s="36">
        <f>IFERROR(INDEX(CHOOSE(MAX(1,MIN(3,IF(OR(hesapYili="",hesapYili=0),1,hesapYili-iff_yilTaban))),tblKurallar[deger_2025],tblKurallar[deger_2026],tblKurallar[deger_2027]),MATCH("IFF-005",tblKurallar[kural_id],0)),0)</f>
        <v/>
      </c>
    </row>
    <row r="13">
      <c r="A13" s="47" t="n">
        <v>7</v>
      </c>
      <c r="B13" s="24" t="inlineStr">
        <is>
          <t>Sözleşme bedeli</t>
        </is>
      </c>
      <c r="C13" s="51">
        <f>IFERROR(GIRDI!B9,0)</f>
        <v/>
      </c>
      <c r="D13" s="49" t="inlineStr">
        <is>
          <t>TL</t>
        </is>
      </c>
      <c r="E13" s="6" t="inlineStr">
        <is>
          <t>Sözleşme bedeli</t>
        </is>
      </c>
      <c r="F13" s="23" t="inlineStr">
        <is>
          <t>IFF-001</t>
        </is>
      </c>
      <c r="G13" s="26">
        <f>IFERROR(GIRDI!B9,0)</f>
        <v/>
      </c>
    </row>
    <row r="14">
      <c r="A14" s="47" t="n">
        <v>8</v>
      </c>
      <c r="B14" s="24" t="inlineStr">
        <is>
          <t>Baz endeks</t>
        </is>
      </c>
      <c r="C14" s="48">
        <f>IFERROR(GIRDI!B10,0)</f>
        <v/>
      </c>
      <c r="D14" s="49" t="inlineStr">
        <is>
          <t>adet</t>
        </is>
      </c>
      <c r="E14" s="6" t="inlineStr">
        <is>
          <t>Baz endeks</t>
        </is>
      </c>
      <c r="F14" s="23" t="inlineStr">
        <is>
          <t>IFF-001</t>
        </is>
      </c>
      <c r="G14" s="36">
        <f>IFERROR(GIRDI!B10,0)</f>
        <v/>
      </c>
    </row>
    <row r="15">
      <c r="A15" s="47" t="n">
        <v>9</v>
      </c>
      <c r="B15" s="24" t="inlineStr">
        <is>
          <t>Güncel endeks</t>
        </is>
      </c>
      <c r="C15" s="48">
        <f>IFERROR(GIRDI!B11,0)</f>
        <v/>
      </c>
      <c r="D15" s="49" t="inlineStr">
        <is>
          <t>adet</t>
        </is>
      </c>
      <c r="E15" s="6" t="inlineStr">
        <is>
          <t>Güncel endeks</t>
        </is>
      </c>
      <c r="F15" s="23" t="inlineStr">
        <is>
          <t>IFF-001</t>
        </is>
      </c>
      <c r="G15" s="36">
        <f>IFERROR(GIRDI!B11,0)</f>
        <v/>
      </c>
    </row>
    <row r="16">
      <c r="A16" s="47" t="n">
        <v>10</v>
      </c>
      <c r="B16" s="24" t="inlineStr">
        <is>
          <t>İşçilik ağırlığı</t>
        </is>
      </c>
      <c r="C16" s="50">
        <f>IFERROR(GIRDI!B12,0)</f>
        <v/>
      </c>
      <c r="D16" s="49" t="inlineStr">
        <is>
          <t>oran</t>
        </is>
      </c>
      <c r="E16" s="6" t="inlineStr">
        <is>
          <t>İşçilik payı</t>
        </is>
      </c>
      <c r="F16" s="23" t="inlineStr">
        <is>
          <t>IFF-004</t>
        </is>
      </c>
      <c r="G16" s="25">
        <f>IFERROR(GIRDI!B12,0)</f>
        <v/>
      </c>
    </row>
    <row r="17">
      <c r="A17" s="47" t="n">
        <v>11</v>
      </c>
      <c r="B17" s="24" t="inlineStr">
        <is>
          <t>Malzeme ağırlığı</t>
        </is>
      </c>
      <c r="C17" s="50">
        <f>IFERROR(GIRDI!B13,0)</f>
        <v/>
      </c>
      <c r="D17" s="49" t="inlineStr">
        <is>
          <t>oran</t>
        </is>
      </c>
      <c r="E17" s="6" t="inlineStr">
        <is>
          <t>Malzeme payı</t>
        </is>
      </c>
      <c r="F17" s="23" t="inlineStr">
        <is>
          <t>IFF-004</t>
        </is>
      </c>
      <c r="G17" s="25">
        <f>IFERROR(GIRDI!B13,0)</f>
        <v/>
      </c>
    </row>
    <row r="18">
      <c r="A18" s="47" t="n">
        <v>12</v>
      </c>
      <c r="B18" s="24" t="inlineStr">
        <is>
          <t>Akaryakıt ağırlığı</t>
        </is>
      </c>
      <c r="C18" s="50">
        <f>IFERROR(GIRDI!B14,0)</f>
        <v/>
      </c>
      <c r="D18" s="49" t="inlineStr">
        <is>
          <t>oran</t>
        </is>
      </c>
      <c r="E18" s="6" t="inlineStr">
        <is>
          <t>Akaryakıt payı</t>
        </is>
      </c>
      <c r="F18" s="23" t="inlineStr">
        <is>
          <t>IFF-004</t>
        </is>
      </c>
      <c r="G18" s="25">
        <f>IFERROR(GIRDI!B14,0)</f>
        <v/>
      </c>
    </row>
    <row r="19">
      <c r="A19" s="47" t="n">
        <v>13</v>
      </c>
      <c r="B19" s="24" t="inlineStr">
        <is>
          <t>Hakediş tutarı</t>
        </is>
      </c>
      <c r="C19" s="51">
        <f>IFERROR(GIRDI!B15,0)</f>
        <v/>
      </c>
      <c r="D19" s="49" t="inlineStr">
        <is>
          <t>TL</t>
        </is>
      </c>
      <c r="E19" s="6" t="inlineStr">
        <is>
          <t>Dönem hakedişi</t>
        </is>
      </c>
      <c r="F19" s="23" t="inlineStr">
        <is>
          <t>IFF-001</t>
        </is>
      </c>
      <c r="G19" s="26">
        <f>IFERROR(GIRDI!B15,0)</f>
        <v/>
      </c>
    </row>
    <row r="20">
      <c r="A20" s="47" t="n">
        <v>14</v>
      </c>
      <c r="B20" s="24" t="inlineStr">
        <is>
          <t>Sabit efektif</t>
        </is>
      </c>
      <c r="C20" s="50">
        <f>IFERROR(IF(GIRDI!B16="B",MIN(1,G8+iff_oranArtisPuan),G8),0)</f>
        <v/>
      </c>
      <c r="D20" s="49" t="inlineStr">
        <is>
          <t>oran</t>
        </is>
      </c>
      <c r="E20" s="6" t="inlineStr">
        <is>
          <t>Yorum A/B sabit pay</t>
        </is>
      </c>
      <c r="F20" s="23" t="inlineStr">
        <is>
          <t>IFF-001</t>
        </is>
      </c>
      <c r="G20" s="25">
        <f>IFERROR(IF(GIRDI!B16="B",MIN(1,G8+iff_oranArtisPuan),G8),0)</f>
        <v/>
      </c>
    </row>
    <row r="21">
      <c r="A21" s="47" t="n">
        <v>15</v>
      </c>
      <c r="B21" s="24" t="inlineStr">
        <is>
          <t>Endeks oranı</t>
        </is>
      </c>
      <c r="C21" s="50">
        <f>IFERROR(IF(G14=0,0,G15/G14),0)</f>
        <v/>
      </c>
      <c r="D21" s="49" t="inlineStr">
        <is>
          <t>oran</t>
        </is>
      </c>
      <c r="E21" s="6" t="inlineStr">
        <is>
          <t>Güncel/baz</t>
        </is>
      </c>
      <c r="F21" s="23" t="inlineStr">
        <is>
          <t>IFF-001</t>
        </is>
      </c>
      <c r="G21" s="25">
        <f>IFERROR(IF(G14=0,0,G15/G14),0)</f>
        <v/>
      </c>
    </row>
    <row r="22">
      <c r="A22" s="47" t="n">
        <v>16</v>
      </c>
      <c r="B22" s="24" t="inlineStr">
        <is>
          <t>Ağırlık toplam</t>
        </is>
      </c>
      <c r="C22" s="50">
        <f>IFERROR(G16+G17+G18,0)</f>
        <v/>
      </c>
      <c r="D22" s="49" t="inlineStr">
        <is>
          <t>oran</t>
        </is>
      </c>
      <c r="E22" s="6" t="inlineStr">
        <is>
          <t>Kalem ağırlık toplamı</t>
        </is>
      </c>
      <c r="F22" s="23" t="inlineStr">
        <is>
          <t>IFF-004</t>
        </is>
      </c>
      <c r="G22" s="25">
        <f>IFERROR(G16+G17+G18,0)</f>
        <v/>
      </c>
    </row>
    <row r="23">
      <c r="A23" s="47" t="n">
        <v>17</v>
      </c>
      <c r="B23" s="24" t="inlineStr">
        <is>
          <t>Ağırlık sapması</t>
        </is>
      </c>
      <c r="C23" s="50">
        <f>IFERROR(ABS(G22-1),0)</f>
        <v/>
      </c>
      <c r="D23" s="49" t="inlineStr">
        <is>
          <t>oran</t>
        </is>
      </c>
      <c r="E23" s="6" t="inlineStr">
        <is>
          <t>|toplam−1|</t>
        </is>
      </c>
      <c r="F23" s="23" t="inlineStr">
        <is>
          <t>IFF-004</t>
        </is>
      </c>
      <c r="G23" s="25">
        <f>IFERROR(ABS(G22-1),0)</f>
        <v/>
      </c>
    </row>
    <row r="24">
      <c r="A24" s="47" t="n">
        <v>18</v>
      </c>
      <c r="B24" s="24" t="inlineStr">
        <is>
          <t>Pn katsayısı</t>
        </is>
      </c>
      <c r="C24" s="50">
        <f>IFERROR(G20+(1-G20)*G21,0)</f>
        <v/>
      </c>
      <c r="D24" s="49" t="inlineStr">
        <is>
          <t>oran</t>
        </is>
      </c>
      <c r="E24" s="6" t="inlineStr">
        <is>
          <t>Sabit + değişken×endeks</t>
        </is>
      </c>
      <c r="F24" s="23" t="inlineStr">
        <is>
          <t>IFF-001</t>
        </is>
      </c>
      <c r="G24" s="25">
        <f>IFERROR(G20+(1-G20)*G21,0)</f>
        <v/>
      </c>
    </row>
    <row r="25">
      <c r="A25" s="47" t="n">
        <v>19</v>
      </c>
      <c r="B25" s="24" t="inlineStr">
        <is>
          <t>Fiyat farkı ham</t>
        </is>
      </c>
      <c r="C25" s="51">
        <f>IFERROR(G19*(G24-1),0)</f>
        <v/>
      </c>
      <c r="D25" s="49" t="inlineStr">
        <is>
          <t>TL</t>
        </is>
      </c>
      <c r="E25" s="6" t="inlineStr">
        <is>
          <t>Hakediş×(Pn−1)</t>
        </is>
      </c>
      <c r="F25" s="23" t="inlineStr">
        <is>
          <t>IFF-001</t>
        </is>
      </c>
      <c r="G25" s="26">
        <f>IFERROR(G19*(G24-1),0)</f>
        <v/>
      </c>
    </row>
    <row r="26">
      <c r="A26" s="47" t="n">
        <v>20</v>
      </c>
      <c r="B26" s="24" t="inlineStr">
        <is>
          <t>Fiyat farkı</t>
        </is>
      </c>
      <c r="C26" s="51">
        <f>IFERROR(ROUND(G25,MAX(0,MIN(iff_yuvarMax,IFERROR(N(G12),0)))),0)</f>
        <v/>
      </c>
      <c r="D26" s="49" t="inlineStr">
        <is>
          <t>TL</t>
        </is>
      </c>
      <c r="E26" s="6" t="inlineStr">
        <is>
          <t>Yuvarlanmış fiyat farkı</t>
        </is>
      </c>
      <c r="F26" s="23" t="inlineStr">
        <is>
          <t>IFF-005</t>
        </is>
      </c>
      <c r="G26" s="26">
        <f>IFERROR(ROUND(G25,MAX(0,MIN(iff_yuvarMax,IFERROR(N(G12),0)))),0)</f>
        <v/>
      </c>
    </row>
    <row r="27">
      <c r="A27" s="47" t="n">
        <v>21</v>
      </c>
      <c r="B27" s="24" t="inlineStr">
        <is>
          <t>Fiyat farkı oranı</t>
        </is>
      </c>
      <c r="C27" s="50">
        <f>IFERROR(IF(G19=0,0,G26/G19),0)</f>
        <v/>
      </c>
      <c r="D27" s="49" t="inlineStr">
        <is>
          <t>oran</t>
        </is>
      </c>
      <c r="E27" s="6" t="inlineStr">
        <is>
          <t>Fark/hakediş</t>
        </is>
      </c>
      <c r="F27" s="23" t="inlineStr">
        <is>
          <t>IFF-002</t>
        </is>
      </c>
      <c r="G27" s="25">
        <f>IFERROR(IF(G19=0,0,G26/G19),0)</f>
        <v/>
      </c>
    </row>
    <row r="28">
      <c r="A28" s="47" t="n">
        <v>22</v>
      </c>
      <c r="B28" s="24" t="inlineStr">
        <is>
          <t>Potansiyel / fark</t>
        </is>
      </c>
      <c r="C28" s="51">
        <f>IFERROR(G26,0)</f>
        <v/>
      </c>
      <c r="D28" s="49" t="inlineStr">
        <is>
          <t>TL</t>
        </is>
      </c>
      <c r="E28" s="6" t="inlineStr">
        <is>
          <t>Fiyat farkı (G28)</t>
        </is>
      </c>
      <c r="F28" s="23" t="inlineStr">
        <is>
          <t>IFF-001</t>
        </is>
      </c>
      <c r="G28" s="26">
        <f>IFERROR(G26,0)</f>
        <v/>
      </c>
    </row>
    <row r="29">
      <c r="A29" s="47" t="n">
        <v>23</v>
      </c>
      <c r="B29" s="24" t="inlineStr">
        <is>
          <t>Açık (ham kopya)</t>
        </is>
      </c>
      <c r="C29" s="51">
        <f>IFERROR(G28,0)</f>
        <v/>
      </c>
      <c r="D29" s="49" t="inlineStr">
        <is>
          <t>TL</t>
        </is>
      </c>
      <c r="E29" s="6" t="inlineStr">
        <is>
          <t>Ayna</t>
        </is>
      </c>
      <c r="F29" s="23" t="inlineStr">
        <is>
          <t>IFF-001</t>
        </is>
      </c>
      <c r="G29" s="26">
        <f>IFERROR(G28,0)</f>
        <v/>
      </c>
    </row>
    <row r="30">
      <c r="A30" s="47" t="n">
        <v>24</v>
      </c>
      <c r="B30" s="24" t="inlineStr">
        <is>
          <t>Kaçırılan / fark</t>
        </is>
      </c>
      <c r="C30" s="51">
        <f>IFERROR(G26,0)</f>
        <v/>
      </c>
      <c r="D30" s="49" t="inlineStr">
        <is>
          <t>TL</t>
        </is>
      </c>
      <c r="E30" s="6" t="inlineStr">
        <is>
          <t>Karar için fark</t>
        </is>
      </c>
      <c r="F30" s="23" t="inlineStr">
        <is>
          <t>IFF-001</t>
        </is>
      </c>
      <c r="G30" s="26">
        <f>IFERROR(G26,0)</f>
        <v/>
      </c>
    </row>
    <row r="31">
      <c r="A31" s="47" t="n">
        <v>25</v>
      </c>
      <c r="B31" s="24" t="inlineStr">
        <is>
          <t>Pn iyimser</t>
        </is>
      </c>
      <c r="C31" s="50">
        <f>IFERROR(G20+(1-G20)*G21*iff_senaryoIyi,0)</f>
        <v/>
      </c>
      <c r="D31" s="49" t="inlineStr">
        <is>
          <t>oran</t>
        </is>
      </c>
      <c r="E31" s="6" t="inlineStr">
        <is>
          <t>İyimser Pn</t>
        </is>
      </c>
      <c r="F31" s="23" t="inlineStr">
        <is>
          <t>IFF-001</t>
        </is>
      </c>
      <c r="G31" s="25">
        <f>IFERROR(G20+(1-G20)*G21*iff_senaryoIyi,0)</f>
        <v/>
      </c>
    </row>
    <row r="32">
      <c r="A32" s="47" t="n">
        <v>26</v>
      </c>
      <c r="B32" s="24" t="inlineStr">
        <is>
          <t>Pn kötümser</t>
        </is>
      </c>
      <c r="C32" s="50">
        <f>IFERROR(G20+(1-G20)*G21*iff_senaryoKotu,0)</f>
        <v/>
      </c>
      <c r="D32" s="49" t="inlineStr">
        <is>
          <t>oran</t>
        </is>
      </c>
      <c r="E32" s="6" t="inlineStr">
        <is>
          <t>Kötümser Pn</t>
        </is>
      </c>
      <c r="F32" s="23" t="inlineStr">
        <is>
          <t>IFF-001</t>
        </is>
      </c>
      <c r="G32" s="25">
        <f>IFERROR(G20+(1-G20)*G21*iff_senaryoKotu,0)</f>
        <v/>
      </c>
    </row>
    <row r="33">
      <c r="A33" s="47" t="n">
        <v>27</v>
      </c>
      <c r="B33" s="24" t="inlineStr">
        <is>
          <t>Karar kodu</t>
        </is>
      </c>
      <c r="C33" s="21">
        <f>IFERROR(IF(COUNTA(tblGirdi[Alan Anahtarı])=0,"VERI_YOK",IF(OR(G19&lt;=0,G14&lt;=0),"VAZGEC",IF(G27&gt;=G9,"TALEP",IF(G27&gt;=G10,"BEKLE","VAZGEC")))),"")</f>
        <v/>
      </c>
      <c r="D33" s="49" t="inlineStr">
        <is>
          <t>kod</t>
        </is>
      </c>
      <c r="E33" s="6" t="inlineStr">
        <is>
          <t>Karar kodu</t>
        </is>
      </c>
      <c r="F33" s="23" t="inlineStr">
        <is>
          <t>IFF-005</t>
        </is>
      </c>
      <c r="G33" s="27">
        <f>IFERROR(IF(COUNTA(tblGirdi[Alan Anahtarı])=0,"VERI_YOK",IF(OR(G19&lt;=0,G14&lt;=0),"VAZGEC",IF(G27&gt;=G9,"TALEP",IF(G27&gt;=G10,"BEKLE","VAZGEC")))),"")</f>
        <v/>
      </c>
    </row>
    <row r="34">
      <c r="A34" s="47" t="n">
        <v>28</v>
      </c>
      <c r="B34" s="24" t="inlineStr">
        <is>
          <t>Karar metni</t>
        </is>
      </c>
      <c r="C34" s="21">
        <f>IFERROR(IF(G33="VERI_YOK","VERİ YOK",IF(G33="TALEP","TALEP ET",IF(G33="BEKLE","BEKLE","VAZGEÇ"))),"")</f>
        <v/>
      </c>
      <c r="D34" s="49" t="inlineStr">
        <is>
          <t>metin</t>
        </is>
      </c>
      <c r="E34" s="6" t="inlineStr">
        <is>
          <t>Kullanıcıya karar</t>
        </is>
      </c>
      <c r="F34" s="23" t="inlineStr">
        <is>
          <t>IFF-005</t>
        </is>
      </c>
      <c r="G34" s="27">
        <f>IFERROR(IF(G33="VERI_YOK","VERİ YOK",IF(G33="TALEP","TALEP ET",IF(G33="BEKLE","BEKLE","VAZGEÇ"))),"")</f>
        <v/>
      </c>
    </row>
    <row r="35">
      <c r="A35" s="47" t="n">
        <v>29</v>
      </c>
      <c r="B35" s="24" t="inlineStr">
        <is>
          <t>Gerekçe</t>
        </is>
      </c>
      <c r="C35" s="21">
        <f>IFERROR(IF(G33="VERI_YOK","Giriş tablosu boş — hesap yapılamaz.",IF(G33="TALEP","Fiyat farkı oranı talep eşiğinin üzerinde; talep dosyası hazırlayın.",IF(G33="BEKLE","Fark bekle bandında; endeks AND hakediş dönemini izleyin.","Fiyat farkı düşük, endeks/hakediş eksik veya olumsuz; talep maliyetine değmeyebilir."))),"")</f>
        <v/>
      </c>
      <c r="D35" s="49" t="inlineStr">
        <is>
          <t>metin</t>
        </is>
      </c>
      <c r="E35" s="6" t="inlineStr">
        <is>
          <t>Gerekçe cümlesi</t>
        </is>
      </c>
      <c r="F35" s="23" t="inlineStr">
        <is>
          <t>IFF-005</t>
        </is>
      </c>
      <c r="G35" s="27">
        <f>IFERROR(IF(G33="VERI_YOK","Giriş tablosu boş — hesap yapılamaz.",IF(G33="TALEP","Fiyat farkı oranı talep eşiğinin üzerinde; talep dosyası hazırlayın.",IF(G33="BEKLE","Fark bekle bandında; endeks AND hakediş dönemini izleyin.","Fiyat farkı düşük, endeks/hakediş eksik veya olumsuz; talep maliyetine değmeyebilir."))),"")</f>
        <v/>
      </c>
    </row>
    <row r="36">
      <c r="A36" s="47" t="n">
        <v>30</v>
      </c>
      <c r="B36" s="24" t="inlineStr">
        <is>
          <t>Hakediş / sözleşme</t>
        </is>
      </c>
      <c r="C36" s="50">
        <f>IFERROR(IF(G13=0,0,G19/G13),0)</f>
        <v/>
      </c>
      <c r="D36" s="49" t="inlineStr">
        <is>
          <t>oran</t>
        </is>
      </c>
      <c r="E36" s="6" t="inlineStr">
        <is>
          <t>Hakediş yoğunluğu</t>
        </is>
      </c>
      <c r="F36" s="23" t="inlineStr">
        <is>
          <t>IFF-001</t>
        </is>
      </c>
      <c r="G36" s="25">
        <f>IFERROR(IF(G13=0,0,G19/G13),0)</f>
        <v/>
      </c>
    </row>
    <row r="37">
      <c r="A37" s="47" t="n">
        <v>31</v>
      </c>
      <c r="B37" s="24" t="inlineStr">
        <is>
          <t>Fark / sözleşme</t>
        </is>
      </c>
      <c r="C37" s="50">
        <f>IFERROR(IF(G13=0,0,G30/G13),0)</f>
        <v/>
      </c>
      <c r="D37" s="49" t="inlineStr">
        <is>
          <t>oran</t>
        </is>
      </c>
      <c r="E37" s="6" t="inlineStr">
        <is>
          <t>Fark oranı (sözleşme)</t>
        </is>
      </c>
      <c r="F37" s="23" t="inlineStr">
        <is>
          <t>IFF-001</t>
        </is>
      </c>
      <c r="G37" s="25">
        <f>IFERROR(IF(G13=0,0,G30/G13),0)</f>
        <v/>
      </c>
    </row>
    <row r="38">
      <c r="A38" s="47" t="n">
        <v>32</v>
      </c>
      <c r="B38" s="24" t="inlineStr">
        <is>
          <t>Güven skoru</t>
        </is>
      </c>
      <c r="C38" s="48">
        <f>IFERROR(ROUND(IF(OR(COUNTA(GIRDI!B6:B16)=0,iff_girisBeklenen=0),0,COUNTA(GIRDI!B6:B16)/iff_girisBeklenen*100),0),0)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23" t="inlineStr">
        <is>
          <t>IFF-005</t>
        </is>
      </c>
      <c r="G38" s="36">
        <f>IFERROR(ROUND(IF(OR(COUNTA(GIRDI!B6:B16)=0,iff_girisBeklenen=0),0,COUNTA(GIRDI!B6:B16)/iff_girisBeklenen*100),0),0)</f>
        <v/>
      </c>
    </row>
    <row r="39">
      <c r="A39" s="47" t="n">
        <v>33</v>
      </c>
      <c r="B39" s="24" t="inlineStr">
        <is>
          <t>Risk skoru</t>
        </is>
      </c>
      <c r="C39" s="48">
        <f>IFERROR(IF(G33="VERI_YOK",0,IF(G33="TALEP",iff_riskDusuk,IF(G33="BEKLE",iff_riskOrta,iff_riskYuksek))),0)</f>
        <v/>
      </c>
      <c r="D39" s="49" t="inlineStr">
        <is>
          <t>puan</t>
        </is>
      </c>
      <c r="E39" s="6" t="inlineStr">
        <is>
          <t>Talep riski (ters)</t>
        </is>
      </c>
      <c r="F39" s="23" t="inlineStr">
        <is>
          <t>IFF-005</t>
        </is>
      </c>
      <c r="G39" s="36">
        <f>IFERROR(IF(G33="VERI_YOK",0,IF(G33="TALEP",iff_riskDusuk,IF(G33="BEKLE",iff_riskOrta,iff_riskYuksek))),0)</f>
        <v/>
      </c>
    </row>
    <row r="40">
      <c r="A40" s="47" t="n">
        <v>34</v>
      </c>
      <c r="B40" s="24" t="inlineStr">
        <is>
          <t>Senaryo iyimser fark</t>
        </is>
      </c>
      <c r="C40" s="51">
        <f>IFERROR(ROUND(G19*(G31-1),MAX(0,MIN(iff_yuvarMax,IFERROR(N(G12),0)))),0)</f>
        <v/>
      </c>
      <c r="D40" s="49" t="inlineStr">
        <is>
          <t>TL</t>
        </is>
      </c>
      <c r="E40" s="6" t="inlineStr">
        <is>
          <t>İyimser fark</t>
        </is>
      </c>
      <c r="F40" s="23" t="inlineStr">
        <is>
          <t>IFF-001</t>
        </is>
      </c>
      <c r="G40" s="26">
        <f>IFERROR(ROUND(G19*(G31-1),MAX(0,MIN(iff_yuvarMax,IFERROR(N(G12),0)))),0)</f>
        <v/>
      </c>
    </row>
    <row r="41">
      <c r="A41" s="47" t="n">
        <v>35</v>
      </c>
      <c r="B41" s="24" t="inlineStr">
        <is>
          <t>Senaryo kötümser fark</t>
        </is>
      </c>
      <c r="C41" s="51">
        <f>IFERROR(ROUND(G19*(G32-1),MAX(0,MIN(iff_yuvarMax,IFERROR(N(G12),0)))),0)</f>
        <v/>
      </c>
      <c r="D41" s="49" t="inlineStr">
        <is>
          <t>TL</t>
        </is>
      </c>
      <c r="E41" s="6" t="inlineStr">
        <is>
          <t>Kötümser fark</t>
        </is>
      </c>
      <c r="F41" s="23" t="inlineStr">
        <is>
          <t>IFF-001</t>
        </is>
      </c>
      <c r="G41" s="26">
        <f>IFERROR(ROUND(G19*(G32-1),MAX(0,MIN(iff_yuvarMax,IFERROR(N(G12),0)))),0)</f>
        <v/>
      </c>
    </row>
    <row r="42">
      <c r="A42" s="47" t="n">
        <v>36</v>
      </c>
      <c r="B42" s="24" t="inlineStr">
        <is>
          <t>İyimser açık</t>
        </is>
      </c>
      <c r="C42" s="51">
        <f>IFERROR(G40,0)</f>
        <v/>
      </c>
      <c r="D42" s="49" t="inlineStr">
        <is>
          <t>TL</t>
        </is>
      </c>
      <c r="E42" s="6" t="inlineStr">
        <is>
          <t>İyimser fark ayna</t>
        </is>
      </c>
      <c r="F42" s="23" t="inlineStr">
        <is>
          <t>IFF-001</t>
        </is>
      </c>
      <c r="G42" s="26">
        <f>IFERROR(G40,0)</f>
        <v/>
      </c>
    </row>
    <row r="43">
      <c r="A43" s="47" t="n">
        <v>37</v>
      </c>
      <c r="B43" s="24" t="inlineStr">
        <is>
          <t>Kötümser açık</t>
        </is>
      </c>
      <c r="C43" s="51">
        <f>IFERROR(G41,0)</f>
        <v/>
      </c>
      <c r="D43" s="49" t="inlineStr">
        <is>
          <t>TL</t>
        </is>
      </c>
      <c r="E43" s="6" t="inlineStr">
        <is>
          <t>Kötümser fark ayna</t>
        </is>
      </c>
      <c r="F43" s="23" t="inlineStr">
        <is>
          <t>IFF-001</t>
        </is>
      </c>
      <c r="G43" s="26">
        <f>IFERROR(G41,0)</f>
        <v/>
      </c>
    </row>
    <row r="44">
      <c r="A44" s="47" t="n">
        <v>38</v>
      </c>
      <c r="B44" s="24" t="inlineStr">
        <is>
          <t>M-SEN sabit+</t>
        </is>
      </c>
      <c r="C44" s="50">
        <f>IFERROR(G8+iff_oranArtisPuan,0)</f>
        <v/>
      </c>
      <c r="D44" s="49" t="inlineStr">
        <is>
          <t>oran</t>
        </is>
      </c>
      <c r="E44" s="6" t="inlineStr">
        <is>
          <t>Sabit + delta</t>
        </is>
      </c>
      <c r="F44" s="23" t="inlineStr">
        <is>
          <t>IFF-001</t>
        </is>
      </c>
      <c r="G44" s="25">
        <f>IFERROR(G8+iff_oranArtisPuan,0)</f>
        <v/>
      </c>
    </row>
    <row r="45">
      <c r="A45" s="47" t="n">
        <v>39</v>
      </c>
      <c r="B45" s="24" t="inlineStr">
        <is>
          <t>M-SEN Pn</t>
        </is>
      </c>
      <c r="C45" s="50">
        <f>IFERROR(G44+(1-G44)*G21,0)</f>
        <v/>
      </c>
      <c r="D45" s="49" t="inlineStr">
        <is>
          <t>oran</t>
        </is>
      </c>
      <c r="E45" s="6" t="inlineStr">
        <is>
          <t>M-SEN Pn</t>
        </is>
      </c>
      <c r="F45" s="23" t="inlineStr">
        <is>
          <t>IFF-001</t>
        </is>
      </c>
      <c r="G45" s="25">
        <f>IFERROR(G44+(1-G44)*G21,0)</f>
        <v/>
      </c>
    </row>
    <row r="46">
      <c r="A46" s="47" t="n">
        <v>40</v>
      </c>
      <c r="B46" s="24" t="inlineStr">
        <is>
          <t>M-SEN fark</t>
        </is>
      </c>
      <c r="C46" s="51">
        <f>IFERROR(ROUND(G19*(G45-1),MAX(0,MIN(iff_yuvarMax,IFERROR(N(G12),0)))),0)</f>
        <v/>
      </c>
      <c r="D46" s="49" t="inlineStr">
        <is>
          <t>TL</t>
        </is>
      </c>
      <c r="E46" s="6" t="inlineStr">
        <is>
          <t>M-SEN farkı</t>
        </is>
      </c>
      <c r="F46" s="23" t="inlineStr">
        <is>
          <t>IFF-001</t>
        </is>
      </c>
      <c r="G46" s="26">
        <f>IFERROR(ROUND(G19*(G45-1),MAX(0,MIN(iff_yuvarMax,IFERROR(N(G12),0)))),0)</f>
        <v/>
      </c>
    </row>
    <row r="47">
      <c r="A47" s="47" t="n">
        <v>41</v>
      </c>
      <c r="B47" s="24" t="inlineStr">
        <is>
          <t>Tahmin üst</t>
        </is>
      </c>
      <c r="C47" s="51">
        <f>IFERROR(G30*iff_tahminUst,0)</f>
        <v/>
      </c>
      <c r="D47" s="49" t="inlineStr">
        <is>
          <t>TL</t>
        </is>
      </c>
      <c r="E47" s="6" t="inlineStr">
        <is>
          <t>Tahmin üst bant</t>
        </is>
      </c>
      <c r="F47" s="23" t="inlineStr">
        <is>
          <t>IFF-005</t>
        </is>
      </c>
      <c r="G47" s="26">
        <f>IFERROR(G30*iff_tahminUst,0)</f>
        <v/>
      </c>
    </row>
    <row r="48">
      <c r="A48" s="47" t="n">
        <v>42</v>
      </c>
      <c r="B48" s="24" t="inlineStr">
        <is>
          <t>Tahmin alt</t>
        </is>
      </c>
      <c r="C48" s="51">
        <f>IFERROR(G30*iff_tahminAlt,0)</f>
        <v/>
      </c>
      <c r="D48" s="49" t="inlineStr">
        <is>
          <t>TL</t>
        </is>
      </c>
      <c r="E48" s="6" t="inlineStr">
        <is>
          <t>Tahmin alt bant</t>
        </is>
      </c>
      <c r="F48" s="23" t="inlineStr">
        <is>
          <t>IFF-005</t>
        </is>
      </c>
      <c r="G48" s="26">
        <f>IFERROR(G30*iff_tahminAlt,0)</f>
        <v/>
      </c>
    </row>
    <row r="49">
      <c r="A49" s="47" t="n">
        <v>43</v>
      </c>
      <c r="B49" s="24" t="inlineStr">
        <is>
          <t>Tornado: endeks etkisi</t>
        </is>
      </c>
      <c r="C49" s="51">
        <f>IFERROR(ABS(ROUND(G19*((G20+(1-G20)*G21*iff_tornadoMatrah)-1),MAX(0,MIN(iff_yuvarMax,IFERROR(N(G12),0))))-G28),0)</f>
        <v/>
      </c>
      <c r="D49" s="49" t="inlineStr">
        <is>
          <t>TL</t>
        </is>
      </c>
      <c r="E49" s="6" t="inlineStr">
        <is>
          <t>Endeks ± etki</t>
        </is>
      </c>
      <c r="F49" s="23" t="inlineStr">
        <is>
          <t>IFF-001</t>
        </is>
      </c>
      <c r="G49" s="26">
        <f>IFERROR(ABS(ROUND(G19*((G20+(1-G20)*G21*iff_tornadoMatrah)-1),MAX(0,MIN(iff_yuvarMax,IFERROR(N(G12),0))))-G28),0)</f>
        <v/>
      </c>
    </row>
    <row r="50">
      <c r="A50" s="47" t="n">
        <v>44</v>
      </c>
      <c r="B50" s="24" t="inlineStr">
        <is>
          <t>Tornado: hakediş etkisi</t>
        </is>
      </c>
      <c r="C50" s="51">
        <f>IFERROR(ABS(ROUND(G19*iff_tornadoMevcut*(G24-1),MAX(0,MIN(iff_yuvarMax,IFERROR(N(G12),0))))-G30),0)</f>
        <v/>
      </c>
      <c r="D50" s="49" t="inlineStr">
        <is>
          <t>TL</t>
        </is>
      </c>
      <c r="E50" s="6" t="inlineStr">
        <is>
          <t>Hakediş ± etki</t>
        </is>
      </c>
      <c r="F50" s="23" t="inlineStr">
        <is>
          <t>IFF-001</t>
        </is>
      </c>
      <c r="G50" s="26">
        <f>IFERROR(ABS(ROUND(G19*iff_tornadoMevcut*(G24-1),MAX(0,MIN(iff_yuvarMax,IFERROR(N(G12),0))))-G30),0)</f>
        <v/>
      </c>
    </row>
    <row r="51">
      <c r="A51" s="47" t="n">
        <v>45</v>
      </c>
      <c r="B51" s="24" t="inlineStr">
        <is>
          <t>Tornado: sabit etkisi</t>
        </is>
      </c>
      <c r="C51" s="51">
        <f>IFERROR(ABS(ROUND(G19*(((G8+iff_oranArtisPuan)+(1-(G8+iff_oranArtisPuan))*G21)-1),MAX(0,MIN(iff_yuvarMax,IFERROR(N(G12),0))))-G28),0)</f>
        <v/>
      </c>
      <c r="D51" s="49" t="inlineStr">
        <is>
          <t>TL</t>
        </is>
      </c>
      <c r="E51" s="6" t="inlineStr">
        <is>
          <t>Sabit ± etki</t>
        </is>
      </c>
      <c r="F51" s="23" t="inlineStr">
        <is>
          <t>IFF-001</t>
        </is>
      </c>
      <c r="G51" s="26">
        <f>IFERROR(ABS(ROUND(G19*(((G8+iff_oranArtisPuan)+(1-(G8+iff_oranArtisPuan))*G21)-1),MAX(0,MIN(iff_yuvarMax,IFERROR(N(G12),0))))-G28),0)</f>
        <v/>
      </c>
    </row>
    <row r="52">
      <c r="A52" s="47" t="n">
        <v>46</v>
      </c>
      <c r="B52" s="24" t="inlineStr">
        <is>
          <t>Madde atıf özeti</t>
        </is>
      </c>
      <c r="C52" s="21">
        <f>IFERROR(_xlfn.TEXTJOIN(" | ",TRUE,"IFF-001→sabit pay","IFF-002→talep","IFF-003→bekle","IFF-004→ağırlık"),"")</f>
        <v/>
      </c>
      <c r="D52" s="49" t="inlineStr">
        <is>
          <t>metin</t>
        </is>
      </c>
      <c r="E52" s="6" t="inlineStr">
        <is>
          <t>Kanıt atıfları</t>
        </is>
      </c>
      <c r="F52" s="23" t="inlineStr">
        <is>
          <t>IFF-001</t>
        </is>
      </c>
      <c r="G52" s="27">
        <f>IFERROR(_xlfn.TEXTJOIN(" | ",TRUE,"IFF-001→sabit pay","IFF-002→talep","IFF-003→bekle","IFF-004→ağırlık"),"")</f>
        <v/>
      </c>
    </row>
    <row r="53">
      <c r="A53" s="47" t="n">
        <v>47</v>
      </c>
      <c r="B53" s="24" t="inlineStr">
        <is>
          <t>Kanıt satır özeti</t>
        </is>
      </c>
      <c r="C53" s="21">
        <f>IFERROR(_xlfn.TEXTJOIN(" · ",TRUE,"Pn=",TEXT(G24,"0.000"),"Hakediş=",TEXT(G19,"₺ #,##0"),"Fark=",TEXT(G30,"₺ #,##0"),"Oran=",TEXT(G27,"0.0%")),"")</f>
        <v/>
      </c>
      <c r="D53" s="49" t="inlineStr">
        <is>
          <t>metin</t>
        </is>
      </c>
      <c r="E53" s="6" t="inlineStr">
        <is>
          <t>Rapor özeti</t>
        </is>
      </c>
      <c r="F53" s="23" t="inlineStr">
        <is>
          <t>IFF-005</t>
        </is>
      </c>
      <c r="G53" s="27">
        <f>IFERROR(_xlfn.TEXTJOIN(" · ",TRUE,"Pn=",TEXT(G24,"0.000"),"Hakediş=",TEXT(G19,"₺ #,##0"),"Fark=",TEXT(G30,"₺ #,##0"),"Oran=",TEXT(G27,"0.0%")),"")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F7="IFF-001"</formula>
    </cfRule>
    <cfRule type="expression" priority="3" dxfId="3">
      <formula>F7="IFF-005"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İhale Fiyat Farkı (Eskalasyon) Pro</t>
        </is>
      </c>
    </row>
    <row r="3" ht="22" customHeight="1">
      <c r="A3" s="226" t="inlineStr">
        <is>
          <t>Senaryo ve duyarlılık</t>
        </is>
      </c>
    </row>
    <row r="5">
      <c r="A5" s="52" t="inlineStr">
        <is>
          <t>Senaryo</t>
        </is>
      </c>
      <c r="B5" s="52" t="inlineStr">
        <is>
          <t>Endeks Çarpanı</t>
        </is>
      </c>
      <c r="C5" s="52" t="inlineStr">
        <is>
          <t>Fiyat Farkı</t>
        </is>
      </c>
      <c r="D5" s="52" t="inlineStr">
        <is>
          <t>Net Fark</t>
        </is>
      </c>
      <c r="E5" s="52" t="inlineStr">
        <is>
          <t>Karar</t>
        </is>
      </c>
      <c r="G5" s="52" t="inlineStr">
        <is>
          <t>FarkDemo</t>
        </is>
      </c>
    </row>
    <row r="6">
      <c r="A6" s="7" t="inlineStr">
        <is>
          <t>İyimser</t>
        </is>
      </c>
      <c r="B6" s="25">
        <f>IFERROR(iff_senaryoIyi+N(GIRDI!B9)*iff_sifirCarpan,0)</f>
        <v/>
      </c>
      <c r="C6" s="26">
        <f>IFERROR(MOTOR!G40,0)</f>
        <v/>
      </c>
      <c r="D6" s="26">
        <f>IFERROR(MOTOR!G40,0)</f>
        <v/>
      </c>
      <c r="E6" s="27">
        <f>IF(COUNTA(tblGirdi[Alan Anahtarı])=0,"VERİ YOK",IF(D6&gt;=iff_fiyatFarki*iff_tahminAlt,"TALEP ET","BEKLE"))</f>
        <v/>
      </c>
      <c r="G6" s="29" t="n">
        <v>364500</v>
      </c>
    </row>
    <row r="7">
      <c r="A7" s="7" t="inlineStr">
        <is>
          <t>Baz</t>
        </is>
      </c>
      <c r="B7" s="25">
        <f>IFERROR(iff_bazCarpan+N(GIRDI!B9)*iff_sifirCarpan,iff_bazCarpan)</f>
        <v/>
      </c>
      <c r="C7" s="26">
        <f>IFERROR(iff_fiyatFarki,0)</f>
        <v/>
      </c>
      <c r="D7" s="26">
        <f>IFERROR(iff_fiyatFarki,0)</f>
        <v/>
      </c>
      <c r="E7" s="27">
        <f>IF(COUNTA(tblGirdi[Alan Anahtarı])=0,"VERİ YOK",IFERROR(iff_kararMetni,"-"))</f>
        <v/>
      </c>
      <c r="G7" s="29" t="n">
        <v>405000</v>
      </c>
    </row>
    <row r="8">
      <c r="A8" s="7" t="inlineStr">
        <is>
          <t>Kötümser</t>
        </is>
      </c>
      <c r="B8" s="25">
        <f>IFERROR(iff_senaryoKotu+N(GIRDI!B9)*iff_sifirCarpan,0)</f>
        <v/>
      </c>
      <c r="C8" s="26">
        <f>IFERROR(MOTOR!G41,0)</f>
        <v/>
      </c>
      <c r="D8" s="26">
        <f>IFERROR(MOTOR!G41,0)</f>
        <v/>
      </c>
      <c r="E8" s="27">
        <f>IF(COUNTA(tblGirdi[Alan Anahtarı])=0,"VERİ YOK",IF(D8&lt;=0,"VAZGEÇ","BEKLE"))</f>
        <v/>
      </c>
      <c r="G8" s="29" t="n">
        <v>445500</v>
      </c>
    </row>
    <row r="9">
      <c r="A9" s="7" t="inlineStr">
        <is>
          <t>M-SEN +1 puan</t>
        </is>
      </c>
      <c r="B9" s="25">
        <f>IFERROR(iff_bazCarpan+N(GIRDI!B9)*iff_sifirCarpan,iff_bazCarpan)</f>
        <v/>
      </c>
      <c r="C9" s="26">
        <f>IFERROR(MOTOR!G46,0)</f>
        <v/>
      </c>
      <c r="D9" s="26">
        <f>IFERROR(MOTOR!G46,0)</f>
        <v/>
      </c>
      <c r="E9" s="27">
        <f>IF(COUNTA(tblGirdi[Alan Anahtarı])=0,"VERİ YOK",IF(D9=0,"VAZGEÇ","TALEP ET"))</f>
        <v/>
      </c>
      <c r="G9" s="29" t="n">
        <v>382500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2" t="inlineStr">
        <is>
          <t>Değişken</t>
        </is>
      </c>
      <c r="B15" s="52" t="inlineStr">
        <is>
          <t>Etki [₺]</t>
        </is>
      </c>
      <c r="C15" s="52" t="inlineStr">
        <is>
          <t>Sıra</t>
        </is>
      </c>
      <c r="E15" s="52" t="inlineStr">
        <is>
          <t>EtkiDemo</t>
        </is>
      </c>
    </row>
    <row r="16">
      <c r="A16" s="7" t="inlineStr">
        <is>
          <t>Tornado endeks etkisi</t>
        </is>
      </c>
      <c r="B16" s="26">
        <f>IFERROR(MOTOR!G49,0)</f>
        <v/>
      </c>
      <c r="C16" s="36">
        <f>IFERROR(IF(B16&gt;=MAX(B16:B18),iff_siraBir,IF(B16&gt;=MIN(B16:B18)+ABS(B16-B17),iff_siraIki,iff_siraUc)),iff_siraUc)</f>
        <v/>
      </c>
      <c r="E16" s="29" t="n">
        <v>20250</v>
      </c>
    </row>
    <row r="17">
      <c r="A17" s="7" t="inlineStr">
        <is>
          <t>Tornado hakediş etkisi</t>
        </is>
      </c>
      <c r="B17" s="26">
        <f>IFERROR(MOTOR!G50,0)</f>
        <v/>
      </c>
      <c r="C17" s="36">
        <f>IFERROR(IF(B17&gt;=MAX(B16:B18),iff_siraBir,IF(B17=MEDIAN(B16:B18),iff_siraIki,iff_siraUc)),iff_siraUc)</f>
        <v/>
      </c>
      <c r="E17" s="29" t="n">
        <v>20250</v>
      </c>
    </row>
    <row r="18">
      <c r="A18" s="7" t="inlineStr">
        <is>
          <t>Tornado sabit etkisi</t>
        </is>
      </c>
      <c r="B18" s="26">
        <f>IFERROR(MOTOR!G51,0)</f>
        <v/>
      </c>
      <c r="C18" s="36">
        <f>IFERROR(IF(B18&gt;=MAX(B16:B18),iff_siraBir,IF(B18=MEDIAN(B16:B18),iff_siraIki,iff_siraUc)),iff_siraUc)</f>
        <v/>
      </c>
      <c r="E18" s="29" t="n">
        <v>22500</v>
      </c>
    </row>
    <row r="19">
      <c r="A19" s="10" t="inlineStr">
        <is>
          <t>Duyarlılık sıra özeti</t>
        </is>
      </c>
      <c r="B19" s="27">
        <f>IFERROR(CONCATENATE("1)",INDEX(A16:A18,MATCH(iff_siraBir,C16:C18,0))," 2)",INDEX(A16:A18,MATCH(iff_siraIki,C16:C18,0))),"-")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",TRUE,"Sabit pay +1 puan senaryosunda fiyat farkı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iff_kacirilan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26">
        <f>D6</f>
        <v/>
      </c>
      <c r="D28" s="29" t="n">
        <v>364500</v>
      </c>
    </row>
    <row r="29">
      <c r="A29" s="53" t="n">
        <v>2</v>
      </c>
      <c r="B29" s="26">
        <f>D7</f>
        <v/>
      </c>
      <c r="D29" s="29" t="n">
        <v>405000</v>
      </c>
    </row>
    <row r="30">
      <c r="A30" s="53" t="n">
        <v>3</v>
      </c>
      <c r="B30" s="26">
        <f>D8</f>
        <v/>
      </c>
      <c r="D30" s="29" t="n">
        <v>445500</v>
      </c>
    </row>
    <row r="31">
      <c r="A31" s="53" t="n">
        <v>4</v>
      </c>
      <c r="B31" s="26">
        <f>D9</f>
        <v/>
      </c>
      <c r="D31" s="29" t="n">
        <v>382500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51.5" customWidth="1" min="3" max="3"/>
    <col width="18.5" customWidth="1" min="4" max="4"/>
    <col width="14.5" customWidth="1" min="5" max="5"/>
    <col width="12" customWidth="1" min="6" max="6"/>
    <col width="12" customWidth="1" min="7" max="7"/>
    <col width="29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İhale Fiyat Farkı (Eskalasyon) Pro</t>
        </is>
      </c>
    </row>
    <row r="3" ht="22" customHeight="1">
      <c r="A3" s="226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2" t="inlineStr">
        <is>
          <t>BeklenenDemo</t>
        </is>
      </c>
      <c r="K5" s="52" t="inlineStr">
        <is>
          <t>HesapDemo</t>
        </is>
      </c>
    </row>
    <row r="6">
      <c r="A6" s="7" t="inlineStr">
        <is>
          <t>V-001</t>
        </is>
      </c>
      <c r="B6" s="7" t="inlineStr">
        <is>
          <t>Endeks %10 — fiyat farkı</t>
        </is>
      </c>
      <c r="C6" s="7" t="inlineStr">
        <is>
          <t>hakedis=vaka_matrah_1; oran=1.10; sabit=IFF-001</t>
        </is>
      </c>
      <c r="D6" s="54" t="n">
        <v>9000</v>
      </c>
      <c r="E6" s="26">
        <f>IFERROR(ROUND(vaka_matrah_1*((INDEX(tblKurallar[deger_2025],MATCH("IFF-001",tblKurallar[kural_id],0))+(1-INDEX(tblKurallar[deger_2025],MATCH("IFF-001",tblKurallar[kural_id],0)))*vaka_endeks_orani)-1),2),0)</f>
        <v/>
      </c>
      <c r="F6" s="55">
        <f>IF($A6="","",IFERROR($D6-$E6,0))</f>
        <v/>
      </c>
      <c r="G6" s="56">
        <f>IF($A6="","",IFERROR(IF(ABS($F6)&lt;=iff_tolerans,"TUTARLI","KIRIK"),"KIRIK"))</f>
        <v/>
      </c>
      <c r="H6" s="7" t="inlineStr">
        <is>
          <t>Fiyat farkı cetveli örnek</t>
        </is>
      </c>
      <c r="J6" s="29" t="n">
        <v>9000</v>
      </c>
      <c r="K6" s="29" t="n">
        <v>9000</v>
      </c>
    </row>
    <row r="7">
      <c r="A7" s="7" t="inlineStr">
        <is>
          <t>V-002</t>
        </is>
      </c>
      <c r="B7" s="7" t="inlineStr">
        <is>
          <t>Talep eşiği × hakediş</t>
        </is>
      </c>
      <c r="C7" s="7" t="inlineStr">
        <is>
          <t>hakedis=vaka_matrah_2; esik=IFF-002</t>
        </is>
      </c>
      <c r="D7" s="54" t="n">
        <v>10000</v>
      </c>
      <c r="E7" s="26">
        <f>IFERROR(ROUND(vaka_matrah_2*INDEX(tblKurallar[deger_2025],MATCH("IFF-002",tblKurallar[kural_id],0)),2),0)</f>
        <v/>
      </c>
      <c r="F7" s="55">
        <f>IF($A7="","",IFERROR($D7-$E7,0))</f>
        <v/>
      </c>
      <c r="G7" s="56">
        <f>IF($A7="","",IFERROR(IF(ABS($F7)&lt;=iff_tolerans,"TUTARLI","KIRIK"),"KIRIK"))</f>
        <v/>
      </c>
      <c r="H7" s="7" t="inlineStr">
        <is>
          <t>Talep eşiği kontrol</t>
        </is>
      </c>
      <c r="J7" s="29" t="n">
        <v>10000</v>
      </c>
      <c r="K7" s="29" t="n">
        <v>10000</v>
      </c>
    </row>
    <row r="8">
      <c r="A8" s="7" t="inlineStr">
        <is>
          <t>V-003</t>
        </is>
      </c>
      <c r="B8" s="7" t="inlineStr">
        <is>
          <t>Birikimli fark + eşik</t>
        </is>
      </c>
      <c r="C8" s="7" t="inlineStr">
        <is>
          <t>V-001 + V-002</t>
        </is>
      </c>
      <c r="D8" s="54" t="n">
        <v>19000</v>
      </c>
      <c r="E8" s="26">
        <f>IFERROR(ROUND(vaka_matrah_1*((INDEX(tblKurallar[deger_2025],MATCH("IFF-001",tblKurallar[kural_id],0))+(1-INDEX(tblKurallar[deger_2025],MATCH("IFF-001",tblKurallar[kural_id],0)))*vaka_endeks_orani)-1)+vaka_matrah_2*INDEX(tblKurallar[deger_2025],MATCH("IFF-002",tblKurallar[kural_id],0)),2),0)</f>
        <v/>
      </c>
      <c r="F8" s="55">
        <f>IF($A8="","",IFERROR($D8-$E8,0))</f>
        <v/>
      </c>
      <c r="G8" s="56">
        <f>IF($A8="","",IFERROR(IF(ABS($F8)&lt;=iff_tolerans,"TUTARLI","KIRIK"),"KIRIK"))</f>
        <v/>
      </c>
      <c r="H8" s="7" t="inlineStr">
        <is>
          <t>Birikim yorum A</t>
        </is>
      </c>
      <c r="J8" s="29" t="n">
        <v>19000</v>
      </c>
      <c r="K8" s="29" t="n">
        <v>19000</v>
      </c>
    </row>
    <row r="9">
      <c r="A9" s="7" t="inlineStr">
        <is>
          <t>V-004</t>
        </is>
      </c>
      <c r="B9" s="7" t="inlineStr">
        <is>
          <t>Tavan × sabit pay</t>
        </is>
      </c>
      <c r="C9" s="7" t="inlineStr">
        <is>
          <t>tavan=vaka_tavan; sabit=IFF-001</t>
        </is>
      </c>
      <c r="D9" s="54" t="n">
        <v>15000</v>
      </c>
      <c r="E9" s="26">
        <f>IFERROR(ROUND(vaka_tavan*INDEX(tblKurallar[deger_2025],MATCH("IFF-001",tblKurallar[kural_id],0)),2),0)</f>
        <v/>
      </c>
      <c r="F9" s="55">
        <f>IF($A9="","",IFERROR($D9-$E9,0))</f>
        <v/>
      </c>
      <c r="G9" s="56">
        <f>IF($A9="","",IFERROR(IF(ABS($F9)&lt;=iff_tolerans,"TUTARLI","KIRIK"),"KIRIK"))</f>
        <v/>
      </c>
      <c r="H9" s="7" t="inlineStr">
        <is>
          <t>IFF-001 tavan kontrol</t>
        </is>
      </c>
      <c r="J9" s="29" t="n">
        <v>15000</v>
      </c>
      <c r="K9" s="29" t="n">
        <v>15000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10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İhale Fiyat Farkı (Eskalasyon) Pro</t>
        </is>
      </c>
    </row>
    <row r="3" ht="22" customHeight="1">
      <c r="A3" s="226" t="inlineStr">
        <is>
          <t>KANIT RAPORU — İhale Fiyat Farkı Eskalasyon</t>
        </is>
      </c>
    </row>
    <row r="4">
      <c r="A4" s="7" t="inlineStr">
        <is>
          <t>Rapor tarihi</t>
        </is>
      </c>
      <c r="B4" s="59">
        <f>raporTarihi</f>
        <v/>
      </c>
    </row>
    <row r="5">
      <c r="A5" s="7" t="inlineStr">
        <is>
          <t>İhale / iş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Sözleşme bedeli</t>
        </is>
      </c>
      <c r="B9" s="26">
        <f>GIRDI!B9</f>
        <v/>
      </c>
    </row>
    <row r="10">
      <c r="A10" s="7" t="inlineStr">
        <is>
          <t>Baz endeks</t>
        </is>
      </c>
      <c r="B10" s="36">
        <f>GIRDI!B10</f>
        <v/>
      </c>
    </row>
    <row r="11">
      <c r="A11" s="7" t="inlineStr">
        <is>
          <t>Güncel endeks</t>
        </is>
      </c>
      <c r="B11" s="36">
        <f>GIRDI!B11</f>
        <v/>
      </c>
    </row>
    <row r="12">
      <c r="A12" s="7" t="inlineStr">
        <is>
          <t>İşçilik ağırlığı</t>
        </is>
      </c>
      <c r="B12" s="25">
        <f>GIRDI!B12</f>
        <v/>
      </c>
    </row>
    <row r="13">
      <c r="A13" s="7" t="inlineStr">
        <is>
          <t>Malzeme ağırlığı</t>
        </is>
      </c>
      <c r="B13" s="25">
        <f>GIRDI!B13</f>
        <v/>
      </c>
    </row>
    <row r="14">
      <c r="A14" s="7" t="inlineStr">
        <is>
          <t>Akaryakıt ağırlığı</t>
        </is>
      </c>
      <c r="B14" s="25">
        <f>GIRDI!B14</f>
        <v/>
      </c>
    </row>
    <row r="15">
      <c r="A15" s="7" t="inlineStr">
        <is>
          <t>Hakediş tutarı</t>
        </is>
      </c>
      <c r="B15" s="26">
        <f>iff_hakedisTutari</f>
        <v/>
      </c>
    </row>
    <row r="17">
      <c r="A17" s="5" t="inlineStr">
        <is>
          <t>Hesap zinciri</t>
        </is>
      </c>
    </row>
    <row r="18">
      <c r="A18" s="7" t="inlineStr">
        <is>
          <t>Fiyat farkı</t>
        </is>
      </c>
      <c r="B18" s="35">
        <f>iff_fiyatFarki</f>
        <v/>
      </c>
    </row>
    <row r="19">
      <c r="A19" s="7" t="inlineStr">
        <is>
          <t>Fiyat farkı (karar)</t>
        </is>
      </c>
      <c r="B19" s="35">
        <f>iff_kacirilan</f>
        <v/>
      </c>
    </row>
    <row r="20">
      <c r="A20" s="10" t="inlineStr">
        <is>
          <t>KARAR</t>
        </is>
      </c>
      <c r="B20" s="60">
        <f>iff_kararMetni</f>
        <v/>
      </c>
    </row>
    <row r="21">
      <c r="A21" s="7" t="inlineStr">
        <is>
          <t>Gerekçe</t>
        </is>
      </c>
      <c r="B21" s="21">
        <f>iff_kararGerekce</f>
        <v/>
      </c>
    </row>
    <row r="23">
      <c r="A23" s="10" t="inlineStr">
        <is>
          <t>Madde atıfları</t>
        </is>
      </c>
      <c r="B23" s="21">
        <f>iff_maddeAtifMetni</f>
        <v/>
      </c>
    </row>
    <row r="25">
      <c r="A25" s="10" t="inlineStr">
        <is>
          <t>Kanıt gövdesi</t>
        </is>
      </c>
      <c r="B25" s="21">
        <f>iff_kanitRaporu</f>
        <v/>
      </c>
    </row>
    <row r="27">
      <c r="A27" s="7" t="inlineStr">
        <is>
          <t>Parmak izi (SHA-256 kısaltma)</t>
        </is>
      </c>
      <c r="B27" s="28">
        <f>iff_parmakIzi</f>
        <v/>
      </c>
    </row>
    <row r="29">
      <c r="A29" s="7" t="inlineStr">
        <is>
          <t>Hazırlayan (imza)</t>
        </is>
      </c>
      <c r="B29" s="61" t="inlineStr"/>
    </row>
    <row r="30">
      <c r="A30" s="7" t="inlineStr">
        <is>
          <t>Onaylayan (imza)</t>
        </is>
      </c>
      <c r="B30" s="61" t="inlineStr"/>
    </row>
    <row r="32">
      <c r="A32" s="13" t="inlineStr">
        <is>
          <t>Uyarı: Bu çıktı karar destektir; kesin fiyat farkı talebi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&amp;Lİhale Fiyat Farkı (Eskalasyon) Pro · 1.0.0&amp;CExcelArşiv&amp;RSayfa &amp;P / &amp;N</oddFooter>
    <evenHeader/>
    <evenFooter>&amp;Lİhale Fiyat Farkı (Eskalasyon) Pro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İhale Fiyat Farkı (Eskalasyon) Pro</t>
        </is>
      </c>
    </row>
    <row r="3" ht="22" customHeight="1">
      <c r="A3" s="226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sözleşme bedeli?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IFERROR(IF(AND(N(hesapYili)&gt;N(iff_yilTaban),N(hesapYili)&lt;=N(iff_yilTaban)+3),"TEMİZ","HATALI"),"HATALI")</f>
        <v/>
      </c>
    </row>
    <row r="8">
      <c r="A8" s="7" t="inlineStr">
        <is>
          <t>Baz endeks sıfır mı?</t>
        </is>
      </c>
      <c r="B8" s="27">
        <f>IF(IFERROR(MOTOR!G14,0)=0,"SIFIR","NORMAL")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IF(IFERROR(iff_kacirilan,0)&gt;iff_kacirilanEsik,"AŞIYOR","NORMAL")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2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IFERROR(iff_girisBeklenen+COUNTA(GIRDI!B6:B16)*0,0)</f>
        <v/>
      </c>
    </row>
    <row r="15">
      <c r="A15" s="7" t="inlineStr">
        <is>
          <t>Dolu giriş</t>
        </is>
      </c>
      <c r="B15" s="36">
        <f>COUNTA(GIRDI!B6:B16)</f>
        <v/>
      </c>
    </row>
    <row r="17">
      <c r="A17" s="7" t="inlineStr">
        <is>
          <t>Fiyat farkı kontrol</t>
        </is>
      </c>
      <c r="B17" s="26">
        <f>IFERROR(iff_fiyatFarki,0)</f>
        <v/>
      </c>
    </row>
    <row r="18">
      <c r="A18" s="7" t="inlineStr">
        <is>
          <t>Fark (karar) kontrol</t>
        </is>
      </c>
      <c r="B18" s="26">
        <f>IFERROR(iff_kacirilan,0)</f>
        <v/>
      </c>
    </row>
    <row r="19">
      <c r="A19" s="7" t="inlineStr">
        <is>
          <t>Karar kontrol</t>
        </is>
      </c>
      <c r="B19" s="27">
        <f>IFERROR(iff_kararMetni,"-")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6" t="inlineStr">
        <is>
          <t>ORNEK VERI — İhale Fiyat Farkı (Eskalasyon) Pro</t>
        </is>
      </c>
    </row>
    <row r="3" ht="22" customHeight="1">
      <c r="A3" s="226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Sözleşme</t>
        </is>
      </c>
      <c r="C5" s="22" t="inlineStr">
        <is>
          <t>Baz</t>
        </is>
      </c>
      <c r="D5" s="22" t="inlineStr">
        <is>
          <t>Güncel</t>
        </is>
      </c>
      <c r="E5" s="22" t="inlineStr">
        <is>
          <t>İşçilik</t>
        </is>
      </c>
      <c r="F5" s="22" t="inlineStr">
        <is>
          <t>Malzeme</t>
        </is>
      </c>
      <c r="G5" s="22" t="inlineStr">
        <is>
          <t>Akaryakıt</t>
        </is>
      </c>
      <c r="H5" s="22" t="inlineStr">
        <is>
          <t>Hakediş</t>
        </is>
      </c>
      <c r="I5" s="22" t="inlineStr">
        <is>
          <t>Fiyat Farkı</t>
        </is>
      </c>
      <c r="L5" s="52" t="inlineStr">
        <is>
          <t>FarkDemo</t>
        </is>
      </c>
    </row>
    <row r="6">
      <c r="A6" s="37" t="inlineStr">
        <is>
          <t>Demo ana</t>
        </is>
      </c>
      <c r="B6" s="40" t="n">
        <v>10000000</v>
      </c>
      <c r="C6" s="39" t="n">
        <v>100</v>
      </c>
      <c r="D6" s="39" t="n">
        <v>118</v>
      </c>
      <c r="E6" s="41" t="n">
        <v>0.4</v>
      </c>
      <c r="F6" s="41" t="n">
        <v>0.45</v>
      </c>
      <c r="G6" s="41" t="n">
        <v>0.15</v>
      </c>
      <c r="H6" s="40" t="n">
        <v>2500000</v>
      </c>
      <c r="I6" s="38">
        <f>IF($A6="","",IFERROR(ROUND($H6*((INDEX(tblKurallar[deger_2025],MATCH("IFF-001",tblKurallar[kural_id],0))+(1-INDEX(tblKurallar[deger_2025],MATCH("IFF-001",tblKurallar[kural_id],0)))*IF($C6=0,0,$D6/$C6))-1),iff_yuvarMax),0))</f>
        <v/>
      </c>
      <c r="L6" s="29" t="n">
        <v>405000</v>
      </c>
    </row>
    <row r="7">
      <c r="A7" s="37" t="inlineStr">
        <is>
          <t>Yüksek endeks</t>
        </is>
      </c>
      <c r="B7" s="40" t="n">
        <v>10000000</v>
      </c>
      <c r="C7" s="39" t="n">
        <v>100</v>
      </c>
      <c r="D7" s="39" t="n">
        <v>130</v>
      </c>
      <c r="E7" s="41" t="n">
        <v>0.4</v>
      </c>
      <c r="F7" s="41" t="n">
        <v>0.45</v>
      </c>
      <c r="G7" s="41" t="n">
        <v>0.15</v>
      </c>
      <c r="H7" s="40" t="n">
        <v>2500000</v>
      </c>
      <c r="I7" s="38">
        <f>IF($A7="","",IFERROR(ROUND($H7*((INDEX(tblKurallar[deger_2025],MATCH("IFF-001",tblKurallar[kural_id],0))+(1-INDEX(tblKurallar[deger_2025],MATCH("IFF-001",tblKurallar[kural_id],0)))*IF($C7=0,0,$D7/$C7))-1),iff_yuvarMax),0))</f>
        <v/>
      </c>
      <c r="L7" s="29" t="n">
        <v>675000</v>
      </c>
    </row>
    <row r="8">
      <c r="A8" s="37" t="inlineStr">
        <is>
          <t>Düşük hakediş</t>
        </is>
      </c>
      <c r="B8" s="40" t="n">
        <v>8000000</v>
      </c>
      <c r="C8" s="39" t="n">
        <v>100</v>
      </c>
      <c r="D8" s="39" t="n">
        <v>110</v>
      </c>
      <c r="E8" s="41" t="n">
        <v>0.35</v>
      </c>
      <c r="F8" s="41" t="n">
        <v>0.5</v>
      </c>
      <c r="G8" s="41" t="n">
        <v>0.15</v>
      </c>
      <c r="H8" s="40" t="n">
        <v>800000</v>
      </c>
      <c r="I8" s="38">
        <f>IF($A8="","",IFERROR(ROUND($H8*((INDEX(tblKurallar[deger_2025],MATCH("IFF-001",tblKurallar[kural_id],0))+(1-INDEX(tblKurallar[deger_2025],MATCH("IFF-001",tblKurallar[kural_id],0)))*IF($C8=0,0,$D8/$C8))-1),iff_yuvarMax),0))</f>
        <v/>
      </c>
      <c r="L8" s="29" t="n">
        <v>72000</v>
      </c>
    </row>
    <row r="9">
      <c r="A9" s="37" t="inlineStr">
        <is>
          <t>Sadece işçilik ağır</t>
        </is>
      </c>
      <c r="B9" s="40" t="n">
        <v>5000000</v>
      </c>
      <c r="C9" s="39" t="n">
        <v>100</v>
      </c>
      <c r="D9" s="39" t="n">
        <v>115</v>
      </c>
      <c r="E9" s="41" t="n">
        <v>0.7</v>
      </c>
      <c r="F9" s="41" t="n">
        <v>0.2</v>
      </c>
      <c r="G9" s="41" t="n">
        <v>0.1</v>
      </c>
      <c r="H9" s="40" t="n">
        <v>1200000</v>
      </c>
      <c r="I9" s="38">
        <f>IF($A9="","",IFERROR(ROUND($H9*((INDEX(tblKurallar[deger_2025],MATCH("IFF-001",tblKurallar[kural_id],0))+(1-INDEX(tblKurallar[deger_2025],MATCH("IFF-001",tblKurallar[kural_id],0)))*IF($C9=0,0,$D9/$C9))-1),iff_yuvarMax),0))</f>
        <v/>
      </c>
      <c r="L9" s="29" t="n">
        <v>162000</v>
      </c>
    </row>
    <row r="10">
      <c r="A10" s="37" t="inlineStr">
        <is>
          <t>Sıfır fark</t>
        </is>
      </c>
      <c r="B10" s="40" t="n">
        <v>3000000</v>
      </c>
      <c r="C10" s="39" t="n">
        <v>100</v>
      </c>
      <c r="D10" s="39" t="n">
        <v>100</v>
      </c>
      <c r="E10" s="41" t="n">
        <v>0.4</v>
      </c>
      <c r="F10" s="41" t="n">
        <v>0.4</v>
      </c>
      <c r="G10" s="41" t="n">
        <v>0.2</v>
      </c>
      <c r="H10" s="40" t="n">
        <v>500000</v>
      </c>
      <c r="I10" s="38">
        <f>IF($A10="","",IFERROR(ROUND($H10*((INDEX(tblKurallar[deger_2025],MATCH("IFF-001",tblKurallar[kural_id],0))+(1-INDEX(tblKurallar[deger_2025],MATCH("IFF-001",tblKurallar[kural_id],0)))*IF($C10=0,0,$D10/$C10))-1),iff_yuvarMax),0))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IF($A11="","",IFERROR(ROUND($H11*((INDEX(tblKurallar[deger_2025],MATCH("IFF-001",tblKurallar[kural_id],0))+(1-INDEX(tblKurallar[deger_2025],MATCH("IFF-001",tblKurallar[kural_id],0)))*IF($C11=0,0,$D11/$C11))-1),iff_yuvarMax),0))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IF($A12="","",IFERROR(ROUND($H12*((INDEX(tblKurallar[deger_2025],MATCH("IFF-001",tblKurallar[kural_id],0))+(1-INDEX(tblKurallar[deger_2025],MATCH("IFF-001",tblKurallar[kural_id],0)))*IF($C12=0,0,$D12/$C12))-1),iff_yuvarMax),0))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IF($A13="","",IFERROR(ROUND($H13*((INDEX(tblKurallar[deger_2025],MATCH("IFF-001",tblKurallar[kural_id],0))+(1-INDEX(tblKurallar[deger_2025],MATCH("IFF-001",tblKurallar[kural_id],0)))*IF($C13=0,0,$D13/$C13))-1),iff_yuvarMax),0))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IF($A14="","",IFERROR(ROUND($H14*((INDEX(tblKurallar[deger_2025],MATCH("IFF-001",tblKurallar[kural_id],0))+(1-INDEX(tblKurallar[deger_2025],MATCH("IFF-001",tblKurallar[kural_id],0)))*IF($C14=0,0,$D14/$C14))-1),iff_yuvarMax),0))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IF($A15="","",IFERROR(ROUND($H15*((INDEX(tblKurallar[deger_2025],MATCH("IFF-001",tblKurallar[kural_id],0))+(1-INDEX(tblKurallar[deger_2025],MATCH("IFF-001",tblKurallar[kural_id],0)))*IF($C15=0,0,$D15/$C15))-1),iff_yuvarMax),0))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IF($A16="","",IFERROR(ROUND($H16*((INDEX(tblKurallar[deger_2025],MATCH("IFF-001",tblKurallar[kural_id],0))+(1-INDEX(tblKurallar[deger_2025],MATCH("IFF-001",tblKurallar[kural_id],0)))*IF($C16=0,0,$D16/$C16))-1),iff_yuvarMax),0))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IF($A17="","",IFERROR(ROUND($H17*((INDEX(tblKurallar[deger_2025],MATCH("IFF-001",tblKurallar[kural_id],0))+(1-INDEX(tblKurallar[deger_2025],MATCH("IFF-001",tblKurallar[kural_id],0)))*IF($C17=0,0,$D17/$C17))-1),iff_yuvarMax),0))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IF($A18="","",IFERROR(ROUND($H18*((INDEX(tblKurallar[deger_2025],MATCH("IFF-001",tblKurallar[kural_id],0))+(1-INDEX(tblKurallar[deger_2025],MATCH("IFF-001",tblKurallar[kural_id],0)))*IF($C18=0,0,$D18/$C18))-1),iff_yuvarMax),0))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IF($A19="","",IFERROR(ROUND($H19*((INDEX(tblKurallar[deger_2025],MATCH("IFF-001",tblKurallar[kural_id],0))+(1-INDEX(tblKurallar[deger_2025],MATCH("IFF-001",tblKurallar[kural_id],0)))*IF($C19=0,0,$D19/$C19))-1),iff_yuvarMax),0))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IF($A20="","",IFERROR(ROUND($H20*((INDEX(tblKurallar[deger_2025],MATCH("IFF-001",tblKurallar[kural_id],0))+(1-INDEX(tblKurallar[deger_2025],MATCH("IFF-001",tblKurallar[kural_id],0)))*IF($C20=0,0,$D20/$C20))-1),iff_yuvarMax),0))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IF($A21="","",IFERROR(ROUND($H21*((INDEX(tblKurallar[deger_2025],MATCH("IFF-001",tblKurallar[kural_id],0))+(1-INDEX(tblKurallar[deger_2025],MATCH("IFF-001",tblKurallar[kural_id],0)))*IF($C21=0,0,$D21/$C21))-1),iff_yuvarMax),0))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IF($A22="","",IFERROR(ROUND($H22*((INDEX(tblKurallar[deger_2025],MATCH("IFF-001",tblKurallar[kural_id],0))+(1-INDEX(tblKurallar[deger_2025],MATCH("IFF-001",tblKurallar[kural_id],0)))*IF($C22=0,0,$D22/$C22))-1),iff_yuvarMax),0))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IF($A23="","",IFERROR(ROUND($H23*((INDEX(tblKurallar[deger_2025],MATCH("IFF-001",tblKurallar[kural_id],0))+(1-INDEX(tblKurallar[deger_2025],MATCH("IFF-001",tblKurallar[kural_id],0)))*IF($C23=0,0,$D23/$C23))-1),iff_yuvarMax),0))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IF($A24="","",IFERROR(ROUND($H24*((INDEX(tblKurallar[deger_2025],MATCH("IFF-001",tblKurallar[kural_id],0))+(1-INDEX(tblKurallar[deger_2025],MATCH("IFF-001",tblKurallar[kural_id],0)))*IF($C24=0,0,$D24/$C24))-1),iff_yuvarMax),0))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IF($A25="","",IFERROR(ROUND($H25*((INDEX(tblKurallar[deger_2025],MATCH("IFF-001",tblKurallar[kural_id],0))+(1-INDEX(tblKurallar[deger_2025],MATCH("IFF-001",tblKurallar[kural_id],0)))*IF($C25=0,0,$D25/$C25))-1),iff_yuvarMax),0))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IF($A26="","",IFERROR(ROUND($H26*((INDEX(tblKurallar[deger_2025],MATCH("IFF-001",tblKurallar[kural_id],0))+(1-INDEX(tblKurallar[deger_2025],MATCH("IFF-001",tblKurallar[kural_id],0)))*IF($C26=0,0,$D26/$C26))-1),iff_yuvarMax),0))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IF($A27="","",IFERROR(ROUND($H27*((INDEX(tblKurallar[deger_2025],MATCH("IFF-001",tblKurallar[kural_id],0))+(1-INDEX(tblKurallar[deger_2025],MATCH("IFF-001",tblKurallar[kural_id],0)))*IF($C27=0,0,$D27/$C27))-1),iff_yuvarMax),0))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IF($A28="","",IFERROR(ROUND($H28*((INDEX(tblKurallar[deger_2025],MATCH("IFF-001",tblKurallar[kural_id],0))+(1-INDEX(tblKurallar[deger_2025],MATCH("IFF-001",tblKurallar[kural_id],0)))*IF($C28=0,0,$D28/$C28))-1),iff_yuvarMax),0))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IF($A29="","",IFERROR(ROUND($H29*((INDEX(tblKurallar[deger_2025],MATCH("IFF-001",tblKurallar[kural_id],0))+(1-INDEX(tblKurallar[deger_2025],MATCH("IFF-001",tblKurallar[kural_id],0)))*IF($C29=0,0,$D29/$C29))-1),iff_yuvarMax),0))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IF($A30="","",IFERROR(ROUND($H30*((INDEX(tblKurallar[deger_2025],MATCH("IFF-001",tblKurallar[kural_id],0))+(1-INDEX(tblKurallar[deger_2025],MATCH("IFF-001",tblKurallar[kural_id],0)))*IF($C30=0,0,$D30/$C30))-1),iff_yuvarMax),0))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IF($A31="","",IFERROR(ROUND($H31*((INDEX(tblKurallar[deger_2025],MATCH("IFF-001",tblKurallar[kural_id],0))+(1-INDEX(tblKurallar[deger_2025],MATCH("IFF-001",tblKurallar[kural_id],0)))*IF($C31=0,0,$D31/$C31))-1),iff_yuvarMax),0))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IF($A32="","",IFERROR(ROUND($H32*((INDEX(tblKurallar[deger_2025],MATCH("IFF-001",tblKurallar[kural_id],0))+(1-INDEX(tblKurallar[deger_2025],MATCH("IFF-001",tblKurallar[kural_id],0)))*IF($C32=0,0,$D32/$C32))-1),iff_yuvarMax),0))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IF($A33="","",IFERROR(ROUND($H33*((INDEX(tblKurallar[deger_2025],MATCH("IFF-001",tblKurallar[kural_id],0))+(1-INDEX(tblKurallar[deger_2025],MATCH("IFF-001",tblKurallar[kural_id],0)))*IF($C33=0,0,$D33/$C33))-1),iff_yuvarMax),0))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IF($A34="","",IFERROR(ROUND($H34*((INDEX(tblKurallar[deger_2025],MATCH("IFF-001",tblKurallar[kural_id],0))+(1-INDEX(tblKurallar[deger_2025],MATCH("IFF-001",tblKurallar[kural_id],0)))*IF($C34=0,0,$D34/$C34))-1),iff_yuvarMax),0))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IF($A35="","",IFERROR(ROUND($H35*((INDEX(tblKurallar[deger_2025],MATCH("IFF-001",tblKurallar[kural_id],0))+(1-INDEX(tblKurallar[deger_2025],MATCH("IFF-001",tblKurallar[kural_id],0)))*IF($C35=0,0,$D35/$C35))-1),iff_yuvarMax),0))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IF($A36="","",IFERROR(ROUND($H36*((INDEX(tblKurallar[deger_2025],MATCH("IFF-001",tblKurallar[kural_id],0))+(1-INDEX(tblKurallar[deger_2025],MATCH("IFF-001",tblKurallar[kural_id],0)))*IF($C36=0,0,$D36/$C36))-1),iff_yuvarMax),0))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IF($A37="","",IFERROR(ROUND($H37*((INDEX(tblKurallar[deger_2025],MATCH("IFF-001",tblKurallar[kural_id],0))+(1-INDEX(tblKurallar[deger_2025],MATCH("IFF-001",tblKurallar[kural_id],0)))*IF($C37=0,0,$D37/$C37))-1),iff_yuvarMax),0))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IF($A38="","",IFERROR(ROUND($H38*((INDEX(tblKurallar[deger_2025],MATCH("IFF-001",tblKurallar[kural_id],0))+(1-INDEX(tblKurallar[deger_2025],MATCH("IFF-001",tblKurallar[kural_id],0)))*IF($C38=0,0,$D38/$C38))-1),iff_yuvarMax),0))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IF($A39="","",IFERROR(ROUND($H39*((INDEX(tblKurallar[deger_2025],MATCH("IFF-001",tblKurallar[kural_id],0))+(1-INDEX(tblKurallar[deger_2025],MATCH("IFF-001",tblKurallar[kural_id],0)))*IF($C39=0,0,$D39/$C39))-1),iff_yuvarMax),0))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IF($A40="","",IFERROR(ROUND($H40*((INDEX(tblKurallar[deger_2025],MATCH("IFF-001",tblKurallar[kural_id],0))+(1-INDEX(tblKurallar[deger_2025],MATCH("IFF-001",tblKurallar[kural_id],0)))*IF($C40=0,0,$D40/$C40))-1),iff_yuvarMax),0))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IF($A41="","",IFERROR(ROUND($H41*((INDEX(tblKurallar[deger_2025],MATCH("IFF-001",tblKurallar[kural_id],0))+(1-INDEX(tblKurallar[deger_2025],MATCH("IFF-001",tblKurallar[kural_id],0)))*IF($C41=0,0,$D41/$C41))-1),iff_yuvarMax),0))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IF($A42="","",IFERROR(ROUND($H42*((INDEX(tblKurallar[deger_2025],MATCH("IFF-001",tblKurallar[kural_id],0))+(1-INDEX(tblKurallar[deger_2025],MATCH("IFF-001",tblKurallar[kural_id],0)))*IF($C42=0,0,$D42/$C42))-1),iff_yuvarMax),0))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IF($A43="","",IFERROR(ROUND($H43*((INDEX(tblKurallar[deger_2025],MATCH("IFF-001",tblKurallar[kural_id],0))+(1-INDEX(tblKurallar[deger_2025],MATCH("IFF-001",tblKurallar[kural_id],0)))*IF($C43=0,0,$D43/$C43))-1),iff_yuvarMax),0))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IF($A44="","",IFERROR(ROUND($H44*((INDEX(tblKurallar[deger_2025],MATCH("IFF-001",tblKurallar[kural_id],0))+(1-INDEX(tblKurallar[deger_2025],MATCH("IFF-001",tblKurallar[kural_id],0)))*IF($C44=0,0,$D44/$C44))-1),iff_yuvarMax),0))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IF($A45="","",IFERROR(ROUND($H45*((INDEX(tblKurallar[deger_2025],MATCH("IFF-001",tblKurallar[kural_id],0))+(1-INDEX(tblKurallar[deger_2025],MATCH("IFF-001",tblKurallar[kural_id],0)))*IF($C45=0,0,$D45/$C45))-1),iff_yuvarMax),0))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IF($A46="","",IFERROR(ROUND($H46*((INDEX(tblKurallar[deger_2025],MATCH("IFF-001",tblKurallar[kural_id],0))+(1-INDEX(tblKurallar[deger_2025],MATCH("IFF-001",tblKurallar[kural_id],0)))*IF($C46=0,0,$D46/$C46))-1),iff_yuvarMax),0))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IF($A47="","",IFERROR(ROUND($H47*((INDEX(tblKurallar[deger_2025],MATCH("IFF-001",tblKurallar[kural_id],0))+(1-INDEX(tblKurallar[deger_2025],MATCH("IFF-001",tblKurallar[kural_id],0)))*IF($C47=0,0,$D47/$C47))-1),iff_yuvarMax),0))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IF($A48="","",IFERROR(ROUND($H48*((INDEX(tblKurallar[deger_2025],MATCH("IFF-001",tblKurallar[kural_id],0))+(1-INDEX(tblKurallar[deger_2025],MATCH("IFF-001",tblKurallar[kural_id],0)))*IF($C48=0,0,$D48/$C48))-1),iff_yuvarMax),0))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IF($A49="","",IFERROR(ROUND($H49*((INDEX(tblKurallar[deger_2025],MATCH("IFF-001",tblKurallar[kural_id],0))+(1-INDEX(tblKurallar[deger_2025],MATCH("IFF-001",tblKurallar[kural_id],0)))*IF($C49=0,0,$D49/$C49))-1),iff_yuvarMax),0))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IF($A50="","",IFERROR(ROUND($H50*((INDEX(tblKurallar[deger_2025],MATCH("IFF-001",tblKurallar[kural_id],0))+(1-INDEX(tblKurallar[deger_2025],MATCH("IFF-001",tblKurallar[kural_id],0)))*IF($C50=0,0,$D50/$C50))-1),iff_yuvarMax),0))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IF($A51="","",IFERROR(ROUND($H51*((INDEX(tblKurallar[deger_2025],MATCH("IFF-001",tblKurallar[kural_id],0))+(1-INDEX(tblKurallar[deger_2025],MATCH("IFF-001",tblKurallar[kural_id],0)))*IF($C51=0,0,$D51/$C51))-1),iff_yuvarMax),0))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IF($A52="","",IFERROR(ROUND($H52*((INDEX(tblKurallar[deger_2025],MATCH("IFF-001",tblKurallar[kural_id],0))+(1-INDEX(tblKurallar[deger_2025],MATCH("IFF-001",tblKurallar[kural_id],0)))*IF($C52=0,0,$D52/$C52))-1),iff_yuvarMax),0))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IF($A53="","",IFERROR(ROUND($H53*((INDEX(tblKurallar[deger_2025],MATCH("IFF-001",tblKurallar[kural_id],0))+(1-INDEX(tblKurallar[deger_2025],MATCH("IFF-001",tblKurallar[kural_id],0)))*IF($C53=0,0,$D53/$C53))-1),iff_yuvarMax),0))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IF($A54="","",IFERROR(ROUND($H54*((INDEX(tblKurallar[deger_2025],MATCH("IFF-001",tblKurallar[kural_id],0))+(1-INDEX(tblKurallar[deger_2025],MATCH("IFF-001",tblKurallar[kural_id],0)))*IF($C54=0,0,$D54/$C54))-1),iff_yuvarMax),0))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IF($A55="","",IFERROR(ROUND($H55*((INDEX(tblKurallar[deger_2025],MATCH("IFF-001",tblKurallar[kural_id],0))+(1-INDEX(tblKurallar[deger_2025],MATCH("IFF-001",tblKurallar[kural_id],0)))*IF($C55=0,0,$D55/$C55))-1),iff_yuvarMax),0))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IF($A56="","",IFERROR(ROUND($H56*((INDEX(tblKurallar[deger_2025],MATCH("IFF-001",tblKurallar[kural_id],0))+(1-INDEX(tblKurallar[deger_2025],MATCH("IFF-001",tblKurallar[kural_id],0)))*IF($C56=0,0,$D56/$C56))-1),iff_yuvarMax),0))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IF($A57="","",IFERROR(ROUND($H57*((INDEX(tblKurallar[deger_2025],MATCH("IFF-001",tblKurallar[kural_id],0))+(1-INDEX(tblKurallar[deger_2025],MATCH("IFF-001",tblKurallar[kural_id],0)))*IF($C57=0,0,$D57/$C57))-1),iff_yuvarMax),0))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IF($A58="","",IFERROR(ROUND($H58*((INDEX(tblKurallar[deger_2025],MATCH("IFF-001",tblKurallar[kural_id],0))+(1-INDEX(tblKurallar[deger_2025],MATCH("IFF-001",tblKurallar[kural_id],0)))*IF($C58=0,0,$D58/$C58))-1),iff_yuvarMax),0))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IF($A59="","",IFERROR(ROUND($H59*((INDEX(tblKurallar[deger_2025],MATCH("IFF-001",tblKurallar[kural_id],0))+(1-INDEX(tblKurallar[deger_2025],MATCH("IFF-001",tblKurallar[kural_id],0)))*IF($C59=0,0,$D59/$C59))-1),iff_yuvarMax),0))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IF($A60="","",IFERROR(ROUND($H60*((INDEX(tblKurallar[deger_2025],MATCH("IFF-001",tblKurallar[kural_id],0))+(1-INDEX(tblKurallar[deger_2025],MATCH("IFF-001",tblKurallar[kural_id],0)))*IF($C60=0,0,$D60/$C60))-1),iff_yuvarMax),0))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IF($A61="","",IFERROR(ROUND($H61*((INDEX(tblKurallar[deger_2025],MATCH("IFF-001",tblKurallar[kural_id],0))+(1-INDEX(tblKurallar[deger_2025],MATCH("IFF-001",tblKurallar[kural_id],0)))*IF($C61=0,0,$D61/$C61))-1),iff_yuvarMax),0))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IF($A62="","",IFERROR(ROUND($H62*((INDEX(tblKurallar[deger_2025],MATCH("IFF-001",tblKurallar[kural_id],0))+(1-INDEX(tblKurallar[deger_2025],MATCH("IFF-001",tblKurallar[kural_id],0)))*IF($C62=0,0,$D62/$C62))-1),iff_yuvarMax),0))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IF($A63="","",IFERROR(ROUND($H63*((INDEX(tblKurallar[deger_2025],MATCH("IFF-001",tblKurallar[kural_id],0))+(1-INDEX(tblKurallar[deger_2025],MATCH("IFF-001",tblKurallar[kural_id],0)))*IF($C63=0,0,$D63/$C63))-1),iff_yuvarMax),0))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IF($A64="","",IFERROR(ROUND($H64*((INDEX(tblKurallar[deger_2025],MATCH("IFF-001",tblKurallar[kural_id],0))+(1-INDEX(tblKurallar[deger_2025],MATCH("IFF-001",tblKurallar[kural_id],0)))*IF($C64=0,0,$D64/$C64))-1),iff_yuvarMax),0))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IF($A65="","",IFERROR(ROUND($H65*((INDEX(tblKurallar[deger_2025],MATCH("IFF-001",tblKurallar[kural_id],0))+(1-INDEX(tblKurallar[deger_2025],MATCH("IFF-001",tblKurallar[kural_id],0)))*IF($C65=0,0,$D65/$C65))-1),iff_yuvarMax),0))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IF($A66="","",IFERROR(ROUND($H66*((INDEX(tblKurallar[deger_2025],MATCH("IFF-001",tblKurallar[kural_id],0))+(1-INDEX(tblKurallar[deger_2025],MATCH("IFF-001",tblKurallar[kural_id],0)))*IF($C66=0,0,$D66/$C66))-1),iff_yuvarMax),0))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IF($A67="","",IFERROR(ROUND($H67*((INDEX(tblKurallar[deger_2025],MATCH("IFF-001",tblKurallar[kural_id],0))+(1-INDEX(tblKurallar[deger_2025],MATCH("IFF-001",tblKurallar[kural_id],0)))*IF($C67=0,0,$D67/$C67))-1),iff_yuvarMax),0))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IF($A68="","",IFERROR(ROUND($H68*((INDEX(tblKurallar[deger_2025],MATCH("IFF-001",tblKurallar[kural_id],0))+(1-INDEX(tblKurallar[deger_2025],MATCH("IFF-001",tblKurallar[kural_id],0)))*IF($C68=0,0,$D68/$C68))-1),iff_yuvarMax),0))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IF($A69="","",IFERROR(ROUND($H69*((INDEX(tblKurallar[deger_2025],MATCH("IFF-001",tblKurallar[kural_id],0))+(1-INDEX(tblKurallar[deger_2025],MATCH("IFF-001",tblKurallar[kural_id],0)))*IF($C69=0,0,$D69/$C69))-1),iff_yuvarMax),0))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IF($A70="","",IFERROR(ROUND($H70*((INDEX(tblKurallar[deger_2025],MATCH("IFF-001",tblKurallar[kural_id],0))+(1-INDEX(tblKurallar[deger_2025],MATCH("IFF-001",tblKurallar[kural_id],0)))*IF($C70=0,0,$D70/$C70))-1),iff_yuvarMax),0))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IF($A71="","",IFERROR(ROUND($H71*((INDEX(tblKurallar[deger_2025],MATCH("IFF-001",tblKurallar[kural_id],0))+(1-INDEX(tblKurallar[deger_2025],MATCH("IFF-001",tblKurallar[kural_id],0)))*IF($C71=0,0,$D71/$C71))-1),iff_yuvarMax),0))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IF($A72="","",IFERROR(ROUND($H72*((INDEX(tblKurallar[deger_2025],MATCH("IFF-001",tblKurallar[kural_id],0))+(1-INDEX(tblKurallar[deger_2025],MATCH("IFF-001",tblKurallar[kural_id],0)))*IF($C72=0,0,$D72/$C72))-1),iff_yuvarMax),0))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IF($A73="","",IFERROR(ROUND($H73*((INDEX(tblKurallar[deger_2025],MATCH("IFF-001",tblKurallar[kural_id],0))+(1-INDEX(tblKurallar[deger_2025],MATCH("IFF-001",tblKurallar[kural_id],0)))*IF($C73=0,0,$D73/$C73))-1),iff_yuvarMax),0))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IF($A74="","",IFERROR(ROUND($H74*((INDEX(tblKurallar[deger_2025],MATCH("IFF-001",tblKurallar[kural_id],0))+(1-INDEX(tblKurallar[deger_2025],MATCH("IFF-001",tblKurallar[kural_id],0)))*IF($C74=0,0,$D74/$C74))-1),iff_yuvarMax),0))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IF($A75="","",IFERROR(ROUND($H75*((INDEX(tblKurallar[deger_2025],MATCH("IFF-001",tblKurallar[kural_id],0))+(1-INDEX(tblKurallar[deger_2025],MATCH("IFF-001",tblKurallar[kural_id],0)))*IF($C75=0,0,$D75/$C75))-1),iff_yuvarMax),0))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IF($A76="","",IFERROR(ROUND($H76*((INDEX(tblKurallar[deger_2025],MATCH("IFF-001",tblKurallar[kural_id],0))+(1-INDEX(tblKurallar[deger_2025],MATCH("IFF-001",tblKurallar[kural_id],0)))*IF($C76=0,0,$D76/$C76))-1),iff_yuvarMax),0))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IF($A77="","",IFERROR(ROUND($H77*((INDEX(tblKurallar[deger_2025],MATCH("IFF-001",tblKurallar[kural_id],0))+(1-INDEX(tblKurallar[deger_2025],MATCH("IFF-001",tblKurallar[kural_id],0)))*IF($C77=0,0,$D77/$C77))-1),iff_yuvarMax),0))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IF($A78="","",IFERROR(ROUND($H78*((INDEX(tblKurallar[deger_2025],MATCH("IFF-001",tblKurallar[kural_id],0))+(1-INDEX(tblKurallar[deger_2025],MATCH("IFF-001",tblKurallar[kural_id],0)))*IF($C78=0,0,$D78/$C78))-1),iff_yuvarMax),0))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IF($A79="","",IFERROR(ROUND($H79*((INDEX(tblKurallar[deger_2025],MATCH("IFF-001",tblKurallar[kural_id],0))+(1-INDEX(tblKurallar[deger_2025],MATCH("IFF-001",tblKurallar[kural_id],0)))*IF($C79=0,0,$D79/$C79))-1),iff_yuvarMax),0))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IF($A80="","",IFERROR(ROUND($H80*((INDEX(tblKurallar[deger_2025],MATCH("IFF-001",tblKurallar[kural_id],0))+(1-INDEX(tblKurallar[deger_2025],MATCH("IFF-001",tblKurallar[kural_id],0)))*IF($C80=0,0,$D80/$C80))-1),iff_yuvarMax),0))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IF($A81="","",IFERROR(ROUND($H81*((INDEX(tblKurallar[deger_2025],MATCH("IFF-001",tblKurallar[kural_id],0))+(1-INDEX(tblKurallar[deger_2025],MATCH("IFF-001",tblKurallar[kural_id],0)))*IF($C81=0,0,$D81/$C81))-1),iff_yuvarMax),0))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IF($A82="","",IFERROR(ROUND($H82*((INDEX(tblKurallar[deger_2025],MATCH("IFF-001",tblKurallar[kural_id],0))+(1-INDEX(tblKurallar[deger_2025],MATCH("IFF-001",tblKurallar[kural_id],0)))*IF($C82=0,0,$D82/$C82))-1),iff_yuvarMax),0))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IF($A83="","",IFERROR(ROUND($H83*((INDEX(tblKurallar[deger_2025],MATCH("IFF-001",tblKurallar[kural_id],0))+(1-INDEX(tblKurallar[deger_2025],MATCH("IFF-001",tblKurallar[kural_id],0)))*IF($C83=0,0,$D83/$C83))-1),iff_yuvarMax),0))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IF($A84="","",IFERROR(ROUND($H84*((INDEX(tblKurallar[deger_2025],MATCH("IFF-001",tblKurallar[kural_id],0))+(1-INDEX(tblKurallar[deger_2025],MATCH("IFF-001",tblKurallar[kural_id],0)))*IF($C84=0,0,$D84/$C84))-1),iff_yuvarMax),0))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IF($A85="","",IFERROR(ROUND($H85*((INDEX(tblKurallar[deger_2025],MATCH("IFF-001",tblKurallar[kural_id],0))+(1-INDEX(tblKurallar[deger_2025],MATCH("IFF-001",tblKurallar[kural_id],0)))*IF($C85=0,0,$D85/$C85))-1),iff_yuvarMax),0))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IF($A86="","",IFERROR(ROUND($H86*((INDEX(tblKurallar[deger_2025],MATCH("IFF-001",tblKurallar[kural_id],0))+(1-INDEX(tblKurallar[deger_2025],MATCH("IFF-001",tblKurallar[kural_id],0)))*IF($C86=0,0,$D86/$C86))-1),iff_yuvarMax),0))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IF($A87="","",IFERROR(ROUND($H87*((INDEX(tblKurallar[deger_2025],MATCH("IFF-001",tblKurallar[kural_id],0))+(1-INDEX(tblKurallar[deger_2025],MATCH("IFF-001",tblKurallar[kural_id],0)))*IF($C87=0,0,$D87/$C87))-1),iff_yuvarMax),0))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IF($A88="","",IFERROR(ROUND($H88*((INDEX(tblKurallar[deger_2025],MATCH("IFF-001",tblKurallar[kural_id],0))+(1-INDEX(tblKurallar[deger_2025],MATCH("IFF-001",tblKurallar[kural_id],0)))*IF($C88=0,0,$D88/$C88))-1),iff_yuvarMax),0))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IF($A89="","",IFERROR(ROUND($H89*((INDEX(tblKurallar[deger_2025],MATCH("IFF-001",tblKurallar[kural_id],0))+(1-INDEX(tblKurallar[deger_2025],MATCH("IFF-001",tblKurallar[kural_id],0)))*IF($C89=0,0,$D89/$C89))-1),iff_yuvarMax),0))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IF($A90="","",IFERROR(ROUND($H90*((INDEX(tblKurallar[deger_2025],MATCH("IFF-001",tblKurallar[kural_id],0))+(1-INDEX(tblKurallar[deger_2025],MATCH("IFF-001",tblKurallar[kural_id],0)))*IF($C90=0,0,$D90/$C90))-1),iff_yuvarMax),0))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IF($A91="","",IFERROR(ROUND($H91*((INDEX(tblKurallar[deger_2025],MATCH("IFF-001",tblKurallar[kural_id],0))+(1-INDEX(tblKurallar[deger_2025],MATCH("IFF-001",tblKurallar[kural_id],0)))*IF($C91=0,0,$D91/$C91))-1),iff_yuvarMax),0))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IF($A92="","",IFERROR(ROUND($H92*((INDEX(tblKurallar[deger_2025],MATCH("IFF-001",tblKurallar[kural_id],0))+(1-INDEX(tblKurallar[deger_2025],MATCH("IFF-001",tblKurallar[kural_id],0)))*IF($C92=0,0,$D92/$C92))-1),iff_yuvarMax),0))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IF($A93="","",IFERROR(ROUND($H93*((INDEX(tblKurallar[deger_2025],MATCH("IFF-001",tblKurallar[kural_id],0))+(1-INDEX(tblKurallar[deger_2025],MATCH("IFF-001",tblKurallar[kural_id],0)))*IF($C93=0,0,$D93/$C93))-1),iff_yuvarMax),0))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IF($A94="","",IFERROR(ROUND($H94*((INDEX(tblKurallar[deger_2025],MATCH("IFF-001",tblKurallar[kural_id],0))+(1-INDEX(tblKurallar[deger_2025],MATCH("IFF-001",tblKurallar[kural_id],0)))*IF($C94=0,0,$D94/$C94))-1),iff_yuvarMax),0))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IF($A95="","",IFERROR(ROUND($H95*((INDEX(tblKurallar[deger_2025],MATCH("IFF-001",tblKurallar[kural_id],0))+(1-INDEX(tblKurallar[deger_2025],MATCH("IFF-001",tblKurallar[kural_id],0)))*IF($C95=0,0,$D95/$C95))-1),iff_yuvarMax),0))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IF($A96="","",IFERROR(ROUND($H96*((INDEX(tblKurallar[deger_2025],MATCH("IFF-001",tblKurallar[kural_id],0))+(1-INDEX(tblKurallar[deger_2025],MATCH("IFF-001",tblKurallar[kural_id],0)))*IF($C96=0,0,$D96/$C96))-1),iff_yuvarMax),0))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IF($A97="","",IFERROR(ROUND($H97*((INDEX(tblKurallar[deger_2025],MATCH("IFF-001",tblKurallar[kural_id],0))+(1-INDEX(tblKurallar[deger_2025],MATCH("IFF-001",tblKurallar[kural_id],0)))*IF($C97=0,0,$D97/$C97))-1),iff_yuvarMax),0))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IF($A98="","",IFERROR(ROUND($H98*((INDEX(tblKurallar[deger_2025],MATCH("IFF-001",tblKurallar[kural_id],0))+(1-INDEX(tblKurallar[deger_2025],MATCH("IFF-001",tblKurallar[kural_id],0)))*IF($C98=0,0,$D98/$C98))-1),iff_yuvarMax),0))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IF($A99="","",IFERROR(ROUND($H99*((INDEX(tblKurallar[deger_2025],MATCH("IFF-001",tblKurallar[kural_id],0))+(1-INDEX(tblKurallar[deger_2025],MATCH("IFF-001",tblKurallar[kural_id],0)))*IF($C99=0,0,$D99/$C99))-1),iff_yuvarMax),0))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IF($A100="","",IFERROR(ROUND($H100*((INDEX(tblKurallar[deger_2025],MATCH("IFF-001",tblKurallar[kural_id],0))+(1-INDEX(tblKurallar[deger_2025],MATCH("IFF-001",tblKurallar[kural_id],0)))*IF($C100=0,0,$D100/$C100))-1),iff_yuvarMax),0))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IF($A101="","",IFERROR(ROUND($H101*((INDEX(tblKurallar[deger_2025],MATCH("IFF-001",tblKurallar[kural_id],0))+(1-INDEX(tblKurallar[deger_2025],MATCH("IFF-001",tblKurallar[kural_id],0)))*IF($C101=0,0,$D101/$C101))-1),iff_yuvarMax),0))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IF($A102="","",IFERROR(ROUND($H102*((INDEX(tblKurallar[deger_2025],MATCH("IFF-001",tblKurallar[kural_id],0))+(1-INDEX(tblKurallar[deger_2025],MATCH("IFF-001",tblKurallar[kural_id],0)))*IF($C102=0,0,$D102/$C102))-1),iff_yuvarMax),0))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IF($A103="","",IFERROR(ROUND($H103*((INDEX(tblKurallar[deger_2025],MATCH("IFF-001",tblKurallar[kural_id],0))+(1-INDEX(tblKurallar[deger_2025],MATCH("IFF-001",tblKurallar[kural_id],0)))*IF($C103=0,0,$D103/$C103))-1),iff_yuvarMax),0))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IF($A104="","",IFERROR(ROUND($H104*((INDEX(tblKurallar[deger_2025],MATCH("IFF-001",tblKurallar[kural_id],0))+(1-INDEX(tblKurallar[deger_2025],MATCH("IFF-001",tblKurallar[kural_id],0)))*IF($C104=0,0,$D104/$C104))-1),iff_yuvarMax),0))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IF($A105="","",IFERROR(ROUND($H105*((INDEX(tblKurallar[deger_2025],MATCH("IFF-001",tblKurallar[kural_id],0))+(1-INDEX(tblKurallar[deger_2025],MATCH("IFF-001",tblKurallar[kural_id],0)))*IF($C105=0,0,$D105/$C105))-1),iff_yuvarMax),0))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IF($A106="","",IFERROR(ROUND($H106*((INDEX(tblKurallar[deger_2025],MATCH("IFF-001",tblKurallar[kural_id],0))+(1-INDEX(tblKurallar[deger_2025],MATCH("IFF-001",tblKurallar[kural_id],0)))*IF($C106=0,0,$D106/$C106))-1),iff_yuvarMax),0))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IF($A107="","",IFERROR(ROUND($H107*((INDEX(tblKurallar[deger_2025],MATCH("IFF-001",tblKurallar[kural_id],0))+(1-INDEX(tblKurallar[deger_2025],MATCH("IFF-001",tblKurallar[kural_id],0)))*IF($C107=0,0,$D107/$C107))-1),iff_yuvarMax),0))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IF($A108="","",IFERROR(ROUND($H108*((INDEX(tblKurallar[deger_2025],MATCH("IFF-001",tblKurallar[kural_id],0))+(1-INDEX(tblKurallar[deger_2025],MATCH("IFF-001",tblKurallar[kural_id],0)))*IF($C108=0,0,$D108/$C108))-1),iff_yuvarMax),0))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IF($A109="","",IFERROR(ROUND($H109*((INDEX(tblKurallar[deger_2025],MATCH("IFF-001",tblKurallar[kural_id],0))+(1-INDEX(tblKurallar[deger_2025],MATCH("IFF-001",tblKurallar[kural_id],0)))*IF($C109=0,0,$D109/$C109))-1),iff_yuvarMax),0))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IF($A110="","",IFERROR(ROUND($H110*((INDEX(tblKurallar[deger_2025],MATCH("IFF-001",tblKurallar[kural_id],0))+(1-INDEX(tblKurallar[deger_2025],MATCH("IFF-001",tblKurallar[kural_id],0)))*IF($C110=0,0,$D110/$C110))-1),iff_yuvarMax),0))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IF($A111="","",IFERROR(ROUND($H111*((INDEX(tblKurallar[deger_2025],MATCH("IFF-001",tblKurallar[kural_id],0))+(1-INDEX(tblKurallar[deger_2025],MATCH("IFF-001",tblKurallar[kural_id],0)))*IF($C111=0,0,$D111/$C111))-1),iff_yuvarMax),0))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IF($A112="","",IFERROR(ROUND($H112*((INDEX(tblKurallar[deger_2025],MATCH("IFF-001",tblKurallar[kural_id],0))+(1-INDEX(tblKurallar[deger_2025],MATCH("IFF-001",tblKurallar[kural_id],0)))*IF($C112=0,0,$D112/$C112))-1),iff_yuvarMax),0))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IF($A113="","",IFERROR(ROUND($H113*((INDEX(tblKurallar[deger_2025],MATCH("IFF-001",tblKurallar[kural_id],0))+(1-INDEX(tblKurallar[deger_2025],MATCH("IFF-001",tblKurallar[kural_id],0)))*IF($C113=0,0,$D113/$C113))-1),iff_yuvarMax),0))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IF($A114="","",IFERROR(ROUND($H114*((INDEX(tblKurallar[deger_2025],MATCH("IFF-001",tblKurallar[kural_id],0))+(1-INDEX(tblKurallar[deger_2025],MATCH("IFF-001",tblKurallar[kural_id],0)))*IF($C114=0,0,$D114/$C114))-1),iff_yuvarMax),0))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IF($A115="","",IFERROR(ROUND($H115*((INDEX(tblKurallar[deger_2025],MATCH("IFF-001",tblKurallar[kural_id],0))+(1-INDEX(tblKurallar[deger_2025],MATCH("IFF-001",tblKurallar[kural_id],0)))*IF($C115=0,0,$D115/$C115))-1),iff_yuvarMax),0))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IF($A116="","",IFERROR(ROUND($H116*((INDEX(tblKurallar[deger_2025],MATCH("IFF-001",tblKurallar[kural_id],0))+(1-INDEX(tblKurallar[deger_2025],MATCH("IFF-001",tblKurallar[kural_id],0)))*IF($C116=0,0,$D116/$C116))-1),iff_yuvarMax),0))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IF($A117="","",IFERROR(ROUND($H117*((INDEX(tblKurallar[deger_2025],MATCH("IFF-001",tblKurallar[kural_id],0))+(1-INDEX(tblKurallar[deger_2025],MATCH("IFF-001",tblKurallar[kural_id],0)))*IF($C117=0,0,$D117/$C117))-1),iff_yuvarMax),0))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IF($A118="","",IFERROR(ROUND($H118*((INDEX(tblKurallar[deger_2025],MATCH("IFF-001",tblKurallar[kural_id],0))+(1-INDEX(tblKurallar[deger_2025],MATCH("IFF-001",tblKurallar[kural_id],0)))*IF($C118=0,0,$D118/$C118))-1),iff_yuvarMax),0))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IF($A119="","",IFERROR(ROUND($H119*((INDEX(tblKurallar[deger_2025],MATCH("IFF-001",tblKurallar[kural_id],0))+(1-INDEX(tblKurallar[deger_2025],MATCH("IFF-001",tblKurallar[kural_id],0)))*IF($C119=0,0,$D119/$C119))-1),iff_yuvarMax),0))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IF($A120="","",IFERROR(ROUND($H120*((INDEX(tblKurallar[deger_2025],MATCH("IFF-001",tblKurallar[kural_id],0))+(1-INDEX(tblKurallar[deger_2025],MATCH("IFF-001",tblKurallar[kural_id],0)))*IF($C120=0,0,$D120/$C120))-1),iff_yuvarMax),0))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IF($A121="","",IFERROR(ROUND($H121*((INDEX(tblKurallar[deger_2025],MATCH("IFF-001",tblKurallar[kural_id],0))+(1-INDEX(tblKurallar[deger_2025],MATCH("IFF-001",tblKurallar[kural_id],0)))*IF($C121=0,0,$D121/$C121))-1),iff_yuvarMax),0))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IF($A122="","",IFERROR(ROUND($H122*((INDEX(tblKurallar[deger_2025],MATCH("IFF-001",tblKurallar[kural_id],0))+(1-INDEX(tblKurallar[deger_2025],MATCH("IFF-001",tblKurallar[kural_id],0)))*IF($C122=0,0,$D122/$C122))-1),iff_yuvarMax),0))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IF($A123="","",IFERROR(ROUND($H123*((INDEX(tblKurallar[deger_2025],MATCH("IFF-001",tblKurallar[kural_id],0))+(1-INDEX(tblKurallar[deger_2025],MATCH("IFF-001",tblKurallar[kural_id],0)))*IF($C123=0,0,$D123/$C123))-1),iff_yuvarMax),0))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IF($A124="","",IFERROR(ROUND($H124*((INDEX(tblKurallar[deger_2025],MATCH("IFF-001",tblKurallar[kural_id],0))+(1-INDEX(tblKurallar[deger_2025],MATCH("IFF-001",tblKurallar[kural_id],0)))*IF($C124=0,0,$D124/$C124))-1),iff_yuvarMax),0))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IF($A125="","",IFERROR(ROUND($H125*((INDEX(tblKurallar[deger_2025],MATCH("IFF-001",tblKurallar[kural_id],0))+(1-INDEX(tblKurallar[deger_2025],MATCH("IFF-001",tblKurallar[kural_id],0)))*IF($C125=0,0,$D125/$C125))-1),iff_yuvarMax),0))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IF($A126="","",IFERROR(ROUND($H126*((INDEX(tblKurallar[deger_2025],MATCH("IFF-001",tblKurallar[kural_id],0))+(1-INDEX(tblKurallar[deger_2025],MATCH("IFF-001",tblKurallar[kural_id],0)))*IF($C126=0,0,$D126/$C126))-1),iff_yuvarMax),0))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IF($A127="","",IFERROR(ROUND($H127*((INDEX(tblKurallar[deger_2025],MATCH("IFF-001",tblKurallar[kural_id],0))+(1-INDEX(tblKurallar[deger_2025],MATCH("IFF-001",tblKurallar[kural_id],0)))*IF($C127=0,0,$D127/$C127))-1),iff_yuvarMax),0))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IF($A128="","",IFERROR(ROUND($H128*((INDEX(tblKurallar[deger_2025],MATCH("IFF-001",tblKurallar[kural_id],0))+(1-INDEX(tblKurallar[deger_2025],MATCH("IFF-001",tblKurallar[kural_id],0)))*IF($C128=0,0,$D128/$C128))-1),iff_yuvarMax),0))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IF($A129="","",IFERROR(ROUND($H129*((INDEX(tblKurallar[deger_2025],MATCH("IFF-001",tblKurallar[kural_id],0))+(1-INDEX(tblKurallar[deger_2025],MATCH("IFF-001",tblKurallar[kural_id],0)))*IF($C129=0,0,$D129/$C129))-1),iff_yuvarMax),0))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IF($A130="","",IFERROR(ROUND($H130*((INDEX(tblKurallar[deger_2025],MATCH("IFF-001",tblKurallar[kural_id],0))+(1-INDEX(tblKurallar[deger_2025],MATCH("IFF-001",tblKurallar[kural_id],0)))*IF($C130=0,0,$D130/$C130))-1),iff_yuvarMax),0))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IF($A131="","",IFERROR(ROUND($H131*((INDEX(tblKurallar[deger_2025],MATCH("IFF-001",tblKurallar[kural_id],0))+(1-INDEX(tblKurallar[deger_2025],MATCH("IFF-001",tblKurallar[kural_id],0)))*IF($C131=0,0,$D131/$C131))-1),iff_yuvarMax),0))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IF($A132="","",IFERROR(ROUND($H132*((INDEX(tblKurallar[deger_2025],MATCH("IFF-001",tblKurallar[kural_id],0))+(1-INDEX(tblKurallar[deger_2025],MATCH("IFF-001",tblKurallar[kural_id],0)))*IF($C132=0,0,$D132/$C132))-1),iff_yuvarMax),0))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IF($A133="","",IFERROR(ROUND($H133*((INDEX(tblKurallar[deger_2025],MATCH("IFF-001",tblKurallar[kural_id],0))+(1-INDEX(tblKurallar[deger_2025],MATCH("IFF-001",tblKurallar[kural_id],0)))*IF($C133=0,0,$D133/$C133))-1),iff_yuvarMax),0))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IF($A134="","",IFERROR(ROUND($H134*((INDEX(tblKurallar[deger_2025],MATCH("IFF-001",tblKurallar[kural_id],0))+(1-INDEX(tblKurallar[deger_2025],MATCH("IFF-001",tblKurallar[kural_id],0)))*IF($C134=0,0,$D134/$C134))-1),iff_yuvarMax),0))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IF($A135="","",IFERROR(ROUND($H135*((INDEX(tblKurallar[deger_2025],MATCH("IFF-001",tblKurallar[kural_id],0))+(1-INDEX(tblKurallar[deger_2025],MATCH("IFF-001",tblKurallar[kural_id],0)))*IF($C135=0,0,$D135/$C135))-1),iff_yuvarMax),0))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IF($A136="","",IFERROR(ROUND($H136*((INDEX(tblKurallar[deger_2025],MATCH("IFF-001",tblKurallar[kural_id],0))+(1-INDEX(tblKurallar[deger_2025],MATCH("IFF-001",tblKurallar[kural_id],0)))*IF($C136=0,0,$D136/$C136))-1),iff_yuvarMax),0))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IF($A137="","",IFERROR(ROUND($H137*((INDEX(tblKurallar[deger_2025],MATCH("IFF-001",tblKurallar[kural_id],0))+(1-INDEX(tblKurallar[deger_2025],MATCH("IFF-001",tblKurallar[kural_id],0)))*IF($C137=0,0,$D137/$C137))-1),iff_yuvarMax),0))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IF($A138="","",IFERROR(ROUND($H138*((INDEX(tblKurallar[deger_2025],MATCH("IFF-001",tblKurallar[kural_id],0))+(1-INDEX(tblKurallar[deger_2025],MATCH("IFF-001",tblKurallar[kural_id],0)))*IF($C138=0,0,$D138/$C138))-1),iff_yuvarMax),0))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IF($A139="","",IFERROR(ROUND($H139*((INDEX(tblKurallar[deger_2025],MATCH("IFF-001",tblKurallar[kural_id],0))+(1-INDEX(tblKurallar[deger_2025],MATCH("IFF-001",tblKurallar[kural_id],0)))*IF($C139=0,0,$D139/$C139))-1),iff_yuvarMax),0))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IF($A140="","",IFERROR(ROUND($H140*((INDEX(tblKurallar[deger_2025],MATCH("IFF-001",tblKurallar[kural_id],0))+(1-INDEX(tblKurallar[deger_2025],MATCH("IFF-001",tblKurallar[kural_id],0)))*IF($C140=0,0,$D140/$C140))-1),iff_yuvarMax),0))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IF($A141="","",IFERROR(ROUND($H141*((INDEX(tblKurallar[deger_2025],MATCH("IFF-001",tblKurallar[kural_id],0))+(1-INDEX(tblKurallar[deger_2025],MATCH("IFF-001",tblKurallar[kural_id],0)))*IF($C141=0,0,$D141/$C141))-1),iff_yuvarMax),0))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IF($A142="","",IFERROR(ROUND($H142*((INDEX(tblKurallar[deger_2025],MATCH("IFF-001",tblKurallar[kural_id],0))+(1-INDEX(tblKurallar[deger_2025],MATCH("IFF-001",tblKurallar[kural_id],0)))*IF($C142=0,0,$D142/$C142))-1),iff_yuvarMax),0))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IF($A143="","",IFERROR(ROUND($H143*((INDEX(tblKurallar[deger_2025],MATCH("IFF-001",tblKurallar[kural_id],0))+(1-INDEX(tblKurallar[deger_2025],MATCH("IFF-001",tblKurallar[kural_id],0)))*IF($C143=0,0,$D143/$C143))-1),iff_yuvarMax),0))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IF($A144="","",IFERROR(ROUND($H144*((INDEX(tblKurallar[deger_2025],MATCH("IFF-001",tblKurallar[kural_id],0))+(1-INDEX(tblKurallar[deger_2025],MATCH("IFF-001",tblKurallar[kural_id],0)))*IF($C144=0,0,$D144/$C144))-1),iff_yuvarMax),0))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IF($A145="","",IFERROR(ROUND($H145*((INDEX(tblKurallar[deger_2025],MATCH("IFF-001",tblKurallar[kural_id],0))+(1-INDEX(tblKurallar[deger_2025],MATCH("IFF-001",tblKurallar[kural_id],0)))*IF($C145=0,0,$D145/$C145))-1),iff_yuvarMax),0))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IF($A146="","",IFERROR(ROUND($H146*((INDEX(tblKurallar[deger_2025],MATCH("IFF-001",tblKurallar[kural_id],0))+(1-INDEX(tblKurallar[deger_2025],MATCH("IFF-001",tblKurallar[kural_id],0)))*IF($C146=0,0,$D146/$C146))-1),iff_yuvarMax),0))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IF($A147="","",IFERROR(ROUND($H147*((INDEX(tblKurallar[deger_2025],MATCH("IFF-001",tblKurallar[kural_id],0))+(1-INDEX(tblKurallar[deger_2025],MATCH("IFF-001",tblKurallar[kural_id],0)))*IF($C147=0,0,$D147/$C147))-1),iff_yuvarMax),0))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IF($A148="","",IFERROR(ROUND($H148*((INDEX(tblKurallar[deger_2025],MATCH("IFF-001",tblKurallar[kural_id],0))+(1-INDEX(tblKurallar[deger_2025],MATCH("IFF-001",tblKurallar[kural_id],0)))*IF($C148=0,0,$D148/$C148))-1),iff_yuvarMax),0))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IF($A149="","",IFERROR(ROUND($H149*((INDEX(tblKurallar[deger_2025],MATCH("IFF-001",tblKurallar[kural_id],0))+(1-INDEX(tblKurallar[deger_2025],MATCH("IFF-001",tblKurallar[kural_id],0)))*IF($C149=0,0,$D149/$C149))-1),iff_yuvarMax),0))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IF($A150="","",IFERROR(ROUND($H150*((INDEX(tblKurallar[deger_2025],MATCH("IFF-001",tblKurallar[kural_id],0))+(1-INDEX(tblKurallar[deger_2025],MATCH("IFF-001",tblKurallar[kural_id],0)))*IF($C150=0,0,$D150/$C150))-1),iff_yuvarMax),0))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IF($A151="","",IFERROR(ROUND($H151*((INDEX(tblKurallar[deger_2025],MATCH("IFF-001",tblKurallar[kural_id],0))+(1-INDEX(tblKurallar[deger_2025],MATCH("IFF-001",tblKurallar[kural_id],0)))*IF($C151=0,0,$D151/$C151))-1),iff_yuvarMax),0))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IF($A152="","",IFERROR(ROUND($H152*((INDEX(tblKurallar[deger_2025],MATCH("IFF-001",tblKurallar[kural_id],0))+(1-INDEX(tblKurallar[deger_2025],MATCH("IFF-001",tblKurallar[kural_id],0)))*IF($C152=0,0,$D152/$C152))-1),iff_yuvarMax),0))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IF($A153="","",IFERROR(ROUND($H153*((INDEX(tblKurallar[deger_2025],MATCH("IFF-001",tblKurallar[kural_id],0))+(1-INDEX(tblKurallar[deger_2025],MATCH("IFF-001",tblKurallar[kural_id],0)))*IF($C153=0,0,$D153/$C153))-1),iff_yuvarMax),0))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IF($A154="","",IFERROR(ROUND($H154*((INDEX(tblKurallar[deger_2025],MATCH("IFF-001",tblKurallar[kural_id],0))+(1-INDEX(tblKurallar[deger_2025],MATCH("IFF-001",tblKurallar[kural_id],0)))*IF($C154=0,0,$D154/$C154))-1),iff_yuvarMax),0))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IF($A155="","",IFERROR(ROUND($H155*((INDEX(tblKurallar[deger_2025],MATCH("IFF-001",tblKurallar[kural_id],0))+(1-INDEX(tblKurallar[deger_2025],MATCH("IFF-001",tblKurallar[kural_id],0)))*IF($C155=0,0,$D155/$C155))-1),iff_yuvarMax),0))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IF($A156="","",IFERROR(ROUND($H156*((INDEX(tblKurallar[deger_2025],MATCH("IFF-001",tblKurallar[kural_id],0))+(1-INDEX(tblKurallar[deger_2025],MATCH("IFF-001",tblKurallar[kural_id],0)))*IF($C156=0,0,$D156/$C156))-1),iff_yuvarMax),0))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IF($A157="","",IFERROR(ROUND($H157*((INDEX(tblKurallar[deger_2025],MATCH("IFF-001",tblKurallar[kural_id],0))+(1-INDEX(tblKurallar[deger_2025],MATCH("IFF-001",tblKurallar[kural_id],0)))*IF($C157=0,0,$D157/$C157))-1),iff_yuvarMax),0))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IF($A158="","",IFERROR(ROUND($H158*((INDEX(tblKurallar[deger_2025],MATCH("IFF-001",tblKurallar[kural_id],0))+(1-INDEX(tblKurallar[deger_2025],MATCH("IFF-001",tblKurallar[kural_id],0)))*IF($C158=0,0,$D158/$C158))-1),iff_yuvarMax),0))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IF($A159="","",IFERROR(ROUND($H159*((INDEX(tblKurallar[deger_2025],MATCH("IFF-001",tblKurallar[kural_id],0))+(1-INDEX(tblKurallar[deger_2025],MATCH("IFF-001",tblKurallar[kural_id],0)))*IF($C159=0,0,$D159/$C159))-1),iff_yuvarMax),0))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IF($A160="","",IFERROR(ROUND($H160*((INDEX(tblKurallar[deger_2025],MATCH("IFF-001",tblKurallar[kural_id],0))+(1-INDEX(tblKurallar[deger_2025],MATCH("IFF-001",tblKurallar[kural_id],0)))*IF($C160=0,0,$D160/$C160))-1),iff_yuvarMax),0))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IF($A161="","",IFERROR(ROUND($H161*((INDEX(tblKurallar[deger_2025],MATCH("IFF-001",tblKurallar[kural_id],0))+(1-INDEX(tblKurallar[deger_2025],MATCH("IFF-001",tblKurallar[kural_id],0)))*IF($C161=0,0,$D161/$C161))-1),iff_yuvarMax),0))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IF($A162="","",IFERROR(ROUND($H162*((INDEX(tblKurallar[deger_2025],MATCH("IFF-001",tblKurallar[kural_id],0))+(1-INDEX(tblKurallar[deger_2025],MATCH("IFF-001",tblKurallar[kural_id],0)))*IF($C162=0,0,$D162/$C162))-1),iff_yuvarMax),0))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IF($A163="","",IFERROR(ROUND($H163*((INDEX(tblKurallar[deger_2025],MATCH("IFF-001",tblKurallar[kural_id],0))+(1-INDEX(tblKurallar[deger_2025],MATCH("IFF-001",tblKurallar[kural_id],0)))*IF($C163=0,0,$D163/$C163))-1),iff_yuvarMax),0))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IF($A164="","",IFERROR(ROUND($H164*((INDEX(tblKurallar[deger_2025],MATCH("IFF-001",tblKurallar[kural_id],0))+(1-INDEX(tblKurallar[deger_2025],MATCH("IFF-001",tblKurallar[kural_id],0)))*IF($C164=0,0,$D164/$C164))-1),iff_yuvarMax),0))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IF($A165="","",IFERROR(ROUND($H165*((INDEX(tblKurallar[deger_2025],MATCH("IFF-001",tblKurallar[kural_id],0))+(1-INDEX(tblKurallar[deger_2025],MATCH("IFF-001",tblKurallar[kural_id],0)))*IF($C165=0,0,$D165/$C165))-1),iff_yuvarMax),0))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IF($A166="","",IFERROR(ROUND($H166*((INDEX(tblKurallar[deger_2025],MATCH("IFF-001",tblKurallar[kural_id],0))+(1-INDEX(tblKurallar[deger_2025],MATCH("IFF-001",tblKurallar[kural_id],0)))*IF($C166=0,0,$D166/$C166))-1),iff_yuvarMax),0))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IF($A167="","",IFERROR(ROUND($H167*((INDEX(tblKurallar[deger_2025],MATCH("IFF-001",tblKurallar[kural_id],0))+(1-INDEX(tblKurallar[deger_2025],MATCH("IFF-001",tblKurallar[kural_id],0)))*IF($C167=0,0,$D167/$C167))-1),iff_yuvarMax),0))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IF($A168="","",IFERROR(ROUND($H168*((INDEX(tblKurallar[deger_2025],MATCH("IFF-001",tblKurallar[kural_id],0))+(1-INDEX(tblKurallar[deger_2025],MATCH("IFF-001",tblKurallar[kural_id],0)))*IF($C168=0,0,$D168/$C168))-1),iff_yuvarMax),0))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IF($A169="","",IFERROR(ROUND($H169*((INDEX(tblKurallar[deger_2025],MATCH("IFF-001",tblKurallar[kural_id],0))+(1-INDEX(tblKurallar[deger_2025],MATCH("IFF-001",tblKurallar[kural_id],0)))*IF($C169=0,0,$D169/$C169))-1),iff_yuvarMax),0))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IF($A170="","",IFERROR(ROUND($H170*((INDEX(tblKurallar[deger_2025],MATCH("IFF-001",tblKurallar[kural_id],0))+(1-INDEX(tblKurallar[deger_2025],MATCH("IFF-001",tblKurallar[kural_id],0)))*IF($C170=0,0,$D170/$C170))-1),iff_yuvarMax),0))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IF($A171="","",IFERROR(ROUND($H171*((INDEX(tblKurallar[deger_2025],MATCH("IFF-001",tblKurallar[kural_id],0))+(1-INDEX(tblKurallar[deger_2025],MATCH("IFF-001",tblKurallar[kural_id],0)))*IF($C171=0,0,$D171/$C171))-1),iff_yuvarMax),0))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IF($A172="","",IFERROR(ROUND($H172*((INDEX(tblKurallar[deger_2025],MATCH("IFF-001",tblKurallar[kural_id],0))+(1-INDEX(tblKurallar[deger_2025],MATCH("IFF-001",tblKurallar[kural_id],0)))*IF($C172=0,0,$D172/$C172))-1),iff_yuvarMax),0))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IF($A173="","",IFERROR(ROUND($H173*((INDEX(tblKurallar[deger_2025],MATCH("IFF-001",tblKurallar[kural_id],0))+(1-INDEX(tblKurallar[deger_2025],MATCH("IFF-001",tblKurallar[kural_id],0)))*IF($C173=0,0,$D173/$C173))-1),iff_yuvarMax),0))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IF($A174="","",IFERROR(ROUND($H174*((INDEX(tblKurallar[deger_2025],MATCH("IFF-001",tblKurallar[kural_id],0))+(1-INDEX(tblKurallar[deger_2025],MATCH("IFF-001",tblKurallar[kural_id],0)))*IF($C174=0,0,$D174/$C174))-1),iff_yuvarMax),0))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IF($A175="","",IFERROR(ROUND($H175*((INDEX(tblKurallar[deger_2025],MATCH("IFF-001",tblKurallar[kural_id],0))+(1-INDEX(tblKurallar[deger_2025],MATCH("IFF-001",tblKurallar[kural_id],0)))*IF($C175=0,0,$D175/$C175))-1),iff_yuvarMax),0))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IF($A176="","",IFERROR(ROUND($H176*((INDEX(tblKurallar[deger_2025],MATCH("IFF-001",tblKurallar[kural_id],0))+(1-INDEX(tblKurallar[deger_2025],MATCH("IFF-001",tblKurallar[kural_id],0)))*IF($C176=0,0,$D176/$C176))-1),iff_yuvarMax),0))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IF($A177="","",IFERROR(ROUND($H177*((INDEX(tblKurallar[deger_2025],MATCH("IFF-001",tblKurallar[kural_id],0))+(1-INDEX(tblKurallar[deger_2025],MATCH("IFF-001",tblKurallar[kural_id],0)))*IF($C177=0,0,$D177/$C177))-1),iff_yuvarMax),0))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IF($A178="","",IFERROR(ROUND($H178*((INDEX(tblKurallar[deger_2025],MATCH("IFF-001",tblKurallar[kural_id],0))+(1-INDEX(tblKurallar[deger_2025],MATCH("IFF-001",tblKurallar[kural_id],0)))*IF($C178=0,0,$D178/$C178))-1),iff_yuvarMax),0))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IF($A179="","",IFERROR(ROUND($H179*((INDEX(tblKurallar[deger_2025],MATCH("IFF-001",tblKurallar[kural_id],0))+(1-INDEX(tblKurallar[deger_2025],MATCH("IFF-001",tblKurallar[kural_id],0)))*IF($C179=0,0,$D179/$C179))-1),iff_yuvarMax),0))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IF($A180="","",IFERROR(ROUND($H180*((INDEX(tblKurallar[deger_2025],MATCH("IFF-001",tblKurallar[kural_id],0))+(1-INDEX(tblKurallar[deger_2025],MATCH("IFF-001",tblKurallar[kural_id],0)))*IF($C180=0,0,$D180/$C180))-1),iff_yuvarMax),0))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IF($A181="","",IFERROR(ROUND($H181*((INDEX(tblKurallar[deger_2025],MATCH("IFF-001",tblKurallar[kural_id],0))+(1-INDEX(tblKurallar[deger_2025],MATCH("IFF-001",tblKurallar[kural_id],0)))*IF($C181=0,0,$D181/$C181))-1),iff_yuvarMax),0))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IF($A182="","",IFERROR(ROUND($H182*((INDEX(tblKurallar[deger_2025],MATCH("IFF-001",tblKurallar[kural_id],0))+(1-INDEX(tblKurallar[deger_2025],MATCH("IFF-001",tblKurallar[kural_id],0)))*IF($C182=0,0,$D182/$C182))-1),iff_yuvarMax),0))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IF($A183="","",IFERROR(ROUND($H183*((INDEX(tblKurallar[deger_2025],MATCH("IFF-001",tblKurallar[kural_id],0))+(1-INDEX(tblKurallar[deger_2025],MATCH("IFF-001",tblKurallar[kural_id],0)))*IF($C183=0,0,$D183/$C183))-1),iff_yuvarMax),0))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IF($A184="","",IFERROR(ROUND($H184*((INDEX(tblKurallar[deger_2025],MATCH("IFF-001",tblKurallar[kural_id],0))+(1-INDEX(tblKurallar[deger_2025],MATCH("IFF-001",tblKurallar[kural_id],0)))*IF($C184=0,0,$D184/$C184))-1),iff_yuvarMax),0))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IF($A185="","",IFERROR(ROUND($H185*((INDEX(tblKurallar[deger_2025],MATCH("IFF-001",tblKurallar[kural_id],0))+(1-INDEX(tblKurallar[deger_2025],MATCH("IFF-001",tblKurallar[kural_id],0)))*IF($C185=0,0,$D185/$C185))-1),iff_yuvarMax),0))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IF($A186="","",IFERROR(ROUND($H186*((INDEX(tblKurallar[deger_2025],MATCH("IFF-001",tblKurallar[kural_id],0))+(1-INDEX(tblKurallar[deger_2025],MATCH("IFF-001",tblKurallar[kural_id],0)))*IF($C186=0,0,$D186/$C186))-1),iff_yuvarMax),0))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IF($A187="","",IFERROR(ROUND($H187*((INDEX(tblKurallar[deger_2025],MATCH("IFF-001",tblKurallar[kural_id],0))+(1-INDEX(tblKurallar[deger_2025],MATCH("IFF-001",tblKurallar[kural_id],0)))*IF($C187=0,0,$D187/$C187))-1),iff_yuvarMax),0))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IF($A188="","",IFERROR(ROUND($H188*((INDEX(tblKurallar[deger_2025],MATCH("IFF-001",tblKurallar[kural_id],0))+(1-INDEX(tblKurallar[deger_2025],MATCH("IFF-001",tblKurallar[kural_id],0)))*IF($C188=0,0,$D188/$C188))-1),iff_yuvarMax),0))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IF($A189="","",IFERROR(ROUND($H189*((INDEX(tblKurallar[deger_2025],MATCH("IFF-001",tblKurallar[kural_id],0))+(1-INDEX(tblKurallar[deger_2025],MATCH("IFF-001",tblKurallar[kural_id],0)))*IF($C189=0,0,$D189/$C189))-1),iff_yuvarMax),0))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IF($A190="","",IFERROR(ROUND($H190*((INDEX(tblKurallar[deger_2025],MATCH("IFF-001",tblKurallar[kural_id],0))+(1-INDEX(tblKurallar[deger_2025],MATCH("IFF-001",tblKurallar[kural_id],0)))*IF($C190=0,0,$D190/$C190))-1),iff_yuvarMax),0))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IF($A191="","",IFERROR(ROUND($H191*((INDEX(tblKurallar[deger_2025],MATCH("IFF-001",tblKurallar[kural_id],0))+(1-INDEX(tblKurallar[deger_2025],MATCH("IFF-001",tblKurallar[kural_id],0)))*IF($C191=0,0,$D191/$C191))-1),iff_yuvarMax),0))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IF($A192="","",IFERROR(ROUND($H192*((INDEX(tblKurallar[deger_2025],MATCH("IFF-001",tblKurallar[kural_id],0))+(1-INDEX(tblKurallar[deger_2025],MATCH("IFF-001",tblKurallar[kural_id],0)))*IF($C192=0,0,$D192/$C192))-1),iff_yuvarMax),0))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IF($A193="","",IFERROR(ROUND($H193*((INDEX(tblKurallar[deger_2025],MATCH("IFF-001",tblKurallar[kural_id],0))+(1-INDEX(tblKurallar[deger_2025],MATCH("IFF-001",tblKurallar[kural_id],0)))*IF($C193=0,0,$D193/$C193))-1),iff_yuvarMax),0))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IF($A194="","",IFERROR(ROUND($H194*((INDEX(tblKurallar[deger_2025],MATCH("IFF-001",tblKurallar[kural_id],0))+(1-INDEX(tblKurallar[deger_2025],MATCH("IFF-001",tblKurallar[kural_id],0)))*IF($C194=0,0,$D194/$C194))-1),iff_yuvarMax),0))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IF($A195="","",IFERROR(ROUND($H195*((INDEX(tblKurallar[deger_2025],MATCH("IFF-001",tblKurallar[kural_id],0))+(1-INDEX(tblKurallar[deger_2025],MATCH("IFF-001",tblKurallar[kural_id],0)))*IF($C195=0,0,$D195/$C195))-1),iff_yuvarMax),0))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IF($A196="","",IFERROR(ROUND($H196*((INDEX(tblKurallar[deger_2025],MATCH("IFF-001",tblKurallar[kural_id],0))+(1-INDEX(tblKurallar[deger_2025],MATCH("IFF-001",tblKurallar[kural_id],0)))*IF($C196=0,0,$D196/$C196))-1),iff_yuvarMax),0))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IF($A197="","",IFERROR(ROUND($H197*((INDEX(tblKurallar[deger_2025],MATCH("IFF-001",tblKurallar[kural_id],0))+(1-INDEX(tblKurallar[deger_2025],MATCH("IFF-001",tblKurallar[kural_id],0)))*IF($C197=0,0,$D197/$C197))-1),iff_yuvarMax),0))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IF($A198="","",IFERROR(ROUND($H198*((INDEX(tblKurallar[deger_2025],MATCH("IFF-001",tblKurallar[kural_id],0))+(1-INDEX(tblKurallar[deger_2025],MATCH("IFF-001",tblKurallar[kural_id],0)))*IF($C198=0,0,$D198/$C198))-1),iff_yuvarMax),0))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IF($A199="","",IFERROR(ROUND($H199*((INDEX(tblKurallar[deger_2025],MATCH("IFF-001",tblKurallar[kural_id],0))+(1-INDEX(tblKurallar[deger_2025],MATCH("IFF-001",tblKurallar[kural_id],0)))*IF($C199=0,0,$D199/$C199))-1),iff_yuvarMax),0))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IF($A200="","",IFERROR(ROUND($H200*((INDEX(tblKurallar[deger_2025],MATCH("IFF-001",tblKurallar[kural_id],0))+(1-INDEX(tblKurallar[deger_2025],MATCH("IFF-001",tblKurallar[kural_id],0)))*IF($C200=0,0,$D200/$C200))-1),iff_yuvarMax),0))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IF($A201="","",IFERROR(ROUND($H201*((INDEX(tblKurallar[deger_2025],MATCH("IFF-001",tblKurallar[kural_id],0))+(1-INDEX(tblKurallar[deger_2025],MATCH("IFF-001",tblKurallar[kural_id],0)))*IF($C201=0,0,$D201/$C201))-1),iff_yuvarMax),0))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IF($A202="","",IFERROR(ROUND($H202*((INDEX(tblKurallar[deger_2025],MATCH("IFF-001",tblKurallar[kural_id],0))+(1-INDEX(tblKurallar[deger_2025],MATCH("IFF-001",tblKurallar[kural_id],0)))*IF($C202=0,0,$D202/$C202))-1),iff_yuvarMax),0))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IF($A203="","",IFERROR(ROUND($H203*((INDEX(tblKurallar[deger_2025],MATCH("IFF-001",tblKurallar[kural_id],0))+(1-INDEX(tblKurallar[deger_2025],MATCH("IFF-001",tblKurallar[kural_id],0)))*IF($C203=0,0,$D203/$C203))-1),iff_yuvarMax),0))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IF($A204="","",IFERROR(ROUND($H204*((INDEX(tblKurallar[deger_2025],MATCH("IFF-001",tblKurallar[kural_id],0))+(1-INDEX(tblKurallar[deger_2025],MATCH("IFF-001",tblKurallar[kural_id],0)))*IF($C204=0,0,$D204/$C204))-1),iff_yuvarMax),0))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IF($A205="","",IFERROR(ROUND($H205*((INDEX(tblKurallar[deger_2025],MATCH("IFF-001",tblKurallar[kural_id],0))+(1-INDEX(tblKurallar[deger_2025],MATCH("IFF-001",tblKurallar[kural_id],0)))*IF($C205=0,0,$D205/$C205))-1),iff_yuvarMax),0))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IF($A206="","",IFERROR(ROUND($H206*((INDEX(tblKurallar[deger_2025],MATCH("IFF-001",tblKurallar[kural_id],0))+(1-INDEX(tblKurallar[deger_2025],MATCH("IFF-001",tblKurallar[kural_id],0)))*IF($C206=0,0,$D206/$C206))-1),iff_yuvarMax),0))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IF($A207="","",IFERROR(ROUND($H207*((INDEX(tblKurallar[deger_2025],MATCH("IFF-001",tblKurallar[kural_id],0))+(1-INDEX(tblKurallar[deger_2025],MATCH("IFF-001",tblKurallar[kural_id],0)))*IF($C207=0,0,$D207/$C207))-1),iff_yuvarMax),0))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IF($A208="","",IFERROR(ROUND($H208*((INDEX(tblKurallar[deger_2025],MATCH("IFF-001",tblKurallar[kural_id],0))+(1-INDEX(tblKurallar[deger_2025],MATCH("IFF-001",tblKurallar[kural_id],0)))*IF($C208=0,0,$D208/$C208))-1),iff_yuvarMax),0))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IF($A209="","",IFERROR(ROUND($H209*((INDEX(tblKurallar[deger_2025],MATCH("IFF-001",tblKurallar[kural_id],0))+(1-INDEX(tblKurallar[deger_2025],MATCH("IFF-001",tblKurallar[kural_id],0)))*IF($C209=0,0,$D209/$C209))-1),iff_yuvarMax),0))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IF($A210="","",IFERROR(ROUND($H210*((INDEX(tblKurallar[deger_2025],MATCH("IFF-001",tblKurallar[kural_id],0))+(1-INDEX(tblKurallar[deger_2025],MATCH("IFF-001",tblKurallar[kural_id],0)))*IF($C210=0,0,$D210/$C210))-1),iff_yuvarMax),0))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IF($A211="","",IFERROR(ROUND($H211*((INDEX(tblKurallar[deger_2025],MATCH("IFF-001",tblKurallar[kural_id],0))+(1-INDEX(tblKurallar[deger_2025],MATCH("IFF-001",tblKurallar[kural_id],0)))*IF($C211=0,0,$D211/$C211))-1),iff_yuvarMax),0))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IF($A212="","",IFERROR(ROUND($H212*((INDEX(tblKurallar[deger_2025],MATCH("IFF-001",tblKurallar[kural_id],0))+(1-INDEX(tblKurallar[deger_2025],MATCH("IFF-001",tblKurallar[kural_id],0)))*IF($C212=0,0,$D212/$C212))-1),iff_yuvarMax),0))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IF($A213="","",IFERROR(ROUND($H213*((INDEX(tblKurallar[deger_2025],MATCH("IFF-001",tblKurallar[kural_id],0))+(1-INDEX(tblKurallar[deger_2025],MATCH("IFF-001",tblKurallar[kural_id],0)))*IF($C213=0,0,$D213/$C213))-1),iff_yuvarMax),0))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IF($A214="","",IFERROR(ROUND($H214*((INDEX(tblKurallar[deger_2025],MATCH("IFF-001",tblKurallar[kural_id],0))+(1-INDEX(tblKurallar[deger_2025],MATCH("IFF-001",tblKurallar[kural_id],0)))*IF($C214=0,0,$D214/$C214))-1),iff_yuvarMax),0))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IF($A215="","",IFERROR(ROUND($H215*((INDEX(tblKurallar[deger_2025],MATCH("IFF-001",tblKurallar[kural_id],0))+(1-INDEX(tblKurallar[deger_2025],MATCH("IFF-001",tblKurallar[kural_id],0)))*IF($C215=0,0,$D215/$C215))-1),iff_yuvarMax),0))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IF($A216="","",IFERROR(ROUND($H216*((INDEX(tblKurallar[deger_2025],MATCH("IFF-001",tblKurallar[kural_id],0))+(1-INDEX(tblKurallar[deger_2025],MATCH("IFF-001",tblKurallar[kural_id],0)))*IF($C216=0,0,$D216/$C216))-1),iff_yuvarMax),0))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IF($A217="","",IFERROR(ROUND($H217*((INDEX(tblKurallar[deger_2025],MATCH("IFF-001",tblKurallar[kural_id],0))+(1-INDEX(tblKurallar[deger_2025],MATCH("IFF-001",tblKurallar[kural_id],0)))*IF($C217=0,0,$D217/$C217))-1),iff_yuvarMax),0))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IF($A218="","",IFERROR(ROUND($H218*((INDEX(tblKurallar[deger_2025],MATCH("IFF-001",tblKurallar[kural_id],0))+(1-INDEX(tblKurallar[deger_2025],MATCH("IFF-001",tblKurallar[kural_id],0)))*IF($C218=0,0,$D218/$C218))-1),iff_yuvarMax),0))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IF($A219="","",IFERROR(ROUND($H219*((INDEX(tblKurallar[deger_2025],MATCH("IFF-001",tblKurallar[kural_id],0))+(1-INDEX(tblKurallar[deger_2025],MATCH("IFF-001",tblKurallar[kural_id],0)))*IF($C219=0,0,$D219/$C219))-1),iff_yuvarMax),0))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IF($A220="","",IFERROR(ROUND($H220*((INDEX(tblKurallar[deger_2025],MATCH("IFF-001",tblKurallar[kural_id],0))+(1-INDEX(tblKurallar[deger_2025],MATCH("IFF-001",tblKurallar[kural_id],0)))*IF($C220=0,0,$D220/$C220))-1),iff_yuvarMax),0))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IF($A221="","",IFERROR(ROUND($H221*((INDEX(tblKurallar[deger_2025],MATCH("IFF-001",tblKurallar[kural_id],0))+(1-INDEX(tblKurallar[deger_2025],MATCH("IFF-001",tblKurallar[kural_id],0)))*IF($C221=0,0,$D221/$C221))-1),iff_yuvarMax),0))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IF($A222="","",IFERROR(ROUND($H222*((INDEX(tblKurallar[deger_2025],MATCH("IFF-001",tblKurallar[kural_id],0))+(1-INDEX(tblKurallar[deger_2025],MATCH("IFF-001",tblKurallar[kural_id],0)))*IF($C222=0,0,$D222/$C222))-1),iff_yuvarMax),0))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IF($A223="","",IFERROR(ROUND($H223*((INDEX(tblKurallar[deger_2025],MATCH("IFF-001",tblKurallar[kural_id],0))+(1-INDEX(tblKurallar[deger_2025],MATCH("IFF-001",tblKurallar[kural_id],0)))*IF($C223=0,0,$D223/$C223))-1),iff_yuvarMax),0))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IF($A224="","",IFERROR(ROUND($H224*((INDEX(tblKurallar[deger_2025],MATCH("IFF-001",tblKurallar[kural_id],0))+(1-INDEX(tblKurallar[deger_2025],MATCH("IFF-001",tblKurallar[kural_id],0)))*IF($C224=0,0,$D224/$C224))-1),iff_yuvarMax),0))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IF($A225="","",IFERROR(ROUND($H225*((INDEX(tblKurallar[deger_2025],MATCH("IFF-001",tblKurallar[kural_id],0))+(1-INDEX(tblKurallar[deger_2025],MATCH("IFF-001",tblKurallar[kural_id],0)))*IF($C225=0,0,$D225/$C225))-1),iff_yuvarMax),0))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IF($A226="","",IFERROR(ROUND($H226*((INDEX(tblKurallar[deger_2025],MATCH("IFF-001",tblKurallar[kural_id],0))+(1-INDEX(tblKurallar[deger_2025],MATCH("IFF-001",tblKurallar[kural_id],0)))*IF($C226=0,0,$D226/$C226))-1),iff_yuvarMax),0))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IF($A227="","",IFERROR(ROUND($H227*((INDEX(tblKurallar[deger_2025],MATCH("IFF-001",tblKurallar[kural_id],0))+(1-INDEX(tblKurallar[deger_2025],MATCH("IFF-001",tblKurallar[kural_id],0)))*IF($C227=0,0,$D227/$C227))-1),iff_yuvarMax),0))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IF($A228="","",IFERROR(ROUND($H228*((INDEX(tblKurallar[deger_2025],MATCH("IFF-001",tblKurallar[kural_id],0))+(1-INDEX(tblKurallar[deger_2025],MATCH("IFF-001",tblKurallar[kural_id],0)))*IF($C228=0,0,$D228/$C228))-1),iff_yuvarMax),0))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IF($A229="","",IFERROR(ROUND($H229*((INDEX(tblKurallar[deger_2025],MATCH("IFF-001",tblKurallar[kural_id],0))+(1-INDEX(tblKurallar[deger_2025],MATCH("IFF-001",tblKurallar[kural_id],0)))*IF($C229=0,0,$D229/$C229))-1),iff_yuvarMax),0))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IF($A230="","",IFERROR(ROUND($H230*((INDEX(tblKurallar[deger_2025],MATCH("IFF-001",tblKurallar[kural_id],0))+(1-INDEX(tblKurallar[deger_2025],MATCH("IFF-001",tblKurallar[kural_id],0)))*IF($C230=0,0,$D230/$C230))-1),iff_yuvarMax),0))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IF($A231="","",IFERROR(ROUND($H231*((INDEX(tblKurallar[deger_2025],MATCH("IFF-001",tblKurallar[kural_id],0))+(1-INDEX(tblKurallar[deger_2025],MATCH("IFF-001",tblKurallar[kural_id],0)))*IF($C231=0,0,$D231/$C231))-1),iff_yuvarMax),0))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IF($A232="","",IFERROR(ROUND($H232*((INDEX(tblKurallar[deger_2025],MATCH("IFF-001",tblKurallar[kural_id],0))+(1-INDEX(tblKurallar[deger_2025],MATCH("IFF-001",tblKurallar[kural_id],0)))*IF($C232=0,0,$D232/$C232))-1),iff_yuvarMax),0))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IF($A233="","",IFERROR(ROUND($H233*((INDEX(tblKurallar[deger_2025],MATCH("IFF-001",tblKurallar[kural_id],0))+(1-INDEX(tblKurallar[deger_2025],MATCH("IFF-001",tblKurallar[kural_id],0)))*IF($C233=0,0,$D233/$C233))-1),iff_yuvarMax),0))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IF($A234="","",IFERROR(ROUND($H234*((INDEX(tblKurallar[deger_2025],MATCH("IFF-001",tblKurallar[kural_id],0))+(1-INDEX(tblKurallar[deger_2025],MATCH("IFF-001",tblKurallar[kural_id],0)))*IF($C234=0,0,$D234/$C234))-1),iff_yuvarMax),0))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IF($A235="","",IFERROR(ROUND($H235*((INDEX(tblKurallar[deger_2025],MATCH("IFF-001",tblKurallar[kural_id],0))+(1-INDEX(tblKurallar[deger_2025],MATCH("IFF-001",tblKurallar[kural_id],0)))*IF($C235=0,0,$D235/$C235))-1),iff_yuvarMax),0))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IF($A236="","",IFERROR(ROUND($H236*((INDEX(tblKurallar[deger_2025],MATCH("IFF-001",tblKurallar[kural_id],0))+(1-INDEX(tblKurallar[deger_2025],MATCH("IFF-001",tblKurallar[kural_id],0)))*IF($C236=0,0,$D236/$C236))-1),iff_yuvarMax),0))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IF($A237="","",IFERROR(ROUND($H237*((INDEX(tblKurallar[deger_2025],MATCH("IFF-001",tblKurallar[kural_id],0))+(1-INDEX(tblKurallar[deger_2025],MATCH("IFF-001",tblKurallar[kural_id],0)))*IF($C237=0,0,$D237/$C237))-1),iff_yuvarMax),0))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IF($A238="","",IFERROR(ROUND($H238*((INDEX(tblKurallar[deger_2025],MATCH("IFF-001",tblKurallar[kural_id],0))+(1-INDEX(tblKurallar[deger_2025],MATCH("IFF-001",tblKurallar[kural_id],0)))*IF($C238=0,0,$D238/$C238))-1),iff_yuvarMax),0))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IF($A239="","",IFERROR(ROUND($H239*((INDEX(tblKurallar[deger_2025],MATCH("IFF-001",tblKurallar[kural_id],0))+(1-INDEX(tblKurallar[deger_2025],MATCH("IFF-001",tblKurallar[kural_id],0)))*IF($C239=0,0,$D239/$C239))-1),iff_yuvarMax),0))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IF($A240="","",IFERROR(ROUND($H240*((INDEX(tblKurallar[deger_2025],MATCH("IFF-001",tblKurallar[kural_id],0))+(1-INDEX(tblKurallar[deger_2025],MATCH("IFF-001",tblKurallar[kural_id],0)))*IF($C240=0,0,$D240/$C240))-1),iff_yuvarMax),0))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IF($A241="","",IFERROR(ROUND($H241*((INDEX(tblKurallar[deger_2025],MATCH("IFF-001",tblKurallar[kural_id],0))+(1-INDEX(tblKurallar[deger_2025],MATCH("IFF-001",tblKurallar[kural_id],0)))*IF($C241=0,0,$D241/$C241))-1),iff_yuvarMax),0))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IF($A242="","",IFERROR(ROUND($H242*((INDEX(tblKurallar[deger_2025],MATCH("IFF-001",tblKurallar[kural_id],0))+(1-INDEX(tblKurallar[deger_2025],MATCH("IFF-001",tblKurallar[kural_id],0)))*IF($C242=0,0,$D242/$C242))-1),iff_yuvarMax),0))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IF($A243="","",IFERROR(ROUND($H243*((INDEX(tblKurallar[deger_2025],MATCH("IFF-001",tblKurallar[kural_id],0))+(1-INDEX(tblKurallar[deger_2025],MATCH("IFF-001",tblKurallar[kural_id],0)))*IF($C243=0,0,$D243/$C243))-1),iff_yuvarMax),0))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IF($A244="","",IFERROR(ROUND($H244*((INDEX(tblKurallar[deger_2025],MATCH("IFF-001",tblKurallar[kural_id],0))+(1-INDEX(tblKurallar[deger_2025],MATCH("IFF-001",tblKurallar[kural_id],0)))*IF($C244=0,0,$D244/$C244))-1),iff_yuvarMax),0))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IF($A245="","",IFERROR(ROUND($H245*((INDEX(tblKurallar[deger_2025],MATCH("IFF-001",tblKurallar[kural_id],0))+(1-INDEX(tblKurallar[deger_2025],MATCH("IFF-001",tblKurallar[kural_id],0)))*IF($C245=0,0,$D245/$C245))-1),iff_yuvarMax),0))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IF($A246="","",IFERROR(ROUND($H246*((INDEX(tblKurallar[deger_2025],MATCH("IFF-001",tblKurallar[kural_id],0))+(1-INDEX(tblKurallar[deger_2025],MATCH("IFF-001",tblKurallar[kural_id],0)))*IF($C246=0,0,$D246/$C246))-1),iff_yuvarMax),0))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IF($A247="","",IFERROR(ROUND($H247*((INDEX(tblKurallar[deger_2025],MATCH("IFF-001",tblKurallar[kural_id],0))+(1-INDEX(tblKurallar[deger_2025],MATCH("IFF-001",tblKurallar[kural_id],0)))*IF($C247=0,0,$D247/$C247))-1),iff_yuvarMax),0))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IF($A248="","",IFERROR(ROUND($H248*((INDEX(tblKurallar[deger_2025],MATCH("IFF-001",tblKurallar[kural_id],0))+(1-INDEX(tblKurallar[deger_2025],MATCH("IFF-001",tblKurallar[kural_id],0)))*IF($C248=0,0,$D248/$C248))-1),iff_yuvarMax),0))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IF($A249="","",IFERROR(ROUND($H249*((INDEX(tblKurallar[deger_2025],MATCH("IFF-001",tblKurallar[kural_id],0))+(1-INDEX(tblKurallar[deger_2025],MATCH("IFF-001",tblKurallar[kural_id],0)))*IF($C249=0,0,$D249/$C249))-1),iff_yuvarMax),0))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IF($A250="","",IFERROR(ROUND($H250*((INDEX(tblKurallar[deger_2025],MATCH("IFF-001",tblKurallar[kural_id],0))+(1-INDEX(tblKurallar[deger_2025],MATCH("IFF-001",tblKurallar[kural_id],0)))*IF($C250=0,0,$D250/$C250))-1),iff_yuvarMax),0))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IF($A251="","",IFERROR(ROUND($H251*((INDEX(tblKurallar[deger_2025],MATCH("IFF-001",tblKurallar[kural_id],0))+(1-INDEX(tblKurallar[deger_2025],MATCH("IFF-001",tblKurallar[kural_id],0)))*IF($C251=0,0,$D251/$C251))-1),iff_yuvarMax),0))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IF($A252="","",IFERROR(ROUND($H252*((INDEX(tblKurallar[deger_2025],MATCH("IFF-001",tblKurallar[kural_id],0))+(1-INDEX(tblKurallar[deger_2025],MATCH("IFF-001",tblKurallar[kural_id],0)))*IF($C252=0,0,$D252/$C252))-1),iff_yuvarMax),0))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IF($A253="","",IFERROR(ROUND($H253*((INDEX(tblKurallar[deger_2025],MATCH("IFF-001",tblKurallar[kural_id],0))+(1-INDEX(tblKurallar[deger_2025],MATCH("IFF-001",tblKurallar[kural_id],0)))*IF($C253=0,0,$D253/$C253))-1),iff_yuvarMax),0))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IF($A254="","",IFERROR(ROUND($H254*((INDEX(tblKurallar[deger_2025],MATCH("IFF-001",tblKurallar[kural_id],0))+(1-INDEX(tblKurallar[deger_2025],MATCH("IFF-001",tblKurallar[kural_id],0)))*IF($C254=0,0,$D254/$C254))-1),iff_yuvarMax),0))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IF($A255="","",IFERROR(ROUND($H255*((INDEX(tblKurallar[deger_2025],MATCH("IFF-001",tblKurallar[kural_id],0))+(1-INDEX(tblKurallar[deger_2025],MATCH("IFF-001",tblKurallar[kural_id],0)))*IF($C255=0,0,$D255/$C255))-1),iff_yuvarMax),0))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IF($A256="","",IFERROR(ROUND($H256*((INDEX(tblKurallar[deger_2025],MATCH("IFF-001",tblKurallar[kural_id],0))+(1-INDEX(tblKurallar[deger_2025],MATCH("IFF-001",tblKurallar[kural_id],0)))*IF($C256=0,0,$D256/$C256))-1),iff_yuvarMax),0))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IF($A257="","",IFERROR(ROUND($H257*((INDEX(tblKurallar[deger_2025],MATCH("IFF-001",tblKurallar[kural_id],0))+(1-INDEX(tblKurallar[deger_2025],MATCH("IFF-001",tblKurallar[kural_id],0)))*IF($C257=0,0,$D257/$C257))-1),iff_yuvarMax),0))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IF($A258="","",IFERROR(ROUND($H258*((INDEX(tblKurallar[deger_2025],MATCH("IFF-001",tblKurallar[kural_id],0))+(1-INDEX(tblKurallar[deger_2025],MATCH("IFF-001",tblKurallar[kural_id],0)))*IF($C258=0,0,$D258/$C258))-1),iff_yuvarMax),0))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IF($A259="","",IFERROR(ROUND($H259*((INDEX(tblKurallar[deger_2025],MATCH("IFF-001",tblKurallar[kural_id],0))+(1-INDEX(tblKurallar[deger_2025],MATCH("IFF-001",tblKurallar[kural_id],0)))*IF($C259=0,0,$D259/$C259))-1),iff_yuvarMax),0))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IF($A260="","",IFERROR(ROUND($H260*((INDEX(tblKurallar[deger_2025],MATCH("IFF-001",tblKurallar[kural_id],0))+(1-INDEX(tblKurallar[deger_2025],MATCH("IFF-001",tblKurallar[kural_id],0)))*IF($C260=0,0,$D260/$C260))-1),iff_yuvarMax),0))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IF($A261="","",IFERROR(ROUND($H261*((INDEX(tblKurallar[deger_2025],MATCH("IFF-001",tblKurallar[kural_id],0))+(1-INDEX(tblKurallar[deger_2025],MATCH("IFF-001",tblKurallar[kural_id],0)))*IF($C261=0,0,$D261/$C261))-1),iff_yuvarMax),0))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IF($A262="","",IFERROR(ROUND($H262*((INDEX(tblKurallar[deger_2025],MATCH("IFF-001",tblKurallar[kural_id],0))+(1-INDEX(tblKurallar[deger_2025],MATCH("IFF-001",tblKurallar[kural_id],0)))*IF($C262=0,0,$D262/$C262))-1),iff_yuvarMax),0))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IF($A263="","",IFERROR(ROUND($H263*((INDEX(tblKurallar[deger_2025],MATCH("IFF-001",tblKurallar[kural_id],0))+(1-INDEX(tblKurallar[deger_2025],MATCH("IFF-001",tblKurallar[kural_id],0)))*IF($C263=0,0,$D263/$C263))-1),iff_yuvarMax),0))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IF($A264="","",IFERROR(ROUND($H264*((INDEX(tblKurallar[deger_2025],MATCH("IFF-001",tblKurallar[kural_id],0))+(1-INDEX(tblKurallar[deger_2025],MATCH("IFF-001",tblKurallar[kural_id],0)))*IF($C264=0,0,$D264/$C264))-1),iff_yuvarMax),0))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IF($A265="","",IFERROR(ROUND($H265*((INDEX(tblKurallar[deger_2025],MATCH("IFF-001",tblKurallar[kural_id],0))+(1-INDEX(tblKurallar[deger_2025],MATCH("IFF-001",tblKurallar[kural_id],0)))*IF($C265=0,0,$D265/$C265))-1),iff_yuvarMax),0))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IF($A266="","",IFERROR(ROUND($H266*((INDEX(tblKurallar[deger_2025],MATCH("IFF-001",tblKurallar[kural_id],0))+(1-INDEX(tblKurallar[deger_2025],MATCH("IFF-001",tblKurallar[kural_id],0)))*IF($C266=0,0,$D266/$C266))-1),iff_yuvarMax),0))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IF($A267="","",IFERROR(ROUND($H267*((INDEX(tblKurallar[deger_2025],MATCH("IFF-001",tblKurallar[kural_id],0))+(1-INDEX(tblKurallar[deger_2025],MATCH("IFF-001",tblKurallar[kural_id],0)))*IF($C267=0,0,$D267/$C267))-1),iff_yuvarMax),0))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IF($A268="","",IFERROR(ROUND($H268*((INDEX(tblKurallar[deger_2025],MATCH("IFF-001",tblKurallar[kural_id],0))+(1-INDEX(tblKurallar[deger_2025],MATCH("IFF-001",tblKurallar[kural_id],0)))*IF($C268=0,0,$D268/$C268))-1),iff_yuvarMax),0))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IF($A269="","",IFERROR(ROUND($H269*((INDEX(tblKurallar[deger_2025],MATCH("IFF-001",tblKurallar[kural_id],0))+(1-INDEX(tblKurallar[deger_2025],MATCH("IFF-001",tblKurallar[kural_id],0)))*IF($C269=0,0,$D269/$C269))-1),iff_yuvarMax),0))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IF($A270="","",IFERROR(ROUND($H270*((INDEX(tblKurallar[deger_2025],MATCH("IFF-001",tblKurallar[kural_id],0))+(1-INDEX(tblKurallar[deger_2025],MATCH("IFF-001",tblKurallar[kural_id],0)))*IF($C270=0,0,$D270/$C270))-1),iff_yuvarMax),0))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IF($A271="","",IFERROR(ROUND($H271*((INDEX(tblKurallar[deger_2025],MATCH("IFF-001",tblKurallar[kural_id],0))+(1-INDEX(tblKurallar[deger_2025],MATCH("IFF-001",tblKurallar[kural_id],0)))*IF($C271=0,0,$D271/$C271))-1),iff_yuvarMax),0))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IF($A272="","",IFERROR(ROUND($H272*((INDEX(tblKurallar[deger_2025],MATCH("IFF-001",tblKurallar[kural_id],0))+(1-INDEX(tblKurallar[deger_2025],MATCH("IFF-001",tblKurallar[kural_id],0)))*IF($C272=0,0,$D272/$C272))-1),iff_yuvarMax),0))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IF($A273="","",IFERROR(ROUND($H273*((INDEX(tblKurallar[deger_2025],MATCH("IFF-001",tblKurallar[kural_id],0))+(1-INDEX(tblKurallar[deger_2025],MATCH("IFF-001",tblKurallar[kural_id],0)))*IF($C273=0,0,$D273/$C273))-1),iff_yuvarMax),0))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IF($A274="","",IFERROR(ROUND($H274*((INDEX(tblKurallar[deger_2025],MATCH("IFF-001",tblKurallar[kural_id],0))+(1-INDEX(tblKurallar[deger_2025],MATCH("IFF-001",tblKurallar[kural_id],0)))*IF($C274=0,0,$D274/$C274))-1),iff_yuvarMax),0))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IF($A275="","",IFERROR(ROUND($H275*((INDEX(tblKurallar[deger_2025],MATCH("IFF-001",tblKurallar[kural_id],0))+(1-INDEX(tblKurallar[deger_2025],MATCH("IFF-001",tblKurallar[kural_id],0)))*IF($C275=0,0,$D275/$C275))-1),iff_yuvarMax),0))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IF($A276="","",IFERROR(ROUND($H276*((INDEX(tblKurallar[deger_2025],MATCH("IFF-001",tblKurallar[kural_id],0))+(1-INDEX(tblKurallar[deger_2025],MATCH("IFF-001",tblKurallar[kural_id],0)))*IF($C276=0,0,$D276/$C276))-1),iff_yuvarMax),0))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IF($A277="","",IFERROR(ROUND($H277*((INDEX(tblKurallar[deger_2025],MATCH("IFF-001",tblKurallar[kural_id],0))+(1-INDEX(tblKurallar[deger_2025],MATCH("IFF-001",tblKurallar[kural_id],0)))*IF($C277=0,0,$D277/$C277))-1),iff_yuvarMax),0))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IF($A278="","",IFERROR(ROUND($H278*((INDEX(tblKurallar[deger_2025],MATCH("IFF-001",tblKurallar[kural_id],0))+(1-INDEX(tblKurallar[deger_2025],MATCH("IFF-001",tblKurallar[kural_id],0)))*IF($C278=0,0,$D278/$C278))-1),iff_yuvarMax),0))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IF($A279="","",IFERROR(ROUND($H279*((INDEX(tblKurallar[deger_2025],MATCH("IFF-001",tblKurallar[kural_id],0))+(1-INDEX(tblKurallar[deger_2025],MATCH("IFF-001",tblKurallar[kural_id],0)))*IF($C279=0,0,$D279/$C279))-1),iff_yuvarMax),0))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IF($A280="","",IFERROR(ROUND($H280*((INDEX(tblKurallar[deger_2025],MATCH("IFF-001",tblKurallar[kural_id],0))+(1-INDEX(tblKurallar[deger_2025],MATCH("IFF-001",tblKurallar[kural_id],0)))*IF($C280=0,0,$D280/$C280))-1),iff_yuvarMax),0))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IF($A281="","",IFERROR(ROUND($H281*((INDEX(tblKurallar[deger_2025],MATCH("IFF-001",tblKurallar[kural_id],0))+(1-INDEX(tblKurallar[deger_2025],MATCH("IFF-001",tblKurallar[kural_id],0)))*IF($C281=0,0,$D281/$C281))-1),iff_yuvarMax),0))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IF($A282="","",IFERROR(ROUND($H282*((INDEX(tblKurallar[deger_2025],MATCH("IFF-001",tblKurallar[kural_id],0))+(1-INDEX(tblKurallar[deger_2025],MATCH("IFF-001",tblKurallar[kural_id],0)))*IF($C282=0,0,$D282/$C282))-1),iff_yuvarMax),0))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IF($A283="","",IFERROR(ROUND($H283*((INDEX(tblKurallar[deger_2025],MATCH("IFF-001",tblKurallar[kural_id],0))+(1-INDEX(tblKurallar[deger_2025],MATCH("IFF-001",tblKurallar[kural_id],0)))*IF($C283=0,0,$D283/$C283))-1),iff_yuvarMax),0))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IF($A284="","",IFERROR(ROUND($H284*((INDEX(tblKurallar[deger_2025],MATCH("IFF-001",tblKurallar[kural_id],0))+(1-INDEX(tblKurallar[deger_2025],MATCH("IFF-001",tblKurallar[kural_id],0)))*IF($C284=0,0,$D284/$C284))-1),iff_yuvarMax),0))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IF($A285="","",IFERROR(ROUND($H285*((INDEX(tblKurallar[deger_2025],MATCH("IFF-001",tblKurallar[kural_id],0))+(1-INDEX(tblKurallar[deger_2025],MATCH("IFF-001",tblKurallar[kural_id],0)))*IF($C285=0,0,$D285/$C285))-1),iff_yuvarMax),0))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IF($A286="","",IFERROR(ROUND($H286*((INDEX(tblKurallar[deger_2025],MATCH("IFF-001",tblKurallar[kural_id],0))+(1-INDEX(tblKurallar[deger_2025],MATCH("IFF-001",tblKurallar[kural_id],0)))*IF($C286=0,0,$D286/$C286))-1),iff_yuvarMax),0))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IF($A287="","",IFERROR(ROUND($H287*((INDEX(tblKurallar[deger_2025],MATCH("IFF-001",tblKurallar[kural_id],0))+(1-INDEX(tblKurallar[deger_2025],MATCH("IFF-001",tblKurallar[kural_id],0)))*IF($C287=0,0,$D287/$C287))-1),iff_yuvarMax),0))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IF($A288="","",IFERROR(ROUND($H288*((INDEX(tblKurallar[deger_2025],MATCH("IFF-001",tblKurallar[kural_id],0))+(1-INDEX(tblKurallar[deger_2025],MATCH("IFF-001",tblKurallar[kural_id],0)))*IF($C288=0,0,$D288/$C288))-1),iff_yuvarMax),0))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IF($A289="","",IFERROR(ROUND($H289*((INDEX(tblKurallar[deger_2025],MATCH("IFF-001",tblKurallar[kural_id],0))+(1-INDEX(tblKurallar[deger_2025],MATCH("IFF-001",tblKurallar[kural_id],0)))*IF($C289=0,0,$D289/$C289))-1),iff_yuvarMax),0))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IF($A290="","",IFERROR(ROUND($H290*((INDEX(tblKurallar[deger_2025],MATCH("IFF-001",tblKurallar[kural_id],0))+(1-INDEX(tblKurallar[deger_2025],MATCH("IFF-001",tblKurallar[kural_id],0)))*IF($C290=0,0,$D290/$C290))-1),iff_yuvarMax),0))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IF($A291="","",IFERROR(ROUND($H291*((INDEX(tblKurallar[deger_2025],MATCH("IFF-001",tblKurallar[kural_id],0))+(1-INDEX(tblKurallar[deger_2025],MATCH("IFF-001",tblKurallar[kural_id],0)))*IF($C291=0,0,$D291/$C291))-1),iff_yuvarMax),0))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IF($A292="","",IFERROR(ROUND($H292*((INDEX(tblKurallar[deger_2025],MATCH("IFF-001",tblKurallar[kural_id],0))+(1-INDEX(tblKurallar[deger_2025],MATCH("IFF-001",tblKurallar[kural_id],0)))*IF($C292=0,0,$D292/$C292))-1),iff_yuvarMax),0))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IF($A293="","",IFERROR(ROUND($H293*((INDEX(tblKurallar[deger_2025],MATCH("IFF-001",tblKurallar[kural_id],0))+(1-INDEX(tblKurallar[deger_2025],MATCH("IFF-001",tblKurallar[kural_id],0)))*IF($C293=0,0,$D293/$C293))-1),iff_yuvarMax),0))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IF($A294="","",IFERROR(ROUND($H294*((INDEX(tblKurallar[deger_2025],MATCH("IFF-001",tblKurallar[kural_id],0))+(1-INDEX(tblKurallar[deger_2025],MATCH("IFF-001",tblKurallar[kural_id],0)))*IF($C294=0,0,$D294/$C294))-1),iff_yuvarMax),0))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IF($A295="","",IFERROR(ROUND($H295*((INDEX(tblKurallar[deger_2025],MATCH("IFF-001",tblKurallar[kural_id],0))+(1-INDEX(tblKurallar[deger_2025],MATCH("IFF-001",tblKurallar[kural_id],0)))*IF($C295=0,0,$D295/$C295))-1),iff_yuvarMax),0))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IF($A296="","",IFERROR(ROUND($H296*((INDEX(tblKurallar[deger_2025],MATCH("IFF-001",tblKurallar[kural_id],0))+(1-INDEX(tblKurallar[deger_2025],MATCH("IFF-001",tblKurallar[kural_id],0)))*IF($C296=0,0,$D296/$C296))-1),iff_yuvarMax),0))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IF($A297="","",IFERROR(ROUND($H297*((INDEX(tblKurallar[deger_2025],MATCH("IFF-001",tblKurallar[kural_id],0))+(1-INDEX(tblKurallar[deger_2025],MATCH("IFF-001",tblKurallar[kural_id],0)))*IF($C297=0,0,$D297/$C297))-1),iff_yuvarMax),0))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IF($A298="","",IFERROR(ROUND($H298*((INDEX(tblKurallar[deger_2025],MATCH("IFF-001",tblKurallar[kural_id],0))+(1-INDEX(tblKurallar[deger_2025],MATCH("IFF-001",tblKurallar[kural_id],0)))*IF($C298=0,0,$D298/$C298))-1),iff_yuvarMax),0))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IF($A299="","",IFERROR(ROUND($H299*((INDEX(tblKurallar[deger_2025],MATCH("IFF-001",tblKurallar[kural_id],0))+(1-INDEX(tblKurallar[deger_2025],MATCH("IFF-001",tblKurallar[kural_id],0)))*IF($C299=0,0,$D299/$C299))-1),iff_yuvarMax),0))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IF($A300="","",IFERROR(ROUND($H300*((INDEX(tblKurallar[deger_2025],MATCH("IFF-001",tblKurallar[kural_id],0))+(1-INDEX(tblKurallar[deger_2025],MATCH("IFF-001",tblKurallar[kural_id],0)))*IF($C300=0,0,$D300/$C300))-1),iff_yuvarMax),0))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IF($A301="","",IFERROR(ROUND($H301*((INDEX(tblKurallar[deger_2025],MATCH("IFF-001",tblKurallar[kural_id],0))+(1-INDEX(tblKurallar[deger_2025],MATCH("IFF-001",tblKurallar[kural_id],0)))*IF($C301=0,0,$D301/$C301))-1),iff_yuvarMax),0))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IF($A302="","",IFERROR(ROUND($H302*((INDEX(tblKurallar[deger_2025],MATCH("IFF-001",tblKurallar[kural_id],0))+(1-INDEX(tblKurallar[deger_2025],MATCH("IFF-001",tblKurallar[kural_id],0)))*IF($C302=0,0,$D302/$C302))-1),iff_yuvarMax),0))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IF($A303="","",IFERROR(ROUND($H303*((INDEX(tblKurallar[deger_2025],MATCH("IFF-001",tblKurallar[kural_id],0))+(1-INDEX(tblKurallar[deger_2025],MATCH("IFF-001",tblKurallar[kural_id],0)))*IF($C303=0,0,$D303/$C303))-1),iff_yuvarMax),0))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IF($A304="","",IFERROR(ROUND($H304*((INDEX(tblKurallar[deger_2025],MATCH("IFF-001",tblKurallar[kural_id],0))+(1-INDEX(tblKurallar[deger_2025],MATCH("IFF-001",tblKurallar[kural_id],0)))*IF($C304=0,0,$D304/$C304))-1),iff_yuvarMax),0))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IF($A305="","",IFERROR(ROUND($H305*((INDEX(tblKurallar[deger_2025],MATCH("IFF-001",tblKurallar[kural_id],0))+(1-INDEX(tblKurallar[deger_2025],MATCH("IFF-001",tblKurallar[kural_id],0)))*IF($C305=0,0,$D305/$C305))-1),iff_yuvarMax),0))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IF($A306="","",IFERROR(ROUND($H306*((INDEX(tblKurallar[deger_2025],MATCH("IFF-001",tblKurallar[kural_id],0))+(1-INDEX(tblKurallar[deger_2025],MATCH("IFF-001",tblKurallar[kural_id],0)))*IF($C306=0,0,$D306/$C306))-1),iff_yuvarMax),0))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IF($A307="","",IFERROR(ROUND($H307*((INDEX(tblKurallar[deger_2025],MATCH("IFF-001",tblKurallar[kural_id],0))+(1-INDEX(tblKurallar[deger_2025],MATCH("IFF-001",tblKurallar[kural_id],0)))*IF($C307=0,0,$D307/$C307))-1),iff_yuvarMax),0))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IF($A308="","",IFERROR(ROUND($H308*((INDEX(tblKurallar[deger_2025],MATCH("IFF-001",tblKurallar[kural_id],0))+(1-INDEX(tblKurallar[deger_2025],MATCH("IFF-001",tblKurallar[kural_id],0)))*IF($C308=0,0,$D308/$C308))-1),iff_yuvarMax),0))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IF($A309="","",IFERROR(ROUND($H309*((INDEX(tblKurallar[deger_2025],MATCH("IFF-001",tblKurallar[kural_id],0))+(1-INDEX(tblKurallar[deger_2025],MATCH("IFF-001",tblKurallar[kural_id],0)))*IF($C309=0,0,$D309/$C309))-1),iff_yuvarMax),0))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IF($A310="","",IFERROR(ROUND($H310*((INDEX(tblKurallar[deger_2025],MATCH("IFF-001",tblKurallar[kural_id],0))+(1-INDEX(tblKurallar[deger_2025],MATCH("IFF-001",tblKurallar[kural_id],0)))*IF($C310=0,0,$D310/$C310))-1),iff_yuvarMax),0))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IF($A311="","",IFERROR(ROUND($H311*((INDEX(tblKurallar[deger_2025],MATCH("IFF-001",tblKurallar[kural_id],0))+(1-INDEX(tblKurallar[deger_2025],MATCH("IFF-001",tblKurallar[kural_id],0)))*IF($C311=0,0,$D311/$C311))-1),iff_yuvarMax),0))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IF($A312="","",IFERROR(ROUND($H312*((INDEX(tblKurallar[deger_2025],MATCH("IFF-001",tblKurallar[kural_id],0))+(1-INDEX(tblKurallar[deger_2025],MATCH("IFF-001",tblKurallar[kural_id],0)))*IF($C312=0,0,$D312/$C312))-1),iff_yuvarMax),0))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IF($A313="","",IFERROR(ROUND($H313*((INDEX(tblKurallar[deger_2025],MATCH("IFF-001",tblKurallar[kural_id],0))+(1-INDEX(tblKurallar[deger_2025],MATCH("IFF-001",tblKurallar[kural_id],0)))*IF($C313=0,0,$D313/$C313))-1),iff_yuvarMax),0))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IF($A314="","",IFERROR(ROUND($H314*((INDEX(tblKurallar[deger_2025],MATCH("IFF-001",tblKurallar[kural_id],0))+(1-INDEX(tblKurallar[deger_2025],MATCH("IFF-001",tblKurallar[kural_id],0)))*IF($C314=0,0,$D314/$C314))-1),iff_yuvarMax),0))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IF($A315="","",IFERROR(ROUND($H315*((INDEX(tblKurallar[deger_2025],MATCH("IFF-001",tblKurallar[kural_id],0))+(1-INDEX(tblKurallar[deger_2025],MATCH("IFF-001",tblKurallar[kural_id],0)))*IF($C315=0,0,$D315/$C315))-1),iff_yuvarMax),0))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IF($A316="","",IFERROR(ROUND($H316*((INDEX(tblKurallar[deger_2025],MATCH("IFF-001",tblKurallar[kural_id],0))+(1-INDEX(tblKurallar[deger_2025],MATCH("IFF-001",tblKurallar[kural_id],0)))*IF($C316=0,0,$D316/$C316))-1),iff_yuvarMax),0))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IF($A317="","",IFERROR(ROUND($H317*((INDEX(tblKurallar[deger_2025],MATCH("IFF-001",tblKurallar[kural_id],0))+(1-INDEX(tblKurallar[deger_2025],MATCH("IFF-001",tblKurallar[kural_id],0)))*IF($C317=0,0,$D317/$C317))-1),iff_yuvarMax),0))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IF($A318="","",IFERROR(ROUND($H318*((INDEX(tblKurallar[deger_2025],MATCH("IFF-001",tblKurallar[kural_id],0))+(1-INDEX(tblKurallar[deger_2025],MATCH("IFF-001",tblKurallar[kural_id],0)))*IF($C318=0,0,$D318/$C318))-1),iff_yuvarMax),0))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IF($A319="","",IFERROR(ROUND($H319*((INDEX(tblKurallar[deger_2025],MATCH("IFF-001",tblKurallar[kural_id],0))+(1-INDEX(tblKurallar[deger_2025],MATCH("IFF-001",tblKurallar[kural_id],0)))*IF($C319=0,0,$D319/$C319))-1),iff_yuvarMax),0))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IF($A320="","",IFERROR(ROUND($H320*((INDEX(tblKurallar[deger_2025],MATCH("IFF-001",tblKurallar[kural_id],0))+(1-INDEX(tblKurallar[deger_2025],MATCH("IFF-001",tblKurallar[kural_id],0)))*IF($C320=0,0,$D320/$C320))-1),iff_yuvarMax),0))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IF($A321="","",IFERROR(ROUND($H321*((INDEX(tblKurallar[deger_2025],MATCH("IFF-001",tblKurallar[kural_id],0))+(1-INDEX(tblKurallar[deger_2025],MATCH("IFF-001",tblKurallar[kural_id],0)))*IF($C321=0,0,$D321/$C321))-1),iff_yuvarMax),0))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IF($A322="","",IFERROR(ROUND($H322*((INDEX(tblKurallar[deger_2025],MATCH("IFF-001",tblKurallar[kural_id],0))+(1-INDEX(tblKurallar[deger_2025],MATCH("IFF-001",tblKurallar[kural_id],0)))*IF($C322=0,0,$D322/$C322))-1),iff_yuvarMax),0))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IF($A323="","",IFERROR(ROUND($H323*((INDEX(tblKurallar[deger_2025],MATCH("IFF-001",tblKurallar[kural_id],0))+(1-INDEX(tblKurallar[deger_2025],MATCH("IFF-001",tblKurallar[kural_id],0)))*IF($C323=0,0,$D323/$C323))-1),iff_yuvarMax),0))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IF($A324="","",IFERROR(ROUND($H324*((INDEX(tblKurallar[deger_2025],MATCH("IFF-001",tblKurallar[kural_id],0))+(1-INDEX(tblKurallar[deger_2025],MATCH("IFF-001",tblKurallar[kural_id],0)))*IF($C324=0,0,$D324/$C324))-1),iff_yuvarMax),0))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IF($A325="","",IFERROR(ROUND($H325*((INDEX(tblKurallar[deger_2025],MATCH("IFF-001",tblKurallar[kural_id],0))+(1-INDEX(tblKurallar[deger_2025],MATCH("IFF-001",tblKurallar[kural_id],0)))*IF($C325=0,0,$D325/$C325))-1),iff_yuvarMax),0))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IF($A326="","",IFERROR(ROUND($H326*((INDEX(tblKurallar[deger_2025],MATCH("IFF-001",tblKurallar[kural_id],0))+(1-INDEX(tblKurallar[deger_2025],MATCH("IFF-001",tblKurallar[kural_id],0)))*IF($C326=0,0,$D326/$C326))-1),iff_yuvarMax),0))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IF($A327="","",IFERROR(ROUND($H327*((INDEX(tblKurallar[deger_2025],MATCH("IFF-001",tblKurallar[kural_id],0))+(1-INDEX(tblKurallar[deger_2025],MATCH("IFF-001",tblKurallar[kural_id],0)))*IF($C327=0,0,$D327/$C327))-1),iff_yuvarMax),0))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IF($A328="","",IFERROR(ROUND($H328*((INDEX(tblKurallar[deger_2025],MATCH("IFF-001",tblKurallar[kural_id],0))+(1-INDEX(tblKurallar[deger_2025],MATCH("IFF-001",tblKurallar[kural_id],0)))*IF($C328=0,0,$D328/$C328))-1),iff_yuvarMax),0))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IF($A329="","",IFERROR(ROUND($H329*((INDEX(tblKurallar[deger_2025],MATCH("IFF-001",tblKurallar[kural_id],0))+(1-INDEX(tblKurallar[deger_2025],MATCH("IFF-001",tblKurallar[kural_id],0)))*IF($C329=0,0,$D329/$C329))-1),iff_yuvarMax),0))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IF($A330="","",IFERROR(ROUND($H330*((INDEX(tblKurallar[deger_2025],MATCH("IFF-001",tblKurallar[kural_id],0))+(1-INDEX(tblKurallar[deger_2025],MATCH("IFF-001",tblKurallar[kural_id],0)))*IF($C330=0,0,$D330/$C330))-1),iff_yuvarMax),0))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IF($A331="","",IFERROR(ROUND($H331*((INDEX(tblKurallar[deger_2025],MATCH("IFF-001",tblKurallar[kural_id],0))+(1-INDEX(tblKurallar[deger_2025],MATCH("IFF-001",tblKurallar[kural_id],0)))*IF($C331=0,0,$D331/$C331))-1),iff_yuvarMax),0))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IF($A332="","",IFERROR(ROUND($H332*((INDEX(tblKurallar[deger_2025],MATCH("IFF-001",tblKurallar[kural_id],0))+(1-INDEX(tblKurallar[deger_2025],MATCH("IFF-001",tblKurallar[kural_id],0)))*IF($C332=0,0,$D332/$C332))-1),iff_yuvarMax),0))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IF($A333="","",IFERROR(ROUND($H333*((INDEX(tblKurallar[deger_2025],MATCH("IFF-001",tblKurallar[kural_id],0))+(1-INDEX(tblKurallar[deger_2025],MATCH("IFF-001",tblKurallar[kural_id],0)))*IF($C333=0,0,$D333/$C333))-1),iff_yuvarMax),0))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IF($A334="","",IFERROR(ROUND($H334*((INDEX(tblKurallar[deger_2025],MATCH("IFF-001",tblKurallar[kural_id],0))+(1-INDEX(tblKurallar[deger_2025],MATCH("IFF-001",tblKurallar[kural_id],0)))*IF($C334=0,0,$D334/$C334))-1),iff_yuvarMax),0))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IF($A335="","",IFERROR(ROUND($H335*((INDEX(tblKurallar[deger_2025],MATCH("IFF-001",tblKurallar[kural_id],0))+(1-INDEX(tblKurallar[deger_2025],MATCH("IFF-001",tblKurallar[kural_id],0)))*IF($C335=0,0,$D335/$C335))-1),iff_yuvarMax),0))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IF($A336="","",IFERROR(ROUND($H336*((INDEX(tblKurallar[deger_2025],MATCH("IFF-001",tblKurallar[kural_id],0))+(1-INDEX(tblKurallar[deger_2025],MATCH("IFF-001",tblKurallar[kural_id],0)))*IF($C336=0,0,$D336/$C336))-1),iff_yuvarMax),0))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IF($A337="","",IFERROR(ROUND($H337*((INDEX(tblKurallar[deger_2025],MATCH("IFF-001",tblKurallar[kural_id],0))+(1-INDEX(tblKurallar[deger_2025],MATCH("IFF-001",tblKurallar[kural_id],0)))*IF($C337=0,0,$D337/$C337))-1),iff_yuvarMax),0))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IF($A338="","",IFERROR(ROUND($H338*((INDEX(tblKurallar[deger_2025],MATCH("IFF-001",tblKurallar[kural_id],0))+(1-INDEX(tblKurallar[deger_2025],MATCH("IFF-001",tblKurallar[kural_id],0)))*IF($C338=0,0,$D338/$C338))-1),iff_yuvarMax),0))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IF($A339="","",IFERROR(ROUND($H339*((INDEX(tblKurallar[deger_2025],MATCH("IFF-001",tblKurallar[kural_id],0))+(1-INDEX(tblKurallar[deger_2025],MATCH("IFF-001",tblKurallar[kural_id],0)))*IF($C339=0,0,$D339/$C339))-1),iff_yuvarMax),0))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IF($A340="","",IFERROR(ROUND($H340*((INDEX(tblKurallar[deger_2025],MATCH("IFF-001",tblKurallar[kural_id],0))+(1-INDEX(tblKurallar[deger_2025],MATCH("IFF-001",tblKurallar[kural_id],0)))*IF($C340=0,0,$D340/$C340))-1),iff_yuvarMax),0))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IF($A341="","",IFERROR(ROUND($H341*((INDEX(tblKurallar[deger_2025],MATCH("IFF-001",tblKurallar[kural_id],0))+(1-INDEX(tblKurallar[deger_2025],MATCH("IFF-001",tblKurallar[kural_id],0)))*IF($C341=0,0,$D341/$C341))-1),iff_yuvarMax),0))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IF($A342="","",IFERROR(ROUND($H342*((INDEX(tblKurallar[deger_2025],MATCH("IFF-001",tblKurallar[kural_id],0))+(1-INDEX(tblKurallar[deger_2025],MATCH("IFF-001",tblKurallar[kural_id],0)))*IF($C342=0,0,$D342/$C342))-1),iff_yuvarMax),0))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IF($A343="","",IFERROR(ROUND($H343*((INDEX(tblKurallar[deger_2025],MATCH("IFF-001",tblKurallar[kural_id],0))+(1-INDEX(tblKurallar[deger_2025],MATCH("IFF-001",tblKurallar[kural_id],0)))*IF($C343=0,0,$D343/$C343))-1),iff_yuvarMax),0))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IF($A344="","",IFERROR(ROUND($H344*((INDEX(tblKurallar[deger_2025],MATCH("IFF-001",tblKurallar[kural_id],0))+(1-INDEX(tblKurallar[deger_2025],MATCH("IFF-001",tblKurallar[kural_id],0)))*IF($C344=0,0,$D344/$C344))-1),iff_yuvarMax),0))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IF($A345="","",IFERROR(ROUND($H345*((INDEX(tblKurallar[deger_2025],MATCH("IFF-001",tblKurallar[kural_id],0))+(1-INDEX(tblKurallar[deger_2025],MATCH("IFF-001",tblKurallar[kural_id],0)))*IF($C345=0,0,$D345/$C345))-1),iff_yuvarMax),0))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IF($A346="","",IFERROR(ROUND($H346*((INDEX(tblKurallar[deger_2025],MATCH("IFF-001",tblKurallar[kural_id],0))+(1-INDEX(tblKurallar[deger_2025],MATCH("IFF-001",tblKurallar[kural_id],0)))*IF($C346=0,0,$D346/$C346))-1),iff_yuvarMax),0))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IF($A347="","",IFERROR(ROUND($H347*((INDEX(tblKurallar[deger_2025],MATCH("IFF-001",tblKurallar[kural_id],0))+(1-INDEX(tblKurallar[deger_2025],MATCH("IFF-001",tblKurallar[kural_id],0)))*IF($C347=0,0,$D347/$C347))-1),iff_yuvarMax),0))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IF($A348="","",IFERROR(ROUND($H348*((INDEX(tblKurallar[deger_2025],MATCH("IFF-001",tblKurallar[kural_id],0))+(1-INDEX(tblKurallar[deger_2025],MATCH("IFF-001",tblKurallar[kural_id],0)))*IF($C348=0,0,$D348/$C348))-1),iff_yuvarMax),0))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IF($A349="","",IFERROR(ROUND($H349*((INDEX(tblKurallar[deger_2025],MATCH("IFF-001",tblKurallar[kural_id],0))+(1-INDEX(tblKurallar[deger_2025],MATCH("IFF-001",tblKurallar[kural_id],0)))*IF($C349=0,0,$D349/$C349))-1),iff_yuvarMax),0))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IF($A350="","",IFERROR(ROUND($H350*((INDEX(tblKurallar[deger_2025],MATCH("IFF-001",tblKurallar[kural_id],0))+(1-INDEX(tblKurallar[deger_2025],MATCH("IFF-001",tblKurallar[kural_id],0)))*IF($C350=0,0,$D350/$C350))-1),iff_yuvarMax),0))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IF($A351="","",IFERROR(ROUND($H351*((INDEX(tblKurallar[deger_2025],MATCH("IFF-001",tblKurallar[kural_id],0))+(1-INDEX(tblKurallar[deger_2025],MATCH("IFF-001",tblKurallar[kural_id],0)))*IF($C351=0,0,$D351/$C351))-1),iff_yuvarMax),0))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IF($A352="","",IFERROR(ROUND($H352*((INDEX(tblKurallar[deger_2025],MATCH("IFF-001",tblKurallar[kural_id],0))+(1-INDEX(tblKurallar[deger_2025],MATCH("IFF-001",tblKurallar[kural_id],0)))*IF($C352=0,0,$D352/$C352))-1),iff_yuvarMax),0))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IF($A353="","",IFERROR(ROUND($H353*((INDEX(tblKurallar[deger_2025],MATCH("IFF-001",tblKurallar[kural_id],0))+(1-INDEX(tblKurallar[deger_2025],MATCH("IFF-001",tblKurallar[kural_id],0)))*IF($C353=0,0,$D353/$C353))-1),iff_yuvarMax),0))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IF($A354="","",IFERROR(ROUND($H354*((INDEX(tblKurallar[deger_2025],MATCH("IFF-001",tblKurallar[kural_id],0))+(1-INDEX(tblKurallar[deger_2025],MATCH("IFF-001",tblKurallar[kural_id],0)))*IF($C354=0,0,$D354/$C354))-1),iff_yuvarMax),0))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IF($A355="","",IFERROR(ROUND($H355*((INDEX(tblKurallar[deger_2025],MATCH("IFF-001",tblKurallar[kural_id],0))+(1-INDEX(tblKurallar[deger_2025],MATCH("IFF-001",tblKurallar[kural_id],0)))*IF($C355=0,0,$D355/$C355))-1),iff_yuvarMax),0))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IF($A356="","",IFERROR(ROUND($H356*((INDEX(tblKurallar[deger_2025],MATCH("IFF-001",tblKurallar[kural_id],0))+(1-INDEX(tblKurallar[deger_2025],MATCH("IFF-001",tblKurallar[kural_id],0)))*IF($C356=0,0,$D356/$C356))-1),iff_yuvarMax),0))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IF($A357="","",IFERROR(ROUND($H357*((INDEX(tblKurallar[deger_2025],MATCH("IFF-001",tblKurallar[kural_id],0))+(1-INDEX(tblKurallar[deger_2025],MATCH("IFF-001",tblKurallar[kural_id],0)))*IF($C357=0,0,$D357/$C357))-1),iff_yuvarMax),0))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IF($A358="","",IFERROR(ROUND($H358*((INDEX(tblKurallar[deger_2025],MATCH("IFF-001",tblKurallar[kural_id],0))+(1-INDEX(tblKurallar[deger_2025],MATCH("IFF-001",tblKurallar[kural_id],0)))*IF($C358=0,0,$D358/$C358))-1),iff_yuvarMax),0))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IF($A359="","",IFERROR(ROUND($H359*((INDEX(tblKurallar[deger_2025],MATCH("IFF-001",tblKurallar[kural_id],0))+(1-INDEX(tblKurallar[deger_2025],MATCH("IFF-001",tblKurallar[kural_id],0)))*IF($C359=0,0,$D359/$C359))-1),iff_yuvarMax),0))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IF($A360="","",IFERROR(ROUND($H360*((INDEX(tblKurallar[deger_2025],MATCH("IFF-001",tblKurallar[kural_id],0))+(1-INDEX(tblKurallar[deger_2025],MATCH("IFF-001",tblKurallar[kural_id],0)))*IF($C360=0,0,$D360/$C360))-1),iff_yuvarMax),0))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IF($A361="","",IFERROR(ROUND($H361*((INDEX(tblKurallar[deger_2025],MATCH("IFF-001",tblKurallar[kural_id],0))+(1-INDEX(tblKurallar[deger_2025],MATCH("IFF-001",tblKurallar[kural_id],0)))*IF($C361=0,0,$D361/$C361))-1),iff_yuvarMax),0))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IF($A362="","",IFERROR(ROUND($H362*((INDEX(tblKurallar[deger_2025],MATCH("IFF-001",tblKurallar[kural_id],0))+(1-INDEX(tblKurallar[deger_2025],MATCH("IFF-001",tblKurallar[kural_id],0)))*IF($C362=0,0,$D362/$C362))-1),iff_yuvarMax),0))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IF($A363="","",IFERROR(ROUND($H363*((INDEX(tblKurallar[deger_2025],MATCH("IFF-001",tblKurallar[kural_id],0))+(1-INDEX(tblKurallar[deger_2025],MATCH("IFF-001",tblKurallar[kural_id],0)))*IF($C363=0,0,$D363/$C363))-1),iff_yuvarMax),0))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IF($A364="","",IFERROR(ROUND($H364*((INDEX(tblKurallar[deger_2025],MATCH("IFF-001",tblKurallar[kural_id],0))+(1-INDEX(tblKurallar[deger_2025],MATCH("IFF-001",tblKurallar[kural_id],0)))*IF($C364=0,0,$D364/$C364))-1),iff_yuvarMax),0))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IF($A365="","",IFERROR(ROUND($H365*((INDEX(tblKurallar[deger_2025],MATCH("IFF-001",tblKurallar[kural_id],0))+(1-INDEX(tblKurallar[deger_2025],MATCH("IFF-001",tblKurallar[kural_id],0)))*IF($C365=0,0,$D365/$C365))-1),iff_yuvarMax),0))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IF($A366="","",IFERROR(ROUND($H366*((INDEX(tblKurallar[deger_2025],MATCH("IFF-001",tblKurallar[kural_id],0))+(1-INDEX(tblKurallar[deger_2025],MATCH("IFF-001",tblKurallar[kural_id],0)))*IF($C366=0,0,$D366/$C366))-1),iff_yuvarMax),0))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IF($A367="","",IFERROR(ROUND($H367*((INDEX(tblKurallar[deger_2025],MATCH("IFF-001",tblKurallar[kural_id],0))+(1-INDEX(tblKurallar[deger_2025],MATCH("IFF-001",tblKurallar[kural_id],0)))*IF($C367=0,0,$D367/$C367))-1),iff_yuvarMax),0))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IF($A368="","",IFERROR(ROUND($H368*((INDEX(tblKurallar[deger_2025],MATCH("IFF-001",tblKurallar[kural_id],0))+(1-INDEX(tblKurallar[deger_2025],MATCH("IFF-001",tblKurallar[kural_id],0)))*IF($C368=0,0,$D368/$C368))-1),iff_yuvarMax),0))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IF($A369="","",IFERROR(ROUND($H369*((INDEX(tblKurallar[deger_2025],MATCH("IFF-001",tblKurallar[kural_id],0))+(1-INDEX(tblKurallar[deger_2025],MATCH("IFF-001",tblKurallar[kural_id],0)))*IF($C369=0,0,$D369/$C369))-1),iff_yuvarMax),0))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IF($A370="","",IFERROR(ROUND($H370*((INDEX(tblKurallar[deger_2025],MATCH("IFF-001",tblKurallar[kural_id],0))+(1-INDEX(tblKurallar[deger_2025],MATCH("IFF-001",tblKurallar[kural_id],0)))*IF($C370=0,0,$D370/$C370))-1),iff_yuvarMax),0))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IF($A371="","",IFERROR(ROUND($H371*((INDEX(tblKurallar[deger_2025],MATCH("IFF-001",tblKurallar[kural_id],0))+(1-INDEX(tblKurallar[deger_2025],MATCH("IFF-001",tblKurallar[kural_id],0)))*IF($C371=0,0,$D371/$C371))-1),iff_yuvarMax),0))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IF($A372="","",IFERROR(ROUND($H372*((INDEX(tblKurallar[deger_2025],MATCH("IFF-001",tblKurallar[kural_id],0))+(1-INDEX(tblKurallar[deger_2025],MATCH("IFF-001",tblKurallar[kural_id],0)))*IF($C372=0,0,$D372/$C372))-1),iff_yuvarMax),0))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IF($A373="","",IFERROR(ROUND($H373*((INDEX(tblKurallar[deger_2025],MATCH("IFF-001",tblKurallar[kural_id],0))+(1-INDEX(tblKurallar[deger_2025],MATCH("IFF-001",tblKurallar[kural_id],0)))*IF($C373=0,0,$D373/$C373))-1),iff_yuvarMax),0))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IF($A374="","",IFERROR(ROUND($H374*((INDEX(tblKurallar[deger_2025],MATCH("IFF-001",tblKurallar[kural_id],0))+(1-INDEX(tblKurallar[deger_2025],MATCH("IFF-001",tblKurallar[kural_id],0)))*IF($C374=0,0,$D374/$C374))-1),iff_yuvarMax),0))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IF($A375="","",IFERROR(ROUND($H375*((INDEX(tblKurallar[deger_2025],MATCH("IFF-001",tblKurallar[kural_id],0))+(1-INDEX(tblKurallar[deger_2025],MATCH("IFF-001",tblKurallar[kural_id],0)))*IF($C375=0,0,$D375/$C375))-1),iff_yuvarMax),0))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IF($A376="","",IFERROR(ROUND($H376*((INDEX(tblKurallar[deger_2025],MATCH("IFF-001",tblKurallar[kural_id],0))+(1-INDEX(tblKurallar[deger_2025],MATCH("IFF-001",tblKurallar[kural_id],0)))*IF($C376=0,0,$D376/$C376))-1),iff_yuvarMax),0))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IF($A377="","",IFERROR(ROUND($H377*((INDEX(tblKurallar[deger_2025],MATCH("IFF-001",tblKurallar[kural_id],0))+(1-INDEX(tblKurallar[deger_2025],MATCH("IFF-001",tblKurallar[kural_id],0)))*IF($C377=0,0,$D377/$C377))-1),iff_yuvarMax),0))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IF($A378="","",IFERROR(ROUND($H378*((INDEX(tblKurallar[deger_2025],MATCH("IFF-001",tblKurallar[kural_id],0))+(1-INDEX(tblKurallar[deger_2025],MATCH("IFF-001",tblKurallar[kural_id],0)))*IF($C378=0,0,$D378/$C378))-1),iff_yuvarMax),0))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IF($A379="","",IFERROR(ROUND($H379*((INDEX(tblKurallar[deger_2025],MATCH("IFF-001",tblKurallar[kural_id],0))+(1-INDEX(tblKurallar[deger_2025],MATCH("IFF-001",tblKurallar[kural_id],0)))*IF($C379=0,0,$D379/$C379))-1),iff_yuvarMax),0))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IF($A380="","",IFERROR(ROUND($H380*((INDEX(tblKurallar[deger_2025],MATCH("IFF-001",tblKurallar[kural_id],0))+(1-INDEX(tblKurallar[deger_2025],MATCH("IFF-001",tblKurallar[kural_id],0)))*IF($C380=0,0,$D380/$C380))-1),iff_yuvarMax),0))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IF($A381="","",IFERROR(ROUND($H381*((INDEX(tblKurallar[deger_2025],MATCH("IFF-001",tblKurallar[kural_id],0))+(1-INDEX(tblKurallar[deger_2025],MATCH("IFF-001",tblKurallar[kural_id],0)))*IF($C381=0,0,$D381/$C381))-1),iff_yuvarMax),0))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IF($A382="","",IFERROR(ROUND($H382*((INDEX(tblKurallar[deger_2025],MATCH("IFF-001",tblKurallar[kural_id],0))+(1-INDEX(tblKurallar[deger_2025],MATCH("IFF-001",tblKurallar[kural_id],0)))*IF($C382=0,0,$D382/$C382))-1),iff_yuvarMax),0))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IF($A383="","",IFERROR(ROUND($H383*((INDEX(tblKurallar[deger_2025],MATCH("IFF-001",tblKurallar[kural_id],0))+(1-INDEX(tblKurallar[deger_2025],MATCH("IFF-001",tblKurallar[kural_id],0)))*IF($C383=0,0,$D383/$C383))-1),iff_yuvarMax),0))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IF($A384="","",IFERROR(ROUND($H384*((INDEX(tblKurallar[deger_2025],MATCH("IFF-001",tblKurallar[kural_id],0))+(1-INDEX(tblKurallar[deger_2025],MATCH("IFF-001",tblKurallar[kural_id],0)))*IF($C384=0,0,$D384/$C384))-1),iff_yuvarMax),0))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IF($A385="","",IFERROR(ROUND($H385*((INDEX(tblKurallar[deger_2025],MATCH("IFF-001",tblKurallar[kural_id],0))+(1-INDEX(tblKurallar[deger_2025],MATCH("IFF-001",tblKurallar[kural_id],0)))*IF($C385=0,0,$D385/$C385))-1),iff_yuvarMax),0))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IF($A386="","",IFERROR(ROUND($H386*((INDEX(tblKurallar[deger_2025],MATCH("IFF-001",tblKurallar[kural_id],0))+(1-INDEX(tblKurallar[deger_2025],MATCH("IFF-001",tblKurallar[kural_id],0)))*IF($C386=0,0,$D386/$C386))-1),iff_yuvarMax),0))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IF($A387="","",IFERROR(ROUND($H387*((INDEX(tblKurallar[deger_2025],MATCH("IFF-001",tblKurallar[kural_id],0))+(1-INDEX(tblKurallar[deger_2025],MATCH("IFF-001",tblKurallar[kural_id],0)))*IF($C387=0,0,$D387/$C387))-1),iff_yuvarMax),0))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IF($A388="","",IFERROR(ROUND($H388*((INDEX(tblKurallar[deger_2025],MATCH("IFF-001",tblKurallar[kural_id],0))+(1-INDEX(tblKurallar[deger_2025],MATCH("IFF-001",tblKurallar[kural_id],0)))*IF($C388=0,0,$D388/$C388))-1),iff_yuvarMax),0))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IF($A389="","",IFERROR(ROUND($H389*((INDEX(tblKurallar[deger_2025],MATCH("IFF-001",tblKurallar[kural_id],0))+(1-INDEX(tblKurallar[deger_2025],MATCH("IFF-001",tblKurallar[kural_id],0)))*IF($C389=0,0,$D389/$C389))-1),iff_yuvarMax),0))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IF($A390="","",IFERROR(ROUND($H390*((INDEX(tblKurallar[deger_2025],MATCH("IFF-001",tblKurallar[kural_id],0))+(1-INDEX(tblKurallar[deger_2025],MATCH("IFF-001",tblKurallar[kural_id],0)))*IF($C390=0,0,$D390/$C390))-1),iff_yuvarMax),0))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IF($A391="","",IFERROR(ROUND($H391*((INDEX(tblKurallar[deger_2025],MATCH("IFF-001",tblKurallar[kural_id],0))+(1-INDEX(tblKurallar[deger_2025],MATCH("IFF-001",tblKurallar[kural_id],0)))*IF($C391=0,0,$D391/$C391))-1),iff_yuvarMax),0))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IF($A392="","",IFERROR(ROUND($H392*((INDEX(tblKurallar[deger_2025],MATCH("IFF-001",tblKurallar[kural_id],0))+(1-INDEX(tblKurallar[deger_2025],MATCH("IFF-001",tblKurallar[kural_id],0)))*IF($C392=0,0,$D392/$C392))-1),iff_yuvarMax),0))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IF($A393="","",IFERROR(ROUND($H393*((INDEX(tblKurallar[deger_2025],MATCH("IFF-001",tblKurallar[kural_id],0))+(1-INDEX(tblKurallar[deger_2025],MATCH("IFF-001",tblKurallar[kural_id],0)))*IF($C393=0,0,$D393/$C393))-1),iff_yuvarMax),0))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IF($A394="","",IFERROR(ROUND($H394*((INDEX(tblKurallar[deger_2025],MATCH("IFF-001",tblKurallar[kural_id],0))+(1-INDEX(tblKurallar[deger_2025],MATCH("IFF-001",tblKurallar[kural_id],0)))*IF($C394=0,0,$D394/$C394))-1),iff_yuvarMax),0))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IF($A395="","",IFERROR(ROUND($H395*((INDEX(tblKurallar[deger_2025],MATCH("IFF-001",tblKurallar[kural_id],0))+(1-INDEX(tblKurallar[deger_2025],MATCH("IFF-001",tblKurallar[kural_id],0)))*IF($C395=0,0,$D395/$C395))-1),iff_yuvarMax),0))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IF($A396="","",IFERROR(ROUND($H396*((INDEX(tblKurallar[deger_2025],MATCH("IFF-001",tblKurallar[kural_id],0))+(1-INDEX(tblKurallar[deger_2025],MATCH("IFF-001",tblKurallar[kural_id],0)))*IF($C396=0,0,$D396/$C396))-1),iff_yuvarMax),0))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IF($A397="","",IFERROR(ROUND($H397*((INDEX(tblKurallar[deger_2025],MATCH("IFF-001",tblKurallar[kural_id],0))+(1-INDEX(tblKurallar[deger_2025],MATCH("IFF-001",tblKurallar[kural_id],0)))*IF($C397=0,0,$D397/$C397))-1),iff_yuvarMax),0))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IF($A398="","",IFERROR(ROUND($H398*((INDEX(tblKurallar[deger_2025],MATCH("IFF-001",tblKurallar[kural_id],0))+(1-INDEX(tblKurallar[deger_2025],MATCH("IFF-001",tblKurallar[kural_id],0)))*IF($C398=0,0,$D398/$C398))-1),iff_yuvarMax),0))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IF($A399="","",IFERROR(ROUND($H399*((INDEX(tblKurallar[deger_2025],MATCH("IFF-001",tblKurallar[kural_id],0))+(1-INDEX(tblKurallar[deger_2025],MATCH("IFF-001",tblKurallar[kural_id],0)))*IF($C399=0,0,$D399/$C399))-1),iff_yuvarMax),0))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IF($A400="","",IFERROR(ROUND($H400*((INDEX(tblKurallar[deger_2025],MATCH("IFF-001",tblKurallar[kural_id],0))+(1-INDEX(tblKurallar[deger_2025],MATCH("IFF-001",tblKurallar[kural_id],0)))*IF($C400=0,0,$D400/$C400))-1),iff_yuvarMax),0))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IF($A401="","",IFERROR(ROUND($H401*((INDEX(tblKurallar[deger_2025],MATCH("IFF-001",tblKurallar[kural_id],0))+(1-INDEX(tblKurallar[deger_2025],MATCH("IFF-001",tblKurallar[kural_id],0)))*IF($C401=0,0,$D401/$C401))-1),iff_yuvarMax),0))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IF($A402="","",IFERROR(ROUND($H402*((INDEX(tblKurallar[deger_2025],MATCH("IFF-001",tblKurallar[kural_id],0))+(1-INDEX(tblKurallar[deger_2025],MATCH("IFF-001",tblKurallar[kural_id],0)))*IF($C402=0,0,$D402/$C402))-1),iff_yuvarMax),0))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IF($A403="","",IFERROR(ROUND($H403*((INDEX(tblKurallar[deger_2025],MATCH("IFF-001",tblKurallar[kural_id],0))+(1-INDEX(tblKurallar[deger_2025],MATCH("IFF-001",tblKurallar[kural_id],0)))*IF($C403=0,0,$D403/$C403))-1),iff_yuvarMax),0))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IF($A404="","",IFERROR(ROUND($H404*((INDEX(tblKurallar[deger_2025],MATCH("IFF-001",tblKurallar[kural_id],0))+(1-INDEX(tblKurallar[deger_2025],MATCH("IFF-001",tblKurallar[kural_id],0)))*IF($C404=0,0,$D404/$C404))-1),iff_yuvarMax),0))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IF($A405="","",IFERROR(ROUND($H405*((INDEX(tblKurallar[deger_2025],MATCH("IFF-001",tblKurallar[kural_id],0))+(1-INDEX(tblKurallar[deger_2025],MATCH("IFF-001",tblKurallar[kural_id],0)))*IF($C405=0,0,$D405/$C405))-1),iff_yuvarMax),0))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IF($A406="","",IFERROR(ROUND($H406*((INDEX(tblKurallar[deger_2025],MATCH("IFF-001",tblKurallar[kural_id],0))+(1-INDEX(tblKurallar[deger_2025],MATCH("IFF-001",tblKurallar[kural_id],0)))*IF($C406=0,0,$D406/$C406))-1),iff_yuvarMax),0))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IF($A407="","",IFERROR(ROUND($H407*((INDEX(tblKurallar[deger_2025],MATCH("IFF-001",tblKurallar[kural_id],0))+(1-INDEX(tblKurallar[deger_2025],MATCH("IFF-001",tblKurallar[kural_id],0)))*IF($C407=0,0,$D407/$C407))-1),iff_yuvarMax),0))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IF($A408="","",IFERROR(ROUND($H408*((INDEX(tblKurallar[deger_2025],MATCH("IFF-001",tblKurallar[kural_id],0))+(1-INDEX(tblKurallar[deger_2025],MATCH("IFF-001",tblKurallar[kural_id],0)))*IF($C408=0,0,$D408/$C408))-1),iff_yuvarMax),0))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IF($A409="","",IFERROR(ROUND($H409*((INDEX(tblKurallar[deger_2025],MATCH("IFF-001",tblKurallar[kural_id],0))+(1-INDEX(tblKurallar[deger_2025],MATCH("IFF-001",tblKurallar[kural_id],0)))*IF($C409=0,0,$D409/$C409))-1),iff_yuvarMax),0))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IF($A410="","",IFERROR(ROUND($H410*((INDEX(tblKurallar[deger_2025],MATCH("IFF-001",tblKurallar[kural_id],0))+(1-INDEX(tblKurallar[deger_2025],MATCH("IFF-001",tblKurallar[kural_id],0)))*IF($C410=0,0,$D410/$C410))-1),iff_yuvarMax),0))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IF($A411="","",IFERROR(ROUND($H411*((INDEX(tblKurallar[deger_2025],MATCH("IFF-001",tblKurallar[kural_id],0))+(1-INDEX(tblKurallar[deger_2025],MATCH("IFF-001",tblKurallar[kural_id],0)))*IF($C411=0,0,$D411/$C411))-1),iff_yuvarMax),0))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IF($A412="","",IFERROR(ROUND($H412*((INDEX(tblKurallar[deger_2025],MATCH("IFF-001",tblKurallar[kural_id],0))+(1-INDEX(tblKurallar[deger_2025],MATCH("IFF-001",tblKurallar[kural_id],0)))*IF($C412=0,0,$D412/$C412))-1),iff_yuvarMax),0))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IF($A413="","",IFERROR(ROUND($H413*((INDEX(tblKurallar[deger_2025],MATCH("IFF-001",tblKurallar[kural_id],0))+(1-INDEX(tblKurallar[deger_2025],MATCH("IFF-001",tblKurallar[kural_id],0)))*IF($C413=0,0,$D413/$C413))-1),iff_yuvarMax),0))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IF($A414="","",IFERROR(ROUND($H414*((INDEX(tblKurallar[deger_2025],MATCH("IFF-001",tblKurallar[kural_id],0))+(1-INDEX(tblKurallar[deger_2025],MATCH("IFF-001",tblKurallar[kural_id],0)))*IF($C414=0,0,$D414/$C414))-1),iff_yuvarMax),0))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IF($A415="","",IFERROR(ROUND($H415*((INDEX(tblKurallar[deger_2025],MATCH("IFF-001",tblKurallar[kural_id],0))+(1-INDEX(tblKurallar[deger_2025],MATCH("IFF-001",tblKurallar[kural_id],0)))*IF($C415=0,0,$D415/$C415))-1),iff_yuvarMax),0))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IF($A416="","",IFERROR(ROUND($H416*((INDEX(tblKurallar[deger_2025],MATCH("IFF-001",tblKurallar[kural_id],0))+(1-INDEX(tblKurallar[deger_2025],MATCH("IFF-001",tblKurallar[kural_id],0)))*IF($C416=0,0,$D416/$C416))-1),iff_yuvarMax),0))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IF($A417="","",IFERROR(ROUND($H417*((INDEX(tblKurallar[deger_2025],MATCH("IFF-001",tblKurallar[kural_id],0))+(1-INDEX(tblKurallar[deger_2025],MATCH("IFF-001",tblKurallar[kural_id],0)))*IF($C417=0,0,$D417/$C417))-1),iff_yuvarMax),0))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IF($A418="","",IFERROR(ROUND($H418*((INDEX(tblKurallar[deger_2025],MATCH("IFF-001",tblKurallar[kural_id],0))+(1-INDEX(tblKurallar[deger_2025],MATCH("IFF-001",tblKurallar[kural_id],0)))*IF($C418=0,0,$D418/$C418))-1),iff_yuvarMax),0))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IF($A419="","",IFERROR(ROUND($H419*((INDEX(tblKurallar[deger_2025],MATCH("IFF-001",tblKurallar[kural_id],0))+(1-INDEX(tblKurallar[deger_2025],MATCH("IFF-001",tblKurallar[kural_id],0)))*IF($C419=0,0,$D419/$C419))-1),iff_yuvarMax),0))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IF($A420="","",IFERROR(ROUND($H420*((INDEX(tblKurallar[deger_2025],MATCH("IFF-001",tblKurallar[kural_id],0))+(1-INDEX(tblKurallar[deger_2025],MATCH("IFF-001",tblKurallar[kural_id],0)))*IF($C420=0,0,$D420/$C420))-1),iff_yuvarMax),0))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IF($A421="","",IFERROR(ROUND($H421*((INDEX(tblKurallar[deger_2025],MATCH("IFF-001",tblKurallar[kural_id],0))+(1-INDEX(tblKurallar[deger_2025],MATCH("IFF-001",tblKurallar[kural_id],0)))*IF($C421=0,0,$D421/$C421))-1),iff_yuvarMax),0))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IF($A422="","",IFERROR(ROUND($H422*((INDEX(tblKurallar[deger_2025],MATCH("IFF-001",tblKurallar[kural_id],0))+(1-INDEX(tblKurallar[deger_2025],MATCH("IFF-001",tblKurallar[kural_id],0)))*IF($C422=0,0,$D422/$C422))-1),iff_yuvarMax),0))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IF($A423="","",IFERROR(ROUND($H423*((INDEX(tblKurallar[deger_2025],MATCH("IFF-001",tblKurallar[kural_id],0))+(1-INDEX(tblKurallar[deger_2025],MATCH("IFF-001",tblKurallar[kural_id],0)))*IF($C423=0,0,$D423/$C423))-1),iff_yuvarMax),0))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IF($A424="","",IFERROR(ROUND($H424*((INDEX(tblKurallar[deger_2025],MATCH("IFF-001",tblKurallar[kural_id],0))+(1-INDEX(tblKurallar[deger_2025],MATCH("IFF-001",tblKurallar[kural_id],0)))*IF($C424=0,0,$D424/$C424))-1),iff_yuvarMax),0))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IF($A425="","",IFERROR(ROUND($H425*((INDEX(tblKurallar[deger_2025],MATCH("IFF-001",tblKurallar[kural_id],0))+(1-INDEX(tblKurallar[deger_2025],MATCH("IFF-001",tblKurallar[kural_id],0)))*IF($C425=0,0,$D425/$C425))-1),iff_yuvarMax),0))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IF($A426="","",IFERROR(ROUND($H426*((INDEX(tblKurallar[deger_2025],MATCH("IFF-001",tblKurallar[kural_id],0))+(1-INDEX(tblKurallar[deger_2025],MATCH("IFF-001",tblKurallar[kural_id],0)))*IF($C426=0,0,$D426/$C426))-1),iff_yuvarMax),0))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IF($A427="","",IFERROR(ROUND($H427*((INDEX(tblKurallar[deger_2025],MATCH("IFF-001",tblKurallar[kural_id],0))+(1-INDEX(tblKurallar[deger_2025],MATCH("IFF-001",tblKurallar[kural_id],0)))*IF($C427=0,0,$D427/$C427))-1),iff_yuvarMax),0))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IF($A428="","",IFERROR(ROUND($H428*((INDEX(tblKurallar[deger_2025],MATCH("IFF-001",tblKurallar[kural_id],0))+(1-INDEX(tblKurallar[deger_2025],MATCH("IFF-001",tblKurallar[kural_id],0)))*IF($C428=0,0,$D428/$C428))-1),iff_yuvarMax),0))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IF($A429="","",IFERROR(ROUND($H429*((INDEX(tblKurallar[deger_2025],MATCH("IFF-001",tblKurallar[kural_id],0))+(1-INDEX(tblKurallar[deger_2025],MATCH("IFF-001",tblKurallar[kural_id],0)))*IF($C429=0,0,$D429/$C429))-1),iff_yuvarMax),0))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IF($A430="","",IFERROR(ROUND($H430*((INDEX(tblKurallar[deger_2025],MATCH("IFF-001",tblKurallar[kural_id],0))+(1-INDEX(tblKurallar[deger_2025],MATCH("IFF-001",tblKurallar[kural_id],0)))*IF($C430=0,0,$D430/$C430))-1),iff_yuvarMax),0))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IF($A431="","",IFERROR(ROUND($H431*((INDEX(tblKurallar[deger_2025],MATCH("IFF-001",tblKurallar[kural_id],0))+(1-INDEX(tblKurallar[deger_2025],MATCH("IFF-001",tblKurallar[kural_id],0)))*IF($C431=0,0,$D431/$C431))-1),iff_yuvarMax),0))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IF($A432="","",IFERROR(ROUND($H432*((INDEX(tblKurallar[deger_2025],MATCH("IFF-001",tblKurallar[kural_id],0))+(1-INDEX(tblKurallar[deger_2025],MATCH("IFF-001",tblKurallar[kural_id],0)))*IF($C432=0,0,$D432/$C432))-1),iff_yuvarMax),0))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IF($A433="","",IFERROR(ROUND($H433*((INDEX(tblKurallar[deger_2025],MATCH("IFF-001",tblKurallar[kural_id],0))+(1-INDEX(tblKurallar[deger_2025],MATCH("IFF-001",tblKurallar[kural_id],0)))*IF($C433=0,0,$D433/$C433))-1),iff_yuvarMax),0))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IF($A434="","",IFERROR(ROUND($H434*((INDEX(tblKurallar[deger_2025],MATCH("IFF-001",tblKurallar[kural_id],0))+(1-INDEX(tblKurallar[deger_2025],MATCH("IFF-001",tblKurallar[kural_id],0)))*IF($C434=0,0,$D434/$C434))-1),iff_yuvarMax),0))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IF($A435="","",IFERROR(ROUND($H435*((INDEX(tblKurallar[deger_2025],MATCH("IFF-001",tblKurallar[kural_id],0))+(1-INDEX(tblKurallar[deger_2025],MATCH("IFF-001",tblKurallar[kural_id],0)))*IF($C435=0,0,$D435/$C435))-1),iff_yuvarMax),0))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IF($A436="","",IFERROR(ROUND($H436*((INDEX(tblKurallar[deger_2025],MATCH("IFF-001",tblKurallar[kural_id],0))+(1-INDEX(tblKurallar[deger_2025],MATCH("IFF-001",tblKurallar[kural_id],0)))*IF($C436=0,0,$D436/$C436))-1),iff_yuvarMax),0))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IF($A437="","",IFERROR(ROUND($H437*((INDEX(tblKurallar[deger_2025],MATCH("IFF-001",tblKurallar[kural_id],0))+(1-INDEX(tblKurallar[deger_2025],MATCH("IFF-001",tblKurallar[kural_id],0)))*IF($C437=0,0,$D437/$C437))-1),iff_yuvarMax),0))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IF($A438="","",IFERROR(ROUND($H438*((INDEX(tblKurallar[deger_2025],MATCH("IFF-001",tblKurallar[kural_id],0))+(1-INDEX(tblKurallar[deger_2025],MATCH("IFF-001",tblKurallar[kural_id],0)))*IF($C438=0,0,$D438/$C438))-1),iff_yuvarMax),0))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IF($A439="","",IFERROR(ROUND($H439*((INDEX(tblKurallar[deger_2025],MATCH("IFF-001",tblKurallar[kural_id],0))+(1-INDEX(tblKurallar[deger_2025],MATCH("IFF-001",tblKurallar[kural_id],0)))*IF($C439=0,0,$D439/$C439))-1),iff_yuvarMax),0))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IF($A440="","",IFERROR(ROUND($H440*((INDEX(tblKurallar[deger_2025],MATCH("IFF-001",tblKurallar[kural_id],0))+(1-INDEX(tblKurallar[deger_2025],MATCH("IFF-001",tblKurallar[kural_id],0)))*IF($C440=0,0,$D440/$C440))-1),iff_yuvarMax),0))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IF($A441="","",IFERROR(ROUND($H441*((INDEX(tblKurallar[deger_2025],MATCH("IFF-001",tblKurallar[kural_id],0))+(1-INDEX(tblKurallar[deger_2025],MATCH("IFF-001",tblKurallar[kural_id],0)))*IF($C441=0,0,$D441/$C441))-1),iff_yuvarMax),0))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IF($A442="","",IFERROR(ROUND($H442*((INDEX(tblKurallar[deger_2025],MATCH("IFF-001",tblKurallar[kural_id],0))+(1-INDEX(tblKurallar[deger_2025],MATCH("IFF-001",tblKurallar[kural_id],0)))*IF($C442=0,0,$D442/$C442))-1),iff_yuvarMax),0))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IF($A443="","",IFERROR(ROUND($H443*((INDEX(tblKurallar[deger_2025],MATCH("IFF-001",tblKurallar[kural_id],0))+(1-INDEX(tblKurallar[deger_2025],MATCH("IFF-001",tblKurallar[kural_id],0)))*IF($C443=0,0,$D443/$C443))-1),iff_yuvarMax),0))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IF($A444="","",IFERROR(ROUND($H444*((INDEX(tblKurallar[deger_2025],MATCH("IFF-001",tblKurallar[kural_id],0))+(1-INDEX(tblKurallar[deger_2025],MATCH("IFF-001",tblKurallar[kural_id],0)))*IF($C444=0,0,$D444/$C444))-1),iff_yuvarMax),0))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IF($A445="","",IFERROR(ROUND($H445*((INDEX(tblKurallar[deger_2025],MATCH("IFF-001",tblKurallar[kural_id],0))+(1-INDEX(tblKurallar[deger_2025],MATCH("IFF-001",tblKurallar[kural_id],0)))*IF($C445=0,0,$D445/$C445))-1),iff_yuvarMax),0))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IF($A446="","",IFERROR(ROUND($H446*((INDEX(tblKurallar[deger_2025],MATCH("IFF-001",tblKurallar[kural_id],0))+(1-INDEX(tblKurallar[deger_2025],MATCH("IFF-001",tblKurallar[kural_id],0)))*IF($C446=0,0,$D446/$C446))-1),iff_yuvarMax),0))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IF($A447="","",IFERROR(ROUND($H447*((INDEX(tblKurallar[deger_2025],MATCH("IFF-001",tblKurallar[kural_id],0))+(1-INDEX(tblKurallar[deger_2025],MATCH("IFF-001",tblKurallar[kural_id],0)))*IF($C447=0,0,$D447/$C447))-1),iff_yuvarMax),0))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IF($A448="","",IFERROR(ROUND($H448*((INDEX(tblKurallar[deger_2025],MATCH("IFF-001",tblKurallar[kural_id],0))+(1-INDEX(tblKurallar[deger_2025],MATCH("IFF-001",tblKurallar[kural_id],0)))*IF($C448=0,0,$D448/$C448))-1),iff_yuvarMax),0))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IF($A449="","",IFERROR(ROUND($H449*((INDEX(tblKurallar[deger_2025],MATCH("IFF-001",tblKurallar[kural_id],0))+(1-INDEX(tblKurallar[deger_2025],MATCH("IFF-001",tblKurallar[kural_id],0)))*IF($C449=0,0,$D449/$C449))-1),iff_yuvarMax),0))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IF($A450="","",IFERROR(ROUND($H450*((INDEX(tblKurallar[deger_2025],MATCH("IFF-001",tblKurallar[kural_id],0))+(1-INDEX(tblKurallar[deger_2025],MATCH("IFF-001",tblKurallar[kural_id],0)))*IF($C450=0,0,$D450/$C450))-1),iff_yuvarMax),0))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IF($A451="","",IFERROR(ROUND($H451*((INDEX(tblKurallar[deger_2025],MATCH("IFF-001",tblKurallar[kural_id],0))+(1-INDEX(tblKurallar[deger_2025],MATCH("IFF-001",tblKurallar[kural_id],0)))*IF($C451=0,0,$D451/$C451))-1),iff_yuvarMax),0))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IF($A452="","",IFERROR(ROUND($H452*((INDEX(tblKurallar[deger_2025],MATCH("IFF-001",tblKurallar[kural_id],0))+(1-INDEX(tblKurallar[deger_2025],MATCH("IFF-001",tblKurallar[kural_id],0)))*IF($C452=0,0,$D452/$C452))-1),iff_yuvarMax),0))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IF($A453="","",IFERROR(ROUND($H453*((INDEX(tblKurallar[deger_2025],MATCH("IFF-001",tblKurallar[kural_id],0))+(1-INDEX(tblKurallar[deger_2025],MATCH("IFF-001",tblKurallar[kural_id],0)))*IF($C453=0,0,$D453/$C453))-1),iff_yuvarMax),0))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IF($A454="","",IFERROR(ROUND($H454*((INDEX(tblKurallar[deger_2025],MATCH("IFF-001",tblKurallar[kural_id],0))+(1-INDEX(tblKurallar[deger_2025],MATCH("IFF-001",tblKurallar[kural_id],0)))*IF($C454=0,0,$D454/$C454))-1),iff_yuvarMax),0))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IF($A455="","",IFERROR(ROUND($H455*((INDEX(tblKurallar[deger_2025],MATCH("IFF-001",tblKurallar[kural_id],0))+(1-INDEX(tblKurallar[deger_2025],MATCH("IFF-001",tblKurallar[kural_id],0)))*IF($C455=0,0,$D455/$C455))-1),iff_yuvarMax),0))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IF($A456="","",IFERROR(ROUND($H456*((INDEX(tblKurallar[deger_2025],MATCH("IFF-001",tblKurallar[kural_id],0))+(1-INDEX(tblKurallar[deger_2025],MATCH("IFF-001",tblKurallar[kural_id],0)))*IF($C456=0,0,$D456/$C456))-1),iff_yuvarMax),0))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IF($A457="","",IFERROR(ROUND($H457*((INDEX(tblKurallar[deger_2025],MATCH("IFF-001",tblKurallar[kural_id],0))+(1-INDEX(tblKurallar[deger_2025],MATCH("IFF-001",tblKurallar[kural_id],0)))*IF($C457=0,0,$D457/$C457))-1),iff_yuvarMax),0))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IF($A458="","",IFERROR(ROUND($H458*((INDEX(tblKurallar[deger_2025],MATCH("IFF-001",tblKurallar[kural_id],0))+(1-INDEX(tblKurallar[deger_2025],MATCH("IFF-001",tblKurallar[kural_id],0)))*IF($C458=0,0,$D458/$C458))-1),iff_yuvarMax),0))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IF($A459="","",IFERROR(ROUND($H459*((INDEX(tblKurallar[deger_2025],MATCH("IFF-001",tblKurallar[kural_id],0))+(1-INDEX(tblKurallar[deger_2025],MATCH("IFF-001",tblKurallar[kural_id],0)))*IF($C459=0,0,$D459/$C459))-1),iff_yuvarMax),0))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IF($A460="","",IFERROR(ROUND($H460*((INDEX(tblKurallar[deger_2025],MATCH("IFF-001",tblKurallar[kural_id],0))+(1-INDEX(tblKurallar[deger_2025],MATCH("IFF-001",tblKurallar[kural_id],0)))*IF($C460=0,0,$D460/$C460))-1),iff_yuvarMax),0))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IF($A461="","",IFERROR(ROUND($H461*((INDEX(tblKurallar[deger_2025],MATCH("IFF-001",tblKurallar[kural_id],0))+(1-INDEX(tblKurallar[deger_2025],MATCH("IFF-001",tblKurallar[kural_id],0)))*IF($C461=0,0,$D461/$C461))-1),iff_yuvarMax),0))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IF($A462="","",IFERROR(ROUND($H462*((INDEX(tblKurallar[deger_2025],MATCH("IFF-001",tblKurallar[kural_id],0))+(1-INDEX(tblKurallar[deger_2025],MATCH("IFF-001",tblKurallar[kural_id],0)))*IF($C462=0,0,$D462/$C462))-1),iff_yuvarMax),0))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IF($A463="","",IFERROR(ROUND($H463*((INDEX(tblKurallar[deger_2025],MATCH("IFF-001",tblKurallar[kural_id],0))+(1-INDEX(tblKurallar[deger_2025],MATCH("IFF-001",tblKurallar[kural_id],0)))*IF($C463=0,0,$D463/$C463))-1),iff_yuvarMax),0))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IF($A464="","",IFERROR(ROUND($H464*((INDEX(tblKurallar[deger_2025],MATCH("IFF-001",tblKurallar[kural_id],0))+(1-INDEX(tblKurallar[deger_2025],MATCH("IFF-001",tblKurallar[kural_id],0)))*IF($C464=0,0,$D464/$C464))-1),iff_yuvarMax),0))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IF($A465="","",IFERROR(ROUND($H465*((INDEX(tblKurallar[deger_2025],MATCH("IFF-001",tblKurallar[kural_id],0))+(1-INDEX(tblKurallar[deger_2025],MATCH("IFF-001",tblKurallar[kural_id],0)))*IF($C465=0,0,$D465/$C465))-1),iff_yuvarMax),0))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IF($A466="","",IFERROR(ROUND($H466*((INDEX(tblKurallar[deger_2025],MATCH("IFF-001",tblKurallar[kural_id],0))+(1-INDEX(tblKurallar[deger_2025],MATCH("IFF-001",tblKurallar[kural_id],0)))*IF($C466=0,0,$D466/$C466))-1),iff_yuvarMax),0))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IF($A467="","",IFERROR(ROUND($H467*((INDEX(tblKurallar[deger_2025],MATCH("IFF-001",tblKurallar[kural_id],0))+(1-INDEX(tblKurallar[deger_2025],MATCH("IFF-001",tblKurallar[kural_id],0)))*IF($C467=0,0,$D467/$C467))-1),iff_yuvarMax),0))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IF($A468="","",IFERROR(ROUND($H468*((INDEX(tblKurallar[deger_2025],MATCH("IFF-001",tblKurallar[kural_id],0))+(1-INDEX(tblKurallar[deger_2025],MATCH("IFF-001",tblKurallar[kural_id],0)))*IF($C468=0,0,$D468/$C468))-1),iff_yuvarMax),0))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IF($A469="","",IFERROR(ROUND($H469*((INDEX(tblKurallar[deger_2025],MATCH("IFF-001",tblKurallar[kural_id],0))+(1-INDEX(tblKurallar[deger_2025],MATCH("IFF-001",tblKurallar[kural_id],0)))*IF($C469=0,0,$D469/$C469))-1),iff_yuvarMax),0))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IF($A470="","",IFERROR(ROUND($H470*((INDEX(tblKurallar[deger_2025],MATCH("IFF-001",tblKurallar[kural_id],0))+(1-INDEX(tblKurallar[deger_2025],MATCH("IFF-001",tblKurallar[kural_id],0)))*IF($C470=0,0,$D470/$C470))-1),iff_yuvarMax),0))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IF($A471="","",IFERROR(ROUND($H471*((INDEX(tblKurallar[deger_2025],MATCH("IFF-001",tblKurallar[kural_id],0))+(1-INDEX(tblKurallar[deger_2025],MATCH("IFF-001",tblKurallar[kural_id],0)))*IF($C471=0,0,$D471/$C471))-1),iff_yuvarMax),0))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IF($A472="","",IFERROR(ROUND($H472*((INDEX(tblKurallar[deger_2025],MATCH("IFF-001",tblKurallar[kural_id],0))+(1-INDEX(tblKurallar[deger_2025],MATCH("IFF-001",tblKurallar[kural_id],0)))*IF($C472=0,0,$D472/$C472))-1),iff_yuvarMax),0))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IF($A473="","",IFERROR(ROUND($H473*((INDEX(tblKurallar[deger_2025],MATCH("IFF-001",tblKurallar[kural_id],0))+(1-INDEX(tblKurallar[deger_2025],MATCH("IFF-001",tblKurallar[kural_id],0)))*IF($C473=0,0,$D473/$C473))-1),iff_yuvarMax),0))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IF($A474="","",IFERROR(ROUND($H474*((INDEX(tblKurallar[deger_2025],MATCH("IFF-001",tblKurallar[kural_id],0))+(1-INDEX(tblKurallar[deger_2025],MATCH("IFF-001",tblKurallar[kural_id],0)))*IF($C474=0,0,$D474/$C474))-1),iff_yuvarMax),0))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IF($A475="","",IFERROR(ROUND($H475*((INDEX(tblKurallar[deger_2025],MATCH("IFF-001",tblKurallar[kural_id],0))+(1-INDEX(tblKurallar[deger_2025],MATCH("IFF-001",tblKurallar[kural_id],0)))*IF($C475=0,0,$D475/$C475))-1),iff_yuvarMax),0))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IF($A476="","",IFERROR(ROUND($H476*((INDEX(tblKurallar[deger_2025],MATCH("IFF-001",tblKurallar[kural_id],0))+(1-INDEX(tblKurallar[deger_2025],MATCH("IFF-001",tblKurallar[kural_id],0)))*IF($C476=0,0,$D476/$C476))-1),iff_yuvarMax),0))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IF($A477="","",IFERROR(ROUND($H477*((INDEX(tblKurallar[deger_2025],MATCH("IFF-001",tblKurallar[kural_id],0))+(1-INDEX(tblKurallar[deger_2025],MATCH("IFF-001",tblKurallar[kural_id],0)))*IF($C477=0,0,$D477/$C477))-1),iff_yuvarMax),0))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IF($A478="","",IFERROR(ROUND($H478*((INDEX(tblKurallar[deger_2025],MATCH("IFF-001",tblKurallar[kural_id],0))+(1-INDEX(tblKurallar[deger_2025],MATCH("IFF-001",tblKurallar[kural_id],0)))*IF($C478=0,0,$D478/$C478))-1),iff_yuvarMax),0))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IF($A479="","",IFERROR(ROUND($H479*((INDEX(tblKurallar[deger_2025],MATCH("IFF-001",tblKurallar[kural_id],0))+(1-INDEX(tblKurallar[deger_2025],MATCH("IFF-001",tblKurallar[kural_id],0)))*IF($C479=0,0,$D479/$C479))-1),iff_yuvarMax),0))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IF($A480="","",IFERROR(ROUND($H480*((INDEX(tblKurallar[deger_2025],MATCH("IFF-001",tblKurallar[kural_id],0))+(1-INDEX(tblKurallar[deger_2025],MATCH("IFF-001",tblKurallar[kural_id],0)))*IF($C480=0,0,$D480/$C480))-1),iff_yuvarMax),0))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IF($A481="","",IFERROR(ROUND($H481*((INDEX(tblKurallar[deger_2025],MATCH("IFF-001",tblKurallar[kural_id],0))+(1-INDEX(tblKurallar[deger_2025],MATCH("IFF-001",tblKurallar[kural_id],0)))*IF($C481=0,0,$D481/$C481))-1),iff_yuvarMax),0))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IF($A482="","",IFERROR(ROUND($H482*((INDEX(tblKurallar[deger_2025],MATCH("IFF-001",tblKurallar[kural_id],0))+(1-INDEX(tblKurallar[deger_2025],MATCH("IFF-001",tblKurallar[kural_id],0)))*IF($C482=0,0,$D482/$C482))-1),iff_yuvarMax),0))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IF($A483="","",IFERROR(ROUND($H483*((INDEX(tblKurallar[deger_2025],MATCH("IFF-001",tblKurallar[kural_id],0))+(1-INDEX(tblKurallar[deger_2025],MATCH("IFF-001",tblKurallar[kural_id],0)))*IF($C483=0,0,$D483/$C483))-1),iff_yuvarMax),0))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IF($A484="","",IFERROR(ROUND($H484*((INDEX(tblKurallar[deger_2025],MATCH("IFF-001",tblKurallar[kural_id],0))+(1-INDEX(tblKurallar[deger_2025],MATCH("IFF-001",tblKurallar[kural_id],0)))*IF($C484=0,0,$D484/$C484))-1),iff_yuvarMax),0))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IF($A485="","",IFERROR(ROUND($H485*((INDEX(tblKurallar[deger_2025],MATCH("IFF-001",tblKurallar[kural_id],0))+(1-INDEX(tblKurallar[deger_2025],MATCH("IFF-001",tblKurallar[kural_id],0)))*IF($C485=0,0,$D485/$C485))-1),iff_yuvarMax),0))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IF($A486="","",IFERROR(ROUND($H486*((INDEX(tblKurallar[deger_2025],MATCH("IFF-001",tblKurallar[kural_id],0))+(1-INDEX(tblKurallar[deger_2025],MATCH("IFF-001",tblKurallar[kural_id],0)))*IF($C486=0,0,$D486/$C486))-1),iff_yuvarMax),0))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IF($A487="","",IFERROR(ROUND($H487*((INDEX(tblKurallar[deger_2025],MATCH("IFF-001",tblKurallar[kural_id],0))+(1-INDEX(tblKurallar[deger_2025],MATCH("IFF-001",tblKurallar[kural_id],0)))*IF($C487=0,0,$D487/$C487))-1),iff_yuvarMax),0))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IF($A488="","",IFERROR(ROUND($H488*((INDEX(tblKurallar[deger_2025],MATCH("IFF-001",tblKurallar[kural_id],0))+(1-INDEX(tblKurallar[deger_2025],MATCH("IFF-001",tblKurallar[kural_id],0)))*IF($C488=0,0,$D488/$C488))-1),iff_yuvarMax),0))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IF($A489="","",IFERROR(ROUND($H489*((INDEX(tblKurallar[deger_2025],MATCH("IFF-001",tblKurallar[kural_id],0))+(1-INDEX(tblKurallar[deger_2025],MATCH("IFF-001",tblKurallar[kural_id],0)))*IF($C489=0,0,$D489/$C489))-1),iff_yuvarMax),0))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IF($A490="","",IFERROR(ROUND($H490*((INDEX(tblKurallar[deger_2025],MATCH("IFF-001",tblKurallar[kural_id],0))+(1-INDEX(tblKurallar[deger_2025],MATCH("IFF-001",tblKurallar[kural_id],0)))*IF($C490=0,0,$D490/$C490))-1),iff_yuvarMax),0))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IF($A491="","",IFERROR(ROUND($H491*((INDEX(tblKurallar[deger_2025],MATCH("IFF-001",tblKurallar[kural_id],0))+(1-INDEX(tblKurallar[deger_2025],MATCH("IFF-001",tblKurallar[kural_id],0)))*IF($C491=0,0,$D491/$C491))-1),iff_yuvarMax),0))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IF($A492="","",IFERROR(ROUND($H492*((INDEX(tblKurallar[deger_2025],MATCH("IFF-001",tblKurallar[kural_id],0))+(1-INDEX(tblKurallar[deger_2025],MATCH("IFF-001",tblKurallar[kural_id],0)))*IF($C492=0,0,$D492/$C492))-1),iff_yuvarMax),0))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IF($A493="","",IFERROR(ROUND($H493*((INDEX(tblKurallar[deger_2025],MATCH("IFF-001",tblKurallar[kural_id],0))+(1-INDEX(tblKurallar[deger_2025],MATCH("IFF-001",tblKurallar[kural_id],0)))*IF($C493=0,0,$D493/$C493))-1),iff_yuvarMax),0))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IF($A494="","",IFERROR(ROUND($H494*((INDEX(tblKurallar[deger_2025],MATCH("IFF-001",tblKurallar[kural_id],0))+(1-INDEX(tblKurallar[deger_2025],MATCH("IFF-001",tblKurallar[kural_id],0)))*IF($C494=0,0,$D494/$C494))-1),iff_yuvarMax),0))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IF($A495="","",IFERROR(ROUND($H495*((INDEX(tblKurallar[deger_2025],MATCH("IFF-001",tblKurallar[kural_id],0))+(1-INDEX(tblKurallar[deger_2025],MATCH("IFF-001",tblKurallar[kural_id],0)))*IF($C495=0,0,$D495/$C495))-1),iff_yuvarMax),0))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IF($A496="","",IFERROR(ROUND($H496*((INDEX(tblKurallar[deger_2025],MATCH("IFF-001",tblKurallar[kural_id],0))+(1-INDEX(tblKurallar[deger_2025],MATCH("IFF-001",tblKurallar[kural_id],0)))*IF($C496=0,0,$D496/$C496))-1),iff_yuvarMax),0))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IF($A497="","",IFERROR(ROUND($H497*((INDEX(tblKurallar[deger_2025],MATCH("IFF-001",tblKurallar[kural_id],0))+(1-INDEX(tblKurallar[deger_2025],MATCH("IFF-001",tblKurallar[kural_id],0)))*IF($C497=0,0,$D497/$C497))-1),iff_yuvarMax),0))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IF($A498="","",IFERROR(ROUND($H498*((INDEX(tblKurallar[deger_2025],MATCH("IFF-001",tblKurallar[kural_id],0))+(1-INDEX(tblKurallar[deger_2025],MATCH("IFF-001",tblKurallar[kural_id],0)))*IF($C498=0,0,$D498/$C498))-1),iff_yuvarMax),0))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IF($A499="","",IFERROR(ROUND($H499*((INDEX(tblKurallar[deger_2025],MATCH("IFF-001",tblKurallar[kural_id],0))+(1-INDEX(tblKurallar[deger_2025],MATCH("IFF-001",tblKurallar[kural_id],0)))*IF($C499=0,0,$D499/$C499))-1),iff_yuvarMax),0))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IF($A500="","",IFERROR(ROUND($H500*((INDEX(tblKurallar[deger_2025],MATCH("IFF-001",tblKurallar[kural_id],0))+(1-INDEX(tblKurallar[deger_2025],MATCH("IFF-001",tblKurallar[kural_id],0)))*IF($C500=0,0,$D500/$C500))-1),iff_yuvarMax),0))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IF($A501="","",IFERROR(ROUND($H501*((INDEX(tblKurallar[deger_2025],MATCH("IFF-001",tblKurallar[kural_id],0))+(1-INDEX(tblKurallar[deger_2025],MATCH("IFF-001",tblKurallar[kural_id],0)))*IF($C501=0,0,$D501/$C501))-1),iff_yuvarMax),0))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IF($A502="","",IFERROR(ROUND($H502*((INDEX(tblKurallar[deger_2025],MATCH("IFF-001",tblKurallar[kural_id],0))+(1-INDEX(tblKurallar[deger_2025],MATCH("IFF-001",tblKurallar[kural_id],0)))*IF($C502=0,0,$D502/$C502))-1),iff_yuvarMax),0))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IF($A503="","",IFERROR(ROUND($H503*((INDEX(tblKurallar[deger_2025],MATCH("IFF-001",tblKurallar[kural_id],0))+(1-INDEX(tblKurallar[deger_2025],MATCH("IFF-001",tblKurallar[kural_id],0)))*IF($C503=0,0,$D503/$C503))-1),iff_yuvarMax),0))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IF($A504="","",IFERROR(ROUND($H504*((INDEX(tblKurallar[deger_2025],MATCH("IFF-001",tblKurallar[kural_id],0))+(1-INDEX(tblKurallar[deger_2025],MATCH("IFF-001",tblKurallar[kural_id],0)))*IF($C504=0,0,$D504/$C504))-1),iff_yuvarMax),0))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IF($A505="","",IFERROR(ROUND($H505*((INDEX(tblKurallar[deger_2025],MATCH("IFF-001",tblKurallar[kural_id],0))+(1-INDEX(tblKurallar[deger_2025],MATCH("IFF-001",tblKurallar[kural_id],0)))*IF($C505=0,0,$D505/$C505))-1),iff_yuvarMax),0))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IF($A506="","",IFERROR(ROUND($H506*((INDEX(tblKurallar[deger_2025],MATCH("IFF-001",tblKurallar[kural_id],0))+(1-INDEX(tblKurallar[deger_2025],MATCH("IFF-001",tblKurallar[kural_id],0)))*IF($C506=0,0,$D506/$C506))-1),iff_yuvarMax),0))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IF($A507="","",IFERROR(ROUND($H507*((INDEX(tblKurallar[deger_2025],MATCH("IFF-001",tblKurallar[kural_id],0))+(1-INDEX(tblKurallar[deger_2025],MATCH("IFF-001",tblKurallar[kural_id],0)))*IF($C507=0,0,$D507/$C507))-1),iff_yuvarMax),0))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IF($A508="","",IFERROR(ROUND($H508*((INDEX(tblKurallar[deger_2025],MATCH("IFF-001",tblKurallar[kural_id],0))+(1-INDEX(tblKurallar[deger_2025],MATCH("IFF-001",tblKurallar[kural_id],0)))*IF($C508=0,0,$D508/$C508))-1),iff_yuvarMax),0))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IF($A509="","",IFERROR(ROUND($H509*((INDEX(tblKurallar[deger_2025],MATCH("IFF-001",tblKurallar[kural_id],0))+(1-INDEX(tblKurallar[deger_2025],MATCH("IFF-001",tblKurallar[kural_id],0)))*IF($C509=0,0,$D509/$C509))-1),iff_yuvarMax),0))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IF($A510="","",IFERROR(ROUND($H510*((INDEX(tblKurallar[deger_2025],MATCH("IFF-001",tblKurallar[kural_id],0))+(1-INDEX(tblKurallar[deger_2025],MATCH("IFF-001",tblKurallar[kural_id],0)))*IF($C510=0,0,$D510/$C510))-1),iff_yuvarMax),0))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IF($A511="","",IFERROR(ROUND($H511*((INDEX(tblKurallar[deger_2025],MATCH("IFF-001",tblKurallar[kural_id],0))+(1-INDEX(tblKurallar[deger_2025],MATCH("IFF-001",tblKurallar[kural_id],0)))*IF($C511=0,0,$D511/$C511))-1),iff_yuvarMax),0))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IF($A512="","",IFERROR(ROUND($H512*((INDEX(tblKurallar[deger_2025],MATCH("IFF-001",tblKurallar[kural_id],0))+(1-INDEX(tblKurallar[deger_2025],MATCH("IFF-001",tblKurallar[kural_id],0)))*IF($C512=0,0,$D512/$C512))-1),iff_yuvarMax),0))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IF($A513="","",IFERROR(ROUND($H513*((INDEX(tblKurallar[deger_2025],MATCH("IFF-001",tblKurallar[kural_id],0))+(1-INDEX(tblKurallar[deger_2025],MATCH("IFF-001",tblKurallar[kural_id],0)))*IF($C513=0,0,$D513/$C513))-1),iff_yuvarMax),0))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IF($A514="","",IFERROR(ROUND($H514*((INDEX(tblKurallar[deger_2025],MATCH("IFF-001",tblKurallar[kural_id],0))+(1-INDEX(tblKurallar[deger_2025],MATCH("IFF-001",tblKurallar[kural_id],0)))*IF($C514=0,0,$D514/$C514))-1),iff_yuvarMax),0))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IF($A515="","",IFERROR(ROUND($H515*((INDEX(tblKurallar[deger_2025],MATCH("IFF-001",tblKurallar[kural_id],0))+(1-INDEX(tblKurallar[deger_2025],MATCH("IFF-001",tblKurallar[kural_id],0)))*IF($C515=0,0,$D515/$C515))-1),iff_yuvarMax),0))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IF($A516="","",IFERROR(ROUND($H516*((INDEX(tblKurallar[deger_2025],MATCH("IFF-001",tblKurallar[kural_id],0))+(1-INDEX(tblKurallar[deger_2025],MATCH("IFF-001",tblKurallar[kural_id],0)))*IF($C516=0,0,$D516/$C516))-1),iff_yuvarMax),0))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IF($A517="","",IFERROR(ROUND($H517*((INDEX(tblKurallar[deger_2025],MATCH("IFF-001",tblKurallar[kural_id],0))+(1-INDEX(tblKurallar[deger_2025],MATCH("IFF-001",tblKurallar[kural_id],0)))*IF($C517=0,0,$D517/$C517))-1),iff_yuvarMax),0))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IF($A518="","",IFERROR(ROUND($H518*((INDEX(tblKurallar[deger_2025],MATCH("IFF-001",tblKurallar[kural_id],0))+(1-INDEX(tblKurallar[deger_2025],MATCH("IFF-001",tblKurallar[kural_id],0)))*IF($C518=0,0,$D518/$C518))-1),iff_yuvarMax),0))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IF($A519="","",IFERROR(ROUND($H519*((INDEX(tblKurallar[deger_2025],MATCH("IFF-001",tblKurallar[kural_id],0))+(1-INDEX(tblKurallar[deger_2025],MATCH("IFF-001",tblKurallar[kural_id],0)))*IF($C519=0,0,$D519/$C519))-1),iff_yuvarMax),0))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IF($A520="","",IFERROR(ROUND($H520*((INDEX(tblKurallar[deger_2025],MATCH("IFF-001",tblKurallar[kural_id],0))+(1-INDEX(tblKurallar[deger_2025],MATCH("IFF-001",tblKurallar[kural_id],0)))*IF($C520=0,0,$D520/$C520))-1),iff_yuvarMax),0))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IF($A521="","",IFERROR(ROUND($H521*((INDEX(tblKurallar[deger_2025],MATCH("IFF-001",tblKurallar[kural_id],0))+(1-INDEX(tblKurallar[deger_2025],MATCH("IFF-001",tblKurallar[kural_id],0)))*IF($C521=0,0,$D521/$C521))-1),iff_yuvarMax),0))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IF($A522="","",IFERROR(ROUND($H522*((INDEX(tblKurallar[deger_2025],MATCH("IFF-001",tblKurallar[kural_id],0))+(1-INDEX(tblKurallar[deger_2025],MATCH("IFF-001",tblKurallar[kural_id],0)))*IF($C522=0,0,$D522/$C522))-1),iff_yuvarMax),0))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IF($A523="","",IFERROR(ROUND($H523*((INDEX(tblKurallar[deger_2025],MATCH("IFF-001",tblKurallar[kural_id],0))+(1-INDEX(tblKurallar[deger_2025],MATCH("IFF-001",tblKurallar[kural_id],0)))*IF($C523=0,0,$D523/$C523))-1),iff_yuvarMax),0))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IF($A524="","",IFERROR(ROUND($H524*((INDEX(tblKurallar[deger_2025],MATCH("IFF-001",tblKurallar[kural_id],0))+(1-INDEX(tblKurallar[deger_2025],MATCH("IFF-001",tblKurallar[kural_id],0)))*IF($C524=0,0,$D524/$C524))-1),iff_yuvarMax),0))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IF($A525="","",IFERROR(ROUND($H525*((INDEX(tblKurallar[deger_2025],MATCH("IFF-001",tblKurallar[kural_id],0))+(1-INDEX(tblKurallar[deger_2025],MATCH("IFF-001",tblKurallar[kural_id],0)))*IF($C525=0,0,$D525/$C525))-1),iff_yuvarMax),0))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IF($A526="","",IFERROR(ROUND($H526*((INDEX(tblKurallar[deger_2025],MATCH("IFF-001",tblKurallar[kural_id],0))+(1-INDEX(tblKurallar[deger_2025],MATCH("IFF-001",tblKurallar[kural_id],0)))*IF($C526=0,0,$D526/$C526))-1),iff_yuvarMax),0))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IF($A527="","",IFERROR(ROUND($H527*((INDEX(tblKurallar[deger_2025],MATCH("IFF-001",tblKurallar[kural_id],0))+(1-INDEX(tblKurallar[deger_2025],MATCH("IFF-001",tblKurallar[kural_id],0)))*IF($C527=0,0,$D527/$C527))-1),iff_yuvarMax),0))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IF($A528="","",IFERROR(ROUND($H528*((INDEX(tblKurallar[deger_2025],MATCH("IFF-001",tblKurallar[kural_id],0))+(1-INDEX(tblKurallar[deger_2025],MATCH("IFF-001",tblKurallar[kural_id],0)))*IF($C528=0,0,$D528/$C528))-1),iff_yuvarMax),0))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IF($A529="","",IFERROR(ROUND($H529*((INDEX(tblKurallar[deger_2025],MATCH("IFF-001",tblKurallar[kural_id],0))+(1-INDEX(tblKurallar[deger_2025],MATCH("IFF-001",tblKurallar[kural_id],0)))*IF($C529=0,0,$D529/$C529))-1),iff_yuvarMax),0))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IF($A530="","",IFERROR(ROUND($H530*((INDEX(tblKurallar[deger_2025],MATCH("IFF-001",tblKurallar[kural_id],0))+(1-INDEX(tblKurallar[deger_2025],MATCH("IFF-001",tblKurallar[kural_id],0)))*IF($C530=0,0,$D530/$C530))-1),iff_yuvarMax),0))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IF($A531="","",IFERROR(ROUND($H531*((INDEX(tblKurallar[deger_2025],MATCH("IFF-001",tblKurallar[kural_id],0))+(1-INDEX(tblKurallar[deger_2025],MATCH("IFF-001",tblKurallar[kural_id],0)))*IF($C531=0,0,$D531/$C531))-1),iff_yuvarMax),0))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IF($A532="","",IFERROR(ROUND($H532*((INDEX(tblKurallar[deger_2025],MATCH("IFF-001",tblKurallar[kural_id],0))+(1-INDEX(tblKurallar[deger_2025],MATCH("IFF-001",tblKurallar[kural_id],0)))*IF($C532=0,0,$D532/$C532))-1),iff_yuvarMax),0))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IF($A533="","",IFERROR(ROUND($H533*((INDEX(tblKurallar[deger_2025],MATCH("IFF-001",tblKurallar[kural_id],0))+(1-INDEX(tblKurallar[deger_2025],MATCH("IFF-001",tblKurallar[kural_id],0)))*IF($C533=0,0,$D533/$C533))-1),iff_yuvarMax),0))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IF($A534="","",IFERROR(ROUND($H534*((INDEX(tblKurallar[deger_2025],MATCH("IFF-001",tblKurallar[kural_id],0))+(1-INDEX(tblKurallar[deger_2025],MATCH("IFF-001",tblKurallar[kural_id],0)))*IF($C534=0,0,$D534/$C534))-1),iff_yuvarMax),0))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IF($A535="","",IFERROR(ROUND($H535*((INDEX(tblKurallar[deger_2025],MATCH("IFF-001",tblKurallar[kural_id],0))+(1-INDEX(tblKurallar[deger_2025],MATCH("IFF-001",tblKurallar[kural_id],0)))*IF($C535=0,0,$D535/$C535))-1),iff_yuvarMax),0))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IF($A536="","",IFERROR(ROUND($H536*((INDEX(tblKurallar[deger_2025],MATCH("IFF-001",tblKurallar[kural_id],0))+(1-INDEX(tblKurallar[deger_2025],MATCH("IFF-001",tblKurallar[kural_id],0)))*IF($C536=0,0,$D536/$C536))-1),iff_yuvarMax),0))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IF($A537="","",IFERROR(ROUND($H537*((INDEX(tblKurallar[deger_2025],MATCH("IFF-001",tblKurallar[kural_id],0))+(1-INDEX(tblKurallar[deger_2025],MATCH("IFF-001",tblKurallar[kural_id],0)))*IF($C537=0,0,$D537/$C537))-1),iff_yuvarMax),0))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IF($A538="","",IFERROR(ROUND($H538*((INDEX(tblKurallar[deger_2025],MATCH("IFF-001",tblKurallar[kural_id],0))+(1-INDEX(tblKurallar[deger_2025],MATCH("IFF-001",tblKurallar[kural_id],0)))*IF($C538=0,0,$D538/$C538))-1),iff_yuvarMax),0))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IF($A539="","",IFERROR(ROUND($H539*((INDEX(tblKurallar[deger_2025],MATCH("IFF-001",tblKurallar[kural_id],0))+(1-INDEX(tblKurallar[deger_2025],MATCH("IFF-001",tblKurallar[kural_id],0)))*IF($C539=0,0,$D539/$C539))-1),iff_yuvarMax),0))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IF($A540="","",IFERROR(ROUND($H540*((INDEX(tblKurallar[deger_2025],MATCH("IFF-001",tblKurallar[kural_id],0))+(1-INDEX(tblKurallar[deger_2025],MATCH("IFF-001",tblKurallar[kural_id],0)))*IF($C540=0,0,$D540/$C540))-1),iff_yuvarMax),0))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IF($A541="","",IFERROR(ROUND($H541*((INDEX(tblKurallar[deger_2025],MATCH("IFF-001",tblKurallar[kural_id],0))+(1-INDEX(tblKurallar[deger_2025],MATCH("IFF-001",tblKurallar[kural_id],0)))*IF($C541=0,0,$D541/$C541))-1),iff_yuvarMax),0))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IF($A542="","",IFERROR(ROUND($H542*((INDEX(tblKurallar[deger_2025],MATCH("IFF-001",tblKurallar[kural_id],0))+(1-INDEX(tblKurallar[deger_2025],MATCH("IFF-001",tblKurallar[kural_id],0)))*IF($C542=0,0,$D542/$C542))-1),iff_yuvarMax),0))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IF($A543="","",IFERROR(ROUND($H543*((INDEX(tblKurallar[deger_2025],MATCH("IFF-001",tblKurallar[kural_id],0))+(1-INDEX(tblKurallar[deger_2025],MATCH("IFF-001",tblKurallar[kural_id],0)))*IF($C543=0,0,$D543/$C543))-1),iff_yuvarMax),0))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IF($A544="","",IFERROR(ROUND($H544*((INDEX(tblKurallar[deger_2025],MATCH("IFF-001",tblKurallar[kural_id],0))+(1-INDEX(tblKurallar[deger_2025],MATCH("IFF-001",tblKurallar[kural_id],0)))*IF($C544=0,0,$D544/$C544))-1),iff_yuvarMax),0))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IF($A545="","",IFERROR(ROUND($H545*((INDEX(tblKurallar[deger_2025],MATCH("IFF-001",tblKurallar[kural_id],0))+(1-INDEX(tblKurallar[deger_2025],MATCH("IFF-001",tblKurallar[kural_id],0)))*IF($C545=0,0,$D545/$C545))-1),iff_yuvarMax),0))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IF($A546="","",IFERROR(ROUND($H546*((INDEX(tblKurallar[deger_2025],MATCH("IFF-001",tblKurallar[kural_id],0))+(1-INDEX(tblKurallar[deger_2025],MATCH("IFF-001",tblKurallar[kural_id],0)))*IF($C546=0,0,$D546/$C546))-1),iff_yuvarMax),0))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IF($A547="","",IFERROR(ROUND($H547*((INDEX(tblKurallar[deger_2025],MATCH("IFF-001",tblKurallar[kural_id],0))+(1-INDEX(tblKurallar[deger_2025],MATCH("IFF-001",tblKurallar[kural_id],0)))*IF($C547=0,0,$D547/$C547))-1),iff_yuvarMax),0))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IF($A548="","",IFERROR(ROUND($H548*((INDEX(tblKurallar[deger_2025],MATCH("IFF-001",tblKurallar[kural_id],0))+(1-INDEX(tblKurallar[deger_2025],MATCH("IFF-001",tblKurallar[kural_id],0)))*IF($C548=0,0,$D548/$C548))-1),iff_yuvarMax),0))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IF($A549="","",IFERROR(ROUND($H549*((INDEX(tblKurallar[deger_2025],MATCH("IFF-001",tblKurallar[kural_id],0))+(1-INDEX(tblKurallar[deger_2025],MATCH("IFF-001",tblKurallar[kural_id],0)))*IF($C549=0,0,$D549/$C549))-1),iff_yuvarMax),0))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IF($A550="","",IFERROR(ROUND($H550*((INDEX(tblKurallar[deger_2025],MATCH("IFF-001",tblKurallar[kural_id],0))+(1-INDEX(tblKurallar[deger_2025],MATCH("IFF-001",tblKurallar[kural_id],0)))*IF($C550=0,0,$D550/$C550))-1),iff_yuvarMax),0))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IF($A551="","",IFERROR(ROUND($H551*((INDEX(tblKurallar[deger_2025],MATCH("IFF-001",tblKurallar[kural_id],0))+(1-INDEX(tblKurallar[deger_2025],MATCH("IFF-001",tblKurallar[kural_id],0)))*IF($C551=0,0,$D551/$C551))-1),iff_yuvarMax),0))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IF($A552="","",IFERROR(ROUND($H552*((INDEX(tblKurallar[deger_2025],MATCH("IFF-001",tblKurallar[kural_id],0))+(1-INDEX(tblKurallar[deger_2025],MATCH("IFF-001",tblKurallar[kural_id],0)))*IF($C552=0,0,$D552/$C552))-1),iff_yuvarMax),0))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IF($A553="","",IFERROR(ROUND($H553*((INDEX(tblKurallar[deger_2025],MATCH("IFF-001",tblKurallar[kural_id],0))+(1-INDEX(tblKurallar[deger_2025],MATCH("IFF-001",tblKurallar[kural_id],0)))*IF($C553=0,0,$D553/$C553))-1),iff_yuvarMax),0))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IF($A554="","",IFERROR(ROUND($H554*((INDEX(tblKurallar[deger_2025],MATCH("IFF-001",tblKurallar[kural_id],0))+(1-INDEX(tblKurallar[deger_2025],MATCH("IFF-001",tblKurallar[kural_id],0)))*IF($C554=0,0,$D554/$C554))-1),iff_yuvarMax),0))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IF($A555="","",IFERROR(ROUND($H555*((INDEX(tblKurallar[deger_2025],MATCH("IFF-001",tblKurallar[kural_id],0))+(1-INDEX(tblKurallar[deger_2025],MATCH("IFF-001",tblKurallar[kural_id],0)))*IF($C555=0,0,$D555/$C555))-1),iff_yuvarMax),0))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IF($A556="","",IFERROR(ROUND($H556*((INDEX(tblKurallar[deger_2025],MATCH("IFF-001",tblKurallar[kural_id],0))+(1-INDEX(tblKurallar[deger_2025],MATCH("IFF-001",tblKurallar[kural_id],0)))*IF($C556=0,0,$D556/$C556))-1),iff_yuvarMax),0))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IF($A557="","",IFERROR(ROUND($H557*((INDEX(tblKurallar[deger_2025],MATCH("IFF-001",tblKurallar[kural_id],0))+(1-INDEX(tblKurallar[deger_2025],MATCH("IFF-001",tblKurallar[kural_id],0)))*IF($C557=0,0,$D557/$C557))-1),iff_yuvarMax),0))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IF($A558="","",IFERROR(ROUND($H558*((INDEX(tblKurallar[deger_2025],MATCH("IFF-001",tblKurallar[kural_id],0))+(1-INDEX(tblKurallar[deger_2025],MATCH("IFF-001",tblKurallar[kural_id],0)))*IF($C558=0,0,$D558/$C558))-1),iff_yuvarMax),0))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IF($A559="","",IFERROR(ROUND($H559*((INDEX(tblKurallar[deger_2025],MATCH("IFF-001",tblKurallar[kural_id],0))+(1-INDEX(tblKurallar[deger_2025],MATCH("IFF-001",tblKurallar[kural_id],0)))*IF($C559=0,0,$D559/$C559))-1),iff_yuvarMax),0))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IF($A560="","",IFERROR(ROUND($H560*((INDEX(tblKurallar[deger_2025],MATCH("IFF-001",tblKurallar[kural_id],0))+(1-INDEX(tblKurallar[deger_2025],MATCH("IFF-001",tblKurallar[kural_id],0)))*IF($C560=0,0,$D560/$C560))-1),iff_yuvarMax),0))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IF($A561="","",IFERROR(ROUND($H561*((INDEX(tblKurallar[deger_2025],MATCH("IFF-001",tblKurallar[kural_id],0))+(1-INDEX(tblKurallar[deger_2025],MATCH("IFF-001",tblKurallar[kural_id],0)))*IF($C561=0,0,$D561/$C561))-1),iff_yuvarMax),0))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IF($A562="","",IFERROR(ROUND($H562*((INDEX(tblKurallar[deger_2025],MATCH("IFF-001",tblKurallar[kural_id],0))+(1-INDEX(tblKurallar[deger_2025],MATCH("IFF-001",tblKurallar[kural_id],0)))*IF($C562=0,0,$D562/$C562))-1),iff_yuvarMax),0))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IF($A563="","",IFERROR(ROUND($H563*((INDEX(tblKurallar[deger_2025],MATCH("IFF-001",tblKurallar[kural_id],0))+(1-INDEX(tblKurallar[deger_2025],MATCH("IFF-001",tblKurallar[kural_id],0)))*IF($C563=0,0,$D563/$C563))-1),iff_yuvarMax),0))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IF($A564="","",IFERROR(ROUND($H564*((INDEX(tblKurallar[deger_2025],MATCH("IFF-001",tblKurallar[kural_id],0))+(1-INDEX(tblKurallar[deger_2025],MATCH("IFF-001",tblKurallar[kural_id],0)))*IF($C564=0,0,$D564/$C564))-1),iff_yuvarMax),0))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IF($A565="","",IFERROR(ROUND($H565*((INDEX(tblKurallar[deger_2025],MATCH("IFF-001",tblKurallar[kural_id],0))+(1-INDEX(tblKurallar[deger_2025],MATCH("IFF-001",tblKurallar[kural_id],0)))*IF($C565=0,0,$D565/$C565))-1),iff_yuvarMax),0))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IF($A566="","",IFERROR(ROUND($H566*((INDEX(tblKurallar[deger_2025],MATCH("IFF-001",tblKurallar[kural_id],0))+(1-INDEX(tblKurallar[deger_2025],MATCH("IFF-001",tblKurallar[kural_id],0)))*IF($C566=0,0,$D566/$C566))-1),iff_yuvarMax),0))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IF($A567="","",IFERROR(ROUND($H567*((INDEX(tblKurallar[deger_2025],MATCH("IFF-001",tblKurallar[kural_id],0))+(1-INDEX(tblKurallar[deger_2025],MATCH("IFF-001",tblKurallar[kural_id],0)))*IF($C567=0,0,$D567/$C567))-1),iff_yuvarMax),0))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IF($A568="","",IFERROR(ROUND($H568*((INDEX(tblKurallar[deger_2025],MATCH("IFF-001",tblKurallar[kural_id],0))+(1-INDEX(tblKurallar[deger_2025],MATCH("IFF-001",tblKurallar[kural_id],0)))*IF($C568=0,0,$D568/$C568))-1),iff_yuvarMax),0))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IF($A569="","",IFERROR(ROUND($H569*((INDEX(tblKurallar[deger_2025],MATCH("IFF-001",tblKurallar[kural_id],0))+(1-INDEX(tblKurallar[deger_2025],MATCH("IFF-001",tblKurallar[kural_id],0)))*IF($C569=0,0,$D569/$C569))-1),iff_yuvarMax),0))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IF($A570="","",IFERROR(ROUND($H570*((INDEX(tblKurallar[deger_2025],MATCH("IFF-001",tblKurallar[kural_id],0))+(1-INDEX(tblKurallar[deger_2025],MATCH("IFF-001",tblKurallar[kural_id],0)))*IF($C570=0,0,$D570/$C570))-1),iff_yuvarMax),0))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IF($A571="","",IFERROR(ROUND($H571*((INDEX(tblKurallar[deger_2025],MATCH("IFF-001",tblKurallar[kural_id],0))+(1-INDEX(tblKurallar[deger_2025],MATCH("IFF-001",tblKurallar[kural_id],0)))*IF($C571=0,0,$D571/$C571))-1),iff_yuvarMax),0))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IF($A572="","",IFERROR(ROUND($H572*((INDEX(tblKurallar[deger_2025],MATCH("IFF-001",tblKurallar[kural_id],0))+(1-INDEX(tblKurallar[deger_2025],MATCH("IFF-001",tblKurallar[kural_id],0)))*IF($C572=0,0,$D572/$C572))-1),iff_yuvarMax),0))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IF($A573="","",IFERROR(ROUND($H573*((INDEX(tblKurallar[deger_2025],MATCH("IFF-001",tblKurallar[kural_id],0))+(1-INDEX(tblKurallar[deger_2025],MATCH("IFF-001",tblKurallar[kural_id],0)))*IF($C573=0,0,$D573/$C573))-1),iff_yuvarMax),0))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IF($A574="","",IFERROR(ROUND($H574*((INDEX(tblKurallar[deger_2025],MATCH("IFF-001",tblKurallar[kural_id],0))+(1-INDEX(tblKurallar[deger_2025],MATCH("IFF-001",tblKurallar[kural_id],0)))*IF($C574=0,0,$D574/$C574))-1),iff_yuvarMax),0))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IF($A575="","",IFERROR(ROUND($H575*((INDEX(tblKurallar[deger_2025],MATCH("IFF-001",tblKurallar[kural_id],0))+(1-INDEX(tblKurallar[deger_2025],MATCH("IFF-001",tblKurallar[kural_id],0)))*IF($C575=0,0,$D575/$C575))-1),iff_yuvarMax),0))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IF($A576="","",IFERROR(ROUND($H576*((INDEX(tblKurallar[deger_2025],MATCH("IFF-001",tblKurallar[kural_id],0))+(1-INDEX(tblKurallar[deger_2025],MATCH("IFF-001",tblKurallar[kural_id],0)))*IF($C576=0,0,$D576/$C576))-1),iff_yuvarMax),0))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IF($A577="","",IFERROR(ROUND($H577*((INDEX(tblKurallar[deger_2025],MATCH("IFF-001",tblKurallar[kural_id],0))+(1-INDEX(tblKurallar[deger_2025],MATCH("IFF-001",tblKurallar[kural_id],0)))*IF($C577=0,0,$D577/$C577))-1),iff_yuvarMax),0))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IF($A578="","",IFERROR(ROUND($H578*((INDEX(tblKurallar[deger_2025],MATCH("IFF-001",tblKurallar[kural_id],0))+(1-INDEX(tblKurallar[deger_2025],MATCH("IFF-001",tblKurallar[kural_id],0)))*IF($C578=0,0,$D578/$C578))-1),iff_yuvarMax),0))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IF($A579="","",IFERROR(ROUND($H579*((INDEX(tblKurallar[deger_2025],MATCH("IFF-001",tblKurallar[kural_id],0))+(1-INDEX(tblKurallar[deger_2025],MATCH("IFF-001",tblKurallar[kural_id],0)))*IF($C579=0,0,$D579/$C579))-1),iff_yuvarMax),0))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IF($A580="","",IFERROR(ROUND($H580*((INDEX(tblKurallar[deger_2025],MATCH("IFF-001",tblKurallar[kural_id],0))+(1-INDEX(tblKurallar[deger_2025],MATCH("IFF-001",tblKurallar[kural_id],0)))*IF($C580=0,0,$D580/$C580))-1),iff_yuvarMax),0))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IF($A581="","",IFERROR(ROUND($H581*((INDEX(tblKurallar[deger_2025],MATCH("IFF-001",tblKurallar[kural_id],0))+(1-INDEX(tblKurallar[deger_2025],MATCH("IFF-001",tblKurallar[kural_id],0)))*IF($C581=0,0,$D581/$C581))-1),iff_yuvarMax),0))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IF($A582="","",IFERROR(ROUND($H582*((INDEX(tblKurallar[deger_2025],MATCH("IFF-001",tblKurallar[kural_id],0))+(1-INDEX(tblKurallar[deger_2025],MATCH("IFF-001",tblKurallar[kural_id],0)))*IF($C582=0,0,$D582/$C582))-1),iff_yuvarMax),0))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IF($A583="","",IFERROR(ROUND($H583*((INDEX(tblKurallar[deger_2025],MATCH("IFF-001",tblKurallar[kural_id],0))+(1-INDEX(tblKurallar[deger_2025],MATCH("IFF-001",tblKurallar[kural_id],0)))*IF($C583=0,0,$D583/$C583))-1),iff_yuvarMax),0))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IF($A584="","",IFERROR(ROUND($H584*((INDEX(tblKurallar[deger_2025],MATCH("IFF-001",tblKurallar[kural_id],0))+(1-INDEX(tblKurallar[deger_2025],MATCH("IFF-001",tblKurallar[kural_id],0)))*IF($C584=0,0,$D584/$C584))-1),iff_yuvarMax),0))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IF($A585="","",IFERROR(ROUND($H585*((INDEX(tblKurallar[deger_2025],MATCH("IFF-001",tblKurallar[kural_id],0))+(1-INDEX(tblKurallar[deger_2025],MATCH("IFF-001",tblKurallar[kural_id],0)))*IF($C585=0,0,$D585/$C585))-1),iff_yuvarMax),0))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IF($A586="","",IFERROR(ROUND($H586*((INDEX(tblKurallar[deger_2025],MATCH("IFF-001",tblKurallar[kural_id],0))+(1-INDEX(tblKurallar[deger_2025],MATCH("IFF-001",tblKurallar[kural_id],0)))*IF($C586=0,0,$D586/$C586))-1),iff_yuvarMax),0))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IF($A587="","",IFERROR(ROUND($H587*((INDEX(tblKurallar[deger_2025],MATCH("IFF-001",tblKurallar[kural_id],0))+(1-INDEX(tblKurallar[deger_2025],MATCH("IFF-001",tblKurallar[kural_id],0)))*IF($C587=0,0,$D587/$C587))-1),iff_yuvarMax),0))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IF($A588="","",IFERROR(ROUND($H588*((INDEX(tblKurallar[deger_2025],MATCH("IFF-001",tblKurallar[kural_id],0))+(1-INDEX(tblKurallar[deger_2025],MATCH("IFF-001",tblKurallar[kural_id],0)))*IF($C588=0,0,$D588/$C588))-1),iff_yuvarMax),0))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IF($A589="","",IFERROR(ROUND($H589*((INDEX(tblKurallar[deger_2025],MATCH("IFF-001",tblKurallar[kural_id],0))+(1-INDEX(tblKurallar[deger_2025],MATCH("IFF-001",tblKurallar[kural_id],0)))*IF($C589=0,0,$D589/$C589))-1),iff_yuvarMax),0))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IF($A590="","",IFERROR(ROUND($H590*((INDEX(tblKurallar[deger_2025],MATCH("IFF-001",tblKurallar[kural_id],0))+(1-INDEX(tblKurallar[deger_2025],MATCH("IFF-001",tblKurallar[kural_id],0)))*IF($C590=0,0,$D590/$C590))-1),iff_yuvarMax),0))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IF($A591="","",IFERROR(ROUND($H591*((INDEX(tblKurallar[deger_2025],MATCH("IFF-001",tblKurallar[kural_id],0))+(1-INDEX(tblKurallar[deger_2025],MATCH("IFF-001",tblKurallar[kural_id],0)))*IF($C591=0,0,$D591/$C591))-1),iff_yuvarMax),0))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IF($A592="","",IFERROR(ROUND($H592*((INDEX(tblKurallar[deger_2025],MATCH("IFF-001",tblKurallar[kural_id],0))+(1-INDEX(tblKurallar[deger_2025],MATCH("IFF-001",tblKurallar[kural_id],0)))*IF($C592=0,0,$D592/$C592))-1),iff_yuvarMax),0))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IF($A593="","",IFERROR(ROUND($H593*((INDEX(tblKurallar[deger_2025],MATCH("IFF-001",tblKurallar[kural_id],0))+(1-INDEX(tblKurallar[deger_2025],MATCH("IFF-001",tblKurallar[kural_id],0)))*IF($C593=0,0,$D593/$C593))-1),iff_yuvarMax),0))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IF($A594="","",IFERROR(ROUND($H594*((INDEX(tblKurallar[deger_2025],MATCH("IFF-001",tblKurallar[kural_id],0))+(1-INDEX(tblKurallar[deger_2025],MATCH("IFF-001",tblKurallar[kural_id],0)))*IF($C594=0,0,$D594/$C594))-1),iff_yuvarMax),0))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IF($A595="","",IFERROR(ROUND($H595*((INDEX(tblKurallar[deger_2025],MATCH("IFF-001",tblKurallar[kural_id],0))+(1-INDEX(tblKurallar[deger_2025],MATCH("IFF-001",tblKurallar[kural_id],0)))*IF($C595=0,0,$D595/$C595))-1),iff_yuvarMax),0))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IF($A596="","",IFERROR(ROUND($H596*((INDEX(tblKurallar[deger_2025],MATCH("IFF-001",tblKurallar[kural_id],0))+(1-INDEX(tblKurallar[deger_2025],MATCH("IFF-001",tblKurallar[kural_id],0)))*IF($C596=0,0,$D596/$C596))-1),iff_yuvarMax),0))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IF($A597="","",IFERROR(ROUND($H597*((INDEX(tblKurallar[deger_2025],MATCH("IFF-001",tblKurallar[kural_id],0))+(1-INDEX(tblKurallar[deger_2025],MATCH("IFF-001",tblKurallar[kural_id],0)))*IF($C597=0,0,$D597/$C597))-1),iff_yuvarMax),0))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IF($A598="","",IFERROR(ROUND($H598*((INDEX(tblKurallar[deger_2025],MATCH("IFF-001",tblKurallar[kural_id],0))+(1-INDEX(tblKurallar[deger_2025],MATCH("IFF-001",tblKurallar[kural_id],0)))*IF($C598=0,0,$D598/$C598))-1),iff_yuvarMax),0))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IF($A599="","",IFERROR(ROUND($H599*((INDEX(tblKurallar[deger_2025],MATCH("IFF-001",tblKurallar[kural_id],0))+(1-INDEX(tblKurallar[deger_2025],MATCH("IFF-001",tblKurallar[kural_id],0)))*IF($C599=0,0,$D599/$C599))-1),iff_yuvarMax),0))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IF($A600="","",IFERROR(ROUND($H600*((INDEX(tblKurallar[deger_2025],MATCH("IFF-001",tblKurallar[kural_id],0))+(1-INDEX(tblKurallar[deger_2025],MATCH("IFF-001",tblKurallar[kural_id],0)))*IF($C600=0,0,$D600/$C600))-1),iff_yuvarMax),0))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IF($A601="","",IFERROR(ROUND($H601*((INDEX(tblKurallar[deger_2025],MATCH("IFF-001",tblKurallar[kural_id],0))+(1-INDEX(tblKurallar[deger_2025],MATCH("IFF-001",tblKurallar[kural_id],0)))*IF($C601=0,0,$D601/$C601))-1),iff_yuvarMax),0))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IF($A602="","",IFERROR(ROUND($H602*((INDEX(tblKurallar[deger_2025],MATCH("IFF-001",tblKurallar[kural_id],0))+(1-INDEX(tblKurallar[deger_2025],MATCH("IFF-001",tblKurallar[kural_id],0)))*IF($C602=0,0,$D602/$C602))-1),iff_yuvarMax),0))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IF($A603="","",IFERROR(ROUND($H603*((INDEX(tblKurallar[deger_2025],MATCH("IFF-001",tblKurallar[kural_id],0))+(1-INDEX(tblKurallar[deger_2025],MATCH("IFF-001",tblKurallar[kural_id],0)))*IF($C603=0,0,$D603/$C603))-1),iff_yuvarMax),0))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IF($A604="","",IFERROR(ROUND($H604*((INDEX(tblKurallar[deger_2025],MATCH("IFF-001",tblKurallar[kural_id],0))+(1-INDEX(tblKurallar[deger_2025],MATCH("IFF-001",tblKurallar[kural_id],0)))*IF($C604=0,0,$D604/$C604))-1),iff_yuvarMax),0))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IF($A605="","",IFERROR(ROUND($H605*((INDEX(tblKurallar[deger_2025],MATCH("IFF-001",tblKurallar[kural_id],0))+(1-INDEX(tblKurallar[deger_2025],MATCH("IFF-001",tblKurallar[kural_id],0)))*IF($C605=0,0,$D605/$C605))-1),iff_yuvarMax),0))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IF($A606="","",IFERROR(ROUND($H606*((INDEX(tblKurallar[deger_2025],MATCH("IFF-001",tblKurallar[kural_id],0))+(1-INDEX(tblKurallar[deger_2025],MATCH("IFF-001",tblKurallar[kural_id],0)))*IF($C606=0,0,$D606/$C606))-1),iff_yuvarMax),0))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IF($A607="","",IFERROR(ROUND($H607*((INDEX(tblKurallar[deger_2025],MATCH("IFF-001",tblKurallar[kural_id],0))+(1-INDEX(tblKurallar[deger_2025],MATCH("IFF-001",tblKurallar[kural_id],0)))*IF($C607=0,0,$D607/$C607))-1),iff_yuvarMax),0))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IF($A608="","",IFERROR(ROUND($H608*((INDEX(tblKurallar[deger_2025],MATCH("IFF-001",tblKurallar[kural_id],0))+(1-INDEX(tblKurallar[deger_2025],MATCH("IFF-001",tblKurallar[kural_id],0)))*IF($C608=0,0,$D608/$C608))-1),iff_yuvarMax),0))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IF($A609="","",IFERROR(ROUND($H609*((INDEX(tblKurallar[deger_2025],MATCH("IFF-001",tblKurallar[kural_id],0))+(1-INDEX(tblKurallar[deger_2025],MATCH("IFF-001",tblKurallar[kural_id],0)))*IF($C609=0,0,$D609/$C609))-1),iff_yuvarMax),0))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IF($A610="","",IFERROR(ROUND($H610*((INDEX(tblKurallar[deger_2025],MATCH("IFF-001",tblKurallar[kural_id],0))+(1-INDEX(tblKurallar[deger_2025],MATCH("IFF-001",tblKurallar[kural_id],0)))*IF($C610=0,0,$D610/$C610))-1),iff_yuvarMax),0))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IF($A611="","",IFERROR(ROUND($H611*((INDEX(tblKurallar[deger_2025],MATCH("IFF-001",tblKurallar[kural_id],0))+(1-INDEX(tblKurallar[deger_2025],MATCH("IFF-001",tblKurallar[kural_id],0)))*IF($C611=0,0,$D611/$C611))-1),iff_yuvarMax),0))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IF($A612="","",IFERROR(ROUND($H612*((INDEX(tblKurallar[deger_2025],MATCH("IFF-001",tblKurallar[kural_id],0))+(1-INDEX(tblKurallar[deger_2025],MATCH("IFF-001",tblKurallar[kural_id],0)))*IF($C612=0,0,$D612/$C612))-1),iff_yuvarMax),0))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IF($A613="","",IFERROR(ROUND($H613*((INDEX(tblKurallar[deger_2025],MATCH("IFF-001",tblKurallar[kural_id],0))+(1-INDEX(tblKurallar[deger_2025],MATCH("IFF-001",tblKurallar[kural_id],0)))*IF($C613=0,0,$D613/$C613))-1),iff_yuvarMax),0))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IF($A614="","",IFERROR(ROUND($H614*((INDEX(tblKurallar[deger_2025],MATCH("IFF-001",tblKurallar[kural_id],0))+(1-INDEX(tblKurallar[deger_2025],MATCH("IFF-001",tblKurallar[kural_id],0)))*IF($C614=0,0,$D614/$C614))-1),iff_yuvarMax),0))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IF($A615="","",IFERROR(ROUND($H615*((INDEX(tblKurallar[deger_2025],MATCH("IFF-001",tblKurallar[kural_id],0))+(1-INDEX(tblKurallar[deger_2025],MATCH("IFF-001",tblKurallar[kural_id],0)))*IF($C615=0,0,$D615/$C615))-1),iff_yuvarMax),0))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IF($A616="","",IFERROR(ROUND($H616*((INDEX(tblKurallar[deger_2025],MATCH("IFF-001",tblKurallar[kural_id],0))+(1-INDEX(tblKurallar[deger_2025],MATCH("IFF-001",tblKurallar[kural_id],0)))*IF($C616=0,0,$D616/$C616))-1),iff_yuvarMax),0))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IF($A617="","",IFERROR(ROUND($H617*((INDEX(tblKurallar[deger_2025],MATCH("IFF-001",tblKurallar[kural_id],0))+(1-INDEX(tblKurallar[deger_2025],MATCH("IFF-001",tblKurallar[kural_id],0)))*IF($C617=0,0,$D617/$C617))-1),iff_yuvarMax),0))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IF($A618="","",IFERROR(ROUND($H618*((INDEX(tblKurallar[deger_2025],MATCH("IFF-001",tblKurallar[kural_id],0))+(1-INDEX(tblKurallar[deger_2025],MATCH("IFF-001",tblKurallar[kural_id],0)))*IF($C618=0,0,$D618/$C618))-1),iff_yuvarMax),0))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IF($A619="","",IFERROR(ROUND($H619*((INDEX(tblKurallar[deger_2025],MATCH("IFF-001",tblKurallar[kural_id],0))+(1-INDEX(tblKurallar[deger_2025],MATCH("IFF-001",tblKurallar[kural_id],0)))*IF($C619=0,0,$D619/$C619))-1),iff_yuvarMax),0))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IF($A620="","",IFERROR(ROUND($H620*((INDEX(tblKurallar[deger_2025],MATCH("IFF-001",tblKurallar[kural_id],0))+(1-INDEX(tblKurallar[deger_2025],MATCH("IFF-001",tblKurallar[kural_id],0)))*IF($C620=0,0,$D620/$C620))-1),iff_yuvarMax),0))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IF($A621="","",IFERROR(ROUND($H621*((INDEX(tblKurallar[deger_2025],MATCH("IFF-001",tblKurallar[kural_id],0))+(1-INDEX(tblKurallar[deger_2025],MATCH("IFF-001",tblKurallar[kural_id],0)))*IF($C621=0,0,$D621/$C621))-1),iff_yuvarMax),0))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IF($A622="","",IFERROR(ROUND($H622*((INDEX(tblKurallar[deger_2025],MATCH("IFF-001",tblKurallar[kural_id],0))+(1-INDEX(tblKurallar[deger_2025],MATCH("IFF-001",tblKurallar[kural_id],0)))*IF($C622=0,0,$D622/$C622))-1),iff_yuvarMax),0))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IF($A623="","",IFERROR(ROUND($H623*((INDEX(tblKurallar[deger_2025],MATCH("IFF-001",tblKurallar[kural_id],0))+(1-INDEX(tblKurallar[deger_2025],MATCH("IFF-001",tblKurallar[kural_id],0)))*IF($C623=0,0,$D623/$C623))-1),iff_yuvarMax),0))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IF($A624="","",IFERROR(ROUND($H624*((INDEX(tblKurallar[deger_2025],MATCH("IFF-001",tblKurallar[kural_id],0))+(1-INDEX(tblKurallar[deger_2025],MATCH("IFF-001",tblKurallar[kural_id],0)))*IF($C624=0,0,$D624/$C624))-1),iff_yuvarMax),0))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IF($A625="","",IFERROR(ROUND($H625*((INDEX(tblKurallar[deger_2025],MATCH("IFF-001",tblKurallar[kural_id],0))+(1-INDEX(tblKurallar[deger_2025],MATCH("IFF-001",tblKurallar[kural_id],0)))*IF($C625=0,0,$D625/$C625))-1),iff_yuvarMax),0))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IF($A626="","",IFERROR(ROUND($H626*((INDEX(tblKurallar[deger_2025],MATCH("IFF-001",tblKurallar[kural_id],0))+(1-INDEX(tblKurallar[deger_2025],MATCH("IFF-001",tblKurallar[kural_id],0)))*IF($C626=0,0,$D626/$C626))-1),iff_yuvarMax),0))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IF($A627="","",IFERROR(ROUND($H627*((INDEX(tblKurallar[deger_2025],MATCH("IFF-001",tblKurallar[kural_id],0))+(1-INDEX(tblKurallar[deger_2025],MATCH("IFF-001",tblKurallar[kural_id],0)))*IF($C627=0,0,$D627/$C627))-1),iff_yuvarMax),0))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IF($A628="","",IFERROR(ROUND($H628*((INDEX(tblKurallar[deger_2025],MATCH("IFF-001",tblKurallar[kural_id],0))+(1-INDEX(tblKurallar[deger_2025],MATCH("IFF-001",tblKurallar[kural_id],0)))*IF($C628=0,0,$D628/$C628))-1),iff_yuvarMax),0))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IF($A629="","",IFERROR(ROUND($H629*((INDEX(tblKurallar[deger_2025],MATCH("IFF-001",tblKurallar[kural_id],0))+(1-INDEX(tblKurallar[deger_2025],MATCH("IFF-001",tblKurallar[kural_id],0)))*IF($C629=0,0,$D629/$C629))-1),iff_yuvarMax),0))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IF($A630="","",IFERROR(ROUND($H630*((INDEX(tblKurallar[deger_2025],MATCH("IFF-001",tblKurallar[kural_id],0))+(1-INDEX(tblKurallar[deger_2025],MATCH("IFF-001",tblKurallar[kural_id],0)))*IF($C630=0,0,$D630/$C630))-1),iff_yuvarMax),0))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IF($A631="","",IFERROR(ROUND($H631*((INDEX(tblKurallar[deger_2025],MATCH("IFF-001",tblKurallar[kural_id],0))+(1-INDEX(tblKurallar[deger_2025],MATCH("IFF-001",tblKurallar[kural_id],0)))*IF($C631=0,0,$D631/$C631))-1),iff_yuvarMax),0))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IF($A632="","",IFERROR(ROUND($H632*((INDEX(tblKurallar[deger_2025],MATCH("IFF-001",tblKurallar[kural_id],0))+(1-INDEX(tblKurallar[deger_2025],MATCH("IFF-001",tblKurallar[kural_id],0)))*IF($C632=0,0,$D632/$C632))-1),iff_yuvarMax),0))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IF($A633="","",IFERROR(ROUND($H633*((INDEX(tblKurallar[deger_2025],MATCH("IFF-001",tblKurallar[kural_id],0))+(1-INDEX(tblKurallar[deger_2025],MATCH("IFF-001",tblKurallar[kural_id],0)))*IF($C633=0,0,$D633/$C633))-1),iff_yuvarMax),0))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IF($A634="","",IFERROR(ROUND($H634*((INDEX(tblKurallar[deger_2025],MATCH("IFF-001",tblKurallar[kural_id],0))+(1-INDEX(tblKurallar[deger_2025],MATCH("IFF-001",tblKurallar[kural_id],0)))*IF($C634=0,0,$D634/$C634))-1),iff_yuvarMax),0))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IF($A635="","",IFERROR(ROUND($H635*((INDEX(tblKurallar[deger_2025],MATCH("IFF-001",tblKurallar[kural_id],0))+(1-INDEX(tblKurallar[deger_2025],MATCH("IFF-001",tblKurallar[kural_id],0)))*IF($C635=0,0,$D635/$C635))-1),iff_yuvarMax),0))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IF($A636="","",IFERROR(ROUND($H636*((INDEX(tblKurallar[deger_2025],MATCH("IFF-001",tblKurallar[kural_id],0))+(1-INDEX(tblKurallar[deger_2025],MATCH("IFF-001",tblKurallar[kural_id],0)))*IF($C636=0,0,$D636/$C636))-1),iff_yuvarMax),0))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IF($A637="","",IFERROR(ROUND($H637*((INDEX(tblKurallar[deger_2025],MATCH("IFF-001",tblKurallar[kural_id],0))+(1-INDEX(tblKurallar[deger_2025],MATCH("IFF-001",tblKurallar[kural_id],0)))*IF($C637=0,0,$D637/$C637))-1),iff_yuvarMax),0))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IF($A638="","",IFERROR(ROUND($H638*((INDEX(tblKurallar[deger_2025],MATCH("IFF-001",tblKurallar[kural_id],0))+(1-INDEX(tblKurallar[deger_2025],MATCH("IFF-001",tblKurallar[kural_id],0)))*IF($C638=0,0,$D638/$C638))-1),iff_yuvarMax),0))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IF($A639="","",IFERROR(ROUND($H639*((INDEX(tblKurallar[deger_2025],MATCH("IFF-001",tblKurallar[kural_id],0))+(1-INDEX(tblKurallar[deger_2025],MATCH("IFF-001",tblKurallar[kural_id],0)))*IF($C639=0,0,$D639/$C639))-1),iff_yuvarMax),0))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IF($A640="","",IFERROR(ROUND($H640*((INDEX(tblKurallar[deger_2025],MATCH("IFF-001",tblKurallar[kural_id],0))+(1-INDEX(tblKurallar[deger_2025],MATCH("IFF-001",tblKurallar[kural_id],0)))*IF($C640=0,0,$D640/$C640))-1),iff_yuvarMax),0))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IF($A641="","",IFERROR(ROUND($H641*((INDEX(tblKurallar[deger_2025],MATCH("IFF-001",tblKurallar[kural_id],0))+(1-INDEX(tblKurallar[deger_2025],MATCH("IFF-001",tblKurallar[kural_id],0)))*IF($C641=0,0,$D641/$C641))-1),iff_yuvarMax),0))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IF($A642="","",IFERROR(ROUND($H642*((INDEX(tblKurallar[deger_2025],MATCH("IFF-001",tblKurallar[kural_id],0))+(1-INDEX(tblKurallar[deger_2025],MATCH("IFF-001",tblKurallar[kural_id],0)))*IF($C642=0,0,$D642/$C642))-1),iff_yuvarMax),0))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IF($A643="","",IFERROR(ROUND($H643*((INDEX(tblKurallar[deger_2025],MATCH("IFF-001",tblKurallar[kural_id],0))+(1-INDEX(tblKurallar[deger_2025],MATCH("IFF-001",tblKurallar[kural_id],0)))*IF($C643=0,0,$D643/$C643))-1),iff_yuvarMax),0))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IF($A644="","",IFERROR(ROUND($H644*((INDEX(tblKurallar[deger_2025],MATCH("IFF-001",tblKurallar[kural_id],0))+(1-INDEX(tblKurallar[deger_2025],MATCH("IFF-001",tblKurallar[kural_id],0)))*IF($C644=0,0,$D644/$C644))-1),iff_yuvarMax),0))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IF($A645="","",IFERROR(ROUND($H645*((INDEX(tblKurallar[deger_2025],MATCH("IFF-001",tblKurallar[kural_id],0))+(1-INDEX(tblKurallar[deger_2025],MATCH("IFF-001",tblKurallar[kural_id],0)))*IF($C645=0,0,$D645/$C645))-1),iff_yuvarMax),0))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IF($A646="","",IFERROR(ROUND($H646*((INDEX(tblKurallar[deger_2025],MATCH("IFF-001",tblKurallar[kural_id],0))+(1-INDEX(tblKurallar[deger_2025],MATCH("IFF-001",tblKurallar[kural_id],0)))*IF($C646=0,0,$D646/$C646))-1),iff_yuvarMax),0))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IF($A647="","",IFERROR(ROUND($H647*((INDEX(tblKurallar[deger_2025],MATCH("IFF-001",tblKurallar[kural_id],0))+(1-INDEX(tblKurallar[deger_2025],MATCH("IFF-001",tblKurallar[kural_id],0)))*IF($C647=0,0,$D647/$C647))-1),iff_yuvarMax),0))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IF($A648="","",IFERROR(ROUND($H648*((INDEX(tblKurallar[deger_2025],MATCH("IFF-001",tblKurallar[kural_id],0))+(1-INDEX(tblKurallar[deger_2025],MATCH("IFF-001",tblKurallar[kural_id],0)))*IF($C648=0,0,$D648/$C648))-1),iff_yuvarMax),0))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IF($A649="","",IFERROR(ROUND($H649*((INDEX(tblKurallar[deger_2025],MATCH("IFF-001",tblKurallar[kural_id],0))+(1-INDEX(tblKurallar[deger_2025],MATCH("IFF-001",tblKurallar[kural_id],0)))*IF($C649=0,0,$D649/$C649))-1),iff_yuvarMax),0))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IF($A650="","",IFERROR(ROUND($H650*((INDEX(tblKurallar[deger_2025],MATCH("IFF-001",tblKurallar[kural_id],0))+(1-INDEX(tblKurallar[deger_2025],MATCH("IFF-001",tblKurallar[kural_id],0)))*IF($C650=0,0,$D650/$C650))-1),iff_yuvarMax),0))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IF($A651="","",IFERROR(ROUND($H651*((INDEX(tblKurallar[deger_2025],MATCH("IFF-001",tblKurallar[kural_id],0))+(1-INDEX(tblKurallar[deger_2025],MATCH("IFF-001",tblKurallar[kural_id],0)))*IF($C651=0,0,$D651/$C651))-1),iff_yuvarMax),0))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IF($A652="","",IFERROR(ROUND($H652*((INDEX(tblKurallar[deger_2025],MATCH("IFF-001",tblKurallar[kural_id],0))+(1-INDEX(tblKurallar[deger_2025],MATCH("IFF-001",tblKurallar[kural_id],0)))*IF($C652=0,0,$D652/$C652))-1),iff_yuvarMax),0))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IF($A653="","",IFERROR(ROUND($H653*((INDEX(tblKurallar[deger_2025],MATCH("IFF-001",tblKurallar[kural_id],0))+(1-INDEX(tblKurallar[deger_2025],MATCH("IFF-001",tblKurallar[kural_id],0)))*IF($C653=0,0,$D653/$C653))-1),iff_yuvarMax),0))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IF($A654="","",IFERROR(ROUND($H654*((INDEX(tblKurallar[deger_2025],MATCH("IFF-001",tblKurallar[kural_id],0))+(1-INDEX(tblKurallar[deger_2025],MATCH("IFF-001",tblKurallar[kural_id],0)))*IF($C654=0,0,$D654/$C654))-1),iff_yuvarMax),0))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IF($A655="","",IFERROR(ROUND($H655*((INDEX(tblKurallar[deger_2025],MATCH("IFF-001",tblKurallar[kural_id],0))+(1-INDEX(tblKurallar[deger_2025],MATCH("IFF-001",tblKurallar[kural_id],0)))*IF($C655=0,0,$D655/$C655))-1),iff_yuvarMax),0))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IF($A656="","",IFERROR(ROUND($H656*((INDEX(tblKurallar[deger_2025],MATCH("IFF-001",tblKurallar[kural_id],0))+(1-INDEX(tblKurallar[deger_2025],MATCH("IFF-001",tblKurallar[kural_id],0)))*IF($C656=0,0,$D656/$C656))-1),iff_yuvarMax),0))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IF($A657="","",IFERROR(ROUND($H657*((INDEX(tblKurallar[deger_2025],MATCH("IFF-001",tblKurallar[kural_id],0))+(1-INDEX(tblKurallar[deger_2025],MATCH("IFF-001",tblKurallar[kural_id],0)))*IF($C657=0,0,$D657/$C657))-1),iff_yuvarMax),0))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IF($A658="","",IFERROR(ROUND($H658*((INDEX(tblKurallar[deger_2025],MATCH("IFF-001",tblKurallar[kural_id],0))+(1-INDEX(tblKurallar[deger_2025],MATCH("IFF-001",tblKurallar[kural_id],0)))*IF($C658=0,0,$D658/$C658))-1),iff_yuvarMax),0))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IF($A659="","",IFERROR(ROUND($H659*((INDEX(tblKurallar[deger_2025],MATCH("IFF-001",tblKurallar[kural_id],0))+(1-INDEX(tblKurallar[deger_2025],MATCH("IFF-001",tblKurallar[kural_id],0)))*IF($C659=0,0,$D659/$C659))-1),iff_yuvarMax),0))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IF($A660="","",IFERROR(ROUND($H660*((INDEX(tblKurallar[deger_2025],MATCH("IFF-001",tblKurallar[kural_id],0))+(1-INDEX(tblKurallar[deger_2025],MATCH("IFF-001",tblKurallar[kural_id],0)))*IF($C660=0,0,$D660/$C660))-1),iff_yuvarMax),0))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IF($A661="","",IFERROR(ROUND($H661*((INDEX(tblKurallar[deger_2025],MATCH("IFF-001",tblKurallar[kural_id],0))+(1-INDEX(tblKurallar[deger_2025],MATCH("IFF-001",tblKurallar[kural_id],0)))*IF($C661=0,0,$D661/$C661))-1),iff_yuvarMax),0))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IF($A662="","",IFERROR(ROUND($H662*((INDEX(tblKurallar[deger_2025],MATCH("IFF-001",tblKurallar[kural_id],0))+(1-INDEX(tblKurallar[deger_2025],MATCH("IFF-001",tblKurallar[kural_id],0)))*IF($C662=0,0,$D662/$C662))-1),iff_yuvarMax),0))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IF($A663="","",IFERROR(ROUND($H663*((INDEX(tblKurallar[deger_2025],MATCH("IFF-001",tblKurallar[kural_id],0))+(1-INDEX(tblKurallar[deger_2025],MATCH("IFF-001",tblKurallar[kural_id],0)))*IF($C663=0,0,$D663/$C663))-1),iff_yuvarMax),0))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IF($A664="","",IFERROR(ROUND($H664*((INDEX(tblKurallar[deger_2025],MATCH("IFF-001",tblKurallar[kural_id],0))+(1-INDEX(tblKurallar[deger_2025],MATCH("IFF-001",tblKurallar[kural_id],0)))*IF($C664=0,0,$D664/$C664))-1),iff_yuvarMax),0))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IF($A665="","",IFERROR(ROUND($H665*((INDEX(tblKurallar[deger_2025],MATCH("IFF-001",tblKurallar[kural_id],0))+(1-INDEX(tblKurallar[deger_2025],MATCH("IFF-001",tblKurallar[kural_id],0)))*IF($C665=0,0,$D665/$C665))-1),iff_yuvarMax),0))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IF($A666="","",IFERROR(ROUND($H666*((INDEX(tblKurallar[deger_2025],MATCH("IFF-001",tblKurallar[kural_id],0))+(1-INDEX(tblKurallar[deger_2025],MATCH("IFF-001",tblKurallar[kural_id],0)))*IF($C666=0,0,$D666/$C666))-1),iff_yuvarMax),0))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IF($A667="","",IFERROR(ROUND($H667*((INDEX(tblKurallar[deger_2025],MATCH("IFF-001",tblKurallar[kural_id],0))+(1-INDEX(tblKurallar[deger_2025],MATCH("IFF-001",tblKurallar[kural_id],0)))*IF($C667=0,0,$D667/$C667))-1),iff_yuvarMax),0))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IF($A668="","",IFERROR(ROUND($H668*((INDEX(tblKurallar[deger_2025],MATCH("IFF-001",tblKurallar[kural_id],0))+(1-INDEX(tblKurallar[deger_2025],MATCH("IFF-001",tblKurallar[kural_id],0)))*IF($C668=0,0,$D668/$C668))-1),iff_yuvarMax),0))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IF($A669="","",IFERROR(ROUND($H669*((INDEX(tblKurallar[deger_2025],MATCH("IFF-001",tblKurallar[kural_id],0))+(1-INDEX(tblKurallar[deger_2025],MATCH("IFF-001",tblKurallar[kural_id],0)))*IF($C669=0,0,$D669/$C669))-1),iff_yuvarMax),0))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IF($A670="","",IFERROR(ROUND($H670*((INDEX(tblKurallar[deger_2025],MATCH("IFF-001",tblKurallar[kural_id],0))+(1-INDEX(tblKurallar[deger_2025],MATCH("IFF-001",tblKurallar[kural_id],0)))*IF($C670=0,0,$D670/$C670))-1),iff_yuvarMax),0))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IF($A671="","",IFERROR(ROUND($H671*((INDEX(tblKurallar[deger_2025],MATCH("IFF-001",tblKurallar[kural_id],0))+(1-INDEX(tblKurallar[deger_2025],MATCH("IFF-001",tblKurallar[kural_id],0)))*IF($C671=0,0,$D671/$C671))-1),iff_yuvarMax),0))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IF($A672="","",IFERROR(ROUND($H672*((INDEX(tblKurallar[deger_2025],MATCH("IFF-001",tblKurallar[kural_id],0))+(1-INDEX(tblKurallar[deger_2025],MATCH("IFF-001",tblKurallar[kural_id],0)))*IF($C672=0,0,$D672/$C672))-1),iff_yuvarMax),0))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IF($A673="","",IFERROR(ROUND($H673*((INDEX(tblKurallar[deger_2025],MATCH("IFF-001",tblKurallar[kural_id],0))+(1-INDEX(tblKurallar[deger_2025],MATCH("IFF-001",tblKurallar[kural_id],0)))*IF($C673=0,0,$D673/$C673))-1),iff_yuvarMax),0))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IF($A674="","",IFERROR(ROUND($H674*((INDEX(tblKurallar[deger_2025],MATCH("IFF-001",tblKurallar[kural_id],0))+(1-INDEX(tblKurallar[deger_2025],MATCH("IFF-001",tblKurallar[kural_id],0)))*IF($C674=0,0,$D674/$C674))-1),iff_yuvarMax),0))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IF($A675="","",IFERROR(ROUND($H675*((INDEX(tblKurallar[deger_2025],MATCH("IFF-001",tblKurallar[kural_id],0))+(1-INDEX(tblKurallar[deger_2025],MATCH("IFF-001",tblKurallar[kural_id],0)))*IF($C675=0,0,$D675/$C675))-1),iff_yuvarMax),0))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IF($A676="","",IFERROR(ROUND($H676*((INDEX(tblKurallar[deger_2025],MATCH("IFF-001",tblKurallar[kural_id],0))+(1-INDEX(tblKurallar[deger_2025],MATCH("IFF-001",tblKurallar[kural_id],0)))*IF($C676=0,0,$D676/$C676))-1),iff_yuvarMax),0))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IF($A677="","",IFERROR(ROUND($H677*((INDEX(tblKurallar[deger_2025],MATCH("IFF-001",tblKurallar[kural_id],0))+(1-INDEX(tblKurallar[deger_2025],MATCH("IFF-001",tblKurallar[kural_id],0)))*IF($C677=0,0,$D677/$C677))-1),iff_yuvarMax),0))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IF($A678="","",IFERROR(ROUND($H678*((INDEX(tblKurallar[deger_2025],MATCH("IFF-001",tblKurallar[kural_id],0))+(1-INDEX(tblKurallar[deger_2025],MATCH("IFF-001",tblKurallar[kural_id],0)))*IF($C678=0,0,$D678/$C678))-1),iff_yuvarMax),0))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IF($A679="","",IFERROR(ROUND($H679*((INDEX(tblKurallar[deger_2025],MATCH("IFF-001",tblKurallar[kural_id],0))+(1-INDEX(tblKurallar[deger_2025],MATCH("IFF-001",tblKurallar[kural_id],0)))*IF($C679=0,0,$D679/$C679))-1),iff_yuvarMax),0))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IF($A680="","",IFERROR(ROUND($H680*((INDEX(tblKurallar[deger_2025],MATCH("IFF-001",tblKurallar[kural_id],0))+(1-INDEX(tblKurallar[deger_2025],MATCH("IFF-001",tblKurallar[kural_id],0)))*IF($C680=0,0,$D680/$C680))-1),iff_yuvarMax),0))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IF($A681="","",IFERROR(ROUND($H681*((INDEX(tblKurallar[deger_2025],MATCH("IFF-001",tblKurallar[kural_id],0))+(1-INDEX(tblKurallar[deger_2025],MATCH("IFF-001",tblKurallar[kural_id],0)))*IF($C681=0,0,$D681/$C681))-1),iff_yuvarMax),0))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IF($A682="","",IFERROR(ROUND($H682*((INDEX(tblKurallar[deger_2025],MATCH("IFF-001",tblKurallar[kural_id],0))+(1-INDEX(tblKurallar[deger_2025],MATCH("IFF-001",tblKurallar[kural_id],0)))*IF($C682=0,0,$D682/$C682))-1),iff_yuvarMax),0))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IF($A683="","",IFERROR(ROUND($H683*((INDEX(tblKurallar[deger_2025],MATCH("IFF-001",tblKurallar[kural_id],0))+(1-INDEX(tblKurallar[deger_2025],MATCH("IFF-001",tblKurallar[kural_id],0)))*IF($C683=0,0,$D683/$C683))-1),iff_yuvarMax),0))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IF($A684="","",IFERROR(ROUND($H684*((INDEX(tblKurallar[deger_2025],MATCH("IFF-001",tblKurallar[kural_id],0))+(1-INDEX(tblKurallar[deger_2025],MATCH("IFF-001",tblKurallar[kural_id],0)))*IF($C684=0,0,$D684/$C684))-1),iff_yuvarMax),0))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IF($A685="","",IFERROR(ROUND($H685*((INDEX(tblKurallar[deger_2025],MATCH("IFF-001",tblKurallar[kural_id],0))+(1-INDEX(tblKurallar[deger_2025],MATCH("IFF-001",tblKurallar[kural_id],0)))*IF($C685=0,0,$D685/$C685))-1),iff_yuvarMax),0))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IF($A686="","",IFERROR(ROUND($H686*((INDEX(tblKurallar[deger_2025],MATCH("IFF-001",tblKurallar[kural_id],0))+(1-INDEX(tblKurallar[deger_2025],MATCH("IFF-001",tblKurallar[kural_id],0)))*IF($C686=0,0,$D686/$C686))-1),iff_yuvarMax),0))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IF($A687="","",IFERROR(ROUND($H687*((INDEX(tblKurallar[deger_2025],MATCH("IFF-001",tblKurallar[kural_id],0))+(1-INDEX(tblKurallar[deger_2025],MATCH("IFF-001",tblKurallar[kural_id],0)))*IF($C687=0,0,$D687/$C687))-1),iff_yuvarMax),0))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IF($A688="","",IFERROR(ROUND($H688*((INDEX(tblKurallar[deger_2025],MATCH("IFF-001",tblKurallar[kural_id],0))+(1-INDEX(tblKurallar[deger_2025],MATCH("IFF-001",tblKurallar[kural_id],0)))*IF($C688=0,0,$D688/$C688))-1),iff_yuvarMax),0))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IF($A689="","",IFERROR(ROUND($H689*((INDEX(tblKurallar[deger_2025],MATCH("IFF-001",tblKurallar[kural_id],0))+(1-INDEX(tblKurallar[deger_2025],MATCH("IFF-001",tblKurallar[kural_id],0)))*IF($C689=0,0,$D689/$C689))-1),iff_yuvarMax),0))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IF($A690="","",IFERROR(ROUND($H690*((INDEX(tblKurallar[deger_2025],MATCH("IFF-001",tblKurallar[kural_id],0))+(1-INDEX(tblKurallar[deger_2025],MATCH("IFF-001",tblKurallar[kural_id],0)))*IF($C690=0,0,$D690/$C690))-1),iff_yuvarMax),0))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IF($A691="","",IFERROR(ROUND($H691*((INDEX(tblKurallar[deger_2025],MATCH("IFF-001",tblKurallar[kural_id],0))+(1-INDEX(tblKurallar[deger_2025],MATCH("IFF-001",tblKurallar[kural_id],0)))*IF($C691=0,0,$D691/$C691))-1),iff_yuvarMax),0))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IF($A692="","",IFERROR(ROUND($H692*((INDEX(tblKurallar[deger_2025],MATCH("IFF-001",tblKurallar[kural_id],0))+(1-INDEX(tblKurallar[deger_2025],MATCH("IFF-001",tblKurallar[kural_id],0)))*IF($C692=0,0,$D692/$C692))-1),iff_yuvarMax),0))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IF($A693="","",IFERROR(ROUND($H693*((INDEX(tblKurallar[deger_2025],MATCH("IFF-001",tblKurallar[kural_id],0))+(1-INDEX(tblKurallar[deger_2025],MATCH("IFF-001",tblKurallar[kural_id],0)))*IF($C693=0,0,$D693/$C693))-1),iff_yuvarMax),0))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IF($A694="","",IFERROR(ROUND($H694*((INDEX(tblKurallar[deger_2025],MATCH("IFF-001",tblKurallar[kural_id],0))+(1-INDEX(tblKurallar[deger_2025],MATCH("IFF-001",tblKurallar[kural_id],0)))*IF($C694=0,0,$D694/$C694))-1),iff_yuvarMax),0))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IF($A695="","",IFERROR(ROUND($H695*((INDEX(tblKurallar[deger_2025],MATCH("IFF-001",tblKurallar[kural_id],0))+(1-INDEX(tblKurallar[deger_2025],MATCH("IFF-001",tblKurallar[kural_id],0)))*IF($C695=0,0,$D695/$C695))-1),iff_yuvarMax),0))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IF($A696="","",IFERROR(ROUND($H696*((INDEX(tblKurallar[deger_2025],MATCH("IFF-001",tblKurallar[kural_id],0))+(1-INDEX(tblKurallar[deger_2025],MATCH("IFF-001",tblKurallar[kural_id],0)))*IF($C696=0,0,$D696/$C696))-1),iff_yuvarMax),0))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IF($A697="","",IFERROR(ROUND($H697*((INDEX(tblKurallar[deger_2025],MATCH("IFF-001",tblKurallar[kural_id],0))+(1-INDEX(tblKurallar[deger_2025],MATCH("IFF-001",tblKurallar[kural_id],0)))*IF($C697=0,0,$D697/$C697))-1),iff_yuvarMax),0))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IF($A698="","",IFERROR(ROUND($H698*((INDEX(tblKurallar[deger_2025],MATCH("IFF-001",tblKurallar[kural_id],0))+(1-INDEX(tblKurallar[deger_2025],MATCH("IFF-001",tblKurallar[kural_id],0)))*IF($C698=0,0,$D698/$C698))-1),iff_yuvarMax),0))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IF($A699="","",IFERROR(ROUND($H699*((INDEX(tblKurallar[deger_2025],MATCH("IFF-001",tblKurallar[kural_id],0))+(1-INDEX(tblKurallar[deger_2025],MATCH("IFF-001",tblKurallar[kural_id],0)))*IF($C699=0,0,$D699/$C699))-1),iff_yuvarMax),0))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IF($A700="","",IFERROR(ROUND($H700*((INDEX(tblKurallar[deger_2025],MATCH("IFF-001",tblKurallar[kural_id],0))+(1-INDEX(tblKurallar[deger_2025],MATCH("IFF-001",tblKurallar[kural_id],0)))*IF($C700=0,0,$D700/$C700))-1),iff_yuvarMax),0))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IF($A701="","",IFERROR(ROUND($H701*((INDEX(tblKurallar[deger_2025],MATCH("IFF-001",tblKurallar[kural_id],0))+(1-INDEX(tblKurallar[deger_2025],MATCH("IFF-001",tblKurallar[kural_id],0)))*IF($C701=0,0,$D701/$C701))-1),iff_yuvarMax),0))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IF($A702="","",IFERROR(ROUND($H702*((INDEX(tblKurallar[deger_2025],MATCH("IFF-001",tblKurallar[kural_id],0))+(1-INDEX(tblKurallar[deger_2025],MATCH("IFF-001",tblKurallar[kural_id],0)))*IF($C702=0,0,$D702/$C702))-1),iff_yuvarMax),0))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IF($A703="","",IFERROR(ROUND($H703*((INDEX(tblKurallar[deger_2025],MATCH("IFF-001",tblKurallar[kural_id],0))+(1-INDEX(tblKurallar[deger_2025],MATCH("IFF-001",tblKurallar[kural_id],0)))*IF($C703=0,0,$D703/$C703))-1),iff_yuvarMax),0))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IF($A704="","",IFERROR(ROUND($H704*((INDEX(tblKurallar[deger_2025],MATCH("IFF-001",tblKurallar[kural_id],0))+(1-INDEX(tblKurallar[deger_2025],MATCH("IFF-001",tblKurallar[kural_id],0)))*IF($C704=0,0,$D704/$C704))-1),iff_yuvarMax),0))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IF($A705="","",IFERROR(ROUND($H705*((INDEX(tblKurallar[deger_2025],MATCH("IFF-001",tblKurallar[kural_id],0))+(1-INDEX(tblKurallar[deger_2025],MATCH("IFF-001",tblKurallar[kural_id],0)))*IF($C705=0,0,$D705/$C705))-1),iff_yuvarMax),0))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IF($A706="","",IFERROR(ROUND($H706*((INDEX(tblKurallar[deger_2025],MATCH("IFF-001",tblKurallar[kural_id],0))+(1-INDEX(tblKurallar[deger_2025],MATCH("IFF-001",tblKurallar[kural_id],0)))*IF($C706=0,0,$D706/$C706))-1),iff_yuvarMax),0))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IF($A707="","",IFERROR(ROUND($H707*((INDEX(tblKurallar[deger_2025],MATCH("IFF-001",tblKurallar[kural_id],0))+(1-INDEX(tblKurallar[deger_2025],MATCH("IFF-001",tblKurallar[kural_id],0)))*IF($C707=0,0,$D707/$C707))-1),iff_yuvarMax),0))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IF($A708="","",IFERROR(ROUND($H708*((INDEX(tblKurallar[deger_2025],MATCH("IFF-001",tblKurallar[kural_id],0))+(1-INDEX(tblKurallar[deger_2025],MATCH("IFF-001",tblKurallar[kural_id],0)))*IF($C708=0,0,$D708/$C708))-1),iff_yuvarMax),0))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IF($A709="","",IFERROR(ROUND($H709*((INDEX(tblKurallar[deger_2025],MATCH("IFF-001",tblKurallar[kural_id],0))+(1-INDEX(tblKurallar[deger_2025],MATCH("IFF-001",tblKurallar[kural_id],0)))*IF($C709=0,0,$D709/$C709))-1),iff_yuvarMax),0))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IF($A710="","",IFERROR(ROUND($H710*((INDEX(tblKurallar[deger_2025],MATCH("IFF-001",tblKurallar[kural_id],0))+(1-INDEX(tblKurallar[deger_2025],MATCH("IFF-001",tblKurallar[kural_id],0)))*IF($C710=0,0,$D710/$C710))-1),iff_yuvarMax),0))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IF($A711="","",IFERROR(ROUND($H711*((INDEX(tblKurallar[deger_2025],MATCH("IFF-001",tblKurallar[kural_id],0))+(1-INDEX(tblKurallar[deger_2025],MATCH("IFF-001",tblKurallar[kural_id],0)))*IF($C711=0,0,$D711/$C711))-1),iff_yuvarMax),0))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IF($A712="","",IFERROR(ROUND($H712*((INDEX(tblKurallar[deger_2025],MATCH("IFF-001",tblKurallar[kural_id],0))+(1-INDEX(tblKurallar[deger_2025],MATCH("IFF-001",tblKurallar[kural_id],0)))*IF($C712=0,0,$D712/$C712))-1),iff_yuvarMax),0))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IF($A713="","",IFERROR(ROUND($H713*((INDEX(tblKurallar[deger_2025],MATCH("IFF-001",tblKurallar[kural_id],0))+(1-INDEX(tblKurallar[deger_2025],MATCH("IFF-001",tblKurallar[kural_id],0)))*IF($C713=0,0,$D713/$C713))-1),iff_yuvarMax),0))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IF($A714="","",IFERROR(ROUND($H714*((INDEX(tblKurallar[deger_2025],MATCH("IFF-001",tblKurallar[kural_id],0))+(1-INDEX(tblKurallar[deger_2025],MATCH("IFF-001",tblKurallar[kural_id],0)))*IF($C714=0,0,$D714/$C714))-1),iff_yuvarMax),0))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IF($A715="","",IFERROR(ROUND($H715*((INDEX(tblKurallar[deger_2025],MATCH("IFF-001",tblKurallar[kural_id],0))+(1-INDEX(tblKurallar[deger_2025],MATCH("IFF-001",tblKurallar[kural_id],0)))*IF($C715=0,0,$D715/$C715))-1),iff_yuvarMax),0))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IF($A716="","",IFERROR(ROUND($H716*((INDEX(tblKurallar[deger_2025],MATCH("IFF-001",tblKurallar[kural_id],0))+(1-INDEX(tblKurallar[deger_2025],MATCH("IFF-001",tblKurallar[kural_id],0)))*IF($C716=0,0,$D716/$C716))-1),iff_yuvarMax),0))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IF($A717="","",IFERROR(ROUND($H717*((INDEX(tblKurallar[deger_2025],MATCH("IFF-001",tblKurallar[kural_id],0))+(1-INDEX(tblKurallar[deger_2025],MATCH("IFF-001",tblKurallar[kural_id],0)))*IF($C717=0,0,$D717/$C717))-1),iff_yuvarMax),0))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IF($A718="","",IFERROR(ROUND($H718*((INDEX(tblKurallar[deger_2025],MATCH("IFF-001",tblKurallar[kural_id],0))+(1-INDEX(tblKurallar[deger_2025],MATCH("IFF-001",tblKurallar[kural_id],0)))*IF($C718=0,0,$D718/$C718))-1),iff_yuvarMax),0))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IF($A719="","",IFERROR(ROUND($H719*((INDEX(tblKurallar[deger_2025],MATCH("IFF-001",tblKurallar[kural_id],0))+(1-INDEX(tblKurallar[deger_2025],MATCH("IFF-001",tblKurallar[kural_id],0)))*IF($C719=0,0,$D719/$C719))-1),iff_yuvarMax),0))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IF($A720="","",IFERROR(ROUND($H720*((INDEX(tblKurallar[deger_2025],MATCH("IFF-001",tblKurallar[kural_id],0))+(1-INDEX(tblKurallar[deger_2025],MATCH("IFF-001",tblKurallar[kural_id],0)))*IF($C720=0,0,$D720/$C720))-1),iff_yuvarMax),0))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IF($A721="","",IFERROR(ROUND($H721*((INDEX(tblKurallar[deger_2025],MATCH("IFF-001",tblKurallar[kural_id],0))+(1-INDEX(tblKurallar[deger_2025],MATCH("IFF-001",tblKurallar[kural_id],0)))*IF($C721=0,0,$D721/$C721))-1),iff_yuvarMax),0))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IF($A722="","",IFERROR(ROUND($H722*((INDEX(tblKurallar[deger_2025],MATCH("IFF-001",tblKurallar[kural_id],0))+(1-INDEX(tblKurallar[deger_2025],MATCH("IFF-001",tblKurallar[kural_id],0)))*IF($C722=0,0,$D722/$C722))-1),iff_yuvarMax),0))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IF($A723="","",IFERROR(ROUND($H723*((INDEX(tblKurallar[deger_2025],MATCH("IFF-001",tblKurallar[kural_id],0))+(1-INDEX(tblKurallar[deger_2025],MATCH("IFF-001",tblKurallar[kural_id],0)))*IF($C723=0,0,$D723/$C723))-1),iff_yuvarMax),0))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IF($A724="","",IFERROR(ROUND($H724*((INDEX(tblKurallar[deger_2025],MATCH("IFF-001",tblKurallar[kural_id],0))+(1-INDEX(tblKurallar[deger_2025],MATCH("IFF-001",tblKurallar[kural_id],0)))*IF($C724=0,0,$D724/$C724))-1),iff_yuvarMax),0))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IF($A725="","",IFERROR(ROUND($H725*((INDEX(tblKurallar[deger_2025],MATCH("IFF-001",tblKurallar[kural_id],0))+(1-INDEX(tblKurallar[deger_2025],MATCH("IFF-001",tblKurallar[kural_id],0)))*IF($C725=0,0,$D725/$C725))-1),iff_yuvarMax),0))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IF($A726="","",IFERROR(ROUND($H726*((INDEX(tblKurallar[deger_2025],MATCH("IFF-001",tblKurallar[kural_id],0))+(1-INDEX(tblKurallar[deger_2025],MATCH("IFF-001",tblKurallar[kural_id],0)))*IF($C726=0,0,$D726/$C726))-1),iff_yuvarMax),0))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IF($A727="","",IFERROR(ROUND($H727*((INDEX(tblKurallar[deger_2025],MATCH("IFF-001",tblKurallar[kural_id],0))+(1-INDEX(tblKurallar[deger_2025],MATCH("IFF-001",tblKurallar[kural_id],0)))*IF($C727=0,0,$D727/$C727))-1),iff_yuvarMax),0))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IF($A728="","",IFERROR(ROUND($H728*((INDEX(tblKurallar[deger_2025],MATCH("IFF-001",tblKurallar[kural_id],0))+(1-INDEX(tblKurallar[deger_2025],MATCH("IFF-001",tblKurallar[kural_id],0)))*IF($C728=0,0,$D728/$C728))-1),iff_yuvarMax),0))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IF($A729="","",IFERROR(ROUND($H729*((INDEX(tblKurallar[deger_2025],MATCH("IFF-001",tblKurallar[kural_id],0))+(1-INDEX(tblKurallar[deger_2025],MATCH("IFF-001",tblKurallar[kural_id],0)))*IF($C729=0,0,$D729/$C729))-1),iff_yuvarMax),0))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IF($A730="","",IFERROR(ROUND($H730*((INDEX(tblKurallar[deger_2025],MATCH("IFF-001",tblKurallar[kural_id],0))+(1-INDEX(tblKurallar[deger_2025],MATCH("IFF-001",tblKurallar[kural_id],0)))*IF($C730=0,0,$D730/$C730))-1),iff_yuvarMax),0))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IF($A731="","",IFERROR(ROUND($H731*((INDEX(tblKurallar[deger_2025],MATCH("IFF-001",tblKurallar[kural_id],0))+(1-INDEX(tblKurallar[deger_2025],MATCH("IFF-001",tblKurallar[kural_id],0)))*IF($C731=0,0,$D731/$C731))-1),iff_yuvarMax),0))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IF($A732="","",IFERROR(ROUND($H732*((INDEX(tblKurallar[deger_2025],MATCH("IFF-001",tblKurallar[kural_id],0))+(1-INDEX(tblKurallar[deger_2025],MATCH("IFF-001",tblKurallar[kural_id],0)))*IF($C732=0,0,$D732/$C732))-1),iff_yuvarMax),0))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IF($A733="","",IFERROR(ROUND($H733*((INDEX(tblKurallar[deger_2025],MATCH("IFF-001",tblKurallar[kural_id],0))+(1-INDEX(tblKurallar[deger_2025],MATCH("IFF-001",tblKurallar[kural_id],0)))*IF($C733=0,0,$D733/$C733))-1),iff_yuvarMax),0))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IF($A734="","",IFERROR(ROUND($H734*((INDEX(tblKurallar[deger_2025],MATCH("IFF-001",tblKurallar[kural_id],0))+(1-INDEX(tblKurallar[deger_2025],MATCH("IFF-001",tblKurallar[kural_id],0)))*IF($C734=0,0,$D734/$C734))-1),iff_yuvarMax),0))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IF($A735="","",IFERROR(ROUND($H735*((INDEX(tblKurallar[deger_2025],MATCH("IFF-001",tblKurallar[kural_id],0))+(1-INDEX(tblKurallar[deger_2025],MATCH("IFF-001",tblKurallar[kural_id],0)))*IF($C735=0,0,$D735/$C735))-1),iff_yuvarMax),0))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IF($A736="","",IFERROR(ROUND($H736*((INDEX(tblKurallar[deger_2025],MATCH("IFF-001",tblKurallar[kural_id],0))+(1-INDEX(tblKurallar[deger_2025],MATCH("IFF-001",tblKurallar[kural_id],0)))*IF($C736=0,0,$D736/$C736))-1),iff_yuvarMax),0))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IF($A737="","",IFERROR(ROUND($H737*((INDEX(tblKurallar[deger_2025],MATCH("IFF-001",tblKurallar[kural_id],0))+(1-INDEX(tblKurallar[deger_2025],MATCH("IFF-001",tblKurallar[kural_id],0)))*IF($C737=0,0,$D737/$C737))-1),iff_yuvarMax),0))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IF($A738="","",IFERROR(ROUND($H738*((INDEX(tblKurallar[deger_2025],MATCH("IFF-001",tblKurallar[kural_id],0))+(1-INDEX(tblKurallar[deger_2025],MATCH("IFF-001",tblKurallar[kural_id],0)))*IF($C738=0,0,$D738/$C738))-1),iff_yuvarMax),0))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IF($A739="","",IFERROR(ROUND($H739*((INDEX(tblKurallar[deger_2025],MATCH("IFF-001",tblKurallar[kural_id],0))+(1-INDEX(tblKurallar[deger_2025],MATCH("IFF-001",tblKurallar[kural_id],0)))*IF($C739=0,0,$D739/$C739))-1),iff_yuvarMax),0))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IF($A740="","",IFERROR(ROUND($H740*((INDEX(tblKurallar[deger_2025],MATCH("IFF-001",tblKurallar[kural_id],0))+(1-INDEX(tblKurallar[deger_2025],MATCH("IFF-001",tblKurallar[kural_id],0)))*IF($C740=0,0,$D740/$C740))-1),iff_yuvarMax),0))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IF($A741="","",IFERROR(ROUND($H741*((INDEX(tblKurallar[deger_2025],MATCH("IFF-001",tblKurallar[kural_id],0))+(1-INDEX(tblKurallar[deger_2025],MATCH("IFF-001",tblKurallar[kural_id],0)))*IF($C741=0,0,$D741/$C741))-1),iff_yuvarMax),0))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IF($A742="","",IFERROR(ROUND($H742*((INDEX(tblKurallar[deger_2025],MATCH("IFF-001",tblKurallar[kural_id],0))+(1-INDEX(tblKurallar[deger_2025],MATCH("IFF-001",tblKurallar[kural_id],0)))*IF($C742=0,0,$D742/$C742))-1),iff_yuvarMax),0))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IF($A743="","",IFERROR(ROUND($H743*((INDEX(tblKurallar[deger_2025],MATCH("IFF-001",tblKurallar[kural_id],0))+(1-INDEX(tblKurallar[deger_2025],MATCH("IFF-001",tblKurallar[kural_id],0)))*IF($C743=0,0,$D743/$C743))-1),iff_yuvarMax),0))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IF($A744="","",IFERROR(ROUND($H744*((INDEX(tblKurallar[deger_2025],MATCH("IFF-001",tblKurallar[kural_id],0))+(1-INDEX(tblKurallar[deger_2025],MATCH("IFF-001",tblKurallar[kural_id],0)))*IF($C744=0,0,$D744/$C744))-1),iff_yuvarMax),0))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IF($A745="","",IFERROR(ROUND($H745*((INDEX(tblKurallar[deger_2025],MATCH("IFF-001",tblKurallar[kural_id],0))+(1-INDEX(tblKurallar[deger_2025],MATCH("IFF-001",tblKurallar[kural_id],0)))*IF($C745=0,0,$D745/$C745))-1),iff_yuvarMax),0))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IF($A746="","",IFERROR(ROUND($H746*((INDEX(tblKurallar[deger_2025],MATCH("IFF-001",tblKurallar[kural_id],0))+(1-INDEX(tblKurallar[deger_2025],MATCH("IFF-001",tblKurallar[kural_id],0)))*IF($C746=0,0,$D746/$C746))-1),iff_yuvarMax),0))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IF($A747="","",IFERROR(ROUND($H747*((INDEX(tblKurallar[deger_2025],MATCH("IFF-001",tblKurallar[kural_id],0))+(1-INDEX(tblKurallar[deger_2025],MATCH("IFF-001",tblKurallar[kural_id],0)))*IF($C747=0,0,$D747/$C747))-1),iff_yuvarMax),0))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IF($A748="","",IFERROR(ROUND($H748*((INDEX(tblKurallar[deger_2025],MATCH("IFF-001",tblKurallar[kural_id],0))+(1-INDEX(tblKurallar[deger_2025],MATCH("IFF-001",tblKurallar[kural_id],0)))*IF($C748=0,0,$D748/$C748))-1),iff_yuvarMax),0))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IF($A749="","",IFERROR(ROUND($H749*((INDEX(tblKurallar[deger_2025],MATCH("IFF-001",tblKurallar[kural_id],0))+(1-INDEX(tblKurallar[deger_2025],MATCH("IFF-001",tblKurallar[kural_id],0)))*IF($C749=0,0,$D749/$C749))-1),iff_yuvarMax),0))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IF($A750="","",IFERROR(ROUND($H750*((INDEX(tblKurallar[deger_2025],MATCH("IFF-001",tblKurallar[kural_id],0))+(1-INDEX(tblKurallar[deger_2025],MATCH("IFF-001",tblKurallar[kural_id],0)))*IF($C750=0,0,$D750/$C750))-1),iff_yuvarMax),0))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IF($A751="","",IFERROR(ROUND($H751*((INDEX(tblKurallar[deger_2025],MATCH("IFF-001",tblKurallar[kural_id],0))+(1-INDEX(tblKurallar[deger_2025],MATCH("IFF-001",tblKurallar[kural_id],0)))*IF($C751=0,0,$D751/$C751))-1),iff_yuvarMax),0))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IF($A752="","",IFERROR(ROUND($H752*((INDEX(tblKurallar[deger_2025],MATCH("IFF-001",tblKurallar[kural_id],0))+(1-INDEX(tblKurallar[deger_2025],MATCH("IFF-001",tblKurallar[kural_id],0)))*IF($C752=0,0,$D752/$C752))-1),iff_yuvarMax),0))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IF($A753="","",IFERROR(ROUND($H753*((INDEX(tblKurallar[deger_2025],MATCH("IFF-001",tblKurallar[kural_id],0))+(1-INDEX(tblKurallar[deger_2025],MATCH("IFF-001",tblKurallar[kural_id],0)))*IF($C753=0,0,$D753/$C753))-1),iff_yuvarMax),0))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IF($A754="","",IFERROR(ROUND($H754*((INDEX(tblKurallar[deger_2025],MATCH("IFF-001",tblKurallar[kural_id],0))+(1-INDEX(tblKurallar[deger_2025],MATCH("IFF-001",tblKurallar[kural_id],0)))*IF($C754=0,0,$D754/$C754))-1),iff_yuvarMax),0))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IF($A755="","",IFERROR(ROUND($H755*((INDEX(tblKurallar[deger_2025],MATCH("IFF-001",tblKurallar[kural_id],0))+(1-INDEX(tblKurallar[deger_2025],MATCH("IFF-001",tblKurallar[kural_id],0)))*IF($C755=0,0,$D755/$C755))-1),iff_yuvarMax),0))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IF($A756="","",IFERROR(ROUND($H756*((INDEX(tblKurallar[deger_2025],MATCH("IFF-001",tblKurallar[kural_id],0))+(1-INDEX(tblKurallar[deger_2025],MATCH("IFF-001",tblKurallar[kural_id],0)))*IF($C756=0,0,$D756/$C756))-1),iff_yuvarMax),0))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IF($A757="","",IFERROR(ROUND($H757*((INDEX(tblKurallar[deger_2025],MATCH("IFF-001",tblKurallar[kural_id],0))+(1-INDEX(tblKurallar[deger_2025],MATCH("IFF-001",tblKurallar[kural_id],0)))*IF($C757=0,0,$D757/$C757))-1),iff_yuvarMax),0))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IF($A758="","",IFERROR(ROUND($H758*((INDEX(tblKurallar[deger_2025],MATCH("IFF-001",tblKurallar[kural_id],0))+(1-INDEX(tblKurallar[deger_2025],MATCH("IFF-001",tblKurallar[kural_id],0)))*IF($C758=0,0,$D758/$C758))-1),iff_yuvarMax),0))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IF($A759="","",IFERROR(ROUND($H759*((INDEX(tblKurallar[deger_2025],MATCH("IFF-001",tblKurallar[kural_id],0))+(1-INDEX(tblKurallar[deger_2025],MATCH("IFF-001",tblKurallar[kural_id],0)))*IF($C759=0,0,$D759/$C759))-1),iff_yuvarMax),0))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IF($A760="","",IFERROR(ROUND($H760*((INDEX(tblKurallar[deger_2025],MATCH("IFF-001",tblKurallar[kural_id],0))+(1-INDEX(tblKurallar[deger_2025],MATCH("IFF-001",tblKurallar[kural_id],0)))*IF($C760=0,0,$D760/$C760))-1),iff_yuvarMax),0))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IF($A761="","",IFERROR(ROUND($H761*((INDEX(tblKurallar[deger_2025],MATCH("IFF-001",tblKurallar[kural_id],0))+(1-INDEX(tblKurallar[deger_2025],MATCH("IFF-001",tblKurallar[kural_id],0)))*IF($C761=0,0,$D761/$C761))-1),iff_yuvarMax),0))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IF($A762="","",IFERROR(ROUND($H762*((INDEX(tblKurallar[deger_2025],MATCH("IFF-001",tblKurallar[kural_id],0))+(1-INDEX(tblKurallar[deger_2025],MATCH("IFF-001",tblKurallar[kural_id],0)))*IF($C762=0,0,$D762/$C762))-1),iff_yuvarMax),0))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IF($A763="","",IFERROR(ROUND($H763*((INDEX(tblKurallar[deger_2025],MATCH("IFF-001",tblKurallar[kural_id],0))+(1-INDEX(tblKurallar[deger_2025],MATCH("IFF-001",tblKurallar[kural_id],0)))*IF($C763=0,0,$D763/$C763))-1),iff_yuvarMax),0))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IF($A764="","",IFERROR(ROUND($H764*((INDEX(tblKurallar[deger_2025],MATCH("IFF-001",tblKurallar[kural_id],0))+(1-INDEX(tblKurallar[deger_2025],MATCH("IFF-001",tblKurallar[kural_id],0)))*IF($C764=0,0,$D764/$C764))-1),iff_yuvarMax),0))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IF($A765="","",IFERROR(ROUND($H765*((INDEX(tblKurallar[deger_2025],MATCH("IFF-001",tblKurallar[kural_id],0))+(1-INDEX(tblKurallar[deger_2025],MATCH("IFF-001",tblKurallar[kural_id],0)))*IF($C765=0,0,$D765/$C765))-1),iff_yuvarMax),0))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IF($A766="","",IFERROR(ROUND($H766*((INDEX(tblKurallar[deger_2025],MATCH("IFF-001",tblKurallar[kural_id],0))+(1-INDEX(tblKurallar[deger_2025],MATCH("IFF-001",tblKurallar[kural_id],0)))*IF($C766=0,0,$D766/$C766))-1),iff_yuvarMax),0))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IF($A767="","",IFERROR(ROUND($H767*((INDEX(tblKurallar[deger_2025],MATCH("IFF-001",tblKurallar[kural_id],0))+(1-INDEX(tblKurallar[deger_2025],MATCH("IFF-001",tblKurallar[kural_id],0)))*IF($C767=0,0,$D767/$C767))-1),iff_yuvarMax),0))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IF($A768="","",IFERROR(ROUND($H768*((INDEX(tblKurallar[deger_2025],MATCH("IFF-001",tblKurallar[kural_id],0))+(1-INDEX(tblKurallar[deger_2025],MATCH("IFF-001",tblKurallar[kural_id],0)))*IF($C768=0,0,$D768/$C768))-1),iff_yuvarMax),0))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IF($A769="","",IFERROR(ROUND($H769*((INDEX(tblKurallar[deger_2025],MATCH("IFF-001",tblKurallar[kural_id],0))+(1-INDEX(tblKurallar[deger_2025],MATCH("IFF-001",tblKurallar[kural_id],0)))*IF($C769=0,0,$D769/$C769))-1),iff_yuvarMax),0))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IF($A770="","",IFERROR(ROUND($H770*((INDEX(tblKurallar[deger_2025],MATCH("IFF-001",tblKurallar[kural_id],0))+(1-INDEX(tblKurallar[deger_2025],MATCH("IFF-001",tblKurallar[kural_id],0)))*IF($C770=0,0,$D770/$C770))-1),iff_yuvarMax),0))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IF($A771="","",IFERROR(ROUND($H771*((INDEX(tblKurallar[deger_2025],MATCH("IFF-001",tblKurallar[kural_id],0))+(1-INDEX(tblKurallar[deger_2025],MATCH("IFF-001",tblKurallar[kural_id],0)))*IF($C771=0,0,$D771/$C771))-1),iff_yuvarMax),0))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IF($A772="","",IFERROR(ROUND($H772*((INDEX(tblKurallar[deger_2025],MATCH("IFF-001",tblKurallar[kural_id],0))+(1-INDEX(tblKurallar[deger_2025],MATCH("IFF-001",tblKurallar[kural_id],0)))*IF($C772=0,0,$D772/$C772))-1),iff_yuvarMax),0))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IF($A773="","",IFERROR(ROUND($H773*((INDEX(tblKurallar[deger_2025],MATCH("IFF-001",tblKurallar[kural_id],0))+(1-INDEX(tblKurallar[deger_2025],MATCH("IFF-001",tblKurallar[kural_id],0)))*IF($C773=0,0,$D773/$C773))-1),iff_yuvarMax),0))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IF($A774="","",IFERROR(ROUND($H774*((INDEX(tblKurallar[deger_2025],MATCH("IFF-001",tblKurallar[kural_id],0))+(1-INDEX(tblKurallar[deger_2025],MATCH("IFF-001",tblKurallar[kural_id],0)))*IF($C774=0,0,$D774/$C774))-1),iff_yuvarMax),0))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IF($A775="","",IFERROR(ROUND($H775*((INDEX(tblKurallar[deger_2025],MATCH("IFF-001",tblKurallar[kural_id],0))+(1-INDEX(tblKurallar[deger_2025],MATCH("IFF-001",tblKurallar[kural_id],0)))*IF($C775=0,0,$D775/$C775))-1),iff_yuvarMax),0))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IF($A776="","",IFERROR(ROUND($H776*((INDEX(tblKurallar[deger_2025],MATCH("IFF-001",tblKurallar[kural_id],0))+(1-INDEX(tblKurallar[deger_2025],MATCH("IFF-001",tblKurallar[kural_id],0)))*IF($C776=0,0,$D776/$C776))-1),iff_yuvarMax),0))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IF($A777="","",IFERROR(ROUND($H777*((INDEX(tblKurallar[deger_2025],MATCH("IFF-001",tblKurallar[kural_id],0))+(1-INDEX(tblKurallar[deger_2025],MATCH("IFF-001",tblKurallar[kural_id],0)))*IF($C777=0,0,$D777/$C777))-1),iff_yuvarMax),0))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IF($A778="","",IFERROR(ROUND($H778*((INDEX(tblKurallar[deger_2025],MATCH("IFF-001",tblKurallar[kural_id],0))+(1-INDEX(tblKurallar[deger_2025],MATCH("IFF-001",tblKurallar[kural_id],0)))*IF($C778=0,0,$D778/$C778))-1),iff_yuvarMax),0))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IF($A779="","",IFERROR(ROUND($H779*((INDEX(tblKurallar[deger_2025],MATCH("IFF-001",tblKurallar[kural_id],0))+(1-INDEX(tblKurallar[deger_2025],MATCH("IFF-001",tblKurallar[kural_id],0)))*IF($C779=0,0,$D779/$C779))-1),iff_yuvarMax),0))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IF($A780="","",IFERROR(ROUND($H780*((INDEX(tblKurallar[deger_2025],MATCH("IFF-001",tblKurallar[kural_id],0))+(1-INDEX(tblKurallar[deger_2025],MATCH("IFF-001",tblKurallar[kural_id],0)))*IF($C780=0,0,$D780/$C780))-1),iff_yuvarMax),0))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IF($A781="","",IFERROR(ROUND($H781*((INDEX(tblKurallar[deger_2025],MATCH("IFF-001",tblKurallar[kural_id],0))+(1-INDEX(tblKurallar[deger_2025],MATCH("IFF-001",tblKurallar[kural_id],0)))*IF($C781=0,0,$D781/$C781))-1),iff_yuvarMax),0))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IF($A782="","",IFERROR(ROUND($H782*((INDEX(tblKurallar[deger_2025],MATCH("IFF-001",tblKurallar[kural_id],0))+(1-INDEX(tblKurallar[deger_2025],MATCH("IFF-001",tblKurallar[kural_id],0)))*IF($C782=0,0,$D782/$C782))-1),iff_yuvarMax),0))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IF($A783="","",IFERROR(ROUND($H783*((INDEX(tblKurallar[deger_2025],MATCH("IFF-001",tblKurallar[kural_id],0))+(1-INDEX(tblKurallar[deger_2025],MATCH("IFF-001",tblKurallar[kural_id],0)))*IF($C783=0,0,$D783/$C783))-1),iff_yuvarMax),0))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IF($A784="","",IFERROR(ROUND($H784*((INDEX(tblKurallar[deger_2025],MATCH("IFF-001",tblKurallar[kural_id],0))+(1-INDEX(tblKurallar[deger_2025],MATCH("IFF-001",tblKurallar[kural_id],0)))*IF($C784=0,0,$D784/$C784))-1),iff_yuvarMax),0))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IF($A785="","",IFERROR(ROUND($H785*((INDEX(tblKurallar[deger_2025],MATCH("IFF-001",tblKurallar[kural_id],0))+(1-INDEX(tblKurallar[deger_2025],MATCH("IFF-001",tblKurallar[kural_id],0)))*IF($C785=0,0,$D785/$C785))-1),iff_yuvarMax),0))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IF($A786="","",IFERROR(ROUND($H786*((INDEX(tblKurallar[deger_2025],MATCH("IFF-001",tblKurallar[kural_id],0))+(1-INDEX(tblKurallar[deger_2025],MATCH("IFF-001",tblKurallar[kural_id],0)))*IF($C786=0,0,$D786/$C786))-1),iff_yuvarMax),0))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IF($A787="","",IFERROR(ROUND($H787*((INDEX(tblKurallar[deger_2025],MATCH("IFF-001",tblKurallar[kural_id],0))+(1-INDEX(tblKurallar[deger_2025],MATCH("IFF-001",tblKurallar[kural_id],0)))*IF($C787=0,0,$D787/$C787))-1),iff_yuvarMax),0))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IF($A788="","",IFERROR(ROUND($H788*((INDEX(tblKurallar[deger_2025],MATCH("IFF-001",tblKurallar[kural_id],0))+(1-INDEX(tblKurallar[deger_2025],MATCH("IFF-001",tblKurallar[kural_id],0)))*IF($C788=0,0,$D788/$C788))-1),iff_yuvarMax),0))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IF($A789="","",IFERROR(ROUND($H789*((INDEX(tblKurallar[deger_2025],MATCH("IFF-001",tblKurallar[kural_id],0))+(1-INDEX(tblKurallar[deger_2025],MATCH("IFF-001",tblKurallar[kural_id],0)))*IF($C789=0,0,$D789/$C789))-1),iff_yuvarMax),0))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IF($A790="","",IFERROR(ROUND($H790*((INDEX(tblKurallar[deger_2025],MATCH("IFF-001",tblKurallar[kural_id],0))+(1-INDEX(tblKurallar[deger_2025],MATCH("IFF-001",tblKurallar[kural_id],0)))*IF($C790=0,0,$D790/$C790))-1),iff_yuvarMax),0))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IF($A791="","",IFERROR(ROUND($H791*((INDEX(tblKurallar[deger_2025],MATCH("IFF-001",tblKurallar[kural_id],0))+(1-INDEX(tblKurallar[deger_2025],MATCH("IFF-001",tblKurallar[kural_id],0)))*IF($C791=0,0,$D791/$C791))-1),iff_yuvarMax),0))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IF($A792="","",IFERROR(ROUND($H792*((INDEX(tblKurallar[deger_2025],MATCH("IFF-001",tblKurallar[kural_id],0))+(1-INDEX(tblKurallar[deger_2025],MATCH("IFF-001",tblKurallar[kural_id],0)))*IF($C792=0,0,$D792/$C792))-1),iff_yuvarMax),0))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IF($A793="","",IFERROR(ROUND($H793*((INDEX(tblKurallar[deger_2025],MATCH("IFF-001",tblKurallar[kural_id],0))+(1-INDEX(tblKurallar[deger_2025],MATCH("IFF-001",tblKurallar[kural_id],0)))*IF($C793=0,0,$D793/$C793))-1),iff_yuvarMax),0))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IF($A794="","",IFERROR(ROUND($H794*((INDEX(tblKurallar[deger_2025],MATCH("IFF-001",tblKurallar[kural_id],0))+(1-INDEX(tblKurallar[deger_2025],MATCH("IFF-001",tblKurallar[kural_id],0)))*IF($C794=0,0,$D794/$C794))-1),iff_yuvarMax),0))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IF($A795="","",IFERROR(ROUND($H795*((INDEX(tblKurallar[deger_2025],MATCH("IFF-001",tblKurallar[kural_id],0))+(1-INDEX(tblKurallar[deger_2025],MATCH("IFF-001",tblKurallar[kural_id],0)))*IF($C795=0,0,$D795/$C795))-1),iff_yuvarMax),0))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IF($A796="","",IFERROR(ROUND($H796*((INDEX(tblKurallar[deger_2025],MATCH("IFF-001",tblKurallar[kural_id],0))+(1-INDEX(tblKurallar[deger_2025],MATCH("IFF-001",tblKurallar[kural_id],0)))*IF($C796=0,0,$D796/$C796))-1),iff_yuvarMax),0))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IF($A797="","",IFERROR(ROUND($H797*((INDEX(tblKurallar[deger_2025],MATCH("IFF-001",tblKurallar[kural_id],0))+(1-INDEX(tblKurallar[deger_2025],MATCH("IFF-001",tblKurallar[kural_id],0)))*IF($C797=0,0,$D797/$C797))-1),iff_yuvarMax),0))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IF($A798="","",IFERROR(ROUND($H798*((INDEX(tblKurallar[deger_2025],MATCH("IFF-001",tblKurallar[kural_id],0))+(1-INDEX(tblKurallar[deger_2025],MATCH("IFF-001",tblKurallar[kural_id],0)))*IF($C798=0,0,$D798/$C798))-1),iff_yuvarMax),0))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IF($A799="","",IFERROR(ROUND($H799*((INDEX(tblKurallar[deger_2025],MATCH("IFF-001",tblKurallar[kural_id],0))+(1-INDEX(tblKurallar[deger_2025],MATCH("IFF-001",tblKurallar[kural_id],0)))*IF($C799=0,0,$D799/$C799))-1),iff_yuvarMax),0))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IF($A800="","",IFERROR(ROUND($H800*((INDEX(tblKurallar[deger_2025],MATCH("IFF-001",tblKurallar[kural_id],0))+(1-INDEX(tblKurallar[deger_2025],MATCH("IFF-001",tblKurallar[kural_id],0)))*IF($C800=0,0,$D800/$C800))-1),iff_yuvarMax),0))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IF($A801="","",IFERROR(ROUND($H801*((INDEX(tblKurallar[deger_2025],MATCH("IFF-001",tblKurallar[kural_id],0))+(1-INDEX(tblKurallar[deger_2025],MATCH("IFF-001",tblKurallar[kural_id],0)))*IF($C801=0,0,$D801/$C801))-1),iff_yuvarMax),0))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IF($A802="","",IFERROR(ROUND($H802*((INDEX(tblKurallar[deger_2025],MATCH("IFF-001",tblKurallar[kural_id],0))+(1-INDEX(tblKurallar[deger_2025],MATCH("IFF-001",tblKurallar[kural_id],0)))*IF($C802=0,0,$D802/$C802))-1),iff_yuvarMax),0))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IF($A803="","",IFERROR(ROUND($H803*((INDEX(tblKurallar[deger_2025],MATCH("IFF-001",tblKurallar[kural_id],0))+(1-INDEX(tblKurallar[deger_2025],MATCH("IFF-001",tblKurallar[kural_id],0)))*IF($C803=0,0,$D803/$C803))-1),iff_yuvarMax),0))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IF($A804="","",IFERROR(ROUND($H804*((INDEX(tblKurallar[deger_2025],MATCH("IFF-001",tblKurallar[kural_id],0))+(1-INDEX(tblKurallar[deger_2025],MATCH("IFF-001",tblKurallar[kural_id],0)))*IF($C804=0,0,$D804/$C804))-1),iff_yuvarMax),0))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IF($A805="","",IFERROR(ROUND($H805*((INDEX(tblKurallar[deger_2025],MATCH("IFF-001",tblKurallar[kural_id],0))+(1-INDEX(tblKurallar[deger_2025],MATCH("IFF-001",tblKurallar[kural_id],0)))*IF($C805=0,0,$D805/$C805))-1),iff_yuvarMax),0))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IF($A806="","",IFERROR(ROUND($H806*((INDEX(tblKurallar[deger_2025],MATCH("IFF-001",tblKurallar[kural_id],0))+(1-INDEX(tblKurallar[deger_2025],MATCH("IFF-001",tblKurallar[kural_id],0)))*IF($C806=0,0,$D806/$C806))-1),iff_yuvarMax),0))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IF($A807="","",IFERROR(ROUND($H807*((INDEX(tblKurallar[deger_2025],MATCH("IFF-001",tblKurallar[kural_id],0))+(1-INDEX(tblKurallar[deger_2025],MATCH("IFF-001",tblKurallar[kural_id],0)))*IF($C807=0,0,$D807/$C807))-1),iff_yuvarMax),0))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IF($A808="","",IFERROR(ROUND($H808*((INDEX(tblKurallar[deger_2025],MATCH("IFF-001",tblKurallar[kural_id],0))+(1-INDEX(tblKurallar[deger_2025],MATCH("IFF-001",tblKurallar[kural_id],0)))*IF($C808=0,0,$D808/$C808))-1),iff_yuvarMax),0))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IF($A809="","",IFERROR(ROUND($H809*((INDEX(tblKurallar[deger_2025],MATCH("IFF-001",tblKurallar[kural_id],0))+(1-INDEX(tblKurallar[deger_2025],MATCH("IFF-001",tblKurallar[kural_id],0)))*IF($C809=0,0,$D809/$C809))-1),iff_yuvarMax),0))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IF($A810="","",IFERROR(ROUND($H810*((INDEX(tblKurallar[deger_2025],MATCH("IFF-001",tblKurallar[kural_id],0))+(1-INDEX(tblKurallar[deger_2025],MATCH("IFF-001",tblKurallar[kural_id],0)))*IF($C810=0,0,$D810/$C810))-1),iff_yuvarMax),0))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IF($A811="","",IFERROR(ROUND($H811*((INDEX(tblKurallar[deger_2025],MATCH("IFF-001",tblKurallar[kural_id],0))+(1-INDEX(tblKurallar[deger_2025],MATCH("IFF-001",tblKurallar[kural_id],0)))*IF($C811=0,0,$D811/$C811))-1),iff_yuvarMax),0))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IF($A812="","",IFERROR(ROUND($H812*((INDEX(tblKurallar[deger_2025],MATCH("IFF-001",tblKurallar[kural_id],0))+(1-INDEX(tblKurallar[deger_2025],MATCH("IFF-001",tblKurallar[kural_id],0)))*IF($C812=0,0,$D812/$C812))-1),iff_yuvarMax),0))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IF($A813="","",IFERROR(ROUND($H813*((INDEX(tblKurallar[deger_2025],MATCH("IFF-001",tblKurallar[kural_id],0))+(1-INDEX(tblKurallar[deger_2025],MATCH("IFF-001",tblKurallar[kural_id],0)))*IF($C813=0,0,$D813/$C813))-1),iff_yuvarMax),0))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IF($A814="","",IFERROR(ROUND($H814*((INDEX(tblKurallar[deger_2025],MATCH("IFF-001",tblKurallar[kural_id],0))+(1-INDEX(tblKurallar[deger_2025],MATCH("IFF-001",tblKurallar[kural_id],0)))*IF($C814=0,0,$D814/$C814))-1),iff_yuvarMax),0))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IF($A815="","",IFERROR(ROUND($H815*((INDEX(tblKurallar[deger_2025],MATCH("IFF-001",tblKurallar[kural_id],0))+(1-INDEX(tblKurallar[deger_2025],MATCH("IFF-001",tblKurallar[kural_id],0)))*IF($C815=0,0,$D815/$C815))-1),iff_yuvarMax),0))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IF($A816="","",IFERROR(ROUND($H816*((INDEX(tblKurallar[deger_2025],MATCH("IFF-001",tblKurallar[kural_id],0))+(1-INDEX(tblKurallar[deger_2025],MATCH("IFF-001",tblKurallar[kural_id],0)))*IF($C816=0,0,$D816/$C816))-1),iff_yuvarMax),0))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IF($A817="","",IFERROR(ROUND($H817*((INDEX(tblKurallar[deger_2025],MATCH("IFF-001",tblKurallar[kural_id],0))+(1-INDEX(tblKurallar[deger_2025],MATCH("IFF-001",tblKurallar[kural_id],0)))*IF($C817=0,0,$D817/$C817))-1),iff_yuvarMax),0))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IF($A818="","",IFERROR(ROUND($H818*((INDEX(tblKurallar[deger_2025],MATCH("IFF-001",tblKurallar[kural_id],0))+(1-INDEX(tblKurallar[deger_2025],MATCH("IFF-001",tblKurallar[kural_id],0)))*IF($C818=0,0,$D818/$C818))-1),iff_yuvarMax),0))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IF($A819="","",IFERROR(ROUND($H819*((INDEX(tblKurallar[deger_2025],MATCH("IFF-001",tblKurallar[kural_id],0))+(1-INDEX(tblKurallar[deger_2025],MATCH("IFF-001",tblKurallar[kural_id],0)))*IF($C819=0,0,$D819/$C819))-1),iff_yuvarMax),0))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IF($A820="","",IFERROR(ROUND($H820*((INDEX(tblKurallar[deger_2025],MATCH("IFF-001",tblKurallar[kural_id],0))+(1-INDEX(tblKurallar[deger_2025],MATCH("IFF-001",tblKurallar[kural_id],0)))*IF($C820=0,0,$D820/$C820))-1),iff_yuvarMax),0))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IF($A821="","",IFERROR(ROUND($H821*((INDEX(tblKurallar[deger_2025],MATCH("IFF-001",tblKurallar[kural_id],0))+(1-INDEX(tblKurallar[deger_2025],MATCH("IFF-001",tblKurallar[kural_id],0)))*IF($C821=0,0,$D821/$C821))-1),iff_yuvarMax),0))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IF($A822="","",IFERROR(ROUND($H822*((INDEX(tblKurallar[deger_2025],MATCH("IFF-001",tblKurallar[kural_id],0))+(1-INDEX(tblKurallar[deger_2025],MATCH("IFF-001",tblKurallar[kural_id],0)))*IF($C822=0,0,$D822/$C822))-1),iff_yuvarMax),0))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IF($A823="","",IFERROR(ROUND($H823*((INDEX(tblKurallar[deger_2025],MATCH("IFF-001",tblKurallar[kural_id],0))+(1-INDEX(tblKurallar[deger_2025],MATCH("IFF-001",tblKurallar[kural_id],0)))*IF($C823=0,0,$D823/$C823))-1),iff_yuvarMax),0))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IF($A824="","",IFERROR(ROUND($H824*((INDEX(tblKurallar[deger_2025],MATCH("IFF-001",tblKurallar[kural_id],0))+(1-INDEX(tblKurallar[deger_2025],MATCH("IFF-001",tblKurallar[kural_id],0)))*IF($C824=0,0,$D824/$C824))-1),iff_yuvarMax),0))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IF($A825="","",IFERROR(ROUND($H825*((INDEX(tblKurallar[deger_2025],MATCH("IFF-001",tblKurallar[kural_id],0))+(1-INDEX(tblKurallar[deger_2025],MATCH("IFF-001",tblKurallar[kural_id],0)))*IF($C825=0,0,$D825/$C825))-1),iff_yuvarMax),0))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IF($A826="","",IFERROR(ROUND($H826*((INDEX(tblKurallar[deger_2025],MATCH("IFF-001",tblKurallar[kural_id],0))+(1-INDEX(tblKurallar[deger_2025],MATCH("IFF-001",tblKurallar[kural_id],0)))*IF($C826=0,0,$D826/$C826))-1),iff_yuvarMax),0))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IF($A827="","",IFERROR(ROUND($H827*((INDEX(tblKurallar[deger_2025],MATCH("IFF-001",tblKurallar[kural_id],0))+(1-INDEX(tblKurallar[deger_2025],MATCH("IFF-001",tblKurallar[kural_id],0)))*IF($C827=0,0,$D827/$C827))-1),iff_yuvarMax),0))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IF($A828="","",IFERROR(ROUND($H828*((INDEX(tblKurallar[deger_2025],MATCH("IFF-001",tblKurallar[kural_id],0))+(1-INDEX(tblKurallar[deger_2025],MATCH("IFF-001",tblKurallar[kural_id],0)))*IF($C828=0,0,$D828/$C828))-1),iff_yuvarMax),0))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IF($A829="","",IFERROR(ROUND($H829*((INDEX(tblKurallar[deger_2025],MATCH("IFF-001",tblKurallar[kural_id],0))+(1-INDEX(tblKurallar[deger_2025],MATCH("IFF-001",tblKurallar[kural_id],0)))*IF($C829=0,0,$D829/$C829))-1),iff_yuvarMax),0))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IF($A830="","",IFERROR(ROUND($H830*((INDEX(tblKurallar[deger_2025],MATCH("IFF-001",tblKurallar[kural_id],0))+(1-INDEX(tblKurallar[deger_2025],MATCH("IFF-001",tblKurallar[kural_id],0)))*IF($C830=0,0,$D830/$C830))-1),iff_yuvarMax),0))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IF($A831="","",IFERROR(ROUND($H831*((INDEX(tblKurallar[deger_2025],MATCH("IFF-001",tblKurallar[kural_id],0))+(1-INDEX(tblKurallar[deger_2025],MATCH("IFF-001",tblKurallar[kural_id],0)))*IF($C831=0,0,$D831/$C831))-1),iff_yuvarMax),0))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IF($A832="","",IFERROR(ROUND($H832*((INDEX(tblKurallar[deger_2025],MATCH("IFF-001",tblKurallar[kural_id],0))+(1-INDEX(tblKurallar[deger_2025],MATCH("IFF-001",tblKurallar[kural_id],0)))*IF($C832=0,0,$D832/$C832))-1),iff_yuvarMax),0))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IF($A833="","",IFERROR(ROUND($H833*((INDEX(tblKurallar[deger_2025],MATCH("IFF-001",tblKurallar[kural_id],0))+(1-INDEX(tblKurallar[deger_2025],MATCH("IFF-001",tblKurallar[kural_id],0)))*IF($C833=0,0,$D833/$C833))-1),iff_yuvarMax),0))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IF($A834="","",IFERROR(ROUND($H834*((INDEX(tblKurallar[deger_2025],MATCH("IFF-001",tblKurallar[kural_id],0))+(1-INDEX(tblKurallar[deger_2025],MATCH("IFF-001",tblKurallar[kural_id],0)))*IF($C834=0,0,$D834/$C834))-1),iff_yuvarMax),0))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IF($A835="","",IFERROR(ROUND($H835*((INDEX(tblKurallar[deger_2025],MATCH("IFF-001",tblKurallar[kural_id],0))+(1-INDEX(tblKurallar[deger_2025],MATCH("IFF-001",tblKurallar[kural_id],0)))*IF($C835=0,0,$D835/$C835))-1),iff_yuvarMax),0))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IF($A836="","",IFERROR(ROUND($H836*((INDEX(tblKurallar[deger_2025],MATCH("IFF-001",tblKurallar[kural_id],0))+(1-INDEX(tblKurallar[deger_2025],MATCH("IFF-001",tblKurallar[kural_id],0)))*IF($C836=0,0,$D836/$C836))-1),iff_yuvarMax),0))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IF($A837="","",IFERROR(ROUND($H837*((INDEX(tblKurallar[deger_2025],MATCH("IFF-001",tblKurallar[kural_id],0))+(1-INDEX(tblKurallar[deger_2025],MATCH("IFF-001",tblKurallar[kural_id],0)))*IF($C837=0,0,$D837/$C837))-1),iff_yuvarMax),0))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IF($A838="","",IFERROR(ROUND($H838*((INDEX(tblKurallar[deger_2025],MATCH("IFF-001",tblKurallar[kural_id],0))+(1-INDEX(tblKurallar[deger_2025],MATCH("IFF-001",tblKurallar[kural_id],0)))*IF($C838=0,0,$D838/$C838))-1),iff_yuvarMax),0))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IF($A839="","",IFERROR(ROUND($H839*((INDEX(tblKurallar[deger_2025],MATCH("IFF-001",tblKurallar[kural_id],0))+(1-INDEX(tblKurallar[deger_2025],MATCH("IFF-001",tblKurallar[kural_id],0)))*IF($C839=0,0,$D839/$C839))-1),iff_yuvarMax),0))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IF($A840="","",IFERROR(ROUND($H840*((INDEX(tblKurallar[deger_2025],MATCH("IFF-001",tblKurallar[kural_id],0))+(1-INDEX(tblKurallar[deger_2025],MATCH("IFF-001",tblKurallar[kural_id],0)))*IF($C840=0,0,$D840/$C840))-1),iff_yuvarMax),0))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IF($A841="","",IFERROR(ROUND($H841*((INDEX(tblKurallar[deger_2025],MATCH("IFF-001",tblKurallar[kural_id],0))+(1-INDEX(tblKurallar[deger_2025],MATCH("IFF-001",tblKurallar[kural_id],0)))*IF($C841=0,0,$D841/$C841))-1),iff_yuvarMax),0))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IF($A842="","",IFERROR(ROUND($H842*((INDEX(tblKurallar[deger_2025],MATCH("IFF-001",tblKurallar[kural_id],0))+(1-INDEX(tblKurallar[deger_2025],MATCH("IFF-001",tblKurallar[kural_id],0)))*IF($C842=0,0,$D842/$C842))-1),iff_yuvarMax),0))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IF($A843="","",IFERROR(ROUND($H843*((INDEX(tblKurallar[deger_2025],MATCH("IFF-001",tblKurallar[kural_id],0))+(1-INDEX(tblKurallar[deger_2025],MATCH("IFF-001",tblKurallar[kural_id],0)))*IF($C843=0,0,$D843/$C843))-1),iff_yuvarMax),0))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IF($A844="","",IFERROR(ROUND($H844*((INDEX(tblKurallar[deger_2025],MATCH("IFF-001",tblKurallar[kural_id],0))+(1-INDEX(tblKurallar[deger_2025],MATCH("IFF-001",tblKurallar[kural_id],0)))*IF($C844=0,0,$D844/$C844))-1),iff_yuvarMax),0))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IF($A845="","",IFERROR(ROUND($H845*((INDEX(tblKurallar[deger_2025],MATCH("IFF-001",tblKurallar[kural_id],0))+(1-INDEX(tblKurallar[deger_2025],MATCH("IFF-001",tblKurallar[kural_id],0)))*IF($C845=0,0,$D845/$C845))-1),iff_yuvarMax),0))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IF($A846="","",IFERROR(ROUND($H846*((INDEX(tblKurallar[deger_2025],MATCH("IFF-001",tblKurallar[kural_id],0))+(1-INDEX(tblKurallar[deger_2025],MATCH("IFF-001",tblKurallar[kural_id],0)))*IF($C846=0,0,$D846/$C846))-1),iff_yuvarMax),0))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IF($A847="","",IFERROR(ROUND($H847*((INDEX(tblKurallar[deger_2025],MATCH("IFF-001",tblKurallar[kural_id],0))+(1-INDEX(tblKurallar[deger_2025],MATCH("IFF-001",tblKurallar[kural_id],0)))*IF($C847=0,0,$D847/$C847))-1),iff_yuvarMax),0))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IF($A848="","",IFERROR(ROUND($H848*((INDEX(tblKurallar[deger_2025],MATCH("IFF-001",tblKurallar[kural_id],0))+(1-INDEX(tblKurallar[deger_2025],MATCH("IFF-001",tblKurallar[kural_id],0)))*IF($C848=0,0,$D848/$C848))-1),iff_yuvarMax),0))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IF($A849="","",IFERROR(ROUND($H849*((INDEX(tblKurallar[deger_2025],MATCH("IFF-001",tblKurallar[kural_id],0))+(1-INDEX(tblKurallar[deger_2025],MATCH("IFF-001",tblKurallar[kural_id],0)))*IF($C849=0,0,$D849/$C849))-1),iff_yuvarMax),0))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IF($A850="","",IFERROR(ROUND($H850*((INDEX(tblKurallar[deger_2025],MATCH("IFF-001",tblKurallar[kural_id],0))+(1-INDEX(tblKurallar[deger_2025],MATCH("IFF-001",tblKurallar[kural_id],0)))*IF($C850=0,0,$D850/$C850))-1),iff_yuvarMax),0))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IF($A851="","",IFERROR(ROUND($H851*((INDEX(tblKurallar[deger_2025],MATCH("IFF-001",tblKurallar[kural_id],0))+(1-INDEX(tblKurallar[deger_2025],MATCH("IFF-001",tblKurallar[kural_id],0)))*IF($C851=0,0,$D851/$C851))-1),iff_yuvarMax),0))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IF($A852="","",IFERROR(ROUND($H852*((INDEX(tblKurallar[deger_2025],MATCH("IFF-001",tblKurallar[kural_id],0))+(1-INDEX(tblKurallar[deger_2025],MATCH("IFF-001",tblKurallar[kural_id],0)))*IF($C852=0,0,$D852/$C852))-1),iff_yuvarMax),0))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IF($A853="","",IFERROR(ROUND($H853*((INDEX(tblKurallar[deger_2025],MATCH("IFF-001",tblKurallar[kural_id],0))+(1-INDEX(tblKurallar[deger_2025],MATCH("IFF-001",tblKurallar[kural_id],0)))*IF($C853=0,0,$D853/$C853))-1),iff_yuvarMax),0))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IF($A854="","",IFERROR(ROUND($H854*((INDEX(tblKurallar[deger_2025],MATCH("IFF-001",tblKurallar[kural_id],0))+(1-INDEX(tblKurallar[deger_2025],MATCH("IFF-001",tblKurallar[kural_id],0)))*IF($C854=0,0,$D854/$C854))-1),iff_yuvarMax),0))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IF($A855="","",IFERROR(ROUND($H855*((INDEX(tblKurallar[deger_2025],MATCH("IFF-001",tblKurallar[kural_id],0))+(1-INDEX(tblKurallar[deger_2025],MATCH("IFF-001",tblKurallar[kural_id],0)))*IF($C855=0,0,$D855/$C855))-1),iff_yuvarMax),0))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IF($A856="","",IFERROR(ROUND($H856*((INDEX(tblKurallar[deger_2025],MATCH("IFF-001",tblKurallar[kural_id],0))+(1-INDEX(tblKurallar[deger_2025],MATCH("IFF-001",tblKurallar[kural_id],0)))*IF($C856=0,0,$D856/$C856))-1),iff_yuvarMax),0))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IF($A857="","",IFERROR(ROUND($H857*((INDEX(tblKurallar[deger_2025],MATCH("IFF-001",tblKurallar[kural_id],0))+(1-INDEX(tblKurallar[deger_2025],MATCH("IFF-001",tblKurallar[kural_id],0)))*IF($C857=0,0,$D857/$C857))-1),iff_yuvarMax),0))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IF($A858="","",IFERROR(ROUND($H858*((INDEX(tblKurallar[deger_2025],MATCH("IFF-001",tblKurallar[kural_id],0))+(1-INDEX(tblKurallar[deger_2025],MATCH("IFF-001",tblKurallar[kural_id],0)))*IF($C858=0,0,$D858/$C858))-1),iff_yuvarMax),0))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IF($A859="","",IFERROR(ROUND($H859*((INDEX(tblKurallar[deger_2025],MATCH("IFF-001",tblKurallar[kural_id],0))+(1-INDEX(tblKurallar[deger_2025],MATCH("IFF-001",tblKurallar[kural_id],0)))*IF($C859=0,0,$D859/$C859))-1),iff_yuvarMax),0))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IF($A860="","",IFERROR(ROUND($H860*((INDEX(tblKurallar[deger_2025],MATCH("IFF-001",tblKurallar[kural_id],0))+(1-INDEX(tblKurallar[deger_2025],MATCH("IFF-001",tblKurallar[kural_id],0)))*IF($C860=0,0,$D860/$C860))-1),iff_yuvarMax),0))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IF($A861="","",IFERROR(ROUND($H861*((INDEX(tblKurallar[deger_2025],MATCH("IFF-001",tblKurallar[kural_id],0))+(1-INDEX(tblKurallar[deger_2025],MATCH("IFF-001",tblKurallar[kural_id],0)))*IF($C861=0,0,$D861/$C861))-1),iff_yuvarMax),0))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IF($A862="","",IFERROR(ROUND($H862*((INDEX(tblKurallar[deger_2025],MATCH("IFF-001",tblKurallar[kural_id],0))+(1-INDEX(tblKurallar[deger_2025],MATCH("IFF-001",tblKurallar[kural_id],0)))*IF($C862=0,0,$D862/$C862))-1),iff_yuvarMax),0))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IF($A863="","",IFERROR(ROUND($H863*((INDEX(tblKurallar[deger_2025],MATCH("IFF-001",tblKurallar[kural_id],0))+(1-INDEX(tblKurallar[deger_2025],MATCH("IFF-001",tblKurallar[kural_id],0)))*IF($C863=0,0,$D863/$C863))-1),iff_yuvarMax),0))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IF($A864="","",IFERROR(ROUND($H864*((INDEX(tblKurallar[deger_2025],MATCH("IFF-001",tblKurallar[kural_id],0))+(1-INDEX(tblKurallar[deger_2025],MATCH("IFF-001",tblKurallar[kural_id],0)))*IF($C864=0,0,$D864/$C864))-1),iff_yuvarMax),0))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IF($A865="","",IFERROR(ROUND($H865*((INDEX(tblKurallar[deger_2025],MATCH("IFF-001",tblKurallar[kural_id],0))+(1-INDEX(tblKurallar[deger_2025],MATCH("IFF-001",tblKurallar[kural_id],0)))*IF($C865=0,0,$D865/$C865))-1),iff_yuvarMax),0))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IF($A866="","",IFERROR(ROUND($H866*((INDEX(tblKurallar[deger_2025],MATCH("IFF-001",tblKurallar[kural_id],0))+(1-INDEX(tblKurallar[deger_2025],MATCH("IFF-001",tblKurallar[kural_id],0)))*IF($C866=0,0,$D866/$C866))-1),iff_yuvarMax),0))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IF($A867="","",IFERROR(ROUND($H867*((INDEX(tblKurallar[deger_2025],MATCH("IFF-001",tblKurallar[kural_id],0))+(1-INDEX(tblKurallar[deger_2025],MATCH("IFF-001",tblKurallar[kural_id],0)))*IF($C867=0,0,$D867/$C867))-1),iff_yuvarMax),0))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IF($A868="","",IFERROR(ROUND($H868*((INDEX(tblKurallar[deger_2025],MATCH("IFF-001",tblKurallar[kural_id],0))+(1-INDEX(tblKurallar[deger_2025],MATCH("IFF-001",tblKurallar[kural_id],0)))*IF($C868=0,0,$D868/$C868))-1),iff_yuvarMax),0))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IF($A869="","",IFERROR(ROUND($H869*((INDEX(tblKurallar[deger_2025],MATCH("IFF-001",tblKurallar[kural_id],0))+(1-INDEX(tblKurallar[deger_2025],MATCH("IFF-001",tblKurallar[kural_id],0)))*IF($C869=0,0,$D869/$C869))-1),iff_yuvarMax),0))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IF($A870="","",IFERROR(ROUND($H870*((INDEX(tblKurallar[deger_2025],MATCH("IFF-001",tblKurallar[kural_id],0))+(1-INDEX(tblKurallar[deger_2025],MATCH("IFF-001",tblKurallar[kural_id],0)))*IF($C870=0,0,$D870/$C870))-1),iff_yuvarMax),0))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IF($A871="","",IFERROR(ROUND($H871*((INDEX(tblKurallar[deger_2025],MATCH("IFF-001",tblKurallar[kural_id],0))+(1-INDEX(tblKurallar[deger_2025],MATCH("IFF-001",tblKurallar[kural_id],0)))*IF($C871=0,0,$D871/$C871))-1),iff_yuvarMax),0))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IF($A872="","",IFERROR(ROUND($H872*((INDEX(tblKurallar[deger_2025],MATCH("IFF-001",tblKurallar[kural_id],0))+(1-INDEX(tblKurallar[deger_2025],MATCH("IFF-001",tblKurallar[kural_id],0)))*IF($C872=0,0,$D872/$C872))-1),iff_yuvarMax),0))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IF($A873="","",IFERROR(ROUND($H873*((INDEX(tblKurallar[deger_2025],MATCH("IFF-001",tblKurallar[kural_id],0))+(1-INDEX(tblKurallar[deger_2025],MATCH("IFF-001",tblKurallar[kural_id],0)))*IF($C873=0,0,$D873/$C873))-1),iff_yuvarMax),0))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IF($A874="","",IFERROR(ROUND($H874*((INDEX(tblKurallar[deger_2025],MATCH("IFF-001",tblKurallar[kural_id],0))+(1-INDEX(tblKurallar[deger_2025],MATCH("IFF-001",tblKurallar[kural_id],0)))*IF($C874=0,0,$D874/$C874))-1),iff_yuvarMax),0))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IF($A875="","",IFERROR(ROUND($H875*((INDEX(tblKurallar[deger_2025],MATCH("IFF-001",tblKurallar[kural_id],0))+(1-INDEX(tblKurallar[deger_2025],MATCH("IFF-001",tblKurallar[kural_id],0)))*IF($C875=0,0,$D875/$C875))-1),iff_yuvarMax),0))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IF($A876="","",IFERROR(ROUND($H876*((INDEX(tblKurallar[deger_2025],MATCH("IFF-001",tblKurallar[kural_id],0))+(1-INDEX(tblKurallar[deger_2025],MATCH("IFF-001",tblKurallar[kural_id],0)))*IF($C876=0,0,$D876/$C876))-1),iff_yuvarMax),0))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IF($A877="","",IFERROR(ROUND($H877*((INDEX(tblKurallar[deger_2025],MATCH("IFF-001",tblKurallar[kural_id],0))+(1-INDEX(tblKurallar[deger_2025],MATCH("IFF-001",tblKurallar[kural_id],0)))*IF($C877=0,0,$D877/$C877))-1),iff_yuvarMax),0))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IF($A878="","",IFERROR(ROUND($H878*((INDEX(tblKurallar[deger_2025],MATCH("IFF-001",tblKurallar[kural_id],0))+(1-INDEX(tblKurallar[deger_2025],MATCH("IFF-001",tblKurallar[kural_id],0)))*IF($C878=0,0,$D878/$C878))-1),iff_yuvarMax),0))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IF($A879="","",IFERROR(ROUND($H879*((INDEX(tblKurallar[deger_2025],MATCH("IFF-001",tblKurallar[kural_id],0))+(1-INDEX(tblKurallar[deger_2025],MATCH("IFF-001",tblKurallar[kural_id],0)))*IF($C879=0,0,$D879/$C879))-1),iff_yuvarMax),0))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IF($A880="","",IFERROR(ROUND($H880*((INDEX(tblKurallar[deger_2025],MATCH("IFF-001",tblKurallar[kural_id],0))+(1-INDEX(tblKurallar[deger_2025],MATCH("IFF-001",tblKurallar[kural_id],0)))*IF($C880=0,0,$D880/$C880))-1),iff_yuvarMax),0))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IF($A881="","",IFERROR(ROUND($H881*((INDEX(tblKurallar[deger_2025],MATCH("IFF-001",tblKurallar[kural_id],0))+(1-INDEX(tblKurallar[deger_2025],MATCH("IFF-001",tblKurallar[kural_id],0)))*IF($C881=0,0,$D881/$C881))-1),iff_yuvarMax),0))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IF($A882="","",IFERROR(ROUND($H882*((INDEX(tblKurallar[deger_2025],MATCH("IFF-001",tblKurallar[kural_id],0))+(1-INDEX(tblKurallar[deger_2025],MATCH("IFF-001",tblKurallar[kural_id],0)))*IF($C882=0,0,$D882/$C882))-1),iff_yuvarMax),0))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IF($A883="","",IFERROR(ROUND($H883*((INDEX(tblKurallar[deger_2025],MATCH("IFF-001",tblKurallar[kural_id],0))+(1-INDEX(tblKurallar[deger_2025],MATCH("IFF-001",tblKurallar[kural_id],0)))*IF($C883=0,0,$D883/$C883))-1),iff_yuvarMax),0))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IF($A884="","",IFERROR(ROUND($H884*((INDEX(tblKurallar[deger_2025],MATCH("IFF-001",tblKurallar[kural_id],0))+(1-INDEX(tblKurallar[deger_2025],MATCH("IFF-001",tblKurallar[kural_id],0)))*IF($C884=0,0,$D884/$C884))-1),iff_yuvarMax),0))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IF($A885="","",IFERROR(ROUND($H885*((INDEX(tblKurallar[deger_2025],MATCH("IFF-001",tblKurallar[kural_id],0))+(1-INDEX(tblKurallar[deger_2025],MATCH("IFF-001",tblKurallar[kural_id],0)))*IF($C885=0,0,$D885/$C885))-1),iff_yuvarMax),0))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IF($A886="","",IFERROR(ROUND($H886*((INDEX(tblKurallar[deger_2025],MATCH("IFF-001",tblKurallar[kural_id],0))+(1-INDEX(tblKurallar[deger_2025],MATCH("IFF-001",tblKurallar[kural_id],0)))*IF($C886=0,0,$D886/$C886))-1),iff_yuvarMax),0))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IF($A887="","",IFERROR(ROUND($H887*((INDEX(tblKurallar[deger_2025],MATCH("IFF-001",tblKurallar[kural_id],0))+(1-INDEX(tblKurallar[deger_2025],MATCH("IFF-001",tblKurallar[kural_id],0)))*IF($C887=0,0,$D887/$C887))-1),iff_yuvarMax),0))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IF($A888="","",IFERROR(ROUND($H888*((INDEX(tblKurallar[deger_2025],MATCH("IFF-001",tblKurallar[kural_id],0))+(1-INDEX(tblKurallar[deger_2025],MATCH("IFF-001",tblKurallar[kural_id],0)))*IF($C888=0,0,$D888/$C888))-1),iff_yuvarMax),0))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IF($A889="","",IFERROR(ROUND($H889*((INDEX(tblKurallar[deger_2025],MATCH("IFF-001",tblKurallar[kural_id],0))+(1-INDEX(tblKurallar[deger_2025],MATCH("IFF-001",tblKurallar[kural_id],0)))*IF($C889=0,0,$D889/$C889))-1),iff_yuvarMax),0))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IF($A890="","",IFERROR(ROUND($H890*((INDEX(tblKurallar[deger_2025],MATCH("IFF-001",tblKurallar[kural_id],0))+(1-INDEX(tblKurallar[deger_2025],MATCH("IFF-001",tblKurallar[kural_id],0)))*IF($C890=0,0,$D890/$C890))-1),iff_yuvarMax),0))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IF($A891="","",IFERROR(ROUND($H891*((INDEX(tblKurallar[deger_2025],MATCH("IFF-001",tblKurallar[kural_id],0))+(1-INDEX(tblKurallar[deger_2025],MATCH("IFF-001",tblKurallar[kural_id],0)))*IF($C891=0,0,$D891/$C891))-1),iff_yuvarMax),0))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IF($A892="","",IFERROR(ROUND($H892*((INDEX(tblKurallar[deger_2025],MATCH("IFF-001",tblKurallar[kural_id],0))+(1-INDEX(tblKurallar[deger_2025],MATCH("IFF-001",tblKurallar[kural_id],0)))*IF($C892=0,0,$D892/$C892))-1),iff_yuvarMax),0))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IF($A893="","",IFERROR(ROUND($H893*((INDEX(tblKurallar[deger_2025],MATCH("IFF-001",tblKurallar[kural_id],0))+(1-INDEX(tblKurallar[deger_2025],MATCH("IFF-001",tblKurallar[kural_id],0)))*IF($C893=0,0,$D893/$C893))-1),iff_yuvarMax),0))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IF($A894="","",IFERROR(ROUND($H894*((INDEX(tblKurallar[deger_2025],MATCH("IFF-001",tblKurallar[kural_id],0))+(1-INDEX(tblKurallar[deger_2025],MATCH("IFF-001",tblKurallar[kural_id],0)))*IF($C894=0,0,$D894/$C894))-1),iff_yuvarMax),0))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IF($A895="","",IFERROR(ROUND($H895*((INDEX(tblKurallar[deger_2025],MATCH("IFF-001",tblKurallar[kural_id],0))+(1-INDEX(tblKurallar[deger_2025],MATCH("IFF-001",tblKurallar[kural_id],0)))*IF($C895=0,0,$D895/$C895))-1),iff_yuvarMax),0))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IF($A896="","",IFERROR(ROUND($H896*((INDEX(tblKurallar[deger_2025],MATCH("IFF-001",tblKurallar[kural_id],0))+(1-INDEX(tblKurallar[deger_2025],MATCH("IFF-001",tblKurallar[kural_id],0)))*IF($C896=0,0,$D896/$C896))-1),iff_yuvarMax),0))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IF($A897="","",IFERROR(ROUND($H897*((INDEX(tblKurallar[deger_2025],MATCH("IFF-001",tblKurallar[kural_id],0))+(1-INDEX(tblKurallar[deger_2025],MATCH("IFF-001",tblKurallar[kural_id],0)))*IF($C897=0,0,$D897/$C897))-1),iff_yuvarMax),0))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IF($A898="","",IFERROR(ROUND($H898*((INDEX(tblKurallar[deger_2025],MATCH("IFF-001",tblKurallar[kural_id],0))+(1-INDEX(tblKurallar[deger_2025],MATCH("IFF-001",tblKurallar[kural_id],0)))*IF($C898=0,0,$D898/$C898))-1),iff_yuvarMax),0))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IF($A899="","",IFERROR(ROUND($H899*((INDEX(tblKurallar[deger_2025],MATCH("IFF-001",tblKurallar[kural_id],0))+(1-INDEX(tblKurallar[deger_2025],MATCH("IFF-001",tblKurallar[kural_id],0)))*IF($C899=0,0,$D899/$C899))-1),iff_yuvarMax),0))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IF($A900="","",IFERROR(ROUND($H900*((INDEX(tblKurallar[deger_2025],MATCH("IFF-001",tblKurallar[kural_id],0))+(1-INDEX(tblKurallar[deger_2025],MATCH("IFF-001",tblKurallar[kural_id],0)))*IF($C900=0,0,$D900/$C900))-1),iff_yuvarMax),0))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IF($A901="","",IFERROR(ROUND($H901*((INDEX(tblKurallar[deger_2025],MATCH("IFF-001",tblKurallar[kural_id],0))+(1-INDEX(tblKurallar[deger_2025],MATCH("IFF-001",tblKurallar[kural_id],0)))*IF($C901=0,0,$D901/$C901))-1),iff_yuvarMax),0))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IF($A902="","",IFERROR(ROUND($H902*((INDEX(tblKurallar[deger_2025],MATCH("IFF-001",tblKurallar[kural_id],0))+(1-INDEX(tblKurallar[deger_2025],MATCH("IFF-001",tblKurallar[kural_id],0)))*IF($C902=0,0,$D902/$C902))-1),iff_yuvarMax),0))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IF($A903="","",IFERROR(ROUND($H903*((INDEX(tblKurallar[deger_2025],MATCH("IFF-001",tblKurallar[kural_id],0))+(1-INDEX(tblKurallar[deger_2025],MATCH("IFF-001",tblKurallar[kural_id],0)))*IF($C903=0,0,$D903/$C903))-1),iff_yuvarMax),0))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IF($A904="","",IFERROR(ROUND($H904*((INDEX(tblKurallar[deger_2025],MATCH("IFF-001",tblKurallar[kural_id],0))+(1-INDEX(tblKurallar[deger_2025],MATCH("IFF-001",tblKurallar[kural_id],0)))*IF($C904=0,0,$D904/$C904))-1),iff_yuvarMax),0))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IF($A905="","",IFERROR(ROUND($H905*((INDEX(tblKurallar[deger_2025],MATCH("IFF-001",tblKurallar[kural_id],0))+(1-INDEX(tblKurallar[deger_2025],MATCH("IFF-001",tblKurallar[kural_id],0)))*IF($C905=0,0,$D905/$C905))-1),iff_yuvarMax),0))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IF($A906="","",IFERROR(ROUND($H906*((INDEX(tblKurallar[deger_2025],MATCH("IFF-001",tblKurallar[kural_id],0))+(1-INDEX(tblKurallar[deger_2025],MATCH("IFF-001",tblKurallar[kural_id],0)))*IF($C906=0,0,$D906/$C906))-1),iff_yuvarMax),0))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IF($A907="","",IFERROR(ROUND($H907*((INDEX(tblKurallar[deger_2025],MATCH("IFF-001",tblKurallar[kural_id],0))+(1-INDEX(tblKurallar[deger_2025],MATCH("IFF-001",tblKurallar[kural_id],0)))*IF($C907=0,0,$D907/$C907))-1),iff_yuvarMax),0))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IF($A908="","",IFERROR(ROUND($H908*((INDEX(tblKurallar[deger_2025],MATCH("IFF-001",tblKurallar[kural_id],0))+(1-INDEX(tblKurallar[deger_2025],MATCH("IFF-001",tblKurallar[kural_id],0)))*IF($C908=0,0,$D908/$C908))-1),iff_yuvarMax),0))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IF($A909="","",IFERROR(ROUND($H909*((INDEX(tblKurallar[deger_2025],MATCH("IFF-001",tblKurallar[kural_id],0))+(1-INDEX(tblKurallar[deger_2025],MATCH("IFF-001",tblKurallar[kural_id],0)))*IF($C909=0,0,$D909/$C909))-1),iff_yuvarMax),0))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IF($A910="","",IFERROR(ROUND($H910*((INDEX(tblKurallar[deger_2025],MATCH("IFF-001",tblKurallar[kural_id],0))+(1-INDEX(tblKurallar[deger_2025],MATCH("IFF-001",tblKurallar[kural_id],0)))*IF($C910=0,0,$D910/$C910))-1),iff_yuvarMax),0))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IF($A911="","",IFERROR(ROUND($H911*((INDEX(tblKurallar[deger_2025],MATCH("IFF-001",tblKurallar[kural_id],0))+(1-INDEX(tblKurallar[deger_2025],MATCH("IFF-001",tblKurallar[kural_id],0)))*IF($C911=0,0,$D911/$C911))-1),iff_yuvarMax),0))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IF($A912="","",IFERROR(ROUND($H912*((INDEX(tblKurallar[deger_2025],MATCH("IFF-001",tblKurallar[kural_id],0))+(1-INDEX(tblKurallar[deger_2025],MATCH("IFF-001",tblKurallar[kural_id],0)))*IF($C912=0,0,$D912/$C912))-1),iff_yuvarMax),0))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IF($A913="","",IFERROR(ROUND($H913*((INDEX(tblKurallar[deger_2025],MATCH("IFF-001",tblKurallar[kural_id],0))+(1-INDEX(tblKurallar[deger_2025],MATCH("IFF-001",tblKurallar[kural_id],0)))*IF($C913=0,0,$D913/$C913))-1),iff_yuvarMax),0))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IF($A914="","",IFERROR(ROUND($H914*((INDEX(tblKurallar[deger_2025],MATCH("IFF-001",tblKurallar[kural_id],0))+(1-INDEX(tblKurallar[deger_2025],MATCH("IFF-001",tblKurallar[kural_id],0)))*IF($C914=0,0,$D914/$C914))-1),iff_yuvarMax),0))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IF($A915="","",IFERROR(ROUND($H915*((INDEX(tblKurallar[deger_2025],MATCH("IFF-001",tblKurallar[kural_id],0))+(1-INDEX(tblKurallar[deger_2025],MATCH("IFF-001",tblKurallar[kural_id],0)))*IF($C915=0,0,$D915/$C915))-1),iff_yuvarMax),0))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IF($A916="","",IFERROR(ROUND($H916*((INDEX(tblKurallar[deger_2025],MATCH("IFF-001",tblKurallar[kural_id],0))+(1-INDEX(tblKurallar[deger_2025],MATCH("IFF-001",tblKurallar[kural_id],0)))*IF($C916=0,0,$D916/$C916))-1),iff_yuvarMax),0))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IF($A917="","",IFERROR(ROUND($H917*((INDEX(tblKurallar[deger_2025],MATCH("IFF-001",tblKurallar[kural_id],0))+(1-INDEX(tblKurallar[deger_2025],MATCH("IFF-001",tblKurallar[kural_id],0)))*IF($C917=0,0,$D917/$C917))-1),iff_yuvarMax),0))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IF($A918="","",IFERROR(ROUND($H918*((INDEX(tblKurallar[deger_2025],MATCH("IFF-001",tblKurallar[kural_id],0))+(1-INDEX(tblKurallar[deger_2025],MATCH("IFF-001",tblKurallar[kural_id],0)))*IF($C918=0,0,$D918/$C918))-1),iff_yuvarMax),0))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IF($A919="","",IFERROR(ROUND($H919*((INDEX(tblKurallar[deger_2025],MATCH("IFF-001",tblKurallar[kural_id],0))+(1-INDEX(tblKurallar[deger_2025],MATCH("IFF-001",tblKurallar[kural_id],0)))*IF($C919=0,0,$D919/$C919))-1),iff_yuvarMax),0))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IF($A920="","",IFERROR(ROUND($H920*((INDEX(tblKurallar[deger_2025],MATCH("IFF-001",tblKurallar[kural_id],0))+(1-INDEX(tblKurallar[deger_2025],MATCH("IFF-001",tblKurallar[kural_id],0)))*IF($C920=0,0,$D920/$C920))-1),iff_yuvarMax),0))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IF($A921="","",IFERROR(ROUND($H921*((INDEX(tblKurallar[deger_2025],MATCH("IFF-001",tblKurallar[kural_id],0))+(1-INDEX(tblKurallar[deger_2025],MATCH("IFF-001",tblKurallar[kural_id],0)))*IF($C921=0,0,$D921/$C921))-1),iff_yuvarMax),0))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IF($A922="","",IFERROR(ROUND($H922*((INDEX(tblKurallar[deger_2025],MATCH("IFF-001",tblKurallar[kural_id],0))+(1-INDEX(tblKurallar[deger_2025],MATCH("IFF-001",tblKurallar[kural_id],0)))*IF($C922=0,0,$D922/$C922))-1),iff_yuvarMax),0))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IF($A923="","",IFERROR(ROUND($H923*((INDEX(tblKurallar[deger_2025],MATCH("IFF-001",tblKurallar[kural_id],0))+(1-INDEX(tblKurallar[deger_2025],MATCH("IFF-001",tblKurallar[kural_id],0)))*IF($C923=0,0,$D923/$C923))-1),iff_yuvarMax),0))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IF($A924="","",IFERROR(ROUND($H924*((INDEX(tblKurallar[deger_2025],MATCH("IFF-001",tblKurallar[kural_id],0))+(1-INDEX(tblKurallar[deger_2025],MATCH("IFF-001",tblKurallar[kural_id],0)))*IF($C924=0,0,$D924/$C924))-1),iff_yuvarMax),0))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IF($A925="","",IFERROR(ROUND($H925*((INDEX(tblKurallar[deger_2025],MATCH("IFF-001",tblKurallar[kural_id],0))+(1-INDEX(tblKurallar[deger_2025],MATCH("IFF-001",tblKurallar[kural_id],0)))*IF($C925=0,0,$D925/$C925))-1),iff_yuvarMax),0))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IF($A926="","",IFERROR(ROUND($H926*((INDEX(tblKurallar[deger_2025],MATCH("IFF-001",tblKurallar[kural_id],0))+(1-INDEX(tblKurallar[deger_2025],MATCH("IFF-001",tblKurallar[kural_id],0)))*IF($C926=0,0,$D926/$C926))-1),iff_yuvarMax),0))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IF($A927="","",IFERROR(ROUND($H927*((INDEX(tblKurallar[deger_2025],MATCH("IFF-001",tblKurallar[kural_id],0))+(1-INDEX(tblKurallar[deger_2025],MATCH("IFF-001",tblKurallar[kural_id],0)))*IF($C927=0,0,$D927/$C927))-1),iff_yuvarMax),0))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IF($A928="","",IFERROR(ROUND($H928*((INDEX(tblKurallar[deger_2025],MATCH("IFF-001",tblKurallar[kural_id],0))+(1-INDEX(tblKurallar[deger_2025],MATCH("IFF-001",tblKurallar[kural_id],0)))*IF($C928=0,0,$D928/$C928))-1),iff_yuvarMax),0))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IF($A929="","",IFERROR(ROUND($H929*((INDEX(tblKurallar[deger_2025],MATCH("IFF-001",tblKurallar[kural_id],0))+(1-INDEX(tblKurallar[deger_2025],MATCH("IFF-001",tblKurallar[kural_id],0)))*IF($C929=0,0,$D929/$C929))-1),iff_yuvarMax),0))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IF($A930="","",IFERROR(ROUND($H930*((INDEX(tblKurallar[deger_2025],MATCH("IFF-001",tblKurallar[kural_id],0))+(1-INDEX(tblKurallar[deger_2025],MATCH("IFF-001",tblKurallar[kural_id],0)))*IF($C930=0,0,$D930/$C930))-1),iff_yuvarMax),0))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IF($A931="","",IFERROR(ROUND($H931*((INDEX(tblKurallar[deger_2025],MATCH("IFF-001",tblKurallar[kural_id],0))+(1-INDEX(tblKurallar[deger_2025],MATCH("IFF-001",tblKurallar[kural_id],0)))*IF($C931=0,0,$D931/$C931))-1),iff_yuvarMax),0))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IF($A932="","",IFERROR(ROUND($H932*((INDEX(tblKurallar[deger_2025],MATCH("IFF-001",tblKurallar[kural_id],0))+(1-INDEX(tblKurallar[deger_2025],MATCH("IFF-001",tblKurallar[kural_id],0)))*IF($C932=0,0,$D932/$C932))-1),iff_yuvarMax),0))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IF($A933="","",IFERROR(ROUND($H933*((INDEX(tblKurallar[deger_2025],MATCH("IFF-001",tblKurallar[kural_id],0))+(1-INDEX(tblKurallar[deger_2025],MATCH("IFF-001",tblKurallar[kural_id],0)))*IF($C933=0,0,$D933/$C933))-1),iff_yuvarMax),0))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IF($A934="","",IFERROR(ROUND($H934*((INDEX(tblKurallar[deger_2025],MATCH("IFF-001",tblKurallar[kural_id],0))+(1-INDEX(tblKurallar[deger_2025],MATCH("IFF-001",tblKurallar[kural_id],0)))*IF($C934=0,0,$D934/$C934))-1),iff_yuvarMax),0))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IF($A935="","",IFERROR(ROUND($H935*((INDEX(tblKurallar[deger_2025],MATCH("IFF-001",tblKurallar[kural_id],0))+(1-INDEX(tblKurallar[deger_2025],MATCH("IFF-001",tblKurallar[kural_id],0)))*IF($C935=0,0,$D935/$C935))-1),iff_yuvarMax),0))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IF($A936="","",IFERROR(ROUND($H936*((INDEX(tblKurallar[deger_2025],MATCH("IFF-001",tblKurallar[kural_id],0))+(1-INDEX(tblKurallar[deger_2025],MATCH("IFF-001",tblKurallar[kural_id],0)))*IF($C936=0,0,$D936/$C936))-1),iff_yuvarMax),0))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IF($A937="","",IFERROR(ROUND($H937*((INDEX(tblKurallar[deger_2025],MATCH("IFF-001",tblKurallar[kural_id],0))+(1-INDEX(tblKurallar[deger_2025],MATCH("IFF-001",tblKurallar[kural_id],0)))*IF($C937=0,0,$D937/$C937))-1),iff_yuvarMax),0))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IF($A938="","",IFERROR(ROUND($H938*((INDEX(tblKurallar[deger_2025],MATCH("IFF-001",tblKurallar[kural_id],0))+(1-INDEX(tblKurallar[deger_2025],MATCH("IFF-001",tblKurallar[kural_id],0)))*IF($C938=0,0,$D938/$C938))-1),iff_yuvarMax),0))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IF($A939="","",IFERROR(ROUND($H939*((INDEX(tblKurallar[deger_2025],MATCH("IFF-001",tblKurallar[kural_id],0))+(1-INDEX(tblKurallar[deger_2025],MATCH("IFF-001",tblKurallar[kural_id],0)))*IF($C939=0,0,$D939/$C939))-1),iff_yuvarMax),0))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IF($A940="","",IFERROR(ROUND($H940*((INDEX(tblKurallar[deger_2025],MATCH("IFF-001",tblKurallar[kural_id],0))+(1-INDEX(tblKurallar[deger_2025],MATCH("IFF-001",tblKurallar[kural_id],0)))*IF($C940=0,0,$D940/$C940))-1),iff_yuvarMax),0))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IF($A941="","",IFERROR(ROUND($H941*((INDEX(tblKurallar[deger_2025],MATCH("IFF-001",tblKurallar[kural_id],0))+(1-INDEX(tblKurallar[deger_2025],MATCH("IFF-001",tblKurallar[kural_id],0)))*IF($C941=0,0,$D941/$C941))-1),iff_yuvarMax),0))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IF($A942="","",IFERROR(ROUND($H942*((INDEX(tblKurallar[deger_2025],MATCH("IFF-001",tblKurallar[kural_id],0))+(1-INDEX(tblKurallar[deger_2025],MATCH("IFF-001",tblKurallar[kural_id],0)))*IF($C942=0,0,$D942/$C942))-1),iff_yuvarMax),0))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IF($A943="","",IFERROR(ROUND($H943*((INDEX(tblKurallar[deger_2025],MATCH("IFF-001",tblKurallar[kural_id],0))+(1-INDEX(tblKurallar[deger_2025],MATCH("IFF-001",tblKurallar[kural_id],0)))*IF($C943=0,0,$D943/$C943))-1),iff_yuvarMax),0))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IF($A944="","",IFERROR(ROUND($H944*((INDEX(tblKurallar[deger_2025],MATCH("IFF-001",tblKurallar[kural_id],0))+(1-INDEX(tblKurallar[deger_2025],MATCH("IFF-001",tblKurallar[kural_id],0)))*IF($C944=0,0,$D944/$C944))-1),iff_yuvarMax),0))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IF($A945="","",IFERROR(ROUND($H945*((INDEX(tblKurallar[deger_2025],MATCH("IFF-001",tblKurallar[kural_id],0))+(1-INDEX(tblKurallar[deger_2025],MATCH("IFF-001",tblKurallar[kural_id],0)))*IF($C945=0,0,$D945/$C945))-1),iff_yuvarMax),0))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IF($A946="","",IFERROR(ROUND($H946*((INDEX(tblKurallar[deger_2025],MATCH("IFF-001",tblKurallar[kural_id],0))+(1-INDEX(tblKurallar[deger_2025],MATCH("IFF-001",tblKurallar[kural_id],0)))*IF($C946=0,0,$D946/$C946))-1),iff_yuvarMax),0))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IF($A947="","",IFERROR(ROUND($H947*((INDEX(tblKurallar[deger_2025],MATCH("IFF-001",tblKurallar[kural_id],0))+(1-INDEX(tblKurallar[deger_2025],MATCH("IFF-001",tblKurallar[kural_id],0)))*IF($C947=0,0,$D947/$C947))-1),iff_yuvarMax),0))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IF($A948="","",IFERROR(ROUND($H948*((INDEX(tblKurallar[deger_2025],MATCH("IFF-001",tblKurallar[kural_id],0))+(1-INDEX(tblKurallar[deger_2025],MATCH("IFF-001",tblKurallar[kural_id],0)))*IF($C948=0,0,$D948/$C948))-1),iff_yuvarMax),0))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IF($A949="","",IFERROR(ROUND($H949*((INDEX(tblKurallar[deger_2025],MATCH("IFF-001",tblKurallar[kural_id],0))+(1-INDEX(tblKurallar[deger_2025],MATCH("IFF-001",tblKurallar[kural_id],0)))*IF($C949=0,0,$D949/$C949))-1),iff_yuvarMax),0))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IF($A950="","",IFERROR(ROUND($H950*((INDEX(tblKurallar[deger_2025],MATCH("IFF-001",tblKurallar[kural_id],0))+(1-INDEX(tblKurallar[deger_2025],MATCH("IFF-001",tblKurallar[kural_id],0)))*IF($C950=0,0,$D950/$C950))-1),iff_yuvarMax),0))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IF($A951="","",IFERROR(ROUND($H951*((INDEX(tblKurallar[deger_2025],MATCH("IFF-001",tblKurallar[kural_id],0))+(1-INDEX(tblKurallar[deger_2025],MATCH("IFF-001",tblKurallar[kural_id],0)))*IF($C951=0,0,$D951/$C951))-1),iff_yuvarMax),0))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IF($A952="","",IFERROR(ROUND($H952*((INDEX(tblKurallar[deger_2025],MATCH("IFF-001",tblKurallar[kural_id],0))+(1-INDEX(tblKurallar[deger_2025],MATCH("IFF-001",tblKurallar[kural_id],0)))*IF($C952=0,0,$D952/$C952))-1),iff_yuvarMax),0))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IF($A953="","",IFERROR(ROUND($H953*((INDEX(tblKurallar[deger_2025],MATCH("IFF-001",tblKurallar[kural_id],0))+(1-INDEX(tblKurallar[deger_2025],MATCH("IFF-001",tblKurallar[kural_id],0)))*IF($C953=0,0,$D953/$C953))-1),iff_yuvarMax),0))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IF($A954="","",IFERROR(ROUND($H954*((INDEX(tblKurallar[deger_2025],MATCH("IFF-001",tblKurallar[kural_id],0))+(1-INDEX(tblKurallar[deger_2025],MATCH("IFF-001",tblKurallar[kural_id],0)))*IF($C954=0,0,$D954/$C954))-1),iff_yuvarMax),0))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IF($A955="","",IFERROR(ROUND($H955*((INDEX(tblKurallar[deger_2025],MATCH("IFF-001",tblKurallar[kural_id],0))+(1-INDEX(tblKurallar[deger_2025],MATCH("IFF-001",tblKurallar[kural_id],0)))*IF($C955=0,0,$D955/$C955))-1),iff_yuvarMax),0))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IF($A956="","",IFERROR(ROUND($H956*((INDEX(tblKurallar[deger_2025],MATCH("IFF-001",tblKurallar[kural_id],0))+(1-INDEX(tblKurallar[deger_2025],MATCH("IFF-001",tblKurallar[kural_id],0)))*IF($C956=0,0,$D956/$C956))-1),iff_yuvarMax),0))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IF($A957="","",IFERROR(ROUND($H957*((INDEX(tblKurallar[deger_2025],MATCH("IFF-001",tblKurallar[kural_id],0))+(1-INDEX(tblKurallar[deger_2025],MATCH("IFF-001",tblKurallar[kural_id],0)))*IF($C957=0,0,$D957/$C957))-1),iff_yuvarMax),0))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IF($A958="","",IFERROR(ROUND($H958*((INDEX(tblKurallar[deger_2025],MATCH("IFF-001",tblKurallar[kural_id],0))+(1-INDEX(tblKurallar[deger_2025],MATCH("IFF-001",tblKurallar[kural_id],0)))*IF($C958=0,0,$D958/$C958))-1),iff_yuvarMax),0))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IF($A959="","",IFERROR(ROUND($H959*((INDEX(tblKurallar[deger_2025],MATCH("IFF-001",tblKurallar[kural_id],0))+(1-INDEX(tblKurallar[deger_2025],MATCH("IFF-001",tblKurallar[kural_id],0)))*IF($C959=0,0,$D959/$C959))-1),iff_yuvarMax),0))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IF($A960="","",IFERROR(ROUND($H960*((INDEX(tblKurallar[deger_2025],MATCH("IFF-001",tblKurallar[kural_id],0))+(1-INDEX(tblKurallar[deger_2025],MATCH("IFF-001",tblKurallar[kural_id],0)))*IF($C960=0,0,$D960/$C960))-1),iff_yuvarMax),0))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IF($A961="","",IFERROR(ROUND($H961*((INDEX(tblKurallar[deger_2025],MATCH("IFF-001",tblKurallar[kural_id],0))+(1-INDEX(tblKurallar[deger_2025],MATCH("IFF-001",tblKurallar[kural_id],0)))*IF($C961=0,0,$D961/$C961))-1),iff_yuvarMax),0))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IF($A962="","",IFERROR(ROUND($H962*((INDEX(tblKurallar[deger_2025],MATCH("IFF-001",tblKurallar[kural_id],0))+(1-INDEX(tblKurallar[deger_2025],MATCH("IFF-001",tblKurallar[kural_id],0)))*IF($C962=0,0,$D962/$C962))-1),iff_yuvarMax),0))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IF($A963="","",IFERROR(ROUND($H963*((INDEX(tblKurallar[deger_2025],MATCH("IFF-001",tblKurallar[kural_id],0))+(1-INDEX(tblKurallar[deger_2025],MATCH("IFF-001",tblKurallar[kural_id],0)))*IF($C963=0,0,$D963/$C963))-1),iff_yuvarMax),0))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IF($A964="","",IFERROR(ROUND($H964*((INDEX(tblKurallar[deger_2025],MATCH("IFF-001",tblKurallar[kural_id],0))+(1-INDEX(tblKurallar[deger_2025],MATCH("IFF-001",tblKurallar[kural_id],0)))*IF($C964=0,0,$D964/$C964))-1),iff_yuvarMax),0))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IF($A965="","",IFERROR(ROUND($H965*((INDEX(tblKurallar[deger_2025],MATCH("IFF-001",tblKurallar[kural_id],0))+(1-INDEX(tblKurallar[deger_2025],MATCH("IFF-001",tblKurallar[kural_id],0)))*IF($C965=0,0,$D965/$C965))-1),iff_yuvarMax),0))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IF($A966="","",IFERROR(ROUND($H966*((INDEX(tblKurallar[deger_2025],MATCH("IFF-001",tblKurallar[kural_id],0))+(1-INDEX(tblKurallar[deger_2025],MATCH("IFF-001",tblKurallar[kural_id],0)))*IF($C966=0,0,$D966/$C966))-1),iff_yuvarMax),0))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IF($A967="","",IFERROR(ROUND($H967*((INDEX(tblKurallar[deger_2025],MATCH("IFF-001",tblKurallar[kural_id],0))+(1-INDEX(tblKurallar[deger_2025],MATCH("IFF-001",tblKurallar[kural_id],0)))*IF($C967=0,0,$D967/$C967))-1),iff_yuvarMax),0))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IF($A968="","",IFERROR(ROUND($H968*((INDEX(tblKurallar[deger_2025],MATCH("IFF-001",tblKurallar[kural_id],0))+(1-INDEX(tblKurallar[deger_2025],MATCH("IFF-001",tblKurallar[kural_id],0)))*IF($C968=0,0,$D968/$C968))-1),iff_yuvarMax),0))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IF($A969="","",IFERROR(ROUND($H969*((INDEX(tblKurallar[deger_2025],MATCH("IFF-001",tblKurallar[kural_id],0))+(1-INDEX(tblKurallar[deger_2025],MATCH("IFF-001",tblKurallar[kural_id],0)))*IF($C969=0,0,$D969/$C969))-1),iff_yuvarMax),0))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IF($A970="","",IFERROR(ROUND($H970*((INDEX(tblKurallar[deger_2025],MATCH("IFF-001",tblKurallar[kural_id],0))+(1-INDEX(tblKurallar[deger_2025],MATCH("IFF-001",tblKurallar[kural_id],0)))*IF($C970=0,0,$D970/$C970))-1),iff_yuvarMax),0))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IF($A971="","",IFERROR(ROUND($H971*((INDEX(tblKurallar[deger_2025],MATCH("IFF-001",tblKurallar[kural_id],0))+(1-INDEX(tblKurallar[deger_2025],MATCH("IFF-001",tblKurallar[kural_id],0)))*IF($C971=0,0,$D971/$C971))-1),iff_yuvarMax),0))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IF($A972="","",IFERROR(ROUND($H972*((INDEX(tblKurallar[deger_2025],MATCH("IFF-001",tblKurallar[kural_id],0))+(1-INDEX(tblKurallar[deger_2025],MATCH("IFF-001",tblKurallar[kural_id],0)))*IF($C972=0,0,$D972/$C972))-1),iff_yuvarMax),0))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IF($A973="","",IFERROR(ROUND($H973*((INDEX(tblKurallar[deger_2025],MATCH("IFF-001",tblKurallar[kural_id],0))+(1-INDEX(tblKurallar[deger_2025],MATCH("IFF-001",tblKurallar[kural_id],0)))*IF($C973=0,0,$D973/$C973))-1),iff_yuvarMax),0))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IF($A974="","",IFERROR(ROUND($H974*((INDEX(tblKurallar[deger_2025],MATCH("IFF-001",tblKurallar[kural_id],0))+(1-INDEX(tblKurallar[deger_2025],MATCH("IFF-001",tblKurallar[kural_id],0)))*IF($C974=0,0,$D974/$C974))-1),iff_yuvarMax),0))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IF($A975="","",IFERROR(ROUND($H975*((INDEX(tblKurallar[deger_2025],MATCH("IFF-001",tblKurallar[kural_id],0))+(1-INDEX(tblKurallar[deger_2025],MATCH("IFF-001",tblKurallar[kural_id],0)))*IF($C975=0,0,$D975/$C975))-1),iff_yuvarMax),0))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IF($A976="","",IFERROR(ROUND($H976*((INDEX(tblKurallar[deger_2025],MATCH("IFF-001",tblKurallar[kural_id],0))+(1-INDEX(tblKurallar[deger_2025],MATCH("IFF-001",tblKurallar[kural_id],0)))*IF($C976=0,0,$D976/$C976))-1),iff_yuvarMax),0))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IF($A977="","",IFERROR(ROUND($H977*((INDEX(tblKurallar[deger_2025],MATCH("IFF-001",tblKurallar[kural_id],0))+(1-INDEX(tblKurallar[deger_2025],MATCH("IFF-001",tblKurallar[kural_id],0)))*IF($C977=0,0,$D977/$C977))-1),iff_yuvarMax),0))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IF($A978="","",IFERROR(ROUND($H978*((INDEX(tblKurallar[deger_2025],MATCH("IFF-001",tblKurallar[kural_id],0))+(1-INDEX(tblKurallar[deger_2025],MATCH("IFF-001",tblKurallar[kural_id],0)))*IF($C978=0,0,$D978/$C978))-1),iff_yuvarMax),0))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IF($A979="","",IFERROR(ROUND($H979*((INDEX(tblKurallar[deger_2025],MATCH("IFF-001",tblKurallar[kural_id],0))+(1-INDEX(tblKurallar[deger_2025],MATCH("IFF-001",tblKurallar[kural_id],0)))*IF($C979=0,0,$D979/$C979))-1),iff_yuvarMax),0))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IF($A980="","",IFERROR(ROUND($H980*((INDEX(tblKurallar[deger_2025],MATCH("IFF-001",tblKurallar[kural_id],0))+(1-INDEX(tblKurallar[deger_2025],MATCH("IFF-001",tblKurallar[kural_id],0)))*IF($C980=0,0,$D980/$C980))-1),iff_yuvarMax),0))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IF($A981="","",IFERROR(ROUND($H981*((INDEX(tblKurallar[deger_2025],MATCH("IFF-001",tblKurallar[kural_id],0))+(1-INDEX(tblKurallar[deger_2025],MATCH("IFF-001",tblKurallar[kural_id],0)))*IF($C981=0,0,$D981/$C981))-1),iff_yuvarMax),0))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IF($A982="","",IFERROR(ROUND($H982*((INDEX(tblKurallar[deger_2025],MATCH("IFF-001",tblKurallar[kural_id],0))+(1-INDEX(tblKurallar[deger_2025],MATCH("IFF-001",tblKurallar[kural_id],0)))*IF($C982=0,0,$D982/$C982))-1),iff_yuvarMax),0))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IF($A983="","",IFERROR(ROUND($H983*((INDEX(tblKurallar[deger_2025],MATCH("IFF-001",tblKurallar[kural_id],0))+(1-INDEX(tblKurallar[deger_2025],MATCH("IFF-001",tblKurallar[kural_id],0)))*IF($C983=0,0,$D983/$C983))-1),iff_yuvarMax),0))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IF($A984="","",IFERROR(ROUND($H984*((INDEX(tblKurallar[deger_2025],MATCH("IFF-001",tblKurallar[kural_id],0))+(1-INDEX(tblKurallar[deger_2025],MATCH("IFF-001",tblKurallar[kural_id],0)))*IF($C984=0,0,$D984/$C984))-1),iff_yuvarMax),0))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IF($A985="","",IFERROR(ROUND($H985*((INDEX(tblKurallar[deger_2025],MATCH("IFF-001",tblKurallar[kural_id],0))+(1-INDEX(tblKurallar[deger_2025],MATCH("IFF-001",tblKurallar[kural_id],0)))*IF($C985=0,0,$D985/$C985))-1),iff_yuvarMax),0))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IF($A986="","",IFERROR(ROUND($H986*((INDEX(tblKurallar[deger_2025],MATCH("IFF-001",tblKurallar[kural_id],0))+(1-INDEX(tblKurallar[deger_2025],MATCH("IFF-001",tblKurallar[kural_id],0)))*IF($C986=0,0,$D986/$C986))-1),iff_yuvarMax),0))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IF($A987="","",IFERROR(ROUND($H987*((INDEX(tblKurallar[deger_2025],MATCH("IFF-001",tblKurallar[kural_id],0))+(1-INDEX(tblKurallar[deger_2025],MATCH("IFF-001",tblKurallar[kural_id],0)))*IF($C987=0,0,$D987/$C987))-1),iff_yuvarMax),0))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IF($A988="","",IFERROR(ROUND($H988*((INDEX(tblKurallar[deger_2025],MATCH("IFF-001",tblKurallar[kural_id],0))+(1-INDEX(tblKurallar[deger_2025],MATCH("IFF-001",tblKurallar[kural_id],0)))*IF($C988=0,0,$D988/$C988))-1),iff_yuvarMax),0))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IF($A989="","",IFERROR(ROUND($H989*((INDEX(tblKurallar[deger_2025],MATCH("IFF-001",tblKurallar[kural_id],0))+(1-INDEX(tblKurallar[deger_2025],MATCH("IFF-001",tblKurallar[kural_id],0)))*IF($C989=0,0,$D989/$C989))-1),iff_yuvarMax),0))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IF($A990="","",IFERROR(ROUND($H990*((INDEX(tblKurallar[deger_2025],MATCH("IFF-001",tblKurallar[kural_id],0))+(1-INDEX(tblKurallar[deger_2025],MATCH("IFF-001",tblKurallar[kural_id],0)))*IF($C990=0,0,$D990/$C990))-1),iff_yuvarMax),0))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IF($A991="","",IFERROR(ROUND($H991*((INDEX(tblKurallar[deger_2025],MATCH("IFF-001",tblKurallar[kural_id],0))+(1-INDEX(tblKurallar[deger_2025],MATCH("IFF-001",tblKurallar[kural_id],0)))*IF($C991=0,0,$D991/$C991))-1),iff_yuvarMax),0))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IF($A992="","",IFERROR(ROUND($H992*((INDEX(tblKurallar[deger_2025],MATCH("IFF-001",tblKurallar[kural_id],0))+(1-INDEX(tblKurallar[deger_2025],MATCH("IFF-001",tblKurallar[kural_id],0)))*IF($C992=0,0,$D992/$C992))-1),iff_yuvarMax),0))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IF($A993="","",IFERROR(ROUND($H993*((INDEX(tblKurallar[deger_2025],MATCH("IFF-001",tblKurallar[kural_id],0))+(1-INDEX(tblKurallar[deger_2025],MATCH("IFF-001",tblKurallar[kural_id],0)))*IF($C993=0,0,$D993/$C993))-1),iff_yuvarMax),0))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IF($A994="","",IFERROR(ROUND($H994*((INDEX(tblKurallar[deger_2025],MATCH("IFF-001",tblKurallar[kural_id],0))+(1-INDEX(tblKurallar[deger_2025],MATCH("IFF-001",tblKurallar[kural_id],0)))*IF($C994=0,0,$D994/$C994))-1),iff_yuvarMax),0))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IF($A995="","",IFERROR(ROUND($H995*((INDEX(tblKurallar[deger_2025],MATCH("IFF-001",tblKurallar[kural_id],0))+(1-INDEX(tblKurallar[deger_2025],MATCH("IFF-001",tblKurallar[kural_id],0)))*IF($C995=0,0,$D995/$C995))-1),iff_yuvarMax),0))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IF($A996="","",IFERROR(ROUND($H996*((INDEX(tblKurallar[deger_2025],MATCH("IFF-001",tblKurallar[kural_id],0))+(1-INDEX(tblKurallar[deger_2025],MATCH("IFF-001",tblKurallar[kural_id],0)))*IF($C996=0,0,$D996/$C996))-1),iff_yuvarMax),0))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IF($A997="","",IFERROR(ROUND($H997*((INDEX(tblKurallar[deger_2025],MATCH("IFF-001",tblKurallar[kural_id],0))+(1-INDEX(tblKurallar[deger_2025],MATCH("IFF-001",tblKurallar[kural_id],0)))*IF($C997=0,0,$D997/$C997))-1),iff_yuvarMax),0))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IF($A998="","",IFERROR(ROUND($H998*((INDEX(tblKurallar[deger_2025],MATCH("IFF-001",tblKurallar[kural_id],0))+(1-INDEX(tblKurallar[deger_2025],MATCH("IFF-001",tblKurallar[kural_id],0)))*IF($C998=0,0,$D998/$C998))-1),iff_yuvarMax),0))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IF($A999="","",IFERROR(ROUND($H999*((INDEX(tblKurallar[deger_2025],MATCH("IFF-001",tblKurallar[kural_id],0))+(1-INDEX(tblKurallar[deger_2025],MATCH("IFF-001",tblKurallar[kural_id],0)))*IF($C999=0,0,$D999/$C999))-1),iff_yuvarMax),0))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IF($A1000="","",IFERROR(ROUND($H1000*((INDEX(tblKurallar[deger_2025],MATCH("IFF-001",tblKurallar[kural_id],0))+(1-INDEX(tblKurallar[deger_2025],MATCH("IFF-001",tblKurallar[kural_id],0)))*IF($C1000=0,0,$D1000/$C1000))-1),iff_yuvarMax),0))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IF($A1001="","",IFERROR(ROUND($H1001*((INDEX(tblKurallar[deger_2025],MATCH("IFF-001",tblKurallar[kural_id],0))+(1-INDEX(tblKurallar[deger_2025],MATCH("IFF-001",tblKurallar[kural_id],0)))*IF($C1001=0,0,$D1001/$C1001))-1),iff_yuvarMax),0))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IF($A1002="","",IFERROR(ROUND($H1002*((INDEX(tblKurallar[deger_2025],MATCH("IFF-001",tblKurallar[kural_id],0))+(1-INDEX(tblKurallar[deger_2025],MATCH("IFF-001",tblKurallar[kural_id],0)))*IF($C1002=0,0,$D1002/$C1002))-1),iff_yuvarMax),0))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IF($A1003="","",IFERROR(ROUND($H1003*((INDEX(tblKurallar[deger_2025],MATCH("IFF-001",tblKurallar[kural_id],0))+(1-INDEX(tblKurallar[deger_2025],MATCH("IFF-001",tblKurallar[kural_id],0)))*IF($C1003=0,0,$D1003/$C1003))-1),iff_yuvarMax),0))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IF($A1004="","",IFERROR(ROUND($H1004*((INDEX(tblKurallar[deger_2025],MATCH("IFF-001",tblKurallar[kural_id],0))+(1-INDEX(tblKurallar[deger_2025],MATCH("IFF-001",tblKurallar[kural_id],0)))*IF($C1004=0,0,$D1004/$C1004))-1),iff_yuvarMax),0))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0 ile 1e12 arasında." promptTitle="Sözleşme" prompt="Sözleşme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az" prompt="Baz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Güncel" prompt="Günc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şçilik" prompt="İşçilik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Malzeme" prompt="Malzeme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Akaryakıt" prompt="Akaryakıt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0 ile 1e12 arasında." promptTitle="Hakediş" prompt="Hakediş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İhale Fiyat Farkı (Eskalasyon) Pro</t>
        </is>
      </c>
    </row>
    <row r="3" ht="22" customHeight="1">
      <c r="A3" s="226" t="inlineStr">
        <is>
          <t>Doğrulama listeleri</t>
        </is>
      </c>
    </row>
    <row r="5">
      <c r="A5" s="52" t="inlineStr">
        <is>
          <t>Yıllar</t>
        </is>
      </c>
      <c r="C5" s="52" t="inlineStr">
        <is>
          <t>Yorum A/B</t>
        </is>
      </c>
      <c r="E5" s="52" t="inlineStr">
        <is>
          <t>Evet/Hayır</t>
        </is>
      </c>
    </row>
    <row r="6">
      <c r="A6" s="63" t="n">
        <v>2025</v>
      </c>
      <c r="C6" s="61" t="inlineStr">
        <is>
          <t>A</t>
        </is>
      </c>
      <c r="E6" s="61" t="inlineStr">
        <is>
          <t>Evet</t>
        </is>
      </c>
    </row>
    <row r="7">
      <c r="A7" s="63" t="n">
        <v>2026</v>
      </c>
      <c r="C7" s="61" t="inlineStr">
        <is>
          <t>B</t>
        </is>
      </c>
      <c r="E7" s="61" t="inlineStr">
        <is>
          <t>Hayır</t>
        </is>
      </c>
    </row>
    <row r="8">
      <c r="A8" s="6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İhale Fiyat Farkı (Eskalasyon) Pro</t>
        </is>
      </c>
    </row>
    <row r="3" ht="22" customHeight="1">
      <c r="A3" s="226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4">
        <f>IF(A6="","",IF(B6="","EKSİK","TAM"))</f>
        <v/>
      </c>
    </row>
    <row r="7">
      <c r="A7" s="7" t="inlineStr">
        <is>
          <t>raporTarihi</t>
        </is>
      </c>
      <c r="B7" s="65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4">
        <f>IF(A7="","",IF(B7="","EKSİK","TAM"))</f>
        <v/>
      </c>
    </row>
    <row r="8">
      <c r="A8" s="7" t="inlineStr">
        <is>
          <t>iff_tolerans</t>
        </is>
      </c>
      <c r="B8" s="66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4">
        <f>IF(A8="","",IF(B8="","EKSİK","TAM"))</f>
        <v/>
      </c>
    </row>
    <row r="9">
      <c r="A9" s="7" t="inlineStr">
        <is>
          <t>iff_kacirilanEsik</t>
        </is>
      </c>
      <c r="B9" s="66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4">
        <f>IF(A9="","",IF(B9="","EKSİK","TAM"))</f>
        <v/>
      </c>
    </row>
    <row r="10">
      <c r="A10" s="7" t="inlineStr">
        <is>
          <t>iff_senaryoIyi</t>
        </is>
      </c>
      <c r="B10" s="45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4">
        <f>IF(A10="","",IF(B10="","EKSİK","TAM"))</f>
        <v/>
      </c>
    </row>
    <row r="11">
      <c r="A11" s="7" t="inlineStr">
        <is>
          <t>iff_senaryoKotu</t>
        </is>
      </c>
      <c r="B11" s="45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4">
        <f>IF(A11="","",IF(B11="","EKSİK","TAM"))</f>
        <v/>
      </c>
    </row>
    <row r="12">
      <c r="A12" s="7" t="inlineStr">
        <is>
          <t>iff_oranArtisPuan</t>
        </is>
      </c>
      <c r="B12" s="45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4">
        <f>IF(A12="","",IF(B12="","EKSİK","TAM"))</f>
        <v/>
      </c>
    </row>
    <row r="13">
      <c r="A13" s="7" t="inlineStr">
        <is>
          <t>iff_tahminAlt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4">
        <f>IF(A13="","",IF(B13="","EKSİK","TAM"))</f>
        <v/>
      </c>
    </row>
    <row r="14">
      <c r="A14" s="7" t="inlineStr">
        <is>
          <t>iff_tahminUst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4">
        <f>IF(A14="","",IF(B14="","EKSİK","TAM"))</f>
        <v/>
      </c>
    </row>
    <row r="15">
      <c r="A15" s="7" t="inlineStr">
        <is>
          <t>iff_tornadoMatrah</t>
        </is>
      </c>
      <c r="B15" s="45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4">
        <f>IF(A15="","",IF(B15="","EKSİK","TAM"))</f>
        <v/>
      </c>
    </row>
    <row r="16">
      <c r="A16" s="7" t="inlineStr">
        <is>
          <t>iff_tornadoMevcut</t>
        </is>
      </c>
      <c r="B16" s="45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4">
        <f>IF(A16="","",IF(B16="","EKSİK","TAM"))</f>
        <v/>
      </c>
    </row>
    <row r="17">
      <c r="A17" s="7" t="inlineStr">
        <is>
          <t>iff_isverenOran</t>
        </is>
      </c>
      <c r="B17" s="45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4">
        <f>IF(A17="","",IF(B17="","EKSİK","TAM"))</f>
        <v/>
      </c>
    </row>
    <row r="18">
      <c r="A18" s="7" t="inlineStr">
        <is>
          <t>iff_yuzdelikOran</t>
        </is>
      </c>
      <c r="B18" s="45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4">
        <f>IF(A18="","",IF(B18="","EKSİK","TAM"))</f>
        <v/>
      </c>
    </row>
    <row r="19">
      <c r="A19" s="7" t="inlineStr">
        <is>
          <t>iff_parmakIzi</t>
        </is>
      </c>
      <c r="B19" s="67" t="inlineStr">
        <is>
          <t>f085bbe17c3fc0eb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4">
        <f>IF(A19="","",IF(B19="","EKSİK","TAM"))</f>
        <v/>
      </c>
    </row>
    <row r="20">
      <c r="A20" s="7" t="inlineStr">
        <is>
          <t>dosya_surumu</t>
        </is>
      </c>
      <c r="B20" s="6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4">
        <f>IF(A20="","",IF(B20="","EKSİK","TAM"))</f>
        <v/>
      </c>
    </row>
    <row r="21">
      <c r="A21" s="7" t="inlineStr">
        <is>
          <t>iff_girisBeklenen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4">
        <f>IF(A21="","",IF(B21="","EKSİK","TAM"))</f>
        <v/>
      </c>
    </row>
    <row r="22">
      <c r="A22" s="7" t="inlineStr">
        <is>
          <t>iff_riskDusuk</t>
        </is>
      </c>
      <c r="B22" s="46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4">
        <f>IF(A22="","",IF(B22="","EKSİK","TAM"))</f>
        <v/>
      </c>
    </row>
    <row r="23">
      <c r="A23" s="7" t="inlineStr">
        <is>
          <t>iff_riskOrta</t>
        </is>
      </c>
      <c r="B23" s="46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4">
        <f>IF(A23="","",IF(B23="","EKSİK","TAM"))</f>
        <v/>
      </c>
    </row>
    <row r="24">
      <c r="A24" s="7" t="inlineStr">
        <is>
          <t>iff_riskYuksek</t>
        </is>
      </c>
      <c r="B24" s="46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4">
        <f>IF(A24="","",IF(B24="","EKSİK","TAM"))</f>
        <v/>
      </c>
    </row>
    <row r="25">
      <c r="A25" s="7" t="inlineStr">
        <is>
          <t>iff_riskEsikOran</t>
        </is>
      </c>
      <c r="B25" s="45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4">
        <f>IF(A25="","",IF(B25="","EKSİK","TAM"))</f>
        <v/>
      </c>
    </row>
    <row r="26">
      <c r="A26" s="7" t="inlineStr">
        <is>
          <t>iff_yilTaban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4">
        <f>IF(A26="","",IF(B26="","EKSİK","TAM"))</f>
        <v/>
      </c>
    </row>
    <row r="27">
      <c r="A27" s="7" t="inlineStr">
        <is>
          <t>iff_yuvarMax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4">
        <f>IF(A27="","",IF(B27="","EKSİK","TAM"))</f>
        <v/>
      </c>
    </row>
    <row r="28">
      <c r="A28" s="7" t="inlineStr">
        <is>
          <t>iff_dayanakCarpan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4">
        <f>IF(A28="","",IF(B28="","EKSİK","TAM"))</f>
        <v/>
      </c>
    </row>
    <row r="29">
      <c r="A29" s="7" t="inlineStr">
        <is>
          <t>iff_bazCarpan</t>
        </is>
      </c>
      <c r="B29" s="45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4">
        <f>IF(A29="","",IF(B29="","EKSİK","TAM"))</f>
        <v/>
      </c>
    </row>
    <row r="30">
      <c r="A30" s="7" t="inlineStr">
        <is>
          <t>iff_sifirCarpan</t>
        </is>
      </c>
      <c r="B30" s="45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4">
        <f>IF(A30="","",IF(B30="","EKSİK","TAM"))</f>
        <v/>
      </c>
    </row>
    <row r="31">
      <c r="A31" s="7" t="inlineStr">
        <is>
          <t>iff_siraBir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4">
        <f>IF(A31="","",IF(B31="","EKSİK","TAM"))</f>
        <v/>
      </c>
    </row>
    <row r="32">
      <c r="A32" s="7" t="inlineStr">
        <is>
          <t>iff_siraIki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4">
        <f>IF(A32="","",IF(B32="","EKSİK","TAM"))</f>
        <v/>
      </c>
    </row>
    <row r="33">
      <c r="A33" s="7" t="inlineStr">
        <is>
          <t>iff_siraUc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4">
        <f>IF(A33="","",IF(B33="","EKSİK","TAM"))</f>
        <v/>
      </c>
    </row>
    <row r="34">
      <c r="A34" s="7" t="inlineStr">
        <is>
          <t>iff_tahminX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4">
        <f>IF(A34="","",IF(B34="","EKSİK","TAM"))</f>
        <v/>
      </c>
    </row>
    <row r="35">
      <c r="A35" s="7" t="inlineStr">
        <is>
          <t>vaka_matrah_1</t>
        </is>
      </c>
      <c r="B35" s="66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4">
        <f>IF(A35="","",IF(B35="","EKSİK","TAM"))</f>
        <v/>
      </c>
    </row>
    <row r="36">
      <c r="A36" s="7" t="inlineStr">
        <is>
          <t>vaka_matrah_2</t>
        </is>
      </c>
      <c r="B36" s="66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4">
        <f>IF(A36="","",IF(B36="","EKSİK","TAM"))</f>
        <v/>
      </c>
    </row>
    <row r="37">
      <c r="A37" s="7" t="inlineStr">
        <is>
          <t>vaka_tavan</t>
        </is>
      </c>
      <c r="B37" s="66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4">
        <f>IF(A37="","",IF(B37="","EKSİK","TAM"))</f>
        <v/>
      </c>
    </row>
    <row r="38">
      <c r="A38" s="7" t="inlineStr">
        <is>
          <t>vaka_endeks_orani</t>
        </is>
      </c>
      <c r="B38" s="45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4">
        <f>IF(A38="","",IF(B38="","EKSİK","TAM"))</f>
        <v/>
      </c>
    </row>
    <row r="40">
      <c r="B40" s="68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İhale Fiyat Farkı (Eskalasyon) Pro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9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2026-08-10T22:19:52Z</dcterms:created>
  <dcterms:modified xmlns:dcterms="http://purl.org/dc/terms/" xmlns:xsi="http://www.w3.org/2001/XMLSchema-instance" xsi:type="dcterms:W3CDTF">2026-09-25T22:34:21Z</dcterms:modified>
</cp:coreProperties>
</file>