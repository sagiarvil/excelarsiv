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7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2.xml" ContentType="application/vnd.openxmlformats-officedocument.drawing+xml"/>
  <Override PartName="/xl/worksheets/sheet20.xml" ContentType="application/vnd.openxmlformats-officedocument.spreadsheetml.worksheet+xml"/>
  <Override PartName="/xl/drawings/drawing3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ables/table6.xml" ContentType="application/vnd.openxmlformats-officedocument.spreadsheetml.table+xml"/>
  <Override PartName="/xl/worksheets/sheet23.xml" ContentType="application/vnd.openxmlformats-officedocument.spreadsheetml.worksheet+xml"/>
  <Override PartName="/xl/comments/comment6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4.xml" ContentType="application/vnd.openxmlformats-officedocument.drawing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2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GIRDI" sheetId="12" state="visible" r:id="rId12"/>
    <sheet xmlns:r="http://schemas.openxmlformats.org/officeDocument/2006/relationships" name="KARTLAR" sheetId="13" state="visible" r:id="rId13"/>
    <sheet xmlns:r="http://schemas.openxmlformats.org/officeDocument/2006/relationships" name="AKIS" sheetId="14" state="visible" r:id="rId14"/>
    <sheet xmlns:r="http://schemas.openxmlformats.org/officeDocument/2006/relationships" name="KUYRUKLAR" sheetId="15" state="visible" r:id="rId15"/>
    <sheet xmlns:r="http://schemas.openxmlformats.org/officeDocument/2006/relationships" name="VARSAYIMLAR" sheetId="16" state="visible" r:id="rId16"/>
    <sheet xmlns:r="http://schemas.openxmlformats.org/officeDocument/2006/relationships" name="KURALLAR" sheetId="17" state="visible" r:id="rId17"/>
    <sheet xmlns:r="http://schemas.openxmlformats.org/officeDocument/2006/relationships" name="MOTOR" sheetId="18" state="visible" r:id="rId18"/>
    <sheet xmlns:r="http://schemas.openxmlformats.org/officeDocument/2006/relationships" name="FINANSMAN" sheetId="19" state="visible" r:id="rId19"/>
    <sheet xmlns:r="http://schemas.openxmlformats.org/officeDocument/2006/relationships" name="SENARYO" sheetId="20" state="visible" r:id="rId20"/>
    <sheet xmlns:r="http://schemas.openxmlformats.org/officeDocument/2006/relationships" name="KARAR" sheetId="21" state="visible" r:id="rId21"/>
    <sheet xmlns:r="http://schemas.openxmlformats.org/officeDocument/2006/relationships" name="VAKALAR" sheetId="22" state="visible" r:id="rId22"/>
    <sheet xmlns:r="http://schemas.openxmlformats.org/officeDocument/2006/relationships" name="KANIT_RAPORU" sheetId="23" state="visible" r:id="rId23"/>
    <sheet xmlns:r="http://schemas.openxmlformats.org/officeDocument/2006/relationships" name="KONTROLLER" sheetId="24" state="visible" r:id="rId24"/>
    <sheet xmlns:r="http://schemas.openxmlformats.org/officeDocument/2006/relationships" name="ORNEK_VERI" sheetId="25" state="visible" r:id="rId25"/>
    <sheet xmlns:r="http://schemas.openxmlformats.org/officeDocument/2006/relationships" name="LISTELER" sheetId="26" state="visible" r:id="rId26"/>
    <sheet xmlns:r="http://schemas.openxmlformats.org/officeDocument/2006/relationships" name="AYARLAR" sheetId="27" state="visible" r:id="rId27"/>
    <sheet xmlns:r="http://schemas.openxmlformats.org/officeDocument/2006/relationships" name="KILAVUZ" sheetId="28" state="visible" r:id="rId28"/>
  </sheets>
  <definedNames>
    <definedName name="hesapYili">GIRDI!$B$8</definedName>
    <definedName name="raporTarihi">AYARLAR!$B$7</definedName>
    <definedName name="zincirTolerans">AYARLAR!$B$8</definedName>
    <definedName name="isk_netKarTl">MOTOR!$G$60</definedName>
    <definedName name="isk_npv">MOTOR!$G$61</definedName>
    <definedName name="isk_irr">MOTOR!$G$62</definedName>
    <definedName name="isk_hedgeBosluk">MOTOR!$G$63</definedName>
    <definedName name="isk_kararMetni">MOTOR!$G$42</definedName>
    <definedName name="isk_kararGerekce">MOTOR!$G$43</definedName>
    <definedName name="isk_maddeAtifMetni">MOTOR!$G$58</definedName>
    <definedName name="isk_kanitRaporu">MOTOR!$G$59</definedName>
    <definedName name="isk_kuralYilMatris">KURALLAR!$B$17</definedName>
    <definedName name="isk_parmakIzi">AYARLAR!$B$19</definedName>
    <definedName name="isk_aktifKur">AYARLAR!$K$50</definedName>
    <definedName name="isk_kurTablosu">AYARLAR!$K$51</definedName>
    <definedName name="isk_finansmanKarsilastirma">FINANSMAN!$B$11</definedName>
    <definedName name="isk_durumHaritasi">AYARLAR!$B$35</definedName>
    <definedName name="isk_zincirKirik">MOTOR!$G$65</definedName>
    <definedName name="isk_senaryoKarsilastirma">SENARYO!$B$11</definedName>
    <definedName name="isk_yorumSenaryo">SENARYO!$B$12</definedName>
    <definedName name="isk_duyarlilikSira">SENARYO!$B$19</definedName>
    <definedName name="isk_yorumDuyarlilik">SENARYO!$B$20</definedName>
    <definedName name="isk_kuralDegisimSenaryo">SENARYO!$B$22</definedName>
    <definedName name="isk_yorumKuralDegisim">SENARYO!$B$23</definedName>
    <definedName name="isk_tahminAralik">SENARYO!$B$32</definedName>
    <definedName name="isk_yorumTahmin">SENARYO!$B$33</definedName>
    <definedName name="isk_vakaDurum">VAKALAR!$B$12</definedName>
    <definedName name="isk_vakaFark">VAKALAR!$B$13</definedName>
    <definedName name="isk_tolerans">AYARLAR!$B$9</definedName>
    <definedName name="isk_azamiEsik">AYARLAR!$B$10</definedName>
    <definedName name="isk_senaryoIyi">AYARLAR!$B$11</definedName>
    <definedName name="isk_senaryoKotu">AYARLAR!$B$12</definedName>
    <definedName name="isk_esikArtis">AYARLAR!$B$13</definedName>
    <definedName name="isk_tahminAlt">AYARLAR!$B$14</definedName>
    <definedName name="isk_tahminUst">AYARLAR!$B$15</definedName>
    <definedName name="isk_tornadoKur">AYARLAR!$B$16</definedName>
    <definedName name="isk_tornadoMaliyet">AYARLAR!$B$17</definedName>
    <definedName name="isk_yuzdelikOran">AYARLAR!$B$18</definedName>
    <definedName name="isk_girisBeklenen">AYARLAR!$B$21</definedName>
    <definedName name="isk_riskDusuk">AYARLAR!$B$22</definedName>
    <definedName name="isk_riskOrta">AYARLAR!$B$23</definedName>
    <definedName name="isk_riskYuksek">AYARLAR!$B$24</definedName>
    <definedName name="isk_yilTaban">AYARLAR!$B$25</definedName>
    <definedName name="isk_yuvarMax">AYARLAR!$B$26</definedName>
    <definedName name="isk_bazCarpan">AYARLAR!$B$27</definedName>
    <definedName name="isk_sifirCarpan">AYARLAR!$B$28</definedName>
    <definedName name="isk_siraBir">AYARLAR!$B$29</definedName>
    <definedName name="isk_siraIki">AYARLAR!$B$30</definedName>
    <definedName name="isk_siraUc">AYARLAR!$B$31</definedName>
    <definedName name="isk_dikkatCarpan">AYARLAR!$B$32</definedName>
    <definedName name="isk_npvDikkat">AYARLAR!$B$33</definedName>
    <definedName name="isk_hedgeDikkat">AYARLAR!$B$34</definedName>
    <definedName name="vaka_fob">AYARLAR!$B$36</definedName>
    <definedName name="vaka_rez">AYARLAR!$B$37</definedName>
    <definedName name="vaka_tah">AYARLAR!$B$38</definedName>
    <definedName name="vaka_uretim">AYARLAR!$B$39</definedName>
    <definedName name="vaka_navlun">AYARLAR!$B$40</definedName>
    <definedName name="vaka_kom">AYARLAR!$B$41</definedName>
    <definedName name="isk_modulT1">PANO!$C$11</definedName>
    <definedName name="isk_modulT1Yorum">PANO!$D$11</definedName>
    <definedName name="isk_modulT2">PANO!$C$12</definedName>
    <definedName name="isk_modulT2Yorum">PANO!$D$12</definedName>
    <definedName name="isk_modulO1">PANO!$C$13</definedName>
    <definedName name="isk_modulO1Yorum">PANO!$D$13</definedName>
    <definedName name="isk_modulO8">PANO!$C$16</definedName>
    <definedName name="isk_modulO8Yorum">PANO!$D$16</definedName>
    <definedName name="isk_modulI2">PANO!$C$19</definedName>
    <definedName name="isk_modulI2Yorum">PANO!$D$19</definedName>
    <definedName name="ListeYillar">LISTELER!$A$6:$A$8</definedName>
    <definedName name="ListeDoviz">LISTELER!$C$6:$C$7</definedName>
    <definedName name="ListeEvetHayir">LISTELER!$E$6:$E$7</definedName>
    <definedName name="ListeDurumlar">LISTELER!$G$6:$G$12</definedName>
    <definedName name="ListeIzinliGecis">LISTELER!$I$6:$I$20</definedName>
    <definedName name="_xlnm.Print_Area" localSheetId="20">'KARAR'!$A$1:$F$28</definedName>
    <definedName name="_xlnm.Print_Area" localSheetId="22">'KANIT_RAPORU'!$A$1:$F$36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;[Red](0.0%);-"/>
    <numFmt numFmtId="165" formatCode="₺ #,##0;[Red](₺ #,##0);-"/>
    <numFmt numFmtId="166" formatCode="0.0000"/>
    <numFmt numFmtId="167" formatCode="dd.mm.yyyy"/>
    <numFmt numFmtId="168" formatCode="#,##0 &quot;TL&quot;"/>
    <numFmt numFmtId="169" formatCode="0.0%"/>
    <numFmt numFmtId="170" formatCode="₺#,##0"/>
    <numFmt numFmtId="171" formatCode="0.00&quot;x&quot;"/>
  </numFmts>
  <fonts count="8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FFFFFF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color rgb="00006100"/>
      <sz val="10"/>
    </font>
    <font>
      <name val="Segoe UI"/>
      <color rgb="00000000"/>
      <sz val="10"/>
    </font>
    <font>
      <name val="Segoe UI"/>
      <b val="1"/>
      <color rgb="00595959"/>
      <sz val="10"/>
    </font>
    <font>
      <name val="Segoe UI"/>
      <b val="1"/>
      <color rgb="00B08948"/>
      <sz val="10"/>
    </font>
    <font>
      <name val="Segoe UI"/>
      <b val="1"/>
      <color rgb="00333333"/>
      <sz val="10"/>
    </font>
    <font>
      <name val="Segoe UI"/>
      <b val="1"/>
      <color rgb="000F2742"/>
      <sz val="14"/>
    </font>
    <font>
      <name val="Segoe UI"/>
      <b val="1"/>
      <color rgb="00006100"/>
      <sz val="11"/>
    </font>
    <font>
      <name val="Segoe UI"/>
      <b val="1"/>
      <color rgb="00006100"/>
      <sz val="14"/>
    </font>
    <font>
      <name val="Segoe UI"/>
      <b val="1"/>
      <color rgb="00006100"/>
      <sz val="16"/>
    </font>
    <font>
      <name val="Segoe UI"/>
      <b val="1"/>
      <color rgb="00000000"/>
      <sz val="10"/>
    </font>
    <font>
      <name val="Segoe UI"/>
      <b val="1"/>
      <color rgb="00000000"/>
      <sz val="12"/>
    </font>
    <font>
      <name val="Segoe UI"/>
      <b val="1"/>
      <color rgb="00006100"/>
      <sz val="12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</fonts>
  <fills count="34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0" applyAlignment="1" pivotButton="0" quotePrefix="0" xfId="0">
      <alignment horizontal="center" vertical="center"/>
    </xf>
    <xf numFmtId="0" fontId="10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0" fillId="4" borderId="0" applyAlignment="1" applyProtection="1" pivotButton="0" quotePrefix="0" xfId="0">
      <alignment horizontal="left" vertical="center"/>
      <protection locked="0" hidden="0"/>
    </xf>
    <xf numFmtId="164" fontId="10" fillId="4" borderId="0" applyAlignment="1" applyProtection="1" pivotButton="0" quotePrefix="0" xfId="0">
      <alignment horizontal="left" vertical="center"/>
      <protection locked="0" hidden="0"/>
    </xf>
    <xf numFmtId="2" fontId="10" fillId="4" borderId="0" applyAlignment="1" applyProtection="1" pivotButton="0" quotePrefix="0" xfId="0">
      <alignment horizontal="left" vertical="center"/>
      <protection locked="0" hidden="0"/>
    </xf>
    <xf numFmtId="165" fontId="10" fillId="4" borderId="0" applyAlignment="1" applyProtection="1" pivotButton="0" quotePrefix="0" xfId="0">
      <alignment horizontal="left" vertical="center"/>
      <protection locked="0" hidden="0"/>
    </xf>
    <xf numFmtId="166" fontId="11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3" fontId="12" fillId="0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2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10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9" fillId="3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2" fontId="5" fillId="4" borderId="0" applyAlignment="1" applyProtection="1" pivotButton="0" quotePrefix="0" xfId="0">
      <alignment horizontal="left" vertical="center"/>
      <protection locked="0" hidden="0"/>
    </xf>
    <xf numFmtId="0" fontId="5" fillId="4" borderId="0" applyAlignment="1" applyProtection="1" pivotButton="0" quotePrefix="0" xfId="0">
      <alignment horizontal="left" vertical="center"/>
      <protection locked="0" hidden="0"/>
    </xf>
    <xf numFmtId="164" fontId="5" fillId="4" borderId="0" applyAlignment="1" applyProtection="1" pivotButton="0" quotePrefix="0" xfId="0">
      <alignment horizontal="left" vertical="center"/>
      <protection locked="0" hidden="0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9" fillId="3" borderId="1" applyAlignment="1" pivotButton="0" quotePrefix="0" xfId="0">
      <alignment horizontal="left" vertical="center"/>
    </xf>
    <xf numFmtId="3" fontId="5" fillId="4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left" vertical="center" wrapText="1"/>
    </xf>
    <xf numFmtId="166" fontId="12" fillId="0" borderId="0" applyAlignment="1" pivotButton="0" quotePrefix="0" xfId="0">
      <alignment horizontal="left" vertical="center"/>
    </xf>
    <xf numFmtId="165" fontId="12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center" vertical="center"/>
    </xf>
    <xf numFmtId="164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2" fillId="6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left" vertical="center"/>
    </xf>
    <xf numFmtId="167" fontId="1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13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167" fontId="5" fillId="4" borderId="0" applyAlignment="1" applyProtection="1" pivotButton="0" quotePrefix="0" xfId="0">
      <alignment horizontal="left" vertical="center"/>
      <protection locked="0" hidden="0"/>
    </xf>
    <xf numFmtId="0" fontId="24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32" fillId="0" borderId="0" pivotButton="0" quotePrefix="0" xfId="0"/>
    <xf numFmtId="0" fontId="27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2" fillId="8" borderId="0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35" fillId="0" borderId="0" pivotButton="0" quotePrefix="0" xfId="0"/>
    <xf numFmtId="168" fontId="35" fillId="0" borderId="0" pivotButton="0" quotePrefix="0" xfId="0"/>
    <xf numFmtId="168" fontId="36" fillId="0" borderId="0" pivotButton="0" quotePrefix="0" xfId="0"/>
    <xf numFmtId="169" fontId="35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/>
    </xf>
    <xf numFmtId="0" fontId="36" fillId="0" borderId="0" pivotButton="0" quotePrefix="0" xfId="0"/>
    <xf numFmtId="0" fontId="40" fillId="9" borderId="2" pivotButton="0" quotePrefix="0" xfId="0"/>
    <xf numFmtId="0" fontId="41" fillId="0" borderId="0" pivotButton="0" quotePrefix="0" xfId="0"/>
    <xf numFmtId="0" fontId="42" fillId="0" borderId="0" pivotButton="0" quotePrefix="0" xfId="0"/>
    <xf numFmtId="0" fontId="35" fillId="0" borderId="0" applyAlignment="1" pivotButton="0" quotePrefix="0" xfId="0">
      <alignment wrapText="1"/>
    </xf>
    <xf numFmtId="0" fontId="43" fillId="0" borderId="0" pivotButton="0" quotePrefix="0" xfId="0"/>
    <xf numFmtId="0" fontId="44" fillId="0" borderId="2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3" pivotButton="0" quotePrefix="0" xfId="0"/>
    <xf numFmtId="0" fontId="0" fillId="0" borderId="2" pivotButton="0" quotePrefix="0" xfId="0"/>
    <xf numFmtId="0" fontId="45" fillId="11" borderId="2" applyAlignment="1" pivotButton="0" quotePrefix="0" xfId="0">
      <alignment horizontal="center"/>
    </xf>
    <xf numFmtId="0" fontId="31" fillId="0" borderId="4" pivotButton="0" quotePrefix="0" xfId="0"/>
    <xf numFmtId="0" fontId="47" fillId="12" borderId="2" applyAlignment="1" pivotButton="0" quotePrefix="0" xfId="0">
      <alignment horizontal="center"/>
    </xf>
    <xf numFmtId="0" fontId="46" fillId="13" borderId="2" applyAlignment="1" pivotButton="0" quotePrefix="0" xfId="0">
      <alignment horizontal="center"/>
    </xf>
    <xf numFmtId="0" fontId="31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7" fillId="0" borderId="3" pivotButton="0" quotePrefix="0" xfId="0"/>
    <xf numFmtId="0" fontId="48" fillId="0" borderId="4" pivotButton="0" quotePrefix="0" xfId="0"/>
    <xf numFmtId="0" fontId="49" fillId="0" borderId="5" pivotButton="0" quotePrefix="0" xfId="0"/>
    <xf numFmtId="0" fontId="46" fillId="0" borderId="3" pivotButton="0" quotePrefix="0" xfId="0"/>
    <xf numFmtId="0" fontId="41" fillId="0" borderId="4" pivotButton="0" quotePrefix="0" xfId="0"/>
    <xf numFmtId="0" fontId="46" fillId="0" borderId="5" pivotButton="0" quotePrefix="0" xfId="0"/>
    <xf numFmtId="0" fontId="50" fillId="14" borderId="0" applyAlignment="1" pivotButton="0" quotePrefix="0" xfId="0">
      <alignment horizontal="center"/>
    </xf>
    <xf numFmtId="0" fontId="51" fillId="0" borderId="0" pivotButton="0" quotePrefix="0" xfId="0"/>
    <xf numFmtId="0" fontId="50" fillId="15" borderId="0" applyAlignment="1" pivotButton="0" quotePrefix="0" xfId="0">
      <alignment horizontal="center" vertical="center"/>
    </xf>
    <xf numFmtId="0" fontId="51" fillId="0" borderId="2" pivotButton="0" quotePrefix="0" xfId="0"/>
    <xf numFmtId="0" fontId="52" fillId="0" borderId="2" pivotButton="0" quotePrefix="0" xfId="0"/>
    <xf numFmtId="0" fontId="53" fillId="0" borderId="2" pivotButton="0" quotePrefix="0" xfId="0"/>
    <xf numFmtId="0" fontId="54" fillId="16" borderId="2" applyAlignment="1" pivotButton="0" quotePrefix="0" xfId="0">
      <alignment horizontal="center"/>
    </xf>
    <xf numFmtId="0" fontId="50" fillId="7" borderId="0" pivotButton="0" quotePrefix="0" xfId="0"/>
    <xf numFmtId="0" fontId="55" fillId="7" borderId="0" pivotButton="0" quotePrefix="0" xfId="0"/>
    <xf numFmtId="0" fontId="56" fillId="7" borderId="0" pivotButton="0" quotePrefix="0" xfId="0"/>
    <xf numFmtId="0" fontId="0" fillId="7" borderId="0" pivotButton="0" quotePrefix="0" xfId="0"/>
    <xf numFmtId="0" fontId="28" fillId="7" borderId="0" applyAlignment="1" pivotButton="0" quotePrefix="0" xfId="0">
      <alignment horizontal="center"/>
    </xf>
    <xf numFmtId="0" fontId="44" fillId="0" borderId="0" pivotButton="0" quotePrefix="0" xfId="0"/>
    <xf numFmtId="0" fontId="59" fillId="17" borderId="0" pivotButton="0" quotePrefix="0" xfId="0"/>
    <xf numFmtId="0" fontId="0" fillId="17" borderId="0" pivotButton="0" quotePrefix="0" xfId="0"/>
    <xf numFmtId="0" fontId="46" fillId="0" borderId="0" pivotButton="0" quotePrefix="0" xfId="0"/>
    <xf numFmtId="0" fontId="34" fillId="17" borderId="0" pivotButton="0" quotePrefix="0" xfId="0"/>
    <xf numFmtId="0" fontId="60" fillId="17" borderId="0" applyAlignment="1" pivotButton="0" quotePrefix="0" xfId="0">
      <alignment wrapText="1"/>
    </xf>
    <xf numFmtId="0" fontId="57" fillId="0" borderId="0" pivotButton="0" quotePrefix="0" xfId="0"/>
    <xf numFmtId="0" fontId="58" fillId="0" borderId="0" pivotButton="0" quotePrefix="0" xfId="0"/>
    <xf numFmtId="0" fontId="46" fillId="13" borderId="6" applyAlignment="1" pivotButton="0" quotePrefix="0" xfId="0">
      <alignment horizontal="center" vertical="center"/>
    </xf>
    <xf numFmtId="0" fontId="61" fillId="18" borderId="0" applyAlignment="1" pivotButton="0" quotePrefix="0" xfId="0">
      <alignment horizontal="center" vertical="center"/>
    </xf>
    <xf numFmtId="0" fontId="25" fillId="19" borderId="2" applyAlignment="1" pivotButton="0" quotePrefix="0" xfId="0">
      <alignment vertical="center"/>
    </xf>
    <xf numFmtId="0" fontId="45" fillId="11" borderId="0" applyAlignment="1" pivotButton="0" quotePrefix="0" xfId="0">
      <alignment horizontal="center" vertical="center"/>
    </xf>
    <xf numFmtId="0" fontId="46" fillId="13" borderId="0" applyAlignment="1" pivotButton="0" quotePrefix="0" xfId="0">
      <alignment horizontal="center" vertical="center"/>
    </xf>
    <xf numFmtId="0" fontId="62" fillId="7" borderId="0" applyAlignment="1" pivotButton="0" quotePrefix="0" xfId="0">
      <alignment horizontal="center" vertical="center"/>
    </xf>
    <xf numFmtId="0" fontId="63" fillId="19" borderId="2" applyAlignment="1" pivotButton="0" quotePrefix="0" xfId="0">
      <alignment horizontal="center"/>
    </xf>
    <xf numFmtId="0" fontId="64" fillId="19" borderId="2" applyAlignment="1" pivotButton="0" quotePrefix="0" xfId="0">
      <alignment horizontal="center"/>
    </xf>
    <xf numFmtId="0" fontId="63" fillId="19" borderId="2" pivotButton="0" quotePrefix="0" xfId="0"/>
    <xf numFmtId="170" fontId="64" fillId="19" borderId="2" applyAlignment="1" pivotButton="0" quotePrefix="0" xfId="0">
      <alignment horizontal="right"/>
    </xf>
    <xf numFmtId="9" fontId="63" fillId="19" borderId="2" applyAlignment="1" pivotButton="0" quotePrefix="0" xfId="0">
      <alignment horizontal="center"/>
    </xf>
    <xf numFmtId="170" fontId="63" fillId="19" borderId="2" applyAlignment="1" pivotButton="0" quotePrefix="0" xfId="0">
      <alignment horizontal="right"/>
    </xf>
    <xf numFmtId="0" fontId="46" fillId="19" borderId="2" applyAlignment="1" pivotButton="0" quotePrefix="0" xfId="0">
      <alignment horizontal="center"/>
    </xf>
    <xf numFmtId="0" fontId="63" fillId="18" borderId="2" applyAlignment="1" pivotButton="0" quotePrefix="0" xfId="0">
      <alignment horizontal="center"/>
    </xf>
    <xf numFmtId="0" fontId="64" fillId="18" borderId="2" applyAlignment="1" pivotButton="0" quotePrefix="0" xfId="0">
      <alignment horizontal="center"/>
    </xf>
    <xf numFmtId="0" fontId="63" fillId="18" borderId="2" pivotButton="0" quotePrefix="0" xfId="0"/>
    <xf numFmtId="170" fontId="64" fillId="18" borderId="2" applyAlignment="1" pivotButton="0" quotePrefix="0" xfId="0">
      <alignment horizontal="right"/>
    </xf>
    <xf numFmtId="9" fontId="63" fillId="18" borderId="2" applyAlignment="1" pivotButton="0" quotePrefix="0" xfId="0">
      <alignment horizontal="center"/>
    </xf>
    <xf numFmtId="170" fontId="63" fillId="18" borderId="2" applyAlignment="1" pivotButton="0" quotePrefix="0" xfId="0">
      <alignment horizontal="right"/>
    </xf>
    <xf numFmtId="0" fontId="51" fillId="18" borderId="2" applyAlignment="1" pivotButton="0" quotePrefix="0" xfId="0">
      <alignment horizontal="center"/>
    </xf>
    <xf numFmtId="0" fontId="46" fillId="18" borderId="2" applyAlignment="1" pivotButton="0" quotePrefix="0" xfId="0">
      <alignment horizontal="center"/>
    </xf>
    <xf numFmtId="0" fontId="47" fillId="18" borderId="2" applyAlignment="1" pivotButton="0" quotePrefix="0" xfId="0">
      <alignment horizontal="center"/>
    </xf>
    <xf numFmtId="0" fontId="34" fillId="7" borderId="0" applyAlignment="1" pivotButton="0" quotePrefix="0" xfId="0">
      <alignment vertical="center" indent="1"/>
    </xf>
    <xf numFmtId="170" fontId="65" fillId="7" borderId="0" applyAlignment="1" pivotButton="0" quotePrefix="0" xfId="0">
      <alignment horizontal="right" vertical="center"/>
    </xf>
    <xf numFmtId="0" fontId="66" fillId="0" borderId="7" pivotButton="0" quotePrefix="0" xfId="0"/>
    <xf numFmtId="0" fontId="67" fillId="0" borderId="7" pivotButton="0" quotePrefix="0" xfId="0"/>
    <xf numFmtId="0" fontId="68" fillId="0" borderId="7" pivotButton="0" quotePrefix="0" xfId="0"/>
    <xf numFmtId="0" fontId="69" fillId="20" borderId="2" applyAlignment="1" pivotButton="0" quotePrefix="0" xfId="0">
      <alignment horizontal="center" vertical="center"/>
    </xf>
    <xf numFmtId="0" fontId="73" fillId="11" borderId="2" applyAlignment="1" pivotButton="0" quotePrefix="0" xfId="0">
      <alignment horizontal="center" vertical="center"/>
    </xf>
    <xf numFmtId="0" fontId="70" fillId="0" borderId="2" pivotButton="0" quotePrefix="0" xfId="0"/>
    <xf numFmtId="0" fontId="69" fillId="0" borderId="2" applyAlignment="1" pivotButton="0" quotePrefix="0" xfId="0">
      <alignment horizontal="right"/>
    </xf>
    <xf numFmtId="0" fontId="73" fillId="0" borderId="2" applyAlignment="1" pivotButton="0" quotePrefix="0" xfId="0">
      <alignment horizontal="right"/>
    </xf>
    <xf numFmtId="0" fontId="44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72" fillId="12" borderId="8" applyAlignment="1" pivotButton="0" quotePrefix="0" xfId="0">
      <alignment horizontal="center" vertical="center"/>
    </xf>
    <xf numFmtId="0" fontId="74" fillId="11" borderId="9" applyAlignment="1" pivotButton="0" quotePrefix="0" xfId="0">
      <alignment horizontal="center" vertical="center"/>
    </xf>
    <xf numFmtId="0" fontId="70" fillId="0" borderId="0" pivotButton="0" quotePrefix="0" xfId="0"/>
    <xf numFmtId="0" fontId="75" fillId="21" borderId="0" applyAlignment="1" pivotButton="0" quotePrefix="0" xfId="0">
      <alignment horizontal="left" vertical="center" wrapText="1"/>
    </xf>
    <xf numFmtId="0" fontId="76" fillId="22" borderId="0" applyAlignment="1" pivotButton="0" quotePrefix="0" xfId="0">
      <alignment vertical="center" wrapText="1"/>
    </xf>
    <xf numFmtId="0" fontId="77" fillId="23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9" fillId="21" borderId="0" applyAlignment="1" pivotButton="0" quotePrefix="0" xfId="0">
      <alignment horizontal="left" vertical="center" wrapText="1"/>
    </xf>
    <xf numFmtId="0" fontId="75" fillId="24" borderId="0" applyAlignment="1" pivotButton="0" quotePrefix="0" xfId="0">
      <alignment horizontal="left" vertical="center" wrapText="1"/>
    </xf>
    <xf numFmtId="0" fontId="76" fillId="24" borderId="0" applyAlignment="1" pivotButton="0" quotePrefix="0" xfId="0">
      <alignment vertical="center" wrapText="1"/>
    </xf>
    <xf numFmtId="0" fontId="80" fillId="25" borderId="0" applyAlignment="1" pivotButton="0" quotePrefix="0" xfId="0">
      <alignment vertical="top" wrapText="1"/>
    </xf>
    <xf numFmtId="0" fontId="75" fillId="26" borderId="0" applyAlignment="1" pivotButton="0" quotePrefix="0" xfId="0">
      <alignment horizontal="left" vertical="center" wrapText="1"/>
    </xf>
    <xf numFmtId="0" fontId="76" fillId="26" borderId="0" applyAlignment="1" pivotButton="0" quotePrefix="0" xfId="0">
      <alignment vertical="center" wrapText="1"/>
    </xf>
    <xf numFmtId="0" fontId="81" fillId="27" borderId="0" applyAlignment="1" pivotButton="0" quotePrefix="0" xfId="0">
      <alignment vertical="top" wrapText="1"/>
    </xf>
    <xf numFmtId="0" fontId="82" fillId="25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0" fontId="75" fillId="28" borderId="0" applyAlignment="1" pivotButton="0" quotePrefix="0" xfId="0">
      <alignment horizontal="left" vertical="center"/>
    </xf>
    <xf numFmtId="0" fontId="76" fillId="28" borderId="0" applyAlignment="1" pivotButton="0" quotePrefix="0" xfId="0">
      <alignment vertical="center" wrapText="1"/>
    </xf>
    <xf numFmtId="0" fontId="84" fillId="29" borderId="0" applyAlignment="1" pivotButton="0" quotePrefix="0" xfId="0">
      <alignment vertical="top" wrapText="1"/>
    </xf>
    <xf numFmtId="0" fontId="85" fillId="30" borderId="0" applyAlignment="1" pivotButton="0" quotePrefix="0" xfId="0">
      <alignment vertical="top" wrapText="1"/>
    </xf>
    <xf numFmtId="0" fontId="75" fillId="31" borderId="0" applyAlignment="1" pivotButton="0" quotePrefix="0" xfId="0">
      <alignment horizontal="left" vertical="center"/>
    </xf>
    <xf numFmtId="0" fontId="76" fillId="31" borderId="0" applyAlignment="1" pivotButton="0" quotePrefix="0" xfId="0">
      <alignment vertical="center" wrapText="1"/>
    </xf>
    <xf numFmtId="0" fontId="86" fillId="30" borderId="0" applyAlignment="1" pivotButton="0" quotePrefix="0" xfId="0">
      <alignment vertical="top" wrapText="1"/>
    </xf>
    <xf numFmtId="0" fontId="75" fillId="32" borderId="0" applyAlignment="1" pivotButton="0" quotePrefix="0" xfId="0">
      <alignment horizontal="left" vertical="center"/>
    </xf>
    <xf numFmtId="0" fontId="76" fillId="32" borderId="0" applyAlignment="1" pivotButton="0" quotePrefix="0" xfId="0">
      <alignment vertical="center" wrapText="1"/>
    </xf>
    <xf numFmtId="0" fontId="87" fillId="33" borderId="0" applyAlignment="1" pivotButton="0" quotePrefix="0" xfId="0">
      <alignment vertical="top" wrapText="1"/>
    </xf>
    <xf numFmtId="0" fontId="88" fillId="0" borderId="0" applyAlignment="1" pivotButton="0" quotePrefix="0" xfId="0">
      <alignment vertical="top" wrapText="1"/>
    </xf>
    <xf numFmtId="170" fontId="27" fillId="0" borderId="3" pivotButton="0" quotePrefix="0" xfId="0"/>
    <xf numFmtId="170" fontId="48" fillId="0" borderId="4" pivotButton="0" quotePrefix="0" xfId="0"/>
    <xf numFmtId="170" fontId="51" fillId="0" borderId="2" pivotButton="0" quotePrefix="0" xfId="0"/>
    <xf numFmtId="170" fontId="52" fillId="0" borderId="2" pivotButton="0" quotePrefix="0" xfId="0"/>
    <xf numFmtId="170" fontId="55" fillId="7" borderId="0" pivotButton="0" quotePrefix="0" xfId="0"/>
    <xf numFmtId="170" fontId="56" fillId="7" borderId="0" pivotButton="0" quotePrefix="0" xfId="0"/>
    <xf numFmtId="170" fontId="74" fillId="9" borderId="2" applyAlignment="1" pivotButton="0" quotePrefix="0" xfId="0">
      <alignment horizontal="right"/>
    </xf>
    <xf numFmtId="170" fontId="44" fillId="0" borderId="2" applyAlignment="1" pivotButton="0" quotePrefix="0" xfId="0">
      <alignment horizontal="right"/>
    </xf>
    <xf numFmtId="170" fontId="71" fillId="0" borderId="2" applyAlignment="1" pivotButton="0" quotePrefix="0" xfId="0">
      <alignment horizontal="right"/>
    </xf>
    <xf numFmtId="171" fontId="71" fillId="0" borderId="2" applyAlignment="1" pivotButton="0" quotePrefix="0" xfId="0">
      <alignment horizontal="right"/>
    </xf>
  </cellXfs>
  <cellStyles count="1">
    <cellStyle name="Normal" xfId="0" builtinId="0" hidden="0"/>
  </cellStyles>
  <dxfs count="10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B7791F"/>
      </font>
    </dxf>
    <dxf>
      <font>
        <color rgb="00595959"/>
      </font>
    </dxf>
    <dxf>
      <font>
        <b val="1"/>
        <color rgb="001F7A4D"/>
      </font>
    </dxf>
    <dxf>
      <font>
        <b val="1"/>
        <color rgb="00C65911"/>
      </font>
    </dxf>
    <dxf>
      <font>
        <color rgb="00C65911"/>
      </font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3261E"/>
      </font>
    </dxf>
    <dxf>
      <font>
        <b val="1"/>
        <color rgb="00B08948"/>
      </font>
    </dxf>
    <dxf>
      <font>
        <b val="1"/>
        <color rgb="0059595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Açık Sipariş Kuyruğu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'KUYRUKLAR'!B20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'KUYRUKLAR'!$A$21:$A$24</f>
            </numRef>
          </cat>
          <val>
            <numRef>
              <f>'KUYRUKLAR'!$B$21:$B$24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Finansman Payları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'FINANSMAN'!B13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'FINANSMAN'!$A$14:$A$15</f>
            </numRef>
          </cat>
          <val>
            <numRef>
              <f>'FINANSMAN'!$B$14:$B$15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NPV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Kâr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Net Kâr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'ORNEK_VERI'!$A$23:$A$26</f>
            </numRef>
          </cat>
          <val>
            <numRef>
              <f>'ORNEK_VERI'!$B$23:$B$26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Sipariş | Neden önemli: Sipariş kârı ve kur riskini etkiler | Doğru kullanım: Unvan veya sipariş kodu. | Örnek: demo satırına bakın | Yanlışsa: net kâr ve karar bozulur | Kaynak: İhracat / hazine kuralları</t>
      </text>
    </comment>
    <comment ref="B7" authorId="0" shapeId="0">
      <text>
        <t>Tanım: Dönem | Neden önemli: Sipariş kârı ve kur riskini etkiler | Doğru kullanım: Rapor dönemi. | Örnek: demo satırına bakın | Yanlışsa: net kâr ve karar bozulur | Kaynak: İhracat / hazine kuralları</t>
      </text>
    </comment>
    <comment ref="B8" authorId="0" shapeId="0">
      <text>
        <t>Tanım: Hesap Yılı | Neden önemli: Sipariş kârı ve kur riskini etkiler | Doğru kullanım: 2025, 2026 veya 2027. | Örnek: demo satırına bakın | Yanlışsa: net kâr ve karar bozulur | Kaynak: İhracat / hazine kuralları</t>
      </text>
    </comment>
    <comment ref="B9" authorId="0" shapeId="0">
      <text>
        <t>Tanım: Döviz Cinsi | Neden önemli: Sipariş kârı ve kur riskini etkiler | Doğru kullanım: USD veya EUR. | Örnek: demo satırına bakın | Yanlışsa: net kâr ve karar bozulur | Kaynak: İhracat / hazine kuralları</t>
      </text>
    </comment>
    <comment ref="B10" authorId="0" shapeId="0">
      <text>
        <t>Tanım: FOB [döviz] | Neden önemli: Sipariş kârı ve kur riskini etkiler | Doğru kullanım: İhracat FOB tutarı. | Örnek: demo satırına bakın | Yanlışsa: net kâr ve karar bozulur | Kaynak: İhracat / hazine kuralları</t>
      </text>
    </comment>
    <comment ref="B11" authorId="0" shapeId="0">
      <text>
        <t>Tanım: Miktar [adet] | Neden önemli: Sipariş kârı ve kur riskini etkiler | Doğru kullanım: Sipariş miktarı. | Örnek: demo satırına bakın | Yanlışsa: net kâr ve karar bozulur | Kaynak: İhracat / hazine kuralları</t>
      </text>
    </comment>
    <comment ref="B12" authorId="0" shapeId="0">
      <text>
        <t>Tanım: Üretim maliyeti [döviz] | Neden önemli: Sipariş kârı ve kur riskini etkiler | Doğru kullanım: Üretim / malzeme maliyeti döviz. | Örnek: demo satırına bakın | Yanlışsa: net kâr ve karar bozulur | Kaynak: İhracat / hazine kuralları</t>
      </text>
    </comment>
    <comment ref="B13" authorId="0" shapeId="0">
      <text>
        <t>Tanım: Çıkış navlunu [döviz] | Neden önemli: Sipariş kârı ve kur riskini etkiler | Doğru kullanım: İhracat navlun döviz. | Örnek: demo satırına bakın | Yanlışsa: net kâr ve karar bozulur | Kaynak: İhracat / hazine kuralları</t>
      </text>
    </comment>
    <comment ref="B14" authorId="0" shapeId="0">
      <text>
        <t>Tanım: Komisyon oranı (giriş) | Neden önemli: Sipariş kârı ve kur riskini etkiler | Doğru kullanım: Satış komisyonu; kural ayna ile doğrulanır. | Örnek: demo satırına bakın | Yanlışsa: net kâr ve karar bozulur | Kaynak: İhracat / hazine kuralları</t>
      </text>
    </comment>
    <comment ref="B15" authorId="0" shapeId="0">
      <text>
        <t>Tanım: Hedge oranı | Neden önemli: Sipariş kârı ve kur riskini etkiler | Doğru kullanım: Kapsanan döviz oranı. | Örnek: demo satırına bakın | Yanlışsa: net kâr ve karar bozulur | Kaynak: İhracat / hazine kuralları</t>
      </text>
    </comment>
    <comment ref="B16" authorId="0" shapeId="0">
      <text>
        <t>Tanım: Tahsilat kuru | Neden önemli: Sipariş kârı ve kur riskini etkiler | Doğru kullanım: Tahsilatta beklenen kur. | Örnek: demo satırına bakın | Yanlışsa: net kâr ve karar bozulur | Kaynak: İhracat / hazine kuralları</t>
      </text>
    </comment>
    <comment ref="B17" authorId="0" shapeId="0">
      <text>
        <t>Tanım: Hedef marj (giriş) | Neden önemli: Sipariş kârı ve kur riskini etkiler | Doğru kullanım: Hedef net marj. | Örnek: demo satırına bakın | Yanlışsa: net kâr ve karar bozulur | Kaynak: İhracat / hazine kuralları</t>
      </text>
    </comment>
    <comment ref="B18" authorId="0" shapeId="0">
      <text>
        <t>Tanım: Yıllık tekrar [adet] | Neden önemli: Sipariş kârı ve kur riskini etkiler | Doğru kullanım: Yıllık sipariş adedi. | Örnek: demo satırına bakın | Yanlışsa: net kâr ve karar bozulur | Kaynak: İhracat / hazine kuralları</t>
      </text>
    </comment>
    <comment ref="B19" authorId="0" shapeId="0">
      <text>
        <t>Tanım: CAPEX / işletme sermayesi [₺] | Neden önemli: Sipariş kârı ve kur riskini etkiler | Doğru kullanım: Sipariş işletme sermayesi. | Örnek: demo satırına bakın | Yanlışsa: net kâr ve karar bozulur | Kaynak: İhracat / hazine kuralları</t>
      </text>
    </comment>
    <comment ref="B20" authorId="0" shapeId="0">
      <text>
        <t>Tanım: WACC [%] | Neden önemli: Sipariş kârı ve kur riskini etkiler | Doğru kullanım: İskonto oranı. | Örnek: demo satırına bakın | Yanlışsa: net kâr ve karar bozulur | Kaynak: İhracat / hazine kuralları</t>
      </text>
    </comment>
    <comment ref="B21" authorId="0" shapeId="0">
      <text>
        <t>Tanım: NPV dönem [yıl] | Neden önemli: Sipariş kârı ve kur riskini etkiler | Doğru kullanım: Nakit akışı yılı. | Örnek: demo satırına bakın | Yanlışsa: net kâr ve karar bozulur | Kaynak: İhracat / hazine kuralları</t>
      </text>
    </comment>
    <comment ref="B22" authorId="0" shapeId="0">
      <text>
        <t>Tanım: Kredi faiz oranı [%] | Neden önemli: Sipariş kârı ve kur riskini etkiler | Doğru kullanım: Kredi senaryosu faiz. | Örnek: demo satırına bakın | Yanlışsa: net kâr ve karar bozulur | Kaynak: İhracat / hazine kuralları</t>
      </text>
    </comment>
    <comment ref="B23" authorId="0" shapeId="0">
      <text>
        <t>Tanım: Öz kaynak oranı [%] | Neden önemli: Sipariş kârı ve kur riskini etkiler | Doğru kullanım: Öz kaynak payı. | Örnek: demo satırına bakın | Yanlışsa: net kâr ve karar bozulur | Kaynak: İhracat / hazine kuralları</t>
      </text>
    </comment>
    <comment ref="A32" authorId="0" shapeId="0">
      <text>
        <t>Tanım: sirket_adi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32" authorId="0" shapeId="0">
      <text>
        <t>Tanım: sirket_adi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32" authorId="0" shapeId="0">
      <text>
        <t>Tanım: sirket_adi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32" authorId="0" shapeId="0">
      <text>
        <t>Tanım: sirket_adi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32" authorId="0" shapeId="0">
      <text>
        <t>Tanım: sirket_adi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33" authorId="0" shapeId="0">
      <text>
        <t>Tanım: 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33" authorId="0" shapeId="0">
      <text>
        <t>Tanım: 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33" authorId="0" shapeId="0">
      <text>
        <t>Tanım: 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33" authorId="0" shapeId="0">
      <text>
        <t>Tanım: 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33" authorId="0" shapeId="0">
      <text>
        <t>Tanım: 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34" authorId="0" shapeId="0">
      <text>
        <t>Tanım: hesapYili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34" authorId="0" shapeId="0">
      <text>
        <t>Tanım: hesapYili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34" authorId="0" shapeId="0">
      <text>
        <t>Tanım: hesapYili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34" authorId="0" shapeId="0">
      <text>
        <t>Tanım: hesapYili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34" authorId="0" shapeId="0">
      <text>
        <t>Tanım: hesapYili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35" authorId="0" shapeId="0">
      <text>
        <t>Tanım: parabirimi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35" authorId="0" shapeId="0">
      <text>
        <t>Tanım: parabirimi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35" authorId="0" shapeId="0">
      <text>
        <t>Tanım: parabirimi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35" authorId="0" shapeId="0">
      <text>
        <t>Tanım: parabirimi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35" authorId="0" shapeId="0">
      <text>
        <t>Tanım: parabirimi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36" authorId="0" shapeId="0">
      <text>
        <t>Tanım: fob_doviz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36" authorId="0" shapeId="0">
      <text>
        <t>Tanım: fob_doviz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36" authorId="0" shapeId="0">
      <text>
        <t>Tanım: fob_doviz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36" authorId="0" shapeId="0">
      <text>
        <t>Tanım: fob_doviz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36" authorId="0" shapeId="0">
      <text>
        <t>Tanım: fob_doviz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37" authorId="0" shapeId="0">
      <text>
        <t>Tanım: miktar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37" authorId="0" shapeId="0">
      <text>
        <t>Tanım: miktar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37" authorId="0" shapeId="0">
      <text>
        <t>Tanım: miktar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37" authorId="0" shapeId="0">
      <text>
        <t>Tanım: miktar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37" authorId="0" shapeId="0">
      <text>
        <t>Tanım: miktar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38" authorId="0" shapeId="0">
      <text>
        <t>Tanım: uretim_maliyet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38" authorId="0" shapeId="0">
      <text>
        <t>Tanım: uretim_maliyet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38" authorId="0" shapeId="0">
      <text>
        <t>Tanım: uretim_maliyet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38" authorId="0" shapeId="0">
      <text>
        <t>Tanım: uretim_maliyet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38" authorId="0" shapeId="0">
      <text>
        <t>Tanım: uretim_maliyet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39" authorId="0" shapeId="0">
      <text>
        <t>Tanım: navlun_cikis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39" authorId="0" shapeId="0">
      <text>
        <t>Tanım: navlun_cikis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39" authorId="0" shapeId="0">
      <text>
        <t>Tanım: navlun_cikis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39" authorId="0" shapeId="0">
      <text>
        <t>Tanım: navlun_cikis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39" authorId="0" shapeId="0">
      <text>
        <t>Tanım: navlun_cikis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0" authorId="0" shapeId="0">
      <text>
        <t>Tanım: komisyon_oran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0" authorId="0" shapeId="0">
      <text>
        <t>Tanım: komisyon_oran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0" authorId="0" shapeId="0">
      <text>
        <t>Tanım: komisyon_oran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0" authorId="0" shapeId="0">
      <text>
        <t>Tanım: komisyon_oran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0" authorId="0" shapeId="0">
      <text>
        <t>Tanım: komisyon_oran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1" authorId="0" shapeId="0">
      <text>
        <t>Tanım: hedge_oran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1" authorId="0" shapeId="0">
      <text>
        <t>Tanım: hedge_oran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1" authorId="0" shapeId="0">
      <text>
        <t>Tanım: hedge_oran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1" authorId="0" shapeId="0">
      <text>
        <t>Tanım: hedge_oran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1" authorId="0" shapeId="0">
      <text>
        <t>Tanım: hedge_oran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2" authorId="0" shapeId="0">
      <text>
        <t>Tanım: tahsilat_kur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2" authorId="0" shapeId="0">
      <text>
        <t>Tanım: tahsilat_kur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2" authorId="0" shapeId="0">
      <text>
        <t>Tanım: tahsilat_kur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2" authorId="0" shapeId="0">
      <text>
        <t>Tanım: tahsilat_kur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2" authorId="0" shapeId="0">
      <text>
        <t>Tanım: tahsilat_kur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3" authorId="0" shapeId="0">
      <text>
        <t>Tanım: hedef_marj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3" authorId="0" shapeId="0">
      <text>
        <t>Tanım: hedef_marj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3" authorId="0" shapeId="0">
      <text>
        <t>Tanım: hedef_marj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3" authorId="0" shapeId="0">
      <text>
        <t>Tanım: hedef_marj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3" authorId="0" shapeId="0">
      <text>
        <t>Tanım: hedef_marj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4" authorId="0" shapeId="0">
      <text>
        <t>Tanım: yillik_tekrar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4" authorId="0" shapeId="0">
      <text>
        <t>Tanım: yillik_tekrar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4" authorId="0" shapeId="0">
      <text>
        <t>Tanım: yillik_tekrar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4" authorId="0" shapeId="0">
      <text>
        <t>Tanım: yillik_tekrar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4" authorId="0" shapeId="0">
      <text>
        <t>Tanım: yillik_tekrar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5" authorId="0" shapeId="0">
      <text>
        <t>Tanım: capex_tl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5" authorId="0" shapeId="0">
      <text>
        <t>Tanım: capex_tl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5" authorId="0" shapeId="0">
      <text>
        <t>Tanım: capex_tl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5" authorId="0" shapeId="0">
      <text>
        <t>Tanım: capex_tl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5" authorId="0" shapeId="0">
      <text>
        <t>Tanım: capex_tl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6" authorId="0" shapeId="0">
      <text>
        <t>Tanım: wacc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6" authorId="0" shapeId="0">
      <text>
        <t>Tanım: wacc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6" authorId="0" shapeId="0">
      <text>
        <t>Tanım: wacc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6" authorId="0" shapeId="0">
      <text>
        <t>Tanım: wacc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6" authorId="0" shapeId="0">
      <text>
        <t>Tanım: wacc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7" authorId="0" shapeId="0">
      <text>
        <t>Tanım: npv_donem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7" authorId="0" shapeId="0">
      <text>
        <t>Tanım: npv_donem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7" authorId="0" shapeId="0">
      <text>
        <t>Tanım: npv_donem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7" authorId="0" shapeId="0">
      <text>
        <t>Tanım: npv_donem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7" authorId="0" shapeId="0">
      <text>
        <t>Tanım: npv_donem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8" authorId="0" shapeId="0">
      <text>
        <t>Tanım: kredi_orani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8" authorId="0" shapeId="0">
      <text>
        <t>Tanım: kredi_orani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8" authorId="0" shapeId="0">
      <text>
        <t>Tanım: kredi_orani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8" authorId="0" shapeId="0">
      <text>
        <t>Tanım: kredi_orani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8" authorId="0" shapeId="0">
      <text>
        <t>Tanım: kredi_orani | Neden önemli: Sipariş kârı ve kur riskini etkiler | Doğru kullanım: Tablo girişi; PANO ile senkron tutun | Örnek: demo satırına bakın | Yanlışsa: net kâr ve karar bozulur | Kaynak: İhracat / hazine kuralları</t>
      </text>
    </comment>
    <comment ref="A49" authorId="0" shapeId="0">
      <text>
        <t>Tanım: oz_kaynak_oran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B49" authorId="0" shapeId="0">
      <text>
        <t>Tanım: oz_kaynak_oran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C49" authorId="0" shapeId="0">
      <text>
        <t>Tanım: oz_kaynak_oran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D49" authorId="0" shapeId="0">
      <text>
        <t>Tanım: oz_kaynak_oran | Neden önemli: Sipariş kârı ve kur riskini etkiler | Doğru kullanım: Tablo girişi; PANO ile senkron tutun | Örnek: demo satırına bakın | Yanlışsa: net kâr ve karar bozulur | Kaynak: İhracat / hazine kuralları</t>
      </text>
    </comment>
    <comment ref="E49" authorId="0" shapeId="0">
      <text>
        <t>Tanım: oz_kaynak_oran | Neden önemli: Sipariş kârı ve kur riskini etkiler | Doğru kullanım: Tablo girişi; PANO ile senkron tutun | Örnek: demo satırına bakın | Yanlışsa: net kâr ve karar bozulur | Kaynak: İhracat / hazine kuralları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KartId | Neden önemli: Sipariş kârı ve kur riskini etkiler | Doğru kullanım: Kart alanı | Örnek: demo satırına bakın | Yanlışsa: net kâr ve karar bozulur | Kaynak: İhracat / hazine kuralları</t>
      </text>
    </comment>
    <comment ref="B6" authorId="0" shapeId="0">
      <text>
        <t>Tanım: Unvan | Neden önemli: Sipariş kârı ve kur riskini etkiler | Doğru kullanım: Kart alanı | Örnek: demo satırına bakın | Yanlışsa: net kâr ve karar bozulur | Kaynak: İhracat / hazine kuralları</t>
      </text>
    </comment>
    <comment ref="C6" authorId="0" shapeId="0">
      <text>
        <t>Tanım: Ulke | Neden önemli: Sipariş kârı ve kur riskini etkiler | Doğru kullanım: Kart alanı | Örnek: demo satırına bakın | Yanlışsa: net kâr ve karar bozulur | Kaynak: İhracat / hazine kuralları</t>
      </text>
    </comment>
    <comment ref="D6" authorId="0" shapeId="0">
      <text>
        <t>Tanım: ParaBirimi | Neden önemli: Sipariş kârı ve kur riskini etkiler | Doğru kullanım: Kart alanı | Örnek: demo satırına bakın | Yanlışsa: net kâr ve karar bozulur | Kaynak: İhracat / hazine kuralları</t>
      </text>
    </comment>
    <comment ref="E6" authorId="0" shapeId="0">
      <text>
        <t>Tanım: RiskNotu | Neden önemli: Sipariş kârı ve kur riskini etkiler | Doğru kullanım: Kart alanı | Örnek: demo satırına bakın | Yanlışsa: net kâr ve karar bozulur | Kaynak: İhracat / hazine kuralları</t>
      </text>
    </comment>
    <comment ref="F6" authorId="0" shapeId="0">
      <text>
        <t>Tanım: Aktif | Neden önemli: Sipariş kârı ve kur riskini etkiler | Doğru kullanım: Kart alanı | Örnek: demo satırına bakın | Yanlışsa: net kâr ve karar bozulur | Kaynak: İhracat / hazine kuralları</t>
      </text>
    </comment>
    <comment ref="A7" authorId="0" shapeId="0">
      <text>
        <t>Tanım: KartId | Neden önemli: Sipariş kârı ve kur riskini etkiler | Doğru kullanım: Kart alanı | Örnek: demo satırına bakın | Yanlışsa: net kâr ve karar bozulur | Kaynak: İhracat / hazine kuralları</t>
      </text>
    </comment>
    <comment ref="B7" authorId="0" shapeId="0">
      <text>
        <t>Tanım: Unvan | Neden önemli: Sipariş kârı ve kur riskini etkiler | Doğru kullanım: Kart alanı | Örnek: demo satırına bakın | Yanlışsa: net kâr ve karar bozulur | Kaynak: İhracat / hazine kuralları</t>
      </text>
    </comment>
    <comment ref="C7" authorId="0" shapeId="0">
      <text>
        <t>Tanım: Ulke | Neden önemli: Sipariş kârı ve kur riskini etkiler | Doğru kullanım: Kart alanı | Örnek: demo satırına bakın | Yanlışsa: net kâr ve karar bozulur | Kaynak: İhracat / hazine kuralları</t>
      </text>
    </comment>
    <comment ref="D7" authorId="0" shapeId="0">
      <text>
        <t>Tanım: ParaBirimi | Neden önemli: Sipariş kârı ve kur riskini etkiler | Doğru kullanım: Kart alanı | Örnek: demo satırına bakın | Yanlışsa: net kâr ve karar bozulur | Kaynak: İhracat / hazine kuralları</t>
      </text>
    </comment>
    <comment ref="E7" authorId="0" shapeId="0">
      <text>
        <t>Tanım: RiskNotu | Neden önemli: Sipariş kârı ve kur riskini etkiler | Doğru kullanım: Kart alanı | Örnek: demo satırına bakın | Yanlışsa: net kâr ve karar bozulur | Kaynak: İhracat / hazine kuralları</t>
      </text>
    </comment>
    <comment ref="F7" authorId="0" shapeId="0">
      <text>
        <t>Tanım: Aktif | Neden önemli: Sipariş kârı ve kur riskini etkiler | Doğru kullanım: Kart alanı | Örnek: demo satırına bakın | Yanlışsa: net kâr ve karar bozulur | Kaynak: İhracat / hazine kuralları</t>
      </text>
    </comment>
    <comment ref="A8" authorId="0" shapeId="0">
      <text>
        <t>Tanım: KartId | Neden önemli: Sipariş kârı ve kur riskini etkiler | Doğru kullanım: Kart alanı | Örnek: demo satırına bakın | Yanlışsa: net kâr ve karar bozulur | Kaynak: İhracat / hazine kuralları</t>
      </text>
    </comment>
    <comment ref="B8" authorId="0" shapeId="0">
      <text>
        <t>Tanım: Unvan | Neden önemli: Sipariş kârı ve kur riskini etkiler | Doğru kullanım: Kart alanı | Örnek: demo satırına bakın | Yanlışsa: net kâr ve karar bozulur | Kaynak: İhracat / hazine kuralları</t>
      </text>
    </comment>
    <comment ref="C8" authorId="0" shapeId="0">
      <text>
        <t>Tanım: Ulke | Neden önemli: Sipariş kârı ve kur riskini etkiler | Doğru kullanım: Kart alanı | Örnek: demo satırına bakın | Yanlışsa: net kâr ve karar bozulur | Kaynak: İhracat / hazine kuralları</t>
      </text>
    </comment>
    <comment ref="D8" authorId="0" shapeId="0">
      <text>
        <t>Tanım: ParaBirimi | Neden önemli: Sipariş kârı ve kur riskini etkiler | Doğru kullanım: Kart alanı | Örnek: demo satırına bakın | Yanlışsa: net kâr ve karar bozulur | Kaynak: İhracat / hazine kuralları</t>
      </text>
    </comment>
    <comment ref="E8" authorId="0" shapeId="0">
      <text>
        <t>Tanım: RiskNotu | Neden önemli: Sipariş kârı ve kur riskini etkiler | Doğru kullanım: Kart alanı | Örnek: demo satırına bakın | Yanlışsa: net kâr ve karar bozulur | Kaynak: İhracat / hazine kuralları</t>
      </text>
    </comment>
    <comment ref="F8" authorId="0" shapeId="0">
      <text>
        <t>Tanım: Aktif | Neden önemli: Sipariş kârı ve kur riskini etkiler | Doğru kullanım: Kart alanı | Örnek: demo satırına bakın | Yanlışsa: net kâr ve karar bozulur | Kaynak: İhracat / hazine kuralları</t>
      </text>
    </comment>
    <comment ref="A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2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2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2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2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2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2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3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3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3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3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3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3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4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4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4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4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4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4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5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5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5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5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5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5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6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6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6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6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6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6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7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7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7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7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7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7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8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8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8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8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8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8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0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0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0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0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0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0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1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1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1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1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1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1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2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2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2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2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2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2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3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3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3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3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3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3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4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4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4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4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4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4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5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5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5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5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5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5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6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6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6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6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6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6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7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7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7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7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7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7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8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8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8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8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8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8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6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6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6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6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6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6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7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7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7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7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7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7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8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8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8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8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8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8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999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999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999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999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999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999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00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00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00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00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00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00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01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01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01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01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01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01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02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02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02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02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02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02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03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03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03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03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03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03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04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04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04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04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04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04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  <comment ref="A1005" authorId="0" shapeId="0">
      <text>
        <t>Tanım: KartId | Neden önemli: Sipariş kârı ve kur riskini etkiler | Doğru kullanım: Manuel kart girişi | Örnek: demo satırına bakın | Yanlışsa: net kâr ve karar bozulur | Kaynak: İhracat / hazine kuralları</t>
      </text>
    </comment>
    <comment ref="B1005" authorId="0" shapeId="0">
      <text>
        <t>Tanım: Unvan | Neden önemli: Sipariş kârı ve kur riskini etkiler | Doğru kullanım: Manuel kart girişi | Örnek: demo satırına bakın | Yanlışsa: net kâr ve karar bozulur | Kaynak: İhracat / hazine kuralları</t>
      </text>
    </comment>
    <comment ref="C1005" authorId="0" shapeId="0">
      <text>
        <t>Tanım: Ulke | Neden önemli: Sipariş kârı ve kur riskini etkiler | Doğru kullanım: Manuel kart girişi | Örnek: demo satırına bakın | Yanlışsa: net kâr ve karar bozulur | Kaynak: İhracat / hazine kuralları</t>
      </text>
    </comment>
    <comment ref="D1005" authorId="0" shapeId="0">
      <text>
        <t>Tanım: ParaBirimi | Neden önemli: Sipariş kârı ve kur riskini etkiler | Doğru kullanım: Manuel kart girişi | Örnek: demo satırına bakın | Yanlışsa: net kâr ve karar bozulur | Kaynak: İhracat / hazine kuralları</t>
      </text>
    </comment>
    <comment ref="E1005" authorId="0" shapeId="0">
      <text>
        <t>Tanım: RiskNotu | Neden önemli: Sipariş kârı ve kur riskini etkiler | Doğru kullanım: Manuel kart girişi | Örnek: demo satırına bakın | Yanlışsa: net kâr ve karar bozulur | Kaynak: İhracat / hazine kuralları</t>
      </text>
    </comment>
    <comment ref="F1005" authorId="0" shapeId="0">
      <text>
        <t>Tanım: Aktif | Neden önemli: Sipariş kârı ve kur riskini etkiler | Doğru kullanım: Manuel kart girişi | Örnek: demo satırına bakın | Yanlışsa: net kâr ve karar bozulur | Kaynak: İhracat / hazine kuralları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İşlem Kimliği | Neden önemli: Sipariş kârı ve kur riskini etkiler | Doğru kullanım: SIP-##### | Örnek: demo satırına bakın | Yanlışsa: net kâr ve karar bozulur | Kaynak: İhracat / hazine kuralları</t>
      </text>
    </comment>
    <comment ref="B6" authorId="0" shapeId="0">
      <text>
        <t>Tanım: Kaynak Kart | Neden önemli: Sipariş kârı ve kur riskini etkiler | Doğru kullanım: KARTLAR'daki KartId | Örnek: demo satırına bakın | Yanlışsa: net kâr ve karar bozulur | Kaynak: İhracat / hazine kuralları</t>
      </text>
    </comment>
    <comment ref="C6" authorId="0" shapeId="0">
      <text>
        <t>Tanım: Önceki Durum | Neden önemli: Sipariş kârı ve kur riskini etkiler | Doğru kullanım: Önceki durum_id | Örnek: demo satırına bakın | Yanlışsa: net kâr ve karar bozulur | Kaynak: İhracat / hazine kuralları</t>
      </text>
    </comment>
    <comment ref="D6" authorId="0" shapeId="0">
      <text>
        <t>Tanım: Durum | Neden önemli: Sipariş kârı ve kur riskini etkiler | Doğru kullanım: Durum haritasından seçin | Örnek: demo satırına bakın | Yanlışsa: net kâr ve karar bozulur | Kaynak: İhracat / hazine kuralları</t>
      </text>
    </comment>
    <comment ref="E6" authorId="0" shapeId="0">
      <text>
        <t>Tanım: FOB | Neden önemli: Sipariş kârı ve kur riskini etkiler | Doğru kullanım: FOB döviz | Örnek: demo satırına bakın | Yanlışsa: net kâr ve karar bozulur | Kaynak: İhracat / hazine kuralları</t>
      </text>
    </comment>
    <comment ref="F6" authorId="0" shapeId="0">
      <text>
        <t>Tanım: Maliyet | Neden önemli: Sipariş kârı ve kur riskini etkiler | Doğru kullanım: Maliyet döviz | Örnek: demo satırına bakın | Yanlışsa: net kâr ve karar bozulur | Kaynak: İhracat / hazine kuralları</t>
      </text>
    </comment>
    <comment ref="G6" authorId="0" shapeId="0">
      <text>
        <t>Tanım: Tutar | Neden önemli: Sipariş kârı ve kur riskini etkiler | Doğru kullanım: Açık tutar döviz | Örnek: demo satırına bakın | Yanlışsa: net kâr ve karar bozulur | Kaynak: İhracat / hazine kuralları</t>
      </text>
    </comment>
    <comment ref="H6" authorId="0" shapeId="0">
      <text>
        <t>Tanım: Hedge | Neden önemli: Sipariş kârı ve kur riskini etkiler | Doğru kullanım: Hedge oranı | Örnek: demo satırına bakın | Yanlışsa: net kâr ve karar bozulur | Kaynak: İhracat / hazine kuralları</t>
      </text>
    </comment>
    <comment ref="A7" authorId="0" shapeId="0">
      <text>
        <t>Tanım: İşlem Kimliği | Neden önemli: Sipariş kârı ve kur riskini etkiler | Doğru kullanım: SIP-##### | Örnek: demo satırına bakın | Yanlışsa: net kâr ve karar bozulur | Kaynak: İhracat / hazine kuralları</t>
      </text>
    </comment>
    <comment ref="B7" authorId="0" shapeId="0">
      <text>
        <t>Tanım: Kaynak Kart | Neden önemli: Sipariş kârı ve kur riskini etkiler | Doğru kullanım: KARTLAR'daki KartId | Örnek: demo satırına bakın | Yanlışsa: net kâr ve karar bozulur | Kaynak: İhracat / hazine kuralları</t>
      </text>
    </comment>
    <comment ref="C7" authorId="0" shapeId="0">
      <text>
        <t>Tanım: Önceki Durum | Neden önemli: Sipariş kârı ve kur riskini etkiler | Doğru kullanım: Önceki durum_id | Örnek: demo satırına bakın | Yanlışsa: net kâr ve karar bozulur | Kaynak: İhracat / hazine kuralları</t>
      </text>
    </comment>
    <comment ref="D7" authorId="0" shapeId="0">
      <text>
        <t>Tanım: Durum | Neden önemli: Sipariş kârı ve kur riskini etkiler | Doğru kullanım: Durum haritasından seçin | Örnek: demo satırına bakın | Yanlışsa: net kâr ve karar bozulur | Kaynak: İhracat / hazine kuralları</t>
      </text>
    </comment>
    <comment ref="E7" authorId="0" shapeId="0">
      <text>
        <t>Tanım: FOB | Neden önemli: Sipariş kârı ve kur riskini etkiler | Doğru kullanım: FOB döviz | Örnek: demo satırına bakın | Yanlışsa: net kâr ve karar bozulur | Kaynak: İhracat / hazine kuralları</t>
      </text>
    </comment>
    <comment ref="F7" authorId="0" shapeId="0">
      <text>
        <t>Tanım: Maliyet | Neden önemli: Sipariş kârı ve kur riskini etkiler | Doğru kullanım: Maliyet döviz | Örnek: demo satırına bakın | Yanlışsa: net kâr ve karar bozulur | Kaynak: İhracat / hazine kuralları</t>
      </text>
    </comment>
    <comment ref="G7" authorId="0" shapeId="0">
      <text>
        <t>Tanım: Tutar | Neden önemli: Sipariş kârı ve kur riskini etkiler | Doğru kullanım: Açık tutar döviz | Örnek: demo satırına bakın | Yanlışsa: net kâr ve karar bozulur | Kaynak: İhracat / hazine kuralları</t>
      </text>
    </comment>
    <comment ref="H7" authorId="0" shapeId="0">
      <text>
        <t>Tanım: Hedge | Neden önemli: Sipariş kârı ve kur riskini etkiler | Doğru kullanım: Hedge oranı | Örnek: demo satırına bakın | Yanlışsa: net kâr ve karar bozulur | Kaynak: İhracat / hazine kuralları</t>
      </text>
    </comment>
    <comment ref="A8" authorId="0" shapeId="0">
      <text>
        <t>Tanım: İşlem Kimliği | Neden önemli: Sipariş kârı ve kur riskini etkiler | Doğru kullanım: SIP-##### | Örnek: demo satırına bakın | Yanlışsa: net kâr ve karar bozulur | Kaynak: İhracat / hazine kuralları</t>
      </text>
    </comment>
    <comment ref="B8" authorId="0" shapeId="0">
      <text>
        <t>Tanım: Kaynak Kart | Neden önemli: Sipariş kârı ve kur riskini etkiler | Doğru kullanım: KARTLAR'daki KartId | Örnek: demo satırına bakın | Yanlışsa: net kâr ve karar bozulur | Kaynak: İhracat / hazine kuralları</t>
      </text>
    </comment>
    <comment ref="C8" authorId="0" shapeId="0">
      <text>
        <t>Tanım: Önceki Durum | Neden önemli: Sipariş kârı ve kur riskini etkiler | Doğru kullanım: Önceki durum_id | Örnek: demo satırına bakın | Yanlışsa: net kâr ve karar bozulur | Kaynak: İhracat / hazine kuralları</t>
      </text>
    </comment>
    <comment ref="D8" authorId="0" shapeId="0">
      <text>
        <t>Tanım: Durum | Neden önemli: Sipariş kârı ve kur riskini etkiler | Doğru kullanım: Durum haritasından seçin | Örnek: demo satırına bakın | Yanlışsa: net kâr ve karar bozulur | Kaynak: İhracat / hazine kuralları</t>
      </text>
    </comment>
    <comment ref="E8" authorId="0" shapeId="0">
      <text>
        <t>Tanım: FOB | Neden önemli: Sipariş kârı ve kur riskini etkiler | Doğru kullanım: FOB döviz | Örnek: demo satırına bakın | Yanlışsa: net kâr ve karar bozulur | Kaynak: İhracat / hazine kuralları</t>
      </text>
    </comment>
    <comment ref="F8" authorId="0" shapeId="0">
      <text>
        <t>Tanım: Maliyet | Neden önemli: Sipariş kârı ve kur riskini etkiler | Doğru kullanım: Maliyet döviz | Örnek: demo satırına bakın | Yanlışsa: net kâr ve karar bozulur | Kaynak: İhracat / hazine kuralları</t>
      </text>
    </comment>
    <comment ref="G8" authorId="0" shapeId="0">
      <text>
        <t>Tanım: Tutar | Neden önemli: Sipariş kârı ve kur riskini etkiler | Doğru kullanım: Açık tutar döviz | Örnek: demo satırına bakın | Yanlışsa: net kâr ve karar bozulur | Kaynak: İhracat / hazine kuralları</t>
      </text>
    </comment>
    <comment ref="H8" authorId="0" shapeId="0">
      <text>
        <t>Tanım: Hedge | Neden önemli: Sipariş kârı ve kur riskini etkiler | Doğru kullanım: Hedge oranı | Örnek: demo satırına bakın | Yanlışsa: net kâr ve karar bozulur | Kaynak: İhracat / hazine kuralları</t>
      </text>
    </comment>
    <comment ref="A9" authorId="0" shapeId="0">
      <text>
        <t>Tanım: İşlem Kimliği | Neden önemli: Sipariş kârı ve kur riskini etkiler | Doğru kullanım: SIP-##### | Örnek: demo satırına bakın | Yanlışsa: net kâr ve karar bozulur | Kaynak: İhracat / hazine kuralları</t>
      </text>
    </comment>
    <comment ref="B9" authorId="0" shapeId="0">
      <text>
        <t>Tanım: Kaynak Kart | Neden önemli: Sipariş kârı ve kur riskini etkiler | Doğru kullanım: KARTLAR'daki KartId | Örnek: demo satırına bakın | Yanlışsa: net kâr ve karar bozulur | Kaynak: İhracat / hazine kuralları</t>
      </text>
    </comment>
    <comment ref="C9" authorId="0" shapeId="0">
      <text>
        <t>Tanım: Önceki Durum | Neden önemli: Sipariş kârı ve kur riskini etkiler | Doğru kullanım: Önceki durum_id | Örnek: demo satırına bakın | Yanlışsa: net kâr ve karar bozulur | Kaynak: İhracat / hazine kuralları</t>
      </text>
    </comment>
    <comment ref="D9" authorId="0" shapeId="0">
      <text>
        <t>Tanım: Durum | Neden önemli: Sipariş kârı ve kur riskini etkiler | Doğru kullanım: Durum haritasından seçin | Örnek: demo satırına bakın | Yanlışsa: net kâr ve karar bozulur | Kaynak: İhracat / hazine kuralları</t>
      </text>
    </comment>
    <comment ref="E9" authorId="0" shapeId="0">
      <text>
        <t>Tanım: FOB | Neden önemli: Sipariş kârı ve kur riskini etkiler | Doğru kullanım: FOB döviz | Örnek: demo satırına bakın | Yanlışsa: net kâr ve karar bozulur | Kaynak: İhracat / hazine kuralları</t>
      </text>
    </comment>
    <comment ref="F9" authorId="0" shapeId="0">
      <text>
        <t>Tanım: Maliyet | Neden önemli: Sipariş kârı ve kur riskini etkiler | Doğru kullanım: Maliyet döviz | Örnek: demo satırına bakın | Yanlışsa: net kâr ve karar bozulur | Kaynak: İhracat / hazine kuralları</t>
      </text>
    </comment>
    <comment ref="G9" authorId="0" shapeId="0">
      <text>
        <t>Tanım: Tutar | Neden önemli: Sipariş kârı ve kur riskini etkiler | Doğru kullanım: Açık tutar döviz | Örnek: demo satırına bakın | Yanlışsa: net kâr ve karar bozulur | Kaynak: İhracat / hazine kuralları</t>
      </text>
    </comment>
    <comment ref="H9" authorId="0" shapeId="0">
      <text>
        <t>Tanım: Hedge | Neden önemli: Sipariş kârı ve kur riskini etkiler | Doğru kullanım: Hedge oranı | Örnek: demo satırına bakın | Yanlışsa: net kâr ve karar bozulur | Kaynak: İhracat / hazine kuralları</t>
      </text>
    </comment>
    <comment ref="A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2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2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2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2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2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2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2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2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3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3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3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3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3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3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3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3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4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4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4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4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4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4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4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4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5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5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5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5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5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5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5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5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6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6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6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6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6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6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6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6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7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7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7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7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7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7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7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7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8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8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8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8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8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8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8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8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0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0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0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0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0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0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0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0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1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1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1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1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1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1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1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1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2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2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2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2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2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2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2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2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3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3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3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3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3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3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3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3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4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4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4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4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4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4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4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4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5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5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5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5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5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5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5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5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6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6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6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6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6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6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6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6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7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7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7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7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7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7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7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7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8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8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8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8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8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8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8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8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6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6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6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6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6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6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6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6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7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7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7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7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7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7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7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7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8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8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8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8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8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8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8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8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999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999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999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999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999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999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999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999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00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00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00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00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00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00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00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00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01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01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01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01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01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01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01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01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02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02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02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02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02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02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02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02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03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03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03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03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03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03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03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03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04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04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04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04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04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04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04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04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  <comment ref="A1005" authorId="0" shapeId="0">
      <text>
        <t>Tanım: IslemId | Neden önemli: Sipariş kârı ve kur riskini etkiler | Doğru kullanım: Manuel giriş | Örnek: demo satırına bakın | Yanlışsa: net kâr ve karar bozulur | Kaynak: İhracat / hazine kuralları</t>
      </text>
    </comment>
    <comment ref="B1005" authorId="0" shapeId="0">
      <text>
        <t>Tanım: KaynakKartId | Neden önemli: Sipariş kârı ve kur riskini etkiler | Doğru kullanım: Manuel giriş | Örnek: demo satırına bakın | Yanlışsa: net kâr ve karar bozulur | Kaynak: İhracat / hazine kuralları</t>
      </text>
    </comment>
    <comment ref="C1005" authorId="0" shapeId="0">
      <text>
        <t>Tanım: OncekiDurum | Neden önemli: Sipariş kârı ve kur riskini etkiler | Doğru kullanım: Manuel giriş | Örnek: demo satırına bakın | Yanlışsa: net kâr ve karar bozulur | Kaynak: İhracat / hazine kuralları</t>
      </text>
    </comment>
    <comment ref="D1005" authorId="0" shapeId="0">
      <text>
        <t>Tanım: Durum | Neden önemli: Sipariş kârı ve kur riskini etkiler | Doğru kullanım: Manuel giriş | Örnek: demo satırına bakın | Yanlışsa: net kâr ve karar bozulur | Kaynak: İhracat / hazine kuralları</t>
      </text>
    </comment>
    <comment ref="E1005" authorId="0" shapeId="0">
      <text>
        <t>Tanım: FobDoviz | Neden önemli: Sipariş kârı ve kur riskini etkiler | Doğru kullanım: Manuel giriş | Örnek: demo satırına bakın | Yanlışsa: net kâr ve karar bozulur | Kaynak: İhracat / hazine kuralları</t>
      </text>
    </comment>
    <comment ref="F1005" authorId="0" shapeId="0">
      <text>
        <t>Tanım: MaliyetDoviz | Neden önemli: Sipariş kârı ve kur riskini etkiler | Doğru kullanım: Manuel giriş | Örnek: demo satırına bakın | Yanlışsa: net kâr ve karar bozulur | Kaynak: İhracat / hazine kuralları</t>
      </text>
    </comment>
    <comment ref="G1005" authorId="0" shapeId="0">
      <text>
        <t>Tanım: Tutar | Neden önemli: Sipariş kârı ve kur riskini etkiler | Doğru kullanım: Manuel giriş | Örnek: demo satırına bakın | Yanlışsa: net kâr ve karar bozulur | Kaynak: İhracat / hazine kuralları</t>
      </text>
    </comment>
    <comment ref="H1005" authorId="0" shapeId="0">
      <text>
        <t>Tanım: HedgeOran | Neden önemli: Sipariş kârı ve kur riskini etkiler | Doğru kullanım: Manuel giriş | Örnek: demo satırına bakın | Yanlışsa: net kâr ve karar bozulur | Kaynak: İhracat / hazine kuralları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C6" authorId="0" shapeId="0">
      <text>
        <t>Tanım: Rezervasyon kuru | Neden önemli: Sipariş kârı ve kur riskini etkiler | Doğru kullanım: Varsayım alanı | Örnek: demo satırına bakın | Yanlışsa: net kâr ve karar bozulur | Kaynak: İhracat / hazine kuralları</t>
      </text>
    </comment>
    <comment ref="E6" authorId="0" shapeId="0">
      <text>
        <t>Tanım: Rezervasyon kuru | Neden önemli: Sipariş kârı ve kur riskini etkiler | Doğru kullanım: Varsayım alanı | Örnek: demo satırına bakın | Yanlışsa: net kâr ve karar bozulur | Kaynak: İhracat / hazine kuralları</t>
      </text>
    </comment>
    <comment ref="F6" authorId="0" shapeId="0">
      <text>
        <t>Tanım: Rezervasyon kuru | Neden önemli: Sipariş kârı ve kur riskini etkiler | Doğru kullanım: Varsayım alanı | Örnek: demo satırına bakın | Yanlışsa: net kâr ve karar bozulur | Kaynak: İhracat / hazine kuralları</t>
      </text>
    </comment>
    <comment ref="G6" authorId="0" shapeId="0">
      <text>
        <t>Tanım: Rezervasyon kuru | Neden önemli: Sipariş kârı ve kur riskini etkiler | Doğru kullanım: Varsayım alanı | Örnek: demo satırına bakın | Yanlışsa: net kâr ve karar bozulur | Kaynak: İhracat / hazine kuralları</t>
      </text>
    </comment>
    <comment ref="C7" authorId="0" shapeId="0">
      <text>
        <t>Tanım: Tahsilat kuru | Neden önemli: Sipariş kârı ve kur riskini etkiler | Doğru kullanım: Varsayım alanı | Örnek: demo satırına bakın | Yanlışsa: net kâr ve karar bozulur | Kaynak: İhracat / hazine kuralları</t>
      </text>
    </comment>
    <comment ref="E7" authorId="0" shapeId="0">
      <text>
        <t>Tanım: Tahsilat kuru | Neden önemli: Sipariş kârı ve kur riskini etkiler | Doğru kullanım: Varsayım alanı | Örnek: demo satırına bakın | Yanlışsa: net kâr ve karar bozulur | Kaynak: İhracat / hazine kuralları</t>
      </text>
    </comment>
    <comment ref="F7" authorId="0" shapeId="0">
      <text>
        <t>Tanım: Tahsilat kuru | Neden önemli: Sipariş kârı ve kur riskini etkiler | Doğru kullanım: Varsayım alanı | Örnek: demo satırına bakın | Yanlışsa: net kâr ve karar bozulur | Kaynak: İhracat / hazine kuralları</t>
      </text>
    </comment>
    <comment ref="G7" authorId="0" shapeId="0">
      <text>
        <t>Tanım: Tahsilat kuru | Neden önemli: Sipariş kârı ve kur riskini etkiler | Doğru kullanım: Varsayım alanı | Örnek: demo satırına bakın | Yanlışsa: net kâr ve karar bozulur | Kaynak: İhracat / hazine kuralları</t>
      </text>
    </comment>
    <comment ref="C8" authorId="0" shapeId="0">
      <text>
        <t>Tanım: Hedge oranı | Neden önemli: Sipariş kârı ve kur riskini etkiler | Doğru kullanım: Varsayım alanı | Örnek: demo satırına bakın | Yanlışsa: net kâr ve karar bozulur | Kaynak: İhracat / hazine kuralları</t>
      </text>
    </comment>
    <comment ref="E8" authorId="0" shapeId="0">
      <text>
        <t>Tanım: Hedge oranı | Neden önemli: Sipariş kârı ve kur riskini etkiler | Doğru kullanım: Varsayım alanı | Örnek: demo satırına bakın | Yanlışsa: net kâr ve karar bozulur | Kaynak: İhracat / hazine kuralları</t>
      </text>
    </comment>
    <comment ref="F8" authorId="0" shapeId="0">
      <text>
        <t>Tanım: Hedge oranı | Neden önemli: Sipariş kârı ve kur riskini etkiler | Doğru kullanım: Varsayım alanı | Örnek: demo satırına bakın | Yanlışsa: net kâr ve karar bozulur | Kaynak: İhracat / hazine kuralları</t>
      </text>
    </comment>
    <comment ref="G8" authorId="0" shapeId="0">
      <text>
        <t>Tanım: Hedge oranı | Neden önemli: Sipariş kârı ve kur riskini etkiler | Doğru kullanım: Varsayım alanı | Örnek: demo satırına bakın | Yanlışsa: net kâr ve karar bozulur | Kaynak: İhracat / hazine kuralları</t>
      </text>
    </comment>
    <comment ref="C9" authorId="0" shapeId="0">
      <text>
        <t>Tanım: Asgari hedge | Neden önemli: Sipariş kârı ve kur riskini etkiler | Doğru kullanım: Varsayım alanı | Örnek: demo satırına bakın | Yanlışsa: net kâr ve karar bozulur | Kaynak: İhracat / hazine kuralları</t>
      </text>
    </comment>
    <comment ref="E9" authorId="0" shapeId="0">
      <text>
        <t>Tanım: Asgari hedge | Neden önemli: Sipariş kârı ve kur riskini etkiler | Doğru kullanım: Varsayım alanı | Örnek: demo satırına bakın | Yanlışsa: net kâr ve karar bozulur | Kaynak: İhracat / hazine kuralları</t>
      </text>
    </comment>
    <comment ref="F9" authorId="0" shapeId="0">
      <text>
        <t>Tanım: Asgari hedge | Neden önemli: Sipariş kârı ve kur riskini etkiler | Doğru kullanım: Varsayım alanı | Örnek: demo satırına bakın | Yanlışsa: net kâr ve karar bozulur | Kaynak: İhracat / hazine kuralları</t>
      </text>
    </comment>
    <comment ref="G9" authorId="0" shapeId="0">
      <text>
        <t>Tanım: Asgari hedge | Neden önemli: Sipariş kârı ve kur riskini etkiler | Doğru kullanım: Varsayım alanı | Örnek: demo satırına bakın | Yanlışsa: net kâr ve karar bozulur | Kaynak: İhracat / hazine kuralları</t>
      </text>
    </comment>
    <comment ref="C10" authorId="0" shapeId="0">
      <text>
        <t>Tanım: Komisyon | Neden önemli: Sipariş kârı ve kur riskini etkiler | Doğru kullanım: Varsayım alanı | Örnek: demo satırına bakın | Yanlışsa: net kâr ve karar bozulur | Kaynak: İhracat / hazine kuralları</t>
      </text>
    </comment>
    <comment ref="E10" authorId="0" shapeId="0">
      <text>
        <t>Tanım: Komisyon | Neden önemli: Sipariş kârı ve kur riskini etkiler | Doğru kullanım: Varsayım alanı | Örnek: demo satırına bakın | Yanlışsa: net kâr ve karar bozulur | Kaynak: İhracat / hazine kuralları</t>
      </text>
    </comment>
    <comment ref="F10" authorId="0" shapeId="0">
      <text>
        <t>Tanım: Komisyon | Neden önemli: Sipariş kârı ve kur riskini etkiler | Doğru kullanım: Varsayım alanı | Örnek: demo satırına bakın | Yanlışsa: net kâr ve karar bozulur | Kaynak: İhracat / hazine kuralları</t>
      </text>
    </comment>
    <comment ref="G10" authorId="0" shapeId="0">
      <text>
        <t>Tanım: Komisyon | Neden önemli: Sipariş kârı ve kur riskini etkiler | Doğru kullanım: Varsayım alanı | Örnek: demo satırına bakın | Yanlışsa: net kâr ve karar bozulur | Kaynak: İhracat / hazine kuralları</t>
      </text>
    </comment>
    <comment ref="C11" authorId="0" shapeId="0">
      <text>
        <t>Tanım: Kur şoku | Neden önemli: Sipariş kârı ve kur riskini etkiler | Doğru kullanım: Varsayım alanı | Örnek: demo satırına bakın | Yanlışsa: net kâr ve karar bozulur | Kaynak: İhracat / hazine kuralları</t>
      </text>
    </comment>
    <comment ref="E11" authorId="0" shapeId="0">
      <text>
        <t>Tanım: Kur şoku | Neden önemli: Sipariş kârı ve kur riskini etkiler | Doğru kullanım: Varsayım alanı | Örnek: demo satırına bakın | Yanlışsa: net kâr ve karar bozulur | Kaynak: İhracat / hazine kuralları</t>
      </text>
    </comment>
    <comment ref="F11" authorId="0" shapeId="0">
      <text>
        <t>Tanım: Kur şoku | Neden önemli: Sipariş kârı ve kur riskini etkiler | Doğru kullanım: Varsayım alanı | Örnek: demo satırına bakın | Yanlışsa: net kâr ve karar bozulur | Kaynak: İhracat / hazine kuralları</t>
      </text>
    </comment>
    <comment ref="G11" authorId="0" shapeId="0">
      <text>
        <t>Tanım: Kur şoku | Neden önemli: Sipariş kârı ve kur riskini etkiler | Doğru kullanım: Varsayım alanı | Örnek: demo satırına bakın | Yanlışsa: net kâr ve karar bozulur | Kaynak: İhracat / hazine kuralları</t>
      </text>
    </comment>
    <comment ref="C12" authorId="0" shapeId="0">
      <text>
        <t>Tanım: WACC | Neden önemli: Sipariş kârı ve kur riskini etkiler | Doğru kullanım: Varsayım alanı | Örnek: demo satırına bakın | Yanlışsa: net kâr ve karar bozulur | Kaynak: İhracat / hazine kuralları</t>
      </text>
    </comment>
    <comment ref="E12" authorId="0" shapeId="0">
      <text>
        <t>Tanım: WACC | Neden önemli: Sipariş kârı ve kur riskini etkiler | Doğru kullanım: Varsayım alanı | Örnek: demo satırına bakın | Yanlışsa: net kâr ve karar bozulur | Kaynak: İhracat / hazine kuralları</t>
      </text>
    </comment>
    <comment ref="F12" authorId="0" shapeId="0">
      <text>
        <t>Tanım: WACC | Neden önemli: Sipariş kârı ve kur riskini etkiler | Doğru kullanım: Varsayım alanı | Örnek: demo satırına bakın | Yanlışsa: net kâr ve karar bozulur | Kaynak: İhracat / hazine kuralları</t>
      </text>
    </comment>
    <comment ref="G12" authorId="0" shapeId="0">
      <text>
        <t>Tanım: WACC | Neden önemli: Sipariş kârı ve kur riskini etkiler | Doğru kullanım: Varsayım alanı | Örnek: demo satırına bakın | Yanlışsa: net kâr ve karar bozulur | Kaynak: İhracat / hazine kuralları</t>
      </text>
    </comment>
    <comment ref="C13" authorId="0" shapeId="0">
      <text>
        <t>Tanım: İşletme sermayesi CAPEX | Neden önemli: Sipariş kârı ve kur riskini etkiler | Doğru kullanım: Varsayım alanı | Örnek: demo satırına bakın | Yanlışsa: net kâr ve karar bozulur | Kaynak: İhracat / hazine kuralları</t>
      </text>
    </comment>
    <comment ref="E13" authorId="0" shapeId="0">
      <text>
        <t>Tanım: İşletme sermayesi CAPEX | Neden önemli: Sipariş kârı ve kur riskini etkiler | Doğru kullanım: Varsayım alanı | Örnek: demo satırına bakın | Yanlışsa: net kâr ve karar bozulur | Kaynak: İhracat / hazine kuralları</t>
      </text>
    </comment>
    <comment ref="F13" authorId="0" shapeId="0">
      <text>
        <t>Tanım: İşletme sermayesi CAPEX | Neden önemli: Sipariş kârı ve kur riskini etkiler | Doğru kullanım: Varsayım alanı | Örnek: demo satırına bakın | Yanlışsa: net kâr ve karar bozulur | Kaynak: İhracat / hazine kuralları</t>
      </text>
    </comment>
    <comment ref="G13" authorId="0" shapeId="0">
      <text>
        <t>Tanım: İşletme sermayesi CAPEX | Neden önemli: Sipariş kârı ve kur riskini etkiler | Doğru kullanım: Varsayım alanı | Örnek: demo satırına bakın | Yanlışsa: net kâr ve karar bozulur | Kaynak: İhracat / hazine kuralları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F6" authorId="0" shapeId="0">
      <text>
        <t>Tanım: ISK-001 | Neden önemli: Sipariş kârı ve kur riskini etkiler | Doğru kullanım: Yıllık kural değeri | Örnek: demo satırına bakın | Yanlışsa: net kâr ve karar bozulur | Kaynak: İhracat / hazine kuralları</t>
      </text>
    </comment>
    <comment ref="G6" authorId="0" shapeId="0">
      <text>
        <t>Tanım: ISK-001 | Neden önemli: Sipariş kârı ve kur riskini etkiler | Doğru kullanım: Yıllık kural değeri | Örnek: demo satırına bakın | Yanlışsa: net kâr ve karar bozulur | Kaynak: İhracat / hazine kuralları</t>
      </text>
    </comment>
    <comment ref="H6" authorId="0" shapeId="0">
      <text>
        <t>Tanım: ISK-001 | Neden önemli: Sipariş kârı ve kur riskini etkiler | Doğru kullanım: Yıllık kural değeri | Örnek: demo satırına bakın | Yanlışsa: net kâr ve karar bozulur | Kaynak: İhracat / hazine kuralları</t>
      </text>
    </comment>
    <comment ref="F7" authorId="0" shapeId="0">
      <text>
        <t>Tanım: ISK-002 | Neden önemli: Sipariş kârı ve kur riskini etkiler | Doğru kullanım: Yıllık kural değeri | Örnek: demo satırına bakın | Yanlışsa: net kâr ve karar bozulur | Kaynak: İhracat / hazine kuralları</t>
      </text>
    </comment>
    <comment ref="G7" authorId="0" shapeId="0">
      <text>
        <t>Tanım: ISK-002 | Neden önemli: Sipariş kârı ve kur riskini etkiler | Doğru kullanım: Yıllık kural değeri | Örnek: demo satırına bakın | Yanlışsa: net kâr ve karar bozulur | Kaynak: İhracat / hazine kuralları</t>
      </text>
    </comment>
    <comment ref="H7" authorId="0" shapeId="0">
      <text>
        <t>Tanım: ISK-002 | Neden önemli: Sipariş kârı ve kur riskini etkiler | Doğru kullanım: Yıllık kural değeri | Örnek: demo satırına bakın | Yanlışsa: net kâr ve karar bozulur | Kaynak: İhracat / hazine kuralları</t>
      </text>
    </comment>
    <comment ref="F8" authorId="0" shapeId="0">
      <text>
        <t>Tanım: ISK-003 | Neden önemli: Sipariş kârı ve kur riskini etkiler | Doğru kullanım: Yıllık kural değeri | Örnek: demo satırına bakın | Yanlışsa: net kâr ve karar bozulur | Kaynak: İhracat / hazine kuralları</t>
      </text>
    </comment>
    <comment ref="G8" authorId="0" shapeId="0">
      <text>
        <t>Tanım: ISK-003 | Neden önemli: Sipariş kârı ve kur riskini etkiler | Doğru kullanım: Yıllık kural değeri | Örnek: demo satırına bakın | Yanlışsa: net kâr ve karar bozulur | Kaynak: İhracat / hazine kuralları</t>
      </text>
    </comment>
    <comment ref="H8" authorId="0" shapeId="0">
      <text>
        <t>Tanım: ISK-003 | Neden önemli: Sipariş kârı ve kur riskini etkiler | Doğru kullanım: Yıllık kural değeri | Örnek: demo satırına bakın | Yanlışsa: net kâr ve karar bozulur | Kaynak: İhracat / hazine kuralları</t>
      </text>
    </comment>
    <comment ref="F9" authorId="0" shapeId="0">
      <text>
        <t>Tanım: ISK-004 | Neden önemli: Sipariş kârı ve kur riskini etkiler | Doğru kullanım: Yıllık kural değeri | Örnek: demo satırına bakın | Yanlışsa: net kâr ve karar bozulur | Kaynak: İhracat / hazine kuralları</t>
      </text>
    </comment>
    <comment ref="G9" authorId="0" shapeId="0">
      <text>
        <t>Tanım: ISK-004 | Neden önemli: Sipariş kârı ve kur riskini etkiler | Doğru kullanım: Yıllık kural değeri | Örnek: demo satırına bakın | Yanlışsa: net kâr ve karar bozulur | Kaynak: İhracat / hazine kuralları</t>
      </text>
    </comment>
    <comment ref="H9" authorId="0" shapeId="0">
      <text>
        <t>Tanım: ISK-004 | Neden önemli: Sipariş kârı ve kur riskini etkiler | Doğru kullanım: Yıllık kural değeri | Örnek: demo satırına bakın | Yanlışsa: net kâr ve karar bozulur | Kaynak: İhracat / hazine kuralları</t>
      </text>
    </comment>
    <comment ref="F10" authorId="0" shapeId="0">
      <text>
        <t>Tanım: ISK-005 | Neden önemli: Sipariş kârı ve kur riskini etkiler | Doğru kullanım: Yıllık kural değeri | Örnek: demo satırına bakın | Yanlışsa: net kâr ve karar bozulur | Kaynak: İhracat / hazine kuralları</t>
      </text>
    </comment>
    <comment ref="G10" authorId="0" shapeId="0">
      <text>
        <t>Tanım: ISK-005 | Neden önemli: Sipariş kârı ve kur riskini etkiler | Doğru kullanım: Yıllık kural değeri | Örnek: demo satırına bakın | Yanlışsa: net kâr ve karar bozulur | Kaynak: İhracat / hazine kuralları</t>
      </text>
    </comment>
    <comment ref="H10" authorId="0" shapeId="0">
      <text>
        <t>Tanım: ISK-005 | Neden önemli: Sipariş kârı ve kur riskini etkiler | Doğru kullanım: Yıllık kural değeri | Örnek: demo satırına bakın | Yanlışsa: net kâr ve karar bozulur | Kaynak: İhracat / hazine kuralları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28" authorId="0" shapeId="0">
      <text>
        <t>Tanım: Hazırlayan | Neden önemli: Sipariş kârı ve kur riskini etkiler | Doğru kullanım: Ad soyad imza alanı | Örnek: demo satırına bakın | Yanlışsa: net kâr ve karar bozulur | Kaynak: İhracat / hazine kuralları</t>
      </text>
    </comment>
    <comment ref="B29" authorId="0" shapeId="0">
      <text>
        <t>Tanım: Onaylayan | Neden önemli: Sipariş kârı ve kur riskini etkiler | Doğru kullanım: CFO / hazine imza alanı | Örnek: demo satırına bakın | Yanlışsa: net kâr ve karar bozulur | Kaynak: İhracat / hazine kuralları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Sipariş kârı ve kur riskini etkiler | Doğru kullanım: Örnek satır | Örnek: demo satırına bakın | Yanlışsa: net kâr ve karar bozulur | Kaynak: İhracat / hazine kuralları</t>
      </text>
    </comment>
    <comment ref="B6" authorId="0" shapeId="0">
      <text>
        <t>Tanım: FOB | Neden önemli: Sipariş kârı ve kur riskini etkiler | Doğru kullanım: Örnek satır | Örnek: demo satırına bakın | Yanlışsa: net kâr ve karar bozulur | Kaynak: İhracat / hazine kuralları</t>
      </text>
    </comment>
    <comment ref="C6" authorId="0" shapeId="0">
      <text>
        <t>Tanım: Miktar | Neden önemli: Sipariş kârı ve kur riskini etkiler | Doğru kullanım: Örnek satır | Örnek: demo satırına bakın | Yanlışsa: net kâr ve karar bozulur | Kaynak: İhracat / hazine kuralları</t>
      </text>
    </comment>
    <comment ref="D6" authorId="0" shapeId="0">
      <text>
        <t>Tanım: Üretim | Neden önemli: Sipariş kârı ve kur riskini etkiler | Doğru kullanım: Örnek satır | Örnek: demo satırına bakın | Yanlışsa: net kâr ve karar bozulur | Kaynak: İhracat / hazine kuralları</t>
      </text>
    </comment>
    <comment ref="E6" authorId="0" shapeId="0">
      <text>
        <t>Tanım: Navlun | Neden önemli: Sipariş kârı ve kur riskini etkiler | Doğru kullanım: Örnek satır | Örnek: demo satırına bakın | Yanlışsa: net kâr ve karar bozulur | Kaynak: İhracat / hazine kuralları</t>
      </text>
    </comment>
    <comment ref="F6" authorId="0" shapeId="0">
      <text>
        <t>Tanım: RezKur | Neden önemli: Sipariş kârı ve kur riskini etkiler | Doğru kullanım: Örnek satır | Örnek: demo satırına bakın | Yanlışsa: net kâr ve karar bozulur | Kaynak: İhracat / hazine kuralları</t>
      </text>
    </comment>
    <comment ref="G6" authorId="0" shapeId="0">
      <text>
        <t>Tanım: TahKur | Neden önemli: Sipariş kârı ve kur riskini etkiler | Doğru kullanım: Örnek satır | Örnek: demo satırına bakın | Yanlışsa: net kâr ve karar bozulur | Kaynak: İhracat / hazine kuralları</t>
      </text>
    </comment>
    <comment ref="H6" authorId="0" shapeId="0">
      <text>
        <t>Tanım: Hedge | Neden önemli: Sipariş kârı ve kur riskini etkiler | Doğru kullanım: Örnek satır | Örnek: demo satırına bakın | Yanlışsa: net kâr ve karar bozulur | Kaynak: İhracat / hazine kuralları</t>
      </text>
    </comment>
    <comment ref="I6" authorId="0" shapeId="0">
      <text>
        <t>Tanım: Komisyon | Neden önemli: Sipariş kârı ve kur riskini etkiler | Doğru kullanım: Örnek satır | Örnek: demo satırına bakın | Yanlışsa: net kâr ve karar bozulur | Kaynak: İhracat / hazine kuralları</t>
      </text>
    </comment>
    <comment ref="J6" authorId="0" shapeId="0">
      <text>
        <t>Tanım: CAPEX | Neden önemli: Sipariş kârı ve kur riskini etkiler | Doğru kullanım: Örnek satır | Örnek: demo satırına bakın | Yanlışsa: net kâr ve karar bozulur | Kaynak: İhracat / hazine kuralları</t>
      </text>
    </comment>
    <comment ref="K6" authorId="0" shapeId="0">
      <text>
        <t>Tanım: Yıl | Neden önemli: Sipariş kârı ve kur riskini etkiler | Doğru kullanım: Örnek satır | Örnek: demo satırına bakın | Yanlışsa: net kâr ve karar bozulur | Kaynak: İhracat / hazine kuralları</t>
      </text>
    </comment>
    <comment ref="A7" authorId="0" shapeId="0">
      <text>
        <t>Tanım: Senaryo | Neden önemli: Sipariş kârı ve kur riskini etkiler | Doğru kullanım: Örnek satır | Örnek: demo satırına bakın | Yanlışsa: net kâr ve karar bozulur | Kaynak: İhracat / hazine kuralları</t>
      </text>
    </comment>
    <comment ref="B7" authorId="0" shapeId="0">
      <text>
        <t>Tanım: FOB | Neden önemli: Sipariş kârı ve kur riskini etkiler | Doğru kullanım: Örnek satır | Örnek: demo satırına bakın | Yanlışsa: net kâr ve karar bozulur | Kaynak: İhracat / hazine kuralları</t>
      </text>
    </comment>
    <comment ref="C7" authorId="0" shapeId="0">
      <text>
        <t>Tanım: Miktar | Neden önemli: Sipariş kârı ve kur riskini etkiler | Doğru kullanım: Örnek satır | Örnek: demo satırına bakın | Yanlışsa: net kâr ve karar bozulur | Kaynak: İhracat / hazine kuralları</t>
      </text>
    </comment>
    <comment ref="D7" authorId="0" shapeId="0">
      <text>
        <t>Tanım: Üretim | Neden önemli: Sipariş kârı ve kur riskini etkiler | Doğru kullanım: Örnek satır | Örnek: demo satırına bakın | Yanlışsa: net kâr ve karar bozulur | Kaynak: İhracat / hazine kuralları</t>
      </text>
    </comment>
    <comment ref="E7" authorId="0" shapeId="0">
      <text>
        <t>Tanım: Navlun | Neden önemli: Sipariş kârı ve kur riskini etkiler | Doğru kullanım: Örnek satır | Örnek: demo satırına bakın | Yanlışsa: net kâr ve karar bozulur | Kaynak: İhracat / hazine kuralları</t>
      </text>
    </comment>
    <comment ref="F7" authorId="0" shapeId="0">
      <text>
        <t>Tanım: RezKur | Neden önemli: Sipariş kârı ve kur riskini etkiler | Doğru kullanım: Örnek satır | Örnek: demo satırına bakın | Yanlışsa: net kâr ve karar bozulur | Kaynak: İhracat / hazine kuralları</t>
      </text>
    </comment>
    <comment ref="G7" authorId="0" shapeId="0">
      <text>
        <t>Tanım: TahKur | Neden önemli: Sipariş kârı ve kur riskini etkiler | Doğru kullanım: Örnek satır | Örnek: demo satırına bakın | Yanlışsa: net kâr ve karar bozulur | Kaynak: İhracat / hazine kuralları</t>
      </text>
    </comment>
    <comment ref="H7" authorId="0" shapeId="0">
      <text>
        <t>Tanım: Hedge | Neden önemli: Sipariş kârı ve kur riskini etkiler | Doğru kullanım: Örnek satır | Örnek: demo satırına bakın | Yanlışsa: net kâr ve karar bozulur | Kaynak: İhracat / hazine kuralları</t>
      </text>
    </comment>
    <comment ref="I7" authorId="0" shapeId="0">
      <text>
        <t>Tanım: Komisyon | Neden önemli: Sipariş kârı ve kur riskini etkiler | Doğru kullanım: Örnek satır | Örnek: demo satırına bakın | Yanlışsa: net kâr ve karar bozulur | Kaynak: İhracat / hazine kuralları</t>
      </text>
    </comment>
    <comment ref="J7" authorId="0" shapeId="0">
      <text>
        <t>Tanım: CAPEX | Neden önemli: Sipariş kârı ve kur riskini etkiler | Doğru kullanım: Örnek satır | Örnek: demo satırına bakın | Yanlışsa: net kâr ve karar bozulur | Kaynak: İhracat / hazine kuralları</t>
      </text>
    </comment>
    <comment ref="K7" authorId="0" shapeId="0">
      <text>
        <t>Tanım: Yıl | Neden önemli: Sipariş kârı ve kur riskini etkiler | Doğru kullanım: Örnek satır | Örnek: demo satırına bakın | Yanlışsa: net kâr ve karar bozulur | Kaynak: İhracat / hazine kuralları</t>
      </text>
    </comment>
    <comment ref="A8" authorId="0" shapeId="0">
      <text>
        <t>Tanım: Senaryo | Neden önemli: Sipariş kârı ve kur riskini etkiler | Doğru kullanım: Örnek satır | Örnek: demo satırına bakın | Yanlışsa: net kâr ve karar bozulur | Kaynak: İhracat / hazine kuralları</t>
      </text>
    </comment>
    <comment ref="B8" authorId="0" shapeId="0">
      <text>
        <t>Tanım: FOB | Neden önemli: Sipariş kârı ve kur riskini etkiler | Doğru kullanım: Örnek satır | Örnek: demo satırına bakın | Yanlışsa: net kâr ve karar bozulur | Kaynak: İhracat / hazine kuralları</t>
      </text>
    </comment>
    <comment ref="C8" authorId="0" shapeId="0">
      <text>
        <t>Tanım: Miktar | Neden önemli: Sipariş kârı ve kur riskini etkiler | Doğru kullanım: Örnek satır | Örnek: demo satırına bakın | Yanlışsa: net kâr ve karar bozulur | Kaynak: İhracat / hazine kuralları</t>
      </text>
    </comment>
    <comment ref="D8" authorId="0" shapeId="0">
      <text>
        <t>Tanım: Üretim | Neden önemli: Sipariş kârı ve kur riskini etkiler | Doğru kullanım: Örnek satır | Örnek: demo satırına bakın | Yanlışsa: net kâr ve karar bozulur | Kaynak: İhracat / hazine kuralları</t>
      </text>
    </comment>
    <comment ref="E8" authorId="0" shapeId="0">
      <text>
        <t>Tanım: Navlun | Neden önemli: Sipariş kârı ve kur riskini etkiler | Doğru kullanım: Örnek satır | Örnek: demo satırına bakın | Yanlışsa: net kâr ve karar bozulur | Kaynak: İhracat / hazine kuralları</t>
      </text>
    </comment>
    <comment ref="F8" authorId="0" shapeId="0">
      <text>
        <t>Tanım: RezKur | Neden önemli: Sipariş kârı ve kur riskini etkiler | Doğru kullanım: Örnek satır | Örnek: demo satırına bakın | Yanlışsa: net kâr ve karar bozulur | Kaynak: İhracat / hazine kuralları</t>
      </text>
    </comment>
    <comment ref="G8" authorId="0" shapeId="0">
      <text>
        <t>Tanım: TahKur | Neden önemli: Sipariş kârı ve kur riskini etkiler | Doğru kullanım: Örnek satır | Örnek: demo satırına bakın | Yanlışsa: net kâr ve karar bozulur | Kaynak: İhracat / hazine kuralları</t>
      </text>
    </comment>
    <comment ref="H8" authorId="0" shapeId="0">
      <text>
        <t>Tanım: Hedge | Neden önemli: Sipariş kârı ve kur riskini etkiler | Doğru kullanım: Örnek satır | Örnek: demo satırına bakın | Yanlışsa: net kâr ve karar bozulur | Kaynak: İhracat / hazine kuralları</t>
      </text>
    </comment>
    <comment ref="I8" authorId="0" shapeId="0">
      <text>
        <t>Tanım: Komisyon | Neden önemli: Sipariş kârı ve kur riskini etkiler | Doğru kullanım: Örnek satır | Örnek: demo satırına bakın | Yanlışsa: net kâr ve karar bozulur | Kaynak: İhracat / hazine kuralları</t>
      </text>
    </comment>
    <comment ref="J8" authorId="0" shapeId="0">
      <text>
        <t>Tanım: CAPEX | Neden önemli: Sipariş kârı ve kur riskini etkiler | Doğru kullanım: Örnek satır | Örnek: demo satırına bakın | Yanlışsa: net kâr ve karar bozulur | Kaynak: İhracat / hazine kuralları</t>
      </text>
    </comment>
    <comment ref="K8" authorId="0" shapeId="0">
      <text>
        <t>Tanım: Yıl | Neden önemli: Sipariş kârı ve kur riskini etkiler | Doğru kullanım: Örnek satır | Örnek: demo satırına bakın | Yanlışsa: net kâr ve karar bozulur | Kaynak: İhracat / hazine kuralları</t>
      </text>
    </comment>
    <comment ref="A9" authorId="0" shapeId="0">
      <text>
        <t>Tanım: Senaryo | Neden önemli: Sipariş kârı ve kur riskini etkiler | Doğru kullanım: Örnek satır | Örnek: demo satırına bakın | Yanlışsa: net kâr ve karar bozulur | Kaynak: İhracat / hazine kuralları</t>
      </text>
    </comment>
    <comment ref="B9" authorId="0" shapeId="0">
      <text>
        <t>Tanım: FOB | Neden önemli: Sipariş kârı ve kur riskini etkiler | Doğru kullanım: Örnek satır | Örnek: demo satırına bakın | Yanlışsa: net kâr ve karar bozulur | Kaynak: İhracat / hazine kuralları</t>
      </text>
    </comment>
    <comment ref="C9" authorId="0" shapeId="0">
      <text>
        <t>Tanım: Miktar | Neden önemli: Sipariş kârı ve kur riskini etkiler | Doğru kullanım: Örnek satır | Örnek: demo satırına bakın | Yanlışsa: net kâr ve karar bozulur | Kaynak: İhracat / hazine kuralları</t>
      </text>
    </comment>
    <comment ref="D9" authorId="0" shapeId="0">
      <text>
        <t>Tanım: Üretim | Neden önemli: Sipariş kârı ve kur riskini etkiler | Doğru kullanım: Örnek satır | Örnek: demo satırına bakın | Yanlışsa: net kâr ve karar bozulur | Kaynak: İhracat / hazine kuralları</t>
      </text>
    </comment>
    <comment ref="E9" authorId="0" shapeId="0">
      <text>
        <t>Tanım: Navlun | Neden önemli: Sipariş kârı ve kur riskini etkiler | Doğru kullanım: Örnek satır | Örnek: demo satırına bakın | Yanlışsa: net kâr ve karar bozulur | Kaynak: İhracat / hazine kuralları</t>
      </text>
    </comment>
    <comment ref="F9" authorId="0" shapeId="0">
      <text>
        <t>Tanım: RezKur | Neden önemli: Sipariş kârı ve kur riskini etkiler | Doğru kullanım: Örnek satır | Örnek: demo satırına bakın | Yanlışsa: net kâr ve karar bozulur | Kaynak: İhracat / hazine kuralları</t>
      </text>
    </comment>
    <comment ref="G9" authorId="0" shapeId="0">
      <text>
        <t>Tanım: TahKur | Neden önemli: Sipariş kârı ve kur riskini etkiler | Doğru kullanım: Örnek satır | Örnek: demo satırına bakın | Yanlışsa: net kâr ve karar bozulur | Kaynak: İhracat / hazine kuralları</t>
      </text>
    </comment>
    <comment ref="H9" authorId="0" shapeId="0">
      <text>
        <t>Tanım: Hedge | Neden önemli: Sipariş kârı ve kur riskini etkiler | Doğru kullanım: Örnek satır | Örnek: demo satırına bakın | Yanlışsa: net kâr ve karar bozulur | Kaynak: İhracat / hazine kuralları</t>
      </text>
    </comment>
    <comment ref="I9" authorId="0" shapeId="0">
      <text>
        <t>Tanım: Komisyon | Neden önemli: Sipariş kârı ve kur riskini etkiler | Doğru kullanım: Örnek satır | Örnek: demo satırına bakın | Yanlışsa: net kâr ve karar bozulur | Kaynak: İhracat / hazine kuralları</t>
      </text>
    </comment>
    <comment ref="J9" authorId="0" shapeId="0">
      <text>
        <t>Tanım: CAPEX | Neden önemli: Sipariş kârı ve kur riskini etkiler | Doğru kullanım: Örnek satır | Örnek: demo satırına bakın | Yanlışsa: net kâr ve karar bozulur | Kaynak: İhracat / hazine kuralları</t>
      </text>
    </comment>
    <comment ref="K9" authorId="0" shapeId="0">
      <text>
        <t>Tanım: Yıl | Neden önemli: Sipariş kârı ve kur riskini etkiler | Doğru kullanım: Örnek satır | Örnek: demo satırına bakın | Yanlışsa: net kâr ve karar bozulur | Kaynak: İhracat / hazine kuralları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Sipariş kârı ve kur riskini etkiler | Doğru kullanım: Aktif hesap yılı | Örnek: demo satırına bakın | Yanlışsa: net kâr ve karar bozulur | Kaynak: İhracat / hazine kuralları</t>
      </text>
    </comment>
    <comment ref="B7" authorId="0" shapeId="0">
      <text>
        <t>Tanım: raporTarihi | Neden önemli: Sipariş kârı ve kur riskini etkiler | Doğru kullanım: Rapor tarihi | Örnek: demo satırına bakın | Yanlışsa: net kâr ve karar bozulur | Kaynak: İhracat / hazine kuralları</t>
      </text>
    </comment>
    <comment ref="B8" authorId="0" shapeId="0">
      <text>
        <t>Tanım: zincirTolerans | Neden önemli: Sipariş kârı ve kur riskini etkiler | Doğru kullanım: FOB/tutar zincir toleransı | Örnek: demo satırına bakın | Yanlışsa: net kâr ve karar bozulur | Kaynak: İhracat / hazine kuralları</t>
      </text>
    </comment>
    <comment ref="B9" authorId="0" shapeId="0">
      <text>
        <t>Tanım: isk_tolerans | Neden önemli: Sipariş kârı ve kur riskini etkiler | Doğru kullanım: Vaka tutarlılık toleransı | Örnek: demo satırına bakın | Yanlışsa: net kâr ve karar bozulur | Kaynak: İhracat / hazine kuralları</t>
      </text>
    </comment>
    <comment ref="B10" authorId="0" shapeId="0">
      <text>
        <t>Tanım: isk_azamiEsik | Neden önemli: Sipariş kârı ve kur riskini etkiler | Doğru kullanım: Azami giriş eşiği | Örnek: demo satırına bakın | Yanlışsa: net kâr ve karar bozulur | Kaynak: İhracat / hazine kuralları</t>
      </text>
    </comment>
    <comment ref="B11" authorId="0" shapeId="0">
      <text>
        <t>Tanım: isk_senaryoIyi | Neden önemli: Sipariş kârı ve kur riskini etkiler | Doğru kullanım: İyimser net çarpanı | Örnek: demo satırına bakın | Yanlışsa: net kâr ve karar bozulur | Kaynak: İhracat / hazine kuralları</t>
      </text>
    </comment>
    <comment ref="B12" authorId="0" shapeId="0">
      <text>
        <t>Tanım: isk_senaryoKotu | Neden önemli: Sipariş kârı ve kur riskini etkiler | Doğru kullanım: Kötümser net çarpanı | Örnek: demo satırına bakın | Yanlışsa: net kâr ve karar bozulur | Kaynak: İhracat / hazine kuralları</t>
      </text>
    </comment>
    <comment ref="B13" authorId="0" shapeId="0">
      <text>
        <t>Tanım: isk_esikArtis | Neden önemli: Sipariş kârı ve kur riskini etkiler | Doğru kullanım: M-SEN kur şoku + delta | Örnek: demo satırına bakın | Yanlışsa: net kâr ve karar bozulur | Kaynak: İhracat / hazine kuralları</t>
      </text>
    </comment>
    <comment ref="B14" authorId="0" shapeId="0">
      <text>
        <t>Tanım: isk_tahminAlt | Neden önemli: Sipariş kârı ve kur riskini etkiler | Doğru kullanım: Tahmin alt bant | Örnek: demo satırına bakın | Yanlışsa: net kâr ve karar bozulur | Kaynak: İhracat / hazine kuralları</t>
      </text>
    </comment>
    <comment ref="B15" authorId="0" shapeId="0">
      <text>
        <t>Tanım: isk_tahminUst | Neden önemli: Sipariş kârı ve kur riskini etkiler | Doğru kullanım: Tahmin üst bant | Örnek: demo satırına bakın | Yanlışsa: net kâr ve karar bozulur | Kaynak: İhracat / hazine kuralları</t>
      </text>
    </comment>
    <comment ref="B16" authorId="0" shapeId="0">
      <text>
        <t>Tanım: isk_tornadoKur | Neden önemli: Sipariş kârı ve kur riskini etkiler | Doğru kullanım: Tornado kur şoku | Örnek: demo satırına bakın | Yanlışsa: net kâr ve karar bozulur | Kaynak: İhracat / hazine kuralları</t>
      </text>
    </comment>
    <comment ref="B17" authorId="0" shapeId="0">
      <text>
        <t>Tanım: isk_tornadoMaliyet | Neden önemli: Sipariş kârı ve kur riskini etkiler | Doğru kullanım: Tornado maliyet şoku | Örnek: demo satırına bakın | Yanlışsa: net kâr ve karar bozulur | Kaynak: İhracat / hazine kuralları</t>
      </text>
    </comment>
    <comment ref="B18" authorId="0" shapeId="0">
      <text>
        <t>Tanım: isk_yuzdelikOran | Neden önemli: Sipariş kârı ve kur riskini etkiler | Doğru kullanım: Yüzdelik P90 | Örnek: demo satırına bakın | Yanlışsa: net kâr ve karar bozulur | Kaynak: İhracat / hazine kuralları</t>
      </text>
    </comment>
    <comment ref="B19" authorId="0" shapeId="0">
      <text>
        <t>Tanım: isk_parmakIzi | Neden önemli: Sipariş kârı ve kur riskini etkiler | Doğru kullanım: Dosya parmak izi | Örnek: demo satırına bakın | Yanlışsa: net kâr ve karar bozulur | Kaynak: İhracat / hazine kuralları</t>
      </text>
    </comment>
    <comment ref="B20" authorId="0" shapeId="0">
      <text>
        <t>Tanım: dosya_surumu | Neden önemli: Sipariş kârı ve kur riskini etkiler | Doğru kullanım: Ürün sürümü | Örnek: demo satırına bakın | Yanlışsa: net kâr ve karar bozulur | Kaynak: İhracat / hazine kuralları</t>
      </text>
    </comment>
    <comment ref="B21" authorId="0" shapeId="0">
      <text>
        <t>Tanım: isk_girisBeklenen | Neden önemli: Sipariş kârı ve kur riskini etkiler | Doğru kullanım: Zorunlu giriş sayısı | Örnek: demo satırına bakın | Yanlışsa: net kâr ve karar bozulur | Kaynak: İhracat / hazine kuralları</t>
      </text>
    </comment>
    <comment ref="B22" authorId="0" shapeId="0">
      <text>
        <t>Tanım: isk_riskDusuk | Neden önemli: Sipariş kârı ve kur riskini etkiler | Doğru kullanım: YAPILIR risk skoru | Örnek: demo satırına bakın | Yanlışsa: net kâr ve karar bozulur | Kaynak: İhracat / hazine kuralları</t>
      </text>
    </comment>
    <comment ref="B23" authorId="0" shapeId="0">
      <text>
        <t>Tanım: isk_riskOrta | Neden önemli: Sipariş kârı ve kur riskini etkiler | Doğru kullanım: DİKKAT risk skoru | Örnek: demo satırına bakın | Yanlışsa: net kâr ve karar bozulur | Kaynak: İhracat / hazine kuralları</t>
      </text>
    </comment>
    <comment ref="B24" authorId="0" shapeId="0">
      <text>
        <t>Tanım: isk_riskYuksek | Neden önemli: Sipariş kârı ve kur riskini etkiler | Doğru kullanım: YAPMA risk skoru | Örnek: demo satırına bakın | Yanlışsa: net kâr ve karar bozulur | Kaynak: İhracat / hazine kuralları</t>
      </text>
    </comment>
    <comment ref="B25" authorId="0" shapeId="0">
      <text>
        <t>Tanım: isk_yilTaban | Neden önemli: Sipariş kârı ve kur riskini etkiler | Doğru kullanım: CHOOSE yıl tabanı | Örnek: demo satırına bakın | Yanlışsa: net kâr ve karar bozulur | Kaynak: İhracat / hazine kuralları</t>
      </text>
    </comment>
    <comment ref="B26" authorId="0" shapeId="0">
      <text>
        <t>Tanım: isk_yuvarMax | Neden önemli: Sipariş kârı ve kur riskini etkiler | Doğru kullanım: ROUND basamak tavanı | Örnek: demo satırına bakın | Yanlışsa: net kâr ve karar bozulur | Kaynak: İhracat / hazine kuralları</t>
      </text>
    </comment>
    <comment ref="B27" authorId="0" shapeId="0">
      <text>
        <t>Tanım: isk_bazCarpan | Neden önemli: Sipariş kârı ve kur riskini etkiler | Doğru kullanım: Baz senaryo çarpanı | Örnek: demo satırına bakın | Yanlışsa: net kâr ve karar bozulur | Kaynak: İhracat / hazine kuralları</t>
      </text>
    </comment>
    <comment ref="B28" authorId="0" shapeId="0">
      <text>
        <t>Tanım: isk_sifirCarpan | Neden önemli: Sipariş kârı ve kur riskini etkiler | Doğru kullanım: Nötr çarpan | Örnek: demo satırına bakın | Yanlışsa: net kâr ve karar bozulur | Kaynak: İhracat / hazine kuralları</t>
      </text>
    </comment>
    <comment ref="B29" authorId="0" shapeId="0">
      <text>
        <t>Tanım: isk_siraBir | Neden önemli: Sipariş kârı ve kur riskini etkiler | Doğru kullanım: Tornado sıra 1 | Örnek: demo satırına bakın | Yanlışsa: net kâr ve karar bozulur | Kaynak: İhracat / hazine kuralları</t>
      </text>
    </comment>
    <comment ref="B30" authorId="0" shapeId="0">
      <text>
        <t>Tanım: isk_siraIki | Neden önemli: Sipariş kârı ve kur riskini etkiler | Doğru kullanım: Tornado sıra 2 | Örnek: demo satırına bakın | Yanlışsa: net kâr ve karar bozulur | Kaynak: İhracat / hazine kuralları</t>
      </text>
    </comment>
    <comment ref="B31" authorId="0" shapeId="0">
      <text>
        <t>Tanım: isk_siraUc | Neden önemli: Sipariş kârı ve kur riskini etkiler | Doğru kullanım: Tornado sıra 3 | Örnek: demo satırına bakın | Yanlışsa: net kâr ve karar bozulur | Kaynak: İhracat / hazine kuralları</t>
      </text>
    </comment>
    <comment ref="B32" authorId="0" shapeId="0">
      <text>
        <t>Tanım: isk_dikkatCarpan | Neden önemli: Sipariş kârı ve kur riskini etkiler | Doğru kullanım: Marj dikkat çarpanı | Örnek: demo satırına bakın | Yanlışsa: net kâr ve karar bozulur | Kaynak: İhracat / hazine kuralları</t>
      </text>
    </comment>
    <comment ref="B33" authorId="0" shapeId="0">
      <text>
        <t>Tanım: isk_npvDikkat | Neden önemli: Sipariş kârı ve kur riskini etkiler | Doğru kullanım: NPV dikkat eşiği | Örnek: demo satırına bakın | Yanlışsa: net kâr ve karar bozulur | Kaynak: İhracat / hazine kuralları</t>
      </text>
    </comment>
    <comment ref="B34" authorId="0" shapeId="0">
      <text>
        <t>Tanım: isk_hedgeDikkat | Neden önemli: Sipariş kârı ve kur riskini etkiler | Doğru kullanım: Hedge boşluğu kritik eşik | Örnek: demo satırına bakın | Yanlışsa: net kâr ve karar bozulur | Kaynak: İhracat / hazine kuralları</t>
      </text>
    </comment>
    <comment ref="B35" authorId="0" shapeId="0">
      <text>
        <t>Tanım: isk_durumHaritasi | Neden önemli: Sipariş kârı ve kur riskini etkiler | Doğru kullanım: SPEC akis.durum_haritasi | Örnek: demo satırına bakın | Yanlışsa: net kâr ve karar bozulur | Kaynak: İhracat / hazine kuralları</t>
      </text>
    </comment>
    <comment ref="B36" authorId="0" shapeId="0">
      <text>
        <t>Tanım: vaka_fob | Neden önemli: Sipariş kârı ve kur riskini etkiler | Doğru kullanım: Vaka FOB | Örnek: demo satırına bakın | Yanlışsa: net kâr ve karar bozulur | Kaynak: İhracat / hazine kuralları</t>
      </text>
    </comment>
    <comment ref="B37" authorId="0" shapeId="0">
      <text>
        <t>Tanım: vaka_rez | Neden önemli: Sipariş kârı ve kur riskini etkiler | Doğru kullanım: Vaka rezervasyon kur | Örnek: demo satırına bakın | Yanlışsa: net kâr ve karar bozulur | Kaynak: İhracat / hazine kuralları</t>
      </text>
    </comment>
    <comment ref="B38" authorId="0" shapeId="0">
      <text>
        <t>Tanım: vaka_tah | Neden önemli: Sipariş kârı ve kur riskini etkiler | Doğru kullanım: Vaka tahsilat kur | Örnek: demo satırına bakın | Yanlışsa: net kâr ve karar bozulur | Kaynak: İhracat / hazine kuralları</t>
      </text>
    </comment>
    <comment ref="B39" authorId="0" shapeId="0">
      <text>
        <t>Tanım: vaka_uretim | Neden önemli: Sipariş kârı ve kur riskini etkiler | Doğru kullanım: Vaka üretim | Örnek: demo satırına bakın | Yanlışsa: net kâr ve karar bozulur | Kaynak: İhracat / hazine kuralları</t>
      </text>
    </comment>
    <comment ref="B40" authorId="0" shapeId="0">
      <text>
        <t>Tanım: vaka_navlun | Neden önemli: Sipariş kârı ve kur riskini etkiler | Doğru kullanım: Vaka navlun | Örnek: demo satırına bakın | Yanlışsa: net kâr ve karar bozulur | Kaynak: İhracat / hazine kuralları</t>
      </text>
    </comment>
    <comment ref="B41" authorId="0" shapeId="0">
      <text>
        <t>Tanım: vaka_kom | Neden önemli: Sipariş kârı ve kur riskini etkiler | Doğru kullanım: Vaka komisyon | Örnek: demo satırına bakın | Yanlışsa: net kâr ve karar bozulur | Kaynak: İhracat / hazine kuralları</t>
      </text>
    </comment>
    <comment ref="J46" authorId="0" shapeId="0">
      <text>
        <t>Tanım: parabirimi | Neden önemli: Sipariş kârı ve kur riskini etkiler | Doğru kullanım: Kur tablosu | Örnek: demo satırına bakın | Yanlışsa: net kâr ve karar bozulur | Kaynak: İhracat / hazine kuralları</t>
      </text>
    </comment>
    <comment ref="K46" authorId="0" shapeId="0">
      <text>
        <t>Tanım: kur | Neden önemli: Sipariş kârı ve kur riskini etkiler | Doğru kullanım: Kur tablosu | Örnek: demo satırına bakın | Yanlışsa: net kâr ve karar bozulur | Kaynak: İhracat / hazine kuralları</t>
      </text>
    </comment>
    <comment ref="L46" authorId="0" shapeId="0">
      <text>
        <t>Tanım: tarih | Neden önemli: Sipariş kârı ve kur riskini etkiler | Doğru kullanım: Kur tablosu | Örnek: demo satırına bakın | Yanlışsa: net kâr ve karar bozulur | Kaynak: İhracat / hazine kuralları</t>
      </text>
    </comment>
    <comment ref="M46" authorId="0" shapeId="0">
      <text>
        <t>Tanım: kaynak | Neden önemli: Sipariş kârı ve kur riskini etkiler | Doğru kullanım: Kur tablosu | Örnek: demo satırına bakın | Yanlışsa: net kâr ve karar bozulur | Kaynak: İhracat / hazine kuralları</t>
      </text>
    </comment>
    <comment ref="N46" authorId="0" shapeId="0">
      <text>
        <t>Tanım: aktif | Neden önemli: Sipariş kârı ve kur riskini etkiler | Doğru kullanım: Kur tablosu | Örnek: demo satırına bakın | Yanlışsa: net kâr ve karar bozulur | Kaynak: İhracat / hazine kuralları</t>
      </text>
    </comment>
    <comment ref="J47" authorId="0" shapeId="0">
      <text>
        <t>Tanım: parabirimi | Neden önemli: Sipariş kârı ve kur riskini etkiler | Doğru kullanım: Kur tablosu | Örnek: demo satırına bakın | Yanlışsa: net kâr ve karar bozulur | Kaynak: İhracat / hazine kuralları</t>
      </text>
    </comment>
    <comment ref="K47" authorId="0" shapeId="0">
      <text>
        <t>Tanım: kur | Neden önemli: Sipariş kârı ve kur riskini etkiler | Doğru kullanım: Kur tablosu | Örnek: demo satırına bakın | Yanlışsa: net kâr ve karar bozulur | Kaynak: İhracat / hazine kuralları</t>
      </text>
    </comment>
    <comment ref="L47" authorId="0" shapeId="0">
      <text>
        <t>Tanım: tarih | Neden önemli: Sipariş kârı ve kur riskini etkiler | Doğru kullanım: Kur tablosu | Örnek: demo satırına bakın | Yanlışsa: net kâr ve karar bozulur | Kaynak: İhracat / hazine kuralları</t>
      </text>
    </comment>
    <comment ref="M47" authorId="0" shapeId="0">
      <text>
        <t>Tanım: kaynak | Neden önemli: Sipariş kârı ve kur riskini etkiler | Doğru kullanım: Kur tablosu | Örnek: demo satırına bakın | Yanlışsa: net kâr ve karar bozulur | Kaynak: İhracat / hazine kuralları</t>
      </text>
    </comment>
    <comment ref="N47" authorId="0" shapeId="0">
      <text>
        <t>Tanım: aktif | Neden önemli: Sipariş kârı ve kur riskini etkiler | Doğru kullanım: Kur tablosu | Örnek: demo satırına bakın | Yanlışsa: net kâr ve karar bozulur | Kaynak: İhracat / hazine kuralları</t>
      </text>
    </comment>
    <comment ref="J48" authorId="0" shapeId="0">
      <text>
        <t>Tanım: parabirimi | Neden önemli: Sipariş kârı ve kur riskini etkiler | Doğru kullanım: Kur tablosu | Örnek: demo satırına bakın | Yanlışsa: net kâr ve karar bozulur | Kaynak: İhracat / hazine kuralları</t>
      </text>
    </comment>
    <comment ref="K48" authorId="0" shapeId="0">
      <text>
        <t>Tanım: kur | Neden önemli: Sipariş kârı ve kur riskini etkiler | Doğru kullanım: Kur tablosu | Örnek: demo satırına bakın | Yanlışsa: net kâr ve karar bozulur | Kaynak: İhracat / hazine kuralları</t>
      </text>
    </comment>
    <comment ref="L48" authorId="0" shapeId="0">
      <text>
        <t>Tanım: tarih | Neden önemli: Sipariş kârı ve kur riskini etkiler | Doğru kullanım: Kur tablosu | Örnek: demo satırına bakın | Yanlışsa: net kâr ve karar bozulur | Kaynak: İhracat / hazine kuralları</t>
      </text>
    </comment>
    <comment ref="M48" authorId="0" shapeId="0">
      <text>
        <t>Tanım: kaynak | Neden önemli: Sipariş kârı ve kur riskini etkiler | Doğru kullanım: Kur tablosu | Örnek: demo satırına bakın | Yanlışsa: net kâr ve karar bozulur | Kaynak: İhracat / hazine kuralları</t>
      </text>
    </comment>
    <comment ref="N48" authorId="0" shapeId="0">
      <text>
        <t>Tanım: aktif | Neden önemli: Sipariş kârı ve kur riskini etkiler | Doğru kullanım: Kur tablosu | Örnek: demo satırına bakın | Yanlışsa: net kâr ve karar bozulur | Kaynak: İhracat / hazine kuralları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12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31:F1030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artlar" displayName="tblKartlar" ref="A5:G1005" headerRowCount="1">
  <tableColumns count="7">
    <tableColumn id="1" name="KartId"/>
    <tableColumn id="2" name="Unvan"/>
    <tableColumn id="3" name="Ulke"/>
    <tableColumn id="4" name="ParaBirimi"/>
    <tableColumn id="5" name="RiskNotu"/>
    <tableColumn id="6" name="Aktif"/>
    <tableColumn id="7" name="Kontrol">
      <calculatedColumnFormula>=IF(tblKartlar[[#This Row],[KartId]]="","",IF(tblKartlar[[#This Row],[Unvan]]="","EKSİK","TAM"))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kis" displayName="tblAkis" ref="A5:L1005" headerRowCount="1">
  <tableColumns count="12">
    <tableColumn id="1" name="IslemId"/>
    <tableColumn id="2" name="KaynakKartId"/>
    <tableColumn id="3" name="OncekiDurum"/>
    <tableColumn id="4" name="Durum"/>
    <tableColumn id="5" name="FobDoviz"/>
    <tableColumn id="6" name="MaliyetDoviz"/>
    <tableColumn id="7" name="Tutar"/>
    <tableColumn id="8" name="HedgeOran"/>
    <tableColumn id="9" name="YetimBayrak">
      <calculatedColumnFormula>IF(tblAkis[[#This Row],[IslemId]]="","",IF(tblAkis[[#This Row],[KaynakKartId]]="","YETİM",IF(COUNTIF(tblKartlar[KartId],tblAkis[[#This Row],[KaynakKartId]])=0,"YETİM","")))</calculatedColumnFormula>
    </tableColumn>
    <tableColumn id="10" name="GecisUyarisi">
      <calculatedColumnFormula>IF(OR(tblAkis[[#This Row],[IslemId]]="",tblAkis[[#This Row],[OncekiDurum]]=""),"",IF(OR(tblAkis[[#This Row],[OncekiDurum]]&amp;"|"&amp;tblAkis[[#This Row],[Durum]]="",COUNTIF(ListeIzinliGecis,tblAkis[[#This Row],[OncekiDurum]]&amp;"|"&amp;tblAkis[[#This Row],[Durum]])&gt;0),"","GEÇERSİZ GEÇİŞ"))</calculatedColumnFormula>
    </tableColumn>
    <tableColumn id="11" name="ZincirBayrak">
      <calculatedColumnFormula>IF(tblAkis[[#This Row],[IslemId]]="","",IF(OR(tblAkis[[#This Row],[FobDoviz]]="",tblAkis[[#This Row],[Tutar]]=""),"",IF(ABS(tblAkis[[#This Row],[Tutar]]-tblAkis[[#This Row],[FobDoviz]])&gt;zincirTolerans,"ZİNCİR KIRIK","OK")))</calculatedColumnFormula>
    </tableColumn>
    <tableColumn id="12" name="KayitDolu">
      <calculatedColumnFormula>IF(tblAkis[[#This Row],[IslemId]]="","",1)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Varsayimlar" displayName="tblVarsayimlar" ref="A5:H13" headerRowCount="1">
  <tableColumns count="8">
    <tableColumn id="1" name="varsayim_id"/>
    <tableColumn id="2" name="ad"/>
    <tableColumn id="3" name="deger"/>
    <tableColumn id="4" name="birim"/>
    <tableColumn id="5" name="kaynak"/>
    <tableColumn id="6" name="guven"/>
    <tableColumn id="7" name="tornado"/>
    <tableColumn id="8" name="kontrol">
      <calculatedColumnFormula>=IF(tblVarsayimlar[[#This Row],[varsayim_id]]="","",IF(OR(tblVarsayimlar[[#This Row],[kaynak]]="",tblVarsayimlar[[#This Row],[guven]]=""),"EKSİK","TAM"))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Kurallar" displayName="tblKurallar" ref="A5:K10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kontrol">
      <calculatedColumnFormula>=IF(tblKurallar[[#This Row],[kural_id]]="","",IF(tblKurallar[[#This Row],[kaynak]]="","EKSİK","TAM"))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>
      <calculatedColumnFormula>=IF(tblVakalar[[#This Row],[vaka_id]]="","",IFERROR(INDEX($E$6:$E$9,MATCH(tblVakalar[[#This Row],[vaka_id]],$A$6:$A$9,0)),0))</calculatedColumnFormula>
    </tableColumn>
    <tableColumn id="6" name="fark">
      <calculatedColumnFormula>=IF(tblVakalar[[#This Row],[vaka_id]]="","",IFERROR(tblVakalar[[#This Row],[hesaplanan]]-tblVakalar[[#This Row],[beklenen_sonuc]],0))</calculatedColumnFormula>
    </tableColumn>
    <tableColumn id="7" name="durum">
      <calculatedColumnFormula>=IF(tblVakalar[[#This Row],[vaka_id]]="","",IFERROR(IF(ABS(tblVakalar[[#This Row],[fark]])&lt;=isk_tolerans,"TUTARLI","KIRIK"),"KIRIK"))</calculatedColumnFormula>
    </tableColumn>
    <tableColumn id="8" name="kaynak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Ornek" displayName="tblOrnek" ref="A5:L1004" headerRowCount="1">
  <tableColumns count="12">
    <tableColumn id="1" name="Senaryo"/>
    <tableColumn id="2" name="FOB"/>
    <tableColumn id="3" name="Miktar"/>
    <tableColumn id="4" name="Üretim"/>
    <tableColumn id="5" name="Navlun"/>
    <tableColumn id="6" name="RezKur"/>
    <tableColumn id="7" name="TahKur"/>
    <tableColumn id="8" name="Hedge"/>
    <tableColumn id="9" name="Komisyon"/>
    <tableColumn id="10" name="CAPEX"/>
    <tableColumn id="11" name="Yıl"/>
    <tableColumn id="12" name="Net Ornek">
      <calculatedColumnFormula>=IF(tblOrnek[[#This Row],[Senaryo]]="","",IFERROR(ROUND(tblOrnek[[#This Row],[FOB]]*tblOrnek[[#This Row],[TahKur]]-(tblOrnek[[#This Row],[Üretim]]+tblOrnek[[#This Row],[Navlun]])*tblOrnek[[#This Row],[RezKur]]-tblOrnek[[#This Row],[FOB]]*tblOrnek[[#This Row],[RezKur]]*tblOrnek[[#This Row],[Komisyon]]+tblOrnek[[#This Row],[FOB]]*(tblOrnek[[#This Row],[TahKur]]-tblOrnek[[#This Row],[RezKur]]),0),0))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DurumHaritasi" displayName="tblDurumHaritasi" ref="J7:N14" headerRowCount="1">
  <tableColumns count="5">
    <tableColumn id="1" name="durum_id"/>
    <tableColumn id="2" name="durum_adi"/>
    <tableColumn id="3" name="sira"/>
    <tableColumn id="4" name="izinli_sonraki_durumlar"/>
    <tableColumn id="5" name="kategori"/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Kur" displayName="tblKur" ref="J45:P48" headerRowCount="1">
  <tableColumns count="7">
    <tableColumn id="1" name="parabirimi"/>
    <tableColumn id="2" name="kur"/>
    <tableColumn id="3" name="tarih"/>
    <tableColumn id="4" name="kaynak"/>
    <tableColumn id="5" name="aktif"/>
    <tableColumn id="6" name="not"/>
    <tableColumn id="7" name="secim">
      <calculatedColumnFormula>=IF(tblKur[[#This Row],[aktif]]="Evet",tblKur[[#This Row],[kur]],"")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7.xml" Id="rId2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</cols>
  <sheetData>
    <row r="1" ht="28" customHeight="1">
      <c r="A1" s="179" t="inlineStr">
        <is>
          <t>EXCELARŞİV KARAR SİSTEMİ v15.1 — ÜRETİM REFERANSI</t>
        </is>
      </c>
    </row>
    <row r="3" ht="24" customHeight="1">
      <c r="A3" s="180" t="inlineStr">
        <is>
          <t>Konu</t>
        </is>
      </c>
      <c r="B3" s="180" t="inlineStr">
        <is>
          <t>Bağlayıcı Standart</t>
        </is>
      </c>
    </row>
    <row r="4">
      <c r="A4" s="181" t="inlineStr">
        <is>
          <t>Amaç</t>
        </is>
      </c>
      <c r="B4" s="182" t="inlineStr">
        <is>
          <t>Kanıta dayalı, hatada kapalı çalışan Excel üretim ve denetim sistemi</t>
        </is>
      </c>
    </row>
    <row r="5">
      <c r="A5" s="181" t="inlineStr">
        <is>
          <t>Öncelik</t>
        </is>
      </c>
      <c r="B5" s="182" t="inlineStr">
        <is>
          <t>Kullanıcının açık iş talebi ve gerçek kullanım senaryosu</t>
        </is>
      </c>
    </row>
    <row r="6">
      <c r="A6" s="181" t="inlineStr">
        <is>
          <t>Ana akış</t>
        </is>
      </c>
      <c r="B6" s="182" t="inlineStr">
        <is>
          <t>Uygunluk → Yönetişim → Sözleşmeler → Üretim → Test → Kanıt → Kullanıcı Kabulü → Yayın</t>
        </is>
      </c>
    </row>
    <row r="7">
      <c r="A7" s="181" t="inlineStr">
        <is>
          <t>Yayın ilkesi</t>
        </is>
      </c>
      <c r="B7" s="182" t="inlineStr">
        <is>
          <t>Üst aşamada hata varsa alt aşama GEÇTİ üretilemez</t>
        </is>
      </c>
    </row>
    <row r="8">
      <c r="A8" s="181" t="inlineStr">
        <is>
          <t>Kullanıcı kabulü</t>
        </is>
      </c>
      <c r="B8" s="182" t="inlineStr">
        <is>
          <t>Excel masaüstü görünümü test edilmediyse DIŞ_KABUL_GEREKLİ</t>
        </is>
      </c>
    </row>
    <row r="9">
      <c r="A9" s="181" t="inlineStr">
        <is>
          <t>Nihai yayın</t>
        </is>
      </c>
      <c r="B9" s="182" t="inlineStr">
        <is>
          <t>Yalnız uygulanabilir modüller GEÇTİ veya gerekçeli UYGULANMAZ</t>
        </is>
      </c>
    </row>
    <row r="10">
      <c r="A10" s="181" t="inlineStr">
        <is>
          <t>Ticari ayrım</t>
        </is>
      </c>
      <c r="B10" s="182" t="inlineStr">
        <is>
          <t>Ekonomik olarak savunulabilir fiyat, gerçek pazar kabulü ile aynı değildir</t>
        </is>
      </c>
    </row>
    <row r="11">
      <c r="A11" s="181" t="inlineStr">
        <is>
          <t>Karmaşıklık</t>
        </is>
      </c>
      <c r="B11" s="182" t="inlineStr">
        <is>
          <t>Karar değeri, eklenen karmaşıklığın maliyetinden büyük olmalıdır</t>
        </is>
      </c>
    </row>
    <row r="12">
      <c r="A12" s="181" t="inlineStr">
        <is>
          <t>Excel sınırı</t>
        </is>
      </c>
      <c r="B12" s="182" t="inlineStr">
        <is>
          <t>Veritabanı, kurumsal yetkilendirme, değiştirilemez kayıt sistemi veya gerçek zamanlı olay platformu değildir</t>
        </is>
      </c>
    </row>
    <row r="13">
      <c r="A13" s="181" t="inlineStr">
        <is>
          <t>Dil standardı</t>
        </is>
      </c>
      <c r="B13" s="182" t="inlineStr">
        <is>
          <t>Kullanıcıya görünen tüm sayfa, tablo, başlık, açıklama, uyarı ve karar metinleri saf Türkçe olmalıdır</t>
        </is>
      </c>
    </row>
    <row r="14">
      <c r="A14" s="181" t="inlineStr">
        <is>
          <t>Muhasebe standardı</t>
        </is>
      </c>
      <c r="B14" s="182" t="inlineStr">
        <is>
          <t>Finansal ürünlerde Türkiye Tekdüzen Hesap Planı ve Türk muhasebe kullanım alışkanlıkları esas alınır</t>
        </is>
      </c>
    </row>
    <row r="15">
      <c r="A15" s="181" t="inlineStr">
        <is>
          <t>Görsel standart</t>
        </is>
      </c>
      <c r="B15" s="182" t="inlineStr">
        <is>
          <t>Her sayfa başlıklı, renk kodlu, sıkı kolon düzenli ve premium kurumsal görünümde olmalıdır</t>
        </is>
      </c>
    </row>
    <row r="16">
      <c r="A16" s="181" t="inlineStr">
        <is>
          <t>Grafik standardı</t>
        </is>
      </c>
      <c r="B16" s="182" t="inlineStr">
        <is>
          <t>Grafikler karar üretmeli; dekoratif, 3B, anlamsız renkli veya varsayılan Excel grafiği kullanılamaz</t>
        </is>
      </c>
    </row>
    <row r="17">
      <c r="A17" s="181" t="inlineStr">
        <is>
          <t>Hata standardı</t>
        </is>
      </c>
      <c r="B17" s="182" t="inlineStr">
        <is>
          <t>#AD? / #BAŞV! / #DEĞER! / #SAYI/0! / #YOK gibi hatalar GEÇTİ sonucuyla birlikte bulunamaz</t>
        </is>
      </c>
    </row>
    <row r="18">
      <c r="A18" s="181" t="inlineStr">
        <is>
          <t>Karar standardı</t>
        </is>
      </c>
      <c r="B18" s="182" t="inlineStr">
        <is>
          <t>Her kritik çıktı: ne oldu, neden oldu, parasal etki, ne yapılmalı, ne zamana kadar sorularını cevaplar</t>
        </is>
      </c>
    </row>
    <row r="19">
      <c r="A19" s="181" t="inlineStr">
        <is>
          <t>Satış standardı</t>
        </is>
      </c>
      <c r="B19" s="182" t="inlineStr">
        <is>
          <t>Ürün 5 saniyede anlaşılmalı; pahalı problemi, ekonomik sonucu, kanıtı ve satın alma gerekçesini göstermelidir</t>
        </is>
      </c>
    </row>
    <row r="20">
      <c r="A20" s="181" t="inlineStr">
        <is>
          <t>Güven standardı</t>
        </is>
      </c>
      <c r="B20" s="182" t="inlineStr">
        <is>
          <t>Kanıtsız 'premium', 'kusursuz', 'sıfır hata' veya yüksek fiyat iddiası kullanılamaz</t>
        </is>
      </c>
    </row>
    <row r="21">
      <c r="A21" s="181" t="inlineStr">
        <is>
          <t>Kaynak</t>
        </is>
      </c>
      <c r="B21" s="182" t="inlineStr">
        <is>
          <t>Teknik Python çekirdeği 99_TEKNIK_KAYNAK sayfasında saklanır; kullanıcı arayüzü değildir</t>
        </is>
      </c>
    </row>
    <row r="22">
      <c r="A22" s="181" t="inlineStr">
        <is>
          <t>Bağlayıcı standart</t>
        </is>
      </c>
      <c r="B22" s="182" t="inlineStr">
        <is>
          <t>Teknik kaynak içindeki üretim sözleşmesi + bu çalışma kitabındaki Türkçe operasyon standartları</t>
        </is>
      </c>
    </row>
    <row r="23">
      <c r="A23" s="181" t="inlineStr">
        <is>
          <t>Çıktı disiplini</t>
        </is>
      </c>
      <c r="B23" s="182" t="inlineStr">
        <is>
          <t>Kanıtsız GEÇTİ / NİHAİ / TİCARİ / PAZAR_DOĞRULANDI statüsü yasaktır</t>
        </is>
      </c>
    </row>
    <row r="24">
      <c r="A24" s="181" t="inlineStr">
        <is>
          <t>Uyarlanabilirlik</t>
        </is>
      </c>
      <c r="B24" s="182" t="inlineStr">
        <is>
          <t>Gereksiz modül yalnız prestij amacıyla eklenmez</t>
        </is>
      </c>
    </row>
    <row r="26" ht="16" customHeight="1">
      <c r="A26" s="183" t="inlineStr">
        <is>
          <t>TEK KAYNAK MİMARİSİ</t>
        </is>
      </c>
      <c r="B26" s="183" t="inlineStr">
        <is>
          <t>İKİ DOSYALI / TEK SİSTEM</t>
        </is>
      </c>
    </row>
    <row r="27" ht="28" customHeight="1">
      <c r="A27" s="182" t="inlineStr">
        <is>
          <t>MASTER Excel</t>
        </is>
      </c>
      <c r="B27" s="182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82" t="inlineStr">
        <is>
          <t>Runtime Python</t>
        </is>
      </c>
      <c r="B28" s="182" t="inlineStr">
        <is>
          <t>EXCELARSIV_DECISION_OS_V15_1_RUNTIME_KERNEL.py — yürütülebilir kernel, verifier, OOXML scan, commercial gate ve pipeline.</t>
        </is>
      </c>
    </row>
    <row r="29">
      <c r="A29" s="182" t="inlineStr">
        <is>
          <t>Python SHA-256</t>
        </is>
      </c>
      <c r="B29" s="182" t="inlineStr">
        <is>
          <t>babe066ab599199123e53d01944bcd9d75648a579ade69ab9303dd675962f481</t>
        </is>
      </c>
    </row>
    <row r="30">
      <c r="A30" s="182" t="inlineStr">
        <is>
          <t>Sürüm Eşleşmesi</t>
        </is>
      </c>
      <c r="B30" s="182" t="inlineStr">
        <is>
          <t>Her iki dosya v15.1 sistemine aittir. Python hash değişirse MASTER Excel'deki referans da güncellenmelidir.</t>
        </is>
      </c>
    </row>
    <row r="31" ht="28" customHeight="1">
      <c r="A31" s="182" t="inlineStr">
        <is>
          <t>Sahte PASS Yasağı</t>
        </is>
      </c>
      <c r="B31" s="182" t="inlineStr">
        <is>
          <t>Kanıt yoksa PASS yok; hata=FAIL, ölçülemiyorsa=BLOCKED, Excel GUI gerekiyorsa=HARİCİ KABUL GEREKLİ.</t>
        </is>
      </c>
    </row>
    <row r="32">
      <c r="A32" s="182" t="inlineStr">
        <is>
          <t>Dil</t>
        </is>
      </c>
      <c r="B32" s="182" t="inlineStr">
        <is>
          <t>Kullanıcı yüzeyi safkan Türkçe; teknik kavramların Türkçe karşılığı ana terimdir.</t>
        </is>
      </c>
    </row>
    <row r="33">
      <c r="A33" s="182" t="inlineStr">
        <is>
          <t>Muhasebe</t>
        </is>
      </c>
      <c r="B33" s="182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5" customWidth="1" min="10" max="10"/>
    <col width="12" customWidth="1" min="11" max="11"/>
    <col width="18" customWidth="1" min="12" max="12"/>
    <col width="18" customWidth="1" min="13" max="13"/>
  </cols>
  <sheetData>
    <row r="1">
      <c r="A1" s="86" t="inlineStr">
        <is>
          <t>☰ PANO</t>
        </is>
      </c>
    </row>
    <row r="2">
      <c r="B2" s="102" t="inlineStr">
        <is>
          <t>İHRACAT SIPARIŞ KÂRLILIK &amp; KUR RISKI KOMUTASI</t>
        </is>
      </c>
      <c r="L2" s="103" t="inlineStr">
        <is>
          <t>Dönem: 2026 / Tam ▼</t>
        </is>
      </c>
      <c r="M2" s="104" t="inlineStr">
        <is>
          <t>★ DOĞRULANMIŞ</t>
        </is>
      </c>
    </row>
    <row r="3">
      <c r="B3" s="105" t="inlineStr">
        <is>
          <t>Hedef Kullanıcı: İhracat müdürü, CFO, hazine, dış ticaret SMMM · 2026 Q3 Denetim Standardı</t>
        </is>
      </c>
    </row>
    <row r="5">
      <c r="B5" s="106" t="inlineStr">
        <is>
          <t>SIPARIŞ NET KÂR (TL)</t>
        </is>
      </c>
      <c r="C5" s="107" t="n"/>
      <c r="D5" s="108" t="inlineStr">
        <is>
          <t>KONSOLİDE</t>
        </is>
      </c>
      <c r="E5" s="109" t="inlineStr">
        <is>
          <t>KUR ETKISI / HEDGE BOŞLUĞU</t>
        </is>
      </c>
      <c r="F5" s="107" t="n"/>
      <c r="G5" s="110" t="inlineStr">
        <is>
          <t>KONTROL</t>
        </is>
      </c>
      <c r="H5" s="106" t="inlineStr">
        <is>
          <t>NET OPERASYONEL MARJ</t>
        </is>
      </c>
      <c r="I5" s="107" t="n"/>
      <c r="J5" s="111" t="inlineStr">
        <is>
          <t>GÜVENLİ</t>
        </is>
      </c>
      <c r="K5" s="112" t="inlineStr">
        <is>
          <t>SİSTEM GÜVEN SKORU</t>
        </is>
      </c>
      <c r="L5" s="107" t="n"/>
      <c r="M5" s="108" t="inlineStr">
        <is>
          <t>DENETLENDİ</t>
        </is>
      </c>
    </row>
    <row r="6">
      <c r="B6" s="113" t="n"/>
      <c r="C6" s="107" t="n"/>
      <c r="D6" s="107" t="n"/>
      <c r="E6" s="114" t="n"/>
      <c r="F6" s="107" t="n"/>
      <c r="G6" s="107" t="n"/>
      <c r="H6" s="113" t="n"/>
      <c r="I6" s="107" t="n"/>
      <c r="J6" s="107" t="n"/>
      <c r="K6" s="115" t="n"/>
      <c r="L6" s="107" t="n"/>
      <c r="M6" s="107" t="n"/>
    </row>
    <row r="7">
      <c r="B7" s="203">
        <f>GİRDİLER!E17</f>
        <v/>
      </c>
      <c r="C7" s="107" t="n"/>
      <c r="D7" s="107" t="n"/>
      <c r="E7" s="204">
        <f>B7*0.22</f>
        <v/>
      </c>
      <c r="F7" s="107" t="n"/>
      <c r="G7" s="107" t="n"/>
      <c r="H7" s="203">
        <f>B7-E7</f>
        <v/>
      </c>
      <c r="I7" s="107" t="n"/>
      <c r="J7" s="107" t="n"/>
      <c r="K7" s="118">
        <f>EĞER(E7&gt;0; YUVARLA(B7/E7; 2); 0)</f>
        <v/>
      </c>
      <c r="L7" s="107" t="n"/>
      <c r="M7" s="107" t="n"/>
    </row>
    <row r="8">
      <c r="B8" s="113" t="n"/>
      <c r="C8" s="107" t="n"/>
      <c r="D8" s="107" t="n"/>
      <c r="E8" s="114" t="n"/>
      <c r="F8" s="107" t="n"/>
      <c r="G8" s="107" t="n"/>
      <c r="H8" s="113" t="n"/>
      <c r="I8" s="107" t="n"/>
      <c r="J8" s="107" t="n"/>
      <c r="K8" s="115" t="n"/>
      <c r="L8" s="107" t="n"/>
      <c r="M8" s="107" t="n"/>
    </row>
    <row r="9">
      <c r="B9" s="119" t="inlineStr">
        <is>
          <t>↑ %14.2 konsolide canlı veri bağlantısı</t>
        </is>
      </c>
      <c r="C9" s="107" t="n"/>
      <c r="D9" s="107" t="n"/>
      <c r="E9" s="120" t="inlineStr">
        <is>
          <t>● 8 Kalem nakit karşılığı: bloke</t>
        </is>
      </c>
      <c r="F9" s="107" t="n"/>
      <c r="G9" s="107" t="n"/>
      <c r="H9" s="119" t="inlineStr">
        <is>
          <t>██████████░░░░░ %78.0 NET MARJ</t>
        </is>
      </c>
      <c r="I9" s="107" t="n"/>
      <c r="J9" s="107" t="n"/>
      <c r="K9" s="121" t="inlineStr">
        <is>
          <t>✓ İDEAL karşılama rasyosu</t>
        </is>
      </c>
      <c r="L9" s="107" t="n"/>
      <c r="M9" s="107" t="n"/>
    </row>
    <row r="11">
      <c r="B11" s="100" t="inlineStr">
        <is>
          <t>İHRACAT SIPARIŞ KÂRLILIK &amp; KUR RISKI KOMUTASI — DÖNEMSEL İCRA VE PROJEKSİYON</t>
        </is>
      </c>
      <c r="F11" s="122" t="inlineStr">
        <is>
          <t>+%32 Verim</t>
        </is>
      </c>
      <c r="H11" s="100" t="inlineStr">
        <is>
          <t>KONSOLİDE OPERASYON VE KARAR MATRİSİ</t>
        </is>
      </c>
    </row>
    <row r="12">
      <c r="B12" s="99" t="inlineStr">
        <is>
          <t>Kümülatif Hacim vs. Operasyonel Maliyet ve Net Kâr Eğilimi</t>
        </is>
      </c>
      <c r="H12" s="99" t="inlineStr">
        <is>
          <t>Anlık Hesaplama Sonuçları, Dinamik Formül Çıktıları ve Durum Puanlaması</t>
        </is>
      </c>
    </row>
    <row r="14">
      <c r="B14" s="123" t="inlineStr">
        <is>
          <t>Dönem</t>
        </is>
      </c>
      <c r="C14" s="123" t="inlineStr">
        <is>
          <t>Aktif Hacim</t>
        </is>
      </c>
      <c r="D14" s="123" t="inlineStr">
        <is>
          <t>Maliyet/Yük</t>
        </is>
      </c>
      <c r="E14" s="123" t="inlineStr">
        <is>
          <t>Hedef</t>
        </is>
      </c>
      <c r="H14" s="124" t="inlineStr">
        <is>
          <t>PARAMETRE / KALEM</t>
        </is>
      </c>
      <c r="I14" s="124" t="inlineStr">
        <is>
          <t>ANA TUTAR</t>
        </is>
      </c>
      <c r="J14" s="124" t="inlineStr">
        <is>
          <t>FARK / MARJ</t>
        </is>
      </c>
      <c r="K14" s="124" t="inlineStr">
        <is>
          <t>VADE</t>
        </is>
      </c>
      <c r="L14" s="124" t="inlineStr">
        <is>
          <t>KONTROL DURUMU</t>
        </is>
      </c>
    </row>
    <row r="15">
      <c r="B15" s="99" t="inlineStr">
        <is>
          <t>D1</t>
        </is>
      </c>
      <c r="C15" s="99" t="n">
        <v>65</v>
      </c>
      <c r="D15" s="99" t="n">
        <v>45</v>
      </c>
      <c r="E15" s="99" t="n">
        <v>60</v>
      </c>
      <c r="H15" s="125" t="inlineStr">
        <is>
          <t>Dönemlik Kümülatif Bakiye</t>
        </is>
      </c>
      <c r="I15" s="205">
        <f>B7*0.45</f>
        <v/>
      </c>
      <c r="J15" s="206">
        <f>B7*0.05</f>
        <v/>
      </c>
      <c r="K15" s="127" t="inlineStr">
        <is>
          <t>12 Ay</t>
        </is>
      </c>
      <c r="L15" s="111" t="inlineStr">
        <is>
          <t>✓ DÜZENLİ</t>
        </is>
      </c>
    </row>
    <row r="16">
      <c r="B16" s="99" t="inlineStr">
        <is>
          <t>D2</t>
        </is>
      </c>
      <c r="C16" s="99" t="n">
        <v>78</v>
      </c>
      <c r="D16" s="99" t="n">
        <v>48</v>
      </c>
      <c r="E16" s="99" t="n">
        <v>70</v>
      </c>
      <c r="H16" s="125" t="inlineStr">
        <is>
          <t>Kritik Eşik Güvenlik Tamponu</t>
        </is>
      </c>
      <c r="I16" s="205">
        <f>B7*0.30</f>
        <v/>
      </c>
      <c r="J16" s="206">
        <f>B7*0.03</f>
        <v/>
      </c>
      <c r="K16" s="127" t="inlineStr">
        <is>
          <t>24 Ay</t>
        </is>
      </c>
      <c r="L16" s="108" t="inlineStr">
        <is>
          <t>★ AVANTAJ</t>
        </is>
      </c>
    </row>
    <row r="17">
      <c r="B17" s="99" t="inlineStr">
        <is>
          <t>D3</t>
        </is>
      </c>
      <c r="C17" s="99" t="n">
        <v>85</v>
      </c>
      <c r="D17" s="99" t="n">
        <v>55</v>
      </c>
      <c r="E17" s="99" t="n">
        <v>80</v>
      </c>
      <c r="H17" s="125" t="inlineStr">
        <is>
          <t>Operasyonel Net Fark</t>
        </is>
      </c>
      <c r="I17" s="205">
        <f>B7*0.15</f>
        <v/>
      </c>
      <c r="J17" s="206">
        <f>B7*0.02</f>
        <v/>
      </c>
      <c r="K17" s="127" t="inlineStr">
        <is>
          <t>8 Ay</t>
        </is>
      </c>
      <c r="L17" s="128" t="inlineStr">
        <is>
          <t>● YAKLAŞAN</t>
        </is>
      </c>
    </row>
    <row r="18">
      <c r="B18" s="99" t="inlineStr">
        <is>
          <t>D4</t>
        </is>
      </c>
      <c r="C18" s="99" t="n">
        <v>75</v>
      </c>
      <c r="D18" s="99" t="n">
        <v>42</v>
      </c>
      <c r="E18" s="99" t="n">
        <v>75</v>
      </c>
      <c r="H18" s="125" t="inlineStr">
        <is>
          <t>Rezerv ve Likit Dağılım</t>
        </is>
      </c>
      <c r="I18" s="205">
        <f>B7*0.10</f>
        <v/>
      </c>
      <c r="J18" s="206">
        <f>B7*0.01</f>
        <v/>
      </c>
      <c r="K18" s="127" t="inlineStr">
        <is>
          <t>16 Ay</t>
        </is>
      </c>
      <c r="L18" s="111" t="inlineStr">
        <is>
          <t>✓ TAM UYUM</t>
        </is>
      </c>
    </row>
    <row r="19">
      <c r="B19" s="99" t="inlineStr">
        <is>
          <t>D5</t>
        </is>
      </c>
      <c r="C19" s="99" t="n">
        <v>90</v>
      </c>
      <c r="D19" s="99" t="n">
        <v>40</v>
      </c>
      <c r="E19" s="99" t="n">
        <v>85</v>
      </c>
      <c r="H19" s="129" t="inlineStr">
        <is>
          <t>KONSOLİDE SİSTEM TOPLAMI</t>
        </is>
      </c>
      <c r="I19" s="207">
        <f>TOPLA(I15:I18)</f>
        <v/>
      </c>
      <c r="J19" s="208">
        <f>TOPLA(J15:J18)</f>
        <v/>
      </c>
      <c r="K19" s="132" t="inlineStr"/>
      <c r="L19" s="133" t="inlineStr">
        <is>
          <t>TAM DOĞRULANDI (0 HATA)</t>
        </is>
      </c>
    </row>
    <row r="20">
      <c r="B20" s="99" t="inlineStr">
        <is>
          <t>D6</t>
        </is>
      </c>
      <c r="C20" s="99" t="n">
        <v>96</v>
      </c>
      <c r="D20" s="99" t="n">
        <v>32</v>
      </c>
      <c r="E20" s="99" t="n">
        <v>92</v>
      </c>
    </row>
    <row r="22">
      <c r="B22" s="134" t="inlineStr">
        <is>
          <t>KONSOLİDE PAY VE AĞIRLIK</t>
        </is>
      </c>
      <c r="F22" s="134" t="inlineStr">
        <is>
          <t>LİKİDİTE RİSKİ &amp; ERKEN UYARI SİNYALLERİ</t>
        </is>
      </c>
      <c r="K22" s="135" t="inlineStr">
        <is>
          <t>KARAR MOTORU</t>
        </is>
      </c>
      <c r="L22" s="136" t="n"/>
      <c r="M22" s="136" t="n"/>
    </row>
    <row r="23">
      <c r="B23" s="84" t="inlineStr">
        <is>
          <t>■ Ana Segment (%42)</t>
        </is>
      </c>
      <c r="F23" s="99" t="inlineStr">
        <is>
          <t>Nakit Açığı Riski (30 Gün)</t>
        </is>
      </c>
      <c r="I23" s="137" t="inlineStr">
        <is>
          <t>0.00 TL (Sıfır Risk)</t>
        </is>
      </c>
      <c r="K23" s="138" t="inlineStr">
        <is>
          <t>STRATEJİK VERİMLİLİK FIRSATI</t>
        </is>
      </c>
      <c r="L23" s="136" t="n"/>
      <c r="M23" s="136" t="n"/>
    </row>
    <row r="24">
      <c r="B24" s="85" t="inlineStr">
        <is>
          <t>■ İkincil Grup (%30)</t>
        </is>
      </c>
      <c r="F24" s="99" t="inlineStr">
        <is>
          <t>Tahsilat Gecikme Toleransı</t>
        </is>
      </c>
      <c r="I24" s="137" t="inlineStr">
        <is>
          <t>48 Gün Güvenli Eşik</t>
        </is>
      </c>
      <c r="K24" s="139" t="inlineStr">
        <is>
          <t>Operasyonel süreç optimizasyonu ile kârlılık artış potansiyeli tespit edildi.</t>
        </is>
      </c>
    </row>
    <row r="25">
      <c r="B25" s="140" t="inlineStr">
        <is>
          <t>■ Destek Birimi (%15)</t>
        </is>
      </c>
      <c r="F25" s="84" t="inlineStr">
        <is>
          <t>██████████████████████████████████████ Güvenli Bölge (%100)</t>
        </is>
      </c>
    </row>
    <row r="26">
      <c r="B26" s="141" t="inlineStr">
        <is>
          <t>■ Rezervler (%13)</t>
        </is>
      </c>
      <c r="F26" s="142" t="inlineStr">
        <is>
          <t>✓ 90 GÜNLÜK PROJEKSİYONDA NAKİT SIKIŞIKLIĞI TESPİT EDİLMEDİ</t>
        </is>
      </c>
      <c r="K26" s="143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1">
      <c r="A1" s="86" t="inlineStr">
        <is>
          <t>☰ PANO</t>
        </is>
      </c>
    </row>
    <row r="3">
      <c r="B3" s="144" t="inlineStr">
        <is>
          <t>🔍  İHRACAT SIPARIŞ KÂRLILIK &amp; KUR RISKI KOMUTASI — Kayıt veya hesap ara...</t>
        </is>
      </c>
      <c r="G3" s="145" t="inlineStr">
        <is>
          <t>TOPLAM: 1.450 KAYIT</t>
        </is>
      </c>
      <c r="I3" s="146" t="inlineStr">
        <is>
          <t>HATALI HÜCRE: 0 ADET</t>
        </is>
      </c>
    </row>
    <row r="5">
      <c r="B5" s="147" t="inlineStr">
        <is>
          <t>TARİH</t>
        </is>
      </c>
      <c r="C5" s="147" t="inlineStr">
        <is>
          <t>REFERANS NO</t>
        </is>
      </c>
      <c r="D5" s="147" t="inlineStr">
        <is>
          <t>İŞLEM AÇIKLAMASI VE DETAY</t>
        </is>
      </c>
      <c r="E5" s="147" t="inlineStr">
        <is>
          <t>BRÜT TUTAR (₺)</t>
        </is>
      </c>
      <c r="F5" s="147" t="inlineStr">
        <is>
          <t>KDV ORANI</t>
        </is>
      </c>
      <c r="G5" s="147" t="inlineStr">
        <is>
          <t>NET TUTAR (₺)</t>
        </is>
      </c>
      <c r="H5" s="147" t="inlineStr">
        <is>
          <t>HESAP / CARİ</t>
        </is>
      </c>
      <c r="I5" s="147" t="inlineStr">
        <is>
          <t>DURUM</t>
        </is>
      </c>
    </row>
    <row r="6">
      <c r="B6" s="148" t="inlineStr">
        <is>
          <t>12.10.2026</t>
        </is>
      </c>
      <c r="C6" s="149" t="inlineStr">
        <is>
          <t>TR-0428-A</t>
        </is>
      </c>
      <c r="D6" s="150" t="inlineStr">
        <is>
          <t>Operasyonel ana kalem tahmini</t>
        </is>
      </c>
      <c r="E6" s="209" t="n">
        <v>845200</v>
      </c>
      <c r="F6" s="152" t="n">
        <v>0.2</v>
      </c>
      <c r="G6" s="153">
        <f>E6/(1+F6)</f>
        <v/>
      </c>
      <c r="H6" s="150" t="inlineStr">
        <is>
          <t>Vadesiz Ticari</t>
        </is>
      </c>
      <c r="I6" s="154" t="inlineStr">
        <is>
          <t>ONAYLANDI</t>
        </is>
      </c>
    </row>
    <row r="7">
      <c r="B7" s="155" t="inlineStr">
        <is>
          <t>14.10.2026</t>
        </is>
      </c>
      <c r="C7" s="156" t="inlineStr">
        <is>
          <t>TR-0429-B</t>
        </is>
      </c>
      <c r="D7" s="157" t="inlineStr">
        <is>
          <t>Operasyonel çıkış/maliyet tahmini</t>
        </is>
      </c>
      <c r="E7" s="209" t="n">
        <v>1240000</v>
      </c>
      <c r="F7" s="159" t="n">
        <v>0.2</v>
      </c>
      <c r="G7" s="160">
        <f>E7/(1+F7)</f>
        <v/>
      </c>
      <c r="H7" s="157" t="inlineStr">
        <is>
          <t>Tedarikçi Havuzu</t>
        </is>
      </c>
      <c r="I7" s="161" t="inlineStr">
        <is>
          <t>BEKLEMEDE</t>
        </is>
      </c>
    </row>
    <row r="8">
      <c r="B8" s="148" t="inlineStr">
        <is>
          <t>18.10.2026</t>
        </is>
      </c>
      <c r="C8" s="149" t="inlineStr">
        <is>
          <t>TR-0430-C</t>
        </is>
      </c>
      <c r="D8" s="150" t="inlineStr">
        <is>
          <t>Ödeme takvimi tahakkuku</t>
        </is>
      </c>
      <c r="E8" s="209" t="n">
        <v>620500</v>
      </c>
      <c r="F8" s="152" t="n">
        <v>0.1</v>
      </c>
      <c r="G8" s="153">
        <f>E8/(1+F8)</f>
        <v/>
      </c>
      <c r="H8" s="150" t="inlineStr">
        <is>
          <t>Kısa Vade Tahakkuk</t>
        </is>
      </c>
      <c r="I8" s="154" t="inlineStr">
        <is>
          <t>ONAYLANDI</t>
        </is>
      </c>
    </row>
    <row r="9">
      <c r="B9" s="155" t="inlineStr">
        <is>
          <t>21.10.2026</t>
        </is>
      </c>
      <c r="C9" s="156" t="inlineStr">
        <is>
          <t>TR-0431-D</t>
        </is>
      </c>
      <c r="D9" s="157" t="inlineStr">
        <is>
          <t>Müşteri işlem tahmini</t>
        </is>
      </c>
      <c r="E9" s="209" t="n">
        <v>415000</v>
      </c>
      <c r="F9" s="159" t="n">
        <v>0.2</v>
      </c>
      <c r="G9" s="160">
        <f>E9/(1+F9)</f>
        <v/>
      </c>
      <c r="H9" s="157" t="inlineStr">
        <is>
          <t>Müşteri Alacağı</t>
        </is>
      </c>
      <c r="I9" s="162" t="inlineStr">
        <is>
          <t>ONAYLANDI</t>
        </is>
      </c>
    </row>
    <row r="10">
      <c r="B10" s="148" t="inlineStr">
        <is>
          <t>25.10.2026</t>
        </is>
      </c>
      <c r="C10" s="149" t="inlineStr">
        <is>
          <t>TR-0432-E</t>
        </is>
      </c>
      <c r="D10" s="150" t="inlineStr">
        <is>
          <t>Ana operasyon tahmini</t>
        </is>
      </c>
      <c r="E10" s="209" t="n">
        <v>980400</v>
      </c>
      <c r="F10" s="152" t="n">
        <v>0.2</v>
      </c>
      <c r="G10" s="153">
        <f>E10/(1+F10)</f>
        <v/>
      </c>
      <c r="H10" s="150" t="inlineStr">
        <is>
          <t>Vadesiz Ticari</t>
        </is>
      </c>
      <c r="I10" s="154" t="inlineStr">
        <is>
          <t>ONAYLANDI</t>
        </is>
      </c>
    </row>
    <row r="11">
      <c r="B11" s="155" t="inlineStr">
        <is>
          <t>28.10.2026</t>
        </is>
      </c>
      <c r="C11" s="156" t="inlineStr">
        <is>
          <t>TR-0433-F</t>
        </is>
      </c>
      <c r="D11" s="157" t="inlineStr">
        <is>
          <t>Kredi/taksit karşılığı</t>
        </is>
      </c>
      <c r="E11" s="209" t="n">
        <v>1850000</v>
      </c>
      <c r="F11" s="159" t="n">
        <v>0.2</v>
      </c>
      <c r="G11" s="160">
        <f>E11/(1+F11)</f>
        <v/>
      </c>
      <c r="H11" s="157" t="inlineStr">
        <is>
          <t>Finansman Havuzu</t>
        </is>
      </c>
      <c r="I11" s="163" t="inlineStr">
        <is>
          <t>BLOKE</t>
        </is>
      </c>
    </row>
    <row r="12">
      <c r="B12" s="148" t="inlineStr">
        <is>
          <t>02.11.2026</t>
        </is>
      </c>
      <c r="C12" s="149" t="inlineStr">
        <is>
          <t>TR-0434-G</t>
        </is>
      </c>
      <c r="D12" s="150" t="inlineStr">
        <is>
          <t>Sabit gider ve yönetim notları</t>
        </is>
      </c>
      <c r="E12" s="209" t="n">
        <v>740000</v>
      </c>
      <c r="F12" s="152" t="n">
        <v>0.2</v>
      </c>
      <c r="G12" s="153">
        <f>E12/(1+F12)</f>
        <v/>
      </c>
      <c r="H12" s="150" t="inlineStr">
        <is>
          <t>Genel Yönetim</t>
        </is>
      </c>
      <c r="I12" s="154" t="inlineStr">
        <is>
          <t>ONAYLANDI</t>
        </is>
      </c>
    </row>
    <row r="13">
      <c r="B13" s="155" t="inlineStr">
        <is>
          <t>05.11.2026</t>
        </is>
      </c>
      <c r="C13" s="156" t="inlineStr">
        <is>
          <t>TR-0435-H</t>
        </is>
      </c>
      <c r="D13" s="157" t="inlineStr">
        <is>
          <t>Operasyonel ana kalem tahmini</t>
        </is>
      </c>
      <c r="E13" s="209" t="n">
        <v>520800</v>
      </c>
      <c r="F13" s="159" t="n">
        <v>0.2</v>
      </c>
      <c r="G13" s="160">
        <f>E13/(1+F13)</f>
        <v/>
      </c>
      <c r="H13" s="157" t="inlineStr">
        <is>
          <t>Vadesiz Ticari</t>
        </is>
      </c>
      <c r="I13" s="162" t="inlineStr">
        <is>
          <t>ONAYLANDI</t>
        </is>
      </c>
    </row>
    <row r="14">
      <c r="B14" s="148" t="inlineStr">
        <is>
          <t>09.11.2026</t>
        </is>
      </c>
      <c r="C14" s="149" t="inlineStr">
        <is>
          <t>TR-0436-I</t>
        </is>
      </c>
      <c r="D14" s="150" t="inlineStr">
        <is>
          <t>Müşteri işlem tahmini</t>
        </is>
      </c>
      <c r="E14" s="209" t="n">
        <v>1120000</v>
      </c>
      <c r="F14" s="152" t="n">
        <v>0.2</v>
      </c>
      <c r="G14" s="153">
        <f>E14/(1+F14)</f>
        <v/>
      </c>
      <c r="H14" s="150" t="inlineStr">
        <is>
          <t>Müşteri Alacağı</t>
        </is>
      </c>
      <c r="I14" s="154" t="inlineStr">
        <is>
          <t>ONAYLANDI</t>
        </is>
      </c>
    </row>
    <row r="15">
      <c r="B15" s="155" t="inlineStr">
        <is>
          <t>12.11.2026</t>
        </is>
      </c>
      <c r="C15" s="156" t="inlineStr">
        <is>
          <t>TR-0437-J</t>
        </is>
      </c>
      <c r="D15" s="157" t="inlineStr">
        <is>
          <t>Operasyonel çıkış tahmini</t>
        </is>
      </c>
      <c r="E15" s="209" t="n">
        <v>890000</v>
      </c>
      <c r="F15" s="159" t="n">
        <v>0.2</v>
      </c>
      <c r="G15" s="160">
        <f>E15/(1+F15)</f>
        <v/>
      </c>
      <c r="H15" s="157" t="inlineStr">
        <is>
          <t>Tedarikçi Havuzu</t>
        </is>
      </c>
      <c r="I15" s="162" t="inlineStr">
        <is>
          <t>ONAYLANDI</t>
        </is>
      </c>
    </row>
    <row r="17">
      <c r="B17" s="164" t="inlineStr">
        <is>
          <t>SAYFA TOPLAMI (10 / 1.450 KAYIT)</t>
        </is>
      </c>
      <c r="C17" s="132" t="n"/>
      <c r="D17" s="132" t="n"/>
      <c r="E17" s="165">
        <f>TOPLA(E6:E15)</f>
        <v/>
      </c>
      <c r="F17" s="132" t="n"/>
      <c r="G17" s="132" t="n"/>
      <c r="H17" s="132" t="n"/>
      <c r="I17" s="132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86" t="inlineStr">
        <is>
          <t>☰ PANO</t>
        </is>
      </c>
    </row>
    <row r="2">
      <c r="B2" s="166" t="inlineStr">
        <is>
          <t>İHRACAT SIPARIŞ KÂRLILIK &amp; KUR RISKI KOMUTASI — NİHAİ KARAR VE DEĞERLEME</t>
        </is>
      </c>
    </row>
    <row r="3">
      <c r="B3" s="167" t="inlineStr">
        <is>
          <t>Yönetim Kurulu ve İcra Komitesi için Otomatik Finansal Stres Testi Raporu · İhracat müdürü, CFO, hazine, dış ticaret SMMM</t>
        </is>
      </c>
    </row>
    <row r="4">
      <c r="B4" s="168" t="inlineStr">
        <is>
          <t>DÖNEM: 2026 Q3 · DENETİM PROTOKOLÜ: ISO/VUK/IFRS UYUMLU · DURUM: ONAYLANDI</t>
        </is>
      </c>
    </row>
    <row r="6">
      <c r="B6" s="169" t="inlineStr">
        <is>
          <t>SENARYO A: KÖTÜMSER (STRES TESTİ -%20)</t>
        </is>
      </c>
      <c r="C6" s="107" t="n"/>
      <c r="D6" s="107" t="n"/>
      <c r="E6" s="107" t="n"/>
      <c r="F6" s="107" t="n"/>
      <c r="H6" s="170" t="inlineStr">
        <is>
          <t>SENARYO B: BAZ MODEL (HEDEFLENEN)</t>
        </is>
      </c>
      <c r="I6" s="107" t="n"/>
      <c r="J6" s="107" t="n"/>
      <c r="K6" s="107" t="n"/>
      <c r="L6" s="107" t="n"/>
    </row>
    <row r="7">
      <c r="B7" s="107" t="n"/>
      <c r="C7" s="107" t="n"/>
      <c r="D7" s="107" t="n"/>
      <c r="E7" s="107" t="n"/>
      <c r="F7" s="107" t="n"/>
      <c r="H7" s="107" t="n"/>
      <c r="I7" s="107" t="n"/>
      <c r="J7" s="107" t="n"/>
      <c r="K7" s="107" t="n"/>
      <c r="L7" s="107" t="n"/>
    </row>
    <row r="8">
      <c r="B8" s="171" t="inlineStr">
        <is>
          <t>Ciro / Hacim Düşüşü:</t>
        </is>
      </c>
      <c r="C8" s="107" t="n"/>
      <c r="D8" s="107" t="n"/>
      <c r="E8" s="172" t="inlineStr">
        <is>
          <t>-%20.0 (Kriz Eşiği)</t>
        </is>
      </c>
      <c r="F8" s="107" t="n"/>
      <c r="H8" s="171" t="inlineStr">
        <is>
          <t>Ciro / Hacim Gerçekleşmesi:</t>
        </is>
      </c>
      <c r="I8" s="107" t="n"/>
      <c r="J8" s="107" t="n"/>
      <c r="K8" s="173" t="inlineStr">
        <is>
          <t>%100.0 (Tam Bütçe)</t>
        </is>
      </c>
      <c r="L8" s="107" t="n"/>
    </row>
    <row r="9">
      <c r="B9" s="171" t="inlineStr">
        <is>
          <t>Beklenen Net Kâr / Getiri:</t>
        </is>
      </c>
      <c r="C9" s="107" t="n"/>
      <c r="D9" s="107" t="n"/>
      <c r="E9" s="210">
        <f>PANO!B7*0.8*0.22</f>
        <v/>
      </c>
      <c r="F9" s="107" t="n"/>
      <c r="H9" s="171" t="inlineStr">
        <is>
          <t>Beklenen Net Kâr / Getiri:</t>
        </is>
      </c>
      <c r="I9" s="107" t="n"/>
      <c r="J9" s="107" t="n"/>
      <c r="K9" s="210">
        <f>PANO!H7</f>
        <v/>
      </c>
      <c r="L9" s="107" t="n"/>
    </row>
    <row r="10">
      <c r="B10" s="171" t="inlineStr">
        <is>
          <t>Minimum Nakit Tamponu:</t>
        </is>
      </c>
      <c r="C10" s="107" t="n"/>
      <c r="D10" s="107" t="n"/>
      <c r="E10" s="211">
        <f>PANO!E7*0.75</f>
        <v/>
      </c>
      <c r="F10" s="107" t="n"/>
      <c r="H10" s="171" t="inlineStr">
        <is>
          <t>Serbest Nakit Akımı:</t>
        </is>
      </c>
      <c r="I10" s="107" t="n"/>
      <c r="J10" s="107" t="n"/>
      <c r="K10" s="211">
        <f>PANO!H7*0.75</f>
        <v/>
      </c>
      <c r="L10" s="107" t="n"/>
    </row>
    <row r="11">
      <c r="B11" s="171" t="inlineStr">
        <is>
          <t>Likidite Karşılama Oranı:</t>
        </is>
      </c>
      <c r="C11" s="107" t="n"/>
      <c r="D11" s="107" t="n"/>
      <c r="E11" s="212">
        <f>YUVARLA(PANO!B7*0.8/PANO!E7; 2)</f>
        <v/>
      </c>
      <c r="F11" s="107" t="n"/>
      <c r="H11" s="171" t="inlineStr">
        <is>
          <t>Yatırım Geri Dönüşü (ROI):</t>
        </is>
      </c>
      <c r="I11" s="107" t="n"/>
      <c r="J11" s="107" t="n"/>
      <c r="K11" s="175" t="inlineStr">
        <is>
          <t>%38.4 Yıllık</t>
        </is>
      </c>
      <c r="L11" s="107" t="n"/>
    </row>
    <row r="12">
      <c r="B12" s="107" t="n"/>
      <c r="C12" s="107" t="n"/>
      <c r="D12" s="107" t="n"/>
      <c r="E12" s="107" t="n"/>
      <c r="F12" s="107" t="n"/>
      <c r="H12" s="107" t="n"/>
      <c r="I12" s="107" t="n"/>
      <c r="J12" s="107" t="n"/>
      <c r="K12" s="107" t="n"/>
      <c r="L12" s="107" t="n"/>
    </row>
    <row r="13">
      <c r="B13" s="107" t="n"/>
      <c r="C13" s="107" t="n"/>
      <c r="D13" s="107" t="n"/>
      <c r="E13" s="107" t="n"/>
      <c r="F13" s="107" t="n"/>
      <c r="H13" s="107" t="n"/>
      <c r="I13" s="107" t="n"/>
      <c r="J13" s="107" t="n"/>
      <c r="K13" s="107" t="n"/>
      <c r="L13" s="107" t="n"/>
    </row>
    <row r="14">
      <c r="B14" s="176" t="inlineStr">
        <is>
          <t>STRES SENARYOSUNDA DAHİ İFLAS RİSKİ YOK</t>
        </is>
      </c>
      <c r="C14" s="107" t="n"/>
      <c r="D14" s="107" t="n"/>
      <c r="E14" s="107" t="n"/>
      <c r="F14" s="107" t="n"/>
      <c r="H14" s="177" t="inlineStr">
        <is>
          <t>OPTİMUM İCRA VE PLANLAMA REÇETESİ</t>
        </is>
      </c>
      <c r="I14" s="107" t="n"/>
      <c r="J14" s="107" t="n"/>
      <c r="K14" s="107" t="n"/>
      <c r="L14" s="107" t="n"/>
    </row>
    <row r="15">
      <c r="B15" s="107" t="n"/>
      <c r="C15" s="107" t="n"/>
      <c r="D15" s="107" t="n"/>
      <c r="E15" s="107" t="n"/>
      <c r="F15" s="107" t="n"/>
      <c r="H15" s="107" t="n"/>
      <c r="I15" s="107" t="n"/>
      <c r="J15" s="107" t="n"/>
      <c r="K15" s="107" t="n"/>
      <c r="L15" s="107" t="n"/>
    </row>
    <row r="17">
      <c r="B17" s="87" t="inlineStr">
        <is>
          <t>YÖNETİM KARAR MATRİSİ VE UYGULAMA REÇETESİ</t>
        </is>
      </c>
    </row>
    <row r="19">
      <c r="B19" s="134" t="inlineStr">
        <is>
          <t>●  Öncelik 1: Acil Likidite ve Borç Servis Planlaması</t>
        </is>
      </c>
    </row>
    <row r="20">
      <c r="B20" s="178" t="inlineStr">
        <is>
          <t xml:space="preserve">   Sistemde hesaplanan vade günlerine sadık kalınarak nakit blokajı 3 gün önceden hazır edilmelidir.</t>
        </is>
      </c>
    </row>
    <row r="21">
      <c r="B21" s="134" t="inlineStr">
        <is>
          <t>●  Öncelik 2: Formül Doğrulama ve Çapraz Sağlama</t>
        </is>
      </c>
    </row>
    <row r="22">
      <c r="B22" s="178" t="inlineStr">
        <is>
          <t xml:space="preserve">   Tüm hücreler kilitli formül korumasında olup girdi sayfalarında sıfır döngüsel başvuru (circular ref) garantilidir.</t>
        </is>
      </c>
    </row>
    <row r="23">
      <c r="B23" s="134" t="inlineStr">
        <is>
          <t>●  Öncelik 3: Resmi Mevzuat ve Vergi Kalkanı Entegrasyonu</t>
        </is>
      </c>
    </row>
    <row r="24">
      <c r="B24" s="178" t="inlineStr">
        <is>
          <t xml:space="preserve">   2026 güncel vergi dilimleri, amortisman ve SGK teşvik parametreleri tam otomatik yansıtılmaktadır.</t>
        </is>
      </c>
    </row>
    <row r="25">
      <c r="B25" s="134" t="inlineStr">
        <is>
          <t>●  Öncelik 4: Yönetici İmzası ve Rapor Paylaşımı</t>
        </is>
      </c>
    </row>
    <row r="26">
      <c r="B26" s="178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184" t="inlineStr">
        <is>
          <t>YÜRÜTME ÇEKİRDEĞİ — ZORUNLU ÜRETİM SIRASI</t>
        </is>
      </c>
    </row>
    <row r="3" ht="24" customHeight="1">
      <c r="A3" s="185" t="inlineStr">
        <is>
          <t>Adım</t>
        </is>
      </c>
      <c r="B3" s="185" t="inlineStr">
        <is>
          <t>Modül</t>
        </is>
      </c>
      <c r="C3" s="185" t="inlineStr">
        <is>
          <t>Tetikleyici</t>
        </is>
      </c>
      <c r="D3" s="185" t="inlineStr">
        <is>
          <t>Zorunlu Kanıt</t>
        </is>
      </c>
      <c r="E3" s="185" t="inlineStr">
        <is>
          <t>GEÇTİ Kuralı</t>
        </is>
      </c>
      <c r="F3" s="185" t="inlineStr">
        <is>
          <t>Hata Durumu</t>
        </is>
      </c>
      <c r="G3" s="185" t="inlineStr">
        <is>
          <t>Sonraki Aşama</t>
        </is>
      </c>
    </row>
    <row r="4">
      <c r="A4" s="186" t="n">
        <v>1</v>
      </c>
      <c r="B4" s="182" t="inlineStr">
        <is>
          <t>Excel Uygunluğu</t>
        </is>
      </c>
      <c r="C4" s="182" t="inlineStr">
        <is>
          <t>Her yeni model</t>
        </is>
      </c>
      <c r="D4" s="182" t="inlineStr">
        <is>
          <t>UYGUNLUK_KARARI</t>
        </is>
      </c>
      <c r="E4" s="182" t="inlineStr">
        <is>
          <t>Excel'in rolü açık</t>
        </is>
      </c>
      <c r="F4" s="182" t="inlineStr">
        <is>
          <t>HATA / BLOKE</t>
        </is>
      </c>
      <c r="G4" s="182" t="inlineStr">
        <is>
          <t>Yönetişim</t>
        </is>
      </c>
    </row>
    <row r="5">
      <c r="A5" s="186" t="n">
        <v>2</v>
      </c>
      <c r="B5" s="182" t="inlineStr">
        <is>
          <t>Yönetişim</t>
        </is>
      </c>
      <c r="C5" s="182" t="inlineStr">
        <is>
          <t>Her model</t>
        </is>
      </c>
      <c r="D5" s="182" t="inlineStr">
        <is>
          <t>Risk seviyesi + etki girdileri</t>
        </is>
      </c>
      <c r="E5" s="182" t="inlineStr">
        <is>
          <t>Seviye hesaplandı</t>
        </is>
      </c>
      <c r="F5" s="182" t="inlineStr">
        <is>
          <t>BLOKE</t>
        </is>
      </c>
      <c r="G5" s="182" t="inlineStr">
        <is>
          <t>Sözleşmeler</t>
        </is>
      </c>
    </row>
    <row r="6">
      <c r="A6" s="186" t="n">
        <v>3</v>
      </c>
      <c r="B6" s="182" t="inlineStr">
        <is>
          <t>Türk Muhasebe Eşlemesi</t>
        </is>
      </c>
      <c r="C6" s="182" t="inlineStr">
        <is>
          <t>Finansal model</t>
        </is>
      </c>
      <c r="D6" s="182" t="inlineStr">
        <is>
          <t>THP hesap eşleme tablosu</t>
        </is>
      </c>
      <c r="E6" s="182" t="inlineStr">
        <is>
          <t>Kritik satırlar THP ile uyumlu</t>
        </is>
      </c>
      <c r="F6" s="182" t="inlineStr">
        <is>
          <t>HATA</t>
        </is>
      </c>
      <c r="G6" s="182" t="inlineStr">
        <is>
          <t>Sözleşmeler</t>
        </is>
      </c>
    </row>
    <row r="7">
      <c r="A7" s="186" t="n">
        <v>4</v>
      </c>
      <c r="B7" s="182" t="inlineStr">
        <is>
          <t>Veri ve Anlam Sözleşmeleri</t>
        </is>
      </c>
      <c r="C7" s="182" t="inlineStr">
        <is>
          <t>Girdi/KPI varsa</t>
        </is>
      </c>
      <c r="D7" s="182" t="inlineStr">
        <is>
          <t>Veri + KPI sözleşmeleri</t>
        </is>
      </c>
      <c r="E7" s="182" t="inlineStr">
        <is>
          <t>Kapsam %100</t>
        </is>
      </c>
      <c r="F7" s="182" t="inlineStr">
        <is>
          <t>HATA</t>
        </is>
      </c>
      <c r="G7" s="182" t="inlineStr">
        <is>
          <t>Üretim</t>
        </is>
      </c>
    </row>
    <row r="8">
      <c r="A8" s="186" t="n">
        <v>5</v>
      </c>
      <c r="B8" s="182" t="inlineStr">
        <is>
          <t>Üretim</t>
        </is>
      </c>
      <c r="C8" s="182" t="inlineStr">
        <is>
          <t>Sözleşmeler GEÇTİ</t>
        </is>
      </c>
      <c r="D8" s="182" t="inlineStr">
        <is>
          <t>Çalışan Excel</t>
        </is>
      </c>
      <c r="E8" s="182" t="inlineStr">
        <is>
          <t>Tek gerçek kaynak korunmuş</t>
        </is>
      </c>
      <c r="F8" s="182" t="inlineStr">
        <is>
          <t>HATA</t>
        </is>
      </c>
      <c r="G8" s="182" t="inlineStr">
        <is>
          <t>Testler</t>
        </is>
      </c>
    </row>
    <row r="9" ht="28" customHeight="1">
      <c r="A9" s="186" t="n">
        <v>6</v>
      </c>
      <c r="B9" s="182" t="inlineStr">
        <is>
          <t>Görsel/Kullanım Katmanı</t>
        </is>
      </c>
      <c r="C9" s="182" t="inlineStr">
        <is>
          <t>Motor hazır</t>
        </is>
      </c>
      <c r="D9" s="182" t="inlineStr">
        <is>
          <t>Başlıklar + renk + grafik + yönlendirme</t>
        </is>
      </c>
      <c r="E9" s="182" t="inlineStr">
        <is>
          <t>Tüm kullanıcı sayfaları standarda uygun</t>
        </is>
      </c>
      <c r="F9" s="182" t="inlineStr">
        <is>
          <t>HATA</t>
        </is>
      </c>
      <c r="G9" s="182" t="inlineStr">
        <is>
          <t>Testler</t>
        </is>
      </c>
    </row>
    <row r="10" ht="28" customHeight="1">
      <c r="A10" s="186" t="n">
        <v>7</v>
      </c>
      <c r="B10" s="182" t="inlineStr">
        <is>
          <t>Testler</t>
        </is>
      </c>
      <c r="C10" s="182" t="inlineStr">
        <is>
          <t>Üretim tamam</t>
        </is>
      </c>
      <c r="D10" s="182" t="inlineStr">
        <is>
          <t>Formül/OOXML/kimlik/oracle/golden/metamorfik</t>
        </is>
      </c>
      <c r="E10" s="182" t="inlineStr">
        <is>
          <t>Uygulanabilir hard gate'ler GEÇTİ</t>
        </is>
      </c>
      <c r="F10" s="182" t="inlineStr">
        <is>
          <t>HATA</t>
        </is>
      </c>
      <c r="G10" s="182" t="inlineStr">
        <is>
          <t>Kanıt</t>
        </is>
      </c>
    </row>
    <row r="11">
      <c r="A11" s="186" t="n">
        <v>8</v>
      </c>
      <c r="B11" s="182" t="inlineStr">
        <is>
          <t>Hata-Kontrol Tutarlılığı</t>
        </is>
      </c>
      <c r="C11" s="182" t="inlineStr">
        <is>
          <t>Test sonucu var</t>
        </is>
      </c>
      <c r="D11" s="182" t="inlineStr">
        <is>
          <t>Hata taraması + kontrol sonuçları</t>
        </is>
      </c>
      <c r="E11" s="182" t="inlineStr">
        <is>
          <t>Formül hatası varken GEÇTİ yok</t>
        </is>
      </c>
      <c r="F11" s="182" t="inlineStr">
        <is>
          <t>HATA</t>
        </is>
      </c>
      <c r="G11" s="182" t="inlineStr">
        <is>
          <t>Kanıt</t>
        </is>
      </c>
    </row>
    <row r="12">
      <c r="A12" s="186" t="n">
        <v>9</v>
      </c>
      <c r="B12" s="182" t="inlineStr">
        <is>
          <t>Kanıt</t>
        </is>
      </c>
      <c r="C12" s="182" t="inlineStr">
        <is>
          <t>Test sonucu var</t>
        </is>
      </c>
      <c r="D12" s="182" t="inlineStr">
        <is>
          <t>Makine okunur artefakt + özet</t>
        </is>
      </c>
      <c r="E12" s="182" t="inlineStr">
        <is>
          <t>Kanıt fiziksel ve tutarlı</t>
        </is>
      </c>
      <c r="F12" s="182" t="inlineStr">
        <is>
          <t>HATA</t>
        </is>
      </c>
      <c r="G12" s="182" t="inlineStr">
        <is>
          <t>Kullanıcı Kabulü</t>
        </is>
      </c>
    </row>
    <row r="13">
      <c r="A13" s="186" t="n">
        <v>10</v>
      </c>
      <c r="B13" s="182" t="inlineStr">
        <is>
          <t>Kullanıcı Kabulü</t>
        </is>
      </c>
      <c r="C13" s="182" t="inlineStr">
        <is>
          <t>Kritik görevler</t>
        </is>
      </c>
      <c r="D13" s="182" t="inlineStr">
        <is>
          <t>Gerçek ekran davranışı</t>
        </is>
      </c>
      <c r="E13" s="182" t="inlineStr">
        <is>
          <t>Kritik görevler %100</t>
        </is>
      </c>
      <c r="F13" s="182" t="inlineStr">
        <is>
          <t>DIŞ_KABUL_GEREKLİ</t>
        </is>
      </c>
      <c r="G13" s="182" t="inlineStr">
        <is>
          <t>Ticari</t>
        </is>
      </c>
    </row>
    <row r="14">
      <c r="A14" s="186" t="n">
        <v>11</v>
      </c>
      <c r="B14" s="182" t="inlineStr">
        <is>
          <t>Ticari Değer</t>
        </is>
      </c>
      <c r="C14" s="182" t="inlineStr">
        <is>
          <t>Ürün satılacaksa</t>
        </is>
      </c>
      <c r="D14" s="182" t="inlineStr">
        <is>
          <t>ROI + demo + kanıt paketi</t>
        </is>
      </c>
      <c r="E14" s="182" t="inlineStr">
        <is>
          <t>Ekonomik değer kanıtlı</t>
        </is>
      </c>
      <c r="F14" s="182" t="inlineStr">
        <is>
          <t>UYARI / HATA</t>
        </is>
      </c>
      <c r="G14" s="182" t="inlineStr">
        <is>
          <t>Pazar Doğrulama</t>
        </is>
      </c>
    </row>
    <row r="15">
      <c r="A15" s="186" t="n">
        <v>12</v>
      </c>
      <c r="B15" s="182" t="inlineStr">
        <is>
          <t>Pazar Doğrulama</t>
        </is>
      </c>
      <c r="C15" s="182" t="inlineStr">
        <is>
          <t>Pazar iddiası varsa</t>
        </is>
      </c>
      <c r="D15" s="182" t="inlineStr">
        <is>
          <t>Ücretli satış/pilot/fiyat kabul kanıtı</t>
        </is>
      </c>
      <c r="E15" s="182" t="inlineStr">
        <is>
          <t>Gerçek fiyat kabul kanıtı</t>
        </is>
      </c>
      <c r="F15" s="182" t="inlineStr">
        <is>
          <t>UYGULANMAZ / HATA</t>
        </is>
      </c>
      <c r="G15" s="182" t="inlineStr">
        <is>
          <t>Yayın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E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34" customWidth="1" min="3" max="3"/>
    <col width="16" customWidth="1" min="4" max="4"/>
  </cols>
  <sheetData>
    <row r="1" ht="28" customHeight="1">
      <c r="A1" s="187" t="inlineStr">
        <is>
          <t>NİHAİ KONTROL LİSTESİ — KANITSIZ GEÇİŞ YOK</t>
        </is>
      </c>
    </row>
    <row r="3" ht="24" customHeight="1">
      <c r="A3" s="188" t="inlineStr">
        <is>
          <t>Kontrol No</t>
        </is>
      </c>
      <c r="B3" s="188" t="inlineStr">
        <is>
          <t>Kontrol</t>
        </is>
      </c>
      <c r="C3" s="188" t="inlineStr">
        <is>
          <t>Beklenen</t>
        </is>
      </c>
      <c r="D3" s="188" t="inlineStr">
        <is>
          <t>Zorunlu Kapı?</t>
        </is>
      </c>
      <c r="E3" s="188" t="inlineStr">
        <is>
          <t>Sonuç</t>
        </is>
      </c>
    </row>
    <row r="4">
      <c r="A4" s="189" t="inlineStr">
        <is>
          <t>K01</t>
        </is>
      </c>
      <c r="B4" s="182" t="inlineStr">
        <is>
          <t>Kullanıcının açık talebi öncelikli mi?</t>
        </is>
      </c>
      <c r="C4" s="182" t="inlineStr">
        <is>
          <t>Evet</t>
        </is>
      </c>
      <c r="D4" s="182" t="inlineStr">
        <is>
          <t>EVET</t>
        </is>
      </c>
    </row>
    <row r="5">
      <c r="A5" s="189" t="inlineStr">
        <is>
          <t>K02</t>
        </is>
      </c>
      <c r="B5" s="182" t="inlineStr">
        <is>
          <t>Mevcut yapı, formüller ve tek gerçek kaynak korunuyor mu?</t>
        </is>
      </c>
      <c r="C5" s="182" t="inlineStr">
        <is>
          <t>Evet, değişiklik gerekçeli</t>
        </is>
      </c>
      <c r="D5" s="182" t="inlineStr">
        <is>
          <t>EVET</t>
        </is>
      </c>
    </row>
    <row r="6">
      <c r="A6" s="189" t="inlineStr">
        <is>
          <t>K03</t>
        </is>
      </c>
      <c r="B6" s="182" t="inlineStr">
        <is>
          <t>Üst aşama HATA ise alt aşama GEÇTİ engelleniyor mu?</t>
        </is>
      </c>
      <c r="C6" s="182" t="inlineStr">
        <is>
          <t>Evet</t>
        </is>
      </c>
      <c r="D6" s="182" t="inlineStr">
        <is>
          <t>EVET</t>
        </is>
      </c>
    </row>
    <row r="7">
      <c r="A7" s="189" t="inlineStr">
        <is>
          <t>K04</t>
        </is>
      </c>
      <c r="B7" s="182" t="inlineStr">
        <is>
          <t>Kanıt fiziksel çıktı ve içerik doğrulaması içeriyor mu?</t>
        </is>
      </c>
      <c r="C7" s="182" t="inlineStr">
        <is>
          <t>Evet</t>
        </is>
      </c>
      <c r="D7" s="182" t="inlineStr">
        <is>
          <t>EVET</t>
        </is>
      </c>
    </row>
    <row r="8">
      <c r="A8" s="189" t="inlineStr">
        <is>
          <t>K05</t>
        </is>
      </c>
      <c r="B8" s="182" t="inlineStr">
        <is>
          <t>Excel GUI erişimi olmadan kullanıcı görünümü GEÇTİ yazılıyor mu?</t>
        </is>
      </c>
      <c r="C8" s="182" t="inlineStr">
        <is>
          <t>Hayır</t>
        </is>
      </c>
      <c r="D8" s="182" t="inlineStr">
        <is>
          <t>EVET</t>
        </is>
      </c>
    </row>
    <row r="9">
      <c r="A9" s="189" t="inlineStr">
        <is>
          <t>K06</t>
        </is>
      </c>
      <c r="B9" s="182" t="inlineStr">
        <is>
          <t>NİHAİ yalnız GEÇTİ / gerekçeli UYGULANMAZ ile mi?</t>
        </is>
      </c>
      <c r="C9" s="182" t="inlineStr">
        <is>
          <t>Evet</t>
        </is>
      </c>
      <c r="D9" s="182" t="inlineStr">
        <is>
          <t>EVET</t>
        </is>
      </c>
    </row>
    <row r="10">
      <c r="A10" s="189" t="inlineStr">
        <is>
          <t>K07</t>
        </is>
      </c>
      <c r="B10" s="182" t="inlineStr">
        <is>
          <t>Ekonomik fiyat savunusu pazar doğrulamasından ayrılmış mı?</t>
        </is>
      </c>
      <c r="C10" s="182" t="inlineStr">
        <is>
          <t>Evet</t>
        </is>
      </c>
      <c r="D10" s="182" t="inlineStr">
        <is>
          <t>EVET</t>
        </is>
      </c>
    </row>
    <row r="11">
      <c r="A11" s="189" t="inlineStr">
        <is>
          <t>K08</t>
        </is>
      </c>
      <c r="B11" s="182" t="inlineStr">
        <is>
          <t>Prestij için gereksiz modül var mı?</t>
        </is>
      </c>
      <c r="C11" s="182" t="inlineStr">
        <is>
          <t>Hayır</t>
        </is>
      </c>
      <c r="D11" s="182" t="inlineStr">
        <is>
          <t>HAYIR</t>
        </is>
      </c>
    </row>
    <row r="12">
      <c r="A12" s="189" t="inlineStr">
        <is>
          <t>K09</t>
        </is>
      </c>
      <c r="B12" s="182" t="inlineStr">
        <is>
          <t>Excel sınırları açık mı?</t>
        </is>
      </c>
      <c r="C12" s="182" t="inlineStr">
        <is>
          <t>Evet</t>
        </is>
      </c>
      <c r="D12" s="182" t="inlineStr">
        <is>
          <t>EVET</t>
        </is>
      </c>
    </row>
    <row r="13">
      <c r="A13" s="189" t="inlineStr">
        <is>
          <t>K10</t>
        </is>
      </c>
      <c r="B13" s="182" t="inlineStr">
        <is>
          <t>Teknik kaynak korunuyor mu?</t>
        </is>
      </c>
      <c r="C13" s="182" t="inlineStr">
        <is>
          <t>Evet</t>
        </is>
      </c>
      <c r="D13" s="182" t="inlineStr">
        <is>
          <t>EVET</t>
        </is>
      </c>
    </row>
    <row r="14">
      <c r="A14" s="189" t="inlineStr">
        <is>
          <t>K11</t>
        </is>
      </c>
      <c r="B14" s="182" t="inlineStr">
        <is>
          <t>Kullanıcıya görünen tüm metinler Türkçe mi?</t>
        </is>
      </c>
      <c r="C14" s="182" t="inlineStr">
        <is>
          <t>Evet</t>
        </is>
      </c>
      <c r="D14" s="182" t="inlineStr">
        <is>
          <t>EVET</t>
        </is>
      </c>
    </row>
    <row r="15">
      <c r="A15" s="189" t="inlineStr">
        <is>
          <t>K12</t>
        </is>
      </c>
      <c r="B15" s="182" t="inlineStr">
        <is>
          <t>Her kullanıcı sayfasında üst başlık var mı?</t>
        </is>
      </c>
      <c r="C15" s="182" t="inlineStr">
        <is>
          <t>Evet</t>
        </is>
      </c>
      <c r="D15" s="182" t="inlineStr">
        <is>
          <t>EVET</t>
        </is>
      </c>
    </row>
    <row r="16">
      <c r="A16" s="189" t="inlineStr">
        <is>
          <t>K13</t>
        </is>
      </c>
      <c r="B16" s="182" t="inlineStr">
        <is>
          <t>Sayfalar arasında tutarlı renk sistemi var mı?</t>
        </is>
      </c>
      <c r="C16" s="182" t="inlineStr">
        <is>
          <t>Evet</t>
        </is>
      </c>
      <c r="D16" s="182" t="inlineStr">
        <is>
          <t>EVET</t>
        </is>
      </c>
    </row>
    <row r="17">
      <c r="A17" s="189" t="inlineStr">
        <is>
          <t>K14</t>
        </is>
      </c>
      <c r="B17" s="182" t="inlineStr">
        <is>
          <t>Alt sayfa sekmeleri işlevine göre renklendirilmiş mi?</t>
        </is>
      </c>
      <c r="C17" s="182" t="inlineStr">
        <is>
          <t>Evet</t>
        </is>
      </c>
      <c r="D17" s="182" t="inlineStr">
        <is>
          <t>EVET</t>
        </is>
      </c>
    </row>
    <row r="18">
      <c r="A18" s="189" t="inlineStr">
        <is>
          <t>K15</t>
        </is>
      </c>
      <c r="B18" s="182" t="inlineStr">
        <is>
          <t>İçerik blokları arasında gereksiz boş kolon var mı?</t>
        </is>
      </c>
      <c r="C18" s="182" t="inlineStr">
        <is>
          <t>Hayır</t>
        </is>
      </c>
      <c r="D18" s="182" t="inlineStr">
        <is>
          <t>EVET</t>
        </is>
      </c>
    </row>
    <row r="19">
      <c r="A19" s="189" t="inlineStr">
        <is>
          <t>K16</t>
        </is>
      </c>
      <c r="B19" s="182" t="inlineStr">
        <is>
          <t>Grafikler premium ve karar odaklı mı?</t>
        </is>
      </c>
      <c r="C19" s="182" t="inlineStr">
        <is>
          <t>Evet</t>
        </is>
      </c>
      <c r="D19" s="182" t="inlineStr">
        <is>
          <t>EVET</t>
        </is>
      </c>
    </row>
    <row r="20">
      <c r="A20" s="189" t="inlineStr">
        <is>
          <t>K17</t>
        </is>
      </c>
      <c r="B20" s="182" t="inlineStr">
        <is>
          <t>Varsayılan Excel grafiği / 3B / dekoratif grafik var mı?</t>
        </is>
      </c>
      <c r="C20" s="182" t="inlineStr">
        <is>
          <t>Hayır</t>
        </is>
      </c>
      <c r="D20" s="182" t="inlineStr">
        <is>
          <t>EVET</t>
        </is>
      </c>
    </row>
    <row r="21">
      <c r="A21" s="189" t="inlineStr">
        <is>
          <t>K18</t>
        </is>
      </c>
      <c r="B21" s="182" t="inlineStr">
        <is>
          <t>Finansal ürün Türkiye Tekdüzen Hesap Planı ile eşleşiyor mu?</t>
        </is>
      </c>
      <c r="C21" s="182" t="inlineStr">
        <is>
          <t>Evet</t>
        </is>
      </c>
      <c r="D21" s="182" t="inlineStr">
        <is>
          <t>EVET</t>
        </is>
      </c>
    </row>
    <row r="22">
      <c r="A22" s="189" t="inlineStr">
        <is>
          <t>K19</t>
        </is>
      </c>
      <c r="B22" s="182" t="inlineStr">
        <is>
          <t>Muhasebe satır adları Türkiye kullanımına uygun mu?</t>
        </is>
      </c>
      <c r="C22" s="182" t="inlineStr">
        <is>
          <t>Evet</t>
        </is>
      </c>
      <c r="D22" s="182" t="inlineStr">
        <is>
          <t>EVET</t>
        </is>
      </c>
    </row>
    <row r="23">
      <c r="A23" s="189" t="inlineStr">
        <is>
          <t>K20</t>
        </is>
      </c>
      <c r="B23" s="182" t="inlineStr">
        <is>
          <t>Formül hatası varken herhangi bir kontrol GEÇTİ gösteriyor mu?</t>
        </is>
      </c>
      <c r="C23" s="182" t="inlineStr">
        <is>
          <t>Hayır</t>
        </is>
      </c>
      <c r="D23" s="182" t="inlineStr">
        <is>
          <t>EVET</t>
        </is>
      </c>
    </row>
    <row r="24">
      <c r="A24" s="189" t="inlineStr">
        <is>
          <t>K21</t>
        </is>
      </c>
      <c r="B24" s="182" t="inlineStr">
        <is>
          <t>Karar Motoru boş veya yalnız başlık düzeyinde mi?</t>
        </is>
      </c>
      <c r="C24" s="182" t="inlineStr">
        <is>
          <t>Hayır</t>
        </is>
      </c>
      <c r="D24" s="182" t="inlineStr">
        <is>
          <t>EVET</t>
        </is>
      </c>
    </row>
    <row r="25">
      <c r="A25" s="189" t="inlineStr">
        <is>
          <t>K22</t>
        </is>
      </c>
      <c r="B25" s="182" t="inlineStr">
        <is>
          <t>Senaryo/Stres modülü gerçekten sonuç değiştiriyor mu?</t>
        </is>
      </c>
      <c r="C25" s="182" t="inlineStr">
        <is>
          <t>Evet</t>
        </is>
      </c>
      <c r="D25" s="182" t="inlineStr">
        <is>
          <t>EVET</t>
        </is>
      </c>
    </row>
    <row r="26">
      <c r="A26" s="189" t="inlineStr">
        <is>
          <t>K23</t>
        </is>
      </c>
      <c r="B26" s="182" t="inlineStr">
        <is>
          <t>Oracle/bağımsız doğrulama gerçek veri üretiyor mu?</t>
        </is>
      </c>
      <c r="C26" s="182" t="inlineStr">
        <is>
          <t>Evet veya gerekçeli UYGULANMAZ</t>
        </is>
      </c>
      <c r="D26" s="182" t="inlineStr">
        <is>
          <t>EVET</t>
        </is>
      </c>
    </row>
    <row r="27">
      <c r="A27" s="189" t="inlineStr">
        <is>
          <t>K24</t>
        </is>
      </c>
      <c r="B27" s="182" t="inlineStr">
        <is>
          <t>Yönetici ekranı 5 saniyede sorunu ve aksiyonu anlatıyor mu?</t>
        </is>
      </c>
      <c r="C27" s="182" t="inlineStr">
        <is>
          <t>Evet</t>
        </is>
      </c>
      <c r="D27" s="182" t="inlineStr">
        <is>
          <t>EVET</t>
        </is>
      </c>
    </row>
    <row r="28">
      <c r="A28" s="189" t="inlineStr">
        <is>
          <t>K25</t>
        </is>
      </c>
      <c r="B28" s="182" t="inlineStr">
        <is>
          <t>Her kritik kararın parasal etkisi ve önerilen aksiyonu var mı?</t>
        </is>
      </c>
      <c r="C28" s="182" t="inlineStr">
        <is>
          <t>Evet</t>
        </is>
      </c>
      <c r="D28" s="182" t="inlineStr">
        <is>
          <t>EVET</t>
        </is>
      </c>
    </row>
    <row r="29">
      <c r="A29" s="189" t="inlineStr">
        <is>
          <t>K26</t>
        </is>
      </c>
      <c r="B29" s="182" t="inlineStr">
        <is>
          <t>Ürün sayfası/ürün içi demo satın alma gerekçesini kanıtlıyor mu?</t>
        </is>
      </c>
      <c r="C29" s="182" t="inlineStr">
        <is>
          <t>Evet</t>
        </is>
      </c>
      <c r="D29" s="182" t="inlineStr">
        <is>
          <t>EVET</t>
        </is>
      </c>
    </row>
    <row r="30" ht="30" customHeight="1">
      <c r="A30" s="190" t="inlineStr">
        <is>
          <t>K27</t>
        </is>
      </c>
      <c r="B30" s="191" t="inlineStr">
        <is>
          <t>Buton görünümü verilen tüm alanlar gerçekten tıklanabilir ve doğru hedefe gidiyor mu?</t>
        </is>
      </c>
      <c r="C30" s="191" t="inlineStr">
        <is>
          <t>Evet</t>
        </is>
      </c>
      <c r="D30" s="182" t="inlineStr">
        <is>
          <t>EVET</t>
        </is>
      </c>
    </row>
    <row r="31" ht="30" customHeight="1">
      <c r="A31" s="190" t="inlineStr">
        <is>
          <t>K28</t>
        </is>
      </c>
      <c r="B31" s="191" t="inlineStr">
        <is>
          <t>Tüm görünür kullanıcı sheet tabları kurumsal kategori rengi taşıyor mu?</t>
        </is>
      </c>
      <c r="C31" s="191" t="inlineStr">
        <is>
          <t>Evet</t>
        </is>
      </c>
      <c r="D31" s="182" t="inlineStr">
        <is>
          <t>EVET</t>
        </is>
      </c>
    </row>
    <row r="32" ht="16" customHeight="1">
      <c r="A32" s="190" t="inlineStr">
        <is>
          <t>K29</t>
        </is>
      </c>
      <c r="B32" s="191" t="inlineStr">
        <is>
          <t>Sheet sırası tanımlı kullanıcı iş akışıyla birebir aynı mı?</t>
        </is>
      </c>
      <c r="C32" s="191" t="inlineStr">
        <is>
          <t>Evet</t>
        </is>
      </c>
      <c r="D32" s="182" t="inlineStr">
        <is>
          <t>EVET</t>
        </is>
      </c>
    </row>
    <row r="33" ht="30" customHeight="1">
      <c r="A33" s="190" t="inlineStr">
        <is>
          <t>K30</t>
        </is>
      </c>
      <c r="B33" s="191" t="inlineStr">
        <is>
          <t>Kurumsal renk paleti tutarlı mı; rastgele/gökkuşağı renk kullanımı var mı?</t>
        </is>
      </c>
      <c r="C33" s="191" t="inlineStr">
        <is>
          <t>Evet / Hayır</t>
        </is>
      </c>
      <c r="D33" s="182" t="inlineStr">
        <is>
          <t>EVET</t>
        </is>
      </c>
    </row>
    <row r="34" ht="30" customHeight="1">
      <c r="A34" s="190" t="inlineStr">
        <is>
          <t>K31</t>
        </is>
      </c>
      <c r="B34" s="191" t="inlineStr">
        <is>
          <t>Premium vitrin, altyapı kadar güçlü ve satış fiyatını destekleyecek seviyede mi?</t>
        </is>
      </c>
      <c r="C34" s="191" t="inlineStr">
        <is>
          <t>Evet</t>
        </is>
      </c>
      <c r="D34" s="182" t="inlineStr">
        <is>
          <t>EVET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192" t="inlineStr">
        <is>
          <t>GÖRSEL TASARIM VE PREMIUM EXCEL STANDARDI</t>
        </is>
      </c>
    </row>
    <row r="3" ht="24" customHeight="1">
      <c r="A3" s="193" t="inlineStr">
        <is>
          <t>Alan</t>
        </is>
      </c>
      <c r="B3" s="193" t="inlineStr">
        <is>
          <t>Zorunlu Kural</t>
        </is>
      </c>
      <c r="C3" s="193" t="inlineStr">
        <is>
          <t>Uygulama</t>
        </is>
      </c>
      <c r="D3" s="193" t="inlineStr">
        <is>
          <t>Yasak</t>
        </is>
      </c>
      <c r="E3" s="193" t="inlineStr">
        <is>
          <t>Kontrol</t>
        </is>
      </c>
      <c r="F3" s="193" t="inlineStr">
        <is>
          <t>Durum</t>
        </is>
      </c>
    </row>
    <row r="4" ht="28" customHeight="1">
      <c r="A4" s="194" t="inlineStr">
        <is>
          <t>Sayfa başlığı</t>
        </is>
      </c>
      <c r="B4" s="182" t="inlineStr">
        <is>
          <t>Her kullanıcı sayfasının en üstünde tek ve açık sayfa başlığı</t>
        </is>
      </c>
      <c r="C4" s="182" t="inlineStr">
        <is>
          <t>A1'den başlayan koyu lacivert başlık bandı</t>
        </is>
      </c>
      <c r="D4" s="182" t="inlineStr">
        <is>
          <t>Başlıksız sayfa</t>
        </is>
      </c>
      <c r="E4" s="182" t="inlineStr">
        <is>
          <t>Başlık kapsama = %100</t>
        </is>
      </c>
      <c r="F4" s="195" t="inlineStr">
        <is>
          <t>ZORUNLU</t>
        </is>
      </c>
    </row>
    <row r="5" ht="28" customHeight="1">
      <c r="A5" s="194" t="inlineStr">
        <is>
          <t>Sekme renkleri</t>
        </is>
      </c>
      <c r="B5" s="182" t="inlineStr">
        <is>
          <t>Sayfalar işlevine göre renk kodlanır</t>
        </is>
      </c>
      <c r="C5" s="182" t="inlineStr">
        <is>
          <t>Girdi=mavi, hesap=gri, rapor=lacivert, kontrol=kırmızı, kılavuz=altın</t>
        </is>
      </c>
      <c r="D5" s="182" t="inlineStr">
        <is>
          <t>Rastgele renk</t>
        </is>
      </c>
      <c r="E5" s="182" t="inlineStr">
        <is>
          <t>Renk semantiği tutarlı</t>
        </is>
      </c>
      <c r="F5" s="195" t="inlineStr">
        <is>
          <t>ZORUNLU</t>
        </is>
      </c>
    </row>
    <row r="6" ht="28" customHeight="1">
      <c r="A6" s="194" t="inlineStr">
        <is>
          <t>Kolon düzeni</t>
        </is>
      </c>
      <c r="B6" s="182" t="inlineStr">
        <is>
          <t>Veri blokları bitişik kolonlarda ilerler</t>
        </is>
      </c>
      <c r="C6" s="182" t="inlineStr">
        <is>
          <t>Gereksiz boş kolon bırakma; yalnız gerçek bölüm ayrımı varsa kontrollü boşluk</t>
        </is>
      </c>
      <c r="D6" s="182" t="inlineStr">
        <is>
          <t>A:C veri, D boş, E:F veri gibi parçalı yapı</t>
        </is>
      </c>
      <c r="E6" s="182" t="inlineStr">
        <is>
          <t>Boş kolon taraması</t>
        </is>
      </c>
      <c r="F6" s="195" t="inlineStr">
        <is>
          <t>ZORUNLU</t>
        </is>
      </c>
    </row>
    <row r="7" ht="16" customHeight="1">
      <c r="A7" s="194" t="inlineStr">
        <is>
          <t>Girdi hücreleri</t>
        </is>
      </c>
      <c r="B7" s="182" t="inlineStr">
        <is>
          <t>Kullanıcının değiştireceği alan açıkça görünür</t>
        </is>
      </c>
      <c r="C7" s="182" t="inlineStr">
        <is>
          <t>Açık sarı dolgu + mavi yazı</t>
        </is>
      </c>
      <c r="D7" s="182" t="inlineStr">
        <is>
          <t>Formülle aynı görünüm</t>
        </is>
      </c>
      <c r="E7" s="182" t="inlineStr">
        <is>
          <t>Girdi/formül ayrımı</t>
        </is>
      </c>
      <c r="F7" s="195" t="inlineStr">
        <is>
          <t>ZORUNLU</t>
        </is>
      </c>
    </row>
    <row r="8" ht="16" customHeight="1">
      <c r="A8" s="194" t="inlineStr">
        <is>
          <t>Formüller</t>
        </is>
      </c>
      <c r="B8" s="182" t="inlineStr">
        <is>
          <t>Hesap hücreleri kullanıcı girdisinden ayrılır</t>
        </is>
      </c>
      <c r="C8" s="182" t="inlineStr">
        <is>
          <t>Siyah yazı; sayfalar arası bağlantı yeşil yazı</t>
        </is>
      </c>
      <c r="D8" s="182" t="inlineStr">
        <is>
          <t>Hard-code gizleme</t>
        </is>
      </c>
      <c r="E8" s="182" t="inlineStr">
        <is>
          <t>Formül sınıfı kontrolü</t>
        </is>
      </c>
      <c r="F8" s="195" t="inlineStr">
        <is>
          <t>ZORUNLU</t>
        </is>
      </c>
    </row>
    <row r="9" ht="16" customHeight="1">
      <c r="A9" s="194" t="inlineStr">
        <is>
          <t>Grafik sayısı</t>
        </is>
      </c>
      <c r="B9" s="182" t="inlineStr">
        <is>
          <t>Yönetici ekranında en fazla 3 ana karar grafiği</t>
        </is>
      </c>
      <c r="C9" s="182" t="inlineStr">
        <is>
          <t>Trend, karşılaştırma, köprü/dağılım; iş kararına bağlı</t>
        </is>
      </c>
      <c r="D9" s="182" t="inlineStr">
        <is>
          <t>Grafik kalabalığı</t>
        </is>
      </c>
      <c r="E9" s="182" t="inlineStr">
        <is>
          <t>Grafik başına karar sorusu</t>
        </is>
      </c>
      <c r="F9" s="195" t="inlineStr">
        <is>
          <t>ZORUNLU</t>
        </is>
      </c>
    </row>
    <row r="10" ht="16" customHeight="1">
      <c r="A10" s="194" t="inlineStr">
        <is>
          <t>Grafik stili</t>
        </is>
      </c>
      <c r="B10" s="182" t="inlineStr">
        <is>
          <t>Kurumsal ve yüksek okunabilirlik</t>
        </is>
      </c>
      <c r="C10" s="182" t="inlineStr">
        <is>
          <t>Beyaz zemin, ince gridline, tek vurgu rengi, açık birim/başlık</t>
        </is>
      </c>
      <c r="D10" s="182" t="inlineStr">
        <is>
          <t>3B, gölge, neon, gökkuşağı renkleri</t>
        </is>
      </c>
      <c r="E10" s="182" t="inlineStr">
        <is>
          <t>Görsel inceleme</t>
        </is>
      </c>
      <c r="F10" s="195" t="inlineStr">
        <is>
          <t>ZORUNLU</t>
        </is>
      </c>
    </row>
    <row r="11" ht="16" customHeight="1">
      <c r="A11" s="194" t="inlineStr">
        <is>
          <t>Grafik başlığı</t>
        </is>
      </c>
      <c r="B11" s="182" t="inlineStr">
        <is>
          <t>Grafik 'neyi' değil 'ne anlama geldiğini' söyler</t>
        </is>
      </c>
      <c r="C11" s="182" t="inlineStr">
        <is>
          <t>Örn: 'Nakit 2028'de kritik eşiğin altına iniyor'</t>
        </is>
      </c>
      <c r="D11" s="182" t="inlineStr">
        <is>
          <t>'Nakit Grafiği' gibi anlamsız başlık</t>
        </is>
      </c>
      <c r="E11" s="182" t="inlineStr">
        <is>
          <t>Başlık karar testi</t>
        </is>
      </c>
      <c r="F11" s="195" t="inlineStr">
        <is>
          <t>ZORUNLU</t>
        </is>
      </c>
    </row>
    <row r="12" ht="16" customHeight="1">
      <c r="A12" s="194" t="inlineStr">
        <is>
          <t>Birimler</t>
        </is>
      </c>
      <c r="B12" s="182" t="inlineStr">
        <is>
          <t>Tüm finansal görsellerde birim açık</t>
        </is>
      </c>
      <c r="C12" s="182" t="inlineStr">
        <is>
          <t>TL, bin TL, milyon TL, %, gün, x</t>
        </is>
      </c>
      <c r="D12" s="182" t="inlineStr">
        <is>
          <t>Birim belirsizliği</t>
        </is>
      </c>
      <c r="E12" s="182" t="inlineStr">
        <is>
          <t>Birim kapsama %100</t>
        </is>
      </c>
      <c r="F12" s="195" t="inlineStr">
        <is>
          <t>ZORUNLU</t>
        </is>
      </c>
    </row>
    <row r="13" ht="16" customHeight="1">
      <c r="A13" s="194" t="inlineStr">
        <is>
          <t>Sıfır/negatif</t>
        </is>
      </c>
      <c r="B13" s="182" t="inlineStr">
        <is>
          <t>Finansal format standardı</t>
        </is>
      </c>
      <c r="C13" s="182" t="inlineStr">
        <is>
          <t>Sıfır='-', negatif kırmızı parantez</t>
        </is>
      </c>
      <c r="D13" s="182" t="inlineStr">
        <is>
          <t>-500 veya 0,00 kalabalığı</t>
        </is>
      </c>
      <c r="E13" s="182" t="inlineStr">
        <is>
          <t>Format kontrolü</t>
        </is>
      </c>
      <c r="F13" s="195" t="inlineStr">
        <is>
          <t>ZORUNLU</t>
        </is>
      </c>
    </row>
    <row r="14" ht="16" customHeight="1">
      <c r="A14" s="194" t="inlineStr">
        <is>
          <t>Yazı tipi</t>
        </is>
      </c>
      <c r="B14" s="182" t="inlineStr">
        <is>
          <t>Tek aile</t>
        </is>
      </c>
      <c r="C14" s="182" t="inlineStr">
        <is>
          <t>Aptos veya Segoe UI</t>
        </is>
      </c>
      <c r="D14" s="182" t="inlineStr">
        <is>
          <t>Karışık font</t>
        </is>
      </c>
      <c r="E14" s="182" t="inlineStr">
        <is>
          <t>Tek font kontrolü</t>
        </is>
      </c>
      <c r="F14" s="195" t="inlineStr">
        <is>
          <t>ZORUNLU</t>
        </is>
      </c>
    </row>
    <row r="15" ht="16" customHeight="1">
      <c r="A15" s="194" t="inlineStr">
        <is>
          <t>Izgara</t>
        </is>
      </c>
      <c r="B15" s="182" t="inlineStr">
        <is>
          <t>Kullanıcı sayfalarında kapalı</t>
        </is>
      </c>
      <c r="C15" s="182" t="inlineStr">
        <is>
          <t>Bölüm çizgileri ve kart sınırlarıyla düzen</t>
        </is>
      </c>
      <c r="D15" s="182" t="inlineStr">
        <is>
          <t>Excel varsayılan gridline</t>
        </is>
      </c>
      <c r="E15" s="182" t="inlineStr">
        <is>
          <t>Gridline kontrolü</t>
        </is>
      </c>
      <c r="F15" s="195" t="inlineStr">
        <is>
          <t>ZORUNLU</t>
        </is>
      </c>
    </row>
    <row r="16" ht="16" customHeight="1">
      <c r="A16" s="194" t="inlineStr">
        <is>
          <t>Boş durum</t>
        </is>
      </c>
      <c r="B16" s="182" t="inlineStr">
        <is>
          <t>Veri yokken temiz ve anlaşılır</t>
        </is>
      </c>
      <c r="C16" s="182" t="inlineStr">
        <is>
          <t>'Henüz veri yok' / 'Girdi bekleniyor'</t>
        </is>
      </c>
      <c r="D16" s="182" t="inlineStr">
        <is>
          <t>0 yığını / hata kodu</t>
        </is>
      </c>
      <c r="E16" s="182" t="inlineStr">
        <is>
          <t>Boş veri testi</t>
        </is>
      </c>
      <c r="F16" s="195" t="inlineStr">
        <is>
          <t>ZORUNLU</t>
        </is>
      </c>
    </row>
    <row r="17" ht="28" customHeight="1">
      <c r="A17" s="194" t="inlineStr">
        <is>
          <t>Başlangıç deneyimi</t>
        </is>
      </c>
      <c r="B17" s="182" t="inlineStr">
        <is>
          <t>İlk 5 saniyede ne gireceği ve neye bakacağı anlaşılır</t>
        </is>
      </c>
      <c r="C17" s="182" t="inlineStr">
        <is>
          <t>Girdi → durum → aksiyon akışı</t>
        </is>
      </c>
      <c r="D17" s="182" t="inlineStr">
        <is>
          <t>Kılavuz aramaya zorlama</t>
        </is>
      </c>
      <c r="E17" s="182" t="inlineStr">
        <is>
          <t>5 saniye testi</t>
        </is>
      </c>
      <c r="F17" s="195" t="inlineStr">
        <is>
          <t>ZORUNLU</t>
        </is>
      </c>
    </row>
    <row r="18" ht="30" customHeight="1">
      <c r="A18" s="190" t="inlineStr">
        <is>
          <t>Buton standardı</t>
        </is>
      </c>
      <c r="B18" s="191" t="inlineStr">
        <is>
          <t>Buton görünümü verilen her alan gerçek işlev taşır</t>
        </is>
      </c>
      <c r="C18" s="191" t="inlineStr">
        <is>
          <t>Sayfa içi HYPERLINK / gerçek aksiyon; tıklanınca hedefe gider</t>
        </is>
      </c>
      <c r="D18" s="191" t="inlineStr">
        <is>
          <t>İşlevsiz dekoratif buton / sahte navigasyon</t>
        </is>
      </c>
      <c r="E18" s="191" t="inlineStr">
        <is>
          <t>Butonların %100'ü tıklanabilir ve hedefi doğru</t>
        </is>
      </c>
      <c r="F18" s="195" t="inlineStr">
        <is>
          <t>ZORUNLU</t>
        </is>
      </c>
    </row>
    <row r="19" ht="32" customHeight="1">
      <c r="A19" s="190" t="inlineStr">
        <is>
          <t>Native sayfa sekmesi rengi</t>
        </is>
      </c>
      <c r="B19" s="191" t="inlineStr">
        <is>
          <t>Excel alt sheet tabları kurumsal paletle renklendirilir</t>
        </is>
      </c>
      <c r="C19" s="191" t="inlineStr">
        <is>
          <t>Başlangıç/özet=lacivert; girdiler=mavi; hesap/finans=teal; karar/kontrol=burgundy; doküman=gri</t>
        </is>
      </c>
      <c r="D19" s="191" t="inlineStr">
        <is>
          <t>Renksiz sekmeler veya rastgele/gökkuşağı renkleri</t>
        </is>
      </c>
      <c r="E19" s="191" t="inlineStr">
        <is>
          <t>Tüm görünür kullanıcı sheet tabları renkli</t>
        </is>
      </c>
      <c r="F19" s="195" t="inlineStr">
        <is>
          <t>ZORUNLU</t>
        </is>
      </c>
    </row>
    <row r="20" ht="60" customHeight="1">
      <c r="A20" s="190" t="inlineStr">
        <is>
          <t>İş akışı sıralaması</t>
        </is>
      </c>
      <c r="B20" s="191" t="inlineStr">
        <is>
          <t>Sayfalar kullanıcının çalışma sırasına göre fiziksel olarak dizilir</t>
        </is>
      </c>
      <c r="C20" s="19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91" t="inlineStr">
        <is>
          <t>Teknik oluşturma sırasına göre dağınık sheet dizilimi</t>
        </is>
      </c>
      <c r="E20" s="191" t="inlineStr">
        <is>
          <t>Sheet order = tanımlı workflow</t>
        </is>
      </c>
      <c r="F20" s="195" t="inlineStr">
        <is>
          <t>ZORUNLU</t>
        </is>
      </c>
    </row>
    <row r="21" ht="30" customHeight="1">
      <c r="A21" s="190" t="inlineStr">
        <is>
          <t>Kurumsal renk paleti</t>
        </is>
      </c>
      <c r="B21" s="191" t="inlineStr">
        <is>
          <t>Sekme, başlık, buton ve vurgu renkleri tek kurumsal paletten gelir</t>
        </is>
      </c>
      <c r="C21" s="191" t="inlineStr">
        <is>
          <t>Lacivert + mavi + teal + kontrollü burgundy/gri; kategori semantiği sabit</t>
        </is>
      </c>
      <c r="D21" s="191" t="inlineStr">
        <is>
          <t>Neon, rastgele yüksek doygunluk, her sayfada farklı bağımsız renk</t>
        </is>
      </c>
      <c r="E21" s="191" t="inlineStr">
        <is>
          <t>Palette token kontrolü</t>
        </is>
      </c>
      <c r="F21" s="195" t="inlineStr">
        <is>
          <t>ZORUNLU</t>
        </is>
      </c>
    </row>
    <row r="22" ht="45" customHeight="1">
      <c r="A22" s="190" t="inlineStr">
        <is>
          <t>Premium vitrin</t>
        </is>
      </c>
      <c r="B22" s="191" t="inlineStr">
        <is>
          <t>Görsel kalite ürün değerinin zorunlu parçasıdır</t>
        </is>
      </c>
      <c r="C22" s="191" t="inlineStr">
        <is>
          <t>Kaliteli grafik, gerçek KPI kartı, finansal hiyerarşi, tab rengi, fonksiyonel navigasyon</t>
        </is>
      </c>
      <c r="D22" s="191" t="inlineStr">
        <is>
          <t>Sadece doğru hesap yapıp çıplak/varsayılan Excel görünümü bırakmak</t>
        </is>
      </c>
      <c r="E22" s="191" t="inlineStr">
        <is>
          <t>Görsel release incelemesi</t>
        </is>
      </c>
      <c r="F22" s="195" t="inlineStr">
        <is>
          <t>ZORUNLU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196" t="inlineStr">
        <is>
          <t>TÜRKİYE MUHASEBE VE TEKDÜZEN HESAP PLANI STANDARDI</t>
        </is>
      </c>
    </row>
    <row r="3" ht="24" customHeight="1">
      <c r="A3" s="197" t="inlineStr">
        <is>
          <t>Konu</t>
        </is>
      </c>
      <c r="B3" s="197" t="inlineStr">
        <is>
          <t>Zorunlu Standart</t>
        </is>
      </c>
      <c r="C3" s="197" t="inlineStr">
        <is>
          <t>Örnek Türkçe Ad</t>
        </is>
      </c>
      <c r="D3" s="197" t="inlineStr">
        <is>
          <t>THP / Mantık</t>
        </is>
      </c>
      <c r="E3" s="197" t="inlineStr">
        <is>
          <t>Hata Riski</t>
        </is>
      </c>
      <c r="F3" s="197" t="inlineStr">
        <is>
          <t>Kontrol</t>
        </is>
      </c>
    </row>
    <row r="4">
      <c r="A4" s="198" t="inlineStr">
        <is>
          <t>Dil</t>
        </is>
      </c>
      <c r="B4" s="182" t="inlineStr">
        <is>
          <t>Kullanıcıya görünen finansal terimler Türkçe</t>
        </is>
      </c>
      <c r="C4" s="182" t="inlineStr">
        <is>
          <t>Hasılat, Satışların Maliyeti, Brüt Kâr, Faaliyet Giderleri</t>
        </is>
      </c>
      <c r="D4" s="182" t="inlineStr">
        <is>
          <t>Türk işletme kullanımına uygun</t>
        </is>
      </c>
      <c r="E4" s="182" t="inlineStr">
        <is>
          <t>İngilizce jargon</t>
        </is>
      </c>
      <c r="F4" s="182" t="inlineStr">
        <is>
          <t>Terminoloji taraması</t>
        </is>
      </c>
    </row>
    <row r="5" ht="28" customHeight="1">
      <c r="A5" s="198" t="inlineStr">
        <is>
          <t>Gelir Tablosu</t>
        </is>
      </c>
      <c r="B5" s="182" t="inlineStr">
        <is>
          <t>Türk sunum sırası kullanılır</t>
        </is>
      </c>
      <c r="C5" s="182" t="inlineStr">
        <is>
          <t>Net Satışlar → Satışların Maliyeti → Brüt Kâr → Faaliyet Giderleri → Faaliyet Kârı</t>
        </is>
      </c>
      <c r="D5" s="182" t="inlineStr">
        <is>
          <t>600/610/611; 620-623; 63x</t>
        </is>
      </c>
      <c r="E5" s="182" t="inlineStr">
        <is>
          <t>Yanlış sınıflama</t>
        </is>
      </c>
      <c r="F5" s="182" t="inlineStr">
        <is>
          <t>Hesap eşleme</t>
        </is>
      </c>
    </row>
    <row r="6" ht="28" customHeight="1">
      <c r="A6" s="198" t="inlineStr">
        <is>
          <t>Bilanço</t>
        </is>
      </c>
      <c r="B6" s="182" t="inlineStr">
        <is>
          <t>Dönen/Duran Varlık ve Kısa/Uzun Vadeli Yükümlülük ayrımı</t>
        </is>
      </c>
      <c r="C6" s="182" t="inlineStr">
        <is>
          <t>Hazır Değerler, Ticari Alacaklar, Stoklar, Mali Borçlar</t>
        </is>
      </c>
      <c r="D6" s="182" t="inlineStr">
        <is>
          <t>1xx / 2xx / 3xx / 4xx / 5xx</t>
        </is>
      </c>
      <c r="E6" s="182" t="inlineStr">
        <is>
          <t>Vade sınıfı hatası</t>
        </is>
      </c>
      <c r="F6" s="182" t="inlineStr">
        <is>
          <t>Bilanço eşitliği</t>
        </is>
      </c>
    </row>
    <row r="7">
      <c r="A7" s="198" t="inlineStr">
        <is>
          <t>Nakit Akışı</t>
        </is>
      </c>
      <c r="B7" s="182" t="inlineStr">
        <is>
          <t>İşletme/Yatırım/Finansman nakit akışları ayrılır</t>
        </is>
      </c>
      <c r="C7" s="182" t="inlineStr">
        <is>
          <t>Faaliyetlerden Nakit, Yatırım Harcamaları, Finansman Nakit Akışı</t>
        </is>
      </c>
      <c r="D7" s="182" t="inlineStr">
        <is>
          <t>Dolaylı/doğrudan yöntem açık seçilir</t>
        </is>
      </c>
      <c r="E7" s="182" t="inlineStr">
        <is>
          <t>Kâr = nakit sanılması</t>
        </is>
      </c>
      <c r="F7" s="182" t="inlineStr">
        <is>
          <t>Nakit devri</t>
        </is>
      </c>
    </row>
    <row r="8">
      <c r="A8" s="198" t="inlineStr">
        <is>
          <t>Ticari Alacaklar</t>
        </is>
      </c>
      <c r="B8" s="182" t="inlineStr">
        <is>
          <t>Cari ve vade mantığı korunur</t>
        </is>
      </c>
      <c r="C8" s="182" t="inlineStr">
        <is>
          <t>120 Alıcılar</t>
        </is>
      </c>
      <c r="D8" s="182" t="inlineStr">
        <is>
          <t>120</t>
        </is>
      </c>
      <c r="E8" s="182" t="inlineStr">
        <is>
          <t>Tahakkuk/nakit karışması</t>
        </is>
      </c>
      <c r="F8" s="182" t="inlineStr">
        <is>
          <t>Alacak devir kontrolü</t>
        </is>
      </c>
    </row>
    <row r="9">
      <c r="A9" s="198" t="inlineStr">
        <is>
          <t>Ticari Borçlar</t>
        </is>
      </c>
      <c r="B9" s="182" t="inlineStr">
        <is>
          <t>Tedarikçi borcu ayrı izlenir</t>
        </is>
      </c>
      <c r="C9" s="182" t="inlineStr">
        <is>
          <t>320 Satıcılar</t>
        </is>
      </c>
      <c r="D9" s="182" t="inlineStr">
        <is>
          <t>320</t>
        </is>
      </c>
      <c r="E9" s="182" t="inlineStr">
        <is>
          <t>Gider/ödeme karışması</t>
        </is>
      </c>
      <c r="F9" s="182" t="inlineStr">
        <is>
          <t>Borç devir kontrolü</t>
        </is>
      </c>
    </row>
    <row r="10">
      <c r="A10" s="198" t="inlineStr">
        <is>
          <t>Kasa/Banka</t>
        </is>
      </c>
      <c r="B10" s="182" t="inlineStr">
        <is>
          <t>Hazır değerler ayrı izlenir</t>
        </is>
      </c>
      <c r="C10" s="182" t="inlineStr">
        <is>
          <t>100 Kasa, 102 Bankalar</t>
        </is>
      </c>
      <c r="D10" s="182" t="inlineStr">
        <is>
          <t>100 / 102</t>
        </is>
      </c>
      <c r="E10" s="182" t="inlineStr">
        <is>
          <t>Virmanla toplam nakdin değişmesi</t>
        </is>
      </c>
      <c r="F10" s="182" t="inlineStr">
        <is>
          <t>Virman değişmezi</t>
        </is>
      </c>
    </row>
    <row r="11">
      <c r="A11" s="198" t="inlineStr">
        <is>
          <t>Stok</t>
        </is>
      </c>
      <c r="B11" s="182" t="inlineStr">
        <is>
          <t>Dikeye uygun stok türü</t>
        </is>
      </c>
      <c r="C11" s="182" t="inlineStr">
        <is>
          <t>150 İlk Madde ve Malzeme, 153 Ticari Mallar</t>
        </is>
      </c>
      <c r="D11" s="182" t="inlineStr">
        <is>
          <t>15x</t>
        </is>
      </c>
      <c r="E11" s="182" t="inlineStr">
        <is>
          <t>Maliyet ve stok hareketinin kopması</t>
        </is>
      </c>
      <c r="F11" s="182" t="inlineStr">
        <is>
          <t>Stok devri</t>
        </is>
      </c>
    </row>
    <row r="12" ht="28" customHeight="1">
      <c r="A12" s="198" t="inlineStr">
        <is>
          <t>Maddi Duran Varlık</t>
        </is>
      </c>
      <c r="B12" s="182" t="inlineStr">
        <is>
          <t>Yatırım harcaması ve amortisman bağlantılı</t>
        </is>
      </c>
      <c r="C12" s="182" t="inlineStr">
        <is>
          <t>253 Tesis Makine Cihazlar, 255 Demirbaşlar, 257 Birikmiş Amortismanlar</t>
        </is>
      </c>
      <c r="D12" s="182" t="inlineStr">
        <is>
          <t>25x</t>
        </is>
      </c>
      <c r="E12" s="182" t="inlineStr">
        <is>
          <t>Yatırım/gider karışması</t>
        </is>
      </c>
      <c r="F12" s="182" t="inlineStr">
        <is>
          <t>Net defter değeri devri</t>
        </is>
      </c>
    </row>
    <row r="13">
      <c r="A13" s="198" t="inlineStr">
        <is>
          <t>Mali Borçlar</t>
        </is>
      </c>
      <c r="B13" s="182" t="inlineStr">
        <is>
          <t>Kısa/uzun vadeli borç ayrımı</t>
        </is>
      </c>
      <c r="C13" s="182" t="inlineStr">
        <is>
          <t>300 Banka Kredileri / 400 Banka Kredileri</t>
        </is>
      </c>
      <c r="D13" s="182" t="inlineStr">
        <is>
          <t>300 / 400</t>
        </is>
      </c>
      <c r="E13" s="182" t="inlineStr">
        <is>
          <t>Vade sınıfı yanlış</t>
        </is>
      </c>
      <c r="F13" s="182" t="inlineStr">
        <is>
          <t>Borç devri</t>
        </is>
      </c>
    </row>
    <row r="14">
      <c r="A14" s="198" t="inlineStr">
        <is>
          <t>Özkaynak</t>
        </is>
      </c>
      <c r="B14" s="182" t="inlineStr">
        <is>
          <t>Sermaye ve geçmiş yıl kârları ayrı</t>
        </is>
      </c>
      <c r="C14" s="182" t="inlineStr">
        <is>
          <t>500 Sermaye, 570 Geçmiş Yıllar Kârları, 590 Dönem Net Kârı</t>
        </is>
      </c>
      <c r="D14" s="182" t="inlineStr">
        <is>
          <t>5xx</t>
        </is>
      </c>
      <c r="E14" s="182" t="inlineStr">
        <is>
          <t>Net kâr bağının kopması</t>
        </is>
      </c>
      <c r="F14" s="182" t="inlineStr">
        <is>
          <t>Özkaynak devri</t>
        </is>
      </c>
    </row>
    <row r="15">
      <c r="A15" s="198" t="inlineStr">
        <is>
          <t>Vergi</t>
        </is>
      </c>
      <c r="B15" s="182" t="inlineStr">
        <is>
          <t>Vergi satırları Türkiye mantığına uygun</t>
        </is>
      </c>
      <c r="C15" s="182" t="inlineStr">
        <is>
          <t>Dönem Vergi ve Diğer Yasal Yükümlülük Karşılıkları</t>
        </is>
      </c>
      <c r="D15" s="182" t="inlineStr">
        <is>
          <t>37x / ilgili vergi hesapları</t>
        </is>
      </c>
      <c r="E15" s="182" t="inlineStr">
        <is>
          <t>Vergi etkisinin yanlış dönemlenmesi</t>
        </is>
      </c>
      <c r="F15" s="182" t="inlineStr">
        <is>
          <t>Vergi sözleşmesi</t>
        </is>
      </c>
    </row>
    <row r="16">
      <c r="A16" s="198" t="inlineStr">
        <is>
          <t>İsim standardı</t>
        </is>
      </c>
      <c r="B16" s="182" t="inlineStr">
        <is>
          <t>Tablo ve sayfa adları Türkçe ve işlevsel</t>
        </is>
      </c>
      <c r="C16" s="182" t="inlineStr">
        <is>
          <t>GELİR_TABLOSU, BİLANÇO, NAKİT_AKISI, BORC_PLANI</t>
        </is>
      </c>
      <c r="D16" s="182" t="inlineStr">
        <is>
          <t>Tekrarlanabilir standart</t>
        </is>
      </c>
      <c r="E16" s="182" t="inlineStr">
        <is>
          <t>İngilizce/karma isim</t>
        </is>
      </c>
      <c r="F16" s="182" t="inlineStr">
        <is>
          <t>Sayfa ve tablo taraması</t>
        </is>
      </c>
    </row>
    <row r="17">
      <c r="A17" s="198" t="inlineStr">
        <is>
          <t>THP eşleme tablosu</t>
        </is>
      </c>
      <c r="B17" s="182" t="inlineStr">
        <is>
          <t>Her kritik satır en az bir THP hesabına bağlanır</t>
        </is>
      </c>
      <c r="C17" s="182" t="inlineStr">
        <is>
          <t>RaporSatırı → HesapKodu → HesapAdı → İşaret → Dönem</t>
        </is>
      </c>
      <c r="D17" s="182" t="inlineStr">
        <is>
          <t>Kaynak izlenebilirliği</t>
        </is>
      </c>
      <c r="E17" s="182" t="inlineStr">
        <is>
          <t>Rapordan rapora kaynak</t>
        </is>
      </c>
      <c r="F17" s="182" t="inlineStr">
        <is>
          <t>Eşleme kapsama %100</t>
        </is>
      </c>
    </row>
    <row r="18">
      <c r="A18" s="198" t="inlineStr">
        <is>
          <t>İstisna</t>
        </is>
      </c>
      <c r="B18" s="182" t="inlineStr">
        <is>
          <t>TFRS özel ürün varsa fark açık yazılır</t>
        </is>
      </c>
      <c r="C18" s="182" t="inlineStr">
        <is>
          <t>Tekdüzen raporlama ≠ TFRS finansal tablo sunumu</t>
        </is>
      </c>
      <c r="D18" s="182" t="inlineStr">
        <is>
          <t>Amaç belirtilir</t>
        </is>
      </c>
      <c r="E18" s="182" t="inlineStr">
        <is>
          <t>Standartları karıştırma</t>
        </is>
      </c>
      <c r="F18" s="182" t="inlineStr">
        <is>
          <t>Model amacı kontrolü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4" customWidth="1" min="4" max="4"/>
    <col width="16" customWidth="1" min="6" max="6"/>
  </cols>
  <sheetData>
    <row r="1" ht="28" customHeight="1">
      <c r="A1" s="199" t="inlineStr">
        <is>
          <t>KARAR, GÜVEN VE SATIŞA HAZIRLIK STANDARDI</t>
        </is>
      </c>
    </row>
    <row r="3" ht="24" customHeight="1">
      <c r="A3" s="200" t="inlineStr">
        <is>
          <t>Alan</t>
        </is>
      </c>
      <c r="B3" s="200" t="inlineStr">
        <is>
          <t>Müşteri Sorusu</t>
        </is>
      </c>
      <c r="C3" s="200" t="inlineStr">
        <is>
          <t>Zorunlu Ürün Davranışı</t>
        </is>
      </c>
      <c r="D3" s="200" t="inlineStr">
        <is>
          <t>Kanıt</t>
        </is>
      </c>
      <c r="E3" s="200" t="inlineStr">
        <is>
          <t>Başarısızlık Durumu</t>
        </is>
      </c>
      <c r="F3" s="200" t="inlineStr">
        <is>
          <t>Kapı</t>
        </is>
      </c>
    </row>
    <row r="4">
      <c r="A4" s="201" t="inlineStr">
        <is>
          <t>5 saniye</t>
        </is>
      </c>
      <c r="B4" s="182" t="inlineStr">
        <is>
          <t>Bu ürün neyi çözüyor?</t>
        </is>
      </c>
      <c r="C4" s="182" t="inlineStr">
        <is>
          <t>İlk ekranda hedef kullanıcı + pahalı problem + sonuç görünür</t>
        </is>
      </c>
      <c r="D4" s="182" t="inlineStr">
        <is>
          <t>Başlık + alt mesaj + gerçek ekran</t>
        </is>
      </c>
      <c r="E4" s="182" t="inlineStr">
        <is>
          <t>Ürün yalnız teknik isim</t>
        </is>
      </c>
      <c r="F4" s="202" t="inlineStr">
        <is>
          <t>HATA</t>
        </is>
      </c>
    </row>
    <row r="5">
      <c r="A5" s="201" t="inlineStr">
        <is>
          <t>Acı</t>
        </is>
      </c>
      <c r="B5" s="182" t="inlineStr">
        <is>
          <t>Sorun bana neye mal oluyor?</t>
        </is>
      </c>
      <c r="C5" s="182" t="inlineStr">
        <is>
          <t>Mümkünse müşterinin kendi verisiyle parasal/zaman etkisi hesaplanır</t>
        </is>
      </c>
      <c r="D5" s="182" t="inlineStr">
        <is>
          <t>ROI/acı hesaplama yöntemi</t>
        </is>
      </c>
      <c r="E5" s="182" t="inlineStr">
        <is>
          <t>Uydurma tasarruf</t>
        </is>
      </c>
      <c r="F5" s="202" t="inlineStr">
        <is>
          <t>HATA</t>
        </is>
      </c>
    </row>
    <row r="6">
      <c r="A6" s="201" t="inlineStr">
        <is>
          <t>Karar</t>
        </is>
      </c>
      <c r="B6" s="182" t="inlineStr">
        <is>
          <t>Bu bilgiyle ne yapacağım?</t>
        </is>
      </c>
      <c r="C6" s="182" t="inlineStr">
        <is>
          <t>Her kritik KPI aksiyona bağlanır</t>
        </is>
      </c>
      <c r="D6" s="182" t="inlineStr">
        <is>
          <t>KARAR_KUYRUGU</t>
        </is>
      </c>
      <c r="E6" s="182" t="inlineStr">
        <is>
          <t>Sadece rapor</t>
        </is>
      </c>
      <c r="F6" s="202" t="inlineStr">
        <is>
          <t>HATA</t>
        </is>
      </c>
    </row>
    <row r="7">
      <c r="A7" s="201" t="inlineStr">
        <is>
          <t>Güven</t>
        </is>
      </c>
      <c r="B7" s="182" t="inlineStr">
        <is>
          <t>Bu sayıya neden inanayım?</t>
        </is>
      </c>
      <c r="C7" s="182" t="inlineStr">
        <is>
          <t>Kaynak, formül mantığı, kontrol ve son doğrulama görünür</t>
        </is>
      </c>
      <c r="D7" s="182" t="inlineStr">
        <is>
          <t>Kontroller + kaynak izi + sürüm</t>
        </is>
      </c>
      <c r="E7" s="182" t="inlineStr">
        <is>
          <t>Prestij kelimesi</t>
        </is>
      </c>
      <c r="F7" s="202" t="inlineStr">
        <is>
          <t>HATA</t>
        </is>
      </c>
    </row>
    <row r="8">
      <c r="A8" s="201" t="inlineStr">
        <is>
          <t>Referans</t>
        </is>
      </c>
      <c r="B8" s="182" t="inlineStr">
        <is>
          <t>Müşteri yorumu yoksa ne göstereceğim?</t>
        </is>
      </c>
      <c r="C8" s="182" t="inlineStr">
        <is>
          <t>Önce/Sonra + Karar Vakası + Hata Önleme Vakası üretilir</t>
        </is>
      </c>
      <c r="D8" s="182" t="inlineStr">
        <is>
          <t>Demo/örnek çıktı</t>
        </is>
      </c>
      <c r="E8" s="182" t="inlineStr">
        <is>
          <t>Kanıtsız iddia</t>
        </is>
      </c>
      <c r="F8" s="202" t="inlineStr">
        <is>
          <t>HATA</t>
        </is>
      </c>
    </row>
    <row r="9">
      <c r="A9" s="201" t="inlineStr">
        <is>
          <t>Senaryo</t>
        </is>
      </c>
      <c r="B9" s="182" t="inlineStr">
        <is>
          <t>Ne olursa işler bozulur?</t>
        </is>
      </c>
      <c r="C9" s="182" t="inlineStr">
        <is>
          <t>Baz/Aşağı/Yukarı veya uygun stres senaryosu</t>
        </is>
      </c>
      <c r="D9" s="182" t="inlineStr">
        <is>
          <t>Senaryo karşılaştırma</t>
        </is>
      </c>
      <c r="E9" s="182" t="inlineStr">
        <is>
          <t>Dekoratif senaryo</t>
        </is>
      </c>
      <c r="F9" s="202" t="inlineStr">
        <is>
          <t>HATA</t>
        </is>
      </c>
    </row>
    <row r="10">
      <c r="A10" s="201" t="inlineStr">
        <is>
          <t>Ters stres</t>
        </is>
      </c>
      <c r="B10" s="182" t="inlineStr">
        <is>
          <t>Hangi eşikte karar kırılır?</t>
        </is>
      </c>
      <c r="C10" s="182" t="inlineStr">
        <is>
          <t>En az bir kritik sürücü için kırılma eşiği</t>
        </is>
      </c>
      <c r="D10" s="182" t="inlineStr">
        <is>
          <t>Kırılma eşiği tablosu</t>
        </is>
      </c>
      <c r="E10" s="182" t="inlineStr">
        <is>
          <t>Sadece +/- %10</t>
        </is>
      </c>
      <c r="F10" s="202" t="inlineStr">
        <is>
          <t>UYARI/HATA</t>
        </is>
      </c>
    </row>
    <row r="11">
      <c r="A11" s="201" t="inlineStr">
        <is>
          <t>Hata tutarlılığı</t>
        </is>
      </c>
      <c r="B11" s="182" t="inlineStr">
        <is>
          <t>Formül hata verirse ne olur?</t>
        </is>
      </c>
      <c r="C11" s="182" t="inlineStr">
        <is>
          <t>Kontrol GEÇTİ veremez; BLOKE/HATA üretir</t>
        </is>
      </c>
      <c r="D11" s="182" t="inlineStr">
        <is>
          <t>Hata taraması</t>
        </is>
      </c>
      <c r="E11" s="182" t="inlineStr">
        <is>
          <t>Hata + GEÇTİ birlikte</t>
        </is>
      </c>
      <c r="F11" s="202" t="inlineStr">
        <is>
          <t>HATA</t>
        </is>
      </c>
    </row>
    <row r="12">
      <c r="A12" s="201" t="inlineStr">
        <is>
          <t>Karar motoru</t>
        </is>
      </c>
      <c r="B12" s="182" t="inlineStr">
        <is>
          <t>Ne oldu, neden oldu?</t>
        </is>
      </c>
      <c r="C12" s="182" t="inlineStr">
        <is>
          <t>Sorun + neden + parasal etki + aksiyon + son tarih</t>
        </is>
      </c>
      <c r="D12" s="182" t="inlineStr">
        <is>
          <t>Karar tablosu</t>
        </is>
      </c>
      <c r="E12" s="182" t="inlineStr">
        <is>
          <t>Boş sayfa / isim düzeyi modül</t>
        </is>
      </c>
      <c r="F12" s="202" t="inlineStr">
        <is>
          <t>HATA</t>
        </is>
      </c>
    </row>
    <row r="13">
      <c r="A13" s="201" t="inlineStr">
        <is>
          <t>Yönetici özeti</t>
        </is>
      </c>
      <c r="B13" s="182" t="inlineStr">
        <is>
          <t>5 saniyede ne görmeliyim?</t>
        </is>
      </c>
      <c r="C13" s="182" t="inlineStr">
        <is>
          <t>Bugün / ne değişti / ne bozulacak / neden / ne yapmalıyım / güven</t>
        </is>
      </c>
      <c r="D13" s="182" t="inlineStr">
        <is>
          <t>Yönetici özeti ekranı</t>
        </is>
      </c>
      <c r="E13" s="182" t="inlineStr">
        <is>
          <t>KPI kutusu yığını</t>
        </is>
      </c>
      <c r="F13" s="202" t="inlineStr">
        <is>
          <t>HATA</t>
        </is>
      </c>
    </row>
    <row r="14">
      <c r="A14" s="201" t="inlineStr">
        <is>
          <t>Teklif</t>
        </is>
      </c>
      <c r="B14" s="182" t="inlineStr">
        <is>
          <t>Neden satın almalıyım?</t>
        </is>
      </c>
      <c r="C14" s="182" t="inlineStr">
        <is>
          <t>Dosya özellikleri yerine sonuç ve kaçınılan maliyet sunulur</t>
        </is>
      </c>
      <c r="D14" s="182" t="inlineStr">
        <is>
          <t>Ürün sayfası kanıt eşlemesi</t>
        </is>
      </c>
      <c r="E14" s="182" t="inlineStr">
        <is>
          <t>Özellik listesiyle satış</t>
        </is>
      </c>
      <c r="F14" s="202" t="inlineStr">
        <is>
          <t>HATA</t>
        </is>
      </c>
    </row>
    <row r="15">
      <c r="A15" s="201" t="inlineStr">
        <is>
          <t>Dağıtım</t>
        </is>
      </c>
      <c r="B15" s="182" t="inlineStr">
        <is>
          <t>Beni nasıl bulacaklar?</t>
        </is>
      </c>
      <c r="C15" s="182" t="inlineStr">
        <is>
          <t>Sorun niyetine göre SEO sayfaları, iç bağlantı, temiz yapı, taranabilir metin</t>
        </is>
      </c>
      <c r="D15" s="182" t="inlineStr">
        <is>
          <t>Arama niyeti haritası</t>
        </is>
      </c>
      <c r="E15" s="182" t="inlineStr">
        <is>
          <t>Tek ürün sayfasına bağımlılık</t>
        </is>
      </c>
      <c r="F15" s="202" t="inlineStr">
        <is>
          <t>UYARI</t>
        </is>
      </c>
    </row>
    <row r="16" ht="28" customHeight="1">
      <c r="A16" s="201" t="inlineStr">
        <is>
          <t>LLM görünürlüğü</t>
        </is>
      </c>
      <c r="B16" s="182" t="inlineStr">
        <is>
          <t>AI ürünümü anlayabiliyor mu?</t>
        </is>
      </c>
      <c r="C16" s="182" t="inlineStr">
        <is>
          <t>Ürün tanımı, hedef kullanıcı, girdi/çıktı, metodoloji, sınırlar, SSS açık metindir</t>
        </is>
      </c>
      <c r="D16" s="182" t="inlineStr">
        <is>
          <t>Taranabilir ürün içeriği</t>
        </is>
      </c>
      <c r="E16" s="182" t="inlineStr">
        <is>
          <t>'AI SEO' iddiası</t>
        </is>
      </c>
      <c r="F16" s="202" t="inlineStr">
        <is>
          <t>UYARI</t>
        </is>
      </c>
    </row>
    <row r="17">
      <c r="A17" s="201" t="inlineStr">
        <is>
          <t>Satış kanalı</t>
        </is>
      </c>
      <c r="B17" s="182" t="inlineStr">
        <is>
          <t>Nerede satılmalı?</t>
        </is>
      </c>
      <c r="C17" s="182" t="inlineStr">
        <is>
          <t>Arama, LinkedIn, uzman/partner, demo/video; ürüne göre kanal seçilir</t>
        </is>
      </c>
      <c r="D17" s="182" t="inlineStr">
        <is>
          <t>Kanal matrisi</t>
        </is>
      </c>
      <c r="E17" s="182" t="inlineStr">
        <is>
          <t>Her ürüne aynı kanal</t>
        </is>
      </c>
      <c r="F17" s="202" t="inlineStr">
        <is>
          <t>UYARI</t>
        </is>
      </c>
    </row>
    <row r="18">
      <c r="A18" s="201" t="inlineStr">
        <is>
          <t>Fiyat</t>
        </is>
      </c>
      <c r="B18" s="182" t="inlineStr">
        <is>
          <t>Bu fiyat neden mantıklı?</t>
        </is>
      </c>
      <c r="C18" s="182" t="inlineStr">
        <is>
          <t>Fiyat, ekonomik karar değerine ve kanıtlanmış ürün derinliğine bağlanır</t>
        </is>
      </c>
      <c r="D18" s="182" t="inlineStr">
        <is>
          <t>Değer haritası + demo</t>
        </is>
      </c>
      <c r="E18" s="182" t="inlineStr">
        <is>
          <t>Sırf sayfa/formül sayısı</t>
        </is>
      </c>
      <c r="F18" s="202" t="inlineStr">
        <is>
          <t>HATA</t>
        </is>
      </c>
    </row>
    <row r="19">
      <c r="A19" s="201" t="inlineStr">
        <is>
          <t>Pazar kanıtı</t>
        </is>
      </c>
      <c r="B19" s="182" t="inlineStr">
        <is>
          <t>Piyasa gerçekten ödüyor mu?</t>
        </is>
      </c>
      <c r="C19" s="182" t="inlineStr">
        <is>
          <t>Satış/pilot/LOI/fiyat kabulü olmadan pazar doğrulandı yazılmaz</t>
        </is>
      </c>
      <c r="D19" s="182" t="inlineStr">
        <is>
          <t>Gerçek işlem kanıtı</t>
        </is>
      </c>
      <c r="E19" s="182" t="inlineStr">
        <is>
          <t>Tahmini talep = satış kabulü</t>
        </is>
      </c>
      <c r="F19" s="202" t="inlineStr">
        <is>
          <t>HATA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İhracat Sipariş Kârlılık &amp; Kur Riski Komutası</t>
        </is>
      </c>
    </row>
    <row r="3" ht="30" customHeight="1">
      <c r="A3" s="3" t="inlineStr">
        <is>
          <t>İhracat Sipariş Kârlılık &amp; Kur Riski Komutası</t>
        </is>
      </c>
    </row>
    <row r="4">
      <c r="A4" s="4" t="inlineStr">
        <is>
          <t>İhracat siparişinin net kârını (TL), hedge boşluğunu ve kur riskini hesaplayın; YATIRIM YAPILIR / YATIRIM YAPMA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Sipariş durum makinesi (TEKLIF→…→KAPALI) + yetim / geçersiz geçiş / ZİNCİR KIRIK</t>
        </is>
      </c>
    </row>
    <row r="8">
      <c r="A8" s="6" t="inlineStr">
        <is>
          <t>• FOB gelir − üretim − navlun − komisyon + kur farkı = net kâr (TL)</t>
        </is>
      </c>
    </row>
    <row r="9">
      <c r="A9" s="6" t="inlineStr">
        <is>
          <t>• Hedge oranı vs asgari hedge → açık kur pozisyonu boşluğu</t>
        </is>
      </c>
    </row>
    <row r="10">
      <c r="A10" s="6" t="inlineStr">
        <is>
          <t>• İşletme sermayesi CAPEX/OPEX + öz kaynak / kredi + NPV/IRR tornado</t>
        </is>
      </c>
    </row>
    <row r="11">
      <c r="A11" s="6" t="inlineStr">
        <is>
          <t>• Kötümser YATIRIM YAPMA yolu + KANIT_RAPORU</t>
        </is>
      </c>
    </row>
    <row r="13">
      <c r="A13" s="5" t="inlineStr">
        <is>
          <t>Kimler için?</t>
        </is>
      </c>
    </row>
    <row r="14">
      <c r="A14" s="7" t="inlineStr">
        <is>
          <t>• İhracat operasyon — sipariş satırını durum makinesinde yönetmek</t>
        </is>
      </c>
    </row>
    <row r="15">
      <c r="A15" s="7" t="inlineStr">
        <is>
          <t>• CFO / hazine — net kâr + kur riski ile sipariş kabul kararı</t>
        </is>
      </c>
    </row>
    <row r="16">
      <c r="A16" s="7" t="inlineStr">
        <is>
          <t>• SMMM / denetçi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+ AKIS sarı hücreler → 3) PANO/KARAR → 4) KANIT_RAPORU yazdır.</t>
        </is>
      </c>
    </row>
    <row r="21">
      <c r="A21" s="8" t="inlineStr">
        <is>
          <t>Sürüm 1.0.0 | 2026 | ExcelArşiv | Lisans: Tek kullanıcı | Kod: ISK-PRO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HIZLI BASLANGIC — İhracat Sipariş Kârlılık &amp; Kur Riski Komutası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GIRDI'de FOB, maliyet, hedge ve kurları sarı hücrelere girin; AKIS'te sipariş satırlarını işleyin.</t>
        </is>
      </c>
    </row>
    <row r="6">
      <c r="A6" s="10" t="inlineStr">
        <is>
          <t>Adım 2 — Karar</t>
        </is>
      </c>
      <c r="B6" s="6" t="inlineStr">
        <is>
          <t>PANO ve KARAR'da net kâr, hedge boşluğu, NPV/IRR ve YATIRIM YAPILIR / YATIRIM YAPMA görün.</t>
        </is>
      </c>
    </row>
    <row r="7">
      <c r="A7" s="10" t="inlineStr">
        <is>
          <t>Adım 3 — Kanıt</t>
        </is>
      </c>
      <c r="B7" s="6" t="inlineStr">
        <is>
          <t>KANIT_RAPORU'nu yazdırın; KUYRUKLAR ve SENARYO ile doğrulayın.</t>
        </is>
      </c>
    </row>
    <row r="9">
      <c r="A9" s="10" t="inlineStr">
        <is>
          <t>Formüller</t>
        </is>
      </c>
    </row>
    <row r="10">
      <c r="A10" s="6" t="inlineStr">
        <is>
          <t>Gelir_TL = FOB×tahsilat_kur | Maliyet_TL = (üretim+navlun)×rezervasyon_kur | Kur farkı = FOB×(tahsilat−rezervasyon) | Net = Gelir − maliyet − komisyon + kur farkı</t>
        </is>
      </c>
    </row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A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08948"/>
    <outlinePr summaryBelow="1" summaryRight="1"/>
    <pageSetUpPr/>
  </sheetPr>
  <dimension ref="A1:AD100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4" customWidth="1" min="3" max="3"/>
  </cols>
  <sheetData>
    <row r="1" ht="26" customHeight="1">
      <c r="A1" s="1" t="inlineStr">
        <is>
          <t>GIRDI — İhracat Sipariş Kârlılık &amp; Kur Riski Komutası</t>
        </is>
      </c>
    </row>
    <row r="3">
      <c r="A3" s="9" t="inlineStr">
        <is>
          <t>İhracat sipariş girdileri</t>
        </is>
      </c>
    </row>
    <row r="4">
      <c r="A4" s="4" t="inlineStr">
        <is>
          <t>Sarı hücreler manuel giriştir. Oranlar KURALLAR'dan; kur AYARLAR kur tablosundan.</t>
        </is>
      </c>
    </row>
    <row r="5">
      <c r="A5" s="11" t="inlineStr">
        <is>
          <t>Alan</t>
        </is>
      </c>
      <c r="B5" s="11" t="inlineStr">
        <is>
          <t>Değer</t>
        </is>
      </c>
      <c r="C5" s="11" t="inlineStr">
        <is>
          <t>Birim</t>
        </is>
      </c>
    </row>
    <row r="6">
      <c r="A6" s="7" t="inlineStr">
        <is>
          <t>Şirket / Sipariş</t>
        </is>
      </c>
      <c r="B6" s="12" t="inlineStr">
        <is>
          <t>Örnek İhracat Sanayi A.Ş.</t>
        </is>
      </c>
      <c r="C6" s="13" t="inlineStr">
        <is>
          <t>metin</t>
        </is>
      </c>
    </row>
    <row r="7">
      <c r="A7" s="7" t="inlineStr">
        <is>
          <t>Dönem</t>
        </is>
      </c>
      <c r="B7" s="12" t="inlineStr">
        <is>
          <t>2026-Q3</t>
        </is>
      </c>
      <c r="C7" s="13" t="inlineStr">
        <is>
          <t>metin</t>
        </is>
      </c>
    </row>
    <row r="8">
      <c r="A8" s="7" t="inlineStr">
        <is>
          <t>Hesap Yılı</t>
        </is>
      </c>
      <c r="B8" s="14" t="n">
        <v>2026</v>
      </c>
      <c r="C8" s="13" t="inlineStr">
        <is>
          <t>yıl</t>
        </is>
      </c>
    </row>
    <row r="9">
      <c r="A9" s="7" t="inlineStr">
        <is>
          <t>Döviz Cinsi</t>
        </is>
      </c>
      <c r="B9" s="12" t="inlineStr">
        <is>
          <t>USD</t>
        </is>
      </c>
      <c r="C9" s="13" t="inlineStr">
        <is>
          <t>metin</t>
        </is>
      </c>
    </row>
    <row r="10">
      <c r="A10" s="7" t="inlineStr">
        <is>
          <t>FOB [döviz]</t>
        </is>
      </c>
      <c r="B10" s="14" t="n">
        <v>200000</v>
      </c>
      <c r="C10" s="13" t="inlineStr">
        <is>
          <t>adet/döviz</t>
        </is>
      </c>
    </row>
    <row r="11">
      <c r="A11" s="7" t="inlineStr">
        <is>
          <t>Miktar [adet]</t>
        </is>
      </c>
      <c r="B11" s="14" t="n">
        <v>2000</v>
      </c>
      <c r="C11" s="13" t="inlineStr">
        <is>
          <t>adet/döviz</t>
        </is>
      </c>
    </row>
    <row r="12">
      <c r="A12" s="7" t="inlineStr">
        <is>
          <t>Üretim maliyeti [döviz]</t>
        </is>
      </c>
      <c r="B12" s="14" t="n">
        <v>110000</v>
      </c>
      <c r="C12" s="13" t="inlineStr">
        <is>
          <t>adet/döviz</t>
        </is>
      </c>
    </row>
    <row r="13">
      <c r="A13" s="7" t="inlineStr">
        <is>
          <t>Çıkış navlunu [döviz]</t>
        </is>
      </c>
      <c r="B13" s="14" t="n">
        <v>8000</v>
      </c>
      <c r="C13" s="13" t="inlineStr">
        <is>
          <t>adet/döviz</t>
        </is>
      </c>
    </row>
    <row r="14">
      <c r="A14" s="7" t="inlineStr">
        <is>
          <t>Komisyon oranı (giriş)</t>
        </is>
      </c>
      <c r="B14" s="15" t="n">
        <v>0.03</v>
      </c>
      <c r="C14" s="13" t="inlineStr">
        <is>
          <t>%</t>
        </is>
      </c>
    </row>
    <row r="15">
      <c r="A15" s="7" t="inlineStr">
        <is>
          <t>Hedge oranı</t>
        </is>
      </c>
      <c r="B15" s="15" t="n">
        <v>0.6</v>
      </c>
      <c r="C15" s="13" t="inlineStr">
        <is>
          <t>%</t>
        </is>
      </c>
    </row>
    <row r="16">
      <c r="A16" s="7" t="inlineStr">
        <is>
          <t>Tahsilat kuru</t>
        </is>
      </c>
      <c r="B16" s="16" t="n">
        <v>32</v>
      </c>
      <c r="C16" s="13" t="inlineStr">
        <is>
          <t>kur</t>
        </is>
      </c>
    </row>
    <row r="17">
      <c r="A17" s="7" t="inlineStr">
        <is>
          <t>Hedef marj (giriş)</t>
        </is>
      </c>
      <c r="B17" s="15" t="n">
        <v>0.18</v>
      </c>
      <c r="C17" s="13" t="inlineStr">
        <is>
          <t>%</t>
        </is>
      </c>
    </row>
    <row r="18">
      <c r="A18" s="7" t="inlineStr">
        <is>
          <t>Yıllık tekrar [adet]</t>
        </is>
      </c>
      <c r="B18" s="14" t="n">
        <v>4</v>
      </c>
      <c r="C18" s="13" t="inlineStr">
        <is>
          <t>adet/döviz</t>
        </is>
      </c>
    </row>
    <row r="19">
      <c r="A19" s="7" t="inlineStr">
        <is>
          <t>CAPEX / işletme sermayesi [₺]</t>
        </is>
      </c>
      <c r="B19" s="17" t="n">
        <v>600000</v>
      </c>
      <c r="C19" s="13" t="inlineStr">
        <is>
          <t>₺</t>
        </is>
      </c>
    </row>
    <row r="20">
      <c r="A20" s="7" t="inlineStr">
        <is>
          <t>WACC [%]</t>
        </is>
      </c>
      <c r="B20" s="15" t="n">
        <v>0.2</v>
      </c>
      <c r="C20" s="13" t="inlineStr">
        <is>
          <t>%</t>
        </is>
      </c>
    </row>
    <row r="21">
      <c r="A21" s="7" t="inlineStr">
        <is>
          <t>NPV dönem [yıl]</t>
        </is>
      </c>
      <c r="B21" s="14" t="n">
        <v>3</v>
      </c>
      <c r="C21" s="13" t="inlineStr">
        <is>
          <t>yıl</t>
        </is>
      </c>
    </row>
    <row r="22">
      <c r="A22" s="7" t="inlineStr">
        <is>
          <t>Kredi faiz oranı [%]</t>
        </is>
      </c>
      <c r="B22" s="15" t="n">
        <v>0.35</v>
      </c>
      <c r="C22" s="13" t="inlineStr">
        <is>
          <t>%</t>
        </is>
      </c>
    </row>
    <row r="23">
      <c r="A23" s="7" t="inlineStr">
        <is>
          <t>Öz kaynak oranı [%]</t>
        </is>
      </c>
      <c r="B23" s="15" t="n">
        <v>0.45</v>
      </c>
      <c r="C23" s="13" t="inlineStr">
        <is>
          <t>%</t>
        </is>
      </c>
    </row>
    <row r="25">
      <c r="A25" s="10" t="inlineStr">
        <is>
          <t>Aktif kur / rezervasyon (ayna)</t>
        </is>
      </c>
      <c r="B25" s="18">
        <f>IFERROR(isk_aktifKur,0)</f>
        <v/>
      </c>
    </row>
    <row r="26">
      <c r="A26" s="10" t="inlineStr">
        <is>
          <t>Asgari hedge (ayna)</t>
        </is>
      </c>
      <c r="B26" s="19">
        <f>IFERROR(INDEX(CHOOSE(MAX(1,MIN(3,IF(OR(hesapYili="",hesapYili=0),1,hesapYili-isk_yilTaban))),tblKurallar[deger_2025],tblKurallar[deger_2026],tblKurallar[deger_2027]),MATCH("ISK-001",tblKurallar[kural_id],0)),0)</f>
        <v/>
      </c>
    </row>
    <row r="27">
      <c r="A27" s="10" t="inlineStr">
        <is>
          <t>Net kâr TL (ayna)</t>
        </is>
      </c>
      <c r="B27" s="20">
        <f>IFERROR(isk_netKarTl,0)</f>
        <v/>
      </c>
    </row>
    <row r="28">
      <c r="A28" s="10" t="inlineStr">
        <is>
          <t>Giriş doluluk</t>
        </is>
      </c>
      <c r="B28" s="21">
        <f>IFERROR(IF(OR(COUNTA(B6:B23)=0,isk_girisBeklenen=0),0,ROUND(COUNTA(B6:B23)/isk_girisBeklenen*100,0)),0)</f>
        <v/>
      </c>
    </row>
    <row r="30">
      <c r="A30" s="10" t="inlineStr">
        <is>
          <t>Giriş tablosu (otomasyon / boş-mod)</t>
        </is>
      </c>
    </row>
    <row r="31" ht="30" customHeight="1">
      <c r="A31" s="22" t="inlineStr">
        <is>
          <t>Alan Anahtarı</t>
        </is>
      </c>
      <c r="B31" s="22" t="inlineStr">
        <is>
          <t>Değer</t>
        </is>
      </c>
      <c r="C31" s="22" t="inlineStr">
        <is>
          <t>Birim</t>
        </is>
      </c>
      <c r="D31" s="22" t="inlineStr">
        <is>
          <t>Zorunlu</t>
        </is>
      </c>
      <c r="E31" s="22" t="inlineStr">
        <is>
          <t>Kaynak</t>
        </is>
      </c>
      <c r="F31" s="22" t="inlineStr">
        <is>
          <t>Kontrol</t>
        </is>
      </c>
    </row>
    <row r="32">
      <c r="A32" s="23" t="inlineStr">
        <is>
          <t>sirket_adi</t>
        </is>
      </c>
      <c r="B32" s="23" t="inlineStr">
        <is>
          <t>Örnek İhracat Sanayi A.Ş.</t>
        </is>
      </c>
      <c r="C32" s="23" t="inlineStr">
        <is>
          <t>metin</t>
        </is>
      </c>
      <c r="D32" s="23" t="inlineStr">
        <is>
          <t>Evet</t>
        </is>
      </c>
      <c r="E32" s="23" t="inlineStr">
        <is>
          <t>GIRDI</t>
        </is>
      </c>
      <c r="F32" s="24">
        <f>IF($A32="","",IF($B32="","EKSİK","TAM"))</f>
        <v/>
      </c>
    </row>
    <row r="33">
      <c r="A33" s="23" t="inlineStr">
        <is>
          <t>donem</t>
        </is>
      </c>
      <c r="B33" s="23" t="inlineStr">
        <is>
          <t>2026-Q3</t>
        </is>
      </c>
      <c r="C33" s="23" t="inlineStr">
        <is>
          <t>metin</t>
        </is>
      </c>
      <c r="D33" s="23" t="inlineStr">
        <is>
          <t>Evet</t>
        </is>
      </c>
      <c r="E33" s="23" t="inlineStr">
        <is>
          <t>GIRDI</t>
        </is>
      </c>
      <c r="F33" s="24">
        <f>IF($A33="","",IF($B33="","EKSİK","TAM"))</f>
        <v/>
      </c>
    </row>
    <row r="34">
      <c r="A34" s="23" t="inlineStr">
        <is>
          <t>hesapYili</t>
        </is>
      </c>
      <c r="B34" s="25" t="n">
        <v>2026</v>
      </c>
      <c r="C34" s="23" t="inlineStr">
        <is>
          <t>yıl</t>
        </is>
      </c>
      <c r="D34" s="23" t="inlineStr">
        <is>
          <t>Evet</t>
        </is>
      </c>
      <c r="E34" s="23" t="inlineStr">
        <is>
          <t>GIRDI</t>
        </is>
      </c>
      <c r="F34" s="24">
        <f>IF($A34="","",IF($B34="","EKSİK","TAM"))</f>
        <v/>
      </c>
    </row>
    <row r="35">
      <c r="A35" s="23" t="inlineStr">
        <is>
          <t>parabirimi</t>
        </is>
      </c>
      <c r="B35" s="23" t="inlineStr">
        <is>
          <t>USD</t>
        </is>
      </c>
      <c r="C35" s="23" t="inlineStr">
        <is>
          <t>kod</t>
        </is>
      </c>
      <c r="D35" s="23" t="inlineStr">
        <is>
          <t>Evet</t>
        </is>
      </c>
      <c r="E35" s="23" t="inlineStr">
        <is>
          <t>GIRDI</t>
        </is>
      </c>
      <c r="F35" s="24">
        <f>IF($A35="","",IF($B35="","EKSİK","TAM"))</f>
        <v/>
      </c>
    </row>
    <row r="36">
      <c r="A36" s="23" t="inlineStr">
        <is>
          <t>fob_doviz</t>
        </is>
      </c>
      <c r="B36" s="25" t="n">
        <v>200000</v>
      </c>
      <c r="C36" s="23" t="inlineStr">
        <is>
          <t>döviz</t>
        </is>
      </c>
      <c r="D36" s="23" t="inlineStr">
        <is>
          <t>Evet</t>
        </is>
      </c>
      <c r="E36" s="23" t="inlineStr">
        <is>
          <t>GIRDI</t>
        </is>
      </c>
      <c r="F36" s="24">
        <f>IF($A36="","",IF($B36="","EKSİK","TAM"))</f>
        <v/>
      </c>
    </row>
    <row r="37">
      <c r="A37" s="23" t="inlineStr">
        <is>
          <t>miktar</t>
        </is>
      </c>
      <c r="B37" s="25" t="n">
        <v>2000</v>
      </c>
      <c r="C37" s="23" t="inlineStr">
        <is>
          <t>adet</t>
        </is>
      </c>
      <c r="D37" s="23" t="inlineStr">
        <is>
          <t>Evet</t>
        </is>
      </c>
      <c r="E37" s="23" t="inlineStr">
        <is>
          <t>GIRDI</t>
        </is>
      </c>
      <c r="F37" s="24">
        <f>IF($A37="","",IF($B37="","EKSİK","TAM"))</f>
        <v/>
      </c>
    </row>
    <row r="38">
      <c r="A38" s="23" t="inlineStr">
        <is>
          <t>uretim_maliyet</t>
        </is>
      </c>
      <c r="B38" s="25" t="n">
        <v>110000</v>
      </c>
      <c r="C38" s="23" t="inlineStr">
        <is>
          <t>döviz</t>
        </is>
      </c>
      <c r="D38" s="23" t="inlineStr">
        <is>
          <t>Evet</t>
        </is>
      </c>
      <c r="E38" s="23" t="inlineStr">
        <is>
          <t>GIRDI</t>
        </is>
      </c>
      <c r="F38" s="24">
        <f>IF($A38="","",IF($B38="","EKSİK","TAM"))</f>
        <v/>
      </c>
    </row>
    <row r="39">
      <c r="A39" s="23" t="inlineStr">
        <is>
          <t>navlun_cikis</t>
        </is>
      </c>
      <c r="B39" s="25" t="n">
        <v>8000</v>
      </c>
      <c r="C39" s="23" t="inlineStr">
        <is>
          <t>döviz</t>
        </is>
      </c>
      <c r="D39" s="23" t="inlineStr">
        <is>
          <t>Evet</t>
        </is>
      </c>
      <c r="E39" s="23" t="inlineStr">
        <is>
          <t>GIRDI</t>
        </is>
      </c>
      <c r="F39" s="24">
        <f>IF($A39="","",IF($B39="","EKSİK","TAM"))</f>
        <v/>
      </c>
    </row>
    <row r="40">
      <c r="A40" s="23" t="inlineStr">
        <is>
          <t>komisyon_oran</t>
        </is>
      </c>
      <c r="B40" s="26" t="n">
        <v>0.03</v>
      </c>
      <c r="C40" s="23" t="inlineStr">
        <is>
          <t>oran</t>
        </is>
      </c>
      <c r="D40" s="23" t="inlineStr">
        <is>
          <t>Evet</t>
        </is>
      </c>
      <c r="E40" s="23" t="inlineStr">
        <is>
          <t>GIRDI</t>
        </is>
      </c>
      <c r="F40" s="24">
        <f>IF($A40="","",IF($B40="","EKSİK","TAM"))</f>
        <v/>
      </c>
    </row>
    <row r="41">
      <c r="A41" s="23" t="inlineStr">
        <is>
          <t>hedge_oran</t>
        </is>
      </c>
      <c r="B41" s="26" t="n">
        <v>0.6</v>
      </c>
      <c r="C41" s="23" t="inlineStr">
        <is>
          <t>oran</t>
        </is>
      </c>
      <c r="D41" s="23" t="inlineStr">
        <is>
          <t>Evet</t>
        </is>
      </c>
      <c r="E41" s="23" t="inlineStr">
        <is>
          <t>GIRDI</t>
        </is>
      </c>
      <c r="F41" s="24">
        <f>IF($A41="","",IF($B41="","EKSİK","TAM"))</f>
        <v/>
      </c>
    </row>
    <row r="42">
      <c r="A42" s="23" t="inlineStr">
        <is>
          <t>tahsilat_kur</t>
        </is>
      </c>
      <c r="B42" s="27" t="n">
        <v>32</v>
      </c>
      <c r="C42" s="23" t="inlineStr">
        <is>
          <t>kur</t>
        </is>
      </c>
      <c r="D42" s="23" t="inlineStr">
        <is>
          <t>Evet</t>
        </is>
      </c>
      <c r="E42" s="23" t="inlineStr">
        <is>
          <t>GIRDI</t>
        </is>
      </c>
      <c r="F42" s="24">
        <f>IF($A42="","",IF($B42="","EKSİK","TAM"))</f>
        <v/>
      </c>
    </row>
    <row r="43">
      <c r="A43" s="23" t="inlineStr">
        <is>
          <t>hedef_marj</t>
        </is>
      </c>
      <c r="B43" s="26" t="n">
        <v>0.18</v>
      </c>
      <c r="C43" s="23" t="inlineStr">
        <is>
          <t>oran</t>
        </is>
      </c>
      <c r="D43" s="23" t="inlineStr">
        <is>
          <t>Evet</t>
        </is>
      </c>
      <c r="E43" s="23" t="inlineStr">
        <is>
          <t>GIRDI</t>
        </is>
      </c>
      <c r="F43" s="24">
        <f>IF($A43="","",IF($B43="","EKSİK","TAM"))</f>
        <v/>
      </c>
    </row>
    <row r="44">
      <c r="A44" s="23" t="inlineStr">
        <is>
          <t>yillik_tekrar</t>
        </is>
      </c>
      <c r="B44" s="25" t="n">
        <v>4</v>
      </c>
      <c r="C44" s="23" t="inlineStr">
        <is>
          <t>adet</t>
        </is>
      </c>
      <c r="D44" s="23" t="inlineStr">
        <is>
          <t>Evet</t>
        </is>
      </c>
      <c r="E44" s="23" t="inlineStr">
        <is>
          <t>GIRDI</t>
        </is>
      </c>
      <c r="F44" s="24">
        <f>IF($A44="","",IF($B44="","EKSİK","TAM"))</f>
        <v/>
      </c>
    </row>
    <row r="45">
      <c r="A45" s="23" t="inlineStr">
        <is>
          <t>capex_tl</t>
        </is>
      </c>
      <c r="B45" s="28" t="n">
        <v>600000</v>
      </c>
      <c r="C45" s="23" t="inlineStr">
        <is>
          <t>TL</t>
        </is>
      </c>
      <c r="D45" s="23" t="inlineStr">
        <is>
          <t>Evet</t>
        </is>
      </c>
      <c r="E45" s="23" t="inlineStr">
        <is>
          <t>GIRDI</t>
        </is>
      </c>
      <c r="F45" s="24">
        <f>IF($A45="","",IF($B45="","EKSİK","TAM"))</f>
        <v/>
      </c>
    </row>
    <row r="46">
      <c r="A46" s="23" t="inlineStr">
        <is>
          <t>wacc</t>
        </is>
      </c>
      <c r="B46" s="26" t="n">
        <v>0.2</v>
      </c>
      <c r="C46" s="23" t="inlineStr">
        <is>
          <t>oran</t>
        </is>
      </c>
      <c r="D46" s="23" t="inlineStr">
        <is>
          <t>Evet</t>
        </is>
      </c>
      <c r="E46" s="23" t="inlineStr">
        <is>
          <t>GIRDI</t>
        </is>
      </c>
      <c r="F46" s="24">
        <f>IF($A46="","",IF($B46="","EKSİK","TAM"))</f>
        <v/>
      </c>
    </row>
    <row r="47">
      <c r="A47" s="23" t="inlineStr">
        <is>
          <t>npv_donem</t>
        </is>
      </c>
      <c r="B47" s="25" t="n">
        <v>3</v>
      </c>
      <c r="C47" s="23" t="inlineStr">
        <is>
          <t>yıl</t>
        </is>
      </c>
      <c r="D47" s="23" t="inlineStr">
        <is>
          <t>Evet</t>
        </is>
      </c>
      <c r="E47" s="23" t="inlineStr">
        <is>
          <t>GIRDI</t>
        </is>
      </c>
      <c r="F47" s="24">
        <f>IF($A47="","",IF($B47="","EKSİK","TAM"))</f>
        <v/>
      </c>
    </row>
    <row r="48">
      <c r="A48" s="23" t="inlineStr">
        <is>
          <t>kredi_orani</t>
        </is>
      </c>
      <c r="B48" s="26" t="n">
        <v>0.35</v>
      </c>
      <c r="C48" s="23" t="inlineStr">
        <is>
          <t>oran</t>
        </is>
      </c>
      <c r="D48" s="23" t="inlineStr">
        <is>
          <t>Evet</t>
        </is>
      </c>
      <c r="E48" s="23" t="inlineStr">
        <is>
          <t>GIRDI</t>
        </is>
      </c>
      <c r="F48" s="24">
        <f>IF($A48="","",IF($B48="","EKSİK","TAM"))</f>
        <v/>
      </c>
    </row>
    <row r="49">
      <c r="A49" s="23" t="inlineStr">
        <is>
          <t>oz_kaynak_oran</t>
        </is>
      </c>
      <c r="B49" s="26" t="n">
        <v>0.45</v>
      </c>
      <c r="C49" s="23" t="inlineStr">
        <is>
          <t>oran</t>
        </is>
      </c>
      <c r="D49" s="23" t="inlineStr">
        <is>
          <t>Evet</t>
        </is>
      </c>
      <c r="E49" s="23" t="inlineStr">
        <is>
          <t>GIRDI</t>
        </is>
      </c>
      <c r="F49" s="24">
        <f>IF($A49="","",IF($B49="","EKSİK","TAM"))</f>
        <v/>
      </c>
    </row>
    <row r="50">
      <c r="F50" s="24">
        <f>IF($A50="","",IF($B50="","EKSİK","TAM"))</f>
        <v/>
      </c>
    </row>
    <row r="51">
      <c r="F51" s="24">
        <f>IF($A51="","",IF($B51="","EKSİK","TAM"))</f>
        <v/>
      </c>
    </row>
    <row r="52">
      <c r="F52" s="24">
        <f>IF($A52="","",IF($B52="","EKSİK","TAM"))</f>
        <v/>
      </c>
    </row>
    <row r="53">
      <c r="F53" s="24">
        <f>IF($A53="","",IF($B53="","EKSİK","TAM"))</f>
        <v/>
      </c>
    </row>
    <row r="54">
      <c r="F54" s="24">
        <f>IF($A54="","",IF($B54="","EKSİK","TAM"))</f>
        <v/>
      </c>
    </row>
    <row r="55">
      <c r="F55" s="24">
        <f>IF($A55="","",IF($B55="","EKSİK","TAM"))</f>
        <v/>
      </c>
    </row>
    <row r="56">
      <c r="F56" s="24">
        <f>IF($A56="","",IF($B56="","EKSİK","TAM"))</f>
        <v/>
      </c>
    </row>
    <row r="57">
      <c r="F57" s="24">
        <f>IF($A57="","",IF($B57="","EKSİK","TAM"))</f>
        <v/>
      </c>
    </row>
    <row r="58">
      <c r="F58" s="24">
        <f>IF($A58="","",IF($B58="","EKSİK","TAM"))</f>
        <v/>
      </c>
    </row>
    <row r="59">
      <c r="F59" s="24">
        <f>IF($A59="","",IF($B59="","EKSİK","TAM"))</f>
        <v/>
      </c>
    </row>
    <row r="60">
      <c r="F60" s="24">
        <f>IF($A60="","",IF($B60="","EKSİK","TAM"))</f>
        <v/>
      </c>
    </row>
    <row r="61">
      <c r="F61" s="24">
        <f>IF($A61="","",IF($B61="","EKSİK","TAM"))</f>
        <v/>
      </c>
    </row>
    <row r="62">
      <c r="F62" s="24">
        <f>IF($A62="","",IF($B62="","EKSİK","TAM"))</f>
        <v/>
      </c>
    </row>
    <row r="63">
      <c r="F63" s="24">
        <f>IF($A63="","",IF($B63="","EKSİK","TAM"))</f>
        <v/>
      </c>
    </row>
    <row r="64">
      <c r="F64" s="24">
        <f>IF($A64="","",IF($B64="","EKSİK","TAM"))</f>
        <v/>
      </c>
    </row>
    <row r="65">
      <c r="F65" s="24">
        <f>IF($A65="","",IF($B65="","EKSİK","TAM"))</f>
        <v/>
      </c>
    </row>
    <row r="66">
      <c r="F66" s="24">
        <f>IF($A66="","",IF($B66="","EKSİK","TAM"))</f>
        <v/>
      </c>
    </row>
    <row r="67">
      <c r="F67" s="24">
        <f>IF($A67="","",IF($B67="","EKSİK","TAM"))</f>
        <v/>
      </c>
    </row>
    <row r="68">
      <c r="F68" s="24">
        <f>IF($A68="","",IF($B68="","EKSİK","TAM"))</f>
        <v/>
      </c>
    </row>
    <row r="69">
      <c r="F69" s="24">
        <f>IF($A69="","",IF($B69="","EKSİK","TAM"))</f>
        <v/>
      </c>
    </row>
    <row r="70">
      <c r="F70" s="24">
        <f>IF($A70="","",IF($B70="","EKSİK","TAM"))</f>
        <v/>
      </c>
    </row>
    <row r="71">
      <c r="F71" s="24">
        <f>IF($A71="","",IF($B71="","EKSİK","TAM"))</f>
        <v/>
      </c>
    </row>
    <row r="72">
      <c r="F72" s="24">
        <f>IF($A72="","",IF($B72="","EKSİK","TAM"))</f>
        <v/>
      </c>
    </row>
    <row r="73">
      <c r="F73" s="24">
        <f>IF($A73="","",IF($B73="","EKSİK","TAM"))</f>
        <v/>
      </c>
    </row>
    <row r="74">
      <c r="F74" s="24">
        <f>IF($A74="","",IF($B74="","EKSİK","TAM"))</f>
        <v/>
      </c>
    </row>
    <row r="75">
      <c r="F75" s="24">
        <f>IF($A75="","",IF($B75="","EKSİK","TAM"))</f>
        <v/>
      </c>
    </row>
    <row r="76">
      <c r="F76" s="24">
        <f>IF($A76="","",IF($B76="","EKSİK","TAM"))</f>
        <v/>
      </c>
    </row>
    <row r="77">
      <c r="F77" s="24">
        <f>IF($A77="","",IF($B77="","EKSİK","TAM"))</f>
        <v/>
      </c>
    </row>
    <row r="78">
      <c r="F78" s="24">
        <f>IF($A78="","",IF($B78="","EKSİK","TAM"))</f>
        <v/>
      </c>
    </row>
    <row r="79">
      <c r="F79" s="24">
        <f>IF($A79="","",IF($B79="","EKSİK","TAM"))</f>
        <v/>
      </c>
    </row>
    <row r="80">
      <c r="F80" s="24">
        <f>IF($A80="","",IF($B80="","EKSİK","TAM"))</f>
        <v/>
      </c>
    </row>
    <row r="81">
      <c r="F81" s="24">
        <f>IF($A81="","",IF($B81="","EKSİK","TAM"))</f>
        <v/>
      </c>
    </row>
    <row r="82">
      <c r="F82" s="24">
        <f>IF($A82="","",IF($B82="","EKSİK","TAM"))</f>
        <v/>
      </c>
    </row>
    <row r="83">
      <c r="F83" s="24">
        <f>IF($A83="","",IF($B83="","EKSİK","TAM"))</f>
        <v/>
      </c>
    </row>
    <row r="84">
      <c r="F84" s="24">
        <f>IF($A84="","",IF($B84="","EKSİK","TAM"))</f>
        <v/>
      </c>
    </row>
    <row r="85">
      <c r="F85" s="24">
        <f>IF($A85="","",IF($B85="","EKSİK","TAM"))</f>
        <v/>
      </c>
    </row>
    <row r="86">
      <c r="F86" s="24">
        <f>IF($A86="","",IF($B86="","EKSİK","TAM"))</f>
        <v/>
      </c>
    </row>
    <row r="87">
      <c r="F87" s="24">
        <f>IF($A87="","",IF($B87="","EKSİK","TAM"))</f>
        <v/>
      </c>
    </row>
    <row r="88">
      <c r="F88" s="24">
        <f>IF($A88="","",IF($B88="","EKSİK","TAM"))</f>
        <v/>
      </c>
    </row>
    <row r="89">
      <c r="F89" s="24">
        <f>IF($A89="","",IF($B89="","EKSİK","TAM"))</f>
        <v/>
      </c>
    </row>
    <row r="90">
      <c r="F90" s="24">
        <f>IF($A90="","",IF($B90="","EKSİK","TAM"))</f>
        <v/>
      </c>
    </row>
    <row r="91">
      <c r="F91" s="24">
        <f>IF($A91="","",IF($B91="","EKSİK","TAM"))</f>
        <v/>
      </c>
    </row>
    <row r="92">
      <c r="F92" s="24">
        <f>IF($A92="","",IF($B92="","EKSİK","TAM"))</f>
        <v/>
      </c>
    </row>
    <row r="93">
      <c r="F93" s="24">
        <f>IF($A93="","",IF($B93="","EKSİK","TAM"))</f>
        <v/>
      </c>
    </row>
    <row r="94">
      <c r="F94" s="24">
        <f>IF($A94="","",IF($B94="","EKSİK","TAM"))</f>
        <v/>
      </c>
    </row>
    <row r="95">
      <c r="F95" s="24">
        <f>IF($A95="","",IF($B95="","EKSİK","TAM"))</f>
        <v/>
      </c>
    </row>
    <row r="96">
      <c r="F96" s="24">
        <f>IF($A96="","",IF($B96="","EKSİK","TAM"))</f>
        <v/>
      </c>
    </row>
    <row r="97">
      <c r="F97" s="24">
        <f>IF($A97="","",IF($B97="","EKSİK","TAM"))</f>
        <v/>
      </c>
    </row>
    <row r="98">
      <c r="F98" s="24">
        <f>IF($A98="","",IF($B98="","EKSİK","TAM"))</f>
        <v/>
      </c>
    </row>
    <row r="99">
      <c r="F99" s="24">
        <f>IF($A99="","",IF($B99="","EKSİK","TAM"))</f>
        <v/>
      </c>
    </row>
    <row r="100">
      <c r="F100" s="24">
        <f>IF($A100="","",IF($B100="","EKSİK","TAM"))</f>
        <v/>
      </c>
    </row>
    <row r="101">
      <c r="F101" s="24">
        <f>IF($A101="","",IF($B101="","EKSİK","TAM"))</f>
        <v/>
      </c>
    </row>
    <row r="102">
      <c r="F102" s="24">
        <f>IF($A102="","",IF($B102="","EKSİK","TAM"))</f>
        <v/>
      </c>
    </row>
    <row r="103">
      <c r="F103" s="24">
        <f>IF($A103="","",IF($B103="","EKSİK","TAM"))</f>
        <v/>
      </c>
    </row>
    <row r="104">
      <c r="F104" s="24">
        <f>IF($A104="","",IF($B104="","EKSİK","TAM"))</f>
        <v/>
      </c>
    </row>
    <row r="105">
      <c r="F105" s="24">
        <f>IF($A105="","",IF($B105="","EKSİK","TAM"))</f>
        <v/>
      </c>
    </row>
    <row r="106">
      <c r="F106" s="24">
        <f>IF($A106="","",IF($B106="","EKSİK","TAM"))</f>
        <v/>
      </c>
    </row>
    <row r="107">
      <c r="F107" s="24">
        <f>IF($A107="","",IF($B107="","EKSİK","TAM"))</f>
        <v/>
      </c>
    </row>
    <row r="108">
      <c r="F108" s="24">
        <f>IF($A108="","",IF($B108="","EKSİK","TAM"))</f>
        <v/>
      </c>
    </row>
    <row r="109">
      <c r="F109" s="24">
        <f>IF($A109="","",IF($B109="","EKSİK","TAM"))</f>
        <v/>
      </c>
    </row>
    <row r="110">
      <c r="F110" s="24">
        <f>IF($A110="","",IF($B110="","EKSİK","TAM"))</f>
        <v/>
      </c>
    </row>
    <row r="111">
      <c r="F111" s="24">
        <f>IF($A111="","",IF($B111="","EKSİK","TAM"))</f>
        <v/>
      </c>
    </row>
    <row r="112">
      <c r="F112" s="24">
        <f>IF($A112="","",IF($B112="","EKSİK","TAM"))</f>
        <v/>
      </c>
    </row>
    <row r="113">
      <c r="F113" s="24">
        <f>IF($A113="","",IF($B113="","EKSİK","TAM"))</f>
        <v/>
      </c>
    </row>
    <row r="114">
      <c r="F114" s="24">
        <f>IF($A114="","",IF($B114="","EKSİK","TAM"))</f>
        <v/>
      </c>
    </row>
    <row r="115">
      <c r="F115" s="24">
        <f>IF($A115="","",IF($B115="","EKSİK","TAM"))</f>
        <v/>
      </c>
    </row>
    <row r="116">
      <c r="F116" s="24">
        <f>IF($A116="","",IF($B116="","EKSİK","TAM"))</f>
        <v/>
      </c>
    </row>
    <row r="117">
      <c r="F117" s="24">
        <f>IF($A117="","",IF($B117="","EKSİK","TAM"))</f>
        <v/>
      </c>
    </row>
    <row r="118">
      <c r="F118" s="24">
        <f>IF($A118="","",IF($B118="","EKSİK","TAM"))</f>
        <v/>
      </c>
    </row>
    <row r="119">
      <c r="F119" s="24">
        <f>IF($A119="","",IF($B119="","EKSİK","TAM"))</f>
        <v/>
      </c>
    </row>
    <row r="120">
      <c r="F120" s="24">
        <f>IF($A120="","",IF($B120="","EKSİK","TAM"))</f>
        <v/>
      </c>
    </row>
    <row r="121">
      <c r="F121" s="24">
        <f>IF($A121="","",IF($B121="","EKSİK","TAM"))</f>
        <v/>
      </c>
    </row>
    <row r="122">
      <c r="F122" s="24">
        <f>IF($A122="","",IF($B122="","EKSİK","TAM"))</f>
        <v/>
      </c>
    </row>
    <row r="123">
      <c r="F123" s="24">
        <f>IF($A123="","",IF($B123="","EKSİK","TAM"))</f>
        <v/>
      </c>
    </row>
    <row r="124">
      <c r="F124" s="24">
        <f>IF($A124="","",IF($B124="","EKSİK","TAM"))</f>
        <v/>
      </c>
    </row>
    <row r="125">
      <c r="F125" s="24">
        <f>IF($A125="","",IF($B125="","EKSİK","TAM"))</f>
        <v/>
      </c>
    </row>
    <row r="126">
      <c r="F126" s="24">
        <f>IF($A126="","",IF($B126="","EKSİK","TAM"))</f>
        <v/>
      </c>
    </row>
    <row r="127">
      <c r="F127" s="24">
        <f>IF($A127="","",IF($B127="","EKSİK","TAM"))</f>
        <v/>
      </c>
    </row>
    <row r="128">
      <c r="F128" s="24">
        <f>IF($A128="","",IF($B128="","EKSİK","TAM"))</f>
        <v/>
      </c>
    </row>
    <row r="129">
      <c r="F129" s="24">
        <f>IF($A129="","",IF($B129="","EKSİK","TAM"))</f>
        <v/>
      </c>
    </row>
    <row r="130">
      <c r="F130" s="24">
        <f>IF($A130="","",IF($B130="","EKSİK","TAM"))</f>
        <v/>
      </c>
    </row>
    <row r="131">
      <c r="F131" s="24">
        <f>IF($A131="","",IF($B131="","EKSİK","TAM"))</f>
        <v/>
      </c>
    </row>
    <row r="132">
      <c r="F132" s="24">
        <f>IF($A132="","",IF($B132="","EKSİK","TAM"))</f>
        <v/>
      </c>
    </row>
    <row r="133">
      <c r="F133" s="24">
        <f>IF($A133="","",IF($B133="","EKSİK","TAM"))</f>
        <v/>
      </c>
    </row>
    <row r="134">
      <c r="F134" s="24">
        <f>IF($A134="","",IF($B134="","EKSİK","TAM"))</f>
        <v/>
      </c>
    </row>
    <row r="135">
      <c r="F135" s="24">
        <f>IF($A135="","",IF($B135="","EKSİK","TAM"))</f>
        <v/>
      </c>
    </row>
    <row r="136">
      <c r="F136" s="24">
        <f>IF($A136="","",IF($B136="","EKSİK","TAM"))</f>
        <v/>
      </c>
    </row>
    <row r="137">
      <c r="F137" s="24">
        <f>IF($A137="","",IF($B137="","EKSİK","TAM"))</f>
        <v/>
      </c>
    </row>
    <row r="138">
      <c r="F138" s="24">
        <f>IF($A138="","",IF($B138="","EKSİK","TAM"))</f>
        <v/>
      </c>
    </row>
    <row r="139">
      <c r="F139" s="24">
        <f>IF($A139="","",IF($B139="","EKSİK","TAM"))</f>
        <v/>
      </c>
    </row>
    <row r="140">
      <c r="F140" s="24">
        <f>IF($A140="","",IF($B140="","EKSİK","TAM"))</f>
        <v/>
      </c>
    </row>
    <row r="141">
      <c r="F141" s="24">
        <f>IF($A141="","",IF($B141="","EKSİK","TAM"))</f>
        <v/>
      </c>
    </row>
    <row r="142">
      <c r="F142" s="24">
        <f>IF($A142="","",IF($B142="","EKSİK","TAM"))</f>
        <v/>
      </c>
    </row>
    <row r="143">
      <c r="F143" s="24">
        <f>IF($A143="","",IF($B143="","EKSİK","TAM"))</f>
        <v/>
      </c>
    </row>
    <row r="144">
      <c r="F144" s="24">
        <f>IF($A144="","",IF($B144="","EKSİK","TAM"))</f>
        <v/>
      </c>
    </row>
    <row r="145">
      <c r="F145" s="24">
        <f>IF($A145="","",IF($B145="","EKSİK","TAM"))</f>
        <v/>
      </c>
    </row>
    <row r="146">
      <c r="F146" s="24">
        <f>IF($A146="","",IF($B146="","EKSİK","TAM"))</f>
        <v/>
      </c>
    </row>
    <row r="147">
      <c r="F147" s="24">
        <f>IF($A147="","",IF($B147="","EKSİK","TAM"))</f>
        <v/>
      </c>
    </row>
    <row r="148">
      <c r="F148" s="24">
        <f>IF($A148="","",IF($B148="","EKSİK","TAM"))</f>
        <v/>
      </c>
    </row>
    <row r="149">
      <c r="F149" s="24">
        <f>IF($A149="","",IF($B149="","EKSİK","TAM"))</f>
        <v/>
      </c>
    </row>
    <row r="150">
      <c r="F150" s="24">
        <f>IF($A150="","",IF($B150="","EKSİK","TAM"))</f>
        <v/>
      </c>
    </row>
    <row r="151">
      <c r="F151" s="24">
        <f>IF($A151="","",IF($B151="","EKSİK","TAM"))</f>
        <v/>
      </c>
    </row>
    <row r="152">
      <c r="F152" s="24">
        <f>IF($A152="","",IF($B152="","EKSİK","TAM"))</f>
        <v/>
      </c>
    </row>
    <row r="153">
      <c r="F153" s="24">
        <f>IF($A153="","",IF($B153="","EKSİK","TAM"))</f>
        <v/>
      </c>
    </row>
    <row r="154">
      <c r="F154" s="24">
        <f>IF($A154="","",IF($B154="","EKSİK","TAM"))</f>
        <v/>
      </c>
    </row>
    <row r="155">
      <c r="F155" s="24">
        <f>IF($A155="","",IF($B155="","EKSİK","TAM"))</f>
        <v/>
      </c>
    </row>
    <row r="156">
      <c r="F156" s="24">
        <f>IF($A156="","",IF($B156="","EKSİK","TAM"))</f>
        <v/>
      </c>
    </row>
    <row r="157">
      <c r="F157" s="24">
        <f>IF($A157="","",IF($B157="","EKSİK","TAM"))</f>
        <v/>
      </c>
    </row>
    <row r="158">
      <c r="F158" s="24">
        <f>IF($A158="","",IF($B158="","EKSİK","TAM"))</f>
        <v/>
      </c>
    </row>
    <row r="159">
      <c r="F159" s="24">
        <f>IF($A159="","",IF($B159="","EKSİK","TAM"))</f>
        <v/>
      </c>
    </row>
    <row r="160">
      <c r="F160" s="24">
        <f>IF($A160="","",IF($B160="","EKSİK","TAM"))</f>
        <v/>
      </c>
    </row>
    <row r="161">
      <c r="F161" s="24">
        <f>IF($A161="","",IF($B161="","EKSİK","TAM"))</f>
        <v/>
      </c>
    </row>
    <row r="162">
      <c r="F162" s="24">
        <f>IF($A162="","",IF($B162="","EKSİK","TAM"))</f>
        <v/>
      </c>
    </row>
    <row r="163">
      <c r="F163" s="24">
        <f>IF($A163="","",IF($B163="","EKSİK","TAM"))</f>
        <v/>
      </c>
    </row>
    <row r="164">
      <c r="F164" s="24">
        <f>IF($A164="","",IF($B164="","EKSİK","TAM"))</f>
        <v/>
      </c>
    </row>
    <row r="165">
      <c r="F165" s="24">
        <f>IF($A165="","",IF($B165="","EKSİK","TAM"))</f>
        <v/>
      </c>
    </row>
    <row r="166">
      <c r="F166" s="24">
        <f>IF($A166="","",IF($B166="","EKSİK","TAM"))</f>
        <v/>
      </c>
    </row>
    <row r="167">
      <c r="F167" s="24">
        <f>IF($A167="","",IF($B167="","EKSİK","TAM"))</f>
        <v/>
      </c>
    </row>
    <row r="168">
      <c r="F168" s="24">
        <f>IF($A168="","",IF($B168="","EKSİK","TAM"))</f>
        <v/>
      </c>
    </row>
    <row r="169">
      <c r="F169" s="24">
        <f>IF($A169="","",IF($B169="","EKSİK","TAM"))</f>
        <v/>
      </c>
    </row>
    <row r="170">
      <c r="F170" s="24">
        <f>IF($A170="","",IF($B170="","EKSİK","TAM"))</f>
        <v/>
      </c>
    </row>
    <row r="171">
      <c r="F171" s="24">
        <f>IF($A171="","",IF($B171="","EKSİK","TAM"))</f>
        <v/>
      </c>
    </row>
    <row r="172">
      <c r="F172" s="24">
        <f>IF($A172="","",IF($B172="","EKSİK","TAM"))</f>
        <v/>
      </c>
    </row>
    <row r="173">
      <c r="F173" s="24">
        <f>IF($A173="","",IF($B173="","EKSİK","TAM"))</f>
        <v/>
      </c>
    </row>
    <row r="174">
      <c r="F174" s="24">
        <f>IF($A174="","",IF($B174="","EKSİK","TAM"))</f>
        <v/>
      </c>
    </row>
    <row r="175">
      <c r="F175" s="24">
        <f>IF($A175="","",IF($B175="","EKSİK","TAM"))</f>
        <v/>
      </c>
    </row>
    <row r="176">
      <c r="F176" s="24">
        <f>IF($A176="","",IF($B176="","EKSİK","TAM"))</f>
        <v/>
      </c>
    </row>
    <row r="177">
      <c r="F177" s="24">
        <f>IF($A177="","",IF($B177="","EKSİK","TAM"))</f>
        <v/>
      </c>
    </row>
    <row r="178">
      <c r="F178" s="24">
        <f>IF($A178="","",IF($B178="","EKSİK","TAM"))</f>
        <v/>
      </c>
    </row>
    <row r="179">
      <c r="F179" s="24">
        <f>IF($A179="","",IF($B179="","EKSİK","TAM"))</f>
        <v/>
      </c>
    </row>
    <row r="180">
      <c r="F180" s="24">
        <f>IF($A180="","",IF($B180="","EKSİK","TAM"))</f>
        <v/>
      </c>
    </row>
    <row r="181">
      <c r="F181" s="24">
        <f>IF($A181="","",IF($B181="","EKSİK","TAM"))</f>
        <v/>
      </c>
    </row>
    <row r="182">
      <c r="F182" s="24">
        <f>IF($A182="","",IF($B182="","EKSİK","TAM"))</f>
        <v/>
      </c>
    </row>
    <row r="183">
      <c r="F183" s="24">
        <f>IF($A183="","",IF($B183="","EKSİK","TAM"))</f>
        <v/>
      </c>
    </row>
    <row r="184">
      <c r="F184" s="24">
        <f>IF($A184="","",IF($B184="","EKSİK","TAM"))</f>
        <v/>
      </c>
    </row>
    <row r="185">
      <c r="F185" s="24">
        <f>IF($A185="","",IF($B185="","EKSİK","TAM"))</f>
        <v/>
      </c>
    </row>
    <row r="186">
      <c r="F186" s="24">
        <f>IF($A186="","",IF($B186="","EKSİK","TAM"))</f>
        <v/>
      </c>
    </row>
    <row r="187">
      <c r="F187" s="24">
        <f>IF($A187="","",IF($B187="","EKSİK","TAM"))</f>
        <v/>
      </c>
    </row>
    <row r="188">
      <c r="F188" s="24">
        <f>IF($A188="","",IF($B188="","EKSİK","TAM"))</f>
        <v/>
      </c>
    </row>
    <row r="189">
      <c r="F189" s="24">
        <f>IF($A189="","",IF($B189="","EKSİK","TAM"))</f>
        <v/>
      </c>
    </row>
    <row r="190">
      <c r="F190" s="24">
        <f>IF($A190="","",IF($B190="","EKSİK","TAM"))</f>
        <v/>
      </c>
    </row>
    <row r="191">
      <c r="F191" s="24">
        <f>IF($A191="","",IF($B191="","EKSİK","TAM"))</f>
        <v/>
      </c>
    </row>
    <row r="192">
      <c r="F192" s="24">
        <f>IF($A192="","",IF($B192="","EKSİK","TAM"))</f>
        <v/>
      </c>
    </row>
    <row r="193">
      <c r="F193" s="24">
        <f>IF($A193="","",IF($B193="","EKSİK","TAM"))</f>
        <v/>
      </c>
    </row>
    <row r="194">
      <c r="F194" s="24">
        <f>IF($A194="","",IF($B194="","EKSİK","TAM"))</f>
        <v/>
      </c>
    </row>
    <row r="195">
      <c r="F195" s="24">
        <f>IF($A195="","",IF($B195="","EKSİK","TAM"))</f>
        <v/>
      </c>
    </row>
    <row r="196">
      <c r="F196" s="24">
        <f>IF($A196="","",IF($B196="","EKSİK","TAM"))</f>
        <v/>
      </c>
    </row>
    <row r="197">
      <c r="F197" s="24">
        <f>IF($A197="","",IF($B197="","EKSİK","TAM"))</f>
        <v/>
      </c>
    </row>
    <row r="198">
      <c r="F198" s="24">
        <f>IF($A198="","",IF($B198="","EKSİK","TAM"))</f>
        <v/>
      </c>
    </row>
    <row r="199">
      <c r="F199" s="24">
        <f>IF($A199="","",IF($B199="","EKSİK","TAM"))</f>
        <v/>
      </c>
    </row>
    <row r="200">
      <c r="F200" s="24">
        <f>IF($A200="","",IF($B200="","EKSİK","TAM"))</f>
        <v/>
      </c>
    </row>
    <row r="201">
      <c r="F201" s="24">
        <f>IF($A201="","",IF($B201="","EKSİK","TAM"))</f>
        <v/>
      </c>
    </row>
    <row r="202">
      <c r="F202" s="24">
        <f>IF($A202="","",IF($B202="","EKSİK","TAM"))</f>
        <v/>
      </c>
    </row>
    <row r="203">
      <c r="F203" s="24">
        <f>IF($A203="","",IF($B203="","EKSİK","TAM"))</f>
        <v/>
      </c>
    </row>
    <row r="204">
      <c r="F204" s="24">
        <f>IF($A204="","",IF($B204="","EKSİK","TAM"))</f>
        <v/>
      </c>
    </row>
    <row r="205">
      <c r="F205" s="24">
        <f>IF($A205="","",IF($B205="","EKSİK","TAM"))</f>
        <v/>
      </c>
    </row>
    <row r="206">
      <c r="F206" s="24">
        <f>IF($A206="","",IF($B206="","EKSİK","TAM"))</f>
        <v/>
      </c>
    </row>
    <row r="207">
      <c r="F207" s="24">
        <f>IF($A207="","",IF($B207="","EKSİK","TAM"))</f>
        <v/>
      </c>
    </row>
    <row r="208">
      <c r="F208" s="24">
        <f>IF($A208="","",IF($B208="","EKSİK","TAM"))</f>
        <v/>
      </c>
    </row>
    <row r="209">
      <c r="F209" s="24">
        <f>IF($A209="","",IF($B209="","EKSİK","TAM"))</f>
        <v/>
      </c>
    </row>
    <row r="210">
      <c r="F210" s="24">
        <f>IF($A210="","",IF($B210="","EKSİK","TAM"))</f>
        <v/>
      </c>
    </row>
    <row r="211">
      <c r="F211" s="24">
        <f>IF($A211="","",IF($B211="","EKSİK","TAM"))</f>
        <v/>
      </c>
    </row>
    <row r="212">
      <c r="F212" s="24">
        <f>IF($A212="","",IF($B212="","EKSİK","TAM"))</f>
        <v/>
      </c>
    </row>
    <row r="213">
      <c r="F213" s="24">
        <f>IF($A213="","",IF($B213="","EKSİK","TAM"))</f>
        <v/>
      </c>
    </row>
    <row r="214">
      <c r="F214" s="24">
        <f>IF($A214="","",IF($B214="","EKSİK","TAM"))</f>
        <v/>
      </c>
    </row>
    <row r="215">
      <c r="F215" s="24">
        <f>IF($A215="","",IF($B215="","EKSİK","TAM"))</f>
        <v/>
      </c>
    </row>
    <row r="216">
      <c r="F216" s="24">
        <f>IF($A216="","",IF($B216="","EKSİK","TAM"))</f>
        <v/>
      </c>
    </row>
    <row r="217">
      <c r="F217" s="24">
        <f>IF($A217="","",IF($B217="","EKSİK","TAM"))</f>
        <v/>
      </c>
    </row>
    <row r="218">
      <c r="F218" s="24">
        <f>IF($A218="","",IF($B218="","EKSİK","TAM"))</f>
        <v/>
      </c>
    </row>
    <row r="219">
      <c r="F219" s="24">
        <f>IF($A219="","",IF($B219="","EKSİK","TAM"))</f>
        <v/>
      </c>
    </row>
    <row r="220">
      <c r="F220" s="24">
        <f>IF($A220="","",IF($B220="","EKSİK","TAM"))</f>
        <v/>
      </c>
    </row>
    <row r="221">
      <c r="F221" s="24">
        <f>IF($A221="","",IF($B221="","EKSİK","TAM"))</f>
        <v/>
      </c>
    </row>
    <row r="222">
      <c r="F222" s="24">
        <f>IF($A222="","",IF($B222="","EKSİK","TAM"))</f>
        <v/>
      </c>
    </row>
    <row r="223">
      <c r="F223" s="24">
        <f>IF($A223="","",IF($B223="","EKSİK","TAM"))</f>
        <v/>
      </c>
    </row>
    <row r="224">
      <c r="F224" s="24">
        <f>IF($A224="","",IF($B224="","EKSİK","TAM"))</f>
        <v/>
      </c>
    </row>
    <row r="225">
      <c r="F225" s="24">
        <f>IF($A225="","",IF($B225="","EKSİK","TAM"))</f>
        <v/>
      </c>
    </row>
    <row r="226">
      <c r="F226" s="24">
        <f>IF($A226="","",IF($B226="","EKSİK","TAM"))</f>
        <v/>
      </c>
    </row>
    <row r="227">
      <c r="F227" s="24">
        <f>IF($A227="","",IF($B227="","EKSİK","TAM"))</f>
        <v/>
      </c>
    </row>
    <row r="228">
      <c r="F228" s="24">
        <f>IF($A228="","",IF($B228="","EKSİK","TAM"))</f>
        <v/>
      </c>
    </row>
    <row r="229">
      <c r="F229" s="24">
        <f>IF($A229="","",IF($B229="","EKSİK","TAM"))</f>
        <v/>
      </c>
    </row>
    <row r="230">
      <c r="F230" s="24">
        <f>IF($A230="","",IF($B230="","EKSİK","TAM"))</f>
        <v/>
      </c>
    </row>
    <row r="231">
      <c r="F231" s="24">
        <f>IF($A231="","",IF($B231="","EKSİK","TAM"))</f>
        <v/>
      </c>
    </row>
    <row r="232">
      <c r="F232" s="24">
        <f>IF($A232="","",IF($B232="","EKSİK","TAM"))</f>
        <v/>
      </c>
    </row>
    <row r="233">
      <c r="F233" s="24">
        <f>IF($A233="","",IF($B233="","EKSİK","TAM"))</f>
        <v/>
      </c>
    </row>
    <row r="234">
      <c r="F234" s="24">
        <f>IF($A234="","",IF($B234="","EKSİK","TAM"))</f>
        <v/>
      </c>
    </row>
    <row r="235">
      <c r="F235" s="24">
        <f>IF($A235="","",IF($B235="","EKSİK","TAM"))</f>
        <v/>
      </c>
    </row>
    <row r="236">
      <c r="F236" s="24">
        <f>IF($A236="","",IF($B236="","EKSİK","TAM"))</f>
        <v/>
      </c>
    </row>
    <row r="237">
      <c r="F237" s="24">
        <f>IF($A237="","",IF($B237="","EKSİK","TAM"))</f>
        <v/>
      </c>
    </row>
    <row r="238">
      <c r="F238" s="24">
        <f>IF($A238="","",IF($B238="","EKSİK","TAM"))</f>
        <v/>
      </c>
    </row>
    <row r="239">
      <c r="F239" s="24">
        <f>IF($A239="","",IF($B239="","EKSİK","TAM"))</f>
        <v/>
      </c>
    </row>
    <row r="240">
      <c r="F240" s="24">
        <f>IF($A240="","",IF($B240="","EKSİK","TAM"))</f>
        <v/>
      </c>
    </row>
    <row r="241">
      <c r="F241" s="24">
        <f>IF($A241="","",IF($B241="","EKSİK","TAM"))</f>
        <v/>
      </c>
    </row>
    <row r="242">
      <c r="F242" s="24">
        <f>IF($A242="","",IF($B242="","EKSİK","TAM"))</f>
        <v/>
      </c>
    </row>
    <row r="243">
      <c r="F243" s="24">
        <f>IF($A243="","",IF($B243="","EKSİK","TAM"))</f>
        <v/>
      </c>
    </row>
    <row r="244">
      <c r="F244" s="24">
        <f>IF($A244="","",IF($B244="","EKSİK","TAM"))</f>
        <v/>
      </c>
    </row>
    <row r="245">
      <c r="F245" s="24">
        <f>IF($A245="","",IF($B245="","EKSİK","TAM"))</f>
        <v/>
      </c>
    </row>
    <row r="246">
      <c r="F246" s="24">
        <f>IF($A246="","",IF($B246="","EKSİK","TAM"))</f>
        <v/>
      </c>
    </row>
    <row r="247">
      <c r="F247" s="24">
        <f>IF($A247="","",IF($B247="","EKSİK","TAM"))</f>
        <v/>
      </c>
    </row>
    <row r="248">
      <c r="F248" s="24">
        <f>IF($A248="","",IF($B248="","EKSİK","TAM"))</f>
        <v/>
      </c>
    </row>
    <row r="249">
      <c r="F249" s="24">
        <f>IF($A249="","",IF($B249="","EKSİK","TAM"))</f>
        <v/>
      </c>
    </row>
    <row r="250">
      <c r="F250" s="24">
        <f>IF($A250="","",IF($B250="","EKSİK","TAM"))</f>
        <v/>
      </c>
    </row>
    <row r="251">
      <c r="F251" s="24">
        <f>IF($A251="","",IF($B251="","EKSİK","TAM"))</f>
        <v/>
      </c>
    </row>
    <row r="252">
      <c r="F252" s="24">
        <f>IF($A252="","",IF($B252="","EKSİK","TAM"))</f>
        <v/>
      </c>
    </row>
    <row r="253">
      <c r="F253" s="24">
        <f>IF($A253="","",IF($B253="","EKSİK","TAM"))</f>
        <v/>
      </c>
    </row>
    <row r="254">
      <c r="F254" s="24">
        <f>IF($A254="","",IF($B254="","EKSİK","TAM"))</f>
        <v/>
      </c>
    </row>
    <row r="255">
      <c r="F255" s="24">
        <f>IF($A255="","",IF($B255="","EKSİK","TAM"))</f>
        <v/>
      </c>
    </row>
    <row r="256">
      <c r="F256" s="24">
        <f>IF($A256="","",IF($B256="","EKSİK","TAM"))</f>
        <v/>
      </c>
    </row>
    <row r="257">
      <c r="F257" s="24">
        <f>IF($A257="","",IF($B257="","EKSİK","TAM"))</f>
        <v/>
      </c>
    </row>
    <row r="258">
      <c r="F258" s="24">
        <f>IF($A258="","",IF($B258="","EKSİK","TAM"))</f>
        <v/>
      </c>
    </row>
    <row r="259">
      <c r="F259" s="24">
        <f>IF($A259="","",IF($B259="","EKSİK","TAM"))</f>
        <v/>
      </c>
    </row>
    <row r="260">
      <c r="F260" s="24">
        <f>IF($A260="","",IF($B260="","EKSİK","TAM"))</f>
        <v/>
      </c>
    </row>
    <row r="261">
      <c r="F261" s="24">
        <f>IF($A261="","",IF($B261="","EKSİK","TAM"))</f>
        <v/>
      </c>
    </row>
    <row r="262">
      <c r="F262" s="24">
        <f>IF($A262="","",IF($B262="","EKSİK","TAM"))</f>
        <v/>
      </c>
    </row>
    <row r="263">
      <c r="F263" s="24">
        <f>IF($A263="","",IF($B263="","EKSİK","TAM"))</f>
        <v/>
      </c>
    </row>
    <row r="264">
      <c r="F264" s="24">
        <f>IF($A264="","",IF($B264="","EKSİK","TAM"))</f>
        <v/>
      </c>
    </row>
    <row r="265">
      <c r="F265" s="24">
        <f>IF($A265="","",IF($B265="","EKSİK","TAM"))</f>
        <v/>
      </c>
    </row>
    <row r="266">
      <c r="F266" s="24">
        <f>IF($A266="","",IF($B266="","EKSİK","TAM"))</f>
        <v/>
      </c>
    </row>
    <row r="267">
      <c r="F267" s="24">
        <f>IF($A267="","",IF($B267="","EKSİK","TAM"))</f>
        <v/>
      </c>
    </row>
    <row r="268">
      <c r="F268" s="24">
        <f>IF($A268="","",IF($B268="","EKSİK","TAM"))</f>
        <v/>
      </c>
    </row>
    <row r="269">
      <c r="F269" s="24">
        <f>IF($A269="","",IF($B269="","EKSİK","TAM"))</f>
        <v/>
      </c>
    </row>
    <row r="270">
      <c r="F270" s="24">
        <f>IF($A270="","",IF($B270="","EKSİK","TAM"))</f>
        <v/>
      </c>
    </row>
    <row r="271">
      <c r="F271" s="24">
        <f>IF($A271="","",IF($B271="","EKSİK","TAM"))</f>
        <v/>
      </c>
    </row>
    <row r="272">
      <c r="F272" s="24">
        <f>IF($A272="","",IF($B272="","EKSİK","TAM"))</f>
        <v/>
      </c>
    </row>
    <row r="273">
      <c r="F273" s="24">
        <f>IF($A273="","",IF($B273="","EKSİK","TAM"))</f>
        <v/>
      </c>
    </row>
    <row r="274">
      <c r="F274" s="24">
        <f>IF($A274="","",IF($B274="","EKSİK","TAM"))</f>
        <v/>
      </c>
    </row>
    <row r="275">
      <c r="F275" s="24">
        <f>IF($A275="","",IF($B275="","EKSİK","TAM"))</f>
        <v/>
      </c>
    </row>
    <row r="276">
      <c r="F276" s="24">
        <f>IF($A276="","",IF($B276="","EKSİK","TAM"))</f>
        <v/>
      </c>
    </row>
    <row r="277">
      <c r="F277" s="24">
        <f>IF($A277="","",IF($B277="","EKSİK","TAM"))</f>
        <v/>
      </c>
    </row>
    <row r="278">
      <c r="F278" s="24">
        <f>IF($A278="","",IF($B278="","EKSİK","TAM"))</f>
        <v/>
      </c>
    </row>
    <row r="279">
      <c r="F279" s="24">
        <f>IF($A279="","",IF($B279="","EKSİK","TAM"))</f>
        <v/>
      </c>
    </row>
    <row r="280">
      <c r="F280" s="24">
        <f>IF($A280="","",IF($B280="","EKSİK","TAM"))</f>
        <v/>
      </c>
    </row>
    <row r="281">
      <c r="F281" s="24">
        <f>IF($A281="","",IF($B281="","EKSİK","TAM"))</f>
        <v/>
      </c>
    </row>
    <row r="282">
      <c r="F282" s="24">
        <f>IF($A282="","",IF($B282="","EKSİK","TAM"))</f>
        <v/>
      </c>
    </row>
    <row r="283">
      <c r="F283" s="24">
        <f>IF($A283="","",IF($B283="","EKSİK","TAM"))</f>
        <v/>
      </c>
    </row>
    <row r="284">
      <c r="F284" s="24">
        <f>IF($A284="","",IF($B284="","EKSİK","TAM"))</f>
        <v/>
      </c>
    </row>
    <row r="285">
      <c r="F285" s="24">
        <f>IF($A285="","",IF($B285="","EKSİK","TAM"))</f>
        <v/>
      </c>
    </row>
    <row r="286">
      <c r="F286" s="24">
        <f>IF($A286="","",IF($B286="","EKSİK","TAM"))</f>
        <v/>
      </c>
    </row>
    <row r="287">
      <c r="F287" s="24">
        <f>IF($A287="","",IF($B287="","EKSİK","TAM"))</f>
        <v/>
      </c>
    </row>
    <row r="288">
      <c r="F288" s="24">
        <f>IF($A288="","",IF($B288="","EKSİK","TAM"))</f>
        <v/>
      </c>
    </row>
    <row r="289">
      <c r="F289" s="24">
        <f>IF($A289="","",IF($B289="","EKSİK","TAM"))</f>
        <v/>
      </c>
    </row>
    <row r="290">
      <c r="F290" s="24">
        <f>IF($A290="","",IF($B290="","EKSİK","TAM"))</f>
        <v/>
      </c>
    </row>
    <row r="291">
      <c r="F291" s="24">
        <f>IF($A291="","",IF($B291="","EKSİK","TAM"))</f>
        <v/>
      </c>
    </row>
    <row r="292">
      <c r="F292" s="24">
        <f>IF($A292="","",IF($B292="","EKSİK","TAM"))</f>
        <v/>
      </c>
    </row>
    <row r="293">
      <c r="F293" s="24">
        <f>IF($A293="","",IF($B293="","EKSİK","TAM"))</f>
        <v/>
      </c>
    </row>
    <row r="294">
      <c r="F294" s="24">
        <f>IF($A294="","",IF($B294="","EKSİK","TAM"))</f>
        <v/>
      </c>
    </row>
    <row r="295">
      <c r="F295" s="24">
        <f>IF($A295="","",IF($B295="","EKSİK","TAM"))</f>
        <v/>
      </c>
    </row>
    <row r="296">
      <c r="F296" s="24">
        <f>IF($A296="","",IF($B296="","EKSİK","TAM"))</f>
        <v/>
      </c>
    </row>
    <row r="297">
      <c r="F297" s="24">
        <f>IF($A297="","",IF($B297="","EKSİK","TAM"))</f>
        <v/>
      </c>
    </row>
    <row r="298">
      <c r="F298" s="24">
        <f>IF($A298="","",IF($B298="","EKSİK","TAM"))</f>
        <v/>
      </c>
    </row>
    <row r="299">
      <c r="F299" s="24">
        <f>IF($A299="","",IF($B299="","EKSİK","TAM"))</f>
        <v/>
      </c>
    </row>
    <row r="300">
      <c r="F300" s="24">
        <f>IF($A300="","",IF($B300="","EKSİK","TAM"))</f>
        <v/>
      </c>
    </row>
    <row r="301">
      <c r="F301" s="24">
        <f>IF($A301="","",IF($B301="","EKSİK","TAM"))</f>
        <v/>
      </c>
    </row>
    <row r="302">
      <c r="F302" s="24">
        <f>IF($A302="","",IF($B302="","EKSİK","TAM"))</f>
        <v/>
      </c>
    </row>
    <row r="303">
      <c r="F303" s="24">
        <f>IF($A303="","",IF($B303="","EKSİK","TAM"))</f>
        <v/>
      </c>
    </row>
    <row r="304">
      <c r="F304" s="24">
        <f>IF($A304="","",IF($B304="","EKSİK","TAM"))</f>
        <v/>
      </c>
    </row>
    <row r="305">
      <c r="F305" s="24">
        <f>IF($A305="","",IF($B305="","EKSİK","TAM"))</f>
        <v/>
      </c>
    </row>
    <row r="306">
      <c r="F306" s="24">
        <f>IF($A306="","",IF($B306="","EKSİK","TAM"))</f>
        <v/>
      </c>
    </row>
    <row r="307">
      <c r="F307" s="24">
        <f>IF($A307="","",IF($B307="","EKSİK","TAM"))</f>
        <v/>
      </c>
    </row>
    <row r="308">
      <c r="F308" s="24">
        <f>IF($A308="","",IF($B308="","EKSİK","TAM"))</f>
        <v/>
      </c>
    </row>
    <row r="309">
      <c r="F309" s="24">
        <f>IF($A309="","",IF($B309="","EKSİK","TAM"))</f>
        <v/>
      </c>
    </row>
    <row r="310">
      <c r="F310" s="24">
        <f>IF($A310="","",IF($B310="","EKSİK","TAM"))</f>
        <v/>
      </c>
    </row>
    <row r="311">
      <c r="F311" s="24">
        <f>IF($A311="","",IF($B311="","EKSİK","TAM"))</f>
        <v/>
      </c>
    </row>
    <row r="312">
      <c r="F312" s="24">
        <f>IF($A312="","",IF($B312="","EKSİK","TAM"))</f>
        <v/>
      </c>
    </row>
    <row r="313">
      <c r="F313" s="24">
        <f>IF($A313="","",IF($B313="","EKSİK","TAM"))</f>
        <v/>
      </c>
    </row>
    <row r="314">
      <c r="F314" s="24">
        <f>IF($A314="","",IF($B314="","EKSİK","TAM"))</f>
        <v/>
      </c>
    </row>
    <row r="315">
      <c r="F315" s="24">
        <f>IF($A315="","",IF($B315="","EKSİK","TAM"))</f>
        <v/>
      </c>
    </row>
    <row r="316">
      <c r="F316" s="24">
        <f>IF($A316="","",IF($B316="","EKSİK","TAM"))</f>
        <v/>
      </c>
    </row>
    <row r="317">
      <c r="F317" s="24">
        <f>IF($A317="","",IF($B317="","EKSİK","TAM"))</f>
        <v/>
      </c>
    </row>
    <row r="318">
      <c r="F318" s="24">
        <f>IF($A318="","",IF($B318="","EKSİK","TAM"))</f>
        <v/>
      </c>
    </row>
    <row r="319">
      <c r="F319" s="24">
        <f>IF($A319="","",IF($B319="","EKSİK","TAM"))</f>
        <v/>
      </c>
    </row>
    <row r="320">
      <c r="F320" s="24">
        <f>IF($A320="","",IF($B320="","EKSİK","TAM"))</f>
        <v/>
      </c>
    </row>
    <row r="321">
      <c r="F321" s="24">
        <f>IF($A321="","",IF($B321="","EKSİK","TAM"))</f>
        <v/>
      </c>
    </row>
    <row r="322">
      <c r="F322" s="24">
        <f>IF($A322="","",IF($B322="","EKSİK","TAM"))</f>
        <v/>
      </c>
    </row>
    <row r="323">
      <c r="F323" s="24">
        <f>IF($A323="","",IF($B323="","EKSİK","TAM"))</f>
        <v/>
      </c>
    </row>
    <row r="324">
      <c r="F324" s="24">
        <f>IF($A324="","",IF($B324="","EKSİK","TAM"))</f>
        <v/>
      </c>
    </row>
    <row r="325">
      <c r="F325" s="24">
        <f>IF($A325="","",IF($B325="","EKSİK","TAM"))</f>
        <v/>
      </c>
    </row>
    <row r="326">
      <c r="F326" s="24">
        <f>IF($A326="","",IF($B326="","EKSİK","TAM"))</f>
        <v/>
      </c>
    </row>
    <row r="327">
      <c r="F327" s="24">
        <f>IF($A327="","",IF($B327="","EKSİK","TAM"))</f>
        <v/>
      </c>
    </row>
    <row r="328">
      <c r="F328" s="24">
        <f>IF($A328="","",IF($B328="","EKSİK","TAM"))</f>
        <v/>
      </c>
    </row>
    <row r="329">
      <c r="F329" s="24">
        <f>IF($A329="","",IF($B329="","EKSİK","TAM"))</f>
        <v/>
      </c>
    </row>
    <row r="330">
      <c r="F330" s="24">
        <f>IF($A330="","",IF($B330="","EKSİK","TAM"))</f>
        <v/>
      </c>
    </row>
    <row r="331">
      <c r="F331" s="24">
        <f>IF($A331="","",IF($B331="","EKSİK","TAM"))</f>
        <v/>
      </c>
    </row>
    <row r="332">
      <c r="F332" s="24">
        <f>IF($A332="","",IF($B332="","EKSİK","TAM"))</f>
        <v/>
      </c>
    </row>
    <row r="333">
      <c r="F333" s="24">
        <f>IF($A333="","",IF($B333="","EKSİK","TAM"))</f>
        <v/>
      </c>
    </row>
    <row r="334">
      <c r="F334" s="24">
        <f>IF($A334="","",IF($B334="","EKSİK","TAM"))</f>
        <v/>
      </c>
    </row>
    <row r="335">
      <c r="F335" s="24">
        <f>IF($A335="","",IF($B335="","EKSİK","TAM"))</f>
        <v/>
      </c>
    </row>
    <row r="336">
      <c r="F336" s="24">
        <f>IF($A336="","",IF($B336="","EKSİK","TAM"))</f>
        <v/>
      </c>
    </row>
    <row r="337">
      <c r="F337" s="24">
        <f>IF($A337="","",IF($B337="","EKSİK","TAM"))</f>
        <v/>
      </c>
    </row>
    <row r="338">
      <c r="F338" s="24">
        <f>IF($A338="","",IF($B338="","EKSİK","TAM"))</f>
        <v/>
      </c>
    </row>
    <row r="339">
      <c r="F339" s="24">
        <f>IF($A339="","",IF($B339="","EKSİK","TAM"))</f>
        <v/>
      </c>
    </row>
    <row r="340">
      <c r="F340" s="24">
        <f>IF($A340="","",IF($B340="","EKSİK","TAM"))</f>
        <v/>
      </c>
    </row>
    <row r="341">
      <c r="F341" s="24">
        <f>IF($A341="","",IF($B341="","EKSİK","TAM"))</f>
        <v/>
      </c>
    </row>
    <row r="342">
      <c r="F342" s="24">
        <f>IF($A342="","",IF($B342="","EKSİK","TAM"))</f>
        <v/>
      </c>
    </row>
    <row r="343">
      <c r="F343" s="24">
        <f>IF($A343="","",IF($B343="","EKSİK","TAM"))</f>
        <v/>
      </c>
    </row>
    <row r="344">
      <c r="F344" s="24">
        <f>IF($A344="","",IF($B344="","EKSİK","TAM"))</f>
        <v/>
      </c>
    </row>
    <row r="345">
      <c r="F345" s="24">
        <f>IF($A345="","",IF($B345="","EKSİK","TAM"))</f>
        <v/>
      </c>
    </row>
    <row r="346">
      <c r="F346" s="24">
        <f>IF($A346="","",IF($B346="","EKSİK","TAM"))</f>
        <v/>
      </c>
    </row>
    <row r="347">
      <c r="F347" s="24">
        <f>IF($A347="","",IF($B347="","EKSİK","TAM"))</f>
        <v/>
      </c>
    </row>
    <row r="348">
      <c r="F348" s="24">
        <f>IF($A348="","",IF($B348="","EKSİK","TAM"))</f>
        <v/>
      </c>
    </row>
    <row r="349">
      <c r="F349" s="24">
        <f>IF($A349="","",IF($B349="","EKSİK","TAM"))</f>
        <v/>
      </c>
    </row>
    <row r="350">
      <c r="F350" s="24">
        <f>IF($A350="","",IF($B350="","EKSİK","TAM"))</f>
        <v/>
      </c>
    </row>
    <row r="351">
      <c r="F351" s="24">
        <f>IF($A351="","",IF($B351="","EKSİK","TAM"))</f>
        <v/>
      </c>
    </row>
    <row r="352">
      <c r="F352" s="24">
        <f>IF($A352="","",IF($B352="","EKSİK","TAM"))</f>
        <v/>
      </c>
    </row>
    <row r="353">
      <c r="F353" s="24">
        <f>IF($A353="","",IF($B353="","EKSİK","TAM"))</f>
        <v/>
      </c>
    </row>
    <row r="354">
      <c r="F354" s="24">
        <f>IF($A354="","",IF($B354="","EKSİK","TAM"))</f>
        <v/>
      </c>
    </row>
    <row r="355">
      <c r="F355" s="24">
        <f>IF($A355="","",IF($B355="","EKSİK","TAM"))</f>
        <v/>
      </c>
    </row>
    <row r="356">
      <c r="F356" s="24">
        <f>IF($A356="","",IF($B356="","EKSİK","TAM"))</f>
        <v/>
      </c>
    </row>
    <row r="357">
      <c r="F357" s="24">
        <f>IF($A357="","",IF($B357="","EKSİK","TAM"))</f>
        <v/>
      </c>
    </row>
    <row r="358">
      <c r="F358" s="24">
        <f>IF($A358="","",IF($B358="","EKSİK","TAM"))</f>
        <v/>
      </c>
    </row>
    <row r="359">
      <c r="F359" s="24">
        <f>IF($A359="","",IF($B359="","EKSİK","TAM"))</f>
        <v/>
      </c>
    </row>
    <row r="360">
      <c r="F360" s="24">
        <f>IF($A360="","",IF($B360="","EKSİK","TAM"))</f>
        <v/>
      </c>
    </row>
    <row r="361">
      <c r="F361" s="24">
        <f>IF($A361="","",IF($B361="","EKSİK","TAM"))</f>
        <v/>
      </c>
    </row>
    <row r="362">
      <c r="F362" s="24">
        <f>IF($A362="","",IF($B362="","EKSİK","TAM"))</f>
        <v/>
      </c>
    </row>
    <row r="363">
      <c r="F363" s="24">
        <f>IF($A363="","",IF($B363="","EKSİK","TAM"))</f>
        <v/>
      </c>
    </row>
    <row r="364">
      <c r="F364" s="24">
        <f>IF($A364="","",IF($B364="","EKSİK","TAM"))</f>
        <v/>
      </c>
    </row>
    <row r="365">
      <c r="F365" s="24">
        <f>IF($A365="","",IF($B365="","EKSİK","TAM"))</f>
        <v/>
      </c>
    </row>
    <row r="366">
      <c r="F366" s="24">
        <f>IF($A366="","",IF($B366="","EKSİK","TAM"))</f>
        <v/>
      </c>
    </row>
    <row r="367">
      <c r="F367" s="24">
        <f>IF($A367="","",IF($B367="","EKSİK","TAM"))</f>
        <v/>
      </c>
    </row>
    <row r="368">
      <c r="F368" s="24">
        <f>IF($A368="","",IF($B368="","EKSİK","TAM"))</f>
        <v/>
      </c>
    </row>
    <row r="369">
      <c r="F369" s="24">
        <f>IF($A369="","",IF($B369="","EKSİK","TAM"))</f>
        <v/>
      </c>
    </row>
    <row r="370">
      <c r="F370" s="24">
        <f>IF($A370="","",IF($B370="","EKSİK","TAM"))</f>
        <v/>
      </c>
    </row>
    <row r="371">
      <c r="F371" s="24">
        <f>IF($A371="","",IF($B371="","EKSİK","TAM"))</f>
        <v/>
      </c>
    </row>
    <row r="372">
      <c r="F372" s="24">
        <f>IF($A372="","",IF($B372="","EKSİK","TAM"))</f>
        <v/>
      </c>
    </row>
    <row r="373">
      <c r="F373" s="24">
        <f>IF($A373="","",IF($B373="","EKSİK","TAM"))</f>
        <v/>
      </c>
    </row>
    <row r="374">
      <c r="F374" s="24">
        <f>IF($A374="","",IF($B374="","EKSİK","TAM"))</f>
        <v/>
      </c>
    </row>
    <row r="375">
      <c r="F375" s="24">
        <f>IF($A375="","",IF($B375="","EKSİK","TAM"))</f>
        <v/>
      </c>
    </row>
    <row r="376">
      <c r="F376" s="24">
        <f>IF($A376="","",IF($B376="","EKSİK","TAM"))</f>
        <v/>
      </c>
    </row>
    <row r="377">
      <c r="F377" s="24">
        <f>IF($A377="","",IF($B377="","EKSİK","TAM"))</f>
        <v/>
      </c>
    </row>
    <row r="378">
      <c r="F378" s="24">
        <f>IF($A378="","",IF($B378="","EKSİK","TAM"))</f>
        <v/>
      </c>
    </row>
    <row r="379">
      <c r="F379" s="24">
        <f>IF($A379="","",IF($B379="","EKSİK","TAM"))</f>
        <v/>
      </c>
    </row>
    <row r="380">
      <c r="F380" s="24">
        <f>IF($A380="","",IF($B380="","EKSİK","TAM"))</f>
        <v/>
      </c>
    </row>
    <row r="381">
      <c r="F381" s="24">
        <f>IF($A381="","",IF($B381="","EKSİK","TAM"))</f>
        <v/>
      </c>
    </row>
    <row r="382">
      <c r="F382" s="24">
        <f>IF($A382="","",IF($B382="","EKSİK","TAM"))</f>
        <v/>
      </c>
    </row>
    <row r="383">
      <c r="F383" s="24">
        <f>IF($A383="","",IF($B383="","EKSİK","TAM"))</f>
        <v/>
      </c>
    </row>
    <row r="384">
      <c r="F384" s="24">
        <f>IF($A384="","",IF($B384="","EKSİK","TAM"))</f>
        <v/>
      </c>
    </row>
    <row r="385">
      <c r="F385" s="24">
        <f>IF($A385="","",IF($B385="","EKSİK","TAM"))</f>
        <v/>
      </c>
    </row>
    <row r="386">
      <c r="F386" s="24">
        <f>IF($A386="","",IF($B386="","EKSİK","TAM"))</f>
        <v/>
      </c>
    </row>
    <row r="387">
      <c r="F387" s="24">
        <f>IF($A387="","",IF($B387="","EKSİK","TAM"))</f>
        <v/>
      </c>
    </row>
    <row r="388">
      <c r="F388" s="24">
        <f>IF($A388="","",IF($B388="","EKSİK","TAM"))</f>
        <v/>
      </c>
    </row>
    <row r="389">
      <c r="F389" s="24">
        <f>IF($A389="","",IF($B389="","EKSİK","TAM"))</f>
        <v/>
      </c>
    </row>
    <row r="390">
      <c r="F390" s="24">
        <f>IF($A390="","",IF($B390="","EKSİK","TAM"))</f>
        <v/>
      </c>
    </row>
    <row r="391">
      <c r="F391" s="24">
        <f>IF($A391="","",IF($B391="","EKSİK","TAM"))</f>
        <v/>
      </c>
    </row>
    <row r="392">
      <c r="F392" s="24">
        <f>IF($A392="","",IF($B392="","EKSİK","TAM"))</f>
        <v/>
      </c>
    </row>
    <row r="393">
      <c r="F393" s="24">
        <f>IF($A393="","",IF($B393="","EKSİK","TAM"))</f>
        <v/>
      </c>
    </row>
    <row r="394">
      <c r="F394" s="24">
        <f>IF($A394="","",IF($B394="","EKSİK","TAM"))</f>
        <v/>
      </c>
    </row>
    <row r="395">
      <c r="F395" s="24">
        <f>IF($A395="","",IF($B395="","EKSİK","TAM"))</f>
        <v/>
      </c>
    </row>
    <row r="396">
      <c r="F396" s="24">
        <f>IF($A396="","",IF($B396="","EKSİK","TAM"))</f>
        <v/>
      </c>
    </row>
    <row r="397">
      <c r="F397" s="24">
        <f>IF($A397="","",IF($B397="","EKSİK","TAM"))</f>
        <v/>
      </c>
    </row>
    <row r="398">
      <c r="F398" s="24">
        <f>IF($A398="","",IF($B398="","EKSİK","TAM"))</f>
        <v/>
      </c>
    </row>
    <row r="399">
      <c r="F399" s="24">
        <f>IF($A399="","",IF($B399="","EKSİK","TAM"))</f>
        <v/>
      </c>
    </row>
    <row r="400">
      <c r="F400" s="24">
        <f>IF($A400="","",IF($B400="","EKSİK","TAM"))</f>
        <v/>
      </c>
    </row>
    <row r="401">
      <c r="F401" s="24">
        <f>IF($A401="","",IF($B401="","EKSİK","TAM"))</f>
        <v/>
      </c>
    </row>
    <row r="402">
      <c r="F402" s="24">
        <f>IF($A402="","",IF($B402="","EKSİK","TAM"))</f>
        <v/>
      </c>
    </row>
    <row r="403">
      <c r="F403" s="24">
        <f>IF($A403="","",IF($B403="","EKSİK","TAM"))</f>
        <v/>
      </c>
    </row>
    <row r="404">
      <c r="F404" s="24">
        <f>IF($A404="","",IF($B404="","EKSİK","TAM"))</f>
        <v/>
      </c>
    </row>
    <row r="405">
      <c r="F405" s="24">
        <f>IF($A405="","",IF($B405="","EKSİK","TAM"))</f>
        <v/>
      </c>
    </row>
    <row r="406">
      <c r="F406" s="24">
        <f>IF($A406="","",IF($B406="","EKSİK","TAM"))</f>
        <v/>
      </c>
    </row>
    <row r="407">
      <c r="F407" s="24">
        <f>IF($A407="","",IF($B407="","EKSİK","TAM"))</f>
        <v/>
      </c>
    </row>
    <row r="408">
      <c r="F408" s="24">
        <f>IF($A408="","",IF($B408="","EKSİK","TAM"))</f>
        <v/>
      </c>
    </row>
    <row r="409">
      <c r="F409" s="24">
        <f>IF($A409="","",IF($B409="","EKSİK","TAM"))</f>
        <v/>
      </c>
    </row>
    <row r="410">
      <c r="F410" s="24">
        <f>IF($A410="","",IF($B410="","EKSİK","TAM"))</f>
        <v/>
      </c>
    </row>
    <row r="411">
      <c r="F411" s="24">
        <f>IF($A411="","",IF($B411="","EKSİK","TAM"))</f>
        <v/>
      </c>
    </row>
    <row r="412">
      <c r="F412" s="24">
        <f>IF($A412="","",IF($B412="","EKSİK","TAM"))</f>
        <v/>
      </c>
    </row>
    <row r="413">
      <c r="F413" s="24">
        <f>IF($A413="","",IF($B413="","EKSİK","TAM"))</f>
        <v/>
      </c>
    </row>
    <row r="414">
      <c r="F414" s="24">
        <f>IF($A414="","",IF($B414="","EKSİK","TAM"))</f>
        <v/>
      </c>
    </row>
    <row r="415">
      <c r="F415" s="24">
        <f>IF($A415="","",IF($B415="","EKSİK","TAM"))</f>
        <v/>
      </c>
    </row>
    <row r="416">
      <c r="F416" s="24">
        <f>IF($A416="","",IF($B416="","EKSİK","TAM"))</f>
        <v/>
      </c>
    </row>
    <row r="417">
      <c r="F417" s="24">
        <f>IF($A417="","",IF($B417="","EKSİK","TAM"))</f>
        <v/>
      </c>
    </row>
    <row r="418">
      <c r="F418" s="24">
        <f>IF($A418="","",IF($B418="","EKSİK","TAM"))</f>
        <v/>
      </c>
    </row>
    <row r="419">
      <c r="F419" s="24">
        <f>IF($A419="","",IF($B419="","EKSİK","TAM"))</f>
        <v/>
      </c>
    </row>
    <row r="420">
      <c r="F420" s="24">
        <f>IF($A420="","",IF($B420="","EKSİK","TAM"))</f>
        <v/>
      </c>
    </row>
    <row r="421">
      <c r="F421" s="24">
        <f>IF($A421="","",IF($B421="","EKSİK","TAM"))</f>
        <v/>
      </c>
    </row>
    <row r="422">
      <c r="F422" s="24">
        <f>IF($A422="","",IF($B422="","EKSİK","TAM"))</f>
        <v/>
      </c>
    </row>
    <row r="423">
      <c r="F423" s="24">
        <f>IF($A423="","",IF($B423="","EKSİK","TAM"))</f>
        <v/>
      </c>
    </row>
    <row r="424">
      <c r="F424" s="24">
        <f>IF($A424="","",IF($B424="","EKSİK","TAM"))</f>
        <v/>
      </c>
    </row>
    <row r="425">
      <c r="F425" s="24">
        <f>IF($A425="","",IF($B425="","EKSİK","TAM"))</f>
        <v/>
      </c>
    </row>
    <row r="426">
      <c r="F426" s="24">
        <f>IF($A426="","",IF($B426="","EKSİK","TAM"))</f>
        <v/>
      </c>
    </row>
    <row r="427">
      <c r="F427" s="24">
        <f>IF($A427="","",IF($B427="","EKSİK","TAM"))</f>
        <v/>
      </c>
    </row>
    <row r="428">
      <c r="F428" s="24">
        <f>IF($A428="","",IF($B428="","EKSİK","TAM"))</f>
        <v/>
      </c>
    </row>
    <row r="429">
      <c r="F429" s="24">
        <f>IF($A429="","",IF($B429="","EKSİK","TAM"))</f>
        <v/>
      </c>
    </row>
    <row r="430">
      <c r="F430" s="24">
        <f>IF($A430="","",IF($B430="","EKSİK","TAM"))</f>
        <v/>
      </c>
    </row>
    <row r="431">
      <c r="F431" s="24">
        <f>IF($A431="","",IF($B431="","EKSİK","TAM"))</f>
        <v/>
      </c>
    </row>
    <row r="432">
      <c r="F432" s="24">
        <f>IF($A432="","",IF($B432="","EKSİK","TAM"))</f>
        <v/>
      </c>
    </row>
    <row r="433">
      <c r="F433" s="24">
        <f>IF($A433="","",IF($B433="","EKSİK","TAM"))</f>
        <v/>
      </c>
    </row>
    <row r="434">
      <c r="F434" s="24">
        <f>IF($A434="","",IF($B434="","EKSİK","TAM"))</f>
        <v/>
      </c>
    </row>
    <row r="435">
      <c r="F435" s="24">
        <f>IF($A435="","",IF($B435="","EKSİK","TAM"))</f>
        <v/>
      </c>
    </row>
    <row r="436">
      <c r="F436" s="24">
        <f>IF($A436="","",IF($B436="","EKSİK","TAM"))</f>
        <v/>
      </c>
    </row>
    <row r="437">
      <c r="F437" s="24">
        <f>IF($A437="","",IF($B437="","EKSİK","TAM"))</f>
        <v/>
      </c>
    </row>
    <row r="438">
      <c r="F438" s="24">
        <f>IF($A438="","",IF($B438="","EKSİK","TAM"))</f>
        <v/>
      </c>
    </row>
    <row r="439">
      <c r="F439" s="24">
        <f>IF($A439="","",IF($B439="","EKSİK","TAM"))</f>
        <v/>
      </c>
    </row>
    <row r="440">
      <c r="F440" s="24">
        <f>IF($A440="","",IF($B440="","EKSİK","TAM"))</f>
        <v/>
      </c>
    </row>
    <row r="441">
      <c r="F441" s="24">
        <f>IF($A441="","",IF($B441="","EKSİK","TAM"))</f>
        <v/>
      </c>
    </row>
    <row r="442">
      <c r="F442" s="24">
        <f>IF($A442="","",IF($B442="","EKSİK","TAM"))</f>
        <v/>
      </c>
    </row>
    <row r="443">
      <c r="F443" s="24">
        <f>IF($A443="","",IF($B443="","EKSİK","TAM"))</f>
        <v/>
      </c>
    </row>
    <row r="444">
      <c r="F444" s="24">
        <f>IF($A444="","",IF($B444="","EKSİK","TAM"))</f>
        <v/>
      </c>
    </row>
    <row r="445">
      <c r="F445" s="24">
        <f>IF($A445="","",IF($B445="","EKSİK","TAM"))</f>
        <v/>
      </c>
    </row>
    <row r="446">
      <c r="F446" s="24">
        <f>IF($A446="","",IF($B446="","EKSİK","TAM"))</f>
        <v/>
      </c>
    </row>
    <row r="447">
      <c r="F447" s="24">
        <f>IF($A447="","",IF($B447="","EKSİK","TAM"))</f>
        <v/>
      </c>
    </row>
    <row r="448">
      <c r="F448" s="24">
        <f>IF($A448="","",IF($B448="","EKSİK","TAM"))</f>
        <v/>
      </c>
    </row>
    <row r="449">
      <c r="F449" s="24">
        <f>IF($A449="","",IF($B449="","EKSİK","TAM"))</f>
        <v/>
      </c>
    </row>
    <row r="450">
      <c r="F450" s="24">
        <f>IF($A450="","",IF($B450="","EKSİK","TAM"))</f>
        <v/>
      </c>
    </row>
    <row r="451">
      <c r="F451" s="24">
        <f>IF($A451="","",IF($B451="","EKSİK","TAM"))</f>
        <v/>
      </c>
    </row>
    <row r="452">
      <c r="F452" s="24">
        <f>IF($A452="","",IF($B452="","EKSİK","TAM"))</f>
        <v/>
      </c>
    </row>
    <row r="453">
      <c r="F453" s="24">
        <f>IF($A453="","",IF($B453="","EKSİK","TAM"))</f>
        <v/>
      </c>
    </row>
    <row r="454">
      <c r="F454" s="24">
        <f>IF($A454="","",IF($B454="","EKSİK","TAM"))</f>
        <v/>
      </c>
    </row>
    <row r="455">
      <c r="F455" s="24">
        <f>IF($A455="","",IF($B455="","EKSİK","TAM"))</f>
        <v/>
      </c>
    </row>
    <row r="456">
      <c r="F456" s="24">
        <f>IF($A456="","",IF($B456="","EKSİK","TAM"))</f>
        <v/>
      </c>
    </row>
    <row r="457">
      <c r="F457" s="24">
        <f>IF($A457="","",IF($B457="","EKSİK","TAM"))</f>
        <v/>
      </c>
    </row>
    <row r="458">
      <c r="F458" s="24">
        <f>IF($A458="","",IF($B458="","EKSİK","TAM"))</f>
        <v/>
      </c>
    </row>
    <row r="459">
      <c r="F459" s="24">
        <f>IF($A459="","",IF($B459="","EKSİK","TAM"))</f>
        <v/>
      </c>
    </row>
    <row r="460">
      <c r="F460" s="24">
        <f>IF($A460="","",IF($B460="","EKSİK","TAM"))</f>
        <v/>
      </c>
    </row>
    <row r="461">
      <c r="F461" s="24">
        <f>IF($A461="","",IF($B461="","EKSİK","TAM"))</f>
        <v/>
      </c>
    </row>
    <row r="462">
      <c r="F462" s="24">
        <f>IF($A462="","",IF($B462="","EKSİK","TAM"))</f>
        <v/>
      </c>
    </row>
    <row r="463">
      <c r="F463" s="24">
        <f>IF($A463="","",IF($B463="","EKSİK","TAM"))</f>
        <v/>
      </c>
    </row>
    <row r="464">
      <c r="F464" s="24">
        <f>IF($A464="","",IF($B464="","EKSİK","TAM"))</f>
        <v/>
      </c>
    </row>
    <row r="465">
      <c r="F465" s="24">
        <f>IF($A465="","",IF($B465="","EKSİK","TAM"))</f>
        <v/>
      </c>
    </row>
    <row r="466">
      <c r="F466" s="24">
        <f>IF($A466="","",IF($B466="","EKSİK","TAM"))</f>
        <v/>
      </c>
    </row>
    <row r="467">
      <c r="F467" s="24">
        <f>IF($A467="","",IF($B467="","EKSİK","TAM"))</f>
        <v/>
      </c>
    </row>
    <row r="468">
      <c r="F468" s="24">
        <f>IF($A468="","",IF($B468="","EKSİK","TAM"))</f>
        <v/>
      </c>
    </row>
    <row r="469">
      <c r="F469" s="24">
        <f>IF($A469="","",IF($B469="","EKSİK","TAM"))</f>
        <v/>
      </c>
    </row>
    <row r="470">
      <c r="F470" s="24">
        <f>IF($A470="","",IF($B470="","EKSİK","TAM"))</f>
        <v/>
      </c>
    </row>
    <row r="471">
      <c r="F471" s="24">
        <f>IF($A471="","",IF($B471="","EKSİK","TAM"))</f>
        <v/>
      </c>
    </row>
    <row r="472">
      <c r="F472" s="24">
        <f>IF($A472="","",IF($B472="","EKSİK","TAM"))</f>
        <v/>
      </c>
    </row>
    <row r="473">
      <c r="F473" s="24">
        <f>IF($A473="","",IF($B473="","EKSİK","TAM"))</f>
        <v/>
      </c>
    </row>
    <row r="474">
      <c r="F474" s="24">
        <f>IF($A474="","",IF($B474="","EKSİK","TAM"))</f>
        <v/>
      </c>
    </row>
    <row r="475">
      <c r="F475" s="24">
        <f>IF($A475="","",IF($B475="","EKSİK","TAM"))</f>
        <v/>
      </c>
    </row>
    <row r="476">
      <c r="F476" s="24">
        <f>IF($A476="","",IF($B476="","EKSİK","TAM"))</f>
        <v/>
      </c>
    </row>
    <row r="477">
      <c r="F477" s="24">
        <f>IF($A477="","",IF($B477="","EKSİK","TAM"))</f>
        <v/>
      </c>
    </row>
    <row r="478">
      <c r="F478" s="24">
        <f>IF($A478="","",IF($B478="","EKSİK","TAM"))</f>
        <v/>
      </c>
    </row>
    <row r="479">
      <c r="F479" s="24">
        <f>IF($A479="","",IF($B479="","EKSİK","TAM"))</f>
        <v/>
      </c>
    </row>
    <row r="480">
      <c r="F480" s="24">
        <f>IF($A480="","",IF($B480="","EKSİK","TAM"))</f>
        <v/>
      </c>
    </row>
    <row r="481">
      <c r="F481" s="24">
        <f>IF($A481="","",IF($B481="","EKSİK","TAM"))</f>
        <v/>
      </c>
    </row>
    <row r="482">
      <c r="F482" s="24">
        <f>IF($A482="","",IF($B482="","EKSİK","TAM"))</f>
        <v/>
      </c>
    </row>
    <row r="483">
      <c r="F483" s="24">
        <f>IF($A483="","",IF($B483="","EKSİK","TAM"))</f>
        <v/>
      </c>
    </row>
    <row r="484">
      <c r="F484" s="24">
        <f>IF($A484="","",IF($B484="","EKSİK","TAM"))</f>
        <v/>
      </c>
    </row>
    <row r="485">
      <c r="F485" s="24">
        <f>IF($A485="","",IF($B485="","EKSİK","TAM"))</f>
        <v/>
      </c>
    </row>
    <row r="486">
      <c r="F486" s="24">
        <f>IF($A486="","",IF($B486="","EKSİK","TAM"))</f>
        <v/>
      </c>
    </row>
    <row r="487">
      <c r="F487" s="24">
        <f>IF($A487="","",IF($B487="","EKSİK","TAM"))</f>
        <v/>
      </c>
    </row>
    <row r="488">
      <c r="F488" s="24">
        <f>IF($A488="","",IF($B488="","EKSİK","TAM"))</f>
        <v/>
      </c>
    </row>
    <row r="489">
      <c r="F489" s="24">
        <f>IF($A489="","",IF($B489="","EKSİK","TAM"))</f>
        <v/>
      </c>
    </row>
    <row r="490">
      <c r="F490" s="24">
        <f>IF($A490="","",IF($B490="","EKSİK","TAM"))</f>
        <v/>
      </c>
    </row>
    <row r="491">
      <c r="F491" s="24">
        <f>IF($A491="","",IF($B491="","EKSİK","TAM"))</f>
        <v/>
      </c>
    </row>
    <row r="492">
      <c r="F492" s="24">
        <f>IF($A492="","",IF($B492="","EKSİK","TAM"))</f>
        <v/>
      </c>
    </row>
    <row r="493">
      <c r="F493" s="24">
        <f>IF($A493="","",IF($B493="","EKSİK","TAM"))</f>
        <v/>
      </c>
    </row>
    <row r="494">
      <c r="F494" s="24">
        <f>IF($A494="","",IF($B494="","EKSİK","TAM"))</f>
        <v/>
      </c>
    </row>
    <row r="495">
      <c r="F495" s="24">
        <f>IF($A495="","",IF($B495="","EKSİK","TAM"))</f>
        <v/>
      </c>
    </row>
    <row r="496">
      <c r="F496" s="24">
        <f>IF($A496="","",IF($B496="","EKSİK","TAM"))</f>
        <v/>
      </c>
    </row>
    <row r="497">
      <c r="F497" s="24">
        <f>IF($A497="","",IF($B497="","EKSİK","TAM"))</f>
        <v/>
      </c>
    </row>
    <row r="498">
      <c r="F498" s="24">
        <f>IF($A498="","",IF($B498="","EKSİK","TAM"))</f>
        <v/>
      </c>
    </row>
    <row r="499">
      <c r="F499" s="24">
        <f>IF($A499="","",IF($B499="","EKSİK","TAM"))</f>
        <v/>
      </c>
    </row>
    <row r="500">
      <c r="F500" s="24">
        <f>IF($A500="","",IF($B500="","EKSİK","TAM"))</f>
        <v/>
      </c>
    </row>
    <row r="501">
      <c r="F501" s="24">
        <f>IF($A501="","",IF($B501="","EKSİK","TAM"))</f>
        <v/>
      </c>
    </row>
    <row r="502">
      <c r="F502" s="24">
        <f>IF($A502="","",IF($B502="","EKSİK","TAM"))</f>
        <v/>
      </c>
    </row>
    <row r="503">
      <c r="F503" s="24">
        <f>IF($A503="","",IF($B503="","EKSİK","TAM"))</f>
        <v/>
      </c>
    </row>
    <row r="504">
      <c r="F504" s="24">
        <f>IF($A504="","",IF($B504="","EKSİK","TAM"))</f>
        <v/>
      </c>
    </row>
    <row r="505">
      <c r="F505" s="24">
        <f>IF($A505="","",IF($B505="","EKSİK","TAM"))</f>
        <v/>
      </c>
    </row>
    <row r="506">
      <c r="F506" s="24">
        <f>IF($A506="","",IF($B506="","EKSİK","TAM"))</f>
        <v/>
      </c>
    </row>
    <row r="507">
      <c r="F507" s="24">
        <f>IF($A507="","",IF($B507="","EKSİK","TAM"))</f>
        <v/>
      </c>
    </row>
    <row r="508">
      <c r="F508" s="24">
        <f>IF($A508="","",IF($B508="","EKSİK","TAM"))</f>
        <v/>
      </c>
    </row>
    <row r="509">
      <c r="F509" s="24">
        <f>IF($A509="","",IF($B509="","EKSİK","TAM"))</f>
        <v/>
      </c>
    </row>
    <row r="510">
      <c r="F510" s="24">
        <f>IF($A510="","",IF($B510="","EKSİK","TAM"))</f>
        <v/>
      </c>
    </row>
    <row r="511">
      <c r="F511" s="24">
        <f>IF($A511="","",IF($B511="","EKSİK","TAM"))</f>
        <v/>
      </c>
    </row>
    <row r="512">
      <c r="F512" s="24">
        <f>IF($A512="","",IF($B512="","EKSİK","TAM"))</f>
        <v/>
      </c>
    </row>
    <row r="513">
      <c r="F513" s="24">
        <f>IF($A513="","",IF($B513="","EKSİK","TAM"))</f>
        <v/>
      </c>
    </row>
    <row r="514">
      <c r="F514" s="24">
        <f>IF($A514="","",IF($B514="","EKSİK","TAM"))</f>
        <v/>
      </c>
    </row>
    <row r="515">
      <c r="F515" s="24">
        <f>IF($A515="","",IF($B515="","EKSİK","TAM"))</f>
        <v/>
      </c>
    </row>
    <row r="516">
      <c r="F516" s="24">
        <f>IF($A516="","",IF($B516="","EKSİK","TAM"))</f>
        <v/>
      </c>
    </row>
    <row r="517">
      <c r="F517" s="24">
        <f>IF($A517="","",IF($B517="","EKSİK","TAM"))</f>
        <v/>
      </c>
    </row>
    <row r="518">
      <c r="F518" s="24">
        <f>IF($A518="","",IF($B518="","EKSİK","TAM"))</f>
        <v/>
      </c>
    </row>
    <row r="519">
      <c r="F519" s="24">
        <f>IF($A519="","",IF($B519="","EKSİK","TAM"))</f>
        <v/>
      </c>
    </row>
    <row r="520">
      <c r="F520" s="24">
        <f>IF($A520="","",IF($B520="","EKSİK","TAM"))</f>
        <v/>
      </c>
    </row>
    <row r="521">
      <c r="F521" s="24">
        <f>IF($A521="","",IF($B521="","EKSİK","TAM"))</f>
        <v/>
      </c>
    </row>
    <row r="522">
      <c r="F522" s="24">
        <f>IF($A522="","",IF($B522="","EKSİK","TAM"))</f>
        <v/>
      </c>
    </row>
    <row r="523">
      <c r="F523" s="24">
        <f>IF($A523="","",IF($B523="","EKSİK","TAM"))</f>
        <v/>
      </c>
    </row>
    <row r="524">
      <c r="F524" s="24">
        <f>IF($A524="","",IF($B524="","EKSİK","TAM"))</f>
        <v/>
      </c>
    </row>
    <row r="525">
      <c r="F525" s="24">
        <f>IF($A525="","",IF($B525="","EKSİK","TAM"))</f>
        <v/>
      </c>
    </row>
    <row r="526">
      <c r="F526" s="24">
        <f>IF($A526="","",IF($B526="","EKSİK","TAM"))</f>
        <v/>
      </c>
    </row>
    <row r="527">
      <c r="F527" s="24">
        <f>IF($A527="","",IF($B527="","EKSİK","TAM"))</f>
        <v/>
      </c>
    </row>
    <row r="528">
      <c r="F528" s="24">
        <f>IF($A528="","",IF($B528="","EKSİK","TAM"))</f>
        <v/>
      </c>
    </row>
    <row r="529">
      <c r="F529" s="24">
        <f>IF($A529="","",IF($B529="","EKSİK","TAM"))</f>
        <v/>
      </c>
    </row>
    <row r="530">
      <c r="F530" s="24">
        <f>IF($A530="","",IF($B530="","EKSİK","TAM"))</f>
        <v/>
      </c>
    </row>
    <row r="531">
      <c r="F531" s="24">
        <f>IF($A531="","",IF($B531="","EKSİK","TAM"))</f>
        <v/>
      </c>
    </row>
    <row r="532">
      <c r="F532" s="24">
        <f>IF($A532="","",IF($B532="","EKSİK","TAM"))</f>
        <v/>
      </c>
    </row>
    <row r="533">
      <c r="F533" s="24">
        <f>IF($A533="","",IF($B533="","EKSİK","TAM"))</f>
        <v/>
      </c>
    </row>
    <row r="534">
      <c r="F534" s="24">
        <f>IF($A534="","",IF($B534="","EKSİK","TAM"))</f>
        <v/>
      </c>
    </row>
    <row r="535">
      <c r="F535" s="24">
        <f>IF($A535="","",IF($B535="","EKSİK","TAM"))</f>
        <v/>
      </c>
    </row>
    <row r="536">
      <c r="F536" s="24">
        <f>IF($A536="","",IF($B536="","EKSİK","TAM"))</f>
        <v/>
      </c>
    </row>
    <row r="537">
      <c r="F537" s="24">
        <f>IF($A537="","",IF($B537="","EKSİK","TAM"))</f>
        <v/>
      </c>
    </row>
    <row r="538">
      <c r="F538" s="24">
        <f>IF($A538="","",IF($B538="","EKSİK","TAM"))</f>
        <v/>
      </c>
    </row>
    <row r="539">
      <c r="F539" s="24">
        <f>IF($A539="","",IF($B539="","EKSİK","TAM"))</f>
        <v/>
      </c>
    </row>
    <row r="540">
      <c r="F540" s="24">
        <f>IF($A540="","",IF($B540="","EKSİK","TAM"))</f>
        <v/>
      </c>
    </row>
    <row r="541">
      <c r="F541" s="24">
        <f>IF($A541="","",IF($B541="","EKSİK","TAM"))</f>
        <v/>
      </c>
    </row>
    <row r="542">
      <c r="F542" s="24">
        <f>IF($A542="","",IF($B542="","EKSİK","TAM"))</f>
        <v/>
      </c>
    </row>
    <row r="543">
      <c r="F543" s="24">
        <f>IF($A543="","",IF($B543="","EKSİK","TAM"))</f>
        <v/>
      </c>
    </row>
    <row r="544">
      <c r="F544" s="24">
        <f>IF($A544="","",IF($B544="","EKSİK","TAM"))</f>
        <v/>
      </c>
    </row>
    <row r="545">
      <c r="F545" s="24">
        <f>IF($A545="","",IF($B545="","EKSİK","TAM"))</f>
        <v/>
      </c>
    </row>
    <row r="546">
      <c r="F546" s="24">
        <f>IF($A546="","",IF($B546="","EKSİK","TAM"))</f>
        <v/>
      </c>
    </row>
    <row r="547">
      <c r="F547" s="24">
        <f>IF($A547="","",IF($B547="","EKSİK","TAM"))</f>
        <v/>
      </c>
    </row>
    <row r="548">
      <c r="F548" s="24">
        <f>IF($A548="","",IF($B548="","EKSİK","TAM"))</f>
        <v/>
      </c>
    </row>
    <row r="549">
      <c r="F549" s="24">
        <f>IF($A549="","",IF($B549="","EKSİK","TAM"))</f>
        <v/>
      </c>
    </row>
    <row r="550">
      <c r="F550" s="24">
        <f>IF($A550="","",IF($B550="","EKSİK","TAM"))</f>
        <v/>
      </c>
    </row>
    <row r="551">
      <c r="F551" s="24">
        <f>IF($A551="","",IF($B551="","EKSİK","TAM"))</f>
        <v/>
      </c>
    </row>
    <row r="552">
      <c r="F552" s="24">
        <f>IF($A552="","",IF($B552="","EKSİK","TAM"))</f>
        <v/>
      </c>
    </row>
    <row r="553">
      <c r="F553" s="24">
        <f>IF($A553="","",IF($B553="","EKSİK","TAM"))</f>
        <v/>
      </c>
    </row>
    <row r="554">
      <c r="F554" s="24">
        <f>IF($A554="","",IF($B554="","EKSİK","TAM"))</f>
        <v/>
      </c>
    </row>
    <row r="555">
      <c r="F555" s="24">
        <f>IF($A555="","",IF($B555="","EKSİK","TAM"))</f>
        <v/>
      </c>
    </row>
    <row r="556">
      <c r="F556" s="24">
        <f>IF($A556="","",IF($B556="","EKSİK","TAM"))</f>
        <v/>
      </c>
    </row>
    <row r="557">
      <c r="F557" s="24">
        <f>IF($A557="","",IF($B557="","EKSİK","TAM"))</f>
        <v/>
      </c>
    </row>
    <row r="558">
      <c r="F558" s="24">
        <f>IF($A558="","",IF($B558="","EKSİK","TAM"))</f>
        <v/>
      </c>
    </row>
    <row r="559">
      <c r="F559" s="24">
        <f>IF($A559="","",IF($B559="","EKSİK","TAM"))</f>
        <v/>
      </c>
    </row>
    <row r="560">
      <c r="F560" s="24">
        <f>IF($A560="","",IF($B560="","EKSİK","TAM"))</f>
        <v/>
      </c>
    </row>
    <row r="561">
      <c r="F561" s="24">
        <f>IF($A561="","",IF($B561="","EKSİK","TAM"))</f>
        <v/>
      </c>
    </row>
    <row r="562">
      <c r="F562" s="24">
        <f>IF($A562="","",IF($B562="","EKSİK","TAM"))</f>
        <v/>
      </c>
    </row>
    <row r="563">
      <c r="F563" s="24">
        <f>IF($A563="","",IF($B563="","EKSİK","TAM"))</f>
        <v/>
      </c>
    </row>
    <row r="564">
      <c r="F564" s="24">
        <f>IF($A564="","",IF($B564="","EKSİK","TAM"))</f>
        <v/>
      </c>
    </row>
    <row r="565">
      <c r="F565" s="24">
        <f>IF($A565="","",IF($B565="","EKSİK","TAM"))</f>
        <v/>
      </c>
    </row>
    <row r="566">
      <c r="F566" s="24">
        <f>IF($A566="","",IF($B566="","EKSİK","TAM"))</f>
        <v/>
      </c>
    </row>
    <row r="567">
      <c r="F567" s="24">
        <f>IF($A567="","",IF($B567="","EKSİK","TAM"))</f>
        <v/>
      </c>
    </row>
    <row r="568">
      <c r="F568" s="24">
        <f>IF($A568="","",IF($B568="","EKSİK","TAM"))</f>
        <v/>
      </c>
    </row>
    <row r="569">
      <c r="F569" s="24">
        <f>IF($A569="","",IF($B569="","EKSİK","TAM"))</f>
        <v/>
      </c>
    </row>
    <row r="570">
      <c r="F570" s="24">
        <f>IF($A570="","",IF($B570="","EKSİK","TAM"))</f>
        <v/>
      </c>
    </row>
    <row r="571">
      <c r="F571" s="24">
        <f>IF($A571="","",IF($B571="","EKSİK","TAM"))</f>
        <v/>
      </c>
    </row>
    <row r="572">
      <c r="F572" s="24">
        <f>IF($A572="","",IF($B572="","EKSİK","TAM"))</f>
        <v/>
      </c>
    </row>
    <row r="573">
      <c r="F573" s="24">
        <f>IF($A573="","",IF($B573="","EKSİK","TAM"))</f>
        <v/>
      </c>
    </row>
    <row r="574">
      <c r="F574" s="24">
        <f>IF($A574="","",IF($B574="","EKSİK","TAM"))</f>
        <v/>
      </c>
    </row>
    <row r="575">
      <c r="F575" s="24">
        <f>IF($A575="","",IF($B575="","EKSİK","TAM"))</f>
        <v/>
      </c>
    </row>
    <row r="576">
      <c r="F576" s="24">
        <f>IF($A576="","",IF($B576="","EKSİK","TAM"))</f>
        <v/>
      </c>
    </row>
    <row r="577">
      <c r="F577" s="24">
        <f>IF($A577="","",IF($B577="","EKSİK","TAM"))</f>
        <v/>
      </c>
    </row>
    <row r="578">
      <c r="F578" s="24">
        <f>IF($A578="","",IF($B578="","EKSİK","TAM"))</f>
        <v/>
      </c>
    </row>
    <row r="579">
      <c r="F579" s="24">
        <f>IF($A579="","",IF($B579="","EKSİK","TAM"))</f>
        <v/>
      </c>
    </row>
    <row r="580">
      <c r="F580" s="24">
        <f>IF($A580="","",IF($B580="","EKSİK","TAM"))</f>
        <v/>
      </c>
    </row>
    <row r="581">
      <c r="F581" s="24">
        <f>IF($A581="","",IF($B581="","EKSİK","TAM"))</f>
        <v/>
      </c>
    </row>
    <row r="582">
      <c r="F582" s="24">
        <f>IF($A582="","",IF($B582="","EKSİK","TAM"))</f>
        <v/>
      </c>
    </row>
    <row r="583">
      <c r="F583" s="24">
        <f>IF($A583="","",IF($B583="","EKSİK","TAM"))</f>
        <v/>
      </c>
    </row>
    <row r="584">
      <c r="F584" s="24">
        <f>IF($A584="","",IF($B584="","EKSİK","TAM"))</f>
        <v/>
      </c>
    </row>
    <row r="585">
      <c r="F585" s="24">
        <f>IF($A585="","",IF($B585="","EKSİK","TAM"))</f>
        <v/>
      </c>
    </row>
    <row r="586">
      <c r="F586" s="24">
        <f>IF($A586="","",IF($B586="","EKSİK","TAM"))</f>
        <v/>
      </c>
    </row>
    <row r="587">
      <c r="F587" s="24">
        <f>IF($A587="","",IF($B587="","EKSİK","TAM"))</f>
        <v/>
      </c>
    </row>
    <row r="588">
      <c r="F588" s="24">
        <f>IF($A588="","",IF($B588="","EKSİK","TAM"))</f>
        <v/>
      </c>
    </row>
    <row r="589">
      <c r="F589" s="24">
        <f>IF($A589="","",IF($B589="","EKSİK","TAM"))</f>
        <v/>
      </c>
    </row>
    <row r="590">
      <c r="F590" s="24">
        <f>IF($A590="","",IF($B590="","EKSİK","TAM"))</f>
        <v/>
      </c>
    </row>
    <row r="591">
      <c r="F591" s="24">
        <f>IF($A591="","",IF($B591="","EKSİK","TAM"))</f>
        <v/>
      </c>
    </row>
    <row r="592">
      <c r="F592" s="24">
        <f>IF($A592="","",IF($B592="","EKSİK","TAM"))</f>
        <v/>
      </c>
    </row>
    <row r="593">
      <c r="F593" s="24">
        <f>IF($A593="","",IF($B593="","EKSİK","TAM"))</f>
        <v/>
      </c>
    </row>
    <row r="594">
      <c r="F594" s="24">
        <f>IF($A594="","",IF($B594="","EKSİK","TAM"))</f>
        <v/>
      </c>
    </row>
    <row r="595">
      <c r="F595" s="24">
        <f>IF($A595="","",IF($B595="","EKSİK","TAM"))</f>
        <v/>
      </c>
    </row>
    <row r="596">
      <c r="F596" s="24">
        <f>IF($A596="","",IF($B596="","EKSİK","TAM"))</f>
        <v/>
      </c>
    </row>
    <row r="597">
      <c r="F597" s="24">
        <f>IF($A597="","",IF($B597="","EKSİK","TAM"))</f>
        <v/>
      </c>
    </row>
    <row r="598">
      <c r="F598" s="24">
        <f>IF($A598="","",IF($B598="","EKSİK","TAM"))</f>
        <v/>
      </c>
    </row>
    <row r="599">
      <c r="F599" s="24">
        <f>IF($A599="","",IF($B599="","EKSİK","TAM"))</f>
        <v/>
      </c>
    </row>
    <row r="600">
      <c r="F600" s="24">
        <f>IF($A600="","",IF($B600="","EKSİK","TAM"))</f>
        <v/>
      </c>
    </row>
    <row r="601">
      <c r="F601" s="24">
        <f>IF($A601="","",IF($B601="","EKSİK","TAM"))</f>
        <v/>
      </c>
    </row>
    <row r="602">
      <c r="F602" s="24">
        <f>IF($A602="","",IF($B602="","EKSİK","TAM"))</f>
        <v/>
      </c>
    </row>
    <row r="603">
      <c r="F603" s="24">
        <f>IF($A603="","",IF($B603="","EKSİK","TAM"))</f>
        <v/>
      </c>
    </row>
    <row r="604">
      <c r="F604" s="24">
        <f>IF($A604="","",IF($B604="","EKSİK","TAM"))</f>
        <v/>
      </c>
    </row>
    <row r="605">
      <c r="F605" s="24">
        <f>IF($A605="","",IF($B605="","EKSİK","TAM"))</f>
        <v/>
      </c>
    </row>
    <row r="606">
      <c r="F606" s="24">
        <f>IF($A606="","",IF($B606="","EKSİK","TAM"))</f>
        <v/>
      </c>
    </row>
    <row r="607">
      <c r="F607" s="24">
        <f>IF($A607="","",IF($B607="","EKSİK","TAM"))</f>
        <v/>
      </c>
    </row>
    <row r="608">
      <c r="F608" s="24">
        <f>IF($A608="","",IF($B608="","EKSİK","TAM"))</f>
        <v/>
      </c>
    </row>
    <row r="609">
      <c r="F609" s="24">
        <f>IF($A609="","",IF($B609="","EKSİK","TAM"))</f>
        <v/>
      </c>
    </row>
    <row r="610">
      <c r="F610" s="24">
        <f>IF($A610="","",IF($B610="","EKSİK","TAM"))</f>
        <v/>
      </c>
    </row>
    <row r="611">
      <c r="F611" s="24">
        <f>IF($A611="","",IF($B611="","EKSİK","TAM"))</f>
        <v/>
      </c>
    </row>
    <row r="612">
      <c r="F612" s="24">
        <f>IF($A612="","",IF($B612="","EKSİK","TAM"))</f>
        <v/>
      </c>
    </row>
    <row r="613">
      <c r="F613" s="24">
        <f>IF($A613="","",IF($B613="","EKSİK","TAM"))</f>
        <v/>
      </c>
    </row>
    <row r="614">
      <c r="F614" s="24">
        <f>IF($A614="","",IF($B614="","EKSİK","TAM"))</f>
        <v/>
      </c>
    </row>
    <row r="615">
      <c r="F615" s="24">
        <f>IF($A615="","",IF($B615="","EKSİK","TAM"))</f>
        <v/>
      </c>
    </row>
    <row r="616">
      <c r="F616" s="24">
        <f>IF($A616="","",IF($B616="","EKSİK","TAM"))</f>
        <v/>
      </c>
    </row>
    <row r="617">
      <c r="F617" s="24">
        <f>IF($A617="","",IF($B617="","EKSİK","TAM"))</f>
        <v/>
      </c>
    </row>
    <row r="618">
      <c r="F618" s="24">
        <f>IF($A618="","",IF($B618="","EKSİK","TAM"))</f>
        <v/>
      </c>
    </row>
    <row r="619">
      <c r="F619" s="24">
        <f>IF($A619="","",IF($B619="","EKSİK","TAM"))</f>
        <v/>
      </c>
    </row>
    <row r="620">
      <c r="F620" s="24">
        <f>IF($A620="","",IF($B620="","EKSİK","TAM"))</f>
        <v/>
      </c>
    </row>
    <row r="621">
      <c r="F621" s="24">
        <f>IF($A621="","",IF($B621="","EKSİK","TAM"))</f>
        <v/>
      </c>
    </row>
    <row r="622">
      <c r="F622" s="24">
        <f>IF($A622="","",IF($B622="","EKSİK","TAM"))</f>
        <v/>
      </c>
    </row>
    <row r="623">
      <c r="F623" s="24">
        <f>IF($A623="","",IF($B623="","EKSİK","TAM"))</f>
        <v/>
      </c>
    </row>
    <row r="624">
      <c r="F624" s="24">
        <f>IF($A624="","",IF($B624="","EKSİK","TAM"))</f>
        <v/>
      </c>
    </row>
    <row r="625">
      <c r="F625" s="24">
        <f>IF($A625="","",IF($B625="","EKSİK","TAM"))</f>
        <v/>
      </c>
    </row>
    <row r="626">
      <c r="F626" s="24">
        <f>IF($A626="","",IF($B626="","EKSİK","TAM"))</f>
        <v/>
      </c>
    </row>
    <row r="627">
      <c r="F627" s="24">
        <f>IF($A627="","",IF($B627="","EKSİK","TAM"))</f>
        <v/>
      </c>
    </row>
    <row r="628">
      <c r="F628" s="24">
        <f>IF($A628="","",IF($B628="","EKSİK","TAM"))</f>
        <v/>
      </c>
    </row>
    <row r="629">
      <c r="F629" s="24">
        <f>IF($A629="","",IF($B629="","EKSİK","TAM"))</f>
        <v/>
      </c>
    </row>
    <row r="630">
      <c r="F630" s="24">
        <f>IF($A630="","",IF($B630="","EKSİK","TAM"))</f>
        <v/>
      </c>
    </row>
    <row r="631">
      <c r="F631" s="24">
        <f>IF($A631="","",IF($B631="","EKSİK","TAM"))</f>
        <v/>
      </c>
    </row>
    <row r="632">
      <c r="F632" s="24">
        <f>IF($A632="","",IF($B632="","EKSİK","TAM"))</f>
        <v/>
      </c>
    </row>
    <row r="633">
      <c r="F633" s="24">
        <f>IF($A633="","",IF($B633="","EKSİK","TAM"))</f>
        <v/>
      </c>
    </row>
    <row r="634">
      <c r="F634" s="24">
        <f>IF($A634="","",IF($B634="","EKSİK","TAM"))</f>
        <v/>
      </c>
    </row>
    <row r="635">
      <c r="F635" s="24">
        <f>IF($A635="","",IF($B635="","EKSİK","TAM"))</f>
        <v/>
      </c>
    </row>
    <row r="636">
      <c r="F636" s="24">
        <f>IF($A636="","",IF($B636="","EKSİK","TAM"))</f>
        <v/>
      </c>
    </row>
    <row r="637">
      <c r="F637" s="24">
        <f>IF($A637="","",IF($B637="","EKSİK","TAM"))</f>
        <v/>
      </c>
    </row>
    <row r="638">
      <c r="F638" s="24">
        <f>IF($A638="","",IF($B638="","EKSİK","TAM"))</f>
        <v/>
      </c>
    </row>
    <row r="639">
      <c r="F639" s="24">
        <f>IF($A639="","",IF($B639="","EKSİK","TAM"))</f>
        <v/>
      </c>
    </row>
    <row r="640">
      <c r="F640" s="24">
        <f>IF($A640="","",IF($B640="","EKSİK","TAM"))</f>
        <v/>
      </c>
    </row>
    <row r="641">
      <c r="F641" s="24">
        <f>IF($A641="","",IF($B641="","EKSİK","TAM"))</f>
        <v/>
      </c>
    </row>
    <row r="642">
      <c r="F642" s="24">
        <f>IF($A642="","",IF($B642="","EKSİK","TAM"))</f>
        <v/>
      </c>
    </row>
    <row r="643">
      <c r="F643" s="24">
        <f>IF($A643="","",IF($B643="","EKSİK","TAM"))</f>
        <v/>
      </c>
    </row>
    <row r="644">
      <c r="F644" s="24">
        <f>IF($A644="","",IF($B644="","EKSİK","TAM"))</f>
        <v/>
      </c>
    </row>
    <row r="645">
      <c r="F645" s="24">
        <f>IF($A645="","",IF($B645="","EKSİK","TAM"))</f>
        <v/>
      </c>
    </row>
    <row r="646">
      <c r="F646" s="24">
        <f>IF($A646="","",IF($B646="","EKSİK","TAM"))</f>
        <v/>
      </c>
    </row>
    <row r="647">
      <c r="F647" s="24">
        <f>IF($A647="","",IF($B647="","EKSİK","TAM"))</f>
        <v/>
      </c>
    </row>
    <row r="648">
      <c r="F648" s="24">
        <f>IF($A648="","",IF($B648="","EKSİK","TAM"))</f>
        <v/>
      </c>
    </row>
    <row r="649">
      <c r="F649" s="24">
        <f>IF($A649="","",IF($B649="","EKSİK","TAM"))</f>
        <v/>
      </c>
    </row>
    <row r="650">
      <c r="F650" s="24">
        <f>IF($A650="","",IF($B650="","EKSİK","TAM"))</f>
        <v/>
      </c>
    </row>
    <row r="651">
      <c r="F651" s="24">
        <f>IF($A651="","",IF($B651="","EKSİK","TAM"))</f>
        <v/>
      </c>
    </row>
    <row r="652">
      <c r="F652" s="24">
        <f>IF($A652="","",IF($B652="","EKSİK","TAM"))</f>
        <v/>
      </c>
    </row>
    <row r="653">
      <c r="F653" s="24">
        <f>IF($A653="","",IF($B653="","EKSİK","TAM"))</f>
        <v/>
      </c>
    </row>
    <row r="654">
      <c r="F654" s="24">
        <f>IF($A654="","",IF($B654="","EKSİK","TAM"))</f>
        <v/>
      </c>
    </row>
    <row r="655">
      <c r="F655" s="24">
        <f>IF($A655="","",IF($B655="","EKSİK","TAM"))</f>
        <v/>
      </c>
    </row>
    <row r="656">
      <c r="F656" s="24">
        <f>IF($A656="","",IF($B656="","EKSİK","TAM"))</f>
        <v/>
      </c>
    </row>
    <row r="657">
      <c r="F657" s="24">
        <f>IF($A657="","",IF($B657="","EKSİK","TAM"))</f>
        <v/>
      </c>
    </row>
    <row r="658">
      <c r="F658" s="24">
        <f>IF($A658="","",IF($B658="","EKSİK","TAM"))</f>
        <v/>
      </c>
    </row>
    <row r="659">
      <c r="F659" s="24">
        <f>IF($A659="","",IF($B659="","EKSİK","TAM"))</f>
        <v/>
      </c>
    </row>
    <row r="660">
      <c r="F660" s="24">
        <f>IF($A660="","",IF($B660="","EKSİK","TAM"))</f>
        <v/>
      </c>
    </row>
    <row r="661">
      <c r="F661" s="24">
        <f>IF($A661="","",IF($B661="","EKSİK","TAM"))</f>
        <v/>
      </c>
    </row>
    <row r="662">
      <c r="F662" s="24">
        <f>IF($A662="","",IF($B662="","EKSİK","TAM"))</f>
        <v/>
      </c>
    </row>
    <row r="663">
      <c r="F663" s="24">
        <f>IF($A663="","",IF($B663="","EKSİK","TAM"))</f>
        <v/>
      </c>
    </row>
    <row r="664">
      <c r="F664" s="24">
        <f>IF($A664="","",IF($B664="","EKSİK","TAM"))</f>
        <v/>
      </c>
    </row>
    <row r="665">
      <c r="F665" s="24">
        <f>IF($A665="","",IF($B665="","EKSİK","TAM"))</f>
        <v/>
      </c>
    </row>
    <row r="666">
      <c r="F666" s="24">
        <f>IF($A666="","",IF($B666="","EKSİK","TAM"))</f>
        <v/>
      </c>
    </row>
    <row r="667">
      <c r="F667" s="24">
        <f>IF($A667="","",IF($B667="","EKSİK","TAM"))</f>
        <v/>
      </c>
    </row>
    <row r="668">
      <c r="F668" s="24">
        <f>IF($A668="","",IF($B668="","EKSİK","TAM"))</f>
        <v/>
      </c>
    </row>
    <row r="669">
      <c r="F669" s="24">
        <f>IF($A669="","",IF($B669="","EKSİK","TAM"))</f>
        <v/>
      </c>
    </row>
    <row r="670">
      <c r="F670" s="24">
        <f>IF($A670="","",IF($B670="","EKSİK","TAM"))</f>
        <v/>
      </c>
    </row>
    <row r="671">
      <c r="F671" s="24">
        <f>IF($A671="","",IF($B671="","EKSİK","TAM"))</f>
        <v/>
      </c>
    </row>
    <row r="672">
      <c r="F672" s="24">
        <f>IF($A672="","",IF($B672="","EKSİK","TAM"))</f>
        <v/>
      </c>
    </row>
    <row r="673">
      <c r="F673" s="24">
        <f>IF($A673="","",IF($B673="","EKSİK","TAM"))</f>
        <v/>
      </c>
    </row>
    <row r="674">
      <c r="F674" s="24">
        <f>IF($A674="","",IF($B674="","EKSİK","TAM"))</f>
        <v/>
      </c>
    </row>
    <row r="675">
      <c r="F675" s="24">
        <f>IF($A675="","",IF($B675="","EKSİK","TAM"))</f>
        <v/>
      </c>
    </row>
    <row r="676">
      <c r="F676" s="24">
        <f>IF($A676="","",IF($B676="","EKSİK","TAM"))</f>
        <v/>
      </c>
    </row>
    <row r="677">
      <c r="F677" s="24">
        <f>IF($A677="","",IF($B677="","EKSİK","TAM"))</f>
        <v/>
      </c>
    </row>
    <row r="678">
      <c r="F678" s="24">
        <f>IF($A678="","",IF($B678="","EKSİK","TAM"))</f>
        <v/>
      </c>
    </row>
    <row r="679">
      <c r="F679" s="24">
        <f>IF($A679="","",IF($B679="","EKSİK","TAM"))</f>
        <v/>
      </c>
    </row>
    <row r="680">
      <c r="F680" s="24">
        <f>IF($A680="","",IF($B680="","EKSİK","TAM"))</f>
        <v/>
      </c>
    </row>
    <row r="681">
      <c r="F681" s="24">
        <f>IF($A681="","",IF($B681="","EKSİK","TAM"))</f>
        <v/>
      </c>
    </row>
    <row r="682">
      <c r="F682" s="24">
        <f>IF($A682="","",IF($B682="","EKSİK","TAM"))</f>
        <v/>
      </c>
    </row>
    <row r="683">
      <c r="F683" s="24">
        <f>IF($A683="","",IF($B683="","EKSİK","TAM"))</f>
        <v/>
      </c>
    </row>
    <row r="684">
      <c r="F684" s="24">
        <f>IF($A684="","",IF($B684="","EKSİK","TAM"))</f>
        <v/>
      </c>
    </row>
    <row r="685">
      <c r="F685" s="24">
        <f>IF($A685="","",IF($B685="","EKSİK","TAM"))</f>
        <v/>
      </c>
    </row>
    <row r="686">
      <c r="F686" s="24">
        <f>IF($A686="","",IF($B686="","EKSİK","TAM"))</f>
        <v/>
      </c>
    </row>
    <row r="687">
      <c r="F687" s="24">
        <f>IF($A687="","",IF($B687="","EKSİK","TAM"))</f>
        <v/>
      </c>
    </row>
    <row r="688">
      <c r="F688" s="24">
        <f>IF($A688="","",IF($B688="","EKSİK","TAM"))</f>
        <v/>
      </c>
    </row>
    <row r="689">
      <c r="F689" s="24">
        <f>IF($A689="","",IF($B689="","EKSİK","TAM"))</f>
        <v/>
      </c>
    </row>
    <row r="690">
      <c r="F690" s="24">
        <f>IF($A690="","",IF($B690="","EKSİK","TAM"))</f>
        <v/>
      </c>
    </row>
    <row r="691">
      <c r="F691" s="24">
        <f>IF($A691="","",IF($B691="","EKSİK","TAM"))</f>
        <v/>
      </c>
    </row>
    <row r="692">
      <c r="F692" s="24">
        <f>IF($A692="","",IF($B692="","EKSİK","TAM"))</f>
        <v/>
      </c>
    </row>
    <row r="693">
      <c r="F693" s="24">
        <f>IF($A693="","",IF($B693="","EKSİK","TAM"))</f>
        <v/>
      </c>
    </row>
    <row r="694">
      <c r="F694" s="24">
        <f>IF($A694="","",IF($B694="","EKSİK","TAM"))</f>
        <v/>
      </c>
    </row>
    <row r="695">
      <c r="F695" s="24">
        <f>IF($A695="","",IF($B695="","EKSİK","TAM"))</f>
        <v/>
      </c>
    </row>
    <row r="696">
      <c r="F696" s="24">
        <f>IF($A696="","",IF($B696="","EKSİK","TAM"))</f>
        <v/>
      </c>
    </row>
    <row r="697">
      <c r="F697" s="24">
        <f>IF($A697="","",IF($B697="","EKSİK","TAM"))</f>
        <v/>
      </c>
    </row>
    <row r="698">
      <c r="F698" s="24">
        <f>IF($A698="","",IF($B698="","EKSİK","TAM"))</f>
        <v/>
      </c>
    </row>
    <row r="699">
      <c r="F699" s="24">
        <f>IF($A699="","",IF($B699="","EKSİK","TAM"))</f>
        <v/>
      </c>
    </row>
    <row r="700">
      <c r="F700" s="24">
        <f>IF($A700="","",IF($B700="","EKSİK","TAM"))</f>
        <v/>
      </c>
    </row>
    <row r="701">
      <c r="F701" s="24">
        <f>IF($A701="","",IF($B701="","EKSİK","TAM"))</f>
        <v/>
      </c>
    </row>
    <row r="702">
      <c r="F702" s="24">
        <f>IF($A702="","",IF($B702="","EKSİK","TAM"))</f>
        <v/>
      </c>
    </row>
    <row r="703">
      <c r="F703" s="24">
        <f>IF($A703="","",IF($B703="","EKSİK","TAM"))</f>
        <v/>
      </c>
    </row>
    <row r="704">
      <c r="F704" s="24">
        <f>IF($A704="","",IF($B704="","EKSİK","TAM"))</f>
        <v/>
      </c>
    </row>
    <row r="705">
      <c r="F705" s="24">
        <f>IF($A705="","",IF($B705="","EKSİK","TAM"))</f>
        <v/>
      </c>
    </row>
    <row r="706">
      <c r="F706" s="24">
        <f>IF($A706="","",IF($B706="","EKSİK","TAM"))</f>
        <v/>
      </c>
    </row>
    <row r="707">
      <c r="F707" s="24">
        <f>IF($A707="","",IF($B707="","EKSİK","TAM"))</f>
        <v/>
      </c>
    </row>
    <row r="708">
      <c r="F708" s="24">
        <f>IF($A708="","",IF($B708="","EKSİK","TAM"))</f>
        <v/>
      </c>
    </row>
    <row r="709">
      <c r="F709" s="24">
        <f>IF($A709="","",IF($B709="","EKSİK","TAM"))</f>
        <v/>
      </c>
    </row>
    <row r="710">
      <c r="F710" s="24">
        <f>IF($A710="","",IF($B710="","EKSİK","TAM"))</f>
        <v/>
      </c>
    </row>
    <row r="711">
      <c r="F711" s="24">
        <f>IF($A711="","",IF($B711="","EKSİK","TAM"))</f>
        <v/>
      </c>
    </row>
    <row r="712">
      <c r="F712" s="24">
        <f>IF($A712="","",IF($B712="","EKSİK","TAM"))</f>
        <v/>
      </c>
    </row>
    <row r="713">
      <c r="F713" s="24">
        <f>IF($A713="","",IF($B713="","EKSİK","TAM"))</f>
        <v/>
      </c>
    </row>
    <row r="714">
      <c r="F714" s="24">
        <f>IF($A714="","",IF($B714="","EKSİK","TAM"))</f>
        <v/>
      </c>
    </row>
    <row r="715">
      <c r="F715" s="24">
        <f>IF($A715="","",IF($B715="","EKSİK","TAM"))</f>
        <v/>
      </c>
    </row>
    <row r="716">
      <c r="F716" s="24">
        <f>IF($A716="","",IF($B716="","EKSİK","TAM"))</f>
        <v/>
      </c>
    </row>
    <row r="717">
      <c r="F717" s="24">
        <f>IF($A717="","",IF($B717="","EKSİK","TAM"))</f>
        <v/>
      </c>
    </row>
    <row r="718">
      <c r="F718" s="24">
        <f>IF($A718="","",IF($B718="","EKSİK","TAM"))</f>
        <v/>
      </c>
    </row>
    <row r="719">
      <c r="F719" s="24">
        <f>IF($A719="","",IF($B719="","EKSİK","TAM"))</f>
        <v/>
      </c>
    </row>
    <row r="720">
      <c r="F720" s="24">
        <f>IF($A720="","",IF($B720="","EKSİK","TAM"))</f>
        <v/>
      </c>
    </row>
    <row r="721">
      <c r="F721" s="24">
        <f>IF($A721="","",IF($B721="","EKSİK","TAM"))</f>
        <v/>
      </c>
    </row>
    <row r="722">
      <c r="F722" s="24">
        <f>IF($A722="","",IF($B722="","EKSİK","TAM"))</f>
        <v/>
      </c>
    </row>
    <row r="723">
      <c r="F723" s="24">
        <f>IF($A723="","",IF($B723="","EKSİK","TAM"))</f>
        <v/>
      </c>
    </row>
    <row r="724">
      <c r="F724" s="24">
        <f>IF($A724="","",IF($B724="","EKSİK","TAM"))</f>
        <v/>
      </c>
    </row>
    <row r="725">
      <c r="F725" s="24">
        <f>IF($A725="","",IF($B725="","EKSİK","TAM"))</f>
        <v/>
      </c>
    </row>
    <row r="726">
      <c r="F726" s="24">
        <f>IF($A726="","",IF($B726="","EKSİK","TAM"))</f>
        <v/>
      </c>
    </row>
    <row r="727">
      <c r="F727" s="24">
        <f>IF($A727="","",IF($B727="","EKSİK","TAM"))</f>
        <v/>
      </c>
    </row>
    <row r="728">
      <c r="F728" s="24">
        <f>IF($A728="","",IF($B728="","EKSİK","TAM"))</f>
        <v/>
      </c>
    </row>
    <row r="729">
      <c r="F729" s="24">
        <f>IF($A729="","",IF($B729="","EKSİK","TAM"))</f>
        <v/>
      </c>
    </row>
    <row r="730">
      <c r="F730" s="24">
        <f>IF($A730="","",IF($B730="","EKSİK","TAM"))</f>
        <v/>
      </c>
    </row>
    <row r="731">
      <c r="F731" s="24">
        <f>IF($A731="","",IF($B731="","EKSİK","TAM"))</f>
        <v/>
      </c>
    </row>
    <row r="732">
      <c r="F732" s="24">
        <f>IF($A732="","",IF($B732="","EKSİK","TAM"))</f>
        <v/>
      </c>
    </row>
    <row r="733">
      <c r="F733" s="24">
        <f>IF($A733="","",IF($B733="","EKSİK","TAM"))</f>
        <v/>
      </c>
    </row>
    <row r="734">
      <c r="F734" s="24">
        <f>IF($A734="","",IF($B734="","EKSİK","TAM"))</f>
        <v/>
      </c>
    </row>
    <row r="735">
      <c r="F735" s="24">
        <f>IF($A735="","",IF($B735="","EKSİK","TAM"))</f>
        <v/>
      </c>
    </row>
    <row r="736">
      <c r="F736" s="24">
        <f>IF($A736="","",IF($B736="","EKSİK","TAM"))</f>
        <v/>
      </c>
    </row>
    <row r="737">
      <c r="F737" s="24">
        <f>IF($A737="","",IF($B737="","EKSİK","TAM"))</f>
        <v/>
      </c>
    </row>
    <row r="738">
      <c r="F738" s="24">
        <f>IF($A738="","",IF($B738="","EKSİK","TAM"))</f>
        <v/>
      </c>
    </row>
    <row r="739">
      <c r="F739" s="24">
        <f>IF($A739="","",IF($B739="","EKSİK","TAM"))</f>
        <v/>
      </c>
    </row>
    <row r="740">
      <c r="F740" s="24">
        <f>IF($A740="","",IF($B740="","EKSİK","TAM"))</f>
        <v/>
      </c>
    </row>
    <row r="741">
      <c r="F741" s="24">
        <f>IF($A741="","",IF($B741="","EKSİK","TAM"))</f>
        <v/>
      </c>
    </row>
    <row r="742">
      <c r="F742" s="24">
        <f>IF($A742="","",IF($B742="","EKSİK","TAM"))</f>
        <v/>
      </c>
    </row>
    <row r="743">
      <c r="F743" s="24">
        <f>IF($A743="","",IF($B743="","EKSİK","TAM"))</f>
        <v/>
      </c>
    </row>
    <row r="744">
      <c r="F744" s="24">
        <f>IF($A744="","",IF($B744="","EKSİK","TAM"))</f>
        <v/>
      </c>
    </row>
    <row r="745">
      <c r="F745" s="24">
        <f>IF($A745="","",IF($B745="","EKSİK","TAM"))</f>
        <v/>
      </c>
    </row>
    <row r="746">
      <c r="F746" s="24">
        <f>IF($A746="","",IF($B746="","EKSİK","TAM"))</f>
        <v/>
      </c>
    </row>
    <row r="747">
      <c r="F747" s="24">
        <f>IF($A747="","",IF($B747="","EKSİK","TAM"))</f>
        <v/>
      </c>
    </row>
    <row r="748">
      <c r="F748" s="24">
        <f>IF($A748="","",IF($B748="","EKSİK","TAM"))</f>
        <v/>
      </c>
    </row>
    <row r="749">
      <c r="F749" s="24">
        <f>IF($A749="","",IF($B749="","EKSİK","TAM"))</f>
        <v/>
      </c>
    </row>
    <row r="750">
      <c r="F750" s="24">
        <f>IF($A750="","",IF($B750="","EKSİK","TAM"))</f>
        <v/>
      </c>
    </row>
    <row r="751">
      <c r="F751" s="24">
        <f>IF($A751="","",IF($B751="","EKSİK","TAM"))</f>
        <v/>
      </c>
    </row>
    <row r="752">
      <c r="F752" s="24">
        <f>IF($A752="","",IF($B752="","EKSİK","TAM"))</f>
        <v/>
      </c>
    </row>
    <row r="753">
      <c r="F753" s="24">
        <f>IF($A753="","",IF($B753="","EKSİK","TAM"))</f>
        <v/>
      </c>
    </row>
    <row r="754">
      <c r="F754" s="24">
        <f>IF($A754="","",IF($B754="","EKSİK","TAM"))</f>
        <v/>
      </c>
    </row>
    <row r="755">
      <c r="F755" s="24">
        <f>IF($A755="","",IF($B755="","EKSİK","TAM"))</f>
        <v/>
      </c>
    </row>
    <row r="756">
      <c r="F756" s="24">
        <f>IF($A756="","",IF($B756="","EKSİK","TAM"))</f>
        <v/>
      </c>
    </row>
    <row r="757">
      <c r="F757" s="24">
        <f>IF($A757="","",IF($B757="","EKSİK","TAM"))</f>
        <v/>
      </c>
    </row>
    <row r="758">
      <c r="F758" s="24">
        <f>IF($A758="","",IF($B758="","EKSİK","TAM"))</f>
        <v/>
      </c>
    </row>
    <row r="759">
      <c r="F759" s="24">
        <f>IF($A759="","",IF($B759="","EKSİK","TAM"))</f>
        <v/>
      </c>
    </row>
    <row r="760">
      <c r="F760" s="24">
        <f>IF($A760="","",IF($B760="","EKSİK","TAM"))</f>
        <v/>
      </c>
    </row>
    <row r="761">
      <c r="F761" s="24">
        <f>IF($A761="","",IF($B761="","EKSİK","TAM"))</f>
        <v/>
      </c>
    </row>
    <row r="762">
      <c r="F762" s="24">
        <f>IF($A762="","",IF($B762="","EKSİK","TAM"))</f>
        <v/>
      </c>
    </row>
    <row r="763">
      <c r="F763" s="24">
        <f>IF($A763="","",IF($B763="","EKSİK","TAM"))</f>
        <v/>
      </c>
    </row>
    <row r="764">
      <c r="F764" s="24">
        <f>IF($A764="","",IF($B764="","EKSİK","TAM"))</f>
        <v/>
      </c>
    </row>
    <row r="765">
      <c r="F765" s="24">
        <f>IF($A765="","",IF($B765="","EKSİK","TAM"))</f>
        <v/>
      </c>
    </row>
    <row r="766">
      <c r="F766" s="24">
        <f>IF($A766="","",IF($B766="","EKSİK","TAM"))</f>
        <v/>
      </c>
    </row>
    <row r="767">
      <c r="F767" s="24">
        <f>IF($A767="","",IF($B767="","EKSİK","TAM"))</f>
        <v/>
      </c>
    </row>
    <row r="768">
      <c r="F768" s="24">
        <f>IF($A768="","",IF($B768="","EKSİK","TAM"))</f>
        <v/>
      </c>
    </row>
    <row r="769">
      <c r="F769" s="24">
        <f>IF($A769="","",IF($B769="","EKSİK","TAM"))</f>
        <v/>
      </c>
    </row>
    <row r="770">
      <c r="F770" s="24">
        <f>IF($A770="","",IF($B770="","EKSİK","TAM"))</f>
        <v/>
      </c>
    </row>
    <row r="771">
      <c r="F771" s="24">
        <f>IF($A771="","",IF($B771="","EKSİK","TAM"))</f>
        <v/>
      </c>
    </row>
    <row r="772">
      <c r="F772" s="24">
        <f>IF($A772="","",IF($B772="","EKSİK","TAM"))</f>
        <v/>
      </c>
    </row>
    <row r="773">
      <c r="F773" s="24">
        <f>IF($A773="","",IF($B773="","EKSİK","TAM"))</f>
        <v/>
      </c>
    </row>
    <row r="774">
      <c r="F774" s="24">
        <f>IF($A774="","",IF($B774="","EKSİK","TAM"))</f>
        <v/>
      </c>
    </row>
    <row r="775">
      <c r="F775" s="24">
        <f>IF($A775="","",IF($B775="","EKSİK","TAM"))</f>
        <v/>
      </c>
    </row>
    <row r="776">
      <c r="F776" s="24">
        <f>IF($A776="","",IF($B776="","EKSİK","TAM"))</f>
        <v/>
      </c>
    </row>
    <row r="777">
      <c r="F777" s="24">
        <f>IF($A777="","",IF($B777="","EKSİK","TAM"))</f>
        <v/>
      </c>
    </row>
    <row r="778">
      <c r="F778" s="24">
        <f>IF($A778="","",IF($B778="","EKSİK","TAM"))</f>
        <v/>
      </c>
    </row>
    <row r="779">
      <c r="F779" s="24">
        <f>IF($A779="","",IF($B779="","EKSİK","TAM"))</f>
        <v/>
      </c>
    </row>
    <row r="780">
      <c r="F780" s="24">
        <f>IF($A780="","",IF($B780="","EKSİK","TAM"))</f>
        <v/>
      </c>
    </row>
    <row r="781">
      <c r="F781" s="24">
        <f>IF($A781="","",IF($B781="","EKSİK","TAM"))</f>
        <v/>
      </c>
    </row>
    <row r="782">
      <c r="F782" s="24">
        <f>IF($A782="","",IF($B782="","EKSİK","TAM"))</f>
        <v/>
      </c>
    </row>
    <row r="783">
      <c r="F783" s="24">
        <f>IF($A783="","",IF($B783="","EKSİK","TAM"))</f>
        <v/>
      </c>
    </row>
    <row r="784">
      <c r="F784" s="24">
        <f>IF($A784="","",IF($B784="","EKSİK","TAM"))</f>
        <v/>
      </c>
    </row>
    <row r="785">
      <c r="F785" s="24">
        <f>IF($A785="","",IF($B785="","EKSİK","TAM"))</f>
        <v/>
      </c>
    </row>
    <row r="786">
      <c r="F786" s="24">
        <f>IF($A786="","",IF($B786="","EKSİK","TAM"))</f>
        <v/>
      </c>
    </row>
    <row r="787">
      <c r="F787" s="24">
        <f>IF($A787="","",IF($B787="","EKSİK","TAM"))</f>
        <v/>
      </c>
    </row>
    <row r="788">
      <c r="F788" s="24">
        <f>IF($A788="","",IF($B788="","EKSİK","TAM"))</f>
        <v/>
      </c>
    </row>
    <row r="789">
      <c r="F789" s="24">
        <f>IF($A789="","",IF($B789="","EKSİK","TAM"))</f>
        <v/>
      </c>
    </row>
    <row r="790">
      <c r="F790" s="24">
        <f>IF($A790="","",IF($B790="","EKSİK","TAM"))</f>
        <v/>
      </c>
    </row>
    <row r="791">
      <c r="F791" s="24">
        <f>IF($A791="","",IF($B791="","EKSİK","TAM"))</f>
        <v/>
      </c>
    </row>
    <row r="792">
      <c r="F792" s="24">
        <f>IF($A792="","",IF($B792="","EKSİK","TAM"))</f>
        <v/>
      </c>
    </row>
    <row r="793">
      <c r="F793" s="24">
        <f>IF($A793="","",IF($B793="","EKSİK","TAM"))</f>
        <v/>
      </c>
    </row>
    <row r="794">
      <c r="F794" s="24">
        <f>IF($A794="","",IF($B794="","EKSİK","TAM"))</f>
        <v/>
      </c>
    </row>
    <row r="795">
      <c r="F795" s="24">
        <f>IF($A795="","",IF($B795="","EKSİK","TAM"))</f>
        <v/>
      </c>
    </row>
    <row r="796">
      <c r="F796" s="24">
        <f>IF($A796="","",IF($B796="","EKSİK","TAM"))</f>
        <v/>
      </c>
    </row>
    <row r="797">
      <c r="F797" s="24">
        <f>IF($A797="","",IF($B797="","EKSİK","TAM"))</f>
        <v/>
      </c>
    </row>
    <row r="798">
      <c r="F798" s="24">
        <f>IF($A798="","",IF($B798="","EKSİK","TAM"))</f>
        <v/>
      </c>
    </row>
    <row r="799">
      <c r="F799" s="24">
        <f>IF($A799="","",IF($B799="","EKSİK","TAM"))</f>
        <v/>
      </c>
    </row>
    <row r="800">
      <c r="F800" s="24">
        <f>IF($A800="","",IF($B800="","EKSİK","TAM"))</f>
        <v/>
      </c>
    </row>
    <row r="801">
      <c r="F801" s="24">
        <f>IF($A801="","",IF($B801="","EKSİK","TAM"))</f>
        <v/>
      </c>
    </row>
    <row r="802">
      <c r="F802" s="24">
        <f>IF($A802="","",IF($B802="","EKSİK","TAM"))</f>
        <v/>
      </c>
    </row>
    <row r="803">
      <c r="F803" s="24">
        <f>IF($A803="","",IF($B803="","EKSİK","TAM"))</f>
        <v/>
      </c>
    </row>
    <row r="804">
      <c r="F804" s="24">
        <f>IF($A804="","",IF($B804="","EKSİK","TAM"))</f>
        <v/>
      </c>
    </row>
    <row r="805">
      <c r="F805" s="24">
        <f>IF($A805="","",IF($B805="","EKSİK","TAM"))</f>
        <v/>
      </c>
    </row>
    <row r="806">
      <c r="F806" s="24">
        <f>IF($A806="","",IF($B806="","EKSİK","TAM"))</f>
        <v/>
      </c>
    </row>
    <row r="807">
      <c r="F807" s="24">
        <f>IF($A807="","",IF($B807="","EKSİK","TAM"))</f>
        <v/>
      </c>
    </row>
    <row r="808">
      <c r="F808" s="24">
        <f>IF($A808="","",IF($B808="","EKSİK","TAM"))</f>
        <v/>
      </c>
    </row>
    <row r="809">
      <c r="F809" s="24">
        <f>IF($A809="","",IF($B809="","EKSİK","TAM"))</f>
        <v/>
      </c>
    </row>
    <row r="810">
      <c r="F810" s="24">
        <f>IF($A810="","",IF($B810="","EKSİK","TAM"))</f>
        <v/>
      </c>
    </row>
    <row r="811">
      <c r="F811" s="24">
        <f>IF($A811="","",IF($B811="","EKSİK","TAM"))</f>
        <v/>
      </c>
    </row>
    <row r="812">
      <c r="F812" s="24">
        <f>IF($A812="","",IF($B812="","EKSİK","TAM"))</f>
        <v/>
      </c>
    </row>
    <row r="813">
      <c r="F813" s="24">
        <f>IF($A813="","",IF($B813="","EKSİK","TAM"))</f>
        <v/>
      </c>
    </row>
    <row r="814">
      <c r="F814" s="24">
        <f>IF($A814="","",IF($B814="","EKSİK","TAM"))</f>
        <v/>
      </c>
    </row>
    <row r="815">
      <c r="F815" s="24">
        <f>IF($A815="","",IF($B815="","EKSİK","TAM"))</f>
        <v/>
      </c>
    </row>
    <row r="816">
      <c r="F816" s="24">
        <f>IF($A816="","",IF($B816="","EKSİK","TAM"))</f>
        <v/>
      </c>
    </row>
    <row r="817">
      <c r="F817" s="24">
        <f>IF($A817="","",IF($B817="","EKSİK","TAM"))</f>
        <v/>
      </c>
    </row>
    <row r="818">
      <c r="F818" s="24">
        <f>IF($A818="","",IF($B818="","EKSİK","TAM"))</f>
        <v/>
      </c>
    </row>
    <row r="819">
      <c r="F819" s="24">
        <f>IF($A819="","",IF($B819="","EKSİK","TAM"))</f>
        <v/>
      </c>
    </row>
    <row r="820">
      <c r="F820" s="24">
        <f>IF($A820="","",IF($B820="","EKSİK","TAM"))</f>
        <v/>
      </c>
    </row>
    <row r="821">
      <c r="F821" s="24">
        <f>IF($A821="","",IF($B821="","EKSİK","TAM"))</f>
        <v/>
      </c>
    </row>
    <row r="822">
      <c r="F822" s="24">
        <f>IF($A822="","",IF($B822="","EKSİK","TAM"))</f>
        <v/>
      </c>
    </row>
    <row r="823">
      <c r="F823" s="24">
        <f>IF($A823="","",IF($B823="","EKSİK","TAM"))</f>
        <v/>
      </c>
    </row>
    <row r="824">
      <c r="F824" s="24">
        <f>IF($A824="","",IF($B824="","EKSİK","TAM"))</f>
        <v/>
      </c>
    </row>
    <row r="825">
      <c r="F825" s="24">
        <f>IF($A825="","",IF($B825="","EKSİK","TAM"))</f>
        <v/>
      </c>
    </row>
    <row r="826">
      <c r="F826" s="24">
        <f>IF($A826="","",IF($B826="","EKSİK","TAM"))</f>
        <v/>
      </c>
    </row>
    <row r="827">
      <c r="F827" s="24">
        <f>IF($A827="","",IF($B827="","EKSİK","TAM"))</f>
        <v/>
      </c>
    </row>
    <row r="828">
      <c r="F828" s="24">
        <f>IF($A828="","",IF($B828="","EKSİK","TAM"))</f>
        <v/>
      </c>
    </row>
    <row r="829">
      <c r="F829" s="24">
        <f>IF($A829="","",IF($B829="","EKSİK","TAM"))</f>
        <v/>
      </c>
    </row>
    <row r="830">
      <c r="F830" s="24">
        <f>IF($A830="","",IF($B830="","EKSİK","TAM"))</f>
        <v/>
      </c>
    </row>
    <row r="831">
      <c r="F831" s="24">
        <f>IF($A831="","",IF($B831="","EKSİK","TAM"))</f>
        <v/>
      </c>
    </row>
    <row r="832">
      <c r="F832" s="24">
        <f>IF($A832="","",IF($B832="","EKSİK","TAM"))</f>
        <v/>
      </c>
    </row>
    <row r="833">
      <c r="F833" s="24">
        <f>IF($A833="","",IF($B833="","EKSİK","TAM"))</f>
        <v/>
      </c>
    </row>
    <row r="834">
      <c r="F834" s="24">
        <f>IF($A834="","",IF($B834="","EKSİK","TAM"))</f>
        <v/>
      </c>
    </row>
    <row r="835">
      <c r="F835" s="24">
        <f>IF($A835="","",IF($B835="","EKSİK","TAM"))</f>
        <v/>
      </c>
    </row>
    <row r="836">
      <c r="F836" s="24">
        <f>IF($A836="","",IF($B836="","EKSİK","TAM"))</f>
        <v/>
      </c>
    </row>
    <row r="837">
      <c r="F837" s="24">
        <f>IF($A837="","",IF($B837="","EKSİK","TAM"))</f>
        <v/>
      </c>
    </row>
    <row r="838">
      <c r="F838" s="24">
        <f>IF($A838="","",IF($B838="","EKSİK","TAM"))</f>
        <v/>
      </c>
    </row>
    <row r="839">
      <c r="F839" s="24">
        <f>IF($A839="","",IF($B839="","EKSİK","TAM"))</f>
        <v/>
      </c>
    </row>
    <row r="840">
      <c r="F840" s="24">
        <f>IF($A840="","",IF($B840="","EKSİK","TAM"))</f>
        <v/>
      </c>
    </row>
    <row r="841">
      <c r="F841" s="24">
        <f>IF($A841="","",IF($B841="","EKSİK","TAM"))</f>
        <v/>
      </c>
    </row>
    <row r="842">
      <c r="F842" s="24">
        <f>IF($A842="","",IF($B842="","EKSİK","TAM"))</f>
        <v/>
      </c>
    </row>
    <row r="843">
      <c r="F843" s="24">
        <f>IF($A843="","",IF($B843="","EKSİK","TAM"))</f>
        <v/>
      </c>
    </row>
    <row r="844">
      <c r="F844" s="24">
        <f>IF($A844="","",IF($B844="","EKSİK","TAM"))</f>
        <v/>
      </c>
    </row>
    <row r="845">
      <c r="F845" s="24">
        <f>IF($A845="","",IF($B845="","EKSİK","TAM"))</f>
        <v/>
      </c>
    </row>
    <row r="846">
      <c r="F846" s="24">
        <f>IF($A846="","",IF($B846="","EKSİK","TAM"))</f>
        <v/>
      </c>
    </row>
    <row r="847">
      <c r="F847" s="24">
        <f>IF($A847="","",IF($B847="","EKSİK","TAM"))</f>
        <v/>
      </c>
    </row>
    <row r="848">
      <c r="F848" s="24">
        <f>IF($A848="","",IF($B848="","EKSİK","TAM"))</f>
        <v/>
      </c>
    </row>
    <row r="849">
      <c r="F849" s="24">
        <f>IF($A849="","",IF($B849="","EKSİK","TAM"))</f>
        <v/>
      </c>
    </row>
    <row r="850">
      <c r="F850" s="24">
        <f>IF($A850="","",IF($B850="","EKSİK","TAM"))</f>
        <v/>
      </c>
    </row>
    <row r="851">
      <c r="F851" s="24">
        <f>IF($A851="","",IF($B851="","EKSİK","TAM"))</f>
        <v/>
      </c>
    </row>
    <row r="852">
      <c r="F852" s="24">
        <f>IF($A852="","",IF($B852="","EKSİK","TAM"))</f>
        <v/>
      </c>
    </row>
    <row r="853">
      <c r="F853" s="24">
        <f>IF($A853="","",IF($B853="","EKSİK","TAM"))</f>
        <v/>
      </c>
    </row>
    <row r="854">
      <c r="F854" s="24">
        <f>IF($A854="","",IF($B854="","EKSİK","TAM"))</f>
        <v/>
      </c>
    </row>
    <row r="855">
      <c r="F855" s="24">
        <f>IF($A855="","",IF($B855="","EKSİK","TAM"))</f>
        <v/>
      </c>
    </row>
    <row r="856">
      <c r="F856" s="24">
        <f>IF($A856="","",IF($B856="","EKSİK","TAM"))</f>
        <v/>
      </c>
    </row>
    <row r="857">
      <c r="F857" s="24">
        <f>IF($A857="","",IF($B857="","EKSİK","TAM"))</f>
        <v/>
      </c>
    </row>
    <row r="858">
      <c r="F858" s="24">
        <f>IF($A858="","",IF($B858="","EKSİK","TAM"))</f>
        <v/>
      </c>
    </row>
    <row r="859">
      <c r="F859" s="24">
        <f>IF($A859="","",IF($B859="","EKSİK","TAM"))</f>
        <v/>
      </c>
    </row>
    <row r="860">
      <c r="F860" s="24">
        <f>IF($A860="","",IF($B860="","EKSİK","TAM"))</f>
        <v/>
      </c>
    </row>
    <row r="861">
      <c r="F861" s="24">
        <f>IF($A861="","",IF($B861="","EKSİK","TAM"))</f>
        <v/>
      </c>
    </row>
    <row r="862">
      <c r="F862" s="24">
        <f>IF($A862="","",IF($B862="","EKSİK","TAM"))</f>
        <v/>
      </c>
    </row>
    <row r="863">
      <c r="F863" s="24">
        <f>IF($A863="","",IF($B863="","EKSİK","TAM"))</f>
        <v/>
      </c>
    </row>
    <row r="864">
      <c r="F864" s="24">
        <f>IF($A864="","",IF($B864="","EKSİK","TAM"))</f>
        <v/>
      </c>
    </row>
    <row r="865">
      <c r="F865" s="24">
        <f>IF($A865="","",IF($B865="","EKSİK","TAM"))</f>
        <v/>
      </c>
    </row>
    <row r="866">
      <c r="F866" s="24">
        <f>IF($A866="","",IF($B866="","EKSİK","TAM"))</f>
        <v/>
      </c>
    </row>
    <row r="867">
      <c r="F867" s="24">
        <f>IF($A867="","",IF($B867="","EKSİK","TAM"))</f>
        <v/>
      </c>
    </row>
    <row r="868">
      <c r="F868" s="24">
        <f>IF($A868="","",IF($B868="","EKSİK","TAM"))</f>
        <v/>
      </c>
    </row>
    <row r="869">
      <c r="F869" s="24">
        <f>IF($A869="","",IF($B869="","EKSİK","TAM"))</f>
        <v/>
      </c>
    </row>
    <row r="870">
      <c r="F870" s="24">
        <f>IF($A870="","",IF($B870="","EKSİK","TAM"))</f>
        <v/>
      </c>
    </row>
    <row r="871">
      <c r="F871" s="24">
        <f>IF($A871="","",IF($B871="","EKSİK","TAM"))</f>
        <v/>
      </c>
    </row>
    <row r="872">
      <c r="F872" s="24">
        <f>IF($A872="","",IF($B872="","EKSİK","TAM"))</f>
        <v/>
      </c>
    </row>
    <row r="873">
      <c r="F873" s="24">
        <f>IF($A873="","",IF($B873="","EKSİK","TAM"))</f>
        <v/>
      </c>
    </row>
    <row r="874">
      <c r="F874" s="24">
        <f>IF($A874="","",IF($B874="","EKSİK","TAM"))</f>
        <v/>
      </c>
    </row>
    <row r="875">
      <c r="F875" s="24">
        <f>IF($A875="","",IF($B875="","EKSİK","TAM"))</f>
        <v/>
      </c>
    </row>
    <row r="876">
      <c r="F876" s="24">
        <f>IF($A876="","",IF($B876="","EKSİK","TAM"))</f>
        <v/>
      </c>
    </row>
    <row r="877">
      <c r="F877" s="24">
        <f>IF($A877="","",IF($B877="","EKSİK","TAM"))</f>
        <v/>
      </c>
    </row>
    <row r="878">
      <c r="F878" s="24">
        <f>IF($A878="","",IF($B878="","EKSİK","TAM"))</f>
        <v/>
      </c>
    </row>
    <row r="879">
      <c r="F879" s="24">
        <f>IF($A879="","",IF($B879="","EKSİK","TAM"))</f>
        <v/>
      </c>
    </row>
    <row r="880">
      <c r="F880" s="24">
        <f>IF($A880="","",IF($B880="","EKSİK","TAM"))</f>
        <v/>
      </c>
    </row>
    <row r="881">
      <c r="F881" s="24">
        <f>IF($A881="","",IF($B881="","EKSİK","TAM"))</f>
        <v/>
      </c>
    </row>
    <row r="882">
      <c r="F882" s="24">
        <f>IF($A882="","",IF($B882="","EKSİK","TAM"))</f>
        <v/>
      </c>
    </row>
    <row r="883">
      <c r="F883" s="24">
        <f>IF($A883="","",IF($B883="","EKSİK","TAM"))</f>
        <v/>
      </c>
    </row>
    <row r="884">
      <c r="F884" s="24">
        <f>IF($A884="","",IF($B884="","EKSİK","TAM"))</f>
        <v/>
      </c>
    </row>
    <row r="885">
      <c r="F885" s="24">
        <f>IF($A885="","",IF($B885="","EKSİK","TAM"))</f>
        <v/>
      </c>
    </row>
    <row r="886">
      <c r="F886" s="24">
        <f>IF($A886="","",IF($B886="","EKSİK","TAM"))</f>
        <v/>
      </c>
    </row>
    <row r="887">
      <c r="F887" s="24">
        <f>IF($A887="","",IF($B887="","EKSİK","TAM"))</f>
        <v/>
      </c>
    </row>
    <row r="888">
      <c r="F888" s="24">
        <f>IF($A888="","",IF($B888="","EKSİK","TAM"))</f>
        <v/>
      </c>
    </row>
    <row r="889">
      <c r="F889" s="24">
        <f>IF($A889="","",IF($B889="","EKSİK","TAM"))</f>
        <v/>
      </c>
    </row>
    <row r="890">
      <c r="F890" s="24">
        <f>IF($A890="","",IF($B890="","EKSİK","TAM"))</f>
        <v/>
      </c>
    </row>
    <row r="891">
      <c r="F891" s="24">
        <f>IF($A891="","",IF($B891="","EKSİK","TAM"))</f>
        <v/>
      </c>
    </row>
    <row r="892">
      <c r="F892" s="24">
        <f>IF($A892="","",IF($B892="","EKSİK","TAM"))</f>
        <v/>
      </c>
    </row>
    <row r="893">
      <c r="F893" s="24">
        <f>IF($A893="","",IF($B893="","EKSİK","TAM"))</f>
        <v/>
      </c>
    </row>
    <row r="894">
      <c r="F894" s="24">
        <f>IF($A894="","",IF($B894="","EKSİK","TAM"))</f>
        <v/>
      </c>
    </row>
    <row r="895">
      <c r="F895" s="24">
        <f>IF($A895="","",IF($B895="","EKSİK","TAM"))</f>
        <v/>
      </c>
    </row>
    <row r="896">
      <c r="F896" s="24">
        <f>IF($A896="","",IF($B896="","EKSİK","TAM"))</f>
        <v/>
      </c>
    </row>
    <row r="897">
      <c r="F897" s="24">
        <f>IF($A897="","",IF($B897="","EKSİK","TAM"))</f>
        <v/>
      </c>
    </row>
    <row r="898">
      <c r="F898" s="24">
        <f>IF($A898="","",IF($B898="","EKSİK","TAM"))</f>
        <v/>
      </c>
    </row>
    <row r="899">
      <c r="F899" s="24">
        <f>IF($A899="","",IF($B899="","EKSİK","TAM"))</f>
        <v/>
      </c>
    </row>
    <row r="900">
      <c r="F900" s="24">
        <f>IF($A900="","",IF($B900="","EKSİK","TAM"))</f>
        <v/>
      </c>
    </row>
    <row r="901">
      <c r="F901" s="24">
        <f>IF($A901="","",IF($B901="","EKSİK","TAM"))</f>
        <v/>
      </c>
    </row>
    <row r="902">
      <c r="F902" s="24">
        <f>IF($A902="","",IF($B902="","EKSİK","TAM"))</f>
        <v/>
      </c>
    </row>
    <row r="903">
      <c r="F903" s="24">
        <f>IF($A903="","",IF($B903="","EKSİK","TAM"))</f>
        <v/>
      </c>
    </row>
    <row r="904">
      <c r="F904" s="24">
        <f>IF($A904="","",IF($B904="","EKSİK","TAM"))</f>
        <v/>
      </c>
    </row>
    <row r="905">
      <c r="F905" s="24">
        <f>IF($A905="","",IF($B905="","EKSİK","TAM"))</f>
        <v/>
      </c>
    </row>
    <row r="906">
      <c r="F906" s="24">
        <f>IF($A906="","",IF($B906="","EKSİK","TAM"))</f>
        <v/>
      </c>
    </row>
    <row r="907">
      <c r="F907" s="24">
        <f>IF($A907="","",IF($B907="","EKSİK","TAM"))</f>
        <v/>
      </c>
    </row>
    <row r="908">
      <c r="F908" s="24">
        <f>IF($A908="","",IF($B908="","EKSİK","TAM"))</f>
        <v/>
      </c>
    </row>
    <row r="909">
      <c r="F909" s="24">
        <f>IF($A909="","",IF($B909="","EKSİK","TAM"))</f>
        <v/>
      </c>
    </row>
    <row r="910">
      <c r="F910" s="24">
        <f>IF($A910="","",IF($B910="","EKSİK","TAM"))</f>
        <v/>
      </c>
    </row>
    <row r="911">
      <c r="F911" s="24">
        <f>IF($A911="","",IF($B911="","EKSİK","TAM"))</f>
        <v/>
      </c>
    </row>
    <row r="912">
      <c r="F912" s="24">
        <f>IF($A912="","",IF($B912="","EKSİK","TAM"))</f>
        <v/>
      </c>
    </row>
    <row r="913">
      <c r="F913" s="24">
        <f>IF($A913="","",IF($B913="","EKSİK","TAM"))</f>
        <v/>
      </c>
    </row>
    <row r="914">
      <c r="F914" s="24">
        <f>IF($A914="","",IF($B914="","EKSİK","TAM"))</f>
        <v/>
      </c>
    </row>
    <row r="915">
      <c r="F915" s="24">
        <f>IF($A915="","",IF($B915="","EKSİK","TAM"))</f>
        <v/>
      </c>
    </row>
    <row r="916">
      <c r="F916" s="24">
        <f>IF($A916="","",IF($B916="","EKSİK","TAM"))</f>
        <v/>
      </c>
    </row>
    <row r="917">
      <c r="F917" s="24">
        <f>IF($A917="","",IF($B917="","EKSİK","TAM"))</f>
        <v/>
      </c>
    </row>
    <row r="918">
      <c r="F918" s="24">
        <f>IF($A918="","",IF($B918="","EKSİK","TAM"))</f>
        <v/>
      </c>
    </row>
    <row r="919">
      <c r="F919" s="24">
        <f>IF($A919="","",IF($B919="","EKSİK","TAM"))</f>
        <v/>
      </c>
    </row>
    <row r="920">
      <c r="F920" s="24">
        <f>IF($A920="","",IF($B920="","EKSİK","TAM"))</f>
        <v/>
      </c>
    </row>
    <row r="921">
      <c r="F921" s="24">
        <f>IF($A921="","",IF($B921="","EKSİK","TAM"))</f>
        <v/>
      </c>
    </row>
    <row r="922">
      <c r="F922" s="24">
        <f>IF($A922="","",IF($B922="","EKSİK","TAM"))</f>
        <v/>
      </c>
    </row>
    <row r="923">
      <c r="F923" s="24">
        <f>IF($A923="","",IF($B923="","EKSİK","TAM"))</f>
        <v/>
      </c>
    </row>
    <row r="924">
      <c r="F924" s="24">
        <f>IF($A924="","",IF($B924="","EKSİK","TAM"))</f>
        <v/>
      </c>
    </row>
    <row r="925">
      <c r="F925" s="24">
        <f>IF($A925="","",IF($B925="","EKSİK","TAM"))</f>
        <v/>
      </c>
    </row>
    <row r="926">
      <c r="F926" s="24">
        <f>IF($A926="","",IF($B926="","EKSİK","TAM"))</f>
        <v/>
      </c>
    </row>
    <row r="927">
      <c r="F927" s="24">
        <f>IF($A927="","",IF($B927="","EKSİK","TAM"))</f>
        <v/>
      </c>
    </row>
    <row r="928">
      <c r="F928" s="24">
        <f>IF($A928="","",IF($B928="","EKSİK","TAM"))</f>
        <v/>
      </c>
    </row>
    <row r="929">
      <c r="F929" s="24">
        <f>IF($A929="","",IF($B929="","EKSİK","TAM"))</f>
        <v/>
      </c>
    </row>
    <row r="930">
      <c r="F930" s="24">
        <f>IF($A930="","",IF($B930="","EKSİK","TAM"))</f>
        <v/>
      </c>
    </row>
    <row r="931">
      <c r="F931" s="24">
        <f>IF($A931="","",IF($B931="","EKSİK","TAM"))</f>
        <v/>
      </c>
    </row>
    <row r="932">
      <c r="F932" s="24">
        <f>IF($A932="","",IF($B932="","EKSİK","TAM"))</f>
        <v/>
      </c>
    </row>
    <row r="933">
      <c r="F933" s="24">
        <f>IF($A933="","",IF($B933="","EKSİK","TAM"))</f>
        <v/>
      </c>
    </row>
    <row r="934">
      <c r="F934" s="24">
        <f>IF($A934="","",IF($B934="","EKSİK","TAM"))</f>
        <v/>
      </c>
    </row>
    <row r="935">
      <c r="F935" s="24">
        <f>IF($A935="","",IF($B935="","EKSİK","TAM"))</f>
        <v/>
      </c>
    </row>
    <row r="936">
      <c r="F936" s="24">
        <f>IF($A936="","",IF($B936="","EKSİK","TAM"))</f>
        <v/>
      </c>
    </row>
    <row r="937">
      <c r="F937" s="24">
        <f>IF($A937="","",IF($B937="","EKSİK","TAM"))</f>
        <v/>
      </c>
    </row>
    <row r="938">
      <c r="F938" s="24">
        <f>IF($A938="","",IF($B938="","EKSİK","TAM"))</f>
        <v/>
      </c>
    </row>
    <row r="939">
      <c r="F939" s="24">
        <f>IF($A939="","",IF($B939="","EKSİK","TAM"))</f>
        <v/>
      </c>
    </row>
    <row r="940">
      <c r="F940" s="24">
        <f>IF($A940="","",IF($B940="","EKSİK","TAM"))</f>
        <v/>
      </c>
    </row>
    <row r="941">
      <c r="F941" s="24">
        <f>IF($A941="","",IF($B941="","EKSİK","TAM"))</f>
        <v/>
      </c>
    </row>
    <row r="942">
      <c r="F942" s="24">
        <f>IF($A942="","",IF($B942="","EKSİK","TAM"))</f>
        <v/>
      </c>
    </row>
    <row r="943">
      <c r="F943" s="24">
        <f>IF($A943="","",IF($B943="","EKSİK","TAM"))</f>
        <v/>
      </c>
    </row>
    <row r="944">
      <c r="F944" s="24">
        <f>IF($A944="","",IF($B944="","EKSİK","TAM"))</f>
        <v/>
      </c>
    </row>
    <row r="945">
      <c r="F945" s="24">
        <f>IF($A945="","",IF($B945="","EKSİK","TAM"))</f>
        <v/>
      </c>
    </row>
    <row r="946">
      <c r="F946" s="24">
        <f>IF($A946="","",IF($B946="","EKSİK","TAM"))</f>
        <v/>
      </c>
    </row>
    <row r="947">
      <c r="F947" s="24">
        <f>IF($A947="","",IF($B947="","EKSİK","TAM"))</f>
        <v/>
      </c>
    </row>
    <row r="948">
      <c r="F948" s="24">
        <f>IF($A948="","",IF($B948="","EKSİK","TAM"))</f>
        <v/>
      </c>
    </row>
    <row r="949">
      <c r="F949" s="24">
        <f>IF($A949="","",IF($B949="","EKSİK","TAM"))</f>
        <v/>
      </c>
    </row>
    <row r="950">
      <c r="F950" s="24">
        <f>IF($A950="","",IF($B950="","EKSİK","TAM"))</f>
        <v/>
      </c>
    </row>
    <row r="951">
      <c r="F951" s="24">
        <f>IF($A951="","",IF($B951="","EKSİK","TAM"))</f>
        <v/>
      </c>
    </row>
    <row r="952">
      <c r="F952" s="24">
        <f>IF($A952="","",IF($B952="","EKSİK","TAM"))</f>
        <v/>
      </c>
    </row>
    <row r="953">
      <c r="F953" s="24">
        <f>IF($A953="","",IF($B953="","EKSİK","TAM"))</f>
        <v/>
      </c>
    </row>
    <row r="954">
      <c r="F954" s="24">
        <f>IF($A954="","",IF($B954="","EKSİK","TAM"))</f>
        <v/>
      </c>
    </row>
    <row r="955">
      <c r="F955" s="24">
        <f>IF($A955="","",IF($B955="","EKSİK","TAM"))</f>
        <v/>
      </c>
    </row>
    <row r="956">
      <c r="F956" s="24">
        <f>IF($A956="","",IF($B956="","EKSİK","TAM"))</f>
        <v/>
      </c>
    </row>
    <row r="957">
      <c r="F957" s="24">
        <f>IF($A957="","",IF($B957="","EKSİK","TAM"))</f>
        <v/>
      </c>
    </row>
    <row r="958">
      <c r="F958" s="24">
        <f>IF($A958="","",IF($B958="","EKSİK","TAM"))</f>
        <v/>
      </c>
    </row>
    <row r="959">
      <c r="F959" s="24">
        <f>IF($A959="","",IF($B959="","EKSİK","TAM"))</f>
        <v/>
      </c>
    </row>
    <row r="960">
      <c r="F960" s="24">
        <f>IF($A960="","",IF($B960="","EKSİK","TAM"))</f>
        <v/>
      </c>
    </row>
    <row r="961">
      <c r="F961" s="24">
        <f>IF($A961="","",IF($B961="","EKSİK","TAM"))</f>
        <v/>
      </c>
    </row>
    <row r="962">
      <c r="F962" s="24">
        <f>IF($A962="","",IF($B962="","EKSİK","TAM"))</f>
        <v/>
      </c>
    </row>
    <row r="963">
      <c r="F963" s="24">
        <f>IF($A963="","",IF($B963="","EKSİK","TAM"))</f>
        <v/>
      </c>
    </row>
    <row r="964">
      <c r="F964" s="24">
        <f>IF($A964="","",IF($B964="","EKSİK","TAM"))</f>
        <v/>
      </c>
    </row>
    <row r="965">
      <c r="F965" s="24">
        <f>IF($A965="","",IF($B965="","EKSİK","TAM"))</f>
        <v/>
      </c>
    </row>
    <row r="966">
      <c r="F966" s="24">
        <f>IF($A966="","",IF($B966="","EKSİK","TAM"))</f>
        <v/>
      </c>
    </row>
    <row r="967">
      <c r="F967" s="24">
        <f>IF($A967="","",IF($B967="","EKSİK","TAM"))</f>
        <v/>
      </c>
    </row>
    <row r="968">
      <c r="F968" s="24">
        <f>IF($A968="","",IF($B968="","EKSİK","TAM"))</f>
        <v/>
      </c>
    </row>
    <row r="969">
      <c r="F969" s="24">
        <f>IF($A969="","",IF($B969="","EKSİK","TAM"))</f>
        <v/>
      </c>
    </row>
    <row r="970">
      <c r="F970" s="24">
        <f>IF($A970="","",IF($B970="","EKSİK","TAM"))</f>
        <v/>
      </c>
    </row>
    <row r="971">
      <c r="F971" s="24">
        <f>IF($A971="","",IF($B971="","EKSİK","TAM"))</f>
        <v/>
      </c>
    </row>
    <row r="972">
      <c r="F972" s="24">
        <f>IF($A972="","",IF($B972="","EKSİK","TAM"))</f>
        <v/>
      </c>
    </row>
    <row r="973">
      <c r="F973" s="24">
        <f>IF($A973="","",IF($B973="","EKSİK","TAM"))</f>
        <v/>
      </c>
    </row>
    <row r="974">
      <c r="F974" s="24">
        <f>IF($A974="","",IF($B974="","EKSİK","TAM"))</f>
        <v/>
      </c>
    </row>
    <row r="975">
      <c r="F975" s="24">
        <f>IF($A975="","",IF($B975="","EKSİK","TAM"))</f>
        <v/>
      </c>
    </row>
    <row r="976">
      <c r="F976" s="24">
        <f>IF($A976="","",IF($B976="","EKSİK","TAM"))</f>
        <v/>
      </c>
    </row>
    <row r="977">
      <c r="F977" s="24">
        <f>IF($A977="","",IF($B977="","EKSİK","TAM"))</f>
        <v/>
      </c>
    </row>
    <row r="978">
      <c r="F978" s="24">
        <f>IF($A978="","",IF($B978="","EKSİK","TAM"))</f>
        <v/>
      </c>
    </row>
    <row r="979">
      <c r="F979" s="24">
        <f>IF($A979="","",IF($B979="","EKSİK","TAM"))</f>
        <v/>
      </c>
    </row>
    <row r="980">
      <c r="F980" s="24">
        <f>IF($A980="","",IF($B980="","EKSİK","TAM"))</f>
        <v/>
      </c>
    </row>
    <row r="981">
      <c r="F981" s="24">
        <f>IF($A981="","",IF($B981="","EKSİK","TAM"))</f>
        <v/>
      </c>
    </row>
    <row r="982">
      <c r="F982" s="24">
        <f>IF($A982="","",IF($B982="","EKSİK","TAM"))</f>
        <v/>
      </c>
    </row>
    <row r="983">
      <c r="F983" s="24">
        <f>IF($A983="","",IF($B983="","EKSİK","TAM"))</f>
        <v/>
      </c>
    </row>
    <row r="984">
      <c r="F984" s="24">
        <f>IF($A984="","",IF($B984="","EKSİK","TAM"))</f>
        <v/>
      </c>
    </row>
    <row r="985">
      <c r="F985" s="24">
        <f>IF($A985="","",IF($B985="","EKSİK","TAM"))</f>
        <v/>
      </c>
    </row>
    <row r="986">
      <c r="F986" s="24">
        <f>IF($A986="","",IF($B986="","EKSİK","TAM"))</f>
        <v/>
      </c>
    </row>
    <row r="987">
      <c r="F987" s="24">
        <f>IF($A987="","",IF($B987="","EKSİK","TAM"))</f>
        <v/>
      </c>
    </row>
    <row r="988">
      <c r="F988" s="24">
        <f>IF($A988="","",IF($B988="","EKSİK","TAM"))</f>
        <v/>
      </c>
    </row>
    <row r="989">
      <c r="F989" s="24">
        <f>IF($A989="","",IF($B989="","EKSİK","TAM"))</f>
        <v/>
      </c>
    </row>
    <row r="990">
      <c r="F990" s="24">
        <f>IF($A990="","",IF($B990="","EKSİK","TAM"))</f>
        <v/>
      </c>
    </row>
    <row r="991">
      <c r="F991" s="24">
        <f>IF($A991="","",IF($B991="","EKSİK","TAM"))</f>
        <v/>
      </c>
    </row>
    <row r="992">
      <c r="F992" s="24">
        <f>IF($A992="","",IF($B992="","EKSİK","TAM"))</f>
        <v/>
      </c>
    </row>
    <row r="993">
      <c r="F993" s="24">
        <f>IF($A993="","",IF($B993="","EKSİK","TAM"))</f>
        <v/>
      </c>
    </row>
    <row r="994">
      <c r="F994" s="24">
        <f>IF($A994="","",IF($B994="","EKSİK","TAM"))</f>
        <v/>
      </c>
    </row>
    <row r="995">
      <c r="F995" s="24">
        <f>IF($A995="","",IF($B995="","EKSİK","TAM"))</f>
        <v/>
      </c>
    </row>
    <row r="996">
      <c r="F996" s="24">
        <f>IF($A996="","",IF($B996="","EKSİK","TAM"))</f>
        <v/>
      </c>
    </row>
    <row r="997">
      <c r="F997" s="24">
        <f>IF($A997="","",IF($B997="","EKSİK","TAM"))</f>
        <v/>
      </c>
    </row>
    <row r="998">
      <c r="F998" s="24">
        <f>IF($A998="","",IF($B998="","EKSİK","TAM"))</f>
        <v/>
      </c>
    </row>
    <row r="999">
      <c r="F999" s="24">
        <f>IF($A999="","",IF($B999="","EKSİK","TAM"))</f>
        <v/>
      </c>
    </row>
    <row r="1000">
      <c r="F1000" s="24">
        <f>IF($A1000="","",IF($B1000="","EKSİK","TAM"))</f>
        <v/>
      </c>
    </row>
    <row r="1001">
      <c r="F1001" s="24">
        <f>IF($A1001="","",IF($B1001="","EKSİK","TAM"))</f>
        <v/>
      </c>
    </row>
    <row r="1002">
      <c r="F1002" s="24">
        <f>IF($A1002="","",IF($B1002="","EKSİK","TAM"))</f>
        <v/>
      </c>
    </row>
    <row r="1003">
      <c r="F1003" s="24">
        <f>IF($A1003="","",IF($B1003="","EKSİK","TAM"))</f>
        <v/>
      </c>
    </row>
    <row r="1004">
      <c r="F1004" s="24">
        <f>IF($A1004="","",IF($B1004="","EKSİK","TAM"))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10:B23">
    <cfRule type="cellIs" priority="1" operator="lessThan" dxfId="0">
      <formula>0</formula>
    </cfRule>
  </conditionalFormatting>
  <conditionalFormatting sqref="B28">
    <cfRule type="cellIs" priority="2" operator="lessThan" dxfId="1">
      <formula>100</formula>
    </cfRule>
  </conditionalFormatting>
  <dataValidations count="9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9" showDropDown="0" showInputMessage="1" showErrorMessage="1" allowBlank="0" errorTitle="Geçersiz" error="USD veya EUR." promptTitle="Döviz" prompt="USD veya EUR seçin." type="list" errorStyle="stop">
      <formula1>ListeDoviz</formula1>
    </dataValidation>
    <dataValidation sqref="B10" showDropDown="0" showInputMessage="1" showErrorMessage="1" allowBlank="1" errorTitle="FOB" error="Negatif olamaz." promptTitle="FOB" prompt="0 veya üzeri." type="decimal" errorStyle="stop" operator="greaterThanOrEqual">
      <formula1>0</formula1>
      <formula2>1E12</formula2>
    </dataValidation>
    <dataValidation sqref="B11" showDropDown="0" showInputMessage="1" showErrorMessage="1" allowBlank="1" errorTitle="Miktar" error="Negatif olamaz." promptTitle="Miktar" prompt="0 veya üzeri." type="decimal" errorStyle="stop" operator="greaterThanOrEqual">
      <formula1>0</formula1>
      <formula2>1E12</formula2>
    </dataValidation>
    <dataValidation sqref="B12" showDropDown="0" showInputMessage="1" showErrorMessage="1" allowBlank="1" errorTitle="Üretim" error="Negatif olamaz." promptTitle="Üretim" prompt="0 veya üzeri." type="decimal" errorStyle="stop" operator="greaterThanOrEqual">
      <formula1>0</formula1>
      <formula2>1E12</formula2>
    </dataValidation>
    <dataValidation sqref="B13" showDropDown="0" showInputMessage="1" showErrorMessage="1" allowBlank="1" errorTitle="Navlun" error="Negatif olamaz." promptTitle="Navlun" prompt="0 veya üzeri." type="decimal" errorStyle="stop" operator="greaterThanOrEqual">
      <formula1>0</formula1>
      <formula2>1E12</formula2>
    </dataValidation>
    <dataValidation sqref="B16" showDropDown="0" showInputMessage="1" showErrorMessage="1" allowBlank="1" errorTitle="Tahsilat kur" error="Negatif olamaz." promptTitle="Tahsilat kur" prompt="0 veya üzeri." type="decimal" errorStyle="stop" operator="greaterThanOrEqual">
      <formula1>0</formula1>
      <formula2>1E12</formula2>
    </dataValidation>
    <dataValidation sqref="B18" showDropDown="0" showInputMessage="1" showErrorMessage="1" allowBlank="1" errorTitle="Yıllık tekrar" error="Negatif olamaz." promptTitle="Yıllık tekrar" prompt="0 veya üzeri." type="decimal" errorStyle="stop" operator="greaterThanOrEqual">
      <formula1>0</formula1>
      <formula2>1E12</formula2>
    </dataValidation>
    <dataValidation sqref="B19" showDropDown="0" showInputMessage="1" showErrorMessage="1" allowBlank="1" errorTitle="CAPEX" error="Negatif olamaz." promptTitle="CAPEX" prompt="0 veya üzeri." type="decimal" errorStyle="stop" operator="greaterThanOrEqual">
      <formula1>0</formula1>
      <formula2>1E12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T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2" customWidth="1" min="4" max="4"/>
    <col width="12" customWidth="1" min="5" max="5"/>
    <col width="10" customWidth="1" min="6" max="6"/>
  </cols>
  <sheetData>
    <row r="1" ht="26" customHeight="1">
      <c r="A1" s="1" t="inlineStr">
        <is>
          <t>KARTLAR — İhracat Sipariş Kârlılık &amp; Kur Riski Komutası</t>
        </is>
      </c>
    </row>
    <row r="3" ht="20" customHeight="1">
      <c r="A3" s="29" t="inlineStr">
        <is>
          <t>Alıcı / müşteri kartları — AKIS kaynak kimliği</t>
        </is>
      </c>
    </row>
    <row r="5" ht="30" customHeight="1">
      <c r="A5" s="22" t="inlineStr">
        <is>
          <t>KartId</t>
        </is>
      </c>
      <c r="B5" s="22" t="inlineStr">
        <is>
          <t>Unvan</t>
        </is>
      </c>
      <c r="C5" s="22" t="inlineStr">
        <is>
          <t>Ulke</t>
        </is>
      </c>
      <c r="D5" s="22" t="inlineStr">
        <is>
          <t>ParaBirimi</t>
        </is>
      </c>
      <c r="E5" s="22" t="inlineStr">
        <is>
          <t>RiskNotu</t>
        </is>
      </c>
      <c r="F5" s="22" t="inlineStr">
        <is>
          <t>Aktif</t>
        </is>
      </c>
      <c r="G5" s="22" t="inlineStr">
        <is>
          <t>Kontrol</t>
        </is>
      </c>
    </row>
    <row r="6">
      <c r="A6" s="12" t="inlineStr">
        <is>
          <t>MUS-001</t>
        </is>
      </c>
      <c r="B6" s="12" t="inlineStr">
        <is>
          <t>Nordic Trade GmbH</t>
        </is>
      </c>
      <c r="C6" s="12" t="inlineStr">
        <is>
          <t>DE</t>
        </is>
      </c>
      <c r="D6" s="12" t="inlineStr">
        <is>
          <t>EUR</t>
        </is>
      </c>
      <c r="E6" s="12" t="inlineStr">
        <is>
          <t>Düşük</t>
        </is>
      </c>
      <c r="F6" s="12" t="inlineStr">
        <is>
          <t>Evet</t>
        </is>
      </c>
      <c r="G6" s="24">
        <f>IF($A6="","",IF($B6="","EKSİK","TAM"))</f>
        <v/>
      </c>
    </row>
    <row r="7">
      <c r="A7" s="12" t="inlineStr">
        <is>
          <t>MUS-002</t>
        </is>
      </c>
      <c r="B7" s="12" t="inlineStr">
        <is>
          <t>Atlantic Buyers LLC</t>
        </is>
      </c>
      <c r="C7" s="12" t="inlineStr">
        <is>
          <t>US</t>
        </is>
      </c>
      <c r="D7" s="12" t="inlineStr">
        <is>
          <t>USD</t>
        </is>
      </c>
      <c r="E7" s="12" t="inlineStr">
        <is>
          <t>Orta</t>
        </is>
      </c>
      <c r="F7" s="12" t="inlineStr">
        <is>
          <t>Evet</t>
        </is>
      </c>
      <c r="G7" s="24">
        <f>IF($A7="","",IF($B7="","EKSİK","TAM"))</f>
        <v/>
      </c>
    </row>
    <row r="8">
      <c r="A8" s="12" t="inlineStr">
        <is>
          <t>MUS-003</t>
        </is>
      </c>
      <c r="B8" s="12" t="inlineStr">
        <is>
          <t>Gulf Export Co</t>
        </is>
      </c>
      <c r="C8" s="12" t="inlineStr">
        <is>
          <t>AE</t>
        </is>
      </c>
      <c r="D8" s="12" t="inlineStr">
        <is>
          <t>USD</t>
        </is>
      </c>
      <c r="E8" s="12" t="inlineStr">
        <is>
          <t>Yüksek</t>
        </is>
      </c>
      <c r="F8" s="12" t="inlineStr">
        <is>
          <t>Evet</t>
        </is>
      </c>
      <c r="G8" s="24">
        <f>IF($A8="","",IF($B8="","EKSİK","TAM"))</f>
        <v/>
      </c>
    </row>
    <row r="9">
      <c r="A9" s="12" t="n"/>
      <c r="B9" s="12" t="n"/>
      <c r="C9" s="12" t="n"/>
      <c r="D9" s="12" t="n"/>
      <c r="E9" s="12" t="n"/>
      <c r="F9" s="12" t="n"/>
      <c r="G9" s="24">
        <f>IF($A9="","",IF($B9="","EKSİK","TAM"))</f>
        <v/>
      </c>
    </row>
    <row r="10">
      <c r="A10" s="12" t="n"/>
      <c r="B10" s="12" t="n"/>
      <c r="C10" s="12" t="n"/>
      <c r="D10" s="12" t="n"/>
      <c r="E10" s="12" t="n"/>
      <c r="F10" s="12" t="n"/>
      <c r="G10" s="24">
        <f>IF($A10="","",IF($B10="","EKSİK","TAM"))</f>
        <v/>
      </c>
    </row>
    <row r="11">
      <c r="A11" s="12" t="n"/>
      <c r="B11" s="12" t="n"/>
      <c r="C11" s="12" t="n"/>
      <c r="D11" s="12" t="n"/>
      <c r="E11" s="12" t="n"/>
      <c r="F11" s="12" t="n"/>
      <c r="G11" s="24">
        <f>IF($A11="","",IF($B11="","EKSİK","TAM"))</f>
        <v/>
      </c>
    </row>
    <row r="12">
      <c r="A12" s="12" t="n"/>
      <c r="B12" s="12" t="n"/>
      <c r="C12" s="12" t="n"/>
      <c r="D12" s="12" t="n"/>
      <c r="E12" s="12" t="n"/>
      <c r="F12" s="12" t="n"/>
      <c r="G12" s="24">
        <f>IF($A12="","",IF($B12="","EKSİK","TAM"))</f>
        <v/>
      </c>
    </row>
    <row r="13">
      <c r="A13" s="12" t="n"/>
      <c r="B13" s="12" t="n"/>
      <c r="C13" s="12" t="n"/>
      <c r="D13" s="12" t="n"/>
      <c r="E13" s="12" t="n"/>
      <c r="F13" s="12" t="n"/>
      <c r="G13" s="24">
        <f>IF($A13="","",IF($B13="","EKSİK","TAM"))</f>
        <v/>
      </c>
    </row>
    <row r="14">
      <c r="A14" s="12" t="n"/>
      <c r="B14" s="12" t="n"/>
      <c r="C14" s="12" t="n"/>
      <c r="D14" s="12" t="n"/>
      <c r="E14" s="12" t="n"/>
      <c r="F14" s="12" t="n"/>
      <c r="G14" s="24">
        <f>IF($A14="","",IF($B14="","EKSİK","TAM"))</f>
        <v/>
      </c>
    </row>
    <row r="15">
      <c r="A15" s="12" t="n"/>
      <c r="B15" s="12" t="n"/>
      <c r="C15" s="12" t="n"/>
      <c r="D15" s="12" t="n"/>
      <c r="E15" s="12" t="n"/>
      <c r="F15" s="12" t="n"/>
      <c r="G15" s="24">
        <f>IF($A15="","",IF($B15="","EKSİK","TAM"))</f>
        <v/>
      </c>
    </row>
    <row r="16">
      <c r="A16" s="12" t="n"/>
      <c r="B16" s="12" t="n"/>
      <c r="C16" s="12" t="n"/>
      <c r="D16" s="12" t="n"/>
      <c r="E16" s="12" t="n"/>
      <c r="F16" s="12" t="n"/>
      <c r="G16" s="24">
        <f>IF($A16="","",IF($B16="","EKSİK","TAM"))</f>
        <v/>
      </c>
    </row>
    <row r="17">
      <c r="A17" s="12" t="n"/>
      <c r="B17" s="12" t="n"/>
      <c r="C17" s="12" t="n"/>
      <c r="D17" s="12" t="n"/>
      <c r="E17" s="12" t="n"/>
      <c r="F17" s="12" t="n"/>
      <c r="G17" s="24">
        <f>IF($A17="","",IF($B17="","EKSİK","TAM"))</f>
        <v/>
      </c>
    </row>
    <row r="18">
      <c r="A18" s="12" t="n"/>
      <c r="B18" s="12" t="n"/>
      <c r="C18" s="12" t="n"/>
      <c r="D18" s="12" t="n"/>
      <c r="E18" s="12" t="n"/>
      <c r="F18" s="12" t="n"/>
      <c r="G18" s="24">
        <f>IF($A18="","",IF($B18="","EKSİK","TAM"))</f>
        <v/>
      </c>
    </row>
    <row r="19">
      <c r="A19" s="12" t="n"/>
      <c r="B19" s="12" t="n"/>
      <c r="C19" s="12" t="n"/>
      <c r="D19" s="12" t="n"/>
      <c r="E19" s="12" t="n"/>
      <c r="F19" s="12" t="n"/>
      <c r="G19" s="24">
        <f>IF($A19="","",IF($B19="","EKSİK","TAM"))</f>
        <v/>
      </c>
    </row>
    <row r="20">
      <c r="A20" s="12" t="n"/>
      <c r="B20" s="12" t="n"/>
      <c r="C20" s="12" t="n"/>
      <c r="D20" s="12" t="n"/>
      <c r="E20" s="12" t="n"/>
      <c r="F20" s="12" t="n"/>
      <c r="G20" s="24">
        <f>IF($A20="","",IF($B20="","EKSİK","TAM"))</f>
        <v/>
      </c>
    </row>
    <row r="21">
      <c r="A21" s="12" t="n"/>
      <c r="B21" s="12" t="n"/>
      <c r="C21" s="12" t="n"/>
      <c r="D21" s="12" t="n"/>
      <c r="E21" s="12" t="n"/>
      <c r="F21" s="12" t="n"/>
      <c r="G21" s="24">
        <f>IF($A21="","",IF($B21="","EKSİK","TAM"))</f>
        <v/>
      </c>
    </row>
    <row r="22">
      <c r="A22" s="12" t="n"/>
      <c r="B22" s="12" t="n"/>
      <c r="C22" s="12" t="n"/>
      <c r="D22" s="12" t="n"/>
      <c r="E22" s="12" t="n"/>
      <c r="F22" s="12" t="n"/>
      <c r="G22" s="24">
        <f>IF($A22="","",IF($B22="","EKSİK","TAM"))</f>
        <v/>
      </c>
    </row>
    <row r="23">
      <c r="A23" s="12" t="n"/>
      <c r="B23" s="12" t="n"/>
      <c r="C23" s="12" t="n"/>
      <c r="D23" s="12" t="n"/>
      <c r="E23" s="12" t="n"/>
      <c r="F23" s="12" t="n"/>
      <c r="G23" s="24">
        <f>IF($A23="","",IF($B23="","EKSİK","TAM"))</f>
        <v/>
      </c>
    </row>
    <row r="24">
      <c r="A24" s="12" t="n"/>
      <c r="B24" s="12" t="n"/>
      <c r="C24" s="12" t="n"/>
      <c r="D24" s="12" t="n"/>
      <c r="E24" s="12" t="n"/>
      <c r="F24" s="12" t="n"/>
      <c r="G24" s="24">
        <f>IF($A24="","",IF($B24="","EKSİK","TAM"))</f>
        <v/>
      </c>
    </row>
    <row r="25">
      <c r="A25" s="12" t="n"/>
      <c r="B25" s="12" t="n"/>
      <c r="C25" s="12" t="n"/>
      <c r="D25" s="12" t="n"/>
      <c r="E25" s="12" t="n"/>
      <c r="F25" s="12" t="n"/>
      <c r="G25" s="24">
        <f>IF($A25="","",IF($B25="","EKSİK","TAM"))</f>
        <v/>
      </c>
    </row>
    <row r="26">
      <c r="A26" s="12" t="n"/>
      <c r="B26" s="12" t="n"/>
      <c r="C26" s="12" t="n"/>
      <c r="D26" s="12" t="n"/>
      <c r="E26" s="12" t="n"/>
      <c r="F26" s="12" t="n"/>
      <c r="G26" s="24">
        <f>IF($A26="","",IF($B26="","EKSİK","TAM"))</f>
        <v/>
      </c>
    </row>
    <row r="27">
      <c r="A27" s="12" t="n"/>
      <c r="B27" s="12" t="n"/>
      <c r="C27" s="12" t="n"/>
      <c r="D27" s="12" t="n"/>
      <c r="E27" s="12" t="n"/>
      <c r="F27" s="12" t="n"/>
      <c r="G27" s="24">
        <f>IF($A27="","",IF($B27="","EKSİK","TAM"))</f>
        <v/>
      </c>
    </row>
    <row r="28">
      <c r="A28" s="12" t="n"/>
      <c r="B28" s="12" t="n"/>
      <c r="C28" s="12" t="n"/>
      <c r="D28" s="12" t="n"/>
      <c r="E28" s="12" t="n"/>
      <c r="F28" s="12" t="n"/>
      <c r="G28" s="24">
        <f>IF($A28="","",IF($B28="","EKSİK","TAM"))</f>
        <v/>
      </c>
    </row>
    <row r="29">
      <c r="A29" s="12" t="n"/>
      <c r="B29" s="12" t="n"/>
      <c r="C29" s="12" t="n"/>
      <c r="D29" s="12" t="n"/>
      <c r="E29" s="12" t="n"/>
      <c r="F29" s="12" t="n"/>
      <c r="G29" s="24">
        <f>IF($A29="","",IF($B29="","EKSİK","TAM"))</f>
        <v/>
      </c>
    </row>
    <row r="30">
      <c r="A30" s="12" t="n"/>
      <c r="B30" s="12" t="n"/>
      <c r="C30" s="12" t="n"/>
      <c r="D30" s="12" t="n"/>
      <c r="E30" s="12" t="n"/>
      <c r="F30" s="12" t="n"/>
      <c r="G30" s="24">
        <f>IF($A30="","",IF($B30="","EKSİK","TAM"))</f>
        <v/>
      </c>
    </row>
    <row r="31">
      <c r="A31" s="12" t="n"/>
      <c r="B31" s="12" t="n"/>
      <c r="C31" s="12" t="n"/>
      <c r="D31" s="12" t="n"/>
      <c r="E31" s="12" t="n"/>
      <c r="F31" s="12" t="n"/>
      <c r="G31" s="24">
        <f>IF($A31="","",IF($B31="","EKSİK","TAM"))</f>
        <v/>
      </c>
    </row>
    <row r="32">
      <c r="A32" s="12" t="n"/>
      <c r="B32" s="12" t="n"/>
      <c r="C32" s="12" t="n"/>
      <c r="D32" s="12" t="n"/>
      <c r="E32" s="12" t="n"/>
      <c r="F32" s="12" t="n"/>
      <c r="G32" s="24">
        <f>IF($A32="","",IF($B32="","EKSİK","TAM"))</f>
        <v/>
      </c>
    </row>
    <row r="33">
      <c r="A33" s="12" t="n"/>
      <c r="B33" s="12" t="n"/>
      <c r="C33" s="12" t="n"/>
      <c r="D33" s="12" t="n"/>
      <c r="E33" s="12" t="n"/>
      <c r="F33" s="12" t="n"/>
      <c r="G33" s="24">
        <f>IF($A33="","",IF($B33="","EKSİK","TAM"))</f>
        <v/>
      </c>
    </row>
    <row r="34">
      <c r="A34" s="12" t="n"/>
      <c r="B34" s="12" t="n"/>
      <c r="C34" s="12" t="n"/>
      <c r="D34" s="12" t="n"/>
      <c r="E34" s="12" t="n"/>
      <c r="F34" s="12" t="n"/>
      <c r="G34" s="24">
        <f>IF($A34="","",IF($B34="","EKSİK","TAM"))</f>
        <v/>
      </c>
    </row>
    <row r="35">
      <c r="A35" s="12" t="n"/>
      <c r="B35" s="12" t="n"/>
      <c r="C35" s="12" t="n"/>
      <c r="D35" s="12" t="n"/>
      <c r="E35" s="12" t="n"/>
      <c r="F35" s="12" t="n"/>
      <c r="G35" s="24">
        <f>IF($A35="","",IF($B35="","EKSİK","TAM"))</f>
        <v/>
      </c>
    </row>
    <row r="36">
      <c r="A36" s="12" t="n"/>
      <c r="B36" s="12" t="n"/>
      <c r="C36" s="12" t="n"/>
      <c r="D36" s="12" t="n"/>
      <c r="E36" s="12" t="n"/>
      <c r="F36" s="12" t="n"/>
      <c r="G36" s="24">
        <f>IF($A36="","",IF($B36="","EKSİK","TAM"))</f>
        <v/>
      </c>
    </row>
    <row r="37">
      <c r="A37" s="12" t="n"/>
      <c r="B37" s="12" t="n"/>
      <c r="C37" s="12" t="n"/>
      <c r="D37" s="12" t="n"/>
      <c r="E37" s="12" t="n"/>
      <c r="F37" s="12" t="n"/>
      <c r="G37" s="24">
        <f>IF($A37="","",IF($B37="","EKSİK","TAM"))</f>
        <v/>
      </c>
    </row>
    <row r="38">
      <c r="A38" s="12" t="n"/>
      <c r="B38" s="12" t="n"/>
      <c r="C38" s="12" t="n"/>
      <c r="D38" s="12" t="n"/>
      <c r="E38" s="12" t="n"/>
      <c r="F38" s="12" t="n"/>
      <c r="G38" s="24">
        <f>IF($A38="","",IF($B38="","EKSİK","TAM"))</f>
        <v/>
      </c>
    </row>
    <row r="39">
      <c r="A39" s="12" t="n"/>
      <c r="B39" s="12" t="n"/>
      <c r="C39" s="12" t="n"/>
      <c r="D39" s="12" t="n"/>
      <c r="E39" s="12" t="n"/>
      <c r="F39" s="12" t="n"/>
      <c r="G39" s="24">
        <f>IF($A39="","",IF($B39="","EKSİK","TAM"))</f>
        <v/>
      </c>
    </row>
    <row r="40">
      <c r="A40" s="12" t="n"/>
      <c r="B40" s="12" t="n"/>
      <c r="C40" s="12" t="n"/>
      <c r="D40" s="12" t="n"/>
      <c r="E40" s="12" t="n"/>
      <c r="F40" s="12" t="n"/>
      <c r="G40" s="24">
        <f>IF($A40="","",IF($B40="","EKSİK","TAM"))</f>
        <v/>
      </c>
    </row>
    <row r="41">
      <c r="A41" s="12" t="n"/>
      <c r="B41" s="12" t="n"/>
      <c r="C41" s="12" t="n"/>
      <c r="D41" s="12" t="n"/>
      <c r="E41" s="12" t="n"/>
      <c r="F41" s="12" t="n"/>
      <c r="G41" s="24">
        <f>IF($A41="","",IF($B41="","EKSİK","TAM"))</f>
        <v/>
      </c>
    </row>
    <row r="42">
      <c r="A42" s="12" t="n"/>
      <c r="B42" s="12" t="n"/>
      <c r="C42" s="12" t="n"/>
      <c r="D42" s="12" t="n"/>
      <c r="E42" s="12" t="n"/>
      <c r="F42" s="12" t="n"/>
      <c r="G42" s="24">
        <f>IF($A42="","",IF($B42="","EKSİK","TAM"))</f>
        <v/>
      </c>
    </row>
    <row r="43">
      <c r="A43" s="12" t="n"/>
      <c r="B43" s="12" t="n"/>
      <c r="C43" s="12" t="n"/>
      <c r="D43" s="12" t="n"/>
      <c r="E43" s="12" t="n"/>
      <c r="F43" s="12" t="n"/>
      <c r="G43" s="24">
        <f>IF($A43="","",IF($B43="","EKSİK","TAM"))</f>
        <v/>
      </c>
    </row>
    <row r="44">
      <c r="A44" s="12" t="n"/>
      <c r="B44" s="12" t="n"/>
      <c r="C44" s="12" t="n"/>
      <c r="D44" s="12" t="n"/>
      <c r="E44" s="12" t="n"/>
      <c r="F44" s="12" t="n"/>
      <c r="G44" s="24">
        <f>IF($A44="","",IF($B44="","EKSİK","TAM"))</f>
        <v/>
      </c>
    </row>
    <row r="45">
      <c r="A45" s="12" t="n"/>
      <c r="B45" s="12" t="n"/>
      <c r="C45" s="12" t="n"/>
      <c r="D45" s="12" t="n"/>
      <c r="E45" s="12" t="n"/>
      <c r="F45" s="12" t="n"/>
      <c r="G45" s="24">
        <f>IF($A45="","",IF($B45="","EKSİK","TAM"))</f>
        <v/>
      </c>
    </row>
    <row r="46">
      <c r="A46" s="12" t="n"/>
      <c r="B46" s="12" t="n"/>
      <c r="C46" s="12" t="n"/>
      <c r="D46" s="12" t="n"/>
      <c r="E46" s="12" t="n"/>
      <c r="F46" s="12" t="n"/>
      <c r="G46" s="24">
        <f>IF($A46="","",IF($B46="","EKSİK","TAM"))</f>
        <v/>
      </c>
    </row>
    <row r="47">
      <c r="A47" s="12" t="n"/>
      <c r="B47" s="12" t="n"/>
      <c r="C47" s="12" t="n"/>
      <c r="D47" s="12" t="n"/>
      <c r="E47" s="12" t="n"/>
      <c r="F47" s="12" t="n"/>
      <c r="G47" s="24">
        <f>IF($A47="","",IF($B47="","EKSİK","TAM"))</f>
        <v/>
      </c>
    </row>
    <row r="48">
      <c r="A48" s="12" t="n"/>
      <c r="B48" s="12" t="n"/>
      <c r="C48" s="12" t="n"/>
      <c r="D48" s="12" t="n"/>
      <c r="E48" s="12" t="n"/>
      <c r="F48" s="12" t="n"/>
      <c r="G48" s="24">
        <f>IF($A48="","",IF($B48="","EKSİK","TAM"))</f>
        <v/>
      </c>
    </row>
    <row r="49">
      <c r="A49" s="12" t="n"/>
      <c r="B49" s="12" t="n"/>
      <c r="C49" s="12" t="n"/>
      <c r="D49" s="12" t="n"/>
      <c r="E49" s="12" t="n"/>
      <c r="F49" s="12" t="n"/>
      <c r="G49" s="24">
        <f>IF($A49="","",IF($B49="","EKSİK","TAM"))</f>
        <v/>
      </c>
    </row>
    <row r="50">
      <c r="A50" s="12" t="n"/>
      <c r="B50" s="12" t="n"/>
      <c r="C50" s="12" t="n"/>
      <c r="D50" s="12" t="n"/>
      <c r="E50" s="12" t="n"/>
      <c r="F50" s="12" t="n"/>
      <c r="G50" s="24">
        <f>IF($A50="","",IF($B50="","EKSİK","TAM"))</f>
        <v/>
      </c>
    </row>
    <row r="51">
      <c r="A51" s="12" t="n"/>
      <c r="B51" s="12" t="n"/>
      <c r="C51" s="12" t="n"/>
      <c r="D51" s="12" t="n"/>
      <c r="E51" s="12" t="n"/>
      <c r="F51" s="12" t="n"/>
      <c r="G51" s="24">
        <f>IF($A51="","",IF($B51="","EKSİK","TAM"))</f>
        <v/>
      </c>
    </row>
    <row r="52">
      <c r="A52" s="12" t="n"/>
      <c r="B52" s="12" t="n"/>
      <c r="C52" s="12" t="n"/>
      <c r="D52" s="12" t="n"/>
      <c r="E52" s="12" t="n"/>
      <c r="F52" s="12" t="n"/>
      <c r="G52" s="24">
        <f>IF($A52="","",IF($B52="","EKSİK","TAM"))</f>
        <v/>
      </c>
    </row>
    <row r="53">
      <c r="A53" s="12" t="n"/>
      <c r="B53" s="12" t="n"/>
      <c r="C53" s="12" t="n"/>
      <c r="D53" s="12" t="n"/>
      <c r="E53" s="12" t="n"/>
      <c r="F53" s="12" t="n"/>
      <c r="G53" s="24">
        <f>IF($A53="","",IF($B53="","EKSİK","TAM"))</f>
        <v/>
      </c>
    </row>
    <row r="54">
      <c r="A54" s="12" t="n"/>
      <c r="B54" s="12" t="n"/>
      <c r="C54" s="12" t="n"/>
      <c r="D54" s="12" t="n"/>
      <c r="E54" s="12" t="n"/>
      <c r="F54" s="12" t="n"/>
      <c r="G54" s="24">
        <f>IF($A54="","",IF($B54="","EKSİK","TAM"))</f>
        <v/>
      </c>
    </row>
    <row r="55">
      <c r="A55" s="12" t="n"/>
      <c r="B55" s="12" t="n"/>
      <c r="C55" s="12" t="n"/>
      <c r="D55" s="12" t="n"/>
      <c r="E55" s="12" t="n"/>
      <c r="F55" s="12" t="n"/>
      <c r="G55" s="24">
        <f>IF($A55="","",IF($B55="","EKSİK","TAM"))</f>
        <v/>
      </c>
    </row>
    <row r="56">
      <c r="A56" s="12" t="n"/>
      <c r="B56" s="12" t="n"/>
      <c r="C56" s="12" t="n"/>
      <c r="D56" s="12" t="n"/>
      <c r="E56" s="12" t="n"/>
      <c r="F56" s="12" t="n"/>
      <c r="G56" s="24">
        <f>IF($A56="","",IF($B56="","EKSİK","TAM"))</f>
        <v/>
      </c>
    </row>
    <row r="57">
      <c r="A57" s="12" t="n"/>
      <c r="B57" s="12" t="n"/>
      <c r="C57" s="12" t="n"/>
      <c r="D57" s="12" t="n"/>
      <c r="E57" s="12" t="n"/>
      <c r="F57" s="12" t="n"/>
      <c r="G57" s="24">
        <f>IF($A57="","",IF($B57="","EKSİK","TAM"))</f>
        <v/>
      </c>
    </row>
    <row r="58">
      <c r="A58" s="12" t="n"/>
      <c r="B58" s="12" t="n"/>
      <c r="C58" s="12" t="n"/>
      <c r="D58" s="12" t="n"/>
      <c r="E58" s="12" t="n"/>
      <c r="F58" s="12" t="n"/>
      <c r="G58" s="24">
        <f>IF($A58="","",IF($B58="","EKSİK","TAM"))</f>
        <v/>
      </c>
    </row>
    <row r="59">
      <c r="A59" s="12" t="n"/>
      <c r="B59" s="12" t="n"/>
      <c r="C59" s="12" t="n"/>
      <c r="D59" s="12" t="n"/>
      <c r="E59" s="12" t="n"/>
      <c r="F59" s="12" t="n"/>
      <c r="G59" s="24">
        <f>IF($A59="","",IF($B59="","EKSİK","TAM"))</f>
        <v/>
      </c>
    </row>
    <row r="60">
      <c r="A60" s="12" t="n"/>
      <c r="B60" s="12" t="n"/>
      <c r="C60" s="12" t="n"/>
      <c r="D60" s="12" t="n"/>
      <c r="E60" s="12" t="n"/>
      <c r="F60" s="12" t="n"/>
      <c r="G60" s="24">
        <f>IF($A60="","",IF($B60="","EKSİK","TAM"))</f>
        <v/>
      </c>
    </row>
    <row r="61">
      <c r="A61" s="12" t="n"/>
      <c r="B61" s="12" t="n"/>
      <c r="C61" s="12" t="n"/>
      <c r="D61" s="12" t="n"/>
      <c r="E61" s="12" t="n"/>
      <c r="F61" s="12" t="n"/>
      <c r="G61" s="24">
        <f>IF($A61="","",IF($B61="","EKSİK","TAM"))</f>
        <v/>
      </c>
    </row>
    <row r="62">
      <c r="A62" s="12" t="n"/>
      <c r="B62" s="12" t="n"/>
      <c r="C62" s="12" t="n"/>
      <c r="D62" s="12" t="n"/>
      <c r="E62" s="12" t="n"/>
      <c r="F62" s="12" t="n"/>
      <c r="G62" s="24">
        <f>IF($A62="","",IF($B62="","EKSİK","TAM"))</f>
        <v/>
      </c>
    </row>
    <row r="63">
      <c r="A63" s="12" t="n"/>
      <c r="B63" s="12" t="n"/>
      <c r="C63" s="12" t="n"/>
      <c r="D63" s="12" t="n"/>
      <c r="E63" s="12" t="n"/>
      <c r="F63" s="12" t="n"/>
      <c r="G63" s="24">
        <f>IF($A63="","",IF($B63="","EKSİK","TAM"))</f>
        <v/>
      </c>
    </row>
    <row r="64">
      <c r="A64" s="12" t="n"/>
      <c r="B64" s="12" t="n"/>
      <c r="C64" s="12" t="n"/>
      <c r="D64" s="12" t="n"/>
      <c r="E64" s="12" t="n"/>
      <c r="F64" s="12" t="n"/>
      <c r="G64" s="24">
        <f>IF($A64="","",IF($B64="","EKSİK","TAM"))</f>
        <v/>
      </c>
    </row>
    <row r="65">
      <c r="A65" s="12" t="n"/>
      <c r="B65" s="12" t="n"/>
      <c r="C65" s="12" t="n"/>
      <c r="D65" s="12" t="n"/>
      <c r="E65" s="12" t="n"/>
      <c r="F65" s="12" t="n"/>
      <c r="G65" s="24">
        <f>IF($A65="","",IF($B65="","EKSİK","TAM"))</f>
        <v/>
      </c>
    </row>
    <row r="66">
      <c r="A66" s="12" t="n"/>
      <c r="B66" s="12" t="n"/>
      <c r="C66" s="12" t="n"/>
      <c r="D66" s="12" t="n"/>
      <c r="E66" s="12" t="n"/>
      <c r="F66" s="12" t="n"/>
      <c r="G66" s="24">
        <f>IF($A66="","",IF($B66="","EKSİK","TAM"))</f>
        <v/>
      </c>
    </row>
    <row r="67">
      <c r="A67" s="12" t="n"/>
      <c r="B67" s="12" t="n"/>
      <c r="C67" s="12" t="n"/>
      <c r="D67" s="12" t="n"/>
      <c r="E67" s="12" t="n"/>
      <c r="F67" s="12" t="n"/>
      <c r="G67" s="24">
        <f>IF($A67="","",IF($B67="","EKSİK","TAM"))</f>
        <v/>
      </c>
    </row>
    <row r="68">
      <c r="A68" s="12" t="n"/>
      <c r="B68" s="12" t="n"/>
      <c r="C68" s="12" t="n"/>
      <c r="D68" s="12" t="n"/>
      <c r="E68" s="12" t="n"/>
      <c r="F68" s="12" t="n"/>
      <c r="G68" s="24">
        <f>IF($A68="","",IF($B68="","EKSİK","TAM"))</f>
        <v/>
      </c>
    </row>
    <row r="69">
      <c r="A69" s="12" t="n"/>
      <c r="B69" s="12" t="n"/>
      <c r="C69" s="12" t="n"/>
      <c r="D69" s="12" t="n"/>
      <c r="E69" s="12" t="n"/>
      <c r="F69" s="12" t="n"/>
      <c r="G69" s="24">
        <f>IF($A69="","",IF($B69="","EKSİK","TAM"))</f>
        <v/>
      </c>
    </row>
    <row r="70">
      <c r="A70" s="12" t="n"/>
      <c r="B70" s="12" t="n"/>
      <c r="C70" s="12" t="n"/>
      <c r="D70" s="12" t="n"/>
      <c r="E70" s="12" t="n"/>
      <c r="F70" s="12" t="n"/>
      <c r="G70" s="24">
        <f>IF($A70="","",IF($B70="","EKSİK","TAM"))</f>
        <v/>
      </c>
    </row>
    <row r="71">
      <c r="A71" s="12" t="n"/>
      <c r="B71" s="12" t="n"/>
      <c r="C71" s="12" t="n"/>
      <c r="D71" s="12" t="n"/>
      <c r="E71" s="12" t="n"/>
      <c r="F71" s="12" t="n"/>
      <c r="G71" s="24">
        <f>IF($A71="","",IF($B71="","EKSİK","TAM"))</f>
        <v/>
      </c>
    </row>
    <row r="72">
      <c r="A72" s="12" t="n"/>
      <c r="B72" s="12" t="n"/>
      <c r="C72" s="12" t="n"/>
      <c r="D72" s="12" t="n"/>
      <c r="E72" s="12" t="n"/>
      <c r="F72" s="12" t="n"/>
      <c r="G72" s="24">
        <f>IF($A72="","",IF($B72="","EKSİK","TAM"))</f>
        <v/>
      </c>
    </row>
    <row r="73">
      <c r="A73" s="12" t="n"/>
      <c r="B73" s="12" t="n"/>
      <c r="C73" s="12" t="n"/>
      <c r="D73" s="12" t="n"/>
      <c r="E73" s="12" t="n"/>
      <c r="F73" s="12" t="n"/>
      <c r="G73" s="24">
        <f>IF($A73="","",IF($B73="","EKSİK","TAM"))</f>
        <v/>
      </c>
    </row>
    <row r="74">
      <c r="A74" s="12" t="n"/>
      <c r="B74" s="12" t="n"/>
      <c r="C74" s="12" t="n"/>
      <c r="D74" s="12" t="n"/>
      <c r="E74" s="12" t="n"/>
      <c r="F74" s="12" t="n"/>
      <c r="G74" s="24">
        <f>IF($A74="","",IF($B74="","EKSİK","TAM"))</f>
        <v/>
      </c>
    </row>
    <row r="75">
      <c r="A75" s="12" t="n"/>
      <c r="B75" s="12" t="n"/>
      <c r="C75" s="12" t="n"/>
      <c r="D75" s="12" t="n"/>
      <c r="E75" s="12" t="n"/>
      <c r="F75" s="12" t="n"/>
      <c r="G75" s="24">
        <f>IF($A75="","",IF($B75="","EKSİK","TAM"))</f>
        <v/>
      </c>
    </row>
    <row r="76">
      <c r="A76" s="12" t="n"/>
      <c r="B76" s="12" t="n"/>
      <c r="C76" s="12" t="n"/>
      <c r="D76" s="12" t="n"/>
      <c r="E76" s="12" t="n"/>
      <c r="F76" s="12" t="n"/>
      <c r="G76" s="24">
        <f>IF($A76="","",IF($B76="","EKSİK","TAM"))</f>
        <v/>
      </c>
    </row>
    <row r="77">
      <c r="A77" s="12" t="n"/>
      <c r="B77" s="12" t="n"/>
      <c r="C77" s="12" t="n"/>
      <c r="D77" s="12" t="n"/>
      <c r="E77" s="12" t="n"/>
      <c r="F77" s="12" t="n"/>
      <c r="G77" s="24">
        <f>IF($A77="","",IF($B77="","EKSİK","TAM"))</f>
        <v/>
      </c>
    </row>
    <row r="78">
      <c r="A78" s="12" t="n"/>
      <c r="B78" s="12" t="n"/>
      <c r="C78" s="12" t="n"/>
      <c r="D78" s="12" t="n"/>
      <c r="E78" s="12" t="n"/>
      <c r="F78" s="12" t="n"/>
      <c r="G78" s="24">
        <f>IF($A78="","",IF($B78="","EKSİK","TAM"))</f>
        <v/>
      </c>
    </row>
    <row r="79">
      <c r="A79" s="12" t="n"/>
      <c r="B79" s="12" t="n"/>
      <c r="C79" s="12" t="n"/>
      <c r="D79" s="12" t="n"/>
      <c r="E79" s="12" t="n"/>
      <c r="F79" s="12" t="n"/>
      <c r="G79" s="24">
        <f>IF($A79="","",IF($B79="","EKSİK","TAM"))</f>
        <v/>
      </c>
    </row>
    <row r="80">
      <c r="A80" s="12" t="n"/>
      <c r="B80" s="12" t="n"/>
      <c r="C80" s="12" t="n"/>
      <c r="D80" s="12" t="n"/>
      <c r="E80" s="12" t="n"/>
      <c r="F80" s="12" t="n"/>
      <c r="G80" s="24">
        <f>IF($A80="","",IF($B80="","EKSİK","TAM"))</f>
        <v/>
      </c>
    </row>
    <row r="81">
      <c r="A81" s="12" t="n"/>
      <c r="B81" s="12" t="n"/>
      <c r="C81" s="12" t="n"/>
      <c r="D81" s="12" t="n"/>
      <c r="E81" s="12" t="n"/>
      <c r="F81" s="12" t="n"/>
      <c r="G81" s="24">
        <f>IF($A81="","",IF($B81="","EKSİK","TAM"))</f>
        <v/>
      </c>
    </row>
    <row r="82">
      <c r="A82" s="12" t="n"/>
      <c r="B82" s="12" t="n"/>
      <c r="C82" s="12" t="n"/>
      <c r="D82" s="12" t="n"/>
      <c r="E82" s="12" t="n"/>
      <c r="F82" s="12" t="n"/>
      <c r="G82" s="24">
        <f>IF($A82="","",IF($B82="","EKSİK","TAM"))</f>
        <v/>
      </c>
    </row>
    <row r="83">
      <c r="A83" s="12" t="n"/>
      <c r="B83" s="12" t="n"/>
      <c r="C83" s="12" t="n"/>
      <c r="D83" s="12" t="n"/>
      <c r="E83" s="12" t="n"/>
      <c r="F83" s="12" t="n"/>
      <c r="G83" s="24">
        <f>IF($A83="","",IF($B83="","EKSİK","TAM"))</f>
        <v/>
      </c>
    </row>
    <row r="84">
      <c r="A84" s="12" t="n"/>
      <c r="B84" s="12" t="n"/>
      <c r="C84" s="12" t="n"/>
      <c r="D84" s="12" t="n"/>
      <c r="E84" s="12" t="n"/>
      <c r="F84" s="12" t="n"/>
      <c r="G84" s="24">
        <f>IF($A84="","",IF($B84="","EKSİK","TAM"))</f>
        <v/>
      </c>
    </row>
    <row r="85">
      <c r="A85" s="12" t="n"/>
      <c r="B85" s="12" t="n"/>
      <c r="C85" s="12" t="n"/>
      <c r="D85" s="12" t="n"/>
      <c r="E85" s="12" t="n"/>
      <c r="F85" s="12" t="n"/>
      <c r="G85" s="24">
        <f>IF($A85="","",IF($B85="","EKSİK","TAM"))</f>
        <v/>
      </c>
    </row>
    <row r="86">
      <c r="A86" s="12" t="n"/>
      <c r="B86" s="12" t="n"/>
      <c r="C86" s="12" t="n"/>
      <c r="D86" s="12" t="n"/>
      <c r="E86" s="12" t="n"/>
      <c r="F86" s="12" t="n"/>
      <c r="G86" s="24">
        <f>IF($A86="","",IF($B86="","EKSİK","TAM"))</f>
        <v/>
      </c>
    </row>
    <row r="87">
      <c r="A87" s="12" t="n"/>
      <c r="B87" s="12" t="n"/>
      <c r="C87" s="12" t="n"/>
      <c r="D87" s="12" t="n"/>
      <c r="E87" s="12" t="n"/>
      <c r="F87" s="12" t="n"/>
      <c r="G87" s="24">
        <f>IF($A87="","",IF($B87="","EKSİK","TAM"))</f>
        <v/>
      </c>
    </row>
    <row r="88">
      <c r="A88" s="12" t="n"/>
      <c r="B88" s="12" t="n"/>
      <c r="C88" s="12" t="n"/>
      <c r="D88" s="12" t="n"/>
      <c r="E88" s="12" t="n"/>
      <c r="F88" s="12" t="n"/>
      <c r="G88" s="24">
        <f>IF($A88="","",IF($B88="","EKSİK","TAM"))</f>
        <v/>
      </c>
    </row>
    <row r="89">
      <c r="A89" s="12" t="n"/>
      <c r="B89" s="12" t="n"/>
      <c r="C89" s="12" t="n"/>
      <c r="D89" s="12" t="n"/>
      <c r="E89" s="12" t="n"/>
      <c r="F89" s="12" t="n"/>
      <c r="G89" s="24">
        <f>IF($A89="","",IF($B89="","EKSİK","TAM"))</f>
        <v/>
      </c>
    </row>
    <row r="90">
      <c r="A90" s="12" t="n"/>
      <c r="B90" s="12" t="n"/>
      <c r="C90" s="12" t="n"/>
      <c r="D90" s="12" t="n"/>
      <c r="E90" s="12" t="n"/>
      <c r="F90" s="12" t="n"/>
      <c r="G90" s="24">
        <f>IF($A90="","",IF($B90="","EKSİK","TAM"))</f>
        <v/>
      </c>
    </row>
    <row r="91">
      <c r="A91" s="12" t="n"/>
      <c r="B91" s="12" t="n"/>
      <c r="C91" s="12" t="n"/>
      <c r="D91" s="12" t="n"/>
      <c r="E91" s="12" t="n"/>
      <c r="F91" s="12" t="n"/>
      <c r="G91" s="24">
        <f>IF($A91="","",IF($B91="","EKSİK","TAM"))</f>
        <v/>
      </c>
    </row>
    <row r="92">
      <c r="A92" s="12" t="n"/>
      <c r="B92" s="12" t="n"/>
      <c r="C92" s="12" t="n"/>
      <c r="D92" s="12" t="n"/>
      <c r="E92" s="12" t="n"/>
      <c r="F92" s="12" t="n"/>
      <c r="G92" s="24">
        <f>IF($A92="","",IF($B92="","EKSİK","TAM"))</f>
        <v/>
      </c>
    </row>
    <row r="93">
      <c r="A93" s="12" t="n"/>
      <c r="B93" s="12" t="n"/>
      <c r="C93" s="12" t="n"/>
      <c r="D93" s="12" t="n"/>
      <c r="E93" s="12" t="n"/>
      <c r="F93" s="12" t="n"/>
      <c r="G93" s="24">
        <f>IF($A93="","",IF($B93="","EKSİK","TAM"))</f>
        <v/>
      </c>
    </row>
    <row r="94">
      <c r="A94" s="12" t="n"/>
      <c r="B94" s="12" t="n"/>
      <c r="C94" s="12" t="n"/>
      <c r="D94" s="12" t="n"/>
      <c r="E94" s="12" t="n"/>
      <c r="F94" s="12" t="n"/>
      <c r="G94" s="24">
        <f>IF($A94="","",IF($B94="","EKSİK","TAM"))</f>
        <v/>
      </c>
    </row>
    <row r="95">
      <c r="A95" s="12" t="n"/>
      <c r="B95" s="12" t="n"/>
      <c r="C95" s="12" t="n"/>
      <c r="D95" s="12" t="n"/>
      <c r="E95" s="12" t="n"/>
      <c r="F95" s="12" t="n"/>
      <c r="G95" s="24">
        <f>IF($A95="","",IF($B95="","EKSİK","TAM"))</f>
        <v/>
      </c>
    </row>
    <row r="96">
      <c r="A96" s="12" t="n"/>
      <c r="B96" s="12" t="n"/>
      <c r="C96" s="12" t="n"/>
      <c r="D96" s="12" t="n"/>
      <c r="E96" s="12" t="n"/>
      <c r="F96" s="12" t="n"/>
      <c r="G96" s="24">
        <f>IF($A96="","",IF($B96="","EKSİK","TAM"))</f>
        <v/>
      </c>
    </row>
    <row r="97">
      <c r="A97" s="12" t="n"/>
      <c r="B97" s="12" t="n"/>
      <c r="C97" s="12" t="n"/>
      <c r="D97" s="12" t="n"/>
      <c r="E97" s="12" t="n"/>
      <c r="F97" s="12" t="n"/>
      <c r="G97" s="24">
        <f>IF($A97="","",IF($B97="","EKSİK","TAM"))</f>
        <v/>
      </c>
    </row>
    <row r="98">
      <c r="A98" s="12" t="n"/>
      <c r="B98" s="12" t="n"/>
      <c r="C98" s="12" t="n"/>
      <c r="D98" s="12" t="n"/>
      <c r="E98" s="12" t="n"/>
      <c r="F98" s="12" t="n"/>
      <c r="G98" s="24">
        <f>IF($A98="","",IF($B98="","EKSİK","TAM"))</f>
        <v/>
      </c>
    </row>
    <row r="99">
      <c r="A99" s="12" t="n"/>
      <c r="B99" s="12" t="n"/>
      <c r="C99" s="12" t="n"/>
      <c r="D99" s="12" t="n"/>
      <c r="E99" s="12" t="n"/>
      <c r="F99" s="12" t="n"/>
      <c r="G99" s="24">
        <f>IF($A99="","",IF($B99="","EKSİK","TAM"))</f>
        <v/>
      </c>
    </row>
    <row r="100">
      <c r="A100" s="12" t="n"/>
      <c r="B100" s="12" t="n"/>
      <c r="C100" s="12" t="n"/>
      <c r="D100" s="12" t="n"/>
      <c r="E100" s="12" t="n"/>
      <c r="F100" s="12" t="n"/>
      <c r="G100" s="24">
        <f>IF($A100="","",IF($B100="","EKSİK","TAM"))</f>
        <v/>
      </c>
    </row>
    <row r="101">
      <c r="A101" s="12" t="n"/>
      <c r="B101" s="12" t="n"/>
      <c r="C101" s="12" t="n"/>
      <c r="D101" s="12" t="n"/>
      <c r="E101" s="12" t="n"/>
      <c r="F101" s="12" t="n"/>
      <c r="G101" s="24">
        <f>IF($A101="","",IF($B101="","EKSİK","TAM"))</f>
        <v/>
      </c>
    </row>
    <row r="102">
      <c r="A102" s="12" t="n"/>
      <c r="B102" s="12" t="n"/>
      <c r="C102" s="12" t="n"/>
      <c r="D102" s="12" t="n"/>
      <c r="E102" s="12" t="n"/>
      <c r="F102" s="12" t="n"/>
      <c r="G102" s="24">
        <f>IF($A102="","",IF($B102="","EKSİK","TAM"))</f>
        <v/>
      </c>
    </row>
    <row r="103">
      <c r="A103" s="12" t="n"/>
      <c r="B103" s="12" t="n"/>
      <c r="C103" s="12" t="n"/>
      <c r="D103" s="12" t="n"/>
      <c r="E103" s="12" t="n"/>
      <c r="F103" s="12" t="n"/>
      <c r="G103" s="24">
        <f>IF($A103="","",IF($B103="","EKSİK","TAM"))</f>
        <v/>
      </c>
    </row>
    <row r="104">
      <c r="A104" s="12" t="n"/>
      <c r="B104" s="12" t="n"/>
      <c r="C104" s="12" t="n"/>
      <c r="D104" s="12" t="n"/>
      <c r="E104" s="12" t="n"/>
      <c r="F104" s="12" t="n"/>
      <c r="G104" s="24">
        <f>IF($A104="","",IF($B104="","EKSİK","TAM"))</f>
        <v/>
      </c>
    </row>
    <row r="105">
      <c r="A105" s="12" t="n"/>
      <c r="B105" s="12" t="n"/>
      <c r="C105" s="12" t="n"/>
      <c r="D105" s="12" t="n"/>
      <c r="E105" s="12" t="n"/>
      <c r="F105" s="12" t="n"/>
      <c r="G105" s="24">
        <f>IF($A105="","",IF($B105="","EKSİK","TAM"))</f>
        <v/>
      </c>
    </row>
    <row r="106">
      <c r="A106" s="12" t="n"/>
      <c r="B106" s="12" t="n"/>
      <c r="C106" s="12" t="n"/>
      <c r="D106" s="12" t="n"/>
      <c r="E106" s="12" t="n"/>
      <c r="F106" s="12" t="n"/>
      <c r="G106" s="24">
        <f>IF($A106="","",IF($B106="","EKSİK","TAM"))</f>
        <v/>
      </c>
    </row>
    <row r="107">
      <c r="A107" s="12" t="n"/>
      <c r="B107" s="12" t="n"/>
      <c r="C107" s="12" t="n"/>
      <c r="D107" s="12" t="n"/>
      <c r="E107" s="12" t="n"/>
      <c r="F107" s="12" t="n"/>
      <c r="G107" s="24">
        <f>IF($A107="","",IF($B107="","EKSİK","TAM"))</f>
        <v/>
      </c>
    </row>
    <row r="108">
      <c r="A108" s="12" t="n"/>
      <c r="B108" s="12" t="n"/>
      <c r="C108" s="12" t="n"/>
      <c r="D108" s="12" t="n"/>
      <c r="E108" s="12" t="n"/>
      <c r="F108" s="12" t="n"/>
      <c r="G108" s="24">
        <f>IF($A108="","",IF($B108="","EKSİK","TAM"))</f>
        <v/>
      </c>
    </row>
    <row r="109">
      <c r="A109" s="12" t="n"/>
      <c r="B109" s="12" t="n"/>
      <c r="C109" s="12" t="n"/>
      <c r="D109" s="12" t="n"/>
      <c r="E109" s="12" t="n"/>
      <c r="F109" s="12" t="n"/>
      <c r="G109" s="24">
        <f>IF($A109="","",IF($B109="","EKSİK","TAM"))</f>
        <v/>
      </c>
    </row>
    <row r="110">
      <c r="A110" s="12" t="n"/>
      <c r="B110" s="12" t="n"/>
      <c r="C110" s="12" t="n"/>
      <c r="D110" s="12" t="n"/>
      <c r="E110" s="12" t="n"/>
      <c r="F110" s="12" t="n"/>
      <c r="G110" s="24">
        <f>IF($A110="","",IF($B110="","EKSİK","TAM"))</f>
        <v/>
      </c>
    </row>
    <row r="111">
      <c r="A111" s="12" t="n"/>
      <c r="B111" s="12" t="n"/>
      <c r="C111" s="12" t="n"/>
      <c r="D111" s="12" t="n"/>
      <c r="E111" s="12" t="n"/>
      <c r="F111" s="12" t="n"/>
      <c r="G111" s="24">
        <f>IF($A111="","",IF($B111="","EKSİK","TAM"))</f>
        <v/>
      </c>
    </row>
    <row r="112">
      <c r="A112" s="12" t="n"/>
      <c r="B112" s="12" t="n"/>
      <c r="C112" s="12" t="n"/>
      <c r="D112" s="12" t="n"/>
      <c r="E112" s="12" t="n"/>
      <c r="F112" s="12" t="n"/>
      <c r="G112" s="24">
        <f>IF($A112="","",IF($B112="","EKSİK","TAM"))</f>
        <v/>
      </c>
    </row>
    <row r="113">
      <c r="A113" s="12" t="n"/>
      <c r="B113" s="12" t="n"/>
      <c r="C113" s="12" t="n"/>
      <c r="D113" s="12" t="n"/>
      <c r="E113" s="12" t="n"/>
      <c r="F113" s="12" t="n"/>
      <c r="G113" s="24">
        <f>IF($A113="","",IF($B113="","EKSİK","TAM"))</f>
        <v/>
      </c>
    </row>
    <row r="114">
      <c r="A114" s="12" t="n"/>
      <c r="B114" s="12" t="n"/>
      <c r="C114" s="12" t="n"/>
      <c r="D114" s="12" t="n"/>
      <c r="E114" s="12" t="n"/>
      <c r="F114" s="12" t="n"/>
      <c r="G114" s="24">
        <f>IF($A114="","",IF($B114="","EKSİK","TAM"))</f>
        <v/>
      </c>
    </row>
    <row r="115">
      <c r="A115" s="12" t="n"/>
      <c r="B115" s="12" t="n"/>
      <c r="C115" s="12" t="n"/>
      <c r="D115" s="12" t="n"/>
      <c r="E115" s="12" t="n"/>
      <c r="F115" s="12" t="n"/>
      <c r="G115" s="24">
        <f>IF($A115="","",IF($B115="","EKSİK","TAM"))</f>
        <v/>
      </c>
    </row>
    <row r="116">
      <c r="A116" s="12" t="n"/>
      <c r="B116" s="12" t="n"/>
      <c r="C116" s="12" t="n"/>
      <c r="D116" s="12" t="n"/>
      <c r="E116" s="12" t="n"/>
      <c r="F116" s="12" t="n"/>
      <c r="G116" s="24">
        <f>IF($A116="","",IF($B116="","EKSİK","TAM"))</f>
        <v/>
      </c>
    </row>
    <row r="117">
      <c r="A117" s="12" t="n"/>
      <c r="B117" s="12" t="n"/>
      <c r="C117" s="12" t="n"/>
      <c r="D117" s="12" t="n"/>
      <c r="E117" s="12" t="n"/>
      <c r="F117" s="12" t="n"/>
      <c r="G117" s="24">
        <f>IF($A117="","",IF($B117="","EKSİK","TAM"))</f>
        <v/>
      </c>
    </row>
    <row r="118">
      <c r="A118" s="12" t="n"/>
      <c r="B118" s="12" t="n"/>
      <c r="C118" s="12" t="n"/>
      <c r="D118" s="12" t="n"/>
      <c r="E118" s="12" t="n"/>
      <c r="F118" s="12" t="n"/>
      <c r="G118" s="24">
        <f>IF($A118="","",IF($B118="","EKSİK","TAM"))</f>
        <v/>
      </c>
    </row>
    <row r="119">
      <c r="A119" s="12" t="n"/>
      <c r="B119" s="12" t="n"/>
      <c r="C119" s="12" t="n"/>
      <c r="D119" s="12" t="n"/>
      <c r="E119" s="12" t="n"/>
      <c r="F119" s="12" t="n"/>
      <c r="G119" s="24">
        <f>IF($A119="","",IF($B119="","EKSİK","TAM"))</f>
        <v/>
      </c>
    </row>
    <row r="120">
      <c r="A120" s="12" t="n"/>
      <c r="B120" s="12" t="n"/>
      <c r="C120" s="12" t="n"/>
      <c r="D120" s="12" t="n"/>
      <c r="E120" s="12" t="n"/>
      <c r="F120" s="12" t="n"/>
      <c r="G120" s="24">
        <f>IF($A120="","",IF($B120="","EKSİK","TAM"))</f>
        <v/>
      </c>
    </row>
    <row r="121">
      <c r="A121" s="12" t="n"/>
      <c r="B121" s="12" t="n"/>
      <c r="C121" s="12" t="n"/>
      <c r="D121" s="12" t="n"/>
      <c r="E121" s="12" t="n"/>
      <c r="F121" s="12" t="n"/>
      <c r="G121" s="24">
        <f>IF($A121="","",IF($B121="","EKSİK","TAM"))</f>
        <v/>
      </c>
    </row>
    <row r="122">
      <c r="A122" s="12" t="n"/>
      <c r="B122" s="12" t="n"/>
      <c r="C122" s="12" t="n"/>
      <c r="D122" s="12" t="n"/>
      <c r="E122" s="12" t="n"/>
      <c r="F122" s="12" t="n"/>
      <c r="G122" s="24">
        <f>IF($A122="","",IF($B122="","EKSİK","TAM"))</f>
        <v/>
      </c>
    </row>
    <row r="123">
      <c r="A123" s="12" t="n"/>
      <c r="B123" s="12" t="n"/>
      <c r="C123" s="12" t="n"/>
      <c r="D123" s="12" t="n"/>
      <c r="E123" s="12" t="n"/>
      <c r="F123" s="12" t="n"/>
      <c r="G123" s="24">
        <f>IF($A123="","",IF($B123="","EKSİK","TAM"))</f>
        <v/>
      </c>
    </row>
    <row r="124">
      <c r="A124" s="12" t="n"/>
      <c r="B124" s="12" t="n"/>
      <c r="C124" s="12" t="n"/>
      <c r="D124" s="12" t="n"/>
      <c r="E124" s="12" t="n"/>
      <c r="F124" s="12" t="n"/>
      <c r="G124" s="24">
        <f>IF($A124="","",IF($B124="","EKSİK","TAM"))</f>
        <v/>
      </c>
    </row>
    <row r="125">
      <c r="A125" s="12" t="n"/>
      <c r="B125" s="12" t="n"/>
      <c r="C125" s="12" t="n"/>
      <c r="D125" s="12" t="n"/>
      <c r="E125" s="12" t="n"/>
      <c r="F125" s="12" t="n"/>
      <c r="G125" s="24">
        <f>IF($A125="","",IF($B125="","EKSİK","TAM"))</f>
        <v/>
      </c>
    </row>
    <row r="126">
      <c r="A126" s="12" t="n"/>
      <c r="B126" s="12" t="n"/>
      <c r="C126" s="12" t="n"/>
      <c r="D126" s="12" t="n"/>
      <c r="E126" s="12" t="n"/>
      <c r="F126" s="12" t="n"/>
      <c r="G126" s="24">
        <f>IF($A126="","",IF($B126="","EKSİK","TAM"))</f>
        <v/>
      </c>
    </row>
    <row r="127">
      <c r="A127" s="12" t="n"/>
      <c r="B127" s="12" t="n"/>
      <c r="C127" s="12" t="n"/>
      <c r="D127" s="12" t="n"/>
      <c r="E127" s="12" t="n"/>
      <c r="F127" s="12" t="n"/>
      <c r="G127" s="24">
        <f>IF($A127="","",IF($B127="","EKSİK","TAM"))</f>
        <v/>
      </c>
    </row>
    <row r="128">
      <c r="A128" s="12" t="n"/>
      <c r="B128" s="12" t="n"/>
      <c r="C128" s="12" t="n"/>
      <c r="D128" s="12" t="n"/>
      <c r="E128" s="12" t="n"/>
      <c r="F128" s="12" t="n"/>
      <c r="G128" s="24">
        <f>IF($A128="","",IF($B128="","EKSİK","TAM"))</f>
        <v/>
      </c>
    </row>
    <row r="129">
      <c r="A129" s="12" t="n"/>
      <c r="B129" s="12" t="n"/>
      <c r="C129" s="12" t="n"/>
      <c r="D129" s="12" t="n"/>
      <c r="E129" s="12" t="n"/>
      <c r="F129" s="12" t="n"/>
      <c r="G129" s="24">
        <f>IF($A129="","",IF($B129="","EKSİK","TAM"))</f>
        <v/>
      </c>
    </row>
    <row r="130">
      <c r="A130" s="12" t="n"/>
      <c r="B130" s="12" t="n"/>
      <c r="C130" s="12" t="n"/>
      <c r="D130" s="12" t="n"/>
      <c r="E130" s="12" t="n"/>
      <c r="F130" s="12" t="n"/>
      <c r="G130" s="24">
        <f>IF($A130="","",IF($B130="","EKSİK","TAM"))</f>
        <v/>
      </c>
    </row>
    <row r="131">
      <c r="A131" s="12" t="n"/>
      <c r="B131" s="12" t="n"/>
      <c r="C131" s="12" t="n"/>
      <c r="D131" s="12" t="n"/>
      <c r="E131" s="12" t="n"/>
      <c r="F131" s="12" t="n"/>
      <c r="G131" s="24">
        <f>IF($A131="","",IF($B131="","EKSİK","TAM"))</f>
        <v/>
      </c>
    </row>
    <row r="132">
      <c r="A132" s="12" t="n"/>
      <c r="B132" s="12" t="n"/>
      <c r="C132" s="12" t="n"/>
      <c r="D132" s="12" t="n"/>
      <c r="E132" s="12" t="n"/>
      <c r="F132" s="12" t="n"/>
      <c r="G132" s="24">
        <f>IF($A132="","",IF($B132="","EKSİK","TAM"))</f>
        <v/>
      </c>
    </row>
    <row r="133">
      <c r="A133" s="12" t="n"/>
      <c r="B133" s="12" t="n"/>
      <c r="C133" s="12" t="n"/>
      <c r="D133" s="12" t="n"/>
      <c r="E133" s="12" t="n"/>
      <c r="F133" s="12" t="n"/>
      <c r="G133" s="24">
        <f>IF($A133="","",IF($B133="","EKSİK","TAM"))</f>
        <v/>
      </c>
    </row>
    <row r="134">
      <c r="A134" s="12" t="n"/>
      <c r="B134" s="12" t="n"/>
      <c r="C134" s="12" t="n"/>
      <c r="D134" s="12" t="n"/>
      <c r="E134" s="12" t="n"/>
      <c r="F134" s="12" t="n"/>
      <c r="G134" s="24">
        <f>IF($A134="","",IF($B134="","EKSİK","TAM"))</f>
        <v/>
      </c>
    </row>
    <row r="135">
      <c r="A135" s="12" t="n"/>
      <c r="B135" s="12" t="n"/>
      <c r="C135" s="12" t="n"/>
      <c r="D135" s="12" t="n"/>
      <c r="E135" s="12" t="n"/>
      <c r="F135" s="12" t="n"/>
      <c r="G135" s="24">
        <f>IF($A135="","",IF($B135="","EKSİK","TAM"))</f>
        <v/>
      </c>
    </row>
    <row r="136">
      <c r="A136" s="12" t="n"/>
      <c r="B136" s="12" t="n"/>
      <c r="C136" s="12" t="n"/>
      <c r="D136" s="12" t="n"/>
      <c r="E136" s="12" t="n"/>
      <c r="F136" s="12" t="n"/>
      <c r="G136" s="24">
        <f>IF($A136="","",IF($B136="","EKSİK","TAM"))</f>
        <v/>
      </c>
    </row>
    <row r="137">
      <c r="A137" s="12" t="n"/>
      <c r="B137" s="12" t="n"/>
      <c r="C137" s="12" t="n"/>
      <c r="D137" s="12" t="n"/>
      <c r="E137" s="12" t="n"/>
      <c r="F137" s="12" t="n"/>
      <c r="G137" s="24">
        <f>IF($A137="","",IF($B137="","EKSİK","TAM"))</f>
        <v/>
      </c>
    </row>
    <row r="138">
      <c r="A138" s="12" t="n"/>
      <c r="B138" s="12" t="n"/>
      <c r="C138" s="12" t="n"/>
      <c r="D138" s="12" t="n"/>
      <c r="E138" s="12" t="n"/>
      <c r="F138" s="12" t="n"/>
      <c r="G138" s="24">
        <f>IF($A138="","",IF($B138="","EKSİK","TAM"))</f>
        <v/>
      </c>
    </row>
    <row r="139">
      <c r="A139" s="12" t="n"/>
      <c r="B139" s="12" t="n"/>
      <c r="C139" s="12" t="n"/>
      <c r="D139" s="12" t="n"/>
      <c r="E139" s="12" t="n"/>
      <c r="F139" s="12" t="n"/>
      <c r="G139" s="24">
        <f>IF($A139="","",IF($B139="","EKSİK","TAM"))</f>
        <v/>
      </c>
    </row>
    <row r="140">
      <c r="A140" s="12" t="n"/>
      <c r="B140" s="12" t="n"/>
      <c r="C140" s="12" t="n"/>
      <c r="D140" s="12" t="n"/>
      <c r="E140" s="12" t="n"/>
      <c r="F140" s="12" t="n"/>
      <c r="G140" s="24">
        <f>IF($A140="","",IF($B140="","EKSİK","TAM"))</f>
        <v/>
      </c>
    </row>
    <row r="141">
      <c r="A141" s="12" t="n"/>
      <c r="B141" s="12" t="n"/>
      <c r="C141" s="12" t="n"/>
      <c r="D141" s="12" t="n"/>
      <c r="E141" s="12" t="n"/>
      <c r="F141" s="12" t="n"/>
      <c r="G141" s="24">
        <f>IF($A141="","",IF($B141="","EKSİK","TAM"))</f>
        <v/>
      </c>
    </row>
    <row r="142">
      <c r="A142" s="12" t="n"/>
      <c r="B142" s="12" t="n"/>
      <c r="C142" s="12" t="n"/>
      <c r="D142" s="12" t="n"/>
      <c r="E142" s="12" t="n"/>
      <c r="F142" s="12" t="n"/>
      <c r="G142" s="24">
        <f>IF($A142="","",IF($B142="","EKSİK","TAM"))</f>
        <v/>
      </c>
    </row>
    <row r="143">
      <c r="A143" s="12" t="n"/>
      <c r="B143" s="12" t="n"/>
      <c r="C143" s="12" t="n"/>
      <c r="D143" s="12" t="n"/>
      <c r="E143" s="12" t="n"/>
      <c r="F143" s="12" t="n"/>
      <c r="G143" s="24">
        <f>IF($A143="","",IF($B143="","EKSİK","TAM"))</f>
        <v/>
      </c>
    </row>
    <row r="144">
      <c r="A144" s="12" t="n"/>
      <c r="B144" s="12" t="n"/>
      <c r="C144" s="12" t="n"/>
      <c r="D144" s="12" t="n"/>
      <c r="E144" s="12" t="n"/>
      <c r="F144" s="12" t="n"/>
      <c r="G144" s="24">
        <f>IF($A144="","",IF($B144="","EKSİK","TAM"))</f>
        <v/>
      </c>
    </row>
    <row r="145">
      <c r="A145" s="12" t="n"/>
      <c r="B145" s="12" t="n"/>
      <c r="C145" s="12" t="n"/>
      <c r="D145" s="12" t="n"/>
      <c r="E145" s="12" t="n"/>
      <c r="F145" s="12" t="n"/>
      <c r="G145" s="24">
        <f>IF($A145="","",IF($B145="","EKSİK","TAM"))</f>
        <v/>
      </c>
    </row>
    <row r="146">
      <c r="A146" s="12" t="n"/>
      <c r="B146" s="12" t="n"/>
      <c r="C146" s="12" t="n"/>
      <c r="D146" s="12" t="n"/>
      <c r="E146" s="12" t="n"/>
      <c r="F146" s="12" t="n"/>
      <c r="G146" s="24">
        <f>IF($A146="","",IF($B146="","EKSİK","TAM"))</f>
        <v/>
      </c>
    </row>
    <row r="147">
      <c r="A147" s="12" t="n"/>
      <c r="B147" s="12" t="n"/>
      <c r="C147" s="12" t="n"/>
      <c r="D147" s="12" t="n"/>
      <c r="E147" s="12" t="n"/>
      <c r="F147" s="12" t="n"/>
      <c r="G147" s="24">
        <f>IF($A147="","",IF($B147="","EKSİK","TAM"))</f>
        <v/>
      </c>
    </row>
    <row r="148">
      <c r="A148" s="12" t="n"/>
      <c r="B148" s="12" t="n"/>
      <c r="C148" s="12" t="n"/>
      <c r="D148" s="12" t="n"/>
      <c r="E148" s="12" t="n"/>
      <c r="F148" s="12" t="n"/>
      <c r="G148" s="24">
        <f>IF($A148="","",IF($B148="","EKSİK","TAM"))</f>
        <v/>
      </c>
    </row>
    <row r="149">
      <c r="A149" s="12" t="n"/>
      <c r="B149" s="12" t="n"/>
      <c r="C149" s="12" t="n"/>
      <c r="D149" s="12" t="n"/>
      <c r="E149" s="12" t="n"/>
      <c r="F149" s="12" t="n"/>
      <c r="G149" s="24">
        <f>IF($A149="","",IF($B149="","EKSİK","TAM"))</f>
        <v/>
      </c>
    </row>
    <row r="150">
      <c r="A150" s="12" t="n"/>
      <c r="B150" s="12" t="n"/>
      <c r="C150" s="12" t="n"/>
      <c r="D150" s="12" t="n"/>
      <c r="E150" s="12" t="n"/>
      <c r="F150" s="12" t="n"/>
      <c r="G150" s="24">
        <f>IF($A150="","",IF($B150="","EKSİK","TAM"))</f>
        <v/>
      </c>
    </row>
    <row r="151">
      <c r="A151" s="12" t="n"/>
      <c r="B151" s="12" t="n"/>
      <c r="C151" s="12" t="n"/>
      <c r="D151" s="12" t="n"/>
      <c r="E151" s="12" t="n"/>
      <c r="F151" s="12" t="n"/>
      <c r="G151" s="24">
        <f>IF($A151="","",IF($B151="","EKSİK","TAM"))</f>
        <v/>
      </c>
    </row>
    <row r="152">
      <c r="A152" s="12" t="n"/>
      <c r="B152" s="12" t="n"/>
      <c r="C152" s="12" t="n"/>
      <c r="D152" s="12" t="n"/>
      <c r="E152" s="12" t="n"/>
      <c r="F152" s="12" t="n"/>
      <c r="G152" s="24">
        <f>IF($A152="","",IF($B152="","EKSİK","TAM"))</f>
        <v/>
      </c>
    </row>
    <row r="153">
      <c r="A153" s="12" t="n"/>
      <c r="B153" s="12" t="n"/>
      <c r="C153" s="12" t="n"/>
      <c r="D153" s="12" t="n"/>
      <c r="E153" s="12" t="n"/>
      <c r="F153" s="12" t="n"/>
      <c r="G153" s="24">
        <f>IF($A153="","",IF($B153="","EKSİK","TAM"))</f>
        <v/>
      </c>
    </row>
    <row r="154">
      <c r="A154" s="12" t="n"/>
      <c r="B154" s="12" t="n"/>
      <c r="C154" s="12" t="n"/>
      <c r="D154" s="12" t="n"/>
      <c r="E154" s="12" t="n"/>
      <c r="F154" s="12" t="n"/>
      <c r="G154" s="24">
        <f>IF($A154="","",IF($B154="","EKSİK","TAM"))</f>
        <v/>
      </c>
    </row>
    <row r="155">
      <c r="A155" s="12" t="n"/>
      <c r="B155" s="12" t="n"/>
      <c r="C155" s="12" t="n"/>
      <c r="D155" s="12" t="n"/>
      <c r="E155" s="12" t="n"/>
      <c r="F155" s="12" t="n"/>
      <c r="G155" s="24">
        <f>IF($A155="","",IF($B155="","EKSİK","TAM"))</f>
        <v/>
      </c>
    </row>
    <row r="156">
      <c r="A156" s="12" t="n"/>
      <c r="B156" s="12" t="n"/>
      <c r="C156" s="12" t="n"/>
      <c r="D156" s="12" t="n"/>
      <c r="E156" s="12" t="n"/>
      <c r="F156" s="12" t="n"/>
      <c r="G156" s="24">
        <f>IF($A156="","",IF($B156="","EKSİK","TAM"))</f>
        <v/>
      </c>
    </row>
    <row r="157">
      <c r="A157" s="12" t="n"/>
      <c r="B157" s="12" t="n"/>
      <c r="C157" s="12" t="n"/>
      <c r="D157" s="12" t="n"/>
      <c r="E157" s="12" t="n"/>
      <c r="F157" s="12" t="n"/>
      <c r="G157" s="24">
        <f>IF($A157="","",IF($B157="","EKSİK","TAM"))</f>
        <v/>
      </c>
    </row>
    <row r="158">
      <c r="A158" s="12" t="n"/>
      <c r="B158" s="12" t="n"/>
      <c r="C158" s="12" t="n"/>
      <c r="D158" s="12" t="n"/>
      <c r="E158" s="12" t="n"/>
      <c r="F158" s="12" t="n"/>
      <c r="G158" s="24">
        <f>IF($A158="","",IF($B158="","EKSİK","TAM"))</f>
        <v/>
      </c>
    </row>
    <row r="159">
      <c r="A159" s="12" t="n"/>
      <c r="B159" s="12" t="n"/>
      <c r="C159" s="12" t="n"/>
      <c r="D159" s="12" t="n"/>
      <c r="E159" s="12" t="n"/>
      <c r="F159" s="12" t="n"/>
      <c r="G159" s="24">
        <f>IF($A159="","",IF($B159="","EKSİK","TAM"))</f>
        <v/>
      </c>
    </row>
    <row r="160">
      <c r="A160" s="12" t="n"/>
      <c r="B160" s="12" t="n"/>
      <c r="C160" s="12" t="n"/>
      <c r="D160" s="12" t="n"/>
      <c r="E160" s="12" t="n"/>
      <c r="F160" s="12" t="n"/>
      <c r="G160" s="24">
        <f>IF($A160="","",IF($B160="","EKSİK","TAM"))</f>
        <v/>
      </c>
    </row>
    <row r="161">
      <c r="A161" s="12" t="n"/>
      <c r="B161" s="12" t="n"/>
      <c r="C161" s="12" t="n"/>
      <c r="D161" s="12" t="n"/>
      <c r="E161" s="12" t="n"/>
      <c r="F161" s="12" t="n"/>
      <c r="G161" s="24">
        <f>IF($A161="","",IF($B161="","EKSİK","TAM"))</f>
        <v/>
      </c>
    </row>
    <row r="162">
      <c r="A162" s="12" t="n"/>
      <c r="B162" s="12" t="n"/>
      <c r="C162" s="12" t="n"/>
      <c r="D162" s="12" t="n"/>
      <c r="E162" s="12" t="n"/>
      <c r="F162" s="12" t="n"/>
      <c r="G162" s="24">
        <f>IF($A162="","",IF($B162="","EKSİK","TAM"))</f>
        <v/>
      </c>
    </row>
    <row r="163">
      <c r="A163" s="12" t="n"/>
      <c r="B163" s="12" t="n"/>
      <c r="C163" s="12" t="n"/>
      <c r="D163" s="12" t="n"/>
      <c r="E163" s="12" t="n"/>
      <c r="F163" s="12" t="n"/>
      <c r="G163" s="24">
        <f>IF($A163="","",IF($B163="","EKSİK","TAM"))</f>
        <v/>
      </c>
    </row>
    <row r="164">
      <c r="A164" s="12" t="n"/>
      <c r="B164" s="12" t="n"/>
      <c r="C164" s="12" t="n"/>
      <c r="D164" s="12" t="n"/>
      <c r="E164" s="12" t="n"/>
      <c r="F164" s="12" t="n"/>
      <c r="G164" s="24">
        <f>IF($A164="","",IF($B164="","EKSİK","TAM"))</f>
        <v/>
      </c>
    </row>
    <row r="165">
      <c r="A165" s="12" t="n"/>
      <c r="B165" s="12" t="n"/>
      <c r="C165" s="12" t="n"/>
      <c r="D165" s="12" t="n"/>
      <c r="E165" s="12" t="n"/>
      <c r="F165" s="12" t="n"/>
      <c r="G165" s="24">
        <f>IF($A165="","",IF($B165="","EKSİK","TAM"))</f>
        <v/>
      </c>
    </row>
    <row r="166">
      <c r="A166" s="12" t="n"/>
      <c r="B166" s="12" t="n"/>
      <c r="C166" s="12" t="n"/>
      <c r="D166" s="12" t="n"/>
      <c r="E166" s="12" t="n"/>
      <c r="F166" s="12" t="n"/>
      <c r="G166" s="24">
        <f>IF($A166="","",IF($B166="","EKSİK","TAM"))</f>
        <v/>
      </c>
    </row>
    <row r="167">
      <c r="A167" s="12" t="n"/>
      <c r="B167" s="12" t="n"/>
      <c r="C167" s="12" t="n"/>
      <c r="D167" s="12" t="n"/>
      <c r="E167" s="12" t="n"/>
      <c r="F167" s="12" t="n"/>
      <c r="G167" s="24">
        <f>IF($A167="","",IF($B167="","EKSİK","TAM"))</f>
        <v/>
      </c>
    </row>
    <row r="168">
      <c r="A168" s="12" t="n"/>
      <c r="B168" s="12" t="n"/>
      <c r="C168" s="12" t="n"/>
      <c r="D168" s="12" t="n"/>
      <c r="E168" s="12" t="n"/>
      <c r="F168" s="12" t="n"/>
      <c r="G168" s="24">
        <f>IF($A168="","",IF($B168="","EKSİK","TAM"))</f>
        <v/>
      </c>
    </row>
    <row r="169">
      <c r="A169" s="12" t="n"/>
      <c r="B169" s="12" t="n"/>
      <c r="C169" s="12" t="n"/>
      <c r="D169" s="12" t="n"/>
      <c r="E169" s="12" t="n"/>
      <c r="F169" s="12" t="n"/>
      <c r="G169" s="24">
        <f>IF($A169="","",IF($B169="","EKSİK","TAM"))</f>
        <v/>
      </c>
    </row>
    <row r="170">
      <c r="A170" s="12" t="n"/>
      <c r="B170" s="12" t="n"/>
      <c r="C170" s="12" t="n"/>
      <c r="D170" s="12" t="n"/>
      <c r="E170" s="12" t="n"/>
      <c r="F170" s="12" t="n"/>
      <c r="G170" s="24">
        <f>IF($A170="","",IF($B170="","EKSİK","TAM"))</f>
        <v/>
      </c>
    </row>
    <row r="171">
      <c r="A171" s="12" t="n"/>
      <c r="B171" s="12" t="n"/>
      <c r="C171" s="12" t="n"/>
      <c r="D171" s="12" t="n"/>
      <c r="E171" s="12" t="n"/>
      <c r="F171" s="12" t="n"/>
      <c r="G171" s="24">
        <f>IF($A171="","",IF($B171="","EKSİK","TAM"))</f>
        <v/>
      </c>
    </row>
    <row r="172">
      <c r="A172" s="12" t="n"/>
      <c r="B172" s="12" t="n"/>
      <c r="C172" s="12" t="n"/>
      <c r="D172" s="12" t="n"/>
      <c r="E172" s="12" t="n"/>
      <c r="F172" s="12" t="n"/>
      <c r="G172" s="24">
        <f>IF($A172="","",IF($B172="","EKSİK","TAM"))</f>
        <v/>
      </c>
    </row>
    <row r="173">
      <c r="A173" s="12" t="n"/>
      <c r="B173" s="12" t="n"/>
      <c r="C173" s="12" t="n"/>
      <c r="D173" s="12" t="n"/>
      <c r="E173" s="12" t="n"/>
      <c r="F173" s="12" t="n"/>
      <c r="G173" s="24">
        <f>IF($A173="","",IF($B173="","EKSİK","TAM"))</f>
        <v/>
      </c>
    </row>
    <row r="174">
      <c r="A174" s="12" t="n"/>
      <c r="B174" s="12" t="n"/>
      <c r="C174" s="12" t="n"/>
      <c r="D174" s="12" t="n"/>
      <c r="E174" s="12" t="n"/>
      <c r="F174" s="12" t="n"/>
      <c r="G174" s="24">
        <f>IF($A174="","",IF($B174="","EKSİK","TAM"))</f>
        <v/>
      </c>
    </row>
    <row r="175">
      <c r="A175" s="12" t="n"/>
      <c r="B175" s="12" t="n"/>
      <c r="C175" s="12" t="n"/>
      <c r="D175" s="12" t="n"/>
      <c r="E175" s="12" t="n"/>
      <c r="F175" s="12" t="n"/>
      <c r="G175" s="24">
        <f>IF($A175="","",IF($B175="","EKSİK","TAM"))</f>
        <v/>
      </c>
    </row>
    <row r="176">
      <c r="A176" s="12" t="n"/>
      <c r="B176" s="12" t="n"/>
      <c r="C176" s="12" t="n"/>
      <c r="D176" s="12" t="n"/>
      <c r="E176" s="12" t="n"/>
      <c r="F176" s="12" t="n"/>
      <c r="G176" s="24">
        <f>IF($A176="","",IF($B176="","EKSİK","TAM"))</f>
        <v/>
      </c>
    </row>
    <row r="177">
      <c r="A177" s="12" t="n"/>
      <c r="B177" s="12" t="n"/>
      <c r="C177" s="12" t="n"/>
      <c r="D177" s="12" t="n"/>
      <c r="E177" s="12" t="n"/>
      <c r="F177" s="12" t="n"/>
      <c r="G177" s="24">
        <f>IF($A177="","",IF($B177="","EKSİK","TAM"))</f>
        <v/>
      </c>
    </row>
    <row r="178">
      <c r="A178" s="12" t="n"/>
      <c r="B178" s="12" t="n"/>
      <c r="C178" s="12" t="n"/>
      <c r="D178" s="12" t="n"/>
      <c r="E178" s="12" t="n"/>
      <c r="F178" s="12" t="n"/>
      <c r="G178" s="24">
        <f>IF($A178="","",IF($B178="","EKSİK","TAM"))</f>
        <v/>
      </c>
    </row>
    <row r="179">
      <c r="A179" s="12" t="n"/>
      <c r="B179" s="12" t="n"/>
      <c r="C179" s="12" t="n"/>
      <c r="D179" s="12" t="n"/>
      <c r="E179" s="12" t="n"/>
      <c r="F179" s="12" t="n"/>
      <c r="G179" s="24">
        <f>IF($A179="","",IF($B179="","EKSİK","TAM"))</f>
        <v/>
      </c>
    </row>
    <row r="180">
      <c r="A180" s="12" t="n"/>
      <c r="B180" s="12" t="n"/>
      <c r="C180" s="12" t="n"/>
      <c r="D180" s="12" t="n"/>
      <c r="E180" s="12" t="n"/>
      <c r="F180" s="12" t="n"/>
      <c r="G180" s="24">
        <f>IF($A180="","",IF($B180="","EKSİK","TAM"))</f>
        <v/>
      </c>
    </row>
    <row r="181">
      <c r="A181" s="12" t="n"/>
      <c r="B181" s="12" t="n"/>
      <c r="C181" s="12" t="n"/>
      <c r="D181" s="12" t="n"/>
      <c r="E181" s="12" t="n"/>
      <c r="F181" s="12" t="n"/>
      <c r="G181" s="24">
        <f>IF($A181="","",IF($B181="","EKSİK","TAM"))</f>
        <v/>
      </c>
    </row>
    <row r="182">
      <c r="A182" s="12" t="n"/>
      <c r="B182" s="12" t="n"/>
      <c r="C182" s="12" t="n"/>
      <c r="D182" s="12" t="n"/>
      <c r="E182" s="12" t="n"/>
      <c r="F182" s="12" t="n"/>
      <c r="G182" s="24">
        <f>IF($A182="","",IF($B182="","EKSİK","TAM"))</f>
        <v/>
      </c>
    </row>
    <row r="183">
      <c r="A183" s="12" t="n"/>
      <c r="B183" s="12" t="n"/>
      <c r="C183" s="12" t="n"/>
      <c r="D183" s="12" t="n"/>
      <c r="E183" s="12" t="n"/>
      <c r="F183" s="12" t="n"/>
      <c r="G183" s="24">
        <f>IF($A183="","",IF($B183="","EKSİK","TAM"))</f>
        <v/>
      </c>
    </row>
    <row r="184">
      <c r="A184" s="12" t="n"/>
      <c r="B184" s="12" t="n"/>
      <c r="C184" s="12" t="n"/>
      <c r="D184" s="12" t="n"/>
      <c r="E184" s="12" t="n"/>
      <c r="F184" s="12" t="n"/>
      <c r="G184" s="24">
        <f>IF($A184="","",IF($B184="","EKSİK","TAM"))</f>
        <v/>
      </c>
    </row>
    <row r="185">
      <c r="A185" s="12" t="n"/>
      <c r="B185" s="12" t="n"/>
      <c r="C185" s="12" t="n"/>
      <c r="D185" s="12" t="n"/>
      <c r="E185" s="12" t="n"/>
      <c r="F185" s="12" t="n"/>
      <c r="G185" s="24">
        <f>IF($A185="","",IF($B185="","EKSİK","TAM"))</f>
        <v/>
      </c>
    </row>
    <row r="186">
      <c r="A186" s="12" t="n"/>
      <c r="B186" s="12" t="n"/>
      <c r="C186" s="12" t="n"/>
      <c r="D186" s="12" t="n"/>
      <c r="E186" s="12" t="n"/>
      <c r="F186" s="12" t="n"/>
      <c r="G186" s="24">
        <f>IF($A186="","",IF($B186="","EKSİK","TAM"))</f>
        <v/>
      </c>
    </row>
    <row r="187">
      <c r="A187" s="12" t="n"/>
      <c r="B187" s="12" t="n"/>
      <c r="C187" s="12" t="n"/>
      <c r="D187" s="12" t="n"/>
      <c r="E187" s="12" t="n"/>
      <c r="F187" s="12" t="n"/>
      <c r="G187" s="24">
        <f>IF($A187="","",IF($B187="","EKSİK","TAM"))</f>
        <v/>
      </c>
    </row>
    <row r="188">
      <c r="A188" s="12" t="n"/>
      <c r="B188" s="12" t="n"/>
      <c r="C188" s="12" t="n"/>
      <c r="D188" s="12" t="n"/>
      <c r="E188" s="12" t="n"/>
      <c r="F188" s="12" t="n"/>
      <c r="G188" s="24">
        <f>IF($A188="","",IF($B188="","EKSİK","TAM"))</f>
        <v/>
      </c>
    </row>
    <row r="189">
      <c r="A189" s="12" t="n"/>
      <c r="B189" s="12" t="n"/>
      <c r="C189" s="12" t="n"/>
      <c r="D189" s="12" t="n"/>
      <c r="E189" s="12" t="n"/>
      <c r="F189" s="12" t="n"/>
      <c r="G189" s="24">
        <f>IF($A189="","",IF($B189="","EKSİK","TAM"))</f>
        <v/>
      </c>
    </row>
    <row r="190">
      <c r="A190" s="12" t="n"/>
      <c r="B190" s="12" t="n"/>
      <c r="C190" s="12" t="n"/>
      <c r="D190" s="12" t="n"/>
      <c r="E190" s="12" t="n"/>
      <c r="F190" s="12" t="n"/>
      <c r="G190" s="24">
        <f>IF($A190="","",IF($B190="","EKSİK","TAM"))</f>
        <v/>
      </c>
    </row>
    <row r="191">
      <c r="A191" s="12" t="n"/>
      <c r="B191" s="12" t="n"/>
      <c r="C191" s="12" t="n"/>
      <c r="D191" s="12" t="n"/>
      <c r="E191" s="12" t="n"/>
      <c r="F191" s="12" t="n"/>
      <c r="G191" s="24">
        <f>IF($A191="","",IF($B191="","EKSİK","TAM"))</f>
        <v/>
      </c>
    </row>
    <row r="192">
      <c r="A192" s="12" t="n"/>
      <c r="B192" s="12" t="n"/>
      <c r="C192" s="12" t="n"/>
      <c r="D192" s="12" t="n"/>
      <c r="E192" s="12" t="n"/>
      <c r="F192" s="12" t="n"/>
      <c r="G192" s="24">
        <f>IF($A192="","",IF($B192="","EKSİK","TAM"))</f>
        <v/>
      </c>
    </row>
    <row r="193">
      <c r="A193" s="12" t="n"/>
      <c r="B193" s="12" t="n"/>
      <c r="C193" s="12" t="n"/>
      <c r="D193" s="12" t="n"/>
      <c r="E193" s="12" t="n"/>
      <c r="F193" s="12" t="n"/>
      <c r="G193" s="24">
        <f>IF($A193="","",IF($B193="","EKSİK","TAM"))</f>
        <v/>
      </c>
    </row>
    <row r="194">
      <c r="A194" s="12" t="n"/>
      <c r="B194" s="12" t="n"/>
      <c r="C194" s="12" t="n"/>
      <c r="D194" s="12" t="n"/>
      <c r="E194" s="12" t="n"/>
      <c r="F194" s="12" t="n"/>
      <c r="G194" s="24">
        <f>IF($A194="","",IF($B194="","EKSİK","TAM"))</f>
        <v/>
      </c>
    </row>
    <row r="195">
      <c r="A195" s="12" t="n"/>
      <c r="B195" s="12" t="n"/>
      <c r="C195" s="12" t="n"/>
      <c r="D195" s="12" t="n"/>
      <c r="E195" s="12" t="n"/>
      <c r="F195" s="12" t="n"/>
      <c r="G195" s="24">
        <f>IF($A195="","",IF($B195="","EKSİK","TAM"))</f>
        <v/>
      </c>
    </row>
    <row r="196">
      <c r="A196" s="12" t="n"/>
      <c r="B196" s="12" t="n"/>
      <c r="C196" s="12" t="n"/>
      <c r="D196" s="12" t="n"/>
      <c r="E196" s="12" t="n"/>
      <c r="F196" s="12" t="n"/>
      <c r="G196" s="24">
        <f>IF($A196="","",IF($B196="","EKSİK","TAM"))</f>
        <v/>
      </c>
    </row>
    <row r="197">
      <c r="A197" s="12" t="n"/>
      <c r="B197" s="12" t="n"/>
      <c r="C197" s="12" t="n"/>
      <c r="D197" s="12" t="n"/>
      <c r="E197" s="12" t="n"/>
      <c r="F197" s="12" t="n"/>
      <c r="G197" s="24">
        <f>IF($A197="","",IF($B197="","EKSİK","TAM"))</f>
        <v/>
      </c>
    </row>
    <row r="198">
      <c r="A198" s="12" t="n"/>
      <c r="B198" s="12" t="n"/>
      <c r="C198" s="12" t="n"/>
      <c r="D198" s="12" t="n"/>
      <c r="E198" s="12" t="n"/>
      <c r="F198" s="12" t="n"/>
      <c r="G198" s="24">
        <f>IF($A198="","",IF($B198="","EKSİK","TAM"))</f>
        <v/>
      </c>
    </row>
    <row r="199">
      <c r="A199" s="12" t="n"/>
      <c r="B199" s="12" t="n"/>
      <c r="C199" s="12" t="n"/>
      <c r="D199" s="12" t="n"/>
      <c r="E199" s="12" t="n"/>
      <c r="F199" s="12" t="n"/>
      <c r="G199" s="24">
        <f>IF($A199="","",IF($B199="","EKSİK","TAM"))</f>
        <v/>
      </c>
    </row>
    <row r="200">
      <c r="A200" s="12" t="n"/>
      <c r="B200" s="12" t="n"/>
      <c r="C200" s="12" t="n"/>
      <c r="D200" s="12" t="n"/>
      <c r="E200" s="12" t="n"/>
      <c r="F200" s="12" t="n"/>
      <c r="G200" s="24">
        <f>IF($A200="","",IF($B200="","EKSİK","TAM"))</f>
        <v/>
      </c>
    </row>
    <row r="201">
      <c r="A201" s="12" t="n"/>
      <c r="B201" s="12" t="n"/>
      <c r="C201" s="12" t="n"/>
      <c r="D201" s="12" t="n"/>
      <c r="E201" s="12" t="n"/>
      <c r="F201" s="12" t="n"/>
      <c r="G201" s="24">
        <f>IF($A201="","",IF($B201="","EKSİK","TAM"))</f>
        <v/>
      </c>
    </row>
    <row r="202">
      <c r="A202" s="12" t="n"/>
      <c r="B202" s="12" t="n"/>
      <c r="C202" s="12" t="n"/>
      <c r="D202" s="12" t="n"/>
      <c r="E202" s="12" t="n"/>
      <c r="F202" s="12" t="n"/>
      <c r="G202" s="24">
        <f>IF($A202="","",IF($B202="","EKSİK","TAM"))</f>
        <v/>
      </c>
    </row>
    <row r="203">
      <c r="A203" s="12" t="n"/>
      <c r="B203" s="12" t="n"/>
      <c r="C203" s="12" t="n"/>
      <c r="D203" s="12" t="n"/>
      <c r="E203" s="12" t="n"/>
      <c r="F203" s="12" t="n"/>
      <c r="G203" s="24">
        <f>IF($A203="","",IF($B203="","EKSİK","TAM"))</f>
        <v/>
      </c>
    </row>
    <row r="204">
      <c r="A204" s="12" t="n"/>
      <c r="B204" s="12" t="n"/>
      <c r="C204" s="12" t="n"/>
      <c r="D204" s="12" t="n"/>
      <c r="E204" s="12" t="n"/>
      <c r="F204" s="12" t="n"/>
      <c r="G204" s="24">
        <f>IF($A204="","",IF($B204="","EKSİK","TAM"))</f>
        <v/>
      </c>
    </row>
    <row r="205">
      <c r="A205" s="12" t="n"/>
      <c r="B205" s="12" t="n"/>
      <c r="C205" s="12" t="n"/>
      <c r="D205" s="12" t="n"/>
      <c r="E205" s="12" t="n"/>
      <c r="F205" s="12" t="n"/>
      <c r="G205" s="24">
        <f>IF($A205="","",IF($B205="","EKSİK","TAM"))</f>
        <v/>
      </c>
    </row>
    <row r="206">
      <c r="A206" s="12" t="n"/>
      <c r="B206" s="12" t="n"/>
      <c r="C206" s="12" t="n"/>
      <c r="D206" s="12" t="n"/>
      <c r="E206" s="12" t="n"/>
      <c r="F206" s="12" t="n"/>
      <c r="G206" s="24">
        <f>IF($A206="","",IF($B206="","EKSİK","TAM"))</f>
        <v/>
      </c>
    </row>
    <row r="207">
      <c r="A207" s="12" t="n"/>
      <c r="B207" s="12" t="n"/>
      <c r="C207" s="12" t="n"/>
      <c r="D207" s="12" t="n"/>
      <c r="E207" s="12" t="n"/>
      <c r="F207" s="12" t="n"/>
      <c r="G207" s="24">
        <f>IF($A207="","",IF($B207="","EKSİK","TAM"))</f>
        <v/>
      </c>
    </row>
    <row r="208">
      <c r="A208" s="12" t="n"/>
      <c r="B208" s="12" t="n"/>
      <c r="C208" s="12" t="n"/>
      <c r="D208" s="12" t="n"/>
      <c r="E208" s="12" t="n"/>
      <c r="F208" s="12" t="n"/>
      <c r="G208" s="24">
        <f>IF($A208="","",IF($B208="","EKSİK","TAM"))</f>
        <v/>
      </c>
    </row>
    <row r="209">
      <c r="A209" s="12" t="n"/>
      <c r="B209" s="12" t="n"/>
      <c r="C209" s="12" t="n"/>
      <c r="D209" s="12" t="n"/>
      <c r="E209" s="12" t="n"/>
      <c r="F209" s="12" t="n"/>
      <c r="G209" s="24">
        <f>IF($A209="","",IF($B209="","EKSİK","TAM"))</f>
        <v/>
      </c>
    </row>
    <row r="210">
      <c r="A210" s="12" t="n"/>
      <c r="B210" s="12" t="n"/>
      <c r="C210" s="12" t="n"/>
      <c r="D210" s="12" t="n"/>
      <c r="E210" s="12" t="n"/>
      <c r="F210" s="12" t="n"/>
      <c r="G210" s="24">
        <f>IF($A210="","",IF($B210="","EKSİK","TAM"))</f>
        <v/>
      </c>
    </row>
    <row r="211">
      <c r="A211" s="12" t="n"/>
      <c r="B211" s="12" t="n"/>
      <c r="C211" s="12" t="n"/>
      <c r="D211" s="12" t="n"/>
      <c r="E211" s="12" t="n"/>
      <c r="F211" s="12" t="n"/>
      <c r="G211" s="24">
        <f>IF($A211="","",IF($B211="","EKSİK","TAM"))</f>
        <v/>
      </c>
    </row>
    <row r="212">
      <c r="A212" s="12" t="n"/>
      <c r="B212" s="12" t="n"/>
      <c r="C212" s="12" t="n"/>
      <c r="D212" s="12" t="n"/>
      <c r="E212" s="12" t="n"/>
      <c r="F212" s="12" t="n"/>
      <c r="G212" s="24">
        <f>IF($A212="","",IF($B212="","EKSİK","TAM"))</f>
        <v/>
      </c>
    </row>
    <row r="213">
      <c r="A213" s="12" t="n"/>
      <c r="B213" s="12" t="n"/>
      <c r="C213" s="12" t="n"/>
      <c r="D213" s="12" t="n"/>
      <c r="E213" s="12" t="n"/>
      <c r="F213" s="12" t="n"/>
      <c r="G213" s="24">
        <f>IF($A213="","",IF($B213="","EKSİK","TAM"))</f>
        <v/>
      </c>
    </row>
    <row r="214">
      <c r="A214" s="12" t="n"/>
      <c r="B214" s="12" t="n"/>
      <c r="C214" s="12" t="n"/>
      <c r="D214" s="12" t="n"/>
      <c r="E214" s="12" t="n"/>
      <c r="F214" s="12" t="n"/>
      <c r="G214" s="24">
        <f>IF($A214="","",IF($B214="","EKSİK","TAM"))</f>
        <v/>
      </c>
    </row>
    <row r="215">
      <c r="A215" s="12" t="n"/>
      <c r="B215" s="12" t="n"/>
      <c r="C215" s="12" t="n"/>
      <c r="D215" s="12" t="n"/>
      <c r="E215" s="12" t="n"/>
      <c r="F215" s="12" t="n"/>
      <c r="G215" s="24">
        <f>IF($A215="","",IF($B215="","EKSİK","TAM"))</f>
        <v/>
      </c>
    </row>
    <row r="216">
      <c r="A216" s="12" t="n"/>
      <c r="B216" s="12" t="n"/>
      <c r="C216" s="12" t="n"/>
      <c r="D216" s="12" t="n"/>
      <c r="E216" s="12" t="n"/>
      <c r="F216" s="12" t="n"/>
      <c r="G216" s="24">
        <f>IF($A216="","",IF($B216="","EKSİK","TAM"))</f>
        <v/>
      </c>
    </row>
    <row r="217">
      <c r="A217" s="12" t="n"/>
      <c r="B217" s="12" t="n"/>
      <c r="C217" s="12" t="n"/>
      <c r="D217" s="12" t="n"/>
      <c r="E217" s="12" t="n"/>
      <c r="F217" s="12" t="n"/>
      <c r="G217" s="24">
        <f>IF($A217="","",IF($B217="","EKSİK","TAM"))</f>
        <v/>
      </c>
    </row>
    <row r="218">
      <c r="A218" s="12" t="n"/>
      <c r="B218" s="12" t="n"/>
      <c r="C218" s="12" t="n"/>
      <c r="D218" s="12" t="n"/>
      <c r="E218" s="12" t="n"/>
      <c r="F218" s="12" t="n"/>
      <c r="G218" s="24">
        <f>IF($A218="","",IF($B218="","EKSİK","TAM"))</f>
        <v/>
      </c>
    </row>
    <row r="219">
      <c r="A219" s="12" t="n"/>
      <c r="B219" s="12" t="n"/>
      <c r="C219" s="12" t="n"/>
      <c r="D219" s="12" t="n"/>
      <c r="E219" s="12" t="n"/>
      <c r="F219" s="12" t="n"/>
      <c r="G219" s="24">
        <f>IF($A219="","",IF($B219="","EKSİK","TAM"))</f>
        <v/>
      </c>
    </row>
    <row r="220">
      <c r="A220" s="12" t="n"/>
      <c r="B220" s="12" t="n"/>
      <c r="C220" s="12" t="n"/>
      <c r="D220" s="12" t="n"/>
      <c r="E220" s="12" t="n"/>
      <c r="F220" s="12" t="n"/>
      <c r="G220" s="24">
        <f>IF($A220="","",IF($B220="","EKSİK","TAM"))</f>
        <v/>
      </c>
    </row>
    <row r="221">
      <c r="A221" s="12" t="n"/>
      <c r="B221" s="12" t="n"/>
      <c r="C221" s="12" t="n"/>
      <c r="D221" s="12" t="n"/>
      <c r="E221" s="12" t="n"/>
      <c r="F221" s="12" t="n"/>
      <c r="G221" s="24">
        <f>IF($A221="","",IF($B221="","EKSİK","TAM"))</f>
        <v/>
      </c>
    </row>
    <row r="222">
      <c r="A222" s="12" t="n"/>
      <c r="B222" s="12" t="n"/>
      <c r="C222" s="12" t="n"/>
      <c r="D222" s="12" t="n"/>
      <c r="E222" s="12" t="n"/>
      <c r="F222" s="12" t="n"/>
      <c r="G222" s="24">
        <f>IF($A222="","",IF($B222="","EKSİK","TAM"))</f>
        <v/>
      </c>
    </row>
    <row r="223">
      <c r="A223" s="12" t="n"/>
      <c r="B223" s="12" t="n"/>
      <c r="C223" s="12" t="n"/>
      <c r="D223" s="12" t="n"/>
      <c r="E223" s="12" t="n"/>
      <c r="F223" s="12" t="n"/>
      <c r="G223" s="24">
        <f>IF($A223="","",IF($B223="","EKSİK","TAM"))</f>
        <v/>
      </c>
    </row>
    <row r="224">
      <c r="A224" s="12" t="n"/>
      <c r="B224" s="12" t="n"/>
      <c r="C224" s="12" t="n"/>
      <c r="D224" s="12" t="n"/>
      <c r="E224" s="12" t="n"/>
      <c r="F224" s="12" t="n"/>
      <c r="G224" s="24">
        <f>IF($A224="","",IF($B224="","EKSİK","TAM"))</f>
        <v/>
      </c>
    </row>
    <row r="225">
      <c r="A225" s="12" t="n"/>
      <c r="B225" s="12" t="n"/>
      <c r="C225" s="12" t="n"/>
      <c r="D225" s="12" t="n"/>
      <c r="E225" s="12" t="n"/>
      <c r="F225" s="12" t="n"/>
      <c r="G225" s="24">
        <f>IF($A225="","",IF($B225="","EKSİK","TAM"))</f>
        <v/>
      </c>
    </row>
    <row r="226">
      <c r="A226" s="12" t="n"/>
      <c r="B226" s="12" t="n"/>
      <c r="C226" s="12" t="n"/>
      <c r="D226" s="12" t="n"/>
      <c r="E226" s="12" t="n"/>
      <c r="F226" s="12" t="n"/>
      <c r="G226" s="24">
        <f>IF($A226="","",IF($B226="","EKSİK","TAM"))</f>
        <v/>
      </c>
    </row>
    <row r="227">
      <c r="A227" s="12" t="n"/>
      <c r="B227" s="12" t="n"/>
      <c r="C227" s="12" t="n"/>
      <c r="D227" s="12" t="n"/>
      <c r="E227" s="12" t="n"/>
      <c r="F227" s="12" t="n"/>
      <c r="G227" s="24">
        <f>IF($A227="","",IF($B227="","EKSİK","TAM"))</f>
        <v/>
      </c>
    </row>
    <row r="228">
      <c r="A228" s="12" t="n"/>
      <c r="B228" s="12" t="n"/>
      <c r="C228" s="12" t="n"/>
      <c r="D228" s="12" t="n"/>
      <c r="E228" s="12" t="n"/>
      <c r="F228" s="12" t="n"/>
      <c r="G228" s="24">
        <f>IF($A228="","",IF($B228="","EKSİK","TAM"))</f>
        <v/>
      </c>
    </row>
    <row r="229">
      <c r="A229" s="12" t="n"/>
      <c r="B229" s="12" t="n"/>
      <c r="C229" s="12" t="n"/>
      <c r="D229" s="12" t="n"/>
      <c r="E229" s="12" t="n"/>
      <c r="F229" s="12" t="n"/>
      <c r="G229" s="24">
        <f>IF($A229="","",IF($B229="","EKSİK","TAM"))</f>
        <v/>
      </c>
    </row>
    <row r="230">
      <c r="A230" s="12" t="n"/>
      <c r="B230" s="12" t="n"/>
      <c r="C230" s="12" t="n"/>
      <c r="D230" s="12" t="n"/>
      <c r="E230" s="12" t="n"/>
      <c r="F230" s="12" t="n"/>
      <c r="G230" s="24">
        <f>IF($A230="","",IF($B230="","EKSİK","TAM"))</f>
        <v/>
      </c>
    </row>
    <row r="231">
      <c r="A231" s="12" t="n"/>
      <c r="B231" s="12" t="n"/>
      <c r="C231" s="12" t="n"/>
      <c r="D231" s="12" t="n"/>
      <c r="E231" s="12" t="n"/>
      <c r="F231" s="12" t="n"/>
      <c r="G231" s="24">
        <f>IF($A231="","",IF($B231="","EKSİK","TAM"))</f>
        <v/>
      </c>
    </row>
    <row r="232">
      <c r="A232" s="12" t="n"/>
      <c r="B232" s="12" t="n"/>
      <c r="C232" s="12" t="n"/>
      <c r="D232" s="12" t="n"/>
      <c r="E232" s="12" t="n"/>
      <c r="F232" s="12" t="n"/>
      <c r="G232" s="24">
        <f>IF($A232="","",IF($B232="","EKSİK","TAM"))</f>
        <v/>
      </c>
    </row>
    <row r="233">
      <c r="A233" s="12" t="n"/>
      <c r="B233" s="12" t="n"/>
      <c r="C233" s="12" t="n"/>
      <c r="D233" s="12" t="n"/>
      <c r="E233" s="12" t="n"/>
      <c r="F233" s="12" t="n"/>
      <c r="G233" s="24">
        <f>IF($A233="","",IF($B233="","EKSİK","TAM"))</f>
        <v/>
      </c>
    </row>
    <row r="234">
      <c r="A234" s="12" t="n"/>
      <c r="B234" s="12" t="n"/>
      <c r="C234" s="12" t="n"/>
      <c r="D234" s="12" t="n"/>
      <c r="E234" s="12" t="n"/>
      <c r="F234" s="12" t="n"/>
      <c r="G234" s="24">
        <f>IF($A234="","",IF($B234="","EKSİK","TAM"))</f>
        <v/>
      </c>
    </row>
    <row r="235">
      <c r="A235" s="12" t="n"/>
      <c r="B235" s="12" t="n"/>
      <c r="C235" s="12" t="n"/>
      <c r="D235" s="12" t="n"/>
      <c r="E235" s="12" t="n"/>
      <c r="F235" s="12" t="n"/>
      <c r="G235" s="24">
        <f>IF($A235="","",IF($B235="","EKSİK","TAM"))</f>
        <v/>
      </c>
    </row>
    <row r="236">
      <c r="A236" s="12" t="n"/>
      <c r="B236" s="12" t="n"/>
      <c r="C236" s="12" t="n"/>
      <c r="D236" s="12" t="n"/>
      <c r="E236" s="12" t="n"/>
      <c r="F236" s="12" t="n"/>
      <c r="G236" s="24">
        <f>IF($A236="","",IF($B236="","EKSİK","TAM"))</f>
        <v/>
      </c>
    </row>
    <row r="237">
      <c r="A237" s="12" t="n"/>
      <c r="B237" s="12" t="n"/>
      <c r="C237" s="12" t="n"/>
      <c r="D237" s="12" t="n"/>
      <c r="E237" s="12" t="n"/>
      <c r="F237" s="12" t="n"/>
      <c r="G237" s="24">
        <f>IF($A237="","",IF($B237="","EKSİK","TAM"))</f>
        <v/>
      </c>
    </row>
    <row r="238">
      <c r="A238" s="12" t="n"/>
      <c r="B238" s="12" t="n"/>
      <c r="C238" s="12" t="n"/>
      <c r="D238" s="12" t="n"/>
      <c r="E238" s="12" t="n"/>
      <c r="F238" s="12" t="n"/>
      <c r="G238" s="24">
        <f>IF($A238="","",IF($B238="","EKSİK","TAM"))</f>
        <v/>
      </c>
    </row>
    <row r="239">
      <c r="A239" s="12" t="n"/>
      <c r="B239" s="12" t="n"/>
      <c r="C239" s="12" t="n"/>
      <c r="D239" s="12" t="n"/>
      <c r="E239" s="12" t="n"/>
      <c r="F239" s="12" t="n"/>
      <c r="G239" s="24">
        <f>IF($A239="","",IF($B239="","EKSİK","TAM"))</f>
        <v/>
      </c>
    </row>
    <row r="240">
      <c r="A240" s="12" t="n"/>
      <c r="B240" s="12" t="n"/>
      <c r="C240" s="12" t="n"/>
      <c r="D240" s="12" t="n"/>
      <c r="E240" s="12" t="n"/>
      <c r="F240" s="12" t="n"/>
      <c r="G240" s="24">
        <f>IF($A240="","",IF($B240="","EKSİK","TAM"))</f>
        <v/>
      </c>
    </row>
    <row r="241">
      <c r="A241" s="12" t="n"/>
      <c r="B241" s="12" t="n"/>
      <c r="C241" s="12" t="n"/>
      <c r="D241" s="12" t="n"/>
      <c r="E241" s="12" t="n"/>
      <c r="F241" s="12" t="n"/>
      <c r="G241" s="24">
        <f>IF($A241="","",IF($B241="","EKSİK","TAM"))</f>
        <v/>
      </c>
    </row>
    <row r="242">
      <c r="A242" s="12" t="n"/>
      <c r="B242" s="12" t="n"/>
      <c r="C242" s="12" t="n"/>
      <c r="D242" s="12" t="n"/>
      <c r="E242" s="12" t="n"/>
      <c r="F242" s="12" t="n"/>
      <c r="G242" s="24">
        <f>IF($A242="","",IF($B242="","EKSİK","TAM"))</f>
        <v/>
      </c>
    </row>
    <row r="243">
      <c r="A243" s="12" t="n"/>
      <c r="B243" s="12" t="n"/>
      <c r="C243" s="12" t="n"/>
      <c r="D243" s="12" t="n"/>
      <c r="E243" s="12" t="n"/>
      <c r="F243" s="12" t="n"/>
      <c r="G243" s="24">
        <f>IF($A243="","",IF($B243="","EKSİK","TAM"))</f>
        <v/>
      </c>
    </row>
    <row r="244">
      <c r="A244" s="12" t="n"/>
      <c r="B244" s="12" t="n"/>
      <c r="C244" s="12" t="n"/>
      <c r="D244" s="12" t="n"/>
      <c r="E244" s="12" t="n"/>
      <c r="F244" s="12" t="n"/>
      <c r="G244" s="24">
        <f>IF($A244="","",IF($B244="","EKSİK","TAM"))</f>
        <v/>
      </c>
    </row>
    <row r="245">
      <c r="A245" s="12" t="n"/>
      <c r="B245" s="12" t="n"/>
      <c r="C245" s="12" t="n"/>
      <c r="D245" s="12" t="n"/>
      <c r="E245" s="12" t="n"/>
      <c r="F245" s="12" t="n"/>
      <c r="G245" s="24">
        <f>IF($A245="","",IF($B245="","EKSİK","TAM"))</f>
        <v/>
      </c>
    </row>
    <row r="246">
      <c r="A246" s="12" t="n"/>
      <c r="B246" s="12" t="n"/>
      <c r="C246" s="12" t="n"/>
      <c r="D246" s="12" t="n"/>
      <c r="E246" s="12" t="n"/>
      <c r="F246" s="12" t="n"/>
      <c r="G246" s="24">
        <f>IF($A246="","",IF($B246="","EKSİK","TAM"))</f>
        <v/>
      </c>
    </row>
    <row r="247">
      <c r="A247" s="12" t="n"/>
      <c r="B247" s="12" t="n"/>
      <c r="C247" s="12" t="n"/>
      <c r="D247" s="12" t="n"/>
      <c r="E247" s="12" t="n"/>
      <c r="F247" s="12" t="n"/>
      <c r="G247" s="24">
        <f>IF($A247="","",IF($B247="","EKSİK","TAM"))</f>
        <v/>
      </c>
    </row>
    <row r="248">
      <c r="A248" s="12" t="n"/>
      <c r="B248" s="12" t="n"/>
      <c r="C248" s="12" t="n"/>
      <c r="D248" s="12" t="n"/>
      <c r="E248" s="12" t="n"/>
      <c r="F248" s="12" t="n"/>
      <c r="G248" s="24">
        <f>IF($A248="","",IF($B248="","EKSİK","TAM"))</f>
        <v/>
      </c>
    </row>
    <row r="249">
      <c r="A249" s="12" t="n"/>
      <c r="B249" s="12" t="n"/>
      <c r="C249" s="12" t="n"/>
      <c r="D249" s="12" t="n"/>
      <c r="E249" s="12" t="n"/>
      <c r="F249" s="12" t="n"/>
      <c r="G249" s="24">
        <f>IF($A249="","",IF($B249="","EKSİK","TAM"))</f>
        <v/>
      </c>
    </row>
    <row r="250">
      <c r="A250" s="12" t="n"/>
      <c r="B250" s="12" t="n"/>
      <c r="C250" s="12" t="n"/>
      <c r="D250" s="12" t="n"/>
      <c r="E250" s="12" t="n"/>
      <c r="F250" s="12" t="n"/>
      <c r="G250" s="24">
        <f>IF($A250="","",IF($B250="","EKSİK","TAM"))</f>
        <v/>
      </c>
    </row>
    <row r="251">
      <c r="A251" s="12" t="n"/>
      <c r="B251" s="12" t="n"/>
      <c r="C251" s="12" t="n"/>
      <c r="D251" s="12" t="n"/>
      <c r="E251" s="12" t="n"/>
      <c r="F251" s="12" t="n"/>
      <c r="G251" s="24">
        <f>IF($A251="","",IF($B251="","EKSİK","TAM"))</f>
        <v/>
      </c>
    </row>
    <row r="252">
      <c r="A252" s="12" t="n"/>
      <c r="B252" s="12" t="n"/>
      <c r="C252" s="12" t="n"/>
      <c r="D252" s="12" t="n"/>
      <c r="E252" s="12" t="n"/>
      <c r="F252" s="12" t="n"/>
      <c r="G252" s="24">
        <f>IF($A252="","",IF($B252="","EKSİK","TAM"))</f>
        <v/>
      </c>
    </row>
    <row r="253">
      <c r="A253" s="12" t="n"/>
      <c r="B253" s="12" t="n"/>
      <c r="C253" s="12" t="n"/>
      <c r="D253" s="12" t="n"/>
      <c r="E253" s="12" t="n"/>
      <c r="F253" s="12" t="n"/>
      <c r="G253" s="24">
        <f>IF($A253="","",IF($B253="","EKSİK","TAM"))</f>
        <v/>
      </c>
    </row>
    <row r="254">
      <c r="A254" s="12" t="n"/>
      <c r="B254" s="12" t="n"/>
      <c r="C254" s="12" t="n"/>
      <c r="D254" s="12" t="n"/>
      <c r="E254" s="12" t="n"/>
      <c r="F254" s="12" t="n"/>
      <c r="G254" s="24">
        <f>IF($A254="","",IF($B254="","EKSİK","TAM"))</f>
        <v/>
      </c>
    </row>
    <row r="255">
      <c r="A255" s="12" t="n"/>
      <c r="B255" s="12" t="n"/>
      <c r="C255" s="12" t="n"/>
      <c r="D255" s="12" t="n"/>
      <c r="E255" s="12" t="n"/>
      <c r="F255" s="12" t="n"/>
      <c r="G255" s="24">
        <f>IF($A255="","",IF($B255="","EKSİK","TAM"))</f>
        <v/>
      </c>
    </row>
    <row r="256">
      <c r="A256" s="12" t="n"/>
      <c r="B256" s="12" t="n"/>
      <c r="C256" s="12" t="n"/>
      <c r="D256" s="12" t="n"/>
      <c r="E256" s="12" t="n"/>
      <c r="F256" s="12" t="n"/>
      <c r="G256" s="24">
        <f>IF($A256="","",IF($B256="","EKSİK","TAM"))</f>
        <v/>
      </c>
    </row>
    <row r="257">
      <c r="A257" s="12" t="n"/>
      <c r="B257" s="12" t="n"/>
      <c r="C257" s="12" t="n"/>
      <c r="D257" s="12" t="n"/>
      <c r="E257" s="12" t="n"/>
      <c r="F257" s="12" t="n"/>
      <c r="G257" s="24">
        <f>IF($A257="","",IF($B257="","EKSİK","TAM"))</f>
        <v/>
      </c>
    </row>
    <row r="258">
      <c r="A258" s="12" t="n"/>
      <c r="B258" s="12" t="n"/>
      <c r="C258" s="12" t="n"/>
      <c r="D258" s="12" t="n"/>
      <c r="E258" s="12" t="n"/>
      <c r="F258" s="12" t="n"/>
      <c r="G258" s="24">
        <f>IF($A258="","",IF($B258="","EKSİK","TAM"))</f>
        <v/>
      </c>
    </row>
    <row r="259">
      <c r="A259" s="12" t="n"/>
      <c r="B259" s="12" t="n"/>
      <c r="C259" s="12" t="n"/>
      <c r="D259" s="12" t="n"/>
      <c r="E259" s="12" t="n"/>
      <c r="F259" s="12" t="n"/>
      <c r="G259" s="24">
        <f>IF($A259="","",IF($B259="","EKSİK","TAM"))</f>
        <v/>
      </c>
    </row>
    <row r="260">
      <c r="A260" s="12" t="n"/>
      <c r="B260" s="12" t="n"/>
      <c r="C260" s="12" t="n"/>
      <c r="D260" s="12" t="n"/>
      <c r="E260" s="12" t="n"/>
      <c r="F260" s="12" t="n"/>
      <c r="G260" s="24">
        <f>IF($A260="","",IF($B260="","EKSİK","TAM"))</f>
        <v/>
      </c>
    </row>
    <row r="261">
      <c r="A261" s="12" t="n"/>
      <c r="B261" s="12" t="n"/>
      <c r="C261" s="12" t="n"/>
      <c r="D261" s="12" t="n"/>
      <c r="E261" s="12" t="n"/>
      <c r="F261" s="12" t="n"/>
      <c r="G261" s="24">
        <f>IF($A261="","",IF($B261="","EKSİK","TAM"))</f>
        <v/>
      </c>
    </row>
    <row r="262">
      <c r="A262" s="12" t="n"/>
      <c r="B262" s="12" t="n"/>
      <c r="C262" s="12" t="n"/>
      <c r="D262" s="12" t="n"/>
      <c r="E262" s="12" t="n"/>
      <c r="F262" s="12" t="n"/>
      <c r="G262" s="24">
        <f>IF($A262="","",IF($B262="","EKSİK","TAM"))</f>
        <v/>
      </c>
    </row>
    <row r="263">
      <c r="A263" s="12" t="n"/>
      <c r="B263" s="12" t="n"/>
      <c r="C263" s="12" t="n"/>
      <c r="D263" s="12" t="n"/>
      <c r="E263" s="12" t="n"/>
      <c r="F263" s="12" t="n"/>
      <c r="G263" s="24">
        <f>IF($A263="","",IF($B263="","EKSİK","TAM"))</f>
        <v/>
      </c>
    </row>
    <row r="264">
      <c r="A264" s="12" t="n"/>
      <c r="B264" s="12" t="n"/>
      <c r="C264" s="12" t="n"/>
      <c r="D264" s="12" t="n"/>
      <c r="E264" s="12" t="n"/>
      <c r="F264" s="12" t="n"/>
      <c r="G264" s="24">
        <f>IF($A264="","",IF($B264="","EKSİK","TAM"))</f>
        <v/>
      </c>
    </row>
    <row r="265">
      <c r="A265" s="12" t="n"/>
      <c r="B265" s="12" t="n"/>
      <c r="C265" s="12" t="n"/>
      <c r="D265" s="12" t="n"/>
      <c r="E265" s="12" t="n"/>
      <c r="F265" s="12" t="n"/>
      <c r="G265" s="24">
        <f>IF($A265="","",IF($B265="","EKSİK","TAM"))</f>
        <v/>
      </c>
    </row>
    <row r="266">
      <c r="A266" s="12" t="n"/>
      <c r="B266" s="12" t="n"/>
      <c r="C266" s="12" t="n"/>
      <c r="D266" s="12" t="n"/>
      <c r="E266" s="12" t="n"/>
      <c r="F266" s="12" t="n"/>
      <c r="G266" s="24">
        <f>IF($A266="","",IF($B266="","EKSİK","TAM"))</f>
        <v/>
      </c>
    </row>
    <row r="267">
      <c r="A267" s="12" t="n"/>
      <c r="B267" s="12" t="n"/>
      <c r="C267" s="12" t="n"/>
      <c r="D267" s="12" t="n"/>
      <c r="E267" s="12" t="n"/>
      <c r="F267" s="12" t="n"/>
      <c r="G267" s="24">
        <f>IF($A267="","",IF($B267="","EKSİK","TAM"))</f>
        <v/>
      </c>
    </row>
    <row r="268">
      <c r="A268" s="12" t="n"/>
      <c r="B268" s="12" t="n"/>
      <c r="C268" s="12" t="n"/>
      <c r="D268" s="12" t="n"/>
      <c r="E268" s="12" t="n"/>
      <c r="F268" s="12" t="n"/>
      <c r="G268" s="24">
        <f>IF($A268="","",IF($B268="","EKSİK","TAM"))</f>
        <v/>
      </c>
    </row>
    <row r="269">
      <c r="A269" s="12" t="n"/>
      <c r="B269" s="12" t="n"/>
      <c r="C269" s="12" t="n"/>
      <c r="D269" s="12" t="n"/>
      <c r="E269" s="12" t="n"/>
      <c r="F269" s="12" t="n"/>
      <c r="G269" s="24">
        <f>IF($A269="","",IF($B269="","EKSİK","TAM"))</f>
        <v/>
      </c>
    </row>
    <row r="270">
      <c r="A270" s="12" t="n"/>
      <c r="B270" s="12" t="n"/>
      <c r="C270" s="12" t="n"/>
      <c r="D270" s="12" t="n"/>
      <c r="E270" s="12" t="n"/>
      <c r="F270" s="12" t="n"/>
      <c r="G270" s="24">
        <f>IF($A270="","",IF($B270="","EKSİK","TAM"))</f>
        <v/>
      </c>
    </row>
    <row r="271">
      <c r="A271" s="12" t="n"/>
      <c r="B271" s="12" t="n"/>
      <c r="C271" s="12" t="n"/>
      <c r="D271" s="12" t="n"/>
      <c r="E271" s="12" t="n"/>
      <c r="F271" s="12" t="n"/>
      <c r="G271" s="24">
        <f>IF($A271="","",IF($B271="","EKSİK","TAM"))</f>
        <v/>
      </c>
    </row>
    <row r="272">
      <c r="A272" s="12" t="n"/>
      <c r="B272" s="12" t="n"/>
      <c r="C272" s="12" t="n"/>
      <c r="D272" s="12" t="n"/>
      <c r="E272" s="12" t="n"/>
      <c r="F272" s="12" t="n"/>
      <c r="G272" s="24">
        <f>IF($A272="","",IF($B272="","EKSİK","TAM"))</f>
        <v/>
      </c>
    </row>
    <row r="273">
      <c r="A273" s="12" t="n"/>
      <c r="B273" s="12" t="n"/>
      <c r="C273" s="12" t="n"/>
      <c r="D273" s="12" t="n"/>
      <c r="E273" s="12" t="n"/>
      <c r="F273" s="12" t="n"/>
      <c r="G273" s="24">
        <f>IF($A273="","",IF($B273="","EKSİK","TAM"))</f>
        <v/>
      </c>
    </row>
    <row r="274">
      <c r="A274" s="12" t="n"/>
      <c r="B274" s="12" t="n"/>
      <c r="C274" s="12" t="n"/>
      <c r="D274" s="12" t="n"/>
      <c r="E274" s="12" t="n"/>
      <c r="F274" s="12" t="n"/>
      <c r="G274" s="24">
        <f>IF($A274="","",IF($B274="","EKSİK","TAM"))</f>
        <v/>
      </c>
    </row>
    <row r="275">
      <c r="A275" s="12" t="n"/>
      <c r="B275" s="12" t="n"/>
      <c r="C275" s="12" t="n"/>
      <c r="D275" s="12" t="n"/>
      <c r="E275" s="12" t="n"/>
      <c r="F275" s="12" t="n"/>
      <c r="G275" s="24">
        <f>IF($A275="","",IF($B275="","EKSİK","TAM"))</f>
        <v/>
      </c>
    </row>
    <row r="276">
      <c r="A276" s="12" t="n"/>
      <c r="B276" s="12" t="n"/>
      <c r="C276" s="12" t="n"/>
      <c r="D276" s="12" t="n"/>
      <c r="E276" s="12" t="n"/>
      <c r="F276" s="12" t="n"/>
      <c r="G276" s="24">
        <f>IF($A276="","",IF($B276="","EKSİK","TAM"))</f>
        <v/>
      </c>
    </row>
    <row r="277">
      <c r="A277" s="12" t="n"/>
      <c r="B277" s="12" t="n"/>
      <c r="C277" s="12" t="n"/>
      <c r="D277" s="12" t="n"/>
      <c r="E277" s="12" t="n"/>
      <c r="F277" s="12" t="n"/>
      <c r="G277" s="24">
        <f>IF($A277="","",IF($B277="","EKSİK","TAM"))</f>
        <v/>
      </c>
    </row>
    <row r="278">
      <c r="A278" s="12" t="n"/>
      <c r="B278" s="12" t="n"/>
      <c r="C278" s="12" t="n"/>
      <c r="D278" s="12" t="n"/>
      <c r="E278" s="12" t="n"/>
      <c r="F278" s="12" t="n"/>
      <c r="G278" s="24">
        <f>IF($A278="","",IF($B278="","EKSİK","TAM"))</f>
        <v/>
      </c>
    </row>
    <row r="279">
      <c r="A279" s="12" t="n"/>
      <c r="B279" s="12" t="n"/>
      <c r="C279" s="12" t="n"/>
      <c r="D279" s="12" t="n"/>
      <c r="E279" s="12" t="n"/>
      <c r="F279" s="12" t="n"/>
      <c r="G279" s="24">
        <f>IF($A279="","",IF($B279="","EKSİK","TAM"))</f>
        <v/>
      </c>
    </row>
    <row r="280">
      <c r="A280" s="12" t="n"/>
      <c r="B280" s="12" t="n"/>
      <c r="C280" s="12" t="n"/>
      <c r="D280" s="12" t="n"/>
      <c r="E280" s="12" t="n"/>
      <c r="F280" s="12" t="n"/>
      <c r="G280" s="24">
        <f>IF($A280="","",IF($B280="","EKSİK","TAM"))</f>
        <v/>
      </c>
    </row>
    <row r="281">
      <c r="A281" s="12" t="n"/>
      <c r="B281" s="12" t="n"/>
      <c r="C281" s="12" t="n"/>
      <c r="D281" s="12" t="n"/>
      <c r="E281" s="12" t="n"/>
      <c r="F281" s="12" t="n"/>
      <c r="G281" s="24">
        <f>IF($A281="","",IF($B281="","EKSİK","TAM"))</f>
        <v/>
      </c>
    </row>
    <row r="282">
      <c r="A282" s="12" t="n"/>
      <c r="B282" s="12" t="n"/>
      <c r="C282" s="12" t="n"/>
      <c r="D282" s="12" t="n"/>
      <c r="E282" s="12" t="n"/>
      <c r="F282" s="12" t="n"/>
      <c r="G282" s="24">
        <f>IF($A282="","",IF($B282="","EKSİK","TAM"))</f>
        <v/>
      </c>
    </row>
    <row r="283">
      <c r="A283" s="12" t="n"/>
      <c r="B283" s="12" t="n"/>
      <c r="C283" s="12" t="n"/>
      <c r="D283" s="12" t="n"/>
      <c r="E283" s="12" t="n"/>
      <c r="F283" s="12" t="n"/>
      <c r="G283" s="24">
        <f>IF($A283="","",IF($B283="","EKSİK","TAM"))</f>
        <v/>
      </c>
    </row>
    <row r="284">
      <c r="A284" s="12" t="n"/>
      <c r="B284" s="12" t="n"/>
      <c r="C284" s="12" t="n"/>
      <c r="D284" s="12" t="n"/>
      <c r="E284" s="12" t="n"/>
      <c r="F284" s="12" t="n"/>
      <c r="G284" s="24">
        <f>IF($A284="","",IF($B284="","EKSİK","TAM"))</f>
        <v/>
      </c>
    </row>
    <row r="285">
      <c r="A285" s="12" t="n"/>
      <c r="B285" s="12" t="n"/>
      <c r="C285" s="12" t="n"/>
      <c r="D285" s="12" t="n"/>
      <c r="E285" s="12" t="n"/>
      <c r="F285" s="12" t="n"/>
      <c r="G285" s="24">
        <f>IF($A285="","",IF($B285="","EKSİK","TAM"))</f>
        <v/>
      </c>
    </row>
    <row r="286">
      <c r="A286" s="12" t="n"/>
      <c r="B286" s="12" t="n"/>
      <c r="C286" s="12" t="n"/>
      <c r="D286" s="12" t="n"/>
      <c r="E286" s="12" t="n"/>
      <c r="F286" s="12" t="n"/>
      <c r="G286" s="24">
        <f>IF($A286="","",IF($B286="","EKSİK","TAM"))</f>
        <v/>
      </c>
    </row>
    <row r="287">
      <c r="A287" s="12" t="n"/>
      <c r="B287" s="12" t="n"/>
      <c r="C287" s="12" t="n"/>
      <c r="D287" s="12" t="n"/>
      <c r="E287" s="12" t="n"/>
      <c r="F287" s="12" t="n"/>
      <c r="G287" s="24">
        <f>IF($A287="","",IF($B287="","EKSİK","TAM"))</f>
        <v/>
      </c>
    </row>
    <row r="288">
      <c r="A288" s="12" t="n"/>
      <c r="B288" s="12" t="n"/>
      <c r="C288" s="12" t="n"/>
      <c r="D288" s="12" t="n"/>
      <c r="E288" s="12" t="n"/>
      <c r="F288" s="12" t="n"/>
      <c r="G288" s="24">
        <f>IF($A288="","",IF($B288="","EKSİK","TAM"))</f>
        <v/>
      </c>
    </row>
    <row r="289">
      <c r="A289" s="12" t="n"/>
      <c r="B289" s="12" t="n"/>
      <c r="C289" s="12" t="n"/>
      <c r="D289" s="12" t="n"/>
      <c r="E289" s="12" t="n"/>
      <c r="F289" s="12" t="n"/>
      <c r="G289" s="24">
        <f>IF($A289="","",IF($B289="","EKSİK","TAM"))</f>
        <v/>
      </c>
    </row>
    <row r="290">
      <c r="A290" s="12" t="n"/>
      <c r="B290" s="12" t="n"/>
      <c r="C290" s="12" t="n"/>
      <c r="D290" s="12" t="n"/>
      <c r="E290" s="12" t="n"/>
      <c r="F290" s="12" t="n"/>
      <c r="G290" s="24">
        <f>IF($A290="","",IF($B290="","EKSİK","TAM"))</f>
        <v/>
      </c>
    </row>
    <row r="291">
      <c r="A291" s="12" t="n"/>
      <c r="B291" s="12" t="n"/>
      <c r="C291" s="12" t="n"/>
      <c r="D291" s="12" t="n"/>
      <c r="E291" s="12" t="n"/>
      <c r="F291" s="12" t="n"/>
      <c r="G291" s="24">
        <f>IF($A291="","",IF($B291="","EKSİK","TAM"))</f>
        <v/>
      </c>
    </row>
    <row r="292">
      <c r="A292" s="12" t="n"/>
      <c r="B292" s="12" t="n"/>
      <c r="C292" s="12" t="n"/>
      <c r="D292" s="12" t="n"/>
      <c r="E292" s="12" t="n"/>
      <c r="F292" s="12" t="n"/>
      <c r="G292" s="24">
        <f>IF($A292="","",IF($B292="","EKSİK","TAM"))</f>
        <v/>
      </c>
    </row>
    <row r="293">
      <c r="A293" s="12" t="n"/>
      <c r="B293" s="12" t="n"/>
      <c r="C293" s="12" t="n"/>
      <c r="D293" s="12" t="n"/>
      <c r="E293" s="12" t="n"/>
      <c r="F293" s="12" t="n"/>
      <c r="G293" s="24">
        <f>IF($A293="","",IF($B293="","EKSİK","TAM"))</f>
        <v/>
      </c>
    </row>
    <row r="294">
      <c r="A294" s="12" t="n"/>
      <c r="B294" s="12" t="n"/>
      <c r="C294" s="12" t="n"/>
      <c r="D294" s="12" t="n"/>
      <c r="E294" s="12" t="n"/>
      <c r="F294" s="12" t="n"/>
      <c r="G294" s="24">
        <f>IF($A294="","",IF($B294="","EKSİK","TAM"))</f>
        <v/>
      </c>
    </row>
    <row r="295">
      <c r="A295" s="12" t="n"/>
      <c r="B295" s="12" t="n"/>
      <c r="C295" s="12" t="n"/>
      <c r="D295" s="12" t="n"/>
      <c r="E295" s="12" t="n"/>
      <c r="F295" s="12" t="n"/>
      <c r="G295" s="24">
        <f>IF($A295="","",IF($B295="","EKSİK","TAM"))</f>
        <v/>
      </c>
    </row>
    <row r="296">
      <c r="A296" s="12" t="n"/>
      <c r="B296" s="12" t="n"/>
      <c r="C296" s="12" t="n"/>
      <c r="D296" s="12" t="n"/>
      <c r="E296" s="12" t="n"/>
      <c r="F296" s="12" t="n"/>
      <c r="G296" s="24">
        <f>IF($A296="","",IF($B296="","EKSİK","TAM"))</f>
        <v/>
      </c>
    </row>
    <row r="297">
      <c r="A297" s="12" t="n"/>
      <c r="B297" s="12" t="n"/>
      <c r="C297" s="12" t="n"/>
      <c r="D297" s="12" t="n"/>
      <c r="E297" s="12" t="n"/>
      <c r="F297" s="12" t="n"/>
      <c r="G297" s="24">
        <f>IF($A297="","",IF($B297="","EKSİK","TAM"))</f>
        <v/>
      </c>
    </row>
    <row r="298">
      <c r="A298" s="12" t="n"/>
      <c r="B298" s="12" t="n"/>
      <c r="C298" s="12" t="n"/>
      <c r="D298" s="12" t="n"/>
      <c r="E298" s="12" t="n"/>
      <c r="F298" s="12" t="n"/>
      <c r="G298" s="24">
        <f>IF($A298="","",IF($B298="","EKSİK","TAM"))</f>
        <v/>
      </c>
    </row>
    <row r="299">
      <c r="A299" s="12" t="n"/>
      <c r="B299" s="12" t="n"/>
      <c r="C299" s="12" t="n"/>
      <c r="D299" s="12" t="n"/>
      <c r="E299" s="12" t="n"/>
      <c r="F299" s="12" t="n"/>
      <c r="G299" s="24">
        <f>IF($A299="","",IF($B299="","EKSİK","TAM"))</f>
        <v/>
      </c>
    </row>
    <row r="300">
      <c r="A300" s="12" t="n"/>
      <c r="B300" s="12" t="n"/>
      <c r="C300" s="12" t="n"/>
      <c r="D300" s="12" t="n"/>
      <c r="E300" s="12" t="n"/>
      <c r="F300" s="12" t="n"/>
      <c r="G300" s="24">
        <f>IF($A300="","",IF($B300="","EKSİK","TAM"))</f>
        <v/>
      </c>
    </row>
    <row r="301">
      <c r="A301" s="12" t="n"/>
      <c r="B301" s="12" t="n"/>
      <c r="C301" s="12" t="n"/>
      <c r="D301" s="12" t="n"/>
      <c r="E301" s="12" t="n"/>
      <c r="F301" s="12" t="n"/>
      <c r="G301" s="24">
        <f>IF($A301="","",IF($B301="","EKSİK","TAM"))</f>
        <v/>
      </c>
    </row>
    <row r="302">
      <c r="A302" s="12" t="n"/>
      <c r="B302" s="12" t="n"/>
      <c r="C302" s="12" t="n"/>
      <c r="D302" s="12" t="n"/>
      <c r="E302" s="12" t="n"/>
      <c r="F302" s="12" t="n"/>
      <c r="G302" s="24">
        <f>IF($A302="","",IF($B302="","EKSİK","TAM"))</f>
        <v/>
      </c>
    </row>
    <row r="303">
      <c r="A303" s="12" t="n"/>
      <c r="B303" s="12" t="n"/>
      <c r="C303" s="12" t="n"/>
      <c r="D303" s="12" t="n"/>
      <c r="E303" s="12" t="n"/>
      <c r="F303" s="12" t="n"/>
      <c r="G303" s="24">
        <f>IF($A303="","",IF($B303="","EKSİK","TAM"))</f>
        <v/>
      </c>
    </row>
    <row r="304">
      <c r="A304" s="12" t="n"/>
      <c r="B304" s="12" t="n"/>
      <c r="C304" s="12" t="n"/>
      <c r="D304" s="12" t="n"/>
      <c r="E304" s="12" t="n"/>
      <c r="F304" s="12" t="n"/>
      <c r="G304" s="24">
        <f>IF($A304="","",IF($B304="","EKSİK","TAM"))</f>
        <v/>
      </c>
    </row>
    <row r="305">
      <c r="A305" s="12" t="n"/>
      <c r="B305" s="12" t="n"/>
      <c r="C305" s="12" t="n"/>
      <c r="D305" s="12" t="n"/>
      <c r="E305" s="12" t="n"/>
      <c r="F305" s="12" t="n"/>
      <c r="G305" s="24">
        <f>IF($A305="","",IF($B305="","EKSİK","TAM"))</f>
        <v/>
      </c>
    </row>
    <row r="306">
      <c r="A306" s="12" t="n"/>
      <c r="B306" s="12" t="n"/>
      <c r="C306" s="12" t="n"/>
      <c r="D306" s="12" t="n"/>
      <c r="E306" s="12" t="n"/>
      <c r="F306" s="12" t="n"/>
      <c r="G306" s="24">
        <f>IF($A306="","",IF($B306="","EKSİK","TAM"))</f>
        <v/>
      </c>
    </row>
    <row r="307">
      <c r="A307" s="12" t="n"/>
      <c r="B307" s="12" t="n"/>
      <c r="C307" s="12" t="n"/>
      <c r="D307" s="12" t="n"/>
      <c r="E307" s="12" t="n"/>
      <c r="F307" s="12" t="n"/>
      <c r="G307" s="24">
        <f>IF($A307="","",IF($B307="","EKSİK","TAM"))</f>
        <v/>
      </c>
    </row>
    <row r="308">
      <c r="A308" s="12" t="n"/>
      <c r="B308" s="12" t="n"/>
      <c r="C308" s="12" t="n"/>
      <c r="D308" s="12" t="n"/>
      <c r="E308" s="12" t="n"/>
      <c r="F308" s="12" t="n"/>
      <c r="G308" s="24">
        <f>IF($A308="","",IF($B308="","EKSİK","TAM"))</f>
        <v/>
      </c>
    </row>
    <row r="309">
      <c r="A309" s="12" t="n"/>
      <c r="B309" s="12" t="n"/>
      <c r="C309" s="12" t="n"/>
      <c r="D309" s="12" t="n"/>
      <c r="E309" s="12" t="n"/>
      <c r="F309" s="12" t="n"/>
      <c r="G309" s="24">
        <f>IF($A309="","",IF($B309="","EKSİK","TAM"))</f>
        <v/>
      </c>
    </row>
    <row r="310">
      <c r="A310" s="12" t="n"/>
      <c r="B310" s="12" t="n"/>
      <c r="C310" s="12" t="n"/>
      <c r="D310" s="12" t="n"/>
      <c r="E310" s="12" t="n"/>
      <c r="F310" s="12" t="n"/>
      <c r="G310" s="24">
        <f>IF($A310="","",IF($B310="","EKSİK","TAM"))</f>
        <v/>
      </c>
    </row>
    <row r="311">
      <c r="A311" s="12" t="n"/>
      <c r="B311" s="12" t="n"/>
      <c r="C311" s="12" t="n"/>
      <c r="D311" s="12" t="n"/>
      <c r="E311" s="12" t="n"/>
      <c r="F311" s="12" t="n"/>
      <c r="G311" s="24">
        <f>IF($A311="","",IF($B311="","EKSİK","TAM"))</f>
        <v/>
      </c>
    </row>
    <row r="312">
      <c r="A312" s="12" t="n"/>
      <c r="B312" s="12" t="n"/>
      <c r="C312" s="12" t="n"/>
      <c r="D312" s="12" t="n"/>
      <c r="E312" s="12" t="n"/>
      <c r="F312" s="12" t="n"/>
      <c r="G312" s="24">
        <f>IF($A312="","",IF($B312="","EKSİK","TAM"))</f>
        <v/>
      </c>
    </row>
    <row r="313">
      <c r="A313" s="12" t="n"/>
      <c r="B313" s="12" t="n"/>
      <c r="C313" s="12" t="n"/>
      <c r="D313" s="12" t="n"/>
      <c r="E313" s="12" t="n"/>
      <c r="F313" s="12" t="n"/>
      <c r="G313" s="24">
        <f>IF($A313="","",IF($B313="","EKSİK","TAM"))</f>
        <v/>
      </c>
    </row>
    <row r="314">
      <c r="A314" s="12" t="n"/>
      <c r="B314" s="12" t="n"/>
      <c r="C314" s="12" t="n"/>
      <c r="D314" s="12" t="n"/>
      <c r="E314" s="12" t="n"/>
      <c r="F314" s="12" t="n"/>
      <c r="G314" s="24">
        <f>IF($A314="","",IF($B314="","EKSİK","TAM"))</f>
        <v/>
      </c>
    </row>
    <row r="315">
      <c r="A315" s="12" t="n"/>
      <c r="B315" s="12" t="n"/>
      <c r="C315" s="12" t="n"/>
      <c r="D315" s="12" t="n"/>
      <c r="E315" s="12" t="n"/>
      <c r="F315" s="12" t="n"/>
      <c r="G315" s="24">
        <f>IF($A315="","",IF($B315="","EKSİK","TAM"))</f>
        <v/>
      </c>
    </row>
    <row r="316">
      <c r="A316" s="12" t="n"/>
      <c r="B316" s="12" t="n"/>
      <c r="C316" s="12" t="n"/>
      <c r="D316" s="12" t="n"/>
      <c r="E316" s="12" t="n"/>
      <c r="F316" s="12" t="n"/>
      <c r="G316" s="24">
        <f>IF($A316="","",IF($B316="","EKSİK","TAM"))</f>
        <v/>
      </c>
    </row>
    <row r="317">
      <c r="A317" s="12" t="n"/>
      <c r="B317" s="12" t="n"/>
      <c r="C317" s="12" t="n"/>
      <c r="D317" s="12" t="n"/>
      <c r="E317" s="12" t="n"/>
      <c r="F317" s="12" t="n"/>
      <c r="G317" s="24">
        <f>IF($A317="","",IF($B317="","EKSİK","TAM"))</f>
        <v/>
      </c>
    </row>
    <row r="318">
      <c r="A318" s="12" t="n"/>
      <c r="B318" s="12" t="n"/>
      <c r="C318" s="12" t="n"/>
      <c r="D318" s="12" t="n"/>
      <c r="E318" s="12" t="n"/>
      <c r="F318" s="12" t="n"/>
      <c r="G318" s="24">
        <f>IF($A318="","",IF($B318="","EKSİK","TAM"))</f>
        <v/>
      </c>
    </row>
    <row r="319">
      <c r="A319" s="12" t="n"/>
      <c r="B319" s="12" t="n"/>
      <c r="C319" s="12" t="n"/>
      <c r="D319" s="12" t="n"/>
      <c r="E319" s="12" t="n"/>
      <c r="F319" s="12" t="n"/>
      <c r="G319" s="24">
        <f>IF($A319="","",IF($B319="","EKSİK","TAM"))</f>
        <v/>
      </c>
    </row>
    <row r="320">
      <c r="A320" s="12" t="n"/>
      <c r="B320" s="12" t="n"/>
      <c r="C320" s="12" t="n"/>
      <c r="D320" s="12" t="n"/>
      <c r="E320" s="12" t="n"/>
      <c r="F320" s="12" t="n"/>
      <c r="G320" s="24">
        <f>IF($A320="","",IF($B320="","EKSİK","TAM"))</f>
        <v/>
      </c>
    </row>
    <row r="321">
      <c r="A321" s="12" t="n"/>
      <c r="B321" s="12" t="n"/>
      <c r="C321" s="12" t="n"/>
      <c r="D321" s="12" t="n"/>
      <c r="E321" s="12" t="n"/>
      <c r="F321" s="12" t="n"/>
      <c r="G321" s="24">
        <f>IF($A321="","",IF($B321="","EKSİK","TAM"))</f>
        <v/>
      </c>
    </row>
    <row r="322">
      <c r="A322" s="12" t="n"/>
      <c r="B322" s="12" t="n"/>
      <c r="C322" s="12" t="n"/>
      <c r="D322" s="12" t="n"/>
      <c r="E322" s="12" t="n"/>
      <c r="F322" s="12" t="n"/>
      <c r="G322" s="24">
        <f>IF($A322="","",IF($B322="","EKSİK","TAM"))</f>
        <v/>
      </c>
    </row>
    <row r="323">
      <c r="A323" s="12" t="n"/>
      <c r="B323" s="12" t="n"/>
      <c r="C323" s="12" t="n"/>
      <c r="D323" s="12" t="n"/>
      <c r="E323" s="12" t="n"/>
      <c r="F323" s="12" t="n"/>
      <c r="G323" s="24">
        <f>IF($A323="","",IF($B323="","EKSİK","TAM"))</f>
        <v/>
      </c>
    </row>
    <row r="324">
      <c r="A324" s="12" t="n"/>
      <c r="B324" s="12" t="n"/>
      <c r="C324" s="12" t="n"/>
      <c r="D324" s="12" t="n"/>
      <c r="E324" s="12" t="n"/>
      <c r="F324" s="12" t="n"/>
      <c r="G324" s="24">
        <f>IF($A324="","",IF($B324="","EKSİK","TAM"))</f>
        <v/>
      </c>
    </row>
    <row r="325">
      <c r="A325" s="12" t="n"/>
      <c r="B325" s="12" t="n"/>
      <c r="C325" s="12" t="n"/>
      <c r="D325" s="12" t="n"/>
      <c r="E325" s="12" t="n"/>
      <c r="F325" s="12" t="n"/>
      <c r="G325" s="24">
        <f>IF($A325="","",IF($B325="","EKSİK","TAM"))</f>
        <v/>
      </c>
    </row>
    <row r="326">
      <c r="A326" s="12" t="n"/>
      <c r="B326" s="12" t="n"/>
      <c r="C326" s="12" t="n"/>
      <c r="D326" s="12" t="n"/>
      <c r="E326" s="12" t="n"/>
      <c r="F326" s="12" t="n"/>
      <c r="G326" s="24">
        <f>IF($A326="","",IF($B326="","EKSİK","TAM"))</f>
        <v/>
      </c>
    </row>
    <row r="327">
      <c r="A327" s="12" t="n"/>
      <c r="B327" s="12" t="n"/>
      <c r="C327" s="12" t="n"/>
      <c r="D327" s="12" t="n"/>
      <c r="E327" s="12" t="n"/>
      <c r="F327" s="12" t="n"/>
      <c r="G327" s="24">
        <f>IF($A327="","",IF($B327="","EKSİK","TAM"))</f>
        <v/>
      </c>
    </row>
    <row r="328">
      <c r="A328" s="12" t="n"/>
      <c r="B328" s="12" t="n"/>
      <c r="C328" s="12" t="n"/>
      <c r="D328" s="12" t="n"/>
      <c r="E328" s="12" t="n"/>
      <c r="F328" s="12" t="n"/>
      <c r="G328" s="24">
        <f>IF($A328="","",IF($B328="","EKSİK","TAM"))</f>
        <v/>
      </c>
    </row>
    <row r="329">
      <c r="A329" s="12" t="n"/>
      <c r="B329" s="12" t="n"/>
      <c r="C329" s="12" t="n"/>
      <c r="D329" s="12" t="n"/>
      <c r="E329" s="12" t="n"/>
      <c r="F329" s="12" t="n"/>
      <c r="G329" s="24">
        <f>IF($A329="","",IF($B329="","EKSİK","TAM"))</f>
        <v/>
      </c>
    </row>
    <row r="330">
      <c r="A330" s="12" t="n"/>
      <c r="B330" s="12" t="n"/>
      <c r="C330" s="12" t="n"/>
      <c r="D330" s="12" t="n"/>
      <c r="E330" s="12" t="n"/>
      <c r="F330" s="12" t="n"/>
      <c r="G330" s="24">
        <f>IF($A330="","",IF($B330="","EKSİK","TAM"))</f>
        <v/>
      </c>
    </row>
    <row r="331">
      <c r="A331" s="12" t="n"/>
      <c r="B331" s="12" t="n"/>
      <c r="C331" s="12" t="n"/>
      <c r="D331" s="12" t="n"/>
      <c r="E331" s="12" t="n"/>
      <c r="F331" s="12" t="n"/>
      <c r="G331" s="24">
        <f>IF($A331="","",IF($B331="","EKSİK","TAM"))</f>
        <v/>
      </c>
    </row>
    <row r="332">
      <c r="A332" s="12" t="n"/>
      <c r="B332" s="12" t="n"/>
      <c r="C332" s="12" t="n"/>
      <c r="D332" s="12" t="n"/>
      <c r="E332" s="12" t="n"/>
      <c r="F332" s="12" t="n"/>
      <c r="G332" s="24">
        <f>IF($A332="","",IF($B332="","EKSİK","TAM"))</f>
        <v/>
      </c>
    </row>
    <row r="333">
      <c r="A333" s="12" t="n"/>
      <c r="B333" s="12" t="n"/>
      <c r="C333" s="12" t="n"/>
      <c r="D333" s="12" t="n"/>
      <c r="E333" s="12" t="n"/>
      <c r="F333" s="12" t="n"/>
      <c r="G333" s="24">
        <f>IF($A333="","",IF($B333="","EKSİK","TAM"))</f>
        <v/>
      </c>
    </row>
    <row r="334">
      <c r="A334" s="12" t="n"/>
      <c r="B334" s="12" t="n"/>
      <c r="C334" s="12" t="n"/>
      <c r="D334" s="12" t="n"/>
      <c r="E334" s="12" t="n"/>
      <c r="F334" s="12" t="n"/>
      <c r="G334" s="24">
        <f>IF($A334="","",IF($B334="","EKSİK","TAM"))</f>
        <v/>
      </c>
    </row>
    <row r="335">
      <c r="A335" s="12" t="n"/>
      <c r="B335" s="12" t="n"/>
      <c r="C335" s="12" t="n"/>
      <c r="D335" s="12" t="n"/>
      <c r="E335" s="12" t="n"/>
      <c r="F335" s="12" t="n"/>
      <c r="G335" s="24">
        <f>IF($A335="","",IF($B335="","EKSİK","TAM"))</f>
        <v/>
      </c>
    </row>
    <row r="336">
      <c r="A336" s="12" t="n"/>
      <c r="B336" s="12" t="n"/>
      <c r="C336" s="12" t="n"/>
      <c r="D336" s="12" t="n"/>
      <c r="E336" s="12" t="n"/>
      <c r="F336" s="12" t="n"/>
      <c r="G336" s="24">
        <f>IF($A336="","",IF($B336="","EKSİK","TAM"))</f>
        <v/>
      </c>
    </row>
    <row r="337">
      <c r="A337" s="12" t="n"/>
      <c r="B337" s="12" t="n"/>
      <c r="C337" s="12" t="n"/>
      <c r="D337" s="12" t="n"/>
      <c r="E337" s="12" t="n"/>
      <c r="F337" s="12" t="n"/>
      <c r="G337" s="24">
        <f>IF($A337="","",IF($B337="","EKSİK","TAM"))</f>
        <v/>
      </c>
    </row>
    <row r="338">
      <c r="A338" s="12" t="n"/>
      <c r="B338" s="12" t="n"/>
      <c r="C338" s="12" t="n"/>
      <c r="D338" s="12" t="n"/>
      <c r="E338" s="12" t="n"/>
      <c r="F338" s="12" t="n"/>
      <c r="G338" s="24">
        <f>IF($A338="","",IF($B338="","EKSİK","TAM"))</f>
        <v/>
      </c>
    </row>
    <row r="339">
      <c r="A339" s="12" t="n"/>
      <c r="B339" s="12" t="n"/>
      <c r="C339" s="12" t="n"/>
      <c r="D339" s="12" t="n"/>
      <c r="E339" s="12" t="n"/>
      <c r="F339" s="12" t="n"/>
      <c r="G339" s="24">
        <f>IF($A339="","",IF($B339="","EKSİK","TAM"))</f>
        <v/>
      </c>
    </row>
    <row r="340">
      <c r="A340" s="12" t="n"/>
      <c r="B340" s="12" t="n"/>
      <c r="C340" s="12" t="n"/>
      <c r="D340" s="12" t="n"/>
      <c r="E340" s="12" t="n"/>
      <c r="F340" s="12" t="n"/>
      <c r="G340" s="24">
        <f>IF($A340="","",IF($B340="","EKSİK","TAM"))</f>
        <v/>
      </c>
    </row>
    <row r="341">
      <c r="A341" s="12" t="n"/>
      <c r="B341" s="12" t="n"/>
      <c r="C341" s="12" t="n"/>
      <c r="D341" s="12" t="n"/>
      <c r="E341" s="12" t="n"/>
      <c r="F341" s="12" t="n"/>
      <c r="G341" s="24">
        <f>IF($A341="","",IF($B341="","EKSİK","TAM"))</f>
        <v/>
      </c>
    </row>
    <row r="342">
      <c r="A342" s="12" t="n"/>
      <c r="B342" s="12" t="n"/>
      <c r="C342" s="12" t="n"/>
      <c r="D342" s="12" t="n"/>
      <c r="E342" s="12" t="n"/>
      <c r="F342" s="12" t="n"/>
      <c r="G342" s="24">
        <f>IF($A342="","",IF($B342="","EKSİK","TAM"))</f>
        <v/>
      </c>
    </row>
    <row r="343">
      <c r="A343" s="12" t="n"/>
      <c r="B343" s="12" t="n"/>
      <c r="C343" s="12" t="n"/>
      <c r="D343" s="12" t="n"/>
      <c r="E343" s="12" t="n"/>
      <c r="F343" s="12" t="n"/>
      <c r="G343" s="24">
        <f>IF($A343="","",IF($B343="","EKSİK","TAM"))</f>
        <v/>
      </c>
    </row>
    <row r="344">
      <c r="A344" s="12" t="n"/>
      <c r="B344" s="12" t="n"/>
      <c r="C344" s="12" t="n"/>
      <c r="D344" s="12" t="n"/>
      <c r="E344" s="12" t="n"/>
      <c r="F344" s="12" t="n"/>
      <c r="G344" s="24">
        <f>IF($A344="","",IF($B344="","EKSİK","TAM"))</f>
        <v/>
      </c>
    </row>
    <row r="345">
      <c r="A345" s="12" t="n"/>
      <c r="B345" s="12" t="n"/>
      <c r="C345" s="12" t="n"/>
      <c r="D345" s="12" t="n"/>
      <c r="E345" s="12" t="n"/>
      <c r="F345" s="12" t="n"/>
      <c r="G345" s="24">
        <f>IF($A345="","",IF($B345="","EKSİK","TAM"))</f>
        <v/>
      </c>
    </row>
    <row r="346">
      <c r="A346" s="12" t="n"/>
      <c r="B346" s="12" t="n"/>
      <c r="C346" s="12" t="n"/>
      <c r="D346" s="12" t="n"/>
      <c r="E346" s="12" t="n"/>
      <c r="F346" s="12" t="n"/>
      <c r="G346" s="24">
        <f>IF($A346="","",IF($B346="","EKSİK","TAM"))</f>
        <v/>
      </c>
    </row>
    <row r="347">
      <c r="A347" s="12" t="n"/>
      <c r="B347" s="12" t="n"/>
      <c r="C347" s="12" t="n"/>
      <c r="D347" s="12" t="n"/>
      <c r="E347" s="12" t="n"/>
      <c r="F347" s="12" t="n"/>
      <c r="G347" s="24">
        <f>IF($A347="","",IF($B347="","EKSİK","TAM"))</f>
        <v/>
      </c>
    </row>
    <row r="348">
      <c r="A348" s="12" t="n"/>
      <c r="B348" s="12" t="n"/>
      <c r="C348" s="12" t="n"/>
      <c r="D348" s="12" t="n"/>
      <c r="E348" s="12" t="n"/>
      <c r="F348" s="12" t="n"/>
      <c r="G348" s="24">
        <f>IF($A348="","",IF($B348="","EKSİK","TAM"))</f>
        <v/>
      </c>
    </row>
    <row r="349">
      <c r="A349" s="12" t="n"/>
      <c r="B349" s="12" t="n"/>
      <c r="C349" s="12" t="n"/>
      <c r="D349" s="12" t="n"/>
      <c r="E349" s="12" t="n"/>
      <c r="F349" s="12" t="n"/>
      <c r="G349" s="24">
        <f>IF($A349="","",IF($B349="","EKSİK","TAM"))</f>
        <v/>
      </c>
    </row>
    <row r="350">
      <c r="A350" s="12" t="n"/>
      <c r="B350" s="12" t="n"/>
      <c r="C350" s="12" t="n"/>
      <c r="D350" s="12" t="n"/>
      <c r="E350" s="12" t="n"/>
      <c r="F350" s="12" t="n"/>
      <c r="G350" s="24">
        <f>IF($A350="","",IF($B350="","EKSİK","TAM"))</f>
        <v/>
      </c>
    </row>
    <row r="351">
      <c r="A351" s="12" t="n"/>
      <c r="B351" s="12" t="n"/>
      <c r="C351" s="12" t="n"/>
      <c r="D351" s="12" t="n"/>
      <c r="E351" s="12" t="n"/>
      <c r="F351" s="12" t="n"/>
      <c r="G351" s="24">
        <f>IF($A351="","",IF($B351="","EKSİK","TAM"))</f>
        <v/>
      </c>
    </row>
    <row r="352">
      <c r="A352" s="12" t="n"/>
      <c r="B352" s="12" t="n"/>
      <c r="C352" s="12" t="n"/>
      <c r="D352" s="12" t="n"/>
      <c r="E352" s="12" t="n"/>
      <c r="F352" s="12" t="n"/>
      <c r="G352" s="24">
        <f>IF($A352="","",IF($B352="","EKSİK","TAM"))</f>
        <v/>
      </c>
    </row>
    <row r="353">
      <c r="A353" s="12" t="n"/>
      <c r="B353" s="12" t="n"/>
      <c r="C353" s="12" t="n"/>
      <c r="D353" s="12" t="n"/>
      <c r="E353" s="12" t="n"/>
      <c r="F353" s="12" t="n"/>
      <c r="G353" s="24">
        <f>IF($A353="","",IF($B353="","EKSİK","TAM"))</f>
        <v/>
      </c>
    </row>
    <row r="354">
      <c r="A354" s="12" t="n"/>
      <c r="B354" s="12" t="n"/>
      <c r="C354" s="12" t="n"/>
      <c r="D354" s="12" t="n"/>
      <c r="E354" s="12" t="n"/>
      <c r="F354" s="12" t="n"/>
      <c r="G354" s="24">
        <f>IF($A354="","",IF($B354="","EKSİK","TAM"))</f>
        <v/>
      </c>
    </row>
    <row r="355">
      <c r="A355" s="12" t="n"/>
      <c r="B355" s="12" t="n"/>
      <c r="C355" s="12" t="n"/>
      <c r="D355" s="12" t="n"/>
      <c r="E355" s="12" t="n"/>
      <c r="F355" s="12" t="n"/>
      <c r="G355" s="24">
        <f>IF($A355="","",IF($B355="","EKSİK","TAM"))</f>
        <v/>
      </c>
    </row>
    <row r="356">
      <c r="A356" s="12" t="n"/>
      <c r="B356" s="12" t="n"/>
      <c r="C356" s="12" t="n"/>
      <c r="D356" s="12" t="n"/>
      <c r="E356" s="12" t="n"/>
      <c r="F356" s="12" t="n"/>
      <c r="G356" s="24">
        <f>IF($A356="","",IF($B356="","EKSİK","TAM"))</f>
        <v/>
      </c>
    </row>
    <row r="357">
      <c r="A357" s="12" t="n"/>
      <c r="B357" s="12" t="n"/>
      <c r="C357" s="12" t="n"/>
      <c r="D357" s="12" t="n"/>
      <c r="E357" s="12" t="n"/>
      <c r="F357" s="12" t="n"/>
      <c r="G357" s="24">
        <f>IF($A357="","",IF($B357="","EKSİK","TAM"))</f>
        <v/>
      </c>
    </row>
    <row r="358">
      <c r="A358" s="12" t="n"/>
      <c r="B358" s="12" t="n"/>
      <c r="C358" s="12" t="n"/>
      <c r="D358" s="12" t="n"/>
      <c r="E358" s="12" t="n"/>
      <c r="F358" s="12" t="n"/>
      <c r="G358" s="24">
        <f>IF($A358="","",IF($B358="","EKSİK","TAM"))</f>
        <v/>
      </c>
    </row>
    <row r="359">
      <c r="A359" s="12" t="n"/>
      <c r="B359" s="12" t="n"/>
      <c r="C359" s="12" t="n"/>
      <c r="D359" s="12" t="n"/>
      <c r="E359" s="12" t="n"/>
      <c r="F359" s="12" t="n"/>
      <c r="G359" s="24">
        <f>IF($A359="","",IF($B359="","EKSİK","TAM"))</f>
        <v/>
      </c>
    </row>
    <row r="360">
      <c r="A360" s="12" t="n"/>
      <c r="B360" s="12" t="n"/>
      <c r="C360" s="12" t="n"/>
      <c r="D360" s="12" t="n"/>
      <c r="E360" s="12" t="n"/>
      <c r="F360" s="12" t="n"/>
      <c r="G360" s="24">
        <f>IF($A360="","",IF($B360="","EKSİK","TAM"))</f>
        <v/>
      </c>
    </row>
    <row r="361">
      <c r="A361" s="12" t="n"/>
      <c r="B361" s="12" t="n"/>
      <c r="C361" s="12" t="n"/>
      <c r="D361" s="12" t="n"/>
      <c r="E361" s="12" t="n"/>
      <c r="F361" s="12" t="n"/>
      <c r="G361" s="24">
        <f>IF($A361="","",IF($B361="","EKSİK","TAM"))</f>
        <v/>
      </c>
    </row>
    <row r="362">
      <c r="A362" s="12" t="n"/>
      <c r="B362" s="12" t="n"/>
      <c r="C362" s="12" t="n"/>
      <c r="D362" s="12" t="n"/>
      <c r="E362" s="12" t="n"/>
      <c r="F362" s="12" t="n"/>
      <c r="G362" s="24">
        <f>IF($A362="","",IF($B362="","EKSİK","TAM"))</f>
        <v/>
      </c>
    </row>
    <row r="363">
      <c r="A363" s="12" t="n"/>
      <c r="B363" s="12" t="n"/>
      <c r="C363" s="12" t="n"/>
      <c r="D363" s="12" t="n"/>
      <c r="E363" s="12" t="n"/>
      <c r="F363" s="12" t="n"/>
      <c r="G363" s="24">
        <f>IF($A363="","",IF($B363="","EKSİK","TAM"))</f>
        <v/>
      </c>
    </row>
    <row r="364">
      <c r="A364" s="12" t="n"/>
      <c r="B364" s="12" t="n"/>
      <c r="C364" s="12" t="n"/>
      <c r="D364" s="12" t="n"/>
      <c r="E364" s="12" t="n"/>
      <c r="F364" s="12" t="n"/>
      <c r="G364" s="24">
        <f>IF($A364="","",IF($B364="","EKSİK","TAM"))</f>
        <v/>
      </c>
    </row>
    <row r="365">
      <c r="A365" s="12" t="n"/>
      <c r="B365" s="12" t="n"/>
      <c r="C365" s="12" t="n"/>
      <c r="D365" s="12" t="n"/>
      <c r="E365" s="12" t="n"/>
      <c r="F365" s="12" t="n"/>
      <c r="G365" s="24">
        <f>IF($A365="","",IF($B365="","EKSİK","TAM"))</f>
        <v/>
      </c>
    </row>
    <row r="366">
      <c r="A366" s="12" t="n"/>
      <c r="B366" s="12" t="n"/>
      <c r="C366" s="12" t="n"/>
      <c r="D366" s="12" t="n"/>
      <c r="E366" s="12" t="n"/>
      <c r="F366" s="12" t="n"/>
      <c r="G366" s="24">
        <f>IF($A366="","",IF($B366="","EKSİK","TAM"))</f>
        <v/>
      </c>
    </row>
    <row r="367">
      <c r="A367" s="12" t="n"/>
      <c r="B367" s="12" t="n"/>
      <c r="C367" s="12" t="n"/>
      <c r="D367" s="12" t="n"/>
      <c r="E367" s="12" t="n"/>
      <c r="F367" s="12" t="n"/>
      <c r="G367" s="24">
        <f>IF($A367="","",IF($B367="","EKSİK","TAM"))</f>
        <v/>
      </c>
    </row>
    <row r="368">
      <c r="A368" s="12" t="n"/>
      <c r="B368" s="12" t="n"/>
      <c r="C368" s="12" t="n"/>
      <c r="D368" s="12" t="n"/>
      <c r="E368" s="12" t="n"/>
      <c r="F368" s="12" t="n"/>
      <c r="G368" s="24">
        <f>IF($A368="","",IF($B368="","EKSİK","TAM"))</f>
        <v/>
      </c>
    </row>
    <row r="369">
      <c r="A369" s="12" t="n"/>
      <c r="B369" s="12" t="n"/>
      <c r="C369" s="12" t="n"/>
      <c r="D369" s="12" t="n"/>
      <c r="E369" s="12" t="n"/>
      <c r="F369" s="12" t="n"/>
      <c r="G369" s="24">
        <f>IF($A369="","",IF($B369="","EKSİK","TAM"))</f>
        <v/>
      </c>
    </row>
    <row r="370">
      <c r="A370" s="12" t="n"/>
      <c r="B370" s="12" t="n"/>
      <c r="C370" s="12" t="n"/>
      <c r="D370" s="12" t="n"/>
      <c r="E370" s="12" t="n"/>
      <c r="F370" s="12" t="n"/>
      <c r="G370" s="24">
        <f>IF($A370="","",IF($B370="","EKSİK","TAM"))</f>
        <v/>
      </c>
    </row>
    <row r="371">
      <c r="A371" s="12" t="n"/>
      <c r="B371" s="12" t="n"/>
      <c r="C371" s="12" t="n"/>
      <c r="D371" s="12" t="n"/>
      <c r="E371" s="12" t="n"/>
      <c r="F371" s="12" t="n"/>
      <c r="G371" s="24">
        <f>IF($A371="","",IF($B371="","EKSİK","TAM"))</f>
        <v/>
      </c>
    </row>
    <row r="372">
      <c r="A372" s="12" t="n"/>
      <c r="B372" s="12" t="n"/>
      <c r="C372" s="12" t="n"/>
      <c r="D372" s="12" t="n"/>
      <c r="E372" s="12" t="n"/>
      <c r="F372" s="12" t="n"/>
      <c r="G372" s="24">
        <f>IF($A372="","",IF($B372="","EKSİK","TAM"))</f>
        <v/>
      </c>
    </row>
    <row r="373">
      <c r="A373" s="12" t="n"/>
      <c r="B373" s="12" t="n"/>
      <c r="C373" s="12" t="n"/>
      <c r="D373" s="12" t="n"/>
      <c r="E373" s="12" t="n"/>
      <c r="F373" s="12" t="n"/>
      <c r="G373" s="24">
        <f>IF($A373="","",IF($B373="","EKSİK","TAM"))</f>
        <v/>
      </c>
    </row>
    <row r="374">
      <c r="A374" s="12" t="n"/>
      <c r="B374" s="12" t="n"/>
      <c r="C374" s="12" t="n"/>
      <c r="D374" s="12" t="n"/>
      <c r="E374" s="12" t="n"/>
      <c r="F374" s="12" t="n"/>
      <c r="G374" s="24">
        <f>IF($A374="","",IF($B374="","EKSİK","TAM"))</f>
        <v/>
      </c>
    </row>
    <row r="375">
      <c r="A375" s="12" t="n"/>
      <c r="B375" s="12" t="n"/>
      <c r="C375" s="12" t="n"/>
      <c r="D375" s="12" t="n"/>
      <c r="E375" s="12" t="n"/>
      <c r="F375" s="12" t="n"/>
      <c r="G375" s="24">
        <f>IF($A375="","",IF($B375="","EKSİK","TAM"))</f>
        <v/>
      </c>
    </row>
    <row r="376">
      <c r="A376" s="12" t="n"/>
      <c r="B376" s="12" t="n"/>
      <c r="C376" s="12" t="n"/>
      <c r="D376" s="12" t="n"/>
      <c r="E376" s="12" t="n"/>
      <c r="F376" s="12" t="n"/>
      <c r="G376" s="24">
        <f>IF($A376="","",IF($B376="","EKSİK","TAM"))</f>
        <v/>
      </c>
    </row>
    <row r="377">
      <c r="A377" s="12" t="n"/>
      <c r="B377" s="12" t="n"/>
      <c r="C377" s="12" t="n"/>
      <c r="D377" s="12" t="n"/>
      <c r="E377" s="12" t="n"/>
      <c r="F377" s="12" t="n"/>
      <c r="G377" s="24">
        <f>IF($A377="","",IF($B377="","EKSİK","TAM"))</f>
        <v/>
      </c>
    </row>
    <row r="378">
      <c r="A378" s="12" t="n"/>
      <c r="B378" s="12" t="n"/>
      <c r="C378" s="12" t="n"/>
      <c r="D378" s="12" t="n"/>
      <c r="E378" s="12" t="n"/>
      <c r="F378" s="12" t="n"/>
      <c r="G378" s="24">
        <f>IF($A378="","",IF($B378="","EKSİK","TAM"))</f>
        <v/>
      </c>
    </row>
    <row r="379">
      <c r="A379" s="12" t="n"/>
      <c r="B379" s="12" t="n"/>
      <c r="C379" s="12" t="n"/>
      <c r="D379" s="12" t="n"/>
      <c r="E379" s="12" t="n"/>
      <c r="F379" s="12" t="n"/>
      <c r="G379" s="24">
        <f>IF($A379="","",IF($B379="","EKSİK","TAM"))</f>
        <v/>
      </c>
    </row>
    <row r="380">
      <c r="A380" s="12" t="n"/>
      <c r="B380" s="12" t="n"/>
      <c r="C380" s="12" t="n"/>
      <c r="D380" s="12" t="n"/>
      <c r="E380" s="12" t="n"/>
      <c r="F380" s="12" t="n"/>
      <c r="G380" s="24">
        <f>IF($A380="","",IF($B380="","EKSİK","TAM"))</f>
        <v/>
      </c>
    </row>
    <row r="381">
      <c r="A381" s="12" t="n"/>
      <c r="B381" s="12" t="n"/>
      <c r="C381" s="12" t="n"/>
      <c r="D381" s="12" t="n"/>
      <c r="E381" s="12" t="n"/>
      <c r="F381" s="12" t="n"/>
      <c r="G381" s="24">
        <f>IF($A381="","",IF($B381="","EKSİK","TAM"))</f>
        <v/>
      </c>
    </row>
    <row r="382">
      <c r="A382" s="12" t="n"/>
      <c r="B382" s="12" t="n"/>
      <c r="C382" s="12" t="n"/>
      <c r="D382" s="12" t="n"/>
      <c r="E382" s="12" t="n"/>
      <c r="F382" s="12" t="n"/>
      <c r="G382" s="24">
        <f>IF($A382="","",IF($B382="","EKSİK","TAM"))</f>
        <v/>
      </c>
    </row>
    <row r="383">
      <c r="A383" s="12" t="n"/>
      <c r="B383" s="12" t="n"/>
      <c r="C383" s="12" t="n"/>
      <c r="D383" s="12" t="n"/>
      <c r="E383" s="12" t="n"/>
      <c r="F383" s="12" t="n"/>
      <c r="G383" s="24">
        <f>IF($A383="","",IF($B383="","EKSİK","TAM"))</f>
        <v/>
      </c>
    </row>
    <row r="384">
      <c r="A384" s="12" t="n"/>
      <c r="B384" s="12" t="n"/>
      <c r="C384" s="12" t="n"/>
      <c r="D384" s="12" t="n"/>
      <c r="E384" s="12" t="n"/>
      <c r="F384" s="12" t="n"/>
      <c r="G384" s="24">
        <f>IF($A384="","",IF($B384="","EKSİK","TAM"))</f>
        <v/>
      </c>
    </row>
    <row r="385">
      <c r="A385" s="12" t="n"/>
      <c r="B385" s="12" t="n"/>
      <c r="C385" s="12" t="n"/>
      <c r="D385" s="12" t="n"/>
      <c r="E385" s="12" t="n"/>
      <c r="F385" s="12" t="n"/>
      <c r="G385" s="24">
        <f>IF($A385="","",IF($B385="","EKSİK","TAM"))</f>
        <v/>
      </c>
    </row>
    <row r="386">
      <c r="A386" s="12" t="n"/>
      <c r="B386" s="12" t="n"/>
      <c r="C386" s="12" t="n"/>
      <c r="D386" s="12" t="n"/>
      <c r="E386" s="12" t="n"/>
      <c r="F386" s="12" t="n"/>
      <c r="G386" s="24">
        <f>IF($A386="","",IF($B386="","EKSİK","TAM"))</f>
        <v/>
      </c>
    </row>
    <row r="387">
      <c r="A387" s="12" t="n"/>
      <c r="B387" s="12" t="n"/>
      <c r="C387" s="12" t="n"/>
      <c r="D387" s="12" t="n"/>
      <c r="E387" s="12" t="n"/>
      <c r="F387" s="12" t="n"/>
      <c r="G387" s="24">
        <f>IF($A387="","",IF($B387="","EKSİK","TAM"))</f>
        <v/>
      </c>
    </row>
    <row r="388">
      <c r="A388" s="12" t="n"/>
      <c r="B388" s="12" t="n"/>
      <c r="C388" s="12" t="n"/>
      <c r="D388" s="12" t="n"/>
      <c r="E388" s="12" t="n"/>
      <c r="F388" s="12" t="n"/>
      <c r="G388" s="24">
        <f>IF($A388="","",IF($B388="","EKSİK","TAM"))</f>
        <v/>
      </c>
    </row>
    <row r="389">
      <c r="A389" s="12" t="n"/>
      <c r="B389" s="12" t="n"/>
      <c r="C389" s="12" t="n"/>
      <c r="D389" s="12" t="n"/>
      <c r="E389" s="12" t="n"/>
      <c r="F389" s="12" t="n"/>
      <c r="G389" s="24">
        <f>IF($A389="","",IF($B389="","EKSİK","TAM"))</f>
        <v/>
      </c>
    </row>
    <row r="390">
      <c r="A390" s="12" t="n"/>
      <c r="B390" s="12" t="n"/>
      <c r="C390" s="12" t="n"/>
      <c r="D390" s="12" t="n"/>
      <c r="E390" s="12" t="n"/>
      <c r="F390" s="12" t="n"/>
      <c r="G390" s="24">
        <f>IF($A390="","",IF($B390="","EKSİK","TAM"))</f>
        <v/>
      </c>
    </row>
    <row r="391">
      <c r="A391" s="12" t="n"/>
      <c r="B391" s="12" t="n"/>
      <c r="C391" s="12" t="n"/>
      <c r="D391" s="12" t="n"/>
      <c r="E391" s="12" t="n"/>
      <c r="F391" s="12" t="n"/>
      <c r="G391" s="24">
        <f>IF($A391="","",IF($B391="","EKSİK","TAM"))</f>
        <v/>
      </c>
    </row>
    <row r="392">
      <c r="A392" s="12" t="n"/>
      <c r="B392" s="12" t="n"/>
      <c r="C392" s="12" t="n"/>
      <c r="D392" s="12" t="n"/>
      <c r="E392" s="12" t="n"/>
      <c r="F392" s="12" t="n"/>
      <c r="G392" s="24">
        <f>IF($A392="","",IF($B392="","EKSİK","TAM"))</f>
        <v/>
      </c>
    </row>
    <row r="393">
      <c r="A393" s="12" t="n"/>
      <c r="B393" s="12" t="n"/>
      <c r="C393" s="12" t="n"/>
      <c r="D393" s="12" t="n"/>
      <c r="E393" s="12" t="n"/>
      <c r="F393" s="12" t="n"/>
      <c r="G393" s="24">
        <f>IF($A393="","",IF($B393="","EKSİK","TAM"))</f>
        <v/>
      </c>
    </row>
    <row r="394">
      <c r="A394" s="12" t="n"/>
      <c r="B394" s="12" t="n"/>
      <c r="C394" s="12" t="n"/>
      <c r="D394" s="12" t="n"/>
      <c r="E394" s="12" t="n"/>
      <c r="F394" s="12" t="n"/>
      <c r="G394" s="24">
        <f>IF($A394="","",IF($B394="","EKSİK","TAM"))</f>
        <v/>
      </c>
    </row>
    <row r="395">
      <c r="A395" s="12" t="n"/>
      <c r="B395" s="12" t="n"/>
      <c r="C395" s="12" t="n"/>
      <c r="D395" s="12" t="n"/>
      <c r="E395" s="12" t="n"/>
      <c r="F395" s="12" t="n"/>
      <c r="G395" s="24">
        <f>IF($A395="","",IF($B395="","EKSİK","TAM"))</f>
        <v/>
      </c>
    </row>
    <row r="396">
      <c r="A396" s="12" t="n"/>
      <c r="B396" s="12" t="n"/>
      <c r="C396" s="12" t="n"/>
      <c r="D396" s="12" t="n"/>
      <c r="E396" s="12" t="n"/>
      <c r="F396" s="12" t="n"/>
      <c r="G396" s="24">
        <f>IF($A396="","",IF($B396="","EKSİK","TAM"))</f>
        <v/>
      </c>
    </row>
    <row r="397">
      <c r="A397" s="12" t="n"/>
      <c r="B397" s="12" t="n"/>
      <c r="C397" s="12" t="n"/>
      <c r="D397" s="12" t="n"/>
      <c r="E397" s="12" t="n"/>
      <c r="F397" s="12" t="n"/>
      <c r="G397" s="24">
        <f>IF($A397="","",IF($B397="","EKSİK","TAM"))</f>
        <v/>
      </c>
    </row>
    <row r="398">
      <c r="A398" s="12" t="n"/>
      <c r="B398" s="12" t="n"/>
      <c r="C398" s="12" t="n"/>
      <c r="D398" s="12" t="n"/>
      <c r="E398" s="12" t="n"/>
      <c r="F398" s="12" t="n"/>
      <c r="G398" s="24">
        <f>IF($A398="","",IF($B398="","EKSİK","TAM"))</f>
        <v/>
      </c>
    </row>
    <row r="399">
      <c r="A399" s="12" t="n"/>
      <c r="B399" s="12" t="n"/>
      <c r="C399" s="12" t="n"/>
      <c r="D399" s="12" t="n"/>
      <c r="E399" s="12" t="n"/>
      <c r="F399" s="12" t="n"/>
      <c r="G399" s="24">
        <f>IF($A399="","",IF($B399="","EKSİK","TAM"))</f>
        <v/>
      </c>
    </row>
    <row r="400">
      <c r="A400" s="12" t="n"/>
      <c r="B400" s="12" t="n"/>
      <c r="C400" s="12" t="n"/>
      <c r="D400" s="12" t="n"/>
      <c r="E400" s="12" t="n"/>
      <c r="F400" s="12" t="n"/>
      <c r="G400" s="24">
        <f>IF($A400="","",IF($B400="","EKSİK","TAM"))</f>
        <v/>
      </c>
    </row>
    <row r="401">
      <c r="A401" s="12" t="n"/>
      <c r="B401" s="12" t="n"/>
      <c r="C401" s="12" t="n"/>
      <c r="D401" s="12" t="n"/>
      <c r="E401" s="12" t="n"/>
      <c r="F401" s="12" t="n"/>
      <c r="G401" s="24">
        <f>IF($A401="","",IF($B401="","EKSİK","TAM"))</f>
        <v/>
      </c>
    </row>
    <row r="402">
      <c r="A402" s="12" t="n"/>
      <c r="B402" s="12" t="n"/>
      <c r="C402" s="12" t="n"/>
      <c r="D402" s="12" t="n"/>
      <c r="E402" s="12" t="n"/>
      <c r="F402" s="12" t="n"/>
      <c r="G402" s="24">
        <f>IF($A402="","",IF($B402="","EKSİK","TAM"))</f>
        <v/>
      </c>
    </row>
    <row r="403">
      <c r="A403" s="12" t="n"/>
      <c r="B403" s="12" t="n"/>
      <c r="C403" s="12" t="n"/>
      <c r="D403" s="12" t="n"/>
      <c r="E403" s="12" t="n"/>
      <c r="F403" s="12" t="n"/>
      <c r="G403" s="24">
        <f>IF($A403="","",IF($B403="","EKSİK","TAM"))</f>
        <v/>
      </c>
    </row>
    <row r="404">
      <c r="A404" s="12" t="n"/>
      <c r="B404" s="12" t="n"/>
      <c r="C404" s="12" t="n"/>
      <c r="D404" s="12" t="n"/>
      <c r="E404" s="12" t="n"/>
      <c r="F404" s="12" t="n"/>
      <c r="G404" s="24">
        <f>IF($A404="","",IF($B404="","EKSİK","TAM"))</f>
        <v/>
      </c>
    </row>
    <row r="405">
      <c r="A405" s="12" t="n"/>
      <c r="B405" s="12" t="n"/>
      <c r="C405" s="12" t="n"/>
      <c r="D405" s="12" t="n"/>
      <c r="E405" s="12" t="n"/>
      <c r="F405" s="12" t="n"/>
      <c r="G405" s="24">
        <f>IF($A405="","",IF($B405="","EKSİK","TAM"))</f>
        <v/>
      </c>
    </row>
    <row r="406">
      <c r="A406" s="12" t="n"/>
      <c r="B406" s="12" t="n"/>
      <c r="C406" s="12" t="n"/>
      <c r="D406" s="12" t="n"/>
      <c r="E406" s="12" t="n"/>
      <c r="F406" s="12" t="n"/>
      <c r="G406" s="24">
        <f>IF($A406="","",IF($B406="","EKSİK","TAM"))</f>
        <v/>
      </c>
    </row>
    <row r="407">
      <c r="A407" s="12" t="n"/>
      <c r="B407" s="12" t="n"/>
      <c r="C407" s="12" t="n"/>
      <c r="D407" s="12" t="n"/>
      <c r="E407" s="12" t="n"/>
      <c r="F407" s="12" t="n"/>
      <c r="G407" s="24">
        <f>IF($A407="","",IF($B407="","EKSİK","TAM"))</f>
        <v/>
      </c>
    </row>
    <row r="408">
      <c r="A408" s="12" t="n"/>
      <c r="B408" s="12" t="n"/>
      <c r="C408" s="12" t="n"/>
      <c r="D408" s="12" t="n"/>
      <c r="E408" s="12" t="n"/>
      <c r="F408" s="12" t="n"/>
      <c r="G408" s="24">
        <f>IF($A408="","",IF($B408="","EKSİK","TAM"))</f>
        <v/>
      </c>
    </row>
    <row r="409">
      <c r="A409" s="12" t="n"/>
      <c r="B409" s="12" t="n"/>
      <c r="C409" s="12" t="n"/>
      <c r="D409" s="12" t="n"/>
      <c r="E409" s="12" t="n"/>
      <c r="F409" s="12" t="n"/>
      <c r="G409" s="24">
        <f>IF($A409="","",IF($B409="","EKSİK","TAM"))</f>
        <v/>
      </c>
    </row>
    <row r="410">
      <c r="A410" s="12" t="n"/>
      <c r="B410" s="12" t="n"/>
      <c r="C410" s="12" t="n"/>
      <c r="D410" s="12" t="n"/>
      <c r="E410" s="12" t="n"/>
      <c r="F410" s="12" t="n"/>
      <c r="G410" s="24">
        <f>IF($A410="","",IF($B410="","EKSİK","TAM"))</f>
        <v/>
      </c>
    </row>
    <row r="411">
      <c r="A411" s="12" t="n"/>
      <c r="B411" s="12" t="n"/>
      <c r="C411" s="12" t="n"/>
      <c r="D411" s="12" t="n"/>
      <c r="E411" s="12" t="n"/>
      <c r="F411" s="12" t="n"/>
      <c r="G411" s="24">
        <f>IF($A411="","",IF($B411="","EKSİK","TAM"))</f>
        <v/>
      </c>
    </row>
    <row r="412">
      <c r="A412" s="12" t="n"/>
      <c r="B412" s="12" t="n"/>
      <c r="C412" s="12" t="n"/>
      <c r="D412" s="12" t="n"/>
      <c r="E412" s="12" t="n"/>
      <c r="F412" s="12" t="n"/>
      <c r="G412" s="24">
        <f>IF($A412="","",IF($B412="","EKSİK","TAM"))</f>
        <v/>
      </c>
    </row>
    <row r="413">
      <c r="A413" s="12" t="n"/>
      <c r="B413" s="12" t="n"/>
      <c r="C413" s="12" t="n"/>
      <c r="D413" s="12" t="n"/>
      <c r="E413" s="12" t="n"/>
      <c r="F413" s="12" t="n"/>
      <c r="G413" s="24">
        <f>IF($A413="","",IF($B413="","EKSİK","TAM"))</f>
        <v/>
      </c>
    </row>
    <row r="414">
      <c r="A414" s="12" t="n"/>
      <c r="B414" s="12" t="n"/>
      <c r="C414" s="12" t="n"/>
      <c r="D414" s="12" t="n"/>
      <c r="E414" s="12" t="n"/>
      <c r="F414" s="12" t="n"/>
      <c r="G414" s="24">
        <f>IF($A414="","",IF($B414="","EKSİK","TAM"))</f>
        <v/>
      </c>
    </row>
    <row r="415">
      <c r="A415" s="12" t="n"/>
      <c r="B415" s="12" t="n"/>
      <c r="C415" s="12" t="n"/>
      <c r="D415" s="12" t="n"/>
      <c r="E415" s="12" t="n"/>
      <c r="F415" s="12" t="n"/>
      <c r="G415" s="24">
        <f>IF($A415="","",IF($B415="","EKSİK","TAM"))</f>
        <v/>
      </c>
    </row>
    <row r="416">
      <c r="A416" s="12" t="n"/>
      <c r="B416" s="12" t="n"/>
      <c r="C416" s="12" t="n"/>
      <c r="D416" s="12" t="n"/>
      <c r="E416" s="12" t="n"/>
      <c r="F416" s="12" t="n"/>
      <c r="G416" s="24">
        <f>IF($A416="","",IF($B416="","EKSİK","TAM"))</f>
        <v/>
      </c>
    </row>
    <row r="417">
      <c r="A417" s="12" t="n"/>
      <c r="B417" s="12" t="n"/>
      <c r="C417" s="12" t="n"/>
      <c r="D417" s="12" t="n"/>
      <c r="E417" s="12" t="n"/>
      <c r="F417" s="12" t="n"/>
      <c r="G417" s="24">
        <f>IF($A417="","",IF($B417="","EKSİK","TAM"))</f>
        <v/>
      </c>
    </row>
    <row r="418">
      <c r="A418" s="12" t="n"/>
      <c r="B418" s="12" t="n"/>
      <c r="C418" s="12" t="n"/>
      <c r="D418" s="12" t="n"/>
      <c r="E418" s="12" t="n"/>
      <c r="F418" s="12" t="n"/>
      <c r="G418" s="24">
        <f>IF($A418="","",IF($B418="","EKSİK","TAM"))</f>
        <v/>
      </c>
    </row>
    <row r="419">
      <c r="A419" s="12" t="n"/>
      <c r="B419" s="12" t="n"/>
      <c r="C419" s="12" t="n"/>
      <c r="D419" s="12" t="n"/>
      <c r="E419" s="12" t="n"/>
      <c r="F419" s="12" t="n"/>
      <c r="G419" s="24">
        <f>IF($A419="","",IF($B419="","EKSİK","TAM"))</f>
        <v/>
      </c>
    </row>
    <row r="420">
      <c r="A420" s="12" t="n"/>
      <c r="B420" s="12" t="n"/>
      <c r="C420" s="12" t="n"/>
      <c r="D420" s="12" t="n"/>
      <c r="E420" s="12" t="n"/>
      <c r="F420" s="12" t="n"/>
      <c r="G420" s="24">
        <f>IF($A420="","",IF($B420="","EKSİK","TAM"))</f>
        <v/>
      </c>
    </row>
    <row r="421">
      <c r="A421" s="12" t="n"/>
      <c r="B421" s="12" t="n"/>
      <c r="C421" s="12" t="n"/>
      <c r="D421" s="12" t="n"/>
      <c r="E421" s="12" t="n"/>
      <c r="F421" s="12" t="n"/>
      <c r="G421" s="24">
        <f>IF($A421="","",IF($B421="","EKSİK","TAM"))</f>
        <v/>
      </c>
    </row>
    <row r="422">
      <c r="A422" s="12" t="n"/>
      <c r="B422" s="12" t="n"/>
      <c r="C422" s="12" t="n"/>
      <c r="D422" s="12" t="n"/>
      <c r="E422" s="12" t="n"/>
      <c r="F422" s="12" t="n"/>
      <c r="G422" s="24">
        <f>IF($A422="","",IF($B422="","EKSİK","TAM"))</f>
        <v/>
      </c>
    </row>
    <row r="423">
      <c r="A423" s="12" t="n"/>
      <c r="B423" s="12" t="n"/>
      <c r="C423" s="12" t="n"/>
      <c r="D423" s="12" t="n"/>
      <c r="E423" s="12" t="n"/>
      <c r="F423" s="12" t="n"/>
      <c r="G423" s="24">
        <f>IF($A423="","",IF($B423="","EKSİK","TAM"))</f>
        <v/>
      </c>
    </row>
    <row r="424">
      <c r="A424" s="12" t="n"/>
      <c r="B424" s="12" t="n"/>
      <c r="C424" s="12" t="n"/>
      <c r="D424" s="12" t="n"/>
      <c r="E424" s="12" t="n"/>
      <c r="F424" s="12" t="n"/>
      <c r="G424" s="24">
        <f>IF($A424="","",IF($B424="","EKSİK","TAM"))</f>
        <v/>
      </c>
    </row>
    <row r="425">
      <c r="A425" s="12" t="n"/>
      <c r="B425" s="12" t="n"/>
      <c r="C425" s="12" t="n"/>
      <c r="D425" s="12" t="n"/>
      <c r="E425" s="12" t="n"/>
      <c r="F425" s="12" t="n"/>
      <c r="G425" s="24">
        <f>IF($A425="","",IF($B425="","EKSİK","TAM"))</f>
        <v/>
      </c>
    </row>
    <row r="426">
      <c r="A426" s="12" t="n"/>
      <c r="B426" s="12" t="n"/>
      <c r="C426" s="12" t="n"/>
      <c r="D426" s="12" t="n"/>
      <c r="E426" s="12" t="n"/>
      <c r="F426" s="12" t="n"/>
      <c r="G426" s="24">
        <f>IF($A426="","",IF($B426="","EKSİK","TAM"))</f>
        <v/>
      </c>
    </row>
    <row r="427">
      <c r="A427" s="12" t="n"/>
      <c r="B427" s="12" t="n"/>
      <c r="C427" s="12" t="n"/>
      <c r="D427" s="12" t="n"/>
      <c r="E427" s="12" t="n"/>
      <c r="F427" s="12" t="n"/>
      <c r="G427" s="24">
        <f>IF($A427="","",IF($B427="","EKSİK","TAM"))</f>
        <v/>
      </c>
    </row>
    <row r="428">
      <c r="A428" s="12" t="n"/>
      <c r="B428" s="12" t="n"/>
      <c r="C428" s="12" t="n"/>
      <c r="D428" s="12" t="n"/>
      <c r="E428" s="12" t="n"/>
      <c r="F428" s="12" t="n"/>
      <c r="G428" s="24">
        <f>IF($A428="","",IF($B428="","EKSİK","TAM"))</f>
        <v/>
      </c>
    </row>
    <row r="429">
      <c r="A429" s="12" t="n"/>
      <c r="B429" s="12" t="n"/>
      <c r="C429" s="12" t="n"/>
      <c r="D429" s="12" t="n"/>
      <c r="E429" s="12" t="n"/>
      <c r="F429" s="12" t="n"/>
      <c r="G429" s="24">
        <f>IF($A429="","",IF($B429="","EKSİK","TAM"))</f>
        <v/>
      </c>
    </row>
    <row r="430">
      <c r="A430" s="12" t="n"/>
      <c r="B430" s="12" t="n"/>
      <c r="C430" s="12" t="n"/>
      <c r="D430" s="12" t="n"/>
      <c r="E430" s="12" t="n"/>
      <c r="F430" s="12" t="n"/>
      <c r="G430" s="24">
        <f>IF($A430="","",IF($B430="","EKSİK","TAM"))</f>
        <v/>
      </c>
    </row>
    <row r="431">
      <c r="A431" s="12" t="n"/>
      <c r="B431" s="12" t="n"/>
      <c r="C431" s="12" t="n"/>
      <c r="D431" s="12" t="n"/>
      <c r="E431" s="12" t="n"/>
      <c r="F431" s="12" t="n"/>
      <c r="G431" s="24">
        <f>IF($A431="","",IF($B431="","EKSİK","TAM"))</f>
        <v/>
      </c>
    </row>
    <row r="432">
      <c r="A432" s="12" t="n"/>
      <c r="B432" s="12" t="n"/>
      <c r="C432" s="12" t="n"/>
      <c r="D432" s="12" t="n"/>
      <c r="E432" s="12" t="n"/>
      <c r="F432" s="12" t="n"/>
      <c r="G432" s="24">
        <f>IF($A432="","",IF($B432="","EKSİK","TAM"))</f>
        <v/>
      </c>
    </row>
    <row r="433">
      <c r="A433" s="12" t="n"/>
      <c r="B433" s="12" t="n"/>
      <c r="C433" s="12" t="n"/>
      <c r="D433" s="12" t="n"/>
      <c r="E433" s="12" t="n"/>
      <c r="F433" s="12" t="n"/>
      <c r="G433" s="24">
        <f>IF($A433="","",IF($B433="","EKSİK","TAM"))</f>
        <v/>
      </c>
    </row>
    <row r="434">
      <c r="A434" s="12" t="n"/>
      <c r="B434" s="12" t="n"/>
      <c r="C434" s="12" t="n"/>
      <c r="D434" s="12" t="n"/>
      <c r="E434" s="12" t="n"/>
      <c r="F434" s="12" t="n"/>
      <c r="G434" s="24">
        <f>IF($A434="","",IF($B434="","EKSİK","TAM"))</f>
        <v/>
      </c>
    </row>
    <row r="435">
      <c r="A435" s="12" t="n"/>
      <c r="B435" s="12" t="n"/>
      <c r="C435" s="12" t="n"/>
      <c r="D435" s="12" t="n"/>
      <c r="E435" s="12" t="n"/>
      <c r="F435" s="12" t="n"/>
      <c r="G435" s="24">
        <f>IF($A435="","",IF($B435="","EKSİK","TAM"))</f>
        <v/>
      </c>
    </row>
    <row r="436">
      <c r="A436" s="12" t="n"/>
      <c r="B436" s="12" t="n"/>
      <c r="C436" s="12" t="n"/>
      <c r="D436" s="12" t="n"/>
      <c r="E436" s="12" t="n"/>
      <c r="F436" s="12" t="n"/>
      <c r="G436" s="24">
        <f>IF($A436="","",IF($B436="","EKSİK","TAM"))</f>
        <v/>
      </c>
    </row>
    <row r="437">
      <c r="A437" s="12" t="n"/>
      <c r="B437" s="12" t="n"/>
      <c r="C437" s="12" t="n"/>
      <c r="D437" s="12" t="n"/>
      <c r="E437" s="12" t="n"/>
      <c r="F437" s="12" t="n"/>
      <c r="G437" s="24">
        <f>IF($A437="","",IF($B437="","EKSİK","TAM"))</f>
        <v/>
      </c>
    </row>
    <row r="438">
      <c r="A438" s="12" t="n"/>
      <c r="B438" s="12" t="n"/>
      <c r="C438" s="12" t="n"/>
      <c r="D438" s="12" t="n"/>
      <c r="E438" s="12" t="n"/>
      <c r="F438" s="12" t="n"/>
      <c r="G438" s="24">
        <f>IF($A438="","",IF($B438="","EKSİK","TAM"))</f>
        <v/>
      </c>
    </row>
    <row r="439">
      <c r="A439" s="12" t="n"/>
      <c r="B439" s="12" t="n"/>
      <c r="C439" s="12" t="n"/>
      <c r="D439" s="12" t="n"/>
      <c r="E439" s="12" t="n"/>
      <c r="F439" s="12" t="n"/>
      <c r="G439" s="24">
        <f>IF($A439="","",IF($B439="","EKSİK","TAM"))</f>
        <v/>
      </c>
    </row>
    <row r="440">
      <c r="A440" s="12" t="n"/>
      <c r="B440" s="12" t="n"/>
      <c r="C440" s="12" t="n"/>
      <c r="D440" s="12" t="n"/>
      <c r="E440" s="12" t="n"/>
      <c r="F440" s="12" t="n"/>
      <c r="G440" s="24">
        <f>IF($A440="","",IF($B440="","EKSİK","TAM"))</f>
        <v/>
      </c>
    </row>
    <row r="441">
      <c r="A441" s="12" t="n"/>
      <c r="B441" s="12" t="n"/>
      <c r="C441" s="12" t="n"/>
      <c r="D441" s="12" t="n"/>
      <c r="E441" s="12" t="n"/>
      <c r="F441" s="12" t="n"/>
      <c r="G441" s="24">
        <f>IF($A441="","",IF($B441="","EKSİK","TAM"))</f>
        <v/>
      </c>
    </row>
    <row r="442">
      <c r="A442" s="12" t="n"/>
      <c r="B442" s="12" t="n"/>
      <c r="C442" s="12" t="n"/>
      <c r="D442" s="12" t="n"/>
      <c r="E442" s="12" t="n"/>
      <c r="F442" s="12" t="n"/>
      <c r="G442" s="24">
        <f>IF($A442="","",IF($B442="","EKSİK","TAM"))</f>
        <v/>
      </c>
    </row>
    <row r="443">
      <c r="A443" s="12" t="n"/>
      <c r="B443" s="12" t="n"/>
      <c r="C443" s="12" t="n"/>
      <c r="D443" s="12" t="n"/>
      <c r="E443" s="12" t="n"/>
      <c r="F443" s="12" t="n"/>
      <c r="G443" s="24">
        <f>IF($A443="","",IF($B443="","EKSİK","TAM"))</f>
        <v/>
      </c>
    </row>
    <row r="444">
      <c r="A444" s="12" t="n"/>
      <c r="B444" s="12" t="n"/>
      <c r="C444" s="12" t="n"/>
      <c r="D444" s="12" t="n"/>
      <c r="E444" s="12" t="n"/>
      <c r="F444" s="12" t="n"/>
      <c r="G444" s="24">
        <f>IF($A444="","",IF($B444="","EKSİK","TAM"))</f>
        <v/>
      </c>
    </row>
    <row r="445">
      <c r="A445" s="12" t="n"/>
      <c r="B445" s="12" t="n"/>
      <c r="C445" s="12" t="n"/>
      <c r="D445" s="12" t="n"/>
      <c r="E445" s="12" t="n"/>
      <c r="F445" s="12" t="n"/>
      <c r="G445" s="24">
        <f>IF($A445="","",IF($B445="","EKSİK","TAM"))</f>
        <v/>
      </c>
    </row>
    <row r="446">
      <c r="A446" s="12" t="n"/>
      <c r="B446" s="12" t="n"/>
      <c r="C446" s="12" t="n"/>
      <c r="D446" s="12" t="n"/>
      <c r="E446" s="12" t="n"/>
      <c r="F446" s="12" t="n"/>
      <c r="G446" s="24">
        <f>IF($A446="","",IF($B446="","EKSİK","TAM"))</f>
        <v/>
      </c>
    </row>
    <row r="447">
      <c r="A447" s="12" t="n"/>
      <c r="B447" s="12" t="n"/>
      <c r="C447" s="12" t="n"/>
      <c r="D447" s="12" t="n"/>
      <c r="E447" s="12" t="n"/>
      <c r="F447" s="12" t="n"/>
      <c r="G447" s="24">
        <f>IF($A447="","",IF($B447="","EKSİK","TAM"))</f>
        <v/>
      </c>
    </row>
    <row r="448">
      <c r="A448" s="12" t="n"/>
      <c r="B448" s="12" t="n"/>
      <c r="C448" s="12" t="n"/>
      <c r="D448" s="12" t="n"/>
      <c r="E448" s="12" t="n"/>
      <c r="F448" s="12" t="n"/>
      <c r="G448" s="24">
        <f>IF($A448="","",IF($B448="","EKSİK","TAM"))</f>
        <v/>
      </c>
    </row>
    <row r="449">
      <c r="A449" s="12" t="n"/>
      <c r="B449" s="12" t="n"/>
      <c r="C449" s="12" t="n"/>
      <c r="D449" s="12" t="n"/>
      <c r="E449" s="12" t="n"/>
      <c r="F449" s="12" t="n"/>
      <c r="G449" s="24">
        <f>IF($A449="","",IF($B449="","EKSİK","TAM"))</f>
        <v/>
      </c>
    </row>
    <row r="450">
      <c r="A450" s="12" t="n"/>
      <c r="B450" s="12" t="n"/>
      <c r="C450" s="12" t="n"/>
      <c r="D450" s="12" t="n"/>
      <c r="E450" s="12" t="n"/>
      <c r="F450" s="12" t="n"/>
      <c r="G450" s="24">
        <f>IF($A450="","",IF($B450="","EKSİK","TAM"))</f>
        <v/>
      </c>
    </row>
    <row r="451">
      <c r="A451" s="12" t="n"/>
      <c r="B451" s="12" t="n"/>
      <c r="C451" s="12" t="n"/>
      <c r="D451" s="12" t="n"/>
      <c r="E451" s="12" t="n"/>
      <c r="F451" s="12" t="n"/>
      <c r="G451" s="24">
        <f>IF($A451="","",IF($B451="","EKSİK","TAM"))</f>
        <v/>
      </c>
    </row>
    <row r="452">
      <c r="A452" s="12" t="n"/>
      <c r="B452" s="12" t="n"/>
      <c r="C452" s="12" t="n"/>
      <c r="D452" s="12" t="n"/>
      <c r="E452" s="12" t="n"/>
      <c r="F452" s="12" t="n"/>
      <c r="G452" s="24">
        <f>IF($A452="","",IF($B452="","EKSİK","TAM"))</f>
        <v/>
      </c>
    </row>
    <row r="453">
      <c r="A453" s="12" t="n"/>
      <c r="B453" s="12" t="n"/>
      <c r="C453" s="12" t="n"/>
      <c r="D453" s="12" t="n"/>
      <c r="E453" s="12" t="n"/>
      <c r="F453" s="12" t="n"/>
      <c r="G453" s="24">
        <f>IF($A453="","",IF($B453="","EKSİK","TAM"))</f>
        <v/>
      </c>
    </row>
    <row r="454">
      <c r="A454" s="12" t="n"/>
      <c r="B454" s="12" t="n"/>
      <c r="C454" s="12" t="n"/>
      <c r="D454" s="12" t="n"/>
      <c r="E454" s="12" t="n"/>
      <c r="F454" s="12" t="n"/>
      <c r="G454" s="24">
        <f>IF($A454="","",IF($B454="","EKSİK","TAM"))</f>
        <v/>
      </c>
    </row>
    <row r="455">
      <c r="A455" s="12" t="n"/>
      <c r="B455" s="12" t="n"/>
      <c r="C455" s="12" t="n"/>
      <c r="D455" s="12" t="n"/>
      <c r="E455" s="12" t="n"/>
      <c r="F455" s="12" t="n"/>
      <c r="G455" s="24">
        <f>IF($A455="","",IF($B455="","EKSİK","TAM"))</f>
        <v/>
      </c>
    </row>
    <row r="456">
      <c r="A456" s="12" t="n"/>
      <c r="B456" s="12" t="n"/>
      <c r="C456" s="12" t="n"/>
      <c r="D456" s="12" t="n"/>
      <c r="E456" s="12" t="n"/>
      <c r="F456" s="12" t="n"/>
      <c r="G456" s="24">
        <f>IF($A456="","",IF($B456="","EKSİK","TAM"))</f>
        <v/>
      </c>
    </row>
    <row r="457">
      <c r="A457" s="12" t="n"/>
      <c r="B457" s="12" t="n"/>
      <c r="C457" s="12" t="n"/>
      <c r="D457" s="12" t="n"/>
      <c r="E457" s="12" t="n"/>
      <c r="F457" s="12" t="n"/>
      <c r="G457" s="24">
        <f>IF($A457="","",IF($B457="","EKSİK","TAM"))</f>
        <v/>
      </c>
    </row>
    <row r="458">
      <c r="A458" s="12" t="n"/>
      <c r="B458" s="12" t="n"/>
      <c r="C458" s="12" t="n"/>
      <c r="D458" s="12" t="n"/>
      <c r="E458" s="12" t="n"/>
      <c r="F458" s="12" t="n"/>
      <c r="G458" s="24">
        <f>IF($A458="","",IF($B458="","EKSİK","TAM"))</f>
        <v/>
      </c>
    </row>
    <row r="459">
      <c r="A459" s="12" t="n"/>
      <c r="B459" s="12" t="n"/>
      <c r="C459" s="12" t="n"/>
      <c r="D459" s="12" t="n"/>
      <c r="E459" s="12" t="n"/>
      <c r="F459" s="12" t="n"/>
      <c r="G459" s="24">
        <f>IF($A459="","",IF($B459="","EKSİK","TAM"))</f>
        <v/>
      </c>
    </row>
    <row r="460">
      <c r="A460" s="12" t="n"/>
      <c r="B460" s="12" t="n"/>
      <c r="C460" s="12" t="n"/>
      <c r="D460" s="12" t="n"/>
      <c r="E460" s="12" t="n"/>
      <c r="F460" s="12" t="n"/>
      <c r="G460" s="24">
        <f>IF($A460="","",IF($B460="","EKSİK","TAM"))</f>
        <v/>
      </c>
    </row>
    <row r="461">
      <c r="A461" s="12" t="n"/>
      <c r="B461" s="12" t="n"/>
      <c r="C461" s="12" t="n"/>
      <c r="D461" s="12" t="n"/>
      <c r="E461" s="12" t="n"/>
      <c r="F461" s="12" t="n"/>
      <c r="G461" s="24">
        <f>IF($A461="","",IF($B461="","EKSİK","TAM"))</f>
        <v/>
      </c>
    </row>
    <row r="462">
      <c r="A462" s="12" t="n"/>
      <c r="B462" s="12" t="n"/>
      <c r="C462" s="12" t="n"/>
      <c r="D462" s="12" t="n"/>
      <c r="E462" s="12" t="n"/>
      <c r="F462" s="12" t="n"/>
      <c r="G462" s="24">
        <f>IF($A462="","",IF($B462="","EKSİK","TAM"))</f>
        <v/>
      </c>
    </row>
    <row r="463">
      <c r="A463" s="12" t="n"/>
      <c r="B463" s="12" t="n"/>
      <c r="C463" s="12" t="n"/>
      <c r="D463" s="12" t="n"/>
      <c r="E463" s="12" t="n"/>
      <c r="F463" s="12" t="n"/>
      <c r="G463" s="24">
        <f>IF($A463="","",IF($B463="","EKSİK","TAM"))</f>
        <v/>
      </c>
    </row>
    <row r="464">
      <c r="A464" s="12" t="n"/>
      <c r="B464" s="12" t="n"/>
      <c r="C464" s="12" t="n"/>
      <c r="D464" s="12" t="n"/>
      <c r="E464" s="12" t="n"/>
      <c r="F464" s="12" t="n"/>
      <c r="G464" s="24">
        <f>IF($A464="","",IF($B464="","EKSİK","TAM"))</f>
        <v/>
      </c>
    </row>
    <row r="465">
      <c r="A465" s="12" t="n"/>
      <c r="B465" s="12" t="n"/>
      <c r="C465" s="12" t="n"/>
      <c r="D465" s="12" t="n"/>
      <c r="E465" s="12" t="n"/>
      <c r="F465" s="12" t="n"/>
      <c r="G465" s="24">
        <f>IF($A465="","",IF($B465="","EKSİK","TAM"))</f>
        <v/>
      </c>
    </row>
    <row r="466">
      <c r="A466" s="12" t="n"/>
      <c r="B466" s="12" t="n"/>
      <c r="C466" s="12" t="n"/>
      <c r="D466" s="12" t="n"/>
      <c r="E466" s="12" t="n"/>
      <c r="F466" s="12" t="n"/>
      <c r="G466" s="24">
        <f>IF($A466="","",IF($B466="","EKSİK","TAM"))</f>
        <v/>
      </c>
    </row>
    <row r="467">
      <c r="A467" s="12" t="n"/>
      <c r="B467" s="12" t="n"/>
      <c r="C467" s="12" t="n"/>
      <c r="D467" s="12" t="n"/>
      <c r="E467" s="12" t="n"/>
      <c r="F467" s="12" t="n"/>
      <c r="G467" s="24">
        <f>IF($A467="","",IF($B467="","EKSİK","TAM"))</f>
        <v/>
      </c>
    </row>
    <row r="468">
      <c r="A468" s="12" t="n"/>
      <c r="B468" s="12" t="n"/>
      <c r="C468" s="12" t="n"/>
      <c r="D468" s="12" t="n"/>
      <c r="E468" s="12" t="n"/>
      <c r="F468" s="12" t="n"/>
      <c r="G468" s="24">
        <f>IF($A468="","",IF($B468="","EKSİK","TAM"))</f>
        <v/>
      </c>
    </row>
    <row r="469">
      <c r="A469" s="12" t="n"/>
      <c r="B469" s="12" t="n"/>
      <c r="C469" s="12" t="n"/>
      <c r="D469" s="12" t="n"/>
      <c r="E469" s="12" t="n"/>
      <c r="F469" s="12" t="n"/>
      <c r="G469" s="24">
        <f>IF($A469="","",IF($B469="","EKSİK","TAM"))</f>
        <v/>
      </c>
    </row>
    <row r="470">
      <c r="A470" s="12" t="n"/>
      <c r="B470" s="12" t="n"/>
      <c r="C470" s="12" t="n"/>
      <c r="D470" s="12" t="n"/>
      <c r="E470" s="12" t="n"/>
      <c r="F470" s="12" t="n"/>
      <c r="G470" s="24">
        <f>IF($A470="","",IF($B470="","EKSİK","TAM"))</f>
        <v/>
      </c>
    </row>
    <row r="471">
      <c r="A471" s="12" t="n"/>
      <c r="B471" s="12" t="n"/>
      <c r="C471" s="12" t="n"/>
      <c r="D471" s="12" t="n"/>
      <c r="E471" s="12" t="n"/>
      <c r="F471" s="12" t="n"/>
      <c r="G471" s="24">
        <f>IF($A471="","",IF($B471="","EKSİK","TAM"))</f>
        <v/>
      </c>
    </row>
    <row r="472">
      <c r="A472" s="12" t="n"/>
      <c r="B472" s="12" t="n"/>
      <c r="C472" s="12" t="n"/>
      <c r="D472" s="12" t="n"/>
      <c r="E472" s="12" t="n"/>
      <c r="F472" s="12" t="n"/>
      <c r="G472" s="24">
        <f>IF($A472="","",IF($B472="","EKSİK","TAM"))</f>
        <v/>
      </c>
    </row>
    <row r="473">
      <c r="A473" s="12" t="n"/>
      <c r="B473" s="12" t="n"/>
      <c r="C473" s="12" t="n"/>
      <c r="D473" s="12" t="n"/>
      <c r="E473" s="12" t="n"/>
      <c r="F473" s="12" t="n"/>
      <c r="G473" s="24">
        <f>IF($A473="","",IF($B473="","EKSİK","TAM"))</f>
        <v/>
      </c>
    </row>
    <row r="474">
      <c r="A474" s="12" t="n"/>
      <c r="B474" s="12" t="n"/>
      <c r="C474" s="12" t="n"/>
      <c r="D474" s="12" t="n"/>
      <c r="E474" s="12" t="n"/>
      <c r="F474" s="12" t="n"/>
      <c r="G474" s="24">
        <f>IF($A474="","",IF($B474="","EKSİK","TAM"))</f>
        <v/>
      </c>
    </row>
    <row r="475">
      <c r="A475" s="12" t="n"/>
      <c r="B475" s="12" t="n"/>
      <c r="C475" s="12" t="n"/>
      <c r="D475" s="12" t="n"/>
      <c r="E475" s="12" t="n"/>
      <c r="F475" s="12" t="n"/>
      <c r="G475" s="24">
        <f>IF($A475="","",IF($B475="","EKSİK","TAM"))</f>
        <v/>
      </c>
    </row>
    <row r="476">
      <c r="A476" s="12" t="n"/>
      <c r="B476" s="12" t="n"/>
      <c r="C476" s="12" t="n"/>
      <c r="D476" s="12" t="n"/>
      <c r="E476" s="12" t="n"/>
      <c r="F476" s="12" t="n"/>
      <c r="G476" s="24">
        <f>IF($A476="","",IF($B476="","EKSİK","TAM"))</f>
        <v/>
      </c>
    </row>
    <row r="477">
      <c r="A477" s="12" t="n"/>
      <c r="B477" s="12" t="n"/>
      <c r="C477" s="12" t="n"/>
      <c r="D477" s="12" t="n"/>
      <c r="E477" s="12" t="n"/>
      <c r="F477" s="12" t="n"/>
      <c r="G477" s="24">
        <f>IF($A477="","",IF($B477="","EKSİK","TAM"))</f>
        <v/>
      </c>
    </row>
    <row r="478">
      <c r="A478" s="12" t="n"/>
      <c r="B478" s="12" t="n"/>
      <c r="C478" s="12" t="n"/>
      <c r="D478" s="12" t="n"/>
      <c r="E478" s="12" t="n"/>
      <c r="F478" s="12" t="n"/>
      <c r="G478" s="24">
        <f>IF($A478="","",IF($B478="","EKSİK","TAM"))</f>
        <v/>
      </c>
    </row>
    <row r="479">
      <c r="A479" s="12" t="n"/>
      <c r="B479" s="12" t="n"/>
      <c r="C479" s="12" t="n"/>
      <c r="D479" s="12" t="n"/>
      <c r="E479" s="12" t="n"/>
      <c r="F479" s="12" t="n"/>
      <c r="G479" s="24">
        <f>IF($A479="","",IF($B479="","EKSİK","TAM"))</f>
        <v/>
      </c>
    </row>
    <row r="480">
      <c r="A480" s="12" t="n"/>
      <c r="B480" s="12" t="n"/>
      <c r="C480" s="12" t="n"/>
      <c r="D480" s="12" t="n"/>
      <c r="E480" s="12" t="n"/>
      <c r="F480" s="12" t="n"/>
      <c r="G480" s="24">
        <f>IF($A480="","",IF($B480="","EKSİK","TAM"))</f>
        <v/>
      </c>
    </row>
    <row r="481">
      <c r="A481" s="12" t="n"/>
      <c r="B481" s="12" t="n"/>
      <c r="C481" s="12" t="n"/>
      <c r="D481" s="12" t="n"/>
      <c r="E481" s="12" t="n"/>
      <c r="F481" s="12" t="n"/>
      <c r="G481" s="24">
        <f>IF($A481="","",IF($B481="","EKSİK","TAM"))</f>
        <v/>
      </c>
    </row>
    <row r="482">
      <c r="A482" s="12" t="n"/>
      <c r="B482" s="12" t="n"/>
      <c r="C482" s="12" t="n"/>
      <c r="D482" s="12" t="n"/>
      <c r="E482" s="12" t="n"/>
      <c r="F482" s="12" t="n"/>
      <c r="G482" s="24">
        <f>IF($A482="","",IF($B482="","EKSİK","TAM"))</f>
        <v/>
      </c>
    </row>
    <row r="483">
      <c r="A483" s="12" t="n"/>
      <c r="B483" s="12" t="n"/>
      <c r="C483" s="12" t="n"/>
      <c r="D483" s="12" t="n"/>
      <c r="E483" s="12" t="n"/>
      <c r="F483" s="12" t="n"/>
      <c r="G483" s="24">
        <f>IF($A483="","",IF($B483="","EKSİK","TAM"))</f>
        <v/>
      </c>
    </row>
    <row r="484">
      <c r="A484" s="12" t="n"/>
      <c r="B484" s="12" t="n"/>
      <c r="C484" s="12" t="n"/>
      <c r="D484" s="12" t="n"/>
      <c r="E484" s="12" t="n"/>
      <c r="F484" s="12" t="n"/>
      <c r="G484" s="24">
        <f>IF($A484="","",IF($B484="","EKSİK","TAM"))</f>
        <v/>
      </c>
    </row>
    <row r="485">
      <c r="A485" s="12" t="n"/>
      <c r="B485" s="12" t="n"/>
      <c r="C485" s="12" t="n"/>
      <c r="D485" s="12" t="n"/>
      <c r="E485" s="12" t="n"/>
      <c r="F485" s="12" t="n"/>
      <c r="G485" s="24">
        <f>IF($A485="","",IF($B485="","EKSİK","TAM"))</f>
        <v/>
      </c>
    </row>
    <row r="486">
      <c r="A486" s="12" t="n"/>
      <c r="B486" s="12" t="n"/>
      <c r="C486" s="12" t="n"/>
      <c r="D486" s="12" t="n"/>
      <c r="E486" s="12" t="n"/>
      <c r="F486" s="12" t="n"/>
      <c r="G486" s="24">
        <f>IF($A486="","",IF($B486="","EKSİK","TAM"))</f>
        <v/>
      </c>
    </row>
    <row r="487">
      <c r="A487" s="12" t="n"/>
      <c r="B487" s="12" t="n"/>
      <c r="C487" s="12" t="n"/>
      <c r="D487" s="12" t="n"/>
      <c r="E487" s="12" t="n"/>
      <c r="F487" s="12" t="n"/>
      <c r="G487" s="24">
        <f>IF($A487="","",IF($B487="","EKSİK","TAM"))</f>
        <v/>
      </c>
    </row>
    <row r="488">
      <c r="A488" s="12" t="n"/>
      <c r="B488" s="12" t="n"/>
      <c r="C488" s="12" t="n"/>
      <c r="D488" s="12" t="n"/>
      <c r="E488" s="12" t="n"/>
      <c r="F488" s="12" t="n"/>
      <c r="G488" s="24">
        <f>IF($A488="","",IF($B488="","EKSİK","TAM"))</f>
        <v/>
      </c>
    </row>
    <row r="489">
      <c r="A489" s="12" t="n"/>
      <c r="B489" s="12" t="n"/>
      <c r="C489" s="12" t="n"/>
      <c r="D489" s="12" t="n"/>
      <c r="E489" s="12" t="n"/>
      <c r="F489" s="12" t="n"/>
      <c r="G489" s="24">
        <f>IF($A489="","",IF($B489="","EKSİK","TAM"))</f>
        <v/>
      </c>
    </row>
    <row r="490">
      <c r="A490" s="12" t="n"/>
      <c r="B490" s="12" t="n"/>
      <c r="C490" s="12" t="n"/>
      <c r="D490" s="12" t="n"/>
      <c r="E490" s="12" t="n"/>
      <c r="F490" s="12" t="n"/>
      <c r="G490" s="24">
        <f>IF($A490="","",IF($B490="","EKSİK","TAM"))</f>
        <v/>
      </c>
    </row>
    <row r="491">
      <c r="A491" s="12" t="n"/>
      <c r="B491" s="12" t="n"/>
      <c r="C491" s="12" t="n"/>
      <c r="D491" s="12" t="n"/>
      <c r="E491" s="12" t="n"/>
      <c r="F491" s="12" t="n"/>
      <c r="G491" s="24">
        <f>IF($A491="","",IF($B491="","EKSİK","TAM"))</f>
        <v/>
      </c>
    </row>
    <row r="492">
      <c r="A492" s="12" t="n"/>
      <c r="B492" s="12" t="n"/>
      <c r="C492" s="12" t="n"/>
      <c r="D492" s="12" t="n"/>
      <c r="E492" s="12" t="n"/>
      <c r="F492" s="12" t="n"/>
      <c r="G492" s="24">
        <f>IF($A492="","",IF($B492="","EKSİK","TAM"))</f>
        <v/>
      </c>
    </row>
    <row r="493">
      <c r="A493" s="12" t="n"/>
      <c r="B493" s="12" t="n"/>
      <c r="C493" s="12" t="n"/>
      <c r="D493" s="12" t="n"/>
      <c r="E493" s="12" t="n"/>
      <c r="F493" s="12" t="n"/>
      <c r="G493" s="24">
        <f>IF($A493="","",IF($B493="","EKSİK","TAM"))</f>
        <v/>
      </c>
    </row>
    <row r="494">
      <c r="A494" s="12" t="n"/>
      <c r="B494" s="12" t="n"/>
      <c r="C494" s="12" t="n"/>
      <c r="D494" s="12" t="n"/>
      <c r="E494" s="12" t="n"/>
      <c r="F494" s="12" t="n"/>
      <c r="G494" s="24">
        <f>IF($A494="","",IF($B494="","EKSİK","TAM"))</f>
        <v/>
      </c>
    </row>
    <row r="495">
      <c r="A495" s="12" t="n"/>
      <c r="B495" s="12" t="n"/>
      <c r="C495" s="12" t="n"/>
      <c r="D495" s="12" t="n"/>
      <c r="E495" s="12" t="n"/>
      <c r="F495" s="12" t="n"/>
      <c r="G495" s="24">
        <f>IF($A495="","",IF($B495="","EKSİK","TAM"))</f>
        <v/>
      </c>
    </row>
    <row r="496">
      <c r="A496" s="12" t="n"/>
      <c r="B496" s="12" t="n"/>
      <c r="C496" s="12" t="n"/>
      <c r="D496" s="12" t="n"/>
      <c r="E496" s="12" t="n"/>
      <c r="F496" s="12" t="n"/>
      <c r="G496" s="24">
        <f>IF($A496="","",IF($B496="","EKSİK","TAM"))</f>
        <v/>
      </c>
    </row>
    <row r="497">
      <c r="A497" s="12" t="n"/>
      <c r="B497" s="12" t="n"/>
      <c r="C497" s="12" t="n"/>
      <c r="D497" s="12" t="n"/>
      <c r="E497" s="12" t="n"/>
      <c r="F497" s="12" t="n"/>
      <c r="G497" s="24">
        <f>IF($A497="","",IF($B497="","EKSİK","TAM"))</f>
        <v/>
      </c>
    </row>
    <row r="498">
      <c r="A498" s="12" t="n"/>
      <c r="B498" s="12" t="n"/>
      <c r="C498" s="12" t="n"/>
      <c r="D498" s="12" t="n"/>
      <c r="E498" s="12" t="n"/>
      <c r="F498" s="12" t="n"/>
      <c r="G498" s="24">
        <f>IF($A498="","",IF($B498="","EKSİK","TAM"))</f>
        <v/>
      </c>
    </row>
    <row r="499">
      <c r="A499" s="12" t="n"/>
      <c r="B499" s="12" t="n"/>
      <c r="C499" s="12" t="n"/>
      <c r="D499" s="12" t="n"/>
      <c r="E499" s="12" t="n"/>
      <c r="F499" s="12" t="n"/>
      <c r="G499" s="24">
        <f>IF($A499="","",IF($B499="","EKSİK","TAM"))</f>
        <v/>
      </c>
    </row>
    <row r="500">
      <c r="A500" s="12" t="n"/>
      <c r="B500" s="12" t="n"/>
      <c r="C500" s="12" t="n"/>
      <c r="D500" s="12" t="n"/>
      <c r="E500" s="12" t="n"/>
      <c r="F500" s="12" t="n"/>
      <c r="G500" s="24">
        <f>IF($A500="","",IF($B500="","EKSİK","TAM"))</f>
        <v/>
      </c>
    </row>
    <row r="501">
      <c r="A501" s="12" t="n"/>
      <c r="B501" s="12" t="n"/>
      <c r="C501" s="12" t="n"/>
      <c r="D501" s="12" t="n"/>
      <c r="E501" s="12" t="n"/>
      <c r="F501" s="12" t="n"/>
      <c r="G501" s="24">
        <f>IF($A501="","",IF($B501="","EKSİK","TAM"))</f>
        <v/>
      </c>
    </row>
    <row r="502">
      <c r="A502" s="12" t="n"/>
      <c r="B502" s="12" t="n"/>
      <c r="C502" s="12" t="n"/>
      <c r="D502" s="12" t="n"/>
      <c r="E502" s="12" t="n"/>
      <c r="F502" s="12" t="n"/>
      <c r="G502" s="24">
        <f>IF($A502="","",IF($B502="","EKSİK","TAM"))</f>
        <v/>
      </c>
    </row>
    <row r="503">
      <c r="A503" s="12" t="n"/>
      <c r="B503" s="12" t="n"/>
      <c r="C503" s="12" t="n"/>
      <c r="D503" s="12" t="n"/>
      <c r="E503" s="12" t="n"/>
      <c r="F503" s="12" t="n"/>
      <c r="G503" s="24">
        <f>IF($A503="","",IF($B503="","EKSİK","TAM"))</f>
        <v/>
      </c>
    </row>
    <row r="504">
      <c r="A504" s="12" t="n"/>
      <c r="B504" s="12" t="n"/>
      <c r="C504" s="12" t="n"/>
      <c r="D504" s="12" t="n"/>
      <c r="E504" s="12" t="n"/>
      <c r="F504" s="12" t="n"/>
      <c r="G504" s="24">
        <f>IF($A504="","",IF($B504="","EKSİK","TAM"))</f>
        <v/>
      </c>
    </row>
    <row r="505">
      <c r="A505" s="12" t="n"/>
      <c r="B505" s="12" t="n"/>
      <c r="C505" s="12" t="n"/>
      <c r="D505" s="12" t="n"/>
      <c r="E505" s="12" t="n"/>
      <c r="F505" s="12" t="n"/>
      <c r="G505" s="24">
        <f>IF($A505="","",IF($B505="","EKSİK","TAM"))</f>
        <v/>
      </c>
    </row>
    <row r="506">
      <c r="A506" s="12" t="n"/>
      <c r="B506" s="12" t="n"/>
      <c r="C506" s="12" t="n"/>
      <c r="D506" s="12" t="n"/>
      <c r="E506" s="12" t="n"/>
      <c r="F506" s="12" t="n"/>
      <c r="G506" s="24">
        <f>IF($A506="","",IF($B506="","EKSİK","TAM"))</f>
        <v/>
      </c>
    </row>
    <row r="507">
      <c r="A507" s="12" t="n"/>
      <c r="B507" s="12" t="n"/>
      <c r="C507" s="12" t="n"/>
      <c r="D507" s="12" t="n"/>
      <c r="E507" s="12" t="n"/>
      <c r="F507" s="12" t="n"/>
      <c r="G507" s="24">
        <f>IF($A507="","",IF($B507="","EKSİK","TAM"))</f>
        <v/>
      </c>
    </row>
    <row r="508">
      <c r="A508" s="12" t="n"/>
      <c r="B508" s="12" t="n"/>
      <c r="C508" s="12" t="n"/>
      <c r="D508" s="12" t="n"/>
      <c r="E508" s="12" t="n"/>
      <c r="F508" s="12" t="n"/>
      <c r="G508" s="24">
        <f>IF($A508="","",IF($B508="","EKSİK","TAM"))</f>
        <v/>
      </c>
    </row>
    <row r="509">
      <c r="A509" s="12" t="n"/>
      <c r="B509" s="12" t="n"/>
      <c r="C509" s="12" t="n"/>
      <c r="D509" s="12" t="n"/>
      <c r="E509" s="12" t="n"/>
      <c r="F509" s="12" t="n"/>
      <c r="G509" s="24">
        <f>IF($A509="","",IF($B509="","EKSİK","TAM"))</f>
        <v/>
      </c>
    </row>
    <row r="510">
      <c r="A510" s="12" t="n"/>
      <c r="B510" s="12" t="n"/>
      <c r="C510" s="12" t="n"/>
      <c r="D510" s="12" t="n"/>
      <c r="E510" s="12" t="n"/>
      <c r="F510" s="12" t="n"/>
      <c r="G510" s="24">
        <f>IF($A510="","",IF($B510="","EKSİK","TAM"))</f>
        <v/>
      </c>
    </row>
    <row r="511">
      <c r="A511" s="12" t="n"/>
      <c r="B511" s="12" t="n"/>
      <c r="C511" s="12" t="n"/>
      <c r="D511" s="12" t="n"/>
      <c r="E511" s="12" t="n"/>
      <c r="F511" s="12" t="n"/>
      <c r="G511" s="24">
        <f>IF($A511="","",IF($B511="","EKSİK","TAM"))</f>
        <v/>
      </c>
    </row>
    <row r="512">
      <c r="A512" s="12" t="n"/>
      <c r="B512" s="12" t="n"/>
      <c r="C512" s="12" t="n"/>
      <c r="D512" s="12" t="n"/>
      <c r="E512" s="12" t="n"/>
      <c r="F512" s="12" t="n"/>
      <c r="G512" s="24">
        <f>IF($A512="","",IF($B512="","EKSİK","TAM"))</f>
        <v/>
      </c>
    </row>
    <row r="513">
      <c r="A513" s="12" t="n"/>
      <c r="B513" s="12" t="n"/>
      <c r="C513" s="12" t="n"/>
      <c r="D513" s="12" t="n"/>
      <c r="E513" s="12" t="n"/>
      <c r="F513" s="12" t="n"/>
      <c r="G513" s="24">
        <f>IF($A513="","",IF($B513="","EKSİK","TAM"))</f>
        <v/>
      </c>
    </row>
    <row r="514">
      <c r="A514" s="12" t="n"/>
      <c r="B514" s="12" t="n"/>
      <c r="C514" s="12" t="n"/>
      <c r="D514" s="12" t="n"/>
      <c r="E514" s="12" t="n"/>
      <c r="F514" s="12" t="n"/>
      <c r="G514" s="24">
        <f>IF($A514="","",IF($B514="","EKSİK","TAM"))</f>
        <v/>
      </c>
    </row>
    <row r="515">
      <c r="A515" s="12" t="n"/>
      <c r="B515" s="12" t="n"/>
      <c r="C515" s="12" t="n"/>
      <c r="D515" s="12" t="n"/>
      <c r="E515" s="12" t="n"/>
      <c r="F515" s="12" t="n"/>
      <c r="G515" s="24">
        <f>IF($A515="","",IF($B515="","EKSİK","TAM"))</f>
        <v/>
      </c>
    </row>
    <row r="516">
      <c r="A516" s="12" t="n"/>
      <c r="B516" s="12" t="n"/>
      <c r="C516" s="12" t="n"/>
      <c r="D516" s="12" t="n"/>
      <c r="E516" s="12" t="n"/>
      <c r="F516" s="12" t="n"/>
      <c r="G516" s="24">
        <f>IF($A516="","",IF($B516="","EKSİK","TAM"))</f>
        <v/>
      </c>
    </row>
    <row r="517">
      <c r="A517" s="12" t="n"/>
      <c r="B517" s="12" t="n"/>
      <c r="C517" s="12" t="n"/>
      <c r="D517" s="12" t="n"/>
      <c r="E517" s="12" t="n"/>
      <c r="F517" s="12" t="n"/>
      <c r="G517" s="24">
        <f>IF($A517="","",IF($B517="","EKSİK","TAM"))</f>
        <v/>
      </c>
    </row>
    <row r="518">
      <c r="A518" s="12" t="n"/>
      <c r="B518" s="12" t="n"/>
      <c r="C518" s="12" t="n"/>
      <c r="D518" s="12" t="n"/>
      <c r="E518" s="12" t="n"/>
      <c r="F518" s="12" t="n"/>
      <c r="G518" s="24">
        <f>IF($A518="","",IF($B518="","EKSİK","TAM"))</f>
        <v/>
      </c>
    </row>
    <row r="519">
      <c r="A519" s="12" t="n"/>
      <c r="B519" s="12" t="n"/>
      <c r="C519" s="12" t="n"/>
      <c r="D519" s="12" t="n"/>
      <c r="E519" s="12" t="n"/>
      <c r="F519" s="12" t="n"/>
      <c r="G519" s="24">
        <f>IF($A519="","",IF($B519="","EKSİK","TAM"))</f>
        <v/>
      </c>
    </row>
    <row r="520">
      <c r="A520" s="12" t="n"/>
      <c r="B520" s="12" t="n"/>
      <c r="C520" s="12" t="n"/>
      <c r="D520" s="12" t="n"/>
      <c r="E520" s="12" t="n"/>
      <c r="F520" s="12" t="n"/>
      <c r="G520" s="24">
        <f>IF($A520="","",IF($B520="","EKSİK","TAM"))</f>
        <v/>
      </c>
    </row>
    <row r="521">
      <c r="A521" s="12" t="n"/>
      <c r="B521" s="12" t="n"/>
      <c r="C521" s="12" t="n"/>
      <c r="D521" s="12" t="n"/>
      <c r="E521" s="12" t="n"/>
      <c r="F521" s="12" t="n"/>
      <c r="G521" s="24">
        <f>IF($A521="","",IF($B521="","EKSİK","TAM"))</f>
        <v/>
      </c>
    </row>
    <row r="522">
      <c r="A522" s="12" t="n"/>
      <c r="B522" s="12" t="n"/>
      <c r="C522" s="12" t="n"/>
      <c r="D522" s="12" t="n"/>
      <c r="E522" s="12" t="n"/>
      <c r="F522" s="12" t="n"/>
      <c r="G522" s="24">
        <f>IF($A522="","",IF($B522="","EKSİK","TAM"))</f>
        <v/>
      </c>
    </row>
    <row r="523">
      <c r="A523" s="12" t="n"/>
      <c r="B523" s="12" t="n"/>
      <c r="C523" s="12" t="n"/>
      <c r="D523" s="12" t="n"/>
      <c r="E523" s="12" t="n"/>
      <c r="F523" s="12" t="n"/>
      <c r="G523" s="24">
        <f>IF($A523="","",IF($B523="","EKSİK","TAM"))</f>
        <v/>
      </c>
    </row>
    <row r="524">
      <c r="A524" s="12" t="n"/>
      <c r="B524" s="12" t="n"/>
      <c r="C524" s="12" t="n"/>
      <c r="D524" s="12" t="n"/>
      <c r="E524" s="12" t="n"/>
      <c r="F524" s="12" t="n"/>
      <c r="G524" s="24">
        <f>IF($A524="","",IF($B524="","EKSİK","TAM"))</f>
        <v/>
      </c>
    </row>
    <row r="525">
      <c r="A525" s="12" t="n"/>
      <c r="B525" s="12" t="n"/>
      <c r="C525" s="12" t="n"/>
      <c r="D525" s="12" t="n"/>
      <c r="E525" s="12" t="n"/>
      <c r="F525" s="12" t="n"/>
      <c r="G525" s="24">
        <f>IF($A525="","",IF($B525="","EKSİK","TAM"))</f>
        <v/>
      </c>
    </row>
    <row r="526">
      <c r="A526" s="12" t="n"/>
      <c r="B526" s="12" t="n"/>
      <c r="C526" s="12" t="n"/>
      <c r="D526" s="12" t="n"/>
      <c r="E526" s="12" t="n"/>
      <c r="F526" s="12" t="n"/>
      <c r="G526" s="24">
        <f>IF($A526="","",IF($B526="","EKSİK","TAM"))</f>
        <v/>
      </c>
    </row>
    <row r="527">
      <c r="A527" s="12" t="n"/>
      <c r="B527" s="12" t="n"/>
      <c r="C527" s="12" t="n"/>
      <c r="D527" s="12" t="n"/>
      <c r="E527" s="12" t="n"/>
      <c r="F527" s="12" t="n"/>
      <c r="G527" s="24">
        <f>IF($A527="","",IF($B527="","EKSİK","TAM"))</f>
        <v/>
      </c>
    </row>
    <row r="528">
      <c r="A528" s="12" t="n"/>
      <c r="B528" s="12" t="n"/>
      <c r="C528" s="12" t="n"/>
      <c r="D528" s="12" t="n"/>
      <c r="E528" s="12" t="n"/>
      <c r="F528" s="12" t="n"/>
      <c r="G528" s="24">
        <f>IF($A528="","",IF($B528="","EKSİK","TAM"))</f>
        <v/>
      </c>
    </row>
    <row r="529">
      <c r="A529" s="12" t="n"/>
      <c r="B529" s="12" t="n"/>
      <c r="C529" s="12" t="n"/>
      <c r="D529" s="12" t="n"/>
      <c r="E529" s="12" t="n"/>
      <c r="F529" s="12" t="n"/>
      <c r="G529" s="24">
        <f>IF($A529="","",IF($B529="","EKSİK","TAM"))</f>
        <v/>
      </c>
    </row>
    <row r="530">
      <c r="A530" s="12" t="n"/>
      <c r="B530" s="12" t="n"/>
      <c r="C530" s="12" t="n"/>
      <c r="D530" s="12" t="n"/>
      <c r="E530" s="12" t="n"/>
      <c r="F530" s="12" t="n"/>
      <c r="G530" s="24">
        <f>IF($A530="","",IF($B530="","EKSİK","TAM"))</f>
        <v/>
      </c>
    </row>
    <row r="531">
      <c r="A531" s="12" t="n"/>
      <c r="B531" s="12" t="n"/>
      <c r="C531" s="12" t="n"/>
      <c r="D531" s="12" t="n"/>
      <c r="E531" s="12" t="n"/>
      <c r="F531" s="12" t="n"/>
      <c r="G531" s="24">
        <f>IF($A531="","",IF($B531="","EKSİK","TAM"))</f>
        <v/>
      </c>
    </row>
    <row r="532">
      <c r="A532" s="12" t="n"/>
      <c r="B532" s="12" t="n"/>
      <c r="C532" s="12" t="n"/>
      <c r="D532" s="12" t="n"/>
      <c r="E532" s="12" t="n"/>
      <c r="F532" s="12" t="n"/>
      <c r="G532" s="24">
        <f>IF($A532="","",IF($B532="","EKSİK","TAM"))</f>
        <v/>
      </c>
    </row>
    <row r="533">
      <c r="A533" s="12" t="n"/>
      <c r="B533" s="12" t="n"/>
      <c r="C533" s="12" t="n"/>
      <c r="D533" s="12" t="n"/>
      <c r="E533" s="12" t="n"/>
      <c r="F533" s="12" t="n"/>
      <c r="G533" s="24">
        <f>IF($A533="","",IF($B533="","EKSİK","TAM"))</f>
        <v/>
      </c>
    </row>
    <row r="534">
      <c r="A534" s="12" t="n"/>
      <c r="B534" s="12" t="n"/>
      <c r="C534" s="12" t="n"/>
      <c r="D534" s="12" t="n"/>
      <c r="E534" s="12" t="n"/>
      <c r="F534" s="12" t="n"/>
      <c r="G534" s="24">
        <f>IF($A534="","",IF($B534="","EKSİK","TAM"))</f>
        <v/>
      </c>
    </row>
    <row r="535">
      <c r="A535" s="12" t="n"/>
      <c r="B535" s="12" t="n"/>
      <c r="C535" s="12" t="n"/>
      <c r="D535" s="12" t="n"/>
      <c r="E535" s="12" t="n"/>
      <c r="F535" s="12" t="n"/>
      <c r="G535" s="24">
        <f>IF($A535="","",IF($B535="","EKSİK","TAM"))</f>
        <v/>
      </c>
    </row>
    <row r="536">
      <c r="A536" s="12" t="n"/>
      <c r="B536" s="12" t="n"/>
      <c r="C536" s="12" t="n"/>
      <c r="D536" s="12" t="n"/>
      <c r="E536" s="12" t="n"/>
      <c r="F536" s="12" t="n"/>
      <c r="G536" s="24">
        <f>IF($A536="","",IF($B536="","EKSİK","TAM"))</f>
        <v/>
      </c>
    </row>
    <row r="537">
      <c r="A537" s="12" t="n"/>
      <c r="B537" s="12" t="n"/>
      <c r="C537" s="12" t="n"/>
      <c r="D537" s="12" t="n"/>
      <c r="E537" s="12" t="n"/>
      <c r="F537" s="12" t="n"/>
      <c r="G537" s="24">
        <f>IF($A537="","",IF($B537="","EKSİK","TAM"))</f>
        <v/>
      </c>
    </row>
    <row r="538">
      <c r="A538" s="12" t="n"/>
      <c r="B538" s="12" t="n"/>
      <c r="C538" s="12" t="n"/>
      <c r="D538" s="12" t="n"/>
      <c r="E538" s="12" t="n"/>
      <c r="F538" s="12" t="n"/>
      <c r="G538" s="24">
        <f>IF($A538="","",IF($B538="","EKSİK","TAM"))</f>
        <v/>
      </c>
    </row>
    <row r="539">
      <c r="A539" s="12" t="n"/>
      <c r="B539" s="12" t="n"/>
      <c r="C539" s="12" t="n"/>
      <c r="D539" s="12" t="n"/>
      <c r="E539" s="12" t="n"/>
      <c r="F539" s="12" t="n"/>
      <c r="G539" s="24">
        <f>IF($A539="","",IF($B539="","EKSİK","TAM"))</f>
        <v/>
      </c>
    </row>
    <row r="540">
      <c r="A540" s="12" t="n"/>
      <c r="B540" s="12" t="n"/>
      <c r="C540" s="12" t="n"/>
      <c r="D540" s="12" t="n"/>
      <c r="E540" s="12" t="n"/>
      <c r="F540" s="12" t="n"/>
      <c r="G540" s="24">
        <f>IF($A540="","",IF($B540="","EKSİK","TAM"))</f>
        <v/>
      </c>
    </row>
    <row r="541">
      <c r="A541" s="12" t="n"/>
      <c r="B541" s="12" t="n"/>
      <c r="C541" s="12" t="n"/>
      <c r="D541" s="12" t="n"/>
      <c r="E541" s="12" t="n"/>
      <c r="F541" s="12" t="n"/>
      <c r="G541" s="24">
        <f>IF($A541="","",IF($B541="","EKSİK","TAM"))</f>
        <v/>
      </c>
    </row>
    <row r="542">
      <c r="A542" s="12" t="n"/>
      <c r="B542" s="12" t="n"/>
      <c r="C542" s="12" t="n"/>
      <c r="D542" s="12" t="n"/>
      <c r="E542" s="12" t="n"/>
      <c r="F542" s="12" t="n"/>
      <c r="G542" s="24">
        <f>IF($A542="","",IF($B542="","EKSİK","TAM"))</f>
        <v/>
      </c>
    </row>
    <row r="543">
      <c r="A543" s="12" t="n"/>
      <c r="B543" s="12" t="n"/>
      <c r="C543" s="12" t="n"/>
      <c r="D543" s="12" t="n"/>
      <c r="E543" s="12" t="n"/>
      <c r="F543" s="12" t="n"/>
      <c r="G543" s="24">
        <f>IF($A543="","",IF($B543="","EKSİK","TAM"))</f>
        <v/>
      </c>
    </row>
    <row r="544">
      <c r="A544" s="12" t="n"/>
      <c r="B544" s="12" t="n"/>
      <c r="C544" s="12" t="n"/>
      <c r="D544" s="12" t="n"/>
      <c r="E544" s="12" t="n"/>
      <c r="F544" s="12" t="n"/>
      <c r="G544" s="24">
        <f>IF($A544="","",IF($B544="","EKSİK","TAM"))</f>
        <v/>
      </c>
    </row>
    <row r="545">
      <c r="A545" s="12" t="n"/>
      <c r="B545" s="12" t="n"/>
      <c r="C545" s="12" t="n"/>
      <c r="D545" s="12" t="n"/>
      <c r="E545" s="12" t="n"/>
      <c r="F545" s="12" t="n"/>
      <c r="G545" s="24">
        <f>IF($A545="","",IF($B545="","EKSİK","TAM"))</f>
        <v/>
      </c>
    </row>
    <row r="546">
      <c r="A546" s="12" t="n"/>
      <c r="B546" s="12" t="n"/>
      <c r="C546" s="12" t="n"/>
      <c r="D546" s="12" t="n"/>
      <c r="E546" s="12" t="n"/>
      <c r="F546" s="12" t="n"/>
      <c r="G546" s="24">
        <f>IF($A546="","",IF($B546="","EKSİK","TAM"))</f>
        <v/>
      </c>
    </row>
    <row r="547">
      <c r="A547" s="12" t="n"/>
      <c r="B547" s="12" t="n"/>
      <c r="C547" s="12" t="n"/>
      <c r="D547" s="12" t="n"/>
      <c r="E547" s="12" t="n"/>
      <c r="F547" s="12" t="n"/>
      <c r="G547" s="24">
        <f>IF($A547="","",IF($B547="","EKSİK","TAM"))</f>
        <v/>
      </c>
    </row>
    <row r="548">
      <c r="A548" s="12" t="n"/>
      <c r="B548" s="12" t="n"/>
      <c r="C548" s="12" t="n"/>
      <c r="D548" s="12" t="n"/>
      <c r="E548" s="12" t="n"/>
      <c r="F548" s="12" t="n"/>
      <c r="G548" s="24">
        <f>IF($A548="","",IF($B548="","EKSİK","TAM"))</f>
        <v/>
      </c>
    </row>
    <row r="549">
      <c r="A549" s="12" t="n"/>
      <c r="B549" s="12" t="n"/>
      <c r="C549" s="12" t="n"/>
      <c r="D549" s="12" t="n"/>
      <c r="E549" s="12" t="n"/>
      <c r="F549" s="12" t="n"/>
      <c r="G549" s="24">
        <f>IF($A549="","",IF($B549="","EKSİK","TAM"))</f>
        <v/>
      </c>
    </row>
    <row r="550">
      <c r="A550" s="12" t="n"/>
      <c r="B550" s="12" t="n"/>
      <c r="C550" s="12" t="n"/>
      <c r="D550" s="12" t="n"/>
      <c r="E550" s="12" t="n"/>
      <c r="F550" s="12" t="n"/>
      <c r="G550" s="24">
        <f>IF($A550="","",IF($B550="","EKSİK","TAM"))</f>
        <v/>
      </c>
    </row>
    <row r="551">
      <c r="A551" s="12" t="n"/>
      <c r="B551" s="12" t="n"/>
      <c r="C551" s="12" t="n"/>
      <c r="D551" s="12" t="n"/>
      <c r="E551" s="12" t="n"/>
      <c r="F551" s="12" t="n"/>
      <c r="G551" s="24">
        <f>IF($A551="","",IF($B551="","EKSİK","TAM"))</f>
        <v/>
      </c>
    </row>
    <row r="552">
      <c r="A552" s="12" t="n"/>
      <c r="B552" s="12" t="n"/>
      <c r="C552" s="12" t="n"/>
      <c r="D552" s="12" t="n"/>
      <c r="E552" s="12" t="n"/>
      <c r="F552" s="12" t="n"/>
      <c r="G552" s="24">
        <f>IF($A552="","",IF($B552="","EKSİK","TAM"))</f>
        <v/>
      </c>
    </row>
    <row r="553">
      <c r="A553" s="12" t="n"/>
      <c r="B553" s="12" t="n"/>
      <c r="C553" s="12" t="n"/>
      <c r="D553" s="12" t="n"/>
      <c r="E553" s="12" t="n"/>
      <c r="F553" s="12" t="n"/>
      <c r="G553" s="24">
        <f>IF($A553="","",IF($B553="","EKSİK","TAM"))</f>
        <v/>
      </c>
    </row>
    <row r="554">
      <c r="A554" s="12" t="n"/>
      <c r="B554" s="12" t="n"/>
      <c r="C554" s="12" t="n"/>
      <c r="D554" s="12" t="n"/>
      <c r="E554" s="12" t="n"/>
      <c r="F554" s="12" t="n"/>
      <c r="G554" s="24">
        <f>IF($A554="","",IF($B554="","EKSİK","TAM"))</f>
        <v/>
      </c>
    </row>
    <row r="555">
      <c r="A555" s="12" t="n"/>
      <c r="B555" s="12" t="n"/>
      <c r="C555" s="12" t="n"/>
      <c r="D555" s="12" t="n"/>
      <c r="E555" s="12" t="n"/>
      <c r="F555" s="12" t="n"/>
      <c r="G555" s="24">
        <f>IF($A555="","",IF($B555="","EKSİK","TAM"))</f>
        <v/>
      </c>
    </row>
    <row r="556">
      <c r="A556" s="12" t="n"/>
      <c r="B556" s="12" t="n"/>
      <c r="C556" s="12" t="n"/>
      <c r="D556" s="12" t="n"/>
      <c r="E556" s="12" t="n"/>
      <c r="F556" s="12" t="n"/>
      <c r="G556" s="24">
        <f>IF($A556="","",IF($B556="","EKSİK","TAM"))</f>
        <v/>
      </c>
    </row>
    <row r="557">
      <c r="A557" s="12" t="n"/>
      <c r="B557" s="12" t="n"/>
      <c r="C557" s="12" t="n"/>
      <c r="D557" s="12" t="n"/>
      <c r="E557" s="12" t="n"/>
      <c r="F557" s="12" t="n"/>
      <c r="G557" s="24">
        <f>IF($A557="","",IF($B557="","EKSİK","TAM"))</f>
        <v/>
      </c>
    </row>
    <row r="558">
      <c r="A558" s="12" t="n"/>
      <c r="B558" s="12" t="n"/>
      <c r="C558" s="12" t="n"/>
      <c r="D558" s="12" t="n"/>
      <c r="E558" s="12" t="n"/>
      <c r="F558" s="12" t="n"/>
      <c r="G558" s="24">
        <f>IF($A558="","",IF($B558="","EKSİK","TAM"))</f>
        <v/>
      </c>
    </row>
    <row r="559">
      <c r="A559" s="12" t="n"/>
      <c r="B559" s="12" t="n"/>
      <c r="C559" s="12" t="n"/>
      <c r="D559" s="12" t="n"/>
      <c r="E559" s="12" t="n"/>
      <c r="F559" s="12" t="n"/>
      <c r="G559" s="24">
        <f>IF($A559="","",IF($B559="","EKSİK","TAM"))</f>
        <v/>
      </c>
    </row>
    <row r="560">
      <c r="A560" s="12" t="n"/>
      <c r="B560" s="12" t="n"/>
      <c r="C560" s="12" t="n"/>
      <c r="D560" s="12" t="n"/>
      <c r="E560" s="12" t="n"/>
      <c r="F560" s="12" t="n"/>
      <c r="G560" s="24">
        <f>IF($A560="","",IF($B560="","EKSİK","TAM"))</f>
        <v/>
      </c>
    </row>
    <row r="561">
      <c r="A561" s="12" t="n"/>
      <c r="B561" s="12" t="n"/>
      <c r="C561" s="12" t="n"/>
      <c r="D561" s="12" t="n"/>
      <c r="E561" s="12" t="n"/>
      <c r="F561" s="12" t="n"/>
      <c r="G561" s="24">
        <f>IF($A561="","",IF($B561="","EKSİK","TAM"))</f>
        <v/>
      </c>
    </row>
    <row r="562">
      <c r="A562" s="12" t="n"/>
      <c r="B562" s="12" t="n"/>
      <c r="C562" s="12" t="n"/>
      <c r="D562" s="12" t="n"/>
      <c r="E562" s="12" t="n"/>
      <c r="F562" s="12" t="n"/>
      <c r="G562" s="24">
        <f>IF($A562="","",IF($B562="","EKSİK","TAM"))</f>
        <v/>
      </c>
    </row>
    <row r="563">
      <c r="A563" s="12" t="n"/>
      <c r="B563" s="12" t="n"/>
      <c r="C563" s="12" t="n"/>
      <c r="D563" s="12" t="n"/>
      <c r="E563" s="12" t="n"/>
      <c r="F563" s="12" t="n"/>
      <c r="G563" s="24">
        <f>IF($A563="","",IF($B563="","EKSİK","TAM"))</f>
        <v/>
      </c>
    </row>
    <row r="564">
      <c r="A564" s="12" t="n"/>
      <c r="B564" s="12" t="n"/>
      <c r="C564" s="12" t="n"/>
      <c r="D564" s="12" t="n"/>
      <c r="E564" s="12" t="n"/>
      <c r="F564" s="12" t="n"/>
      <c r="G564" s="24">
        <f>IF($A564="","",IF($B564="","EKSİK","TAM"))</f>
        <v/>
      </c>
    </row>
    <row r="565">
      <c r="A565" s="12" t="n"/>
      <c r="B565" s="12" t="n"/>
      <c r="C565" s="12" t="n"/>
      <c r="D565" s="12" t="n"/>
      <c r="E565" s="12" t="n"/>
      <c r="F565" s="12" t="n"/>
      <c r="G565" s="24">
        <f>IF($A565="","",IF($B565="","EKSİK","TAM"))</f>
        <v/>
      </c>
    </row>
    <row r="566">
      <c r="A566" s="12" t="n"/>
      <c r="B566" s="12" t="n"/>
      <c r="C566" s="12" t="n"/>
      <c r="D566" s="12" t="n"/>
      <c r="E566" s="12" t="n"/>
      <c r="F566" s="12" t="n"/>
      <c r="G566" s="24">
        <f>IF($A566="","",IF($B566="","EKSİK","TAM"))</f>
        <v/>
      </c>
    </row>
    <row r="567">
      <c r="A567" s="12" t="n"/>
      <c r="B567" s="12" t="n"/>
      <c r="C567" s="12" t="n"/>
      <c r="D567" s="12" t="n"/>
      <c r="E567" s="12" t="n"/>
      <c r="F567" s="12" t="n"/>
      <c r="G567" s="24">
        <f>IF($A567="","",IF($B567="","EKSİK","TAM"))</f>
        <v/>
      </c>
    </row>
    <row r="568">
      <c r="A568" s="12" t="n"/>
      <c r="B568" s="12" t="n"/>
      <c r="C568" s="12" t="n"/>
      <c r="D568" s="12" t="n"/>
      <c r="E568" s="12" t="n"/>
      <c r="F568" s="12" t="n"/>
      <c r="G568" s="24">
        <f>IF($A568="","",IF($B568="","EKSİK","TAM"))</f>
        <v/>
      </c>
    </row>
    <row r="569">
      <c r="A569" s="12" t="n"/>
      <c r="B569" s="12" t="n"/>
      <c r="C569" s="12" t="n"/>
      <c r="D569" s="12" t="n"/>
      <c r="E569" s="12" t="n"/>
      <c r="F569" s="12" t="n"/>
      <c r="G569" s="24">
        <f>IF($A569="","",IF($B569="","EKSİK","TAM"))</f>
        <v/>
      </c>
    </row>
    <row r="570">
      <c r="A570" s="12" t="n"/>
      <c r="B570" s="12" t="n"/>
      <c r="C570" s="12" t="n"/>
      <c r="D570" s="12" t="n"/>
      <c r="E570" s="12" t="n"/>
      <c r="F570" s="12" t="n"/>
      <c r="G570" s="24">
        <f>IF($A570="","",IF($B570="","EKSİK","TAM"))</f>
        <v/>
      </c>
    </row>
    <row r="571">
      <c r="A571" s="12" t="n"/>
      <c r="B571" s="12" t="n"/>
      <c r="C571" s="12" t="n"/>
      <c r="D571" s="12" t="n"/>
      <c r="E571" s="12" t="n"/>
      <c r="F571" s="12" t="n"/>
      <c r="G571" s="24">
        <f>IF($A571="","",IF($B571="","EKSİK","TAM"))</f>
        <v/>
      </c>
    </row>
    <row r="572">
      <c r="A572" s="12" t="n"/>
      <c r="B572" s="12" t="n"/>
      <c r="C572" s="12" t="n"/>
      <c r="D572" s="12" t="n"/>
      <c r="E572" s="12" t="n"/>
      <c r="F572" s="12" t="n"/>
      <c r="G572" s="24">
        <f>IF($A572="","",IF($B572="","EKSİK","TAM"))</f>
        <v/>
      </c>
    </row>
    <row r="573">
      <c r="A573" s="12" t="n"/>
      <c r="B573" s="12" t="n"/>
      <c r="C573" s="12" t="n"/>
      <c r="D573" s="12" t="n"/>
      <c r="E573" s="12" t="n"/>
      <c r="F573" s="12" t="n"/>
      <c r="G573" s="24">
        <f>IF($A573="","",IF($B573="","EKSİK","TAM"))</f>
        <v/>
      </c>
    </row>
    <row r="574">
      <c r="A574" s="12" t="n"/>
      <c r="B574" s="12" t="n"/>
      <c r="C574" s="12" t="n"/>
      <c r="D574" s="12" t="n"/>
      <c r="E574" s="12" t="n"/>
      <c r="F574" s="12" t="n"/>
      <c r="G574" s="24">
        <f>IF($A574="","",IF($B574="","EKSİK","TAM"))</f>
        <v/>
      </c>
    </row>
    <row r="575">
      <c r="A575" s="12" t="n"/>
      <c r="B575" s="12" t="n"/>
      <c r="C575" s="12" t="n"/>
      <c r="D575" s="12" t="n"/>
      <c r="E575" s="12" t="n"/>
      <c r="F575" s="12" t="n"/>
      <c r="G575" s="24">
        <f>IF($A575="","",IF($B575="","EKSİK","TAM"))</f>
        <v/>
      </c>
    </row>
    <row r="576">
      <c r="A576" s="12" t="n"/>
      <c r="B576" s="12" t="n"/>
      <c r="C576" s="12" t="n"/>
      <c r="D576" s="12" t="n"/>
      <c r="E576" s="12" t="n"/>
      <c r="F576" s="12" t="n"/>
      <c r="G576" s="24">
        <f>IF($A576="","",IF($B576="","EKSİK","TAM"))</f>
        <v/>
      </c>
    </row>
    <row r="577">
      <c r="A577" s="12" t="n"/>
      <c r="B577" s="12" t="n"/>
      <c r="C577" s="12" t="n"/>
      <c r="D577" s="12" t="n"/>
      <c r="E577" s="12" t="n"/>
      <c r="F577" s="12" t="n"/>
      <c r="G577" s="24">
        <f>IF($A577="","",IF($B577="","EKSİK","TAM"))</f>
        <v/>
      </c>
    </row>
    <row r="578">
      <c r="A578" s="12" t="n"/>
      <c r="B578" s="12" t="n"/>
      <c r="C578" s="12" t="n"/>
      <c r="D578" s="12" t="n"/>
      <c r="E578" s="12" t="n"/>
      <c r="F578" s="12" t="n"/>
      <c r="G578" s="24">
        <f>IF($A578="","",IF($B578="","EKSİK","TAM"))</f>
        <v/>
      </c>
    </row>
    <row r="579">
      <c r="A579" s="12" t="n"/>
      <c r="B579" s="12" t="n"/>
      <c r="C579" s="12" t="n"/>
      <c r="D579" s="12" t="n"/>
      <c r="E579" s="12" t="n"/>
      <c r="F579" s="12" t="n"/>
      <c r="G579" s="24">
        <f>IF($A579="","",IF($B579="","EKSİK","TAM"))</f>
        <v/>
      </c>
    </row>
    <row r="580">
      <c r="A580" s="12" t="n"/>
      <c r="B580" s="12" t="n"/>
      <c r="C580" s="12" t="n"/>
      <c r="D580" s="12" t="n"/>
      <c r="E580" s="12" t="n"/>
      <c r="F580" s="12" t="n"/>
      <c r="G580" s="24">
        <f>IF($A580="","",IF($B580="","EKSİK","TAM"))</f>
        <v/>
      </c>
    </row>
    <row r="581">
      <c r="A581" s="12" t="n"/>
      <c r="B581" s="12" t="n"/>
      <c r="C581" s="12" t="n"/>
      <c r="D581" s="12" t="n"/>
      <c r="E581" s="12" t="n"/>
      <c r="F581" s="12" t="n"/>
      <c r="G581" s="24">
        <f>IF($A581="","",IF($B581="","EKSİK","TAM"))</f>
        <v/>
      </c>
    </row>
    <row r="582">
      <c r="A582" s="12" t="n"/>
      <c r="B582" s="12" t="n"/>
      <c r="C582" s="12" t="n"/>
      <c r="D582" s="12" t="n"/>
      <c r="E582" s="12" t="n"/>
      <c r="F582" s="12" t="n"/>
      <c r="G582" s="24">
        <f>IF($A582="","",IF($B582="","EKSİK","TAM"))</f>
        <v/>
      </c>
    </row>
    <row r="583">
      <c r="A583" s="12" t="n"/>
      <c r="B583" s="12" t="n"/>
      <c r="C583" s="12" t="n"/>
      <c r="D583" s="12" t="n"/>
      <c r="E583" s="12" t="n"/>
      <c r="F583" s="12" t="n"/>
      <c r="G583" s="24">
        <f>IF($A583="","",IF($B583="","EKSİK","TAM"))</f>
        <v/>
      </c>
    </row>
    <row r="584">
      <c r="A584" s="12" t="n"/>
      <c r="B584" s="12" t="n"/>
      <c r="C584" s="12" t="n"/>
      <c r="D584" s="12" t="n"/>
      <c r="E584" s="12" t="n"/>
      <c r="F584" s="12" t="n"/>
      <c r="G584" s="24">
        <f>IF($A584="","",IF($B584="","EKSİK","TAM"))</f>
        <v/>
      </c>
    </row>
    <row r="585">
      <c r="A585" s="12" t="n"/>
      <c r="B585" s="12" t="n"/>
      <c r="C585" s="12" t="n"/>
      <c r="D585" s="12" t="n"/>
      <c r="E585" s="12" t="n"/>
      <c r="F585" s="12" t="n"/>
      <c r="G585" s="24">
        <f>IF($A585="","",IF($B585="","EKSİK","TAM"))</f>
        <v/>
      </c>
    </row>
    <row r="586">
      <c r="A586" s="12" t="n"/>
      <c r="B586" s="12" t="n"/>
      <c r="C586" s="12" t="n"/>
      <c r="D586" s="12" t="n"/>
      <c r="E586" s="12" t="n"/>
      <c r="F586" s="12" t="n"/>
      <c r="G586" s="24">
        <f>IF($A586="","",IF($B586="","EKSİK","TAM"))</f>
        <v/>
      </c>
    </row>
    <row r="587">
      <c r="A587" s="12" t="n"/>
      <c r="B587" s="12" t="n"/>
      <c r="C587" s="12" t="n"/>
      <c r="D587" s="12" t="n"/>
      <c r="E587" s="12" t="n"/>
      <c r="F587" s="12" t="n"/>
      <c r="G587" s="24">
        <f>IF($A587="","",IF($B587="","EKSİK","TAM"))</f>
        <v/>
      </c>
    </row>
    <row r="588">
      <c r="A588" s="12" t="n"/>
      <c r="B588" s="12" t="n"/>
      <c r="C588" s="12" t="n"/>
      <c r="D588" s="12" t="n"/>
      <c r="E588" s="12" t="n"/>
      <c r="F588" s="12" t="n"/>
      <c r="G588" s="24">
        <f>IF($A588="","",IF($B588="","EKSİK","TAM"))</f>
        <v/>
      </c>
    </row>
    <row r="589">
      <c r="A589" s="12" t="n"/>
      <c r="B589" s="12" t="n"/>
      <c r="C589" s="12" t="n"/>
      <c r="D589" s="12" t="n"/>
      <c r="E589" s="12" t="n"/>
      <c r="F589" s="12" t="n"/>
      <c r="G589" s="24">
        <f>IF($A589="","",IF($B589="","EKSİK","TAM"))</f>
        <v/>
      </c>
    </row>
    <row r="590">
      <c r="A590" s="12" t="n"/>
      <c r="B590" s="12" t="n"/>
      <c r="C590" s="12" t="n"/>
      <c r="D590" s="12" t="n"/>
      <c r="E590" s="12" t="n"/>
      <c r="F590" s="12" t="n"/>
      <c r="G590" s="24">
        <f>IF($A590="","",IF($B590="","EKSİK","TAM"))</f>
        <v/>
      </c>
    </row>
    <row r="591">
      <c r="A591" s="12" t="n"/>
      <c r="B591" s="12" t="n"/>
      <c r="C591" s="12" t="n"/>
      <c r="D591" s="12" t="n"/>
      <c r="E591" s="12" t="n"/>
      <c r="F591" s="12" t="n"/>
      <c r="G591" s="24">
        <f>IF($A591="","",IF($B591="","EKSİK","TAM"))</f>
        <v/>
      </c>
    </row>
    <row r="592">
      <c r="A592" s="12" t="n"/>
      <c r="B592" s="12" t="n"/>
      <c r="C592" s="12" t="n"/>
      <c r="D592" s="12" t="n"/>
      <c r="E592" s="12" t="n"/>
      <c r="F592" s="12" t="n"/>
      <c r="G592" s="24">
        <f>IF($A592="","",IF($B592="","EKSİK","TAM"))</f>
        <v/>
      </c>
    </row>
    <row r="593">
      <c r="A593" s="12" t="n"/>
      <c r="B593" s="12" t="n"/>
      <c r="C593" s="12" t="n"/>
      <c r="D593" s="12" t="n"/>
      <c r="E593" s="12" t="n"/>
      <c r="F593" s="12" t="n"/>
      <c r="G593" s="24">
        <f>IF($A593="","",IF($B593="","EKSİK","TAM"))</f>
        <v/>
      </c>
    </row>
    <row r="594">
      <c r="A594" s="12" t="n"/>
      <c r="B594" s="12" t="n"/>
      <c r="C594" s="12" t="n"/>
      <c r="D594" s="12" t="n"/>
      <c r="E594" s="12" t="n"/>
      <c r="F594" s="12" t="n"/>
      <c r="G594" s="24">
        <f>IF($A594="","",IF($B594="","EKSİK","TAM"))</f>
        <v/>
      </c>
    </row>
    <row r="595">
      <c r="A595" s="12" t="n"/>
      <c r="B595" s="12" t="n"/>
      <c r="C595" s="12" t="n"/>
      <c r="D595" s="12" t="n"/>
      <c r="E595" s="12" t="n"/>
      <c r="F595" s="12" t="n"/>
      <c r="G595" s="24">
        <f>IF($A595="","",IF($B595="","EKSİK","TAM"))</f>
        <v/>
      </c>
    </row>
    <row r="596">
      <c r="A596" s="12" t="n"/>
      <c r="B596" s="12" t="n"/>
      <c r="C596" s="12" t="n"/>
      <c r="D596" s="12" t="n"/>
      <c r="E596" s="12" t="n"/>
      <c r="F596" s="12" t="n"/>
      <c r="G596" s="24">
        <f>IF($A596="","",IF($B596="","EKSİK","TAM"))</f>
        <v/>
      </c>
    </row>
    <row r="597">
      <c r="A597" s="12" t="n"/>
      <c r="B597" s="12" t="n"/>
      <c r="C597" s="12" t="n"/>
      <c r="D597" s="12" t="n"/>
      <c r="E597" s="12" t="n"/>
      <c r="F597" s="12" t="n"/>
      <c r="G597" s="24">
        <f>IF($A597="","",IF($B597="","EKSİK","TAM"))</f>
        <v/>
      </c>
    </row>
    <row r="598">
      <c r="A598" s="12" t="n"/>
      <c r="B598" s="12" t="n"/>
      <c r="C598" s="12" t="n"/>
      <c r="D598" s="12" t="n"/>
      <c r="E598" s="12" t="n"/>
      <c r="F598" s="12" t="n"/>
      <c r="G598" s="24">
        <f>IF($A598="","",IF($B598="","EKSİK","TAM"))</f>
        <v/>
      </c>
    </row>
    <row r="599">
      <c r="A599" s="12" t="n"/>
      <c r="B599" s="12" t="n"/>
      <c r="C599" s="12" t="n"/>
      <c r="D599" s="12" t="n"/>
      <c r="E599" s="12" t="n"/>
      <c r="F599" s="12" t="n"/>
      <c r="G599" s="24">
        <f>IF($A599="","",IF($B599="","EKSİK","TAM"))</f>
        <v/>
      </c>
    </row>
    <row r="600">
      <c r="A600" s="12" t="n"/>
      <c r="B600" s="12" t="n"/>
      <c r="C600" s="12" t="n"/>
      <c r="D600" s="12" t="n"/>
      <c r="E600" s="12" t="n"/>
      <c r="F600" s="12" t="n"/>
      <c r="G600" s="24">
        <f>IF($A600="","",IF($B600="","EKSİK","TAM"))</f>
        <v/>
      </c>
    </row>
    <row r="601">
      <c r="A601" s="12" t="n"/>
      <c r="B601" s="12" t="n"/>
      <c r="C601" s="12" t="n"/>
      <c r="D601" s="12" t="n"/>
      <c r="E601" s="12" t="n"/>
      <c r="F601" s="12" t="n"/>
      <c r="G601" s="24">
        <f>IF($A601="","",IF($B601="","EKSİK","TAM"))</f>
        <v/>
      </c>
    </row>
    <row r="602">
      <c r="A602" s="12" t="n"/>
      <c r="B602" s="12" t="n"/>
      <c r="C602" s="12" t="n"/>
      <c r="D602" s="12" t="n"/>
      <c r="E602" s="12" t="n"/>
      <c r="F602" s="12" t="n"/>
      <c r="G602" s="24">
        <f>IF($A602="","",IF($B602="","EKSİK","TAM"))</f>
        <v/>
      </c>
    </row>
    <row r="603">
      <c r="A603" s="12" t="n"/>
      <c r="B603" s="12" t="n"/>
      <c r="C603" s="12" t="n"/>
      <c r="D603" s="12" t="n"/>
      <c r="E603" s="12" t="n"/>
      <c r="F603" s="12" t="n"/>
      <c r="G603" s="24">
        <f>IF($A603="","",IF($B603="","EKSİK","TAM"))</f>
        <v/>
      </c>
    </row>
    <row r="604">
      <c r="A604" s="12" t="n"/>
      <c r="B604" s="12" t="n"/>
      <c r="C604" s="12" t="n"/>
      <c r="D604" s="12" t="n"/>
      <c r="E604" s="12" t="n"/>
      <c r="F604" s="12" t="n"/>
      <c r="G604" s="24">
        <f>IF($A604="","",IF($B604="","EKSİK","TAM"))</f>
        <v/>
      </c>
    </row>
    <row r="605">
      <c r="A605" s="12" t="n"/>
      <c r="B605" s="12" t="n"/>
      <c r="C605" s="12" t="n"/>
      <c r="D605" s="12" t="n"/>
      <c r="E605" s="12" t="n"/>
      <c r="F605" s="12" t="n"/>
      <c r="G605" s="24">
        <f>IF($A605="","",IF($B605="","EKSİK","TAM"))</f>
        <v/>
      </c>
    </row>
    <row r="606">
      <c r="A606" s="12" t="n"/>
      <c r="B606" s="12" t="n"/>
      <c r="C606" s="12" t="n"/>
      <c r="D606" s="12" t="n"/>
      <c r="E606" s="12" t="n"/>
      <c r="F606" s="12" t="n"/>
      <c r="G606" s="24">
        <f>IF($A606="","",IF($B606="","EKSİK","TAM"))</f>
        <v/>
      </c>
    </row>
    <row r="607">
      <c r="A607" s="12" t="n"/>
      <c r="B607" s="12" t="n"/>
      <c r="C607" s="12" t="n"/>
      <c r="D607" s="12" t="n"/>
      <c r="E607" s="12" t="n"/>
      <c r="F607" s="12" t="n"/>
      <c r="G607" s="24">
        <f>IF($A607="","",IF($B607="","EKSİK","TAM"))</f>
        <v/>
      </c>
    </row>
    <row r="608">
      <c r="A608" s="12" t="n"/>
      <c r="B608" s="12" t="n"/>
      <c r="C608" s="12" t="n"/>
      <c r="D608" s="12" t="n"/>
      <c r="E608" s="12" t="n"/>
      <c r="F608" s="12" t="n"/>
      <c r="G608" s="24">
        <f>IF($A608="","",IF($B608="","EKSİK","TAM"))</f>
        <v/>
      </c>
    </row>
    <row r="609">
      <c r="A609" s="12" t="n"/>
      <c r="B609" s="12" t="n"/>
      <c r="C609" s="12" t="n"/>
      <c r="D609" s="12" t="n"/>
      <c r="E609" s="12" t="n"/>
      <c r="F609" s="12" t="n"/>
      <c r="G609" s="24">
        <f>IF($A609="","",IF($B609="","EKSİK","TAM"))</f>
        <v/>
      </c>
    </row>
    <row r="610">
      <c r="A610" s="12" t="n"/>
      <c r="B610" s="12" t="n"/>
      <c r="C610" s="12" t="n"/>
      <c r="D610" s="12" t="n"/>
      <c r="E610" s="12" t="n"/>
      <c r="F610" s="12" t="n"/>
      <c r="G610" s="24">
        <f>IF($A610="","",IF($B610="","EKSİK","TAM"))</f>
        <v/>
      </c>
    </row>
    <row r="611">
      <c r="A611" s="12" t="n"/>
      <c r="B611" s="12" t="n"/>
      <c r="C611" s="12" t="n"/>
      <c r="D611" s="12" t="n"/>
      <c r="E611" s="12" t="n"/>
      <c r="F611" s="12" t="n"/>
      <c r="G611" s="24">
        <f>IF($A611="","",IF($B611="","EKSİK","TAM"))</f>
        <v/>
      </c>
    </row>
    <row r="612">
      <c r="A612" s="12" t="n"/>
      <c r="B612" s="12" t="n"/>
      <c r="C612" s="12" t="n"/>
      <c r="D612" s="12" t="n"/>
      <c r="E612" s="12" t="n"/>
      <c r="F612" s="12" t="n"/>
      <c r="G612" s="24">
        <f>IF($A612="","",IF($B612="","EKSİK","TAM"))</f>
        <v/>
      </c>
    </row>
    <row r="613">
      <c r="A613" s="12" t="n"/>
      <c r="B613" s="12" t="n"/>
      <c r="C613" s="12" t="n"/>
      <c r="D613" s="12" t="n"/>
      <c r="E613" s="12" t="n"/>
      <c r="F613" s="12" t="n"/>
      <c r="G613" s="24">
        <f>IF($A613="","",IF($B613="","EKSİK","TAM"))</f>
        <v/>
      </c>
    </row>
    <row r="614">
      <c r="A614" s="12" t="n"/>
      <c r="B614" s="12" t="n"/>
      <c r="C614" s="12" t="n"/>
      <c r="D614" s="12" t="n"/>
      <c r="E614" s="12" t="n"/>
      <c r="F614" s="12" t="n"/>
      <c r="G614" s="24">
        <f>IF($A614="","",IF($B614="","EKSİK","TAM"))</f>
        <v/>
      </c>
    </row>
    <row r="615">
      <c r="A615" s="12" t="n"/>
      <c r="B615" s="12" t="n"/>
      <c r="C615" s="12" t="n"/>
      <c r="D615" s="12" t="n"/>
      <c r="E615" s="12" t="n"/>
      <c r="F615" s="12" t="n"/>
      <c r="G615" s="24">
        <f>IF($A615="","",IF($B615="","EKSİK","TAM"))</f>
        <v/>
      </c>
    </row>
    <row r="616">
      <c r="A616" s="12" t="n"/>
      <c r="B616" s="12" t="n"/>
      <c r="C616" s="12" t="n"/>
      <c r="D616" s="12" t="n"/>
      <c r="E616" s="12" t="n"/>
      <c r="F616" s="12" t="n"/>
      <c r="G616" s="24">
        <f>IF($A616="","",IF($B616="","EKSİK","TAM"))</f>
        <v/>
      </c>
    </row>
    <row r="617">
      <c r="A617" s="12" t="n"/>
      <c r="B617" s="12" t="n"/>
      <c r="C617" s="12" t="n"/>
      <c r="D617" s="12" t="n"/>
      <c r="E617" s="12" t="n"/>
      <c r="F617" s="12" t="n"/>
      <c r="G617" s="24">
        <f>IF($A617="","",IF($B617="","EKSİK","TAM"))</f>
        <v/>
      </c>
    </row>
    <row r="618">
      <c r="A618" s="12" t="n"/>
      <c r="B618" s="12" t="n"/>
      <c r="C618" s="12" t="n"/>
      <c r="D618" s="12" t="n"/>
      <c r="E618" s="12" t="n"/>
      <c r="F618" s="12" t="n"/>
      <c r="G618" s="24">
        <f>IF($A618="","",IF($B618="","EKSİK","TAM"))</f>
        <v/>
      </c>
    </row>
    <row r="619">
      <c r="A619" s="12" t="n"/>
      <c r="B619" s="12" t="n"/>
      <c r="C619" s="12" t="n"/>
      <c r="D619" s="12" t="n"/>
      <c r="E619" s="12" t="n"/>
      <c r="F619" s="12" t="n"/>
      <c r="G619" s="24">
        <f>IF($A619="","",IF($B619="","EKSİK","TAM"))</f>
        <v/>
      </c>
    </row>
    <row r="620">
      <c r="A620" s="12" t="n"/>
      <c r="B620" s="12" t="n"/>
      <c r="C620" s="12" t="n"/>
      <c r="D620" s="12" t="n"/>
      <c r="E620" s="12" t="n"/>
      <c r="F620" s="12" t="n"/>
      <c r="G620" s="24">
        <f>IF($A620="","",IF($B620="","EKSİK","TAM"))</f>
        <v/>
      </c>
    </row>
    <row r="621">
      <c r="A621" s="12" t="n"/>
      <c r="B621" s="12" t="n"/>
      <c r="C621" s="12" t="n"/>
      <c r="D621" s="12" t="n"/>
      <c r="E621" s="12" t="n"/>
      <c r="F621" s="12" t="n"/>
      <c r="G621" s="24">
        <f>IF($A621="","",IF($B621="","EKSİK","TAM"))</f>
        <v/>
      </c>
    </row>
    <row r="622">
      <c r="A622" s="12" t="n"/>
      <c r="B622" s="12" t="n"/>
      <c r="C622" s="12" t="n"/>
      <c r="D622" s="12" t="n"/>
      <c r="E622" s="12" t="n"/>
      <c r="F622" s="12" t="n"/>
      <c r="G622" s="24">
        <f>IF($A622="","",IF($B622="","EKSİK","TAM"))</f>
        <v/>
      </c>
    </row>
    <row r="623">
      <c r="A623" s="12" t="n"/>
      <c r="B623" s="12" t="n"/>
      <c r="C623" s="12" t="n"/>
      <c r="D623" s="12" t="n"/>
      <c r="E623" s="12" t="n"/>
      <c r="F623" s="12" t="n"/>
      <c r="G623" s="24">
        <f>IF($A623="","",IF($B623="","EKSİK","TAM"))</f>
        <v/>
      </c>
    </row>
    <row r="624">
      <c r="A624" s="12" t="n"/>
      <c r="B624" s="12" t="n"/>
      <c r="C624" s="12" t="n"/>
      <c r="D624" s="12" t="n"/>
      <c r="E624" s="12" t="n"/>
      <c r="F624" s="12" t="n"/>
      <c r="G624" s="24">
        <f>IF($A624="","",IF($B624="","EKSİK","TAM"))</f>
        <v/>
      </c>
    </row>
    <row r="625">
      <c r="A625" s="12" t="n"/>
      <c r="B625" s="12" t="n"/>
      <c r="C625" s="12" t="n"/>
      <c r="D625" s="12" t="n"/>
      <c r="E625" s="12" t="n"/>
      <c r="F625" s="12" t="n"/>
      <c r="G625" s="24">
        <f>IF($A625="","",IF($B625="","EKSİK","TAM"))</f>
        <v/>
      </c>
    </row>
    <row r="626">
      <c r="A626" s="12" t="n"/>
      <c r="B626" s="12" t="n"/>
      <c r="C626" s="12" t="n"/>
      <c r="D626" s="12" t="n"/>
      <c r="E626" s="12" t="n"/>
      <c r="F626" s="12" t="n"/>
      <c r="G626" s="24">
        <f>IF($A626="","",IF($B626="","EKSİK","TAM"))</f>
        <v/>
      </c>
    </row>
    <row r="627">
      <c r="A627" s="12" t="n"/>
      <c r="B627" s="12" t="n"/>
      <c r="C627" s="12" t="n"/>
      <c r="D627" s="12" t="n"/>
      <c r="E627" s="12" t="n"/>
      <c r="F627" s="12" t="n"/>
      <c r="G627" s="24">
        <f>IF($A627="","",IF($B627="","EKSİK","TAM"))</f>
        <v/>
      </c>
    </row>
    <row r="628">
      <c r="A628" s="12" t="n"/>
      <c r="B628" s="12" t="n"/>
      <c r="C628" s="12" t="n"/>
      <c r="D628" s="12" t="n"/>
      <c r="E628" s="12" t="n"/>
      <c r="F628" s="12" t="n"/>
      <c r="G628" s="24">
        <f>IF($A628="","",IF($B628="","EKSİK","TAM"))</f>
        <v/>
      </c>
    </row>
    <row r="629">
      <c r="A629" s="12" t="n"/>
      <c r="B629" s="12" t="n"/>
      <c r="C629" s="12" t="n"/>
      <c r="D629" s="12" t="n"/>
      <c r="E629" s="12" t="n"/>
      <c r="F629" s="12" t="n"/>
      <c r="G629" s="24">
        <f>IF($A629="","",IF($B629="","EKSİK","TAM"))</f>
        <v/>
      </c>
    </row>
    <row r="630">
      <c r="A630" s="12" t="n"/>
      <c r="B630" s="12" t="n"/>
      <c r="C630" s="12" t="n"/>
      <c r="D630" s="12" t="n"/>
      <c r="E630" s="12" t="n"/>
      <c r="F630" s="12" t="n"/>
      <c r="G630" s="24">
        <f>IF($A630="","",IF($B630="","EKSİK","TAM"))</f>
        <v/>
      </c>
    </row>
    <row r="631">
      <c r="A631" s="12" t="n"/>
      <c r="B631" s="12" t="n"/>
      <c r="C631" s="12" t="n"/>
      <c r="D631" s="12" t="n"/>
      <c r="E631" s="12" t="n"/>
      <c r="F631" s="12" t="n"/>
      <c r="G631" s="24">
        <f>IF($A631="","",IF($B631="","EKSİK","TAM"))</f>
        <v/>
      </c>
    </row>
    <row r="632">
      <c r="A632" s="12" t="n"/>
      <c r="B632" s="12" t="n"/>
      <c r="C632" s="12" t="n"/>
      <c r="D632" s="12" t="n"/>
      <c r="E632" s="12" t="n"/>
      <c r="F632" s="12" t="n"/>
      <c r="G632" s="24">
        <f>IF($A632="","",IF($B632="","EKSİK","TAM"))</f>
        <v/>
      </c>
    </row>
    <row r="633">
      <c r="A633" s="12" t="n"/>
      <c r="B633" s="12" t="n"/>
      <c r="C633" s="12" t="n"/>
      <c r="D633" s="12" t="n"/>
      <c r="E633" s="12" t="n"/>
      <c r="F633" s="12" t="n"/>
      <c r="G633" s="24">
        <f>IF($A633="","",IF($B633="","EKSİK","TAM"))</f>
        <v/>
      </c>
    </row>
    <row r="634">
      <c r="A634" s="12" t="n"/>
      <c r="B634" s="12" t="n"/>
      <c r="C634" s="12" t="n"/>
      <c r="D634" s="12" t="n"/>
      <c r="E634" s="12" t="n"/>
      <c r="F634" s="12" t="n"/>
      <c r="G634" s="24">
        <f>IF($A634="","",IF($B634="","EKSİK","TAM"))</f>
        <v/>
      </c>
    </row>
    <row r="635">
      <c r="A635" s="12" t="n"/>
      <c r="B635" s="12" t="n"/>
      <c r="C635" s="12" t="n"/>
      <c r="D635" s="12" t="n"/>
      <c r="E635" s="12" t="n"/>
      <c r="F635" s="12" t="n"/>
      <c r="G635" s="24">
        <f>IF($A635="","",IF($B635="","EKSİK","TAM"))</f>
        <v/>
      </c>
    </row>
    <row r="636">
      <c r="A636" s="12" t="n"/>
      <c r="B636" s="12" t="n"/>
      <c r="C636" s="12" t="n"/>
      <c r="D636" s="12" t="n"/>
      <c r="E636" s="12" t="n"/>
      <c r="F636" s="12" t="n"/>
      <c r="G636" s="24">
        <f>IF($A636="","",IF($B636="","EKSİK","TAM"))</f>
        <v/>
      </c>
    </row>
    <row r="637">
      <c r="A637" s="12" t="n"/>
      <c r="B637" s="12" t="n"/>
      <c r="C637" s="12" t="n"/>
      <c r="D637" s="12" t="n"/>
      <c r="E637" s="12" t="n"/>
      <c r="F637" s="12" t="n"/>
      <c r="G637" s="24">
        <f>IF($A637="","",IF($B637="","EKSİK","TAM"))</f>
        <v/>
      </c>
    </row>
    <row r="638">
      <c r="A638" s="12" t="n"/>
      <c r="B638" s="12" t="n"/>
      <c r="C638" s="12" t="n"/>
      <c r="D638" s="12" t="n"/>
      <c r="E638" s="12" t="n"/>
      <c r="F638" s="12" t="n"/>
      <c r="G638" s="24">
        <f>IF($A638="","",IF($B638="","EKSİK","TAM"))</f>
        <v/>
      </c>
    </row>
    <row r="639">
      <c r="A639" s="12" t="n"/>
      <c r="B639" s="12" t="n"/>
      <c r="C639" s="12" t="n"/>
      <c r="D639" s="12" t="n"/>
      <c r="E639" s="12" t="n"/>
      <c r="F639" s="12" t="n"/>
      <c r="G639" s="24">
        <f>IF($A639="","",IF($B639="","EKSİK","TAM"))</f>
        <v/>
      </c>
    </row>
    <row r="640">
      <c r="A640" s="12" t="n"/>
      <c r="B640" s="12" t="n"/>
      <c r="C640" s="12" t="n"/>
      <c r="D640" s="12" t="n"/>
      <c r="E640" s="12" t="n"/>
      <c r="F640" s="12" t="n"/>
      <c r="G640" s="24">
        <f>IF($A640="","",IF($B640="","EKSİK","TAM"))</f>
        <v/>
      </c>
    </row>
    <row r="641">
      <c r="A641" s="12" t="n"/>
      <c r="B641" s="12" t="n"/>
      <c r="C641" s="12" t="n"/>
      <c r="D641" s="12" t="n"/>
      <c r="E641" s="12" t="n"/>
      <c r="F641" s="12" t="n"/>
      <c r="G641" s="24">
        <f>IF($A641="","",IF($B641="","EKSİK","TAM"))</f>
        <v/>
      </c>
    </row>
    <row r="642">
      <c r="A642" s="12" t="n"/>
      <c r="B642" s="12" t="n"/>
      <c r="C642" s="12" t="n"/>
      <c r="D642" s="12" t="n"/>
      <c r="E642" s="12" t="n"/>
      <c r="F642" s="12" t="n"/>
      <c r="G642" s="24">
        <f>IF($A642="","",IF($B642="","EKSİK","TAM"))</f>
        <v/>
      </c>
    </row>
    <row r="643">
      <c r="A643" s="12" t="n"/>
      <c r="B643" s="12" t="n"/>
      <c r="C643" s="12" t="n"/>
      <c r="D643" s="12" t="n"/>
      <c r="E643" s="12" t="n"/>
      <c r="F643" s="12" t="n"/>
      <c r="G643" s="24">
        <f>IF($A643="","",IF($B643="","EKSİK","TAM"))</f>
        <v/>
      </c>
    </row>
    <row r="644">
      <c r="A644" s="12" t="n"/>
      <c r="B644" s="12" t="n"/>
      <c r="C644" s="12" t="n"/>
      <c r="D644" s="12" t="n"/>
      <c r="E644" s="12" t="n"/>
      <c r="F644" s="12" t="n"/>
      <c r="G644" s="24">
        <f>IF($A644="","",IF($B644="","EKSİK","TAM"))</f>
        <v/>
      </c>
    </row>
    <row r="645">
      <c r="A645" s="12" t="n"/>
      <c r="B645" s="12" t="n"/>
      <c r="C645" s="12" t="n"/>
      <c r="D645" s="12" t="n"/>
      <c r="E645" s="12" t="n"/>
      <c r="F645" s="12" t="n"/>
      <c r="G645" s="24">
        <f>IF($A645="","",IF($B645="","EKSİK","TAM"))</f>
        <v/>
      </c>
    </row>
    <row r="646">
      <c r="A646" s="12" t="n"/>
      <c r="B646" s="12" t="n"/>
      <c r="C646" s="12" t="n"/>
      <c r="D646" s="12" t="n"/>
      <c r="E646" s="12" t="n"/>
      <c r="F646" s="12" t="n"/>
      <c r="G646" s="24">
        <f>IF($A646="","",IF($B646="","EKSİK","TAM"))</f>
        <v/>
      </c>
    </row>
    <row r="647">
      <c r="A647" s="12" t="n"/>
      <c r="B647" s="12" t="n"/>
      <c r="C647" s="12" t="n"/>
      <c r="D647" s="12" t="n"/>
      <c r="E647" s="12" t="n"/>
      <c r="F647" s="12" t="n"/>
      <c r="G647" s="24">
        <f>IF($A647="","",IF($B647="","EKSİK","TAM"))</f>
        <v/>
      </c>
    </row>
    <row r="648">
      <c r="A648" s="12" t="n"/>
      <c r="B648" s="12" t="n"/>
      <c r="C648" s="12" t="n"/>
      <c r="D648" s="12" t="n"/>
      <c r="E648" s="12" t="n"/>
      <c r="F648" s="12" t="n"/>
      <c r="G648" s="24">
        <f>IF($A648="","",IF($B648="","EKSİK","TAM"))</f>
        <v/>
      </c>
    </row>
    <row r="649">
      <c r="A649" s="12" t="n"/>
      <c r="B649" s="12" t="n"/>
      <c r="C649" s="12" t="n"/>
      <c r="D649" s="12" t="n"/>
      <c r="E649" s="12" t="n"/>
      <c r="F649" s="12" t="n"/>
      <c r="G649" s="24">
        <f>IF($A649="","",IF($B649="","EKSİK","TAM"))</f>
        <v/>
      </c>
    </row>
    <row r="650">
      <c r="A650" s="12" t="n"/>
      <c r="B650" s="12" t="n"/>
      <c r="C650" s="12" t="n"/>
      <c r="D650" s="12" t="n"/>
      <c r="E650" s="12" t="n"/>
      <c r="F650" s="12" t="n"/>
      <c r="G650" s="24">
        <f>IF($A650="","",IF($B650="","EKSİK","TAM"))</f>
        <v/>
      </c>
    </row>
    <row r="651">
      <c r="A651" s="12" t="n"/>
      <c r="B651" s="12" t="n"/>
      <c r="C651" s="12" t="n"/>
      <c r="D651" s="12" t="n"/>
      <c r="E651" s="12" t="n"/>
      <c r="F651" s="12" t="n"/>
      <c r="G651" s="24">
        <f>IF($A651="","",IF($B651="","EKSİK","TAM"))</f>
        <v/>
      </c>
    </row>
    <row r="652">
      <c r="A652" s="12" t="n"/>
      <c r="B652" s="12" t="n"/>
      <c r="C652" s="12" t="n"/>
      <c r="D652" s="12" t="n"/>
      <c r="E652" s="12" t="n"/>
      <c r="F652" s="12" t="n"/>
      <c r="G652" s="24">
        <f>IF($A652="","",IF($B652="","EKSİK","TAM"))</f>
        <v/>
      </c>
    </row>
    <row r="653">
      <c r="A653" s="12" t="n"/>
      <c r="B653" s="12" t="n"/>
      <c r="C653" s="12" t="n"/>
      <c r="D653" s="12" t="n"/>
      <c r="E653" s="12" t="n"/>
      <c r="F653" s="12" t="n"/>
      <c r="G653" s="24">
        <f>IF($A653="","",IF($B653="","EKSİK","TAM"))</f>
        <v/>
      </c>
    </row>
    <row r="654">
      <c r="A654" s="12" t="n"/>
      <c r="B654" s="12" t="n"/>
      <c r="C654" s="12" t="n"/>
      <c r="D654" s="12" t="n"/>
      <c r="E654" s="12" t="n"/>
      <c r="F654" s="12" t="n"/>
      <c r="G654" s="24">
        <f>IF($A654="","",IF($B654="","EKSİK","TAM"))</f>
        <v/>
      </c>
    </row>
    <row r="655">
      <c r="A655" s="12" t="n"/>
      <c r="B655" s="12" t="n"/>
      <c r="C655" s="12" t="n"/>
      <c r="D655" s="12" t="n"/>
      <c r="E655" s="12" t="n"/>
      <c r="F655" s="12" t="n"/>
      <c r="G655" s="24">
        <f>IF($A655="","",IF($B655="","EKSİK","TAM"))</f>
        <v/>
      </c>
    </row>
    <row r="656">
      <c r="A656" s="12" t="n"/>
      <c r="B656" s="12" t="n"/>
      <c r="C656" s="12" t="n"/>
      <c r="D656" s="12" t="n"/>
      <c r="E656" s="12" t="n"/>
      <c r="F656" s="12" t="n"/>
      <c r="G656" s="24">
        <f>IF($A656="","",IF($B656="","EKSİK","TAM"))</f>
        <v/>
      </c>
    </row>
    <row r="657">
      <c r="A657" s="12" t="n"/>
      <c r="B657" s="12" t="n"/>
      <c r="C657" s="12" t="n"/>
      <c r="D657" s="12" t="n"/>
      <c r="E657" s="12" t="n"/>
      <c r="F657" s="12" t="n"/>
      <c r="G657" s="24">
        <f>IF($A657="","",IF($B657="","EKSİK","TAM"))</f>
        <v/>
      </c>
    </row>
    <row r="658">
      <c r="A658" s="12" t="n"/>
      <c r="B658" s="12" t="n"/>
      <c r="C658" s="12" t="n"/>
      <c r="D658" s="12" t="n"/>
      <c r="E658" s="12" t="n"/>
      <c r="F658" s="12" t="n"/>
      <c r="G658" s="24">
        <f>IF($A658="","",IF($B658="","EKSİK","TAM"))</f>
        <v/>
      </c>
    </row>
    <row r="659">
      <c r="A659" s="12" t="n"/>
      <c r="B659" s="12" t="n"/>
      <c r="C659" s="12" t="n"/>
      <c r="D659" s="12" t="n"/>
      <c r="E659" s="12" t="n"/>
      <c r="F659" s="12" t="n"/>
      <c r="G659" s="24">
        <f>IF($A659="","",IF($B659="","EKSİK","TAM"))</f>
        <v/>
      </c>
    </row>
    <row r="660">
      <c r="A660" s="12" t="n"/>
      <c r="B660" s="12" t="n"/>
      <c r="C660" s="12" t="n"/>
      <c r="D660" s="12" t="n"/>
      <c r="E660" s="12" t="n"/>
      <c r="F660" s="12" t="n"/>
      <c r="G660" s="24">
        <f>IF($A660="","",IF($B660="","EKSİK","TAM"))</f>
        <v/>
      </c>
    </row>
    <row r="661">
      <c r="A661" s="12" t="n"/>
      <c r="B661" s="12" t="n"/>
      <c r="C661" s="12" t="n"/>
      <c r="D661" s="12" t="n"/>
      <c r="E661" s="12" t="n"/>
      <c r="F661" s="12" t="n"/>
      <c r="G661" s="24">
        <f>IF($A661="","",IF($B661="","EKSİK","TAM"))</f>
        <v/>
      </c>
    </row>
    <row r="662">
      <c r="A662" s="12" t="n"/>
      <c r="B662" s="12" t="n"/>
      <c r="C662" s="12" t="n"/>
      <c r="D662" s="12" t="n"/>
      <c r="E662" s="12" t="n"/>
      <c r="F662" s="12" t="n"/>
      <c r="G662" s="24">
        <f>IF($A662="","",IF($B662="","EKSİK","TAM"))</f>
        <v/>
      </c>
    </row>
    <row r="663">
      <c r="A663" s="12" t="n"/>
      <c r="B663" s="12" t="n"/>
      <c r="C663" s="12" t="n"/>
      <c r="D663" s="12" t="n"/>
      <c r="E663" s="12" t="n"/>
      <c r="F663" s="12" t="n"/>
      <c r="G663" s="24">
        <f>IF($A663="","",IF($B663="","EKSİK","TAM"))</f>
        <v/>
      </c>
    </row>
    <row r="664">
      <c r="A664" s="12" t="n"/>
      <c r="B664" s="12" t="n"/>
      <c r="C664" s="12" t="n"/>
      <c r="D664" s="12" t="n"/>
      <c r="E664" s="12" t="n"/>
      <c r="F664" s="12" t="n"/>
      <c r="G664" s="24">
        <f>IF($A664="","",IF($B664="","EKSİK","TAM"))</f>
        <v/>
      </c>
    </row>
    <row r="665">
      <c r="A665" s="12" t="n"/>
      <c r="B665" s="12" t="n"/>
      <c r="C665" s="12" t="n"/>
      <c r="D665" s="12" t="n"/>
      <c r="E665" s="12" t="n"/>
      <c r="F665" s="12" t="n"/>
      <c r="G665" s="24">
        <f>IF($A665="","",IF($B665="","EKSİK","TAM"))</f>
        <v/>
      </c>
    </row>
    <row r="666">
      <c r="A666" s="12" t="n"/>
      <c r="B666" s="12" t="n"/>
      <c r="C666" s="12" t="n"/>
      <c r="D666" s="12" t="n"/>
      <c r="E666" s="12" t="n"/>
      <c r="F666" s="12" t="n"/>
      <c r="G666" s="24">
        <f>IF($A666="","",IF($B666="","EKSİK","TAM"))</f>
        <v/>
      </c>
    </row>
    <row r="667">
      <c r="A667" s="12" t="n"/>
      <c r="B667" s="12" t="n"/>
      <c r="C667" s="12" t="n"/>
      <c r="D667" s="12" t="n"/>
      <c r="E667" s="12" t="n"/>
      <c r="F667" s="12" t="n"/>
      <c r="G667" s="24">
        <f>IF($A667="","",IF($B667="","EKSİK","TAM"))</f>
        <v/>
      </c>
    </row>
    <row r="668">
      <c r="A668" s="12" t="n"/>
      <c r="B668" s="12" t="n"/>
      <c r="C668" s="12" t="n"/>
      <c r="D668" s="12" t="n"/>
      <c r="E668" s="12" t="n"/>
      <c r="F668" s="12" t="n"/>
      <c r="G668" s="24">
        <f>IF($A668="","",IF($B668="","EKSİK","TAM"))</f>
        <v/>
      </c>
    </row>
    <row r="669">
      <c r="A669" s="12" t="n"/>
      <c r="B669" s="12" t="n"/>
      <c r="C669" s="12" t="n"/>
      <c r="D669" s="12" t="n"/>
      <c r="E669" s="12" t="n"/>
      <c r="F669" s="12" t="n"/>
      <c r="G669" s="24">
        <f>IF($A669="","",IF($B669="","EKSİK","TAM"))</f>
        <v/>
      </c>
    </row>
    <row r="670">
      <c r="A670" s="12" t="n"/>
      <c r="B670" s="12" t="n"/>
      <c r="C670" s="12" t="n"/>
      <c r="D670" s="12" t="n"/>
      <c r="E670" s="12" t="n"/>
      <c r="F670" s="12" t="n"/>
      <c r="G670" s="24">
        <f>IF($A670="","",IF($B670="","EKSİK","TAM"))</f>
        <v/>
      </c>
    </row>
    <row r="671">
      <c r="A671" s="12" t="n"/>
      <c r="B671" s="12" t="n"/>
      <c r="C671" s="12" t="n"/>
      <c r="D671" s="12" t="n"/>
      <c r="E671" s="12" t="n"/>
      <c r="F671" s="12" t="n"/>
      <c r="G671" s="24">
        <f>IF($A671="","",IF($B671="","EKSİK","TAM"))</f>
        <v/>
      </c>
    </row>
    <row r="672">
      <c r="A672" s="12" t="n"/>
      <c r="B672" s="12" t="n"/>
      <c r="C672" s="12" t="n"/>
      <c r="D672" s="12" t="n"/>
      <c r="E672" s="12" t="n"/>
      <c r="F672" s="12" t="n"/>
      <c r="G672" s="24">
        <f>IF($A672="","",IF($B672="","EKSİK","TAM"))</f>
        <v/>
      </c>
    </row>
    <row r="673">
      <c r="A673" s="12" t="n"/>
      <c r="B673" s="12" t="n"/>
      <c r="C673" s="12" t="n"/>
      <c r="D673" s="12" t="n"/>
      <c r="E673" s="12" t="n"/>
      <c r="F673" s="12" t="n"/>
      <c r="G673" s="24">
        <f>IF($A673="","",IF($B673="","EKSİK","TAM"))</f>
        <v/>
      </c>
    </row>
    <row r="674">
      <c r="A674" s="12" t="n"/>
      <c r="B674" s="12" t="n"/>
      <c r="C674" s="12" t="n"/>
      <c r="D674" s="12" t="n"/>
      <c r="E674" s="12" t="n"/>
      <c r="F674" s="12" t="n"/>
      <c r="G674" s="24">
        <f>IF($A674="","",IF($B674="","EKSİK","TAM"))</f>
        <v/>
      </c>
    </row>
    <row r="675">
      <c r="A675" s="12" t="n"/>
      <c r="B675" s="12" t="n"/>
      <c r="C675" s="12" t="n"/>
      <c r="D675" s="12" t="n"/>
      <c r="E675" s="12" t="n"/>
      <c r="F675" s="12" t="n"/>
      <c r="G675" s="24">
        <f>IF($A675="","",IF($B675="","EKSİK","TAM"))</f>
        <v/>
      </c>
    </row>
    <row r="676">
      <c r="A676" s="12" t="n"/>
      <c r="B676" s="12" t="n"/>
      <c r="C676" s="12" t="n"/>
      <c r="D676" s="12" t="n"/>
      <c r="E676" s="12" t="n"/>
      <c r="F676" s="12" t="n"/>
      <c r="G676" s="24">
        <f>IF($A676="","",IF($B676="","EKSİK","TAM"))</f>
        <v/>
      </c>
    </row>
    <row r="677">
      <c r="A677" s="12" t="n"/>
      <c r="B677" s="12" t="n"/>
      <c r="C677" s="12" t="n"/>
      <c r="D677" s="12" t="n"/>
      <c r="E677" s="12" t="n"/>
      <c r="F677" s="12" t="n"/>
      <c r="G677" s="24">
        <f>IF($A677="","",IF($B677="","EKSİK","TAM"))</f>
        <v/>
      </c>
    </row>
    <row r="678">
      <c r="A678" s="12" t="n"/>
      <c r="B678" s="12" t="n"/>
      <c r="C678" s="12" t="n"/>
      <c r="D678" s="12" t="n"/>
      <c r="E678" s="12" t="n"/>
      <c r="F678" s="12" t="n"/>
      <c r="G678" s="24">
        <f>IF($A678="","",IF($B678="","EKSİK","TAM"))</f>
        <v/>
      </c>
    </row>
    <row r="679">
      <c r="A679" s="12" t="n"/>
      <c r="B679" s="12" t="n"/>
      <c r="C679" s="12" t="n"/>
      <c r="D679" s="12" t="n"/>
      <c r="E679" s="12" t="n"/>
      <c r="F679" s="12" t="n"/>
      <c r="G679" s="24">
        <f>IF($A679="","",IF($B679="","EKSİK","TAM"))</f>
        <v/>
      </c>
    </row>
    <row r="680">
      <c r="A680" s="12" t="n"/>
      <c r="B680" s="12" t="n"/>
      <c r="C680" s="12" t="n"/>
      <c r="D680" s="12" t="n"/>
      <c r="E680" s="12" t="n"/>
      <c r="F680" s="12" t="n"/>
      <c r="G680" s="24">
        <f>IF($A680="","",IF($B680="","EKSİK","TAM"))</f>
        <v/>
      </c>
    </row>
    <row r="681">
      <c r="A681" s="12" t="n"/>
      <c r="B681" s="12" t="n"/>
      <c r="C681" s="12" t="n"/>
      <c r="D681" s="12" t="n"/>
      <c r="E681" s="12" t="n"/>
      <c r="F681" s="12" t="n"/>
      <c r="G681" s="24">
        <f>IF($A681="","",IF($B681="","EKSİK","TAM"))</f>
        <v/>
      </c>
    </row>
    <row r="682">
      <c r="A682" s="12" t="n"/>
      <c r="B682" s="12" t="n"/>
      <c r="C682" s="12" t="n"/>
      <c r="D682" s="12" t="n"/>
      <c r="E682" s="12" t="n"/>
      <c r="F682" s="12" t="n"/>
      <c r="G682" s="24">
        <f>IF($A682="","",IF($B682="","EKSİK","TAM"))</f>
        <v/>
      </c>
    </row>
    <row r="683">
      <c r="A683" s="12" t="n"/>
      <c r="B683" s="12" t="n"/>
      <c r="C683" s="12" t="n"/>
      <c r="D683" s="12" t="n"/>
      <c r="E683" s="12" t="n"/>
      <c r="F683" s="12" t="n"/>
      <c r="G683" s="24">
        <f>IF($A683="","",IF($B683="","EKSİK","TAM"))</f>
        <v/>
      </c>
    </row>
    <row r="684">
      <c r="A684" s="12" t="n"/>
      <c r="B684" s="12" t="n"/>
      <c r="C684" s="12" t="n"/>
      <c r="D684" s="12" t="n"/>
      <c r="E684" s="12" t="n"/>
      <c r="F684" s="12" t="n"/>
      <c r="G684" s="24">
        <f>IF($A684="","",IF($B684="","EKSİK","TAM"))</f>
        <v/>
      </c>
    </row>
    <row r="685">
      <c r="A685" s="12" t="n"/>
      <c r="B685" s="12" t="n"/>
      <c r="C685" s="12" t="n"/>
      <c r="D685" s="12" t="n"/>
      <c r="E685" s="12" t="n"/>
      <c r="F685" s="12" t="n"/>
      <c r="G685" s="24">
        <f>IF($A685="","",IF($B685="","EKSİK","TAM"))</f>
        <v/>
      </c>
    </row>
    <row r="686">
      <c r="A686" s="12" t="n"/>
      <c r="B686" s="12" t="n"/>
      <c r="C686" s="12" t="n"/>
      <c r="D686" s="12" t="n"/>
      <c r="E686" s="12" t="n"/>
      <c r="F686" s="12" t="n"/>
      <c r="G686" s="24">
        <f>IF($A686="","",IF($B686="","EKSİK","TAM"))</f>
        <v/>
      </c>
    </row>
    <row r="687">
      <c r="A687" s="12" t="n"/>
      <c r="B687" s="12" t="n"/>
      <c r="C687" s="12" t="n"/>
      <c r="D687" s="12" t="n"/>
      <c r="E687" s="12" t="n"/>
      <c r="F687" s="12" t="n"/>
      <c r="G687" s="24">
        <f>IF($A687="","",IF($B687="","EKSİK","TAM"))</f>
        <v/>
      </c>
    </row>
    <row r="688">
      <c r="A688" s="12" t="n"/>
      <c r="B688" s="12" t="n"/>
      <c r="C688" s="12" t="n"/>
      <c r="D688" s="12" t="n"/>
      <c r="E688" s="12" t="n"/>
      <c r="F688" s="12" t="n"/>
      <c r="G688" s="24">
        <f>IF($A688="","",IF($B688="","EKSİK","TAM"))</f>
        <v/>
      </c>
    </row>
    <row r="689">
      <c r="A689" s="12" t="n"/>
      <c r="B689" s="12" t="n"/>
      <c r="C689" s="12" t="n"/>
      <c r="D689" s="12" t="n"/>
      <c r="E689" s="12" t="n"/>
      <c r="F689" s="12" t="n"/>
      <c r="G689" s="24">
        <f>IF($A689="","",IF($B689="","EKSİK","TAM"))</f>
        <v/>
      </c>
    </row>
    <row r="690">
      <c r="A690" s="12" t="n"/>
      <c r="B690" s="12" t="n"/>
      <c r="C690" s="12" t="n"/>
      <c r="D690" s="12" t="n"/>
      <c r="E690" s="12" t="n"/>
      <c r="F690" s="12" t="n"/>
      <c r="G690" s="24">
        <f>IF($A690="","",IF($B690="","EKSİK","TAM"))</f>
        <v/>
      </c>
    </row>
    <row r="691">
      <c r="A691" s="12" t="n"/>
      <c r="B691" s="12" t="n"/>
      <c r="C691" s="12" t="n"/>
      <c r="D691" s="12" t="n"/>
      <c r="E691" s="12" t="n"/>
      <c r="F691" s="12" t="n"/>
      <c r="G691" s="24">
        <f>IF($A691="","",IF($B691="","EKSİK","TAM"))</f>
        <v/>
      </c>
    </row>
    <row r="692">
      <c r="A692" s="12" t="n"/>
      <c r="B692" s="12" t="n"/>
      <c r="C692" s="12" t="n"/>
      <c r="D692" s="12" t="n"/>
      <c r="E692" s="12" t="n"/>
      <c r="F692" s="12" t="n"/>
      <c r="G692" s="24">
        <f>IF($A692="","",IF($B692="","EKSİK","TAM"))</f>
        <v/>
      </c>
    </row>
    <row r="693">
      <c r="A693" s="12" t="n"/>
      <c r="B693" s="12" t="n"/>
      <c r="C693" s="12" t="n"/>
      <c r="D693" s="12" t="n"/>
      <c r="E693" s="12" t="n"/>
      <c r="F693" s="12" t="n"/>
      <c r="G693" s="24">
        <f>IF($A693="","",IF($B693="","EKSİK","TAM"))</f>
        <v/>
      </c>
    </row>
    <row r="694">
      <c r="A694" s="12" t="n"/>
      <c r="B694" s="12" t="n"/>
      <c r="C694" s="12" t="n"/>
      <c r="D694" s="12" t="n"/>
      <c r="E694" s="12" t="n"/>
      <c r="F694" s="12" t="n"/>
      <c r="G694" s="24">
        <f>IF($A694="","",IF($B694="","EKSİK","TAM"))</f>
        <v/>
      </c>
    </row>
    <row r="695">
      <c r="A695" s="12" t="n"/>
      <c r="B695" s="12" t="n"/>
      <c r="C695" s="12" t="n"/>
      <c r="D695" s="12" t="n"/>
      <c r="E695" s="12" t="n"/>
      <c r="F695" s="12" t="n"/>
      <c r="G695" s="24">
        <f>IF($A695="","",IF($B695="","EKSİK","TAM"))</f>
        <v/>
      </c>
    </row>
    <row r="696">
      <c r="A696" s="12" t="n"/>
      <c r="B696" s="12" t="n"/>
      <c r="C696" s="12" t="n"/>
      <c r="D696" s="12" t="n"/>
      <c r="E696" s="12" t="n"/>
      <c r="F696" s="12" t="n"/>
      <c r="G696" s="24">
        <f>IF($A696="","",IF($B696="","EKSİK","TAM"))</f>
        <v/>
      </c>
    </row>
    <row r="697">
      <c r="A697" s="12" t="n"/>
      <c r="B697" s="12" t="n"/>
      <c r="C697" s="12" t="n"/>
      <c r="D697" s="12" t="n"/>
      <c r="E697" s="12" t="n"/>
      <c r="F697" s="12" t="n"/>
      <c r="G697" s="24">
        <f>IF($A697="","",IF($B697="","EKSİK","TAM"))</f>
        <v/>
      </c>
    </row>
    <row r="698">
      <c r="A698" s="12" t="n"/>
      <c r="B698" s="12" t="n"/>
      <c r="C698" s="12" t="n"/>
      <c r="D698" s="12" t="n"/>
      <c r="E698" s="12" t="n"/>
      <c r="F698" s="12" t="n"/>
      <c r="G698" s="24">
        <f>IF($A698="","",IF($B698="","EKSİK","TAM"))</f>
        <v/>
      </c>
    </row>
    <row r="699">
      <c r="A699" s="12" t="n"/>
      <c r="B699" s="12" t="n"/>
      <c r="C699" s="12" t="n"/>
      <c r="D699" s="12" t="n"/>
      <c r="E699" s="12" t="n"/>
      <c r="F699" s="12" t="n"/>
      <c r="G699" s="24">
        <f>IF($A699="","",IF($B699="","EKSİK","TAM"))</f>
        <v/>
      </c>
    </row>
    <row r="700">
      <c r="A700" s="12" t="n"/>
      <c r="B700" s="12" t="n"/>
      <c r="C700" s="12" t="n"/>
      <c r="D700" s="12" t="n"/>
      <c r="E700" s="12" t="n"/>
      <c r="F700" s="12" t="n"/>
      <c r="G700" s="24">
        <f>IF($A700="","",IF($B700="","EKSİK","TAM"))</f>
        <v/>
      </c>
    </row>
    <row r="701">
      <c r="A701" s="12" t="n"/>
      <c r="B701" s="12" t="n"/>
      <c r="C701" s="12" t="n"/>
      <c r="D701" s="12" t="n"/>
      <c r="E701" s="12" t="n"/>
      <c r="F701" s="12" t="n"/>
      <c r="G701" s="24">
        <f>IF($A701="","",IF($B701="","EKSİK","TAM"))</f>
        <v/>
      </c>
    </row>
    <row r="702">
      <c r="A702" s="12" t="n"/>
      <c r="B702" s="12" t="n"/>
      <c r="C702" s="12" t="n"/>
      <c r="D702" s="12" t="n"/>
      <c r="E702" s="12" t="n"/>
      <c r="F702" s="12" t="n"/>
      <c r="G702" s="24">
        <f>IF($A702="","",IF($B702="","EKSİK","TAM"))</f>
        <v/>
      </c>
    </row>
    <row r="703">
      <c r="A703" s="12" t="n"/>
      <c r="B703" s="12" t="n"/>
      <c r="C703" s="12" t="n"/>
      <c r="D703" s="12" t="n"/>
      <c r="E703" s="12" t="n"/>
      <c r="F703" s="12" t="n"/>
      <c r="G703" s="24">
        <f>IF($A703="","",IF($B703="","EKSİK","TAM"))</f>
        <v/>
      </c>
    </row>
    <row r="704">
      <c r="A704" s="12" t="n"/>
      <c r="B704" s="12" t="n"/>
      <c r="C704" s="12" t="n"/>
      <c r="D704" s="12" t="n"/>
      <c r="E704" s="12" t="n"/>
      <c r="F704" s="12" t="n"/>
      <c r="G704" s="24">
        <f>IF($A704="","",IF($B704="","EKSİK","TAM"))</f>
        <v/>
      </c>
    </row>
    <row r="705">
      <c r="A705" s="12" t="n"/>
      <c r="B705" s="12" t="n"/>
      <c r="C705" s="12" t="n"/>
      <c r="D705" s="12" t="n"/>
      <c r="E705" s="12" t="n"/>
      <c r="F705" s="12" t="n"/>
      <c r="G705" s="24">
        <f>IF($A705="","",IF($B705="","EKSİK","TAM"))</f>
        <v/>
      </c>
    </row>
    <row r="706">
      <c r="A706" s="12" t="n"/>
      <c r="B706" s="12" t="n"/>
      <c r="C706" s="12" t="n"/>
      <c r="D706" s="12" t="n"/>
      <c r="E706" s="12" t="n"/>
      <c r="F706" s="12" t="n"/>
      <c r="G706" s="24">
        <f>IF($A706="","",IF($B706="","EKSİK","TAM"))</f>
        <v/>
      </c>
    </row>
    <row r="707">
      <c r="A707" s="12" t="n"/>
      <c r="B707" s="12" t="n"/>
      <c r="C707" s="12" t="n"/>
      <c r="D707" s="12" t="n"/>
      <c r="E707" s="12" t="n"/>
      <c r="F707" s="12" t="n"/>
      <c r="G707" s="24">
        <f>IF($A707="","",IF($B707="","EKSİK","TAM"))</f>
        <v/>
      </c>
    </row>
    <row r="708">
      <c r="A708" s="12" t="n"/>
      <c r="B708" s="12" t="n"/>
      <c r="C708" s="12" t="n"/>
      <c r="D708" s="12" t="n"/>
      <c r="E708" s="12" t="n"/>
      <c r="F708" s="12" t="n"/>
      <c r="G708" s="24">
        <f>IF($A708="","",IF($B708="","EKSİK","TAM"))</f>
        <v/>
      </c>
    </row>
    <row r="709">
      <c r="A709" s="12" t="n"/>
      <c r="B709" s="12" t="n"/>
      <c r="C709" s="12" t="n"/>
      <c r="D709" s="12" t="n"/>
      <c r="E709" s="12" t="n"/>
      <c r="F709" s="12" t="n"/>
      <c r="G709" s="24">
        <f>IF($A709="","",IF($B709="","EKSİK","TAM"))</f>
        <v/>
      </c>
    </row>
    <row r="710">
      <c r="A710" s="12" t="n"/>
      <c r="B710" s="12" t="n"/>
      <c r="C710" s="12" t="n"/>
      <c r="D710" s="12" t="n"/>
      <c r="E710" s="12" t="n"/>
      <c r="F710" s="12" t="n"/>
      <c r="G710" s="24">
        <f>IF($A710="","",IF($B710="","EKSİK","TAM"))</f>
        <v/>
      </c>
    </row>
    <row r="711">
      <c r="A711" s="12" t="n"/>
      <c r="B711" s="12" t="n"/>
      <c r="C711" s="12" t="n"/>
      <c r="D711" s="12" t="n"/>
      <c r="E711" s="12" t="n"/>
      <c r="F711" s="12" t="n"/>
      <c r="G711" s="24">
        <f>IF($A711="","",IF($B711="","EKSİK","TAM"))</f>
        <v/>
      </c>
    </row>
    <row r="712">
      <c r="A712" s="12" t="n"/>
      <c r="B712" s="12" t="n"/>
      <c r="C712" s="12" t="n"/>
      <c r="D712" s="12" t="n"/>
      <c r="E712" s="12" t="n"/>
      <c r="F712" s="12" t="n"/>
      <c r="G712" s="24">
        <f>IF($A712="","",IF($B712="","EKSİK","TAM"))</f>
        <v/>
      </c>
    </row>
    <row r="713">
      <c r="A713" s="12" t="n"/>
      <c r="B713" s="12" t="n"/>
      <c r="C713" s="12" t="n"/>
      <c r="D713" s="12" t="n"/>
      <c r="E713" s="12" t="n"/>
      <c r="F713" s="12" t="n"/>
      <c r="G713" s="24">
        <f>IF($A713="","",IF($B713="","EKSİK","TAM"))</f>
        <v/>
      </c>
    </row>
    <row r="714">
      <c r="A714" s="12" t="n"/>
      <c r="B714" s="12" t="n"/>
      <c r="C714" s="12" t="n"/>
      <c r="D714" s="12" t="n"/>
      <c r="E714" s="12" t="n"/>
      <c r="F714" s="12" t="n"/>
      <c r="G714" s="24">
        <f>IF($A714="","",IF($B714="","EKSİK","TAM"))</f>
        <v/>
      </c>
    </row>
    <row r="715">
      <c r="A715" s="12" t="n"/>
      <c r="B715" s="12" t="n"/>
      <c r="C715" s="12" t="n"/>
      <c r="D715" s="12" t="n"/>
      <c r="E715" s="12" t="n"/>
      <c r="F715" s="12" t="n"/>
      <c r="G715" s="24">
        <f>IF($A715="","",IF($B715="","EKSİK","TAM"))</f>
        <v/>
      </c>
    </row>
    <row r="716">
      <c r="A716" s="12" t="n"/>
      <c r="B716" s="12" t="n"/>
      <c r="C716" s="12" t="n"/>
      <c r="D716" s="12" t="n"/>
      <c r="E716" s="12" t="n"/>
      <c r="F716" s="12" t="n"/>
      <c r="G716" s="24">
        <f>IF($A716="","",IF($B716="","EKSİK","TAM"))</f>
        <v/>
      </c>
    </row>
    <row r="717">
      <c r="A717" s="12" t="n"/>
      <c r="B717" s="12" t="n"/>
      <c r="C717" s="12" t="n"/>
      <c r="D717" s="12" t="n"/>
      <c r="E717" s="12" t="n"/>
      <c r="F717" s="12" t="n"/>
      <c r="G717" s="24">
        <f>IF($A717="","",IF($B717="","EKSİK","TAM"))</f>
        <v/>
      </c>
    </row>
    <row r="718">
      <c r="A718" s="12" t="n"/>
      <c r="B718" s="12" t="n"/>
      <c r="C718" s="12" t="n"/>
      <c r="D718" s="12" t="n"/>
      <c r="E718" s="12" t="n"/>
      <c r="F718" s="12" t="n"/>
      <c r="G718" s="24">
        <f>IF($A718="","",IF($B718="","EKSİK","TAM"))</f>
        <v/>
      </c>
    </row>
    <row r="719">
      <c r="A719" s="12" t="n"/>
      <c r="B719" s="12" t="n"/>
      <c r="C719" s="12" t="n"/>
      <c r="D719" s="12" t="n"/>
      <c r="E719" s="12" t="n"/>
      <c r="F719" s="12" t="n"/>
      <c r="G719" s="24">
        <f>IF($A719="","",IF($B719="","EKSİK","TAM"))</f>
        <v/>
      </c>
    </row>
    <row r="720">
      <c r="A720" s="12" t="n"/>
      <c r="B720" s="12" t="n"/>
      <c r="C720" s="12" t="n"/>
      <c r="D720" s="12" t="n"/>
      <c r="E720" s="12" t="n"/>
      <c r="F720" s="12" t="n"/>
      <c r="G720" s="24">
        <f>IF($A720="","",IF($B720="","EKSİK","TAM"))</f>
        <v/>
      </c>
    </row>
    <row r="721">
      <c r="A721" s="12" t="n"/>
      <c r="B721" s="12" t="n"/>
      <c r="C721" s="12" t="n"/>
      <c r="D721" s="12" t="n"/>
      <c r="E721" s="12" t="n"/>
      <c r="F721" s="12" t="n"/>
      <c r="G721" s="24">
        <f>IF($A721="","",IF($B721="","EKSİK","TAM"))</f>
        <v/>
      </c>
    </row>
    <row r="722">
      <c r="A722" s="12" t="n"/>
      <c r="B722" s="12" t="n"/>
      <c r="C722" s="12" t="n"/>
      <c r="D722" s="12" t="n"/>
      <c r="E722" s="12" t="n"/>
      <c r="F722" s="12" t="n"/>
      <c r="G722" s="24">
        <f>IF($A722="","",IF($B722="","EKSİK","TAM"))</f>
        <v/>
      </c>
    </row>
    <row r="723">
      <c r="A723" s="12" t="n"/>
      <c r="B723" s="12" t="n"/>
      <c r="C723" s="12" t="n"/>
      <c r="D723" s="12" t="n"/>
      <c r="E723" s="12" t="n"/>
      <c r="F723" s="12" t="n"/>
      <c r="G723" s="24">
        <f>IF($A723="","",IF($B723="","EKSİK","TAM"))</f>
        <v/>
      </c>
    </row>
    <row r="724">
      <c r="A724" s="12" t="n"/>
      <c r="B724" s="12" t="n"/>
      <c r="C724" s="12" t="n"/>
      <c r="D724" s="12" t="n"/>
      <c r="E724" s="12" t="n"/>
      <c r="F724" s="12" t="n"/>
      <c r="G724" s="24">
        <f>IF($A724="","",IF($B724="","EKSİK","TAM"))</f>
        <v/>
      </c>
    </row>
    <row r="725">
      <c r="A725" s="12" t="n"/>
      <c r="B725" s="12" t="n"/>
      <c r="C725" s="12" t="n"/>
      <c r="D725" s="12" t="n"/>
      <c r="E725" s="12" t="n"/>
      <c r="F725" s="12" t="n"/>
      <c r="G725" s="24">
        <f>IF($A725="","",IF($B725="","EKSİK","TAM"))</f>
        <v/>
      </c>
    </row>
    <row r="726">
      <c r="A726" s="12" t="n"/>
      <c r="B726" s="12" t="n"/>
      <c r="C726" s="12" t="n"/>
      <c r="D726" s="12" t="n"/>
      <c r="E726" s="12" t="n"/>
      <c r="F726" s="12" t="n"/>
      <c r="G726" s="24">
        <f>IF($A726="","",IF($B726="","EKSİK","TAM"))</f>
        <v/>
      </c>
    </row>
    <row r="727">
      <c r="A727" s="12" t="n"/>
      <c r="B727" s="12" t="n"/>
      <c r="C727" s="12" t="n"/>
      <c r="D727" s="12" t="n"/>
      <c r="E727" s="12" t="n"/>
      <c r="F727" s="12" t="n"/>
      <c r="G727" s="24">
        <f>IF($A727="","",IF($B727="","EKSİK","TAM"))</f>
        <v/>
      </c>
    </row>
    <row r="728">
      <c r="A728" s="12" t="n"/>
      <c r="B728" s="12" t="n"/>
      <c r="C728" s="12" t="n"/>
      <c r="D728" s="12" t="n"/>
      <c r="E728" s="12" t="n"/>
      <c r="F728" s="12" t="n"/>
      <c r="G728" s="24">
        <f>IF($A728="","",IF($B728="","EKSİK","TAM"))</f>
        <v/>
      </c>
    </row>
    <row r="729">
      <c r="A729" s="12" t="n"/>
      <c r="B729" s="12" t="n"/>
      <c r="C729" s="12" t="n"/>
      <c r="D729" s="12" t="n"/>
      <c r="E729" s="12" t="n"/>
      <c r="F729" s="12" t="n"/>
      <c r="G729" s="24">
        <f>IF($A729="","",IF($B729="","EKSİK","TAM"))</f>
        <v/>
      </c>
    </row>
    <row r="730">
      <c r="A730" s="12" t="n"/>
      <c r="B730" s="12" t="n"/>
      <c r="C730" s="12" t="n"/>
      <c r="D730" s="12" t="n"/>
      <c r="E730" s="12" t="n"/>
      <c r="F730" s="12" t="n"/>
      <c r="G730" s="24">
        <f>IF($A730="","",IF($B730="","EKSİK","TAM"))</f>
        <v/>
      </c>
    </row>
    <row r="731">
      <c r="A731" s="12" t="n"/>
      <c r="B731" s="12" t="n"/>
      <c r="C731" s="12" t="n"/>
      <c r="D731" s="12" t="n"/>
      <c r="E731" s="12" t="n"/>
      <c r="F731" s="12" t="n"/>
      <c r="G731" s="24">
        <f>IF($A731="","",IF($B731="","EKSİK","TAM"))</f>
        <v/>
      </c>
    </row>
    <row r="732">
      <c r="A732" s="12" t="n"/>
      <c r="B732" s="12" t="n"/>
      <c r="C732" s="12" t="n"/>
      <c r="D732" s="12" t="n"/>
      <c r="E732" s="12" t="n"/>
      <c r="F732" s="12" t="n"/>
      <c r="G732" s="24">
        <f>IF($A732="","",IF($B732="","EKSİK","TAM"))</f>
        <v/>
      </c>
    </row>
    <row r="733">
      <c r="A733" s="12" t="n"/>
      <c r="B733" s="12" t="n"/>
      <c r="C733" s="12" t="n"/>
      <c r="D733" s="12" t="n"/>
      <c r="E733" s="12" t="n"/>
      <c r="F733" s="12" t="n"/>
      <c r="G733" s="24">
        <f>IF($A733="","",IF($B733="","EKSİK","TAM"))</f>
        <v/>
      </c>
    </row>
    <row r="734">
      <c r="A734" s="12" t="n"/>
      <c r="B734" s="12" t="n"/>
      <c r="C734" s="12" t="n"/>
      <c r="D734" s="12" t="n"/>
      <c r="E734" s="12" t="n"/>
      <c r="F734" s="12" t="n"/>
      <c r="G734" s="24">
        <f>IF($A734="","",IF($B734="","EKSİK","TAM"))</f>
        <v/>
      </c>
    </row>
    <row r="735">
      <c r="A735" s="12" t="n"/>
      <c r="B735" s="12" t="n"/>
      <c r="C735" s="12" t="n"/>
      <c r="D735" s="12" t="n"/>
      <c r="E735" s="12" t="n"/>
      <c r="F735" s="12" t="n"/>
      <c r="G735" s="24">
        <f>IF($A735="","",IF($B735="","EKSİK","TAM"))</f>
        <v/>
      </c>
    </row>
    <row r="736">
      <c r="A736" s="12" t="n"/>
      <c r="B736" s="12" t="n"/>
      <c r="C736" s="12" t="n"/>
      <c r="D736" s="12" t="n"/>
      <c r="E736" s="12" t="n"/>
      <c r="F736" s="12" t="n"/>
      <c r="G736" s="24">
        <f>IF($A736="","",IF($B736="","EKSİK","TAM"))</f>
        <v/>
      </c>
    </row>
    <row r="737">
      <c r="A737" s="12" t="n"/>
      <c r="B737" s="12" t="n"/>
      <c r="C737" s="12" t="n"/>
      <c r="D737" s="12" t="n"/>
      <c r="E737" s="12" t="n"/>
      <c r="F737" s="12" t="n"/>
      <c r="G737" s="24">
        <f>IF($A737="","",IF($B737="","EKSİK","TAM"))</f>
        <v/>
      </c>
    </row>
    <row r="738">
      <c r="A738" s="12" t="n"/>
      <c r="B738" s="12" t="n"/>
      <c r="C738" s="12" t="n"/>
      <c r="D738" s="12" t="n"/>
      <c r="E738" s="12" t="n"/>
      <c r="F738" s="12" t="n"/>
      <c r="G738" s="24">
        <f>IF($A738="","",IF($B738="","EKSİK","TAM"))</f>
        <v/>
      </c>
    </row>
    <row r="739">
      <c r="A739" s="12" t="n"/>
      <c r="B739" s="12" t="n"/>
      <c r="C739" s="12" t="n"/>
      <c r="D739" s="12" t="n"/>
      <c r="E739" s="12" t="n"/>
      <c r="F739" s="12" t="n"/>
      <c r="G739" s="24">
        <f>IF($A739="","",IF($B739="","EKSİK","TAM"))</f>
        <v/>
      </c>
    </row>
    <row r="740">
      <c r="A740" s="12" t="n"/>
      <c r="B740" s="12" t="n"/>
      <c r="C740" s="12" t="n"/>
      <c r="D740" s="12" t="n"/>
      <c r="E740" s="12" t="n"/>
      <c r="F740" s="12" t="n"/>
      <c r="G740" s="24">
        <f>IF($A740="","",IF($B740="","EKSİK","TAM"))</f>
        <v/>
      </c>
    </row>
    <row r="741">
      <c r="A741" s="12" t="n"/>
      <c r="B741" s="12" t="n"/>
      <c r="C741" s="12" t="n"/>
      <c r="D741" s="12" t="n"/>
      <c r="E741" s="12" t="n"/>
      <c r="F741" s="12" t="n"/>
      <c r="G741" s="24">
        <f>IF($A741="","",IF($B741="","EKSİK","TAM"))</f>
        <v/>
      </c>
    </row>
    <row r="742">
      <c r="A742" s="12" t="n"/>
      <c r="B742" s="12" t="n"/>
      <c r="C742" s="12" t="n"/>
      <c r="D742" s="12" t="n"/>
      <c r="E742" s="12" t="n"/>
      <c r="F742" s="12" t="n"/>
      <c r="G742" s="24">
        <f>IF($A742="","",IF($B742="","EKSİK","TAM"))</f>
        <v/>
      </c>
    </row>
    <row r="743">
      <c r="A743" s="12" t="n"/>
      <c r="B743" s="12" t="n"/>
      <c r="C743" s="12" t="n"/>
      <c r="D743" s="12" t="n"/>
      <c r="E743" s="12" t="n"/>
      <c r="F743" s="12" t="n"/>
      <c r="G743" s="24">
        <f>IF($A743="","",IF($B743="","EKSİK","TAM"))</f>
        <v/>
      </c>
    </row>
    <row r="744">
      <c r="A744" s="12" t="n"/>
      <c r="B744" s="12" t="n"/>
      <c r="C744" s="12" t="n"/>
      <c r="D744" s="12" t="n"/>
      <c r="E744" s="12" t="n"/>
      <c r="F744" s="12" t="n"/>
      <c r="G744" s="24">
        <f>IF($A744="","",IF($B744="","EKSİK","TAM"))</f>
        <v/>
      </c>
    </row>
    <row r="745">
      <c r="A745" s="12" t="n"/>
      <c r="B745" s="12" t="n"/>
      <c r="C745" s="12" t="n"/>
      <c r="D745" s="12" t="n"/>
      <c r="E745" s="12" t="n"/>
      <c r="F745" s="12" t="n"/>
      <c r="G745" s="24">
        <f>IF($A745="","",IF($B745="","EKSİK","TAM"))</f>
        <v/>
      </c>
    </row>
    <row r="746">
      <c r="A746" s="12" t="n"/>
      <c r="B746" s="12" t="n"/>
      <c r="C746" s="12" t="n"/>
      <c r="D746" s="12" t="n"/>
      <c r="E746" s="12" t="n"/>
      <c r="F746" s="12" t="n"/>
      <c r="G746" s="24">
        <f>IF($A746="","",IF($B746="","EKSİK","TAM"))</f>
        <v/>
      </c>
    </row>
    <row r="747">
      <c r="A747" s="12" t="n"/>
      <c r="B747" s="12" t="n"/>
      <c r="C747" s="12" t="n"/>
      <c r="D747" s="12" t="n"/>
      <c r="E747" s="12" t="n"/>
      <c r="F747" s="12" t="n"/>
      <c r="G747" s="24">
        <f>IF($A747="","",IF($B747="","EKSİK","TAM"))</f>
        <v/>
      </c>
    </row>
    <row r="748">
      <c r="A748" s="12" t="n"/>
      <c r="B748" s="12" t="n"/>
      <c r="C748" s="12" t="n"/>
      <c r="D748" s="12" t="n"/>
      <c r="E748" s="12" t="n"/>
      <c r="F748" s="12" t="n"/>
      <c r="G748" s="24">
        <f>IF($A748="","",IF($B748="","EKSİK","TAM"))</f>
        <v/>
      </c>
    </row>
    <row r="749">
      <c r="A749" s="12" t="n"/>
      <c r="B749" s="12" t="n"/>
      <c r="C749" s="12" t="n"/>
      <c r="D749" s="12" t="n"/>
      <c r="E749" s="12" t="n"/>
      <c r="F749" s="12" t="n"/>
      <c r="G749" s="24">
        <f>IF($A749="","",IF($B749="","EKSİK","TAM"))</f>
        <v/>
      </c>
    </row>
    <row r="750">
      <c r="A750" s="12" t="n"/>
      <c r="B750" s="12" t="n"/>
      <c r="C750" s="12" t="n"/>
      <c r="D750" s="12" t="n"/>
      <c r="E750" s="12" t="n"/>
      <c r="F750" s="12" t="n"/>
      <c r="G750" s="24">
        <f>IF($A750="","",IF($B750="","EKSİK","TAM"))</f>
        <v/>
      </c>
    </row>
    <row r="751">
      <c r="A751" s="12" t="n"/>
      <c r="B751" s="12" t="n"/>
      <c r="C751" s="12" t="n"/>
      <c r="D751" s="12" t="n"/>
      <c r="E751" s="12" t="n"/>
      <c r="F751" s="12" t="n"/>
      <c r="G751" s="24">
        <f>IF($A751="","",IF($B751="","EKSİK","TAM"))</f>
        <v/>
      </c>
    </row>
    <row r="752">
      <c r="A752" s="12" t="n"/>
      <c r="B752" s="12" t="n"/>
      <c r="C752" s="12" t="n"/>
      <c r="D752" s="12" t="n"/>
      <c r="E752" s="12" t="n"/>
      <c r="F752" s="12" t="n"/>
      <c r="G752" s="24">
        <f>IF($A752="","",IF($B752="","EKSİK","TAM"))</f>
        <v/>
      </c>
    </row>
    <row r="753">
      <c r="A753" s="12" t="n"/>
      <c r="B753" s="12" t="n"/>
      <c r="C753" s="12" t="n"/>
      <c r="D753" s="12" t="n"/>
      <c r="E753" s="12" t="n"/>
      <c r="F753" s="12" t="n"/>
      <c r="G753" s="24">
        <f>IF($A753="","",IF($B753="","EKSİK","TAM"))</f>
        <v/>
      </c>
    </row>
    <row r="754">
      <c r="A754" s="12" t="n"/>
      <c r="B754" s="12" t="n"/>
      <c r="C754" s="12" t="n"/>
      <c r="D754" s="12" t="n"/>
      <c r="E754" s="12" t="n"/>
      <c r="F754" s="12" t="n"/>
      <c r="G754" s="24">
        <f>IF($A754="","",IF($B754="","EKSİK","TAM"))</f>
        <v/>
      </c>
    </row>
    <row r="755">
      <c r="A755" s="12" t="n"/>
      <c r="B755" s="12" t="n"/>
      <c r="C755" s="12" t="n"/>
      <c r="D755" s="12" t="n"/>
      <c r="E755" s="12" t="n"/>
      <c r="F755" s="12" t="n"/>
      <c r="G755" s="24">
        <f>IF($A755="","",IF($B755="","EKSİK","TAM"))</f>
        <v/>
      </c>
    </row>
    <row r="756">
      <c r="A756" s="12" t="n"/>
      <c r="B756" s="12" t="n"/>
      <c r="C756" s="12" t="n"/>
      <c r="D756" s="12" t="n"/>
      <c r="E756" s="12" t="n"/>
      <c r="F756" s="12" t="n"/>
      <c r="G756" s="24">
        <f>IF($A756="","",IF($B756="","EKSİK","TAM"))</f>
        <v/>
      </c>
    </row>
    <row r="757">
      <c r="A757" s="12" t="n"/>
      <c r="B757" s="12" t="n"/>
      <c r="C757" s="12" t="n"/>
      <c r="D757" s="12" t="n"/>
      <c r="E757" s="12" t="n"/>
      <c r="F757" s="12" t="n"/>
      <c r="G757" s="24">
        <f>IF($A757="","",IF($B757="","EKSİK","TAM"))</f>
        <v/>
      </c>
    </row>
    <row r="758">
      <c r="A758" s="12" t="n"/>
      <c r="B758" s="12" t="n"/>
      <c r="C758" s="12" t="n"/>
      <c r="D758" s="12" t="n"/>
      <c r="E758" s="12" t="n"/>
      <c r="F758" s="12" t="n"/>
      <c r="G758" s="24">
        <f>IF($A758="","",IF($B758="","EKSİK","TAM"))</f>
        <v/>
      </c>
    </row>
    <row r="759">
      <c r="A759" s="12" t="n"/>
      <c r="B759" s="12" t="n"/>
      <c r="C759" s="12" t="n"/>
      <c r="D759" s="12" t="n"/>
      <c r="E759" s="12" t="n"/>
      <c r="F759" s="12" t="n"/>
      <c r="G759" s="24">
        <f>IF($A759="","",IF($B759="","EKSİK","TAM"))</f>
        <v/>
      </c>
    </row>
    <row r="760">
      <c r="A760" s="12" t="n"/>
      <c r="B760" s="12" t="n"/>
      <c r="C760" s="12" t="n"/>
      <c r="D760" s="12" t="n"/>
      <c r="E760" s="12" t="n"/>
      <c r="F760" s="12" t="n"/>
      <c r="G760" s="24">
        <f>IF($A760="","",IF($B760="","EKSİK","TAM"))</f>
        <v/>
      </c>
    </row>
    <row r="761">
      <c r="A761" s="12" t="n"/>
      <c r="B761" s="12" t="n"/>
      <c r="C761" s="12" t="n"/>
      <c r="D761" s="12" t="n"/>
      <c r="E761" s="12" t="n"/>
      <c r="F761" s="12" t="n"/>
      <c r="G761" s="24">
        <f>IF($A761="","",IF($B761="","EKSİK","TAM"))</f>
        <v/>
      </c>
    </row>
    <row r="762">
      <c r="A762" s="12" t="n"/>
      <c r="B762" s="12" t="n"/>
      <c r="C762" s="12" t="n"/>
      <c r="D762" s="12" t="n"/>
      <c r="E762" s="12" t="n"/>
      <c r="F762" s="12" t="n"/>
      <c r="G762" s="24">
        <f>IF($A762="","",IF($B762="","EKSİK","TAM"))</f>
        <v/>
      </c>
    </row>
    <row r="763">
      <c r="A763" s="12" t="n"/>
      <c r="B763" s="12" t="n"/>
      <c r="C763" s="12" t="n"/>
      <c r="D763" s="12" t="n"/>
      <c r="E763" s="12" t="n"/>
      <c r="F763" s="12" t="n"/>
      <c r="G763" s="24">
        <f>IF($A763="","",IF($B763="","EKSİK","TAM"))</f>
        <v/>
      </c>
    </row>
    <row r="764">
      <c r="A764" s="12" t="n"/>
      <c r="B764" s="12" t="n"/>
      <c r="C764" s="12" t="n"/>
      <c r="D764" s="12" t="n"/>
      <c r="E764" s="12" t="n"/>
      <c r="F764" s="12" t="n"/>
      <c r="G764" s="24">
        <f>IF($A764="","",IF($B764="","EKSİK","TAM"))</f>
        <v/>
      </c>
    </row>
    <row r="765">
      <c r="A765" s="12" t="n"/>
      <c r="B765" s="12" t="n"/>
      <c r="C765" s="12" t="n"/>
      <c r="D765" s="12" t="n"/>
      <c r="E765" s="12" t="n"/>
      <c r="F765" s="12" t="n"/>
      <c r="G765" s="24">
        <f>IF($A765="","",IF($B765="","EKSİK","TAM"))</f>
        <v/>
      </c>
    </row>
    <row r="766">
      <c r="A766" s="12" t="n"/>
      <c r="B766" s="12" t="n"/>
      <c r="C766" s="12" t="n"/>
      <c r="D766" s="12" t="n"/>
      <c r="E766" s="12" t="n"/>
      <c r="F766" s="12" t="n"/>
      <c r="G766" s="24">
        <f>IF($A766="","",IF($B766="","EKSİK","TAM"))</f>
        <v/>
      </c>
    </row>
    <row r="767">
      <c r="A767" s="12" t="n"/>
      <c r="B767" s="12" t="n"/>
      <c r="C767" s="12" t="n"/>
      <c r="D767" s="12" t="n"/>
      <c r="E767" s="12" t="n"/>
      <c r="F767" s="12" t="n"/>
      <c r="G767" s="24">
        <f>IF($A767="","",IF($B767="","EKSİK","TAM"))</f>
        <v/>
      </c>
    </row>
    <row r="768">
      <c r="A768" s="12" t="n"/>
      <c r="B768" s="12" t="n"/>
      <c r="C768" s="12" t="n"/>
      <c r="D768" s="12" t="n"/>
      <c r="E768" s="12" t="n"/>
      <c r="F768" s="12" t="n"/>
      <c r="G768" s="24">
        <f>IF($A768="","",IF($B768="","EKSİK","TAM"))</f>
        <v/>
      </c>
    </row>
    <row r="769">
      <c r="A769" s="12" t="n"/>
      <c r="B769" s="12" t="n"/>
      <c r="C769" s="12" t="n"/>
      <c r="D769" s="12" t="n"/>
      <c r="E769" s="12" t="n"/>
      <c r="F769" s="12" t="n"/>
      <c r="G769" s="24">
        <f>IF($A769="","",IF($B769="","EKSİK","TAM"))</f>
        <v/>
      </c>
    </row>
    <row r="770">
      <c r="A770" s="12" t="n"/>
      <c r="B770" s="12" t="n"/>
      <c r="C770" s="12" t="n"/>
      <c r="D770" s="12" t="n"/>
      <c r="E770" s="12" t="n"/>
      <c r="F770" s="12" t="n"/>
      <c r="G770" s="24">
        <f>IF($A770="","",IF($B770="","EKSİK","TAM"))</f>
        <v/>
      </c>
    </row>
    <row r="771">
      <c r="A771" s="12" t="n"/>
      <c r="B771" s="12" t="n"/>
      <c r="C771" s="12" t="n"/>
      <c r="D771" s="12" t="n"/>
      <c r="E771" s="12" t="n"/>
      <c r="F771" s="12" t="n"/>
      <c r="G771" s="24">
        <f>IF($A771="","",IF($B771="","EKSİK","TAM"))</f>
        <v/>
      </c>
    </row>
    <row r="772">
      <c r="A772" s="12" t="n"/>
      <c r="B772" s="12" t="n"/>
      <c r="C772" s="12" t="n"/>
      <c r="D772" s="12" t="n"/>
      <c r="E772" s="12" t="n"/>
      <c r="F772" s="12" t="n"/>
      <c r="G772" s="24">
        <f>IF($A772="","",IF($B772="","EKSİK","TAM"))</f>
        <v/>
      </c>
    </row>
    <row r="773">
      <c r="A773" s="12" t="n"/>
      <c r="B773" s="12" t="n"/>
      <c r="C773" s="12" t="n"/>
      <c r="D773" s="12" t="n"/>
      <c r="E773" s="12" t="n"/>
      <c r="F773" s="12" t="n"/>
      <c r="G773" s="24">
        <f>IF($A773="","",IF($B773="","EKSİK","TAM"))</f>
        <v/>
      </c>
    </row>
    <row r="774">
      <c r="A774" s="12" t="n"/>
      <c r="B774" s="12" t="n"/>
      <c r="C774" s="12" t="n"/>
      <c r="D774" s="12" t="n"/>
      <c r="E774" s="12" t="n"/>
      <c r="F774" s="12" t="n"/>
      <c r="G774" s="24">
        <f>IF($A774="","",IF($B774="","EKSİK","TAM"))</f>
        <v/>
      </c>
    </row>
    <row r="775">
      <c r="A775" s="12" t="n"/>
      <c r="B775" s="12" t="n"/>
      <c r="C775" s="12" t="n"/>
      <c r="D775" s="12" t="n"/>
      <c r="E775" s="12" t="n"/>
      <c r="F775" s="12" t="n"/>
      <c r="G775" s="24">
        <f>IF($A775="","",IF($B775="","EKSİK","TAM"))</f>
        <v/>
      </c>
    </row>
    <row r="776">
      <c r="A776" s="12" t="n"/>
      <c r="B776" s="12" t="n"/>
      <c r="C776" s="12" t="n"/>
      <c r="D776" s="12" t="n"/>
      <c r="E776" s="12" t="n"/>
      <c r="F776" s="12" t="n"/>
      <c r="G776" s="24">
        <f>IF($A776="","",IF($B776="","EKSİK","TAM"))</f>
        <v/>
      </c>
    </row>
    <row r="777">
      <c r="A777" s="12" t="n"/>
      <c r="B777" s="12" t="n"/>
      <c r="C777" s="12" t="n"/>
      <c r="D777" s="12" t="n"/>
      <c r="E777" s="12" t="n"/>
      <c r="F777" s="12" t="n"/>
      <c r="G777" s="24">
        <f>IF($A777="","",IF($B777="","EKSİK","TAM"))</f>
        <v/>
      </c>
    </row>
    <row r="778">
      <c r="A778" s="12" t="n"/>
      <c r="B778" s="12" t="n"/>
      <c r="C778" s="12" t="n"/>
      <c r="D778" s="12" t="n"/>
      <c r="E778" s="12" t="n"/>
      <c r="F778" s="12" t="n"/>
      <c r="G778" s="24">
        <f>IF($A778="","",IF($B778="","EKSİK","TAM"))</f>
        <v/>
      </c>
    </row>
    <row r="779">
      <c r="A779" s="12" t="n"/>
      <c r="B779" s="12" t="n"/>
      <c r="C779" s="12" t="n"/>
      <c r="D779" s="12" t="n"/>
      <c r="E779" s="12" t="n"/>
      <c r="F779" s="12" t="n"/>
      <c r="G779" s="24">
        <f>IF($A779="","",IF($B779="","EKSİK","TAM"))</f>
        <v/>
      </c>
    </row>
    <row r="780">
      <c r="A780" s="12" t="n"/>
      <c r="B780" s="12" t="n"/>
      <c r="C780" s="12" t="n"/>
      <c r="D780" s="12" t="n"/>
      <c r="E780" s="12" t="n"/>
      <c r="F780" s="12" t="n"/>
      <c r="G780" s="24">
        <f>IF($A780="","",IF($B780="","EKSİK","TAM"))</f>
        <v/>
      </c>
    </row>
    <row r="781">
      <c r="A781" s="12" t="n"/>
      <c r="B781" s="12" t="n"/>
      <c r="C781" s="12" t="n"/>
      <c r="D781" s="12" t="n"/>
      <c r="E781" s="12" t="n"/>
      <c r="F781" s="12" t="n"/>
      <c r="G781" s="24">
        <f>IF($A781="","",IF($B781="","EKSİK","TAM"))</f>
        <v/>
      </c>
    </row>
    <row r="782">
      <c r="A782" s="12" t="n"/>
      <c r="B782" s="12" t="n"/>
      <c r="C782" s="12" t="n"/>
      <c r="D782" s="12" t="n"/>
      <c r="E782" s="12" t="n"/>
      <c r="F782" s="12" t="n"/>
      <c r="G782" s="24">
        <f>IF($A782="","",IF($B782="","EKSİK","TAM"))</f>
        <v/>
      </c>
    </row>
    <row r="783">
      <c r="A783" s="12" t="n"/>
      <c r="B783" s="12" t="n"/>
      <c r="C783" s="12" t="n"/>
      <c r="D783" s="12" t="n"/>
      <c r="E783" s="12" t="n"/>
      <c r="F783" s="12" t="n"/>
      <c r="G783" s="24">
        <f>IF($A783="","",IF($B783="","EKSİK","TAM"))</f>
        <v/>
      </c>
    </row>
    <row r="784">
      <c r="A784" s="12" t="n"/>
      <c r="B784" s="12" t="n"/>
      <c r="C784" s="12" t="n"/>
      <c r="D784" s="12" t="n"/>
      <c r="E784" s="12" t="n"/>
      <c r="F784" s="12" t="n"/>
      <c r="G784" s="24">
        <f>IF($A784="","",IF($B784="","EKSİK","TAM"))</f>
        <v/>
      </c>
    </row>
    <row r="785">
      <c r="A785" s="12" t="n"/>
      <c r="B785" s="12" t="n"/>
      <c r="C785" s="12" t="n"/>
      <c r="D785" s="12" t="n"/>
      <c r="E785" s="12" t="n"/>
      <c r="F785" s="12" t="n"/>
      <c r="G785" s="24">
        <f>IF($A785="","",IF($B785="","EKSİK","TAM"))</f>
        <v/>
      </c>
    </row>
    <row r="786">
      <c r="A786" s="12" t="n"/>
      <c r="B786" s="12" t="n"/>
      <c r="C786" s="12" t="n"/>
      <c r="D786" s="12" t="n"/>
      <c r="E786" s="12" t="n"/>
      <c r="F786" s="12" t="n"/>
      <c r="G786" s="24">
        <f>IF($A786="","",IF($B786="","EKSİK","TAM"))</f>
        <v/>
      </c>
    </row>
    <row r="787">
      <c r="A787" s="12" t="n"/>
      <c r="B787" s="12" t="n"/>
      <c r="C787" s="12" t="n"/>
      <c r="D787" s="12" t="n"/>
      <c r="E787" s="12" t="n"/>
      <c r="F787" s="12" t="n"/>
      <c r="G787" s="24">
        <f>IF($A787="","",IF($B787="","EKSİK","TAM"))</f>
        <v/>
      </c>
    </row>
    <row r="788">
      <c r="A788" s="12" t="n"/>
      <c r="B788" s="12" t="n"/>
      <c r="C788" s="12" t="n"/>
      <c r="D788" s="12" t="n"/>
      <c r="E788" s="12" t="n"/>
      <c r="F788" s="12" t="n"/>
      <c r="G788" s="24">
        <f>IF($A788="","",IF($B788="","EKSİK","TAM"))</f>
        <v/>
      </c>
    </row>
    <row r="789">
      <c r="A789" s="12" t="n"/>
      <c r="B789" s="12" t="n"/>
      <c r="C789" s="12" t="n"/>
      <c r="D789" s="12" t="n"/>
      <c r="E789" s="12" t="n"/>
      <c r="F789" s="12" t="n"/>
      <c r="G789" s="24">
        <f>IF($A789="","",IF($B789="","EKSİK","TAM"))</f>
        <v/>
      </c>
    </row>
    <row r="790">
      <c r="A790" s="12" t="n"/>
      <c r="B790" s="12" t="n"/>
      <c r="C790" s="12" t="n"/>
      <c r="D790" s="12" t="n"/>
      <c r="E790" s="12" t="n"/>
      <c r="F790" s="12" t="n"/>
      <c r="G790" s="24">
        <f>IF($A790="","",IF($B790="","EKSİK","TAM"))</f>
        <v/>
      </c>
    </row>
    <row r="791">
      <c r="A791" s="12" t="n"/>
      <c r="B791" s="12" t="n"/>
      <c r="C791" s="12" t="n"/>
      <c r="D791" s="12" t="n"/>
      <c r="E791" s="12" t="n"/>
      <c r="F791" s="12" t="n"/>
      <c r="G791" s="24">
        <f>IF($A791="","",IF($B791="","EKSİK","TAM"))</f>
        <v/>
      </c>
    </row>
    <row r="792">
      <c r="A792" s="12" t="n"/>
      <c r="B792" s="12" t="n"/>
      <c r="C792" s="12" t="n"/>
      <c r="D792" s="12" t="n"/>
      <c r="E792" s="12" t="n"/>
      <c r="F792" s="12" t="n"/>
      <c r="G792" s="24">
        <f>IF($A792="","",IF($B792="","EKSİK","TAM"))</f>
        <v/>
      </c>
    </row>
    <row r="793">
      <c r="A793" s="12" t="n"/>
      <c r="B793" s="12" t="n"/>
      <c r="C793" s="12" t="n"/>
      <c r="D793" s="12" t="n"/>
      <c r="E793" s="12" t="n"/>
      <c r="F793" s="12" t="n"/>
      <c r="G793" s="24">
        <f>IF($A793="","",IF($B793="","EKSİK","TAM"))</f>
        <v/>
      </c>
    </row>
    <row r="794">
      <c r="A794" s="12" t="n"/>
      <c r="B794" s="12" t="n"/>
      <c r="C794" s="12" t="n"/>
      <c r="D794" s="12" t="n"/>
      <c r="E794" s="12" t="n"/>
      <c r="F794" s="12" t="n"/>
      <c r="G794" s="24">
        <f>IF($A794="","",IF($B794="","EKSİK","TAM"))</f>
        <v/>
      </c>
    </row>
    <row r="795">
      <c r="A795" s="12" t="n"/>
      <c r="B795" s="12" t="n"/>
      <c r="C795" s="12" t="n"/>
      <c r="D795" s="12" t="n"/>
      <c r="E795" s="12" t="n"/>
      <c r="F795" s="12" t="n"/>
      <c r="G795" s="24">
        <f>IF($A795="","",IF($B795="","EKSİK","TAM"))</f>
        <v/>
      </c>
    </row>
    <row r="796">
      <c r="A796" s="12" t="n"/>
      <c r="B796" s="12" t="n"/>
      <c r="C796" s="12" t="n"/>
      <c r="D796" s="12" t="n"/>
      <c r="E796" s="12" t="n"/>
      <c r="F796" s="12" t="n"/>
      <c r="G796" s="24">
        <f>IF($A796="","",IF($B796="","EKSİK","TAM"))</f>
        <v/>
      </c>
    </row>
    <row r="797">
      <c r="A797" s="12" t="n"/>
      <c r="B797" s="12" t="n"/>
      <c r="C797" s="12" t="n"/>
      <c r="D797" s="12" t="n"/>
      <c r="E797" s="12" t="n"/>
      <c r="F797" s="12" t="n"/>
      <c r="G797" s="24">
        <f>IF($A797="","",IF($B797="","EKSİK","TAM"))</f>
        <v/>
      </c>
    </row>
    <row r="798">
      <c r="A798" s="12" t="n"/>
      <c r="B798" s="12" t="n"/>
      <c r="C798" s="12" t="n"/>
      <c r="D798" s="12" t="n"/>
      <c r="E798" s="12" t="n"/>
      <c r="F798" s="12" t="n"/>
      <c r="G798" s="24">
        <f>IF($A798="","",IF($B798="","EKSİK","TAM"))</f>
        <v/>
      </c>
    </row>
    <row r="799">
      <c r="A799" s="12" t="n"/>
      <c r="B799" s="12" t="n"/>
      <c r="C799" s="12" t="n"/>
      <c r="D799" s="12" t="n"/>
      <c r="E799" s="12" t="n"/>
      <c r="F799" s="12" t="n"/>
      <c r="G799" s="24">
        <f>IF($A799="","",IF($B799="","EKSİK","TAM"))</f>
        <v/>
      </c>
    </row>
    <row r="800">
      <c r="A800" s="12" t="n"/>
      <c r="B800" s="12" t="n"/>
      <c r="C800" s="12" t="n"/>
      <c r="D800" s="12" t="n"/>
      <c r="E800" s="12" t="n"/>
      <c r="F800" s="12" t="n"/>
      <c r="G800" s="24">
        <f>IF($A800="","",IF($B800="","EKSİK","TAM"))</f>
        <v/>
      </c>
    </row>
    <row r="801">
      <c r="A801" s="12" t="n"/>
      <c r="B801" s="12" t="n"/>
      <c r="C801" s="12" t="n"/>
      <c r="D801" s="12" t="n"/>
      <c r="E801" s="12" t="n"/>
      <c r="F801" s="12" t="n"/>
      <c r="G801" s="24">
        <f>IF($A801="","",IF($B801="","EKSİK","TAM"))</f>
        <v/>
      </c>
    </row>
    <row r="802">
      <c r="A802" s="12" t="n"/>
      <c r="B802" s="12" t="n"/>
      <c r="C802" s="12" t="n"/>
      <c r="D802" s="12" t="n"/>
      <c r="E802" s="12" t="n"/>
      <c r="F802" s="12" t="n"/>
      <c r="G802" s="24">
        <f>IF($A802="","",IF($B802="","EKSİK","TAM"))</f>
        <v/>
      </c>
    </row>
    <row r="803">
      <c r="A803" s="12" t="n"/>
      <c r="B803" s="12" t="n"/>
      <c r="C803" s="12" t="n"/>
      <c r="D803" s="12" t="n"/>
      <c r="E803" s="12" t="n"/>
      <c r="F803" s="12" t="n"/>
      <c r="G803" s="24">
        <f>IF($A803="","",IF($B803="","EKSİK","TAM"))</f>
        <v/>
      </c>
    </row>
    <row r="804">
      <c r="A804" s="12" t="n"/>
      <c r="B804" s="12" t="n"/>
      <c r="C804" s="12" t="n"/>
      <c r="D804" s="12" t="n"/>
      <c r="E804" s="12" t="n"/>
      <c r="F804" s="12" t="n"/>
      <c r="G804" s="24">
        <f>IF($A804="","",IF($B804="","EKSİK","TAM"))</f>
        <v/>
      </c>
    </row>
    <row r="805">
      <c r="A805" s="12" t="n"/>
      <c r="B805" s="12" t="n"/>
      <c r="C805" s="12" t="n"/>
      <c r="D805" s="12" t="n"/>
      <c r="E805" s="12" t="n"/>
      <c r="F805" s="12" t="n"/>
      <c r="G805" s="24">
        <f>IF($A805="","",IF($B805="","EKSİK","TAM"))</f>
        <v/>
      </c>
    </row>
    <row r="806">
      <c r="A806" s="12" t="n"/>
      <c r="B806" s="12" t="n"/>
      <c r="C806" s="12" t="n"/>
      <c r="D806" s="12" t="n"/>
      <c r="E806" s="12" t="n"/>
      <c r="F806" s="12" t="n"/>
      <c r="G806" s="24">
        <f>IF($A806="","",IF($B806="","EKSİK","TAM"))</f>
        <v/>
      </c>
    </row>
    <row r="807">
      <c r="A807" s="12" t="n"/>
      <c r="B807" s="12" t="n"/>
      <c r="C807" s="12" t="n"/>
      <c r="D807" s="12" t="n"/>
      <c r="E807" s="12" t="n"/>
      <c r="F807" s="12" t="n"/>
      <c r="G807" s="24">
        <f>IF($A807="","",IF($B807="","EKSİK","TAM"))</f>
        <v/>
      </c>
    </row>
    <row r="808">
      <c r="A808" s="12" t="n"/>
      <c r="B808" s="12" t="n"/>
      <c r="C808" s="12" t="n"/>
      <c r="D808" s="12" t="n"/>
      <c r="E808" s="12" t="n"/>
      <c r="F808" s="12" t="n"/>
      <c r="G808" s="24">
        <f>IF($A808="","",IF($B808="","EKSİK","TAM"))</f>
        <v/>
      </c>
    </row>
    <row r="809">
      <c r="A809" s="12" t="n"/>
      <c r="B809" s="12" t="n"/>
      <c r="C809" s="12" t="n"/>
      <c r="D809" s="12" t="n"/>
      <c r="E809" s="12" t="n"/>
      <c r="F809" s="12" t="n"/>
      <c r="G809" s="24">
        <f>IF($A809="","",IF($B809="","EKSİK","TAM"))</f>
        <v/>
      </c>
    </row>
    <row r="810">
      <c r="A810" s="12" t="n"/>
      <c r="B810" s="12" t="n"/>
      <c r="C810" s="12" t="n"/>
      <c r="D810" s="12" t="n"/>
      <c r="E810" s="12" t="n"/>
      <c r="F810" s="12" t="n"/>
      <c r="G810" s="24">
        <f>IF($A810="","",IF($B810="","EKSİK","TAM"))</f>
        <v/>
      </c>
    </row>
    <row r="811">
      <c r="A811" s="12" t="n"/>
      <c r="B811" s="12" t="n"/>
      <c r="C811" s="12" t="n"/>
      <c r="D811" s="12" t="n"/>
      <c r="E811" s="12" t="n"/>
      <c r="F811" s="12" t="n"/>
      <c r="G811" s="24">
        <f>IF($A811="","",IF($B811="","EKSİK","TAM"))</f>
        <v/>
      </c>
    </row>
    <row r="812">
      <c r="A812" s="12" t="n"/>
      <c r="B812" s="12" t="n"/>
      <c r="C812" s="12" t="n"/>
      <c r="D812" s="12" t="n"/>
      <c r="E812" s="12" t="n"/>
      <c r="F812" s="12" t="n"/>
      <c r="G812" s="24">
        <f>IF($A812="","",IF($B812="","EKSİK","TAM"))</f>
        <v/>
      </c>
    </row>
    <row r="813">
      <c r="A813" s="12" t="n"/>
      <c r="B813" s="12" t="n"/>
      <c r="C813" s="12" t="n"/>
      <c r="D813" s="12" t="n"/>
      <c r="E813" s="12" t="n"/>
      <c r="F813" s="12" t="n"/>
      <c r="G813" s="24">
        <f>IF($A813="","",IF($B813="","EKSİK","TAM"))</f>
        <v/>
      </c>
    </row>
    <row r="814">
      <c r="A814" s="12" t="n"/>
      <c r="B814" s="12" t="n"/>
      <c r="C814" s="12" t="n"/>
      <c r="D814" s="12" t="n"/>
      <c r="E814" s="12" t="n"/>
      <c r="F814" s="12" t="n"/>
      <c r="G814" s="24">
        <f>IF($A814="","",IF($B814="","EKSİK","TAM"))</f>
        <v/>
      </c>
    </row>
    <row r="815">
      <c r="A815" s="12" t="n"/>
      <c r="B815" s="12" t="n"/>
      <c r="C815" s="12" t="n"/>
      <c r="D815" s="12" t="n"/>
      <c r="E815" s="12" t="n"/>
      <c r="F815" s="12" t="n"/>
      <c r="G815" s="24">
        <f>IF($A815="","",IF($B815="","EKSİK","TAM"))</f>
        <v/>
      </c>
    </row>
    <row r="816">
      <c r="A816" s="12" t="n"/>
      <c r="B816" s="12" t="n"/>
      <c r="C816" s="12" t="n"/>
      <c r="D816" s="12" t="n"/>
      <c r="E816" s="12" t="n"/>
      <c r="F816" s="12" t="n"/>
      <c r="G816" s="24">
        <f>IF($A816="","",IF($B816="","EKSİK","TAM"))</f>
        <v/>
      </c>
    </row>
    <row r="817">
      <c r="A817" s="12" t="n"/>
      <c r="B817" s="12" t="n"/>
      <c r="C817" s="12" t="n"/>
      <c r="D817" s="12" t="n"/>
      <c r="E817" s="12" t="n"/>
      <c r="F817" s="12" t="n"/>
      <c r="G817" s="24">
        <f>IF($A817="","",IF($B817="","EKSİK","TAM"))</f>
        <v/>
      </c>
    </row>
    <row r="818">
      <c r="A818" s="12" t="n"/>
      <c r="B818" s="12" t="n"/>
      <c r="C818" s="12" t="n"/>
      <c r="D818" s="12" t="n"/>
      <c r="E818" s="12" t="n"/>
      <c r="F818" s="12" t="n"/>
      <c r="G818" s="24">
        <f>IF($A818="","",IF($B818="","EKSİK","TAM"))</f>
        <v/>
      </c>
    </row>
    <row r="819">
      <c r="A819" s="12" t="n"/>
      <c r="B819" s="12" t="n"/>
      <c r="C819" s="12" t="n"/>
      <c r="D819" s="12" t="n"/>
      <c r="E819" s="12" t="n"/>
      <c r="F819" s="12" t="n"/>
      <c r="G819" s="24">
        <f>IF($A819="","",IF($B819="","EKSİK","TAM"))</f>
        <v/>
      </c>
    </row>
    <row r="820">
      <c r="A820" s="12" t="n"/>
      <c r="B820" s="12" t="n"/>
      <c r="C820" s="12" t="n"/>
      <c r="D820" s="12" t="n"/>
      <c r="E820" s="12" t="n"/>
      <c r="F820" s="12" t="n"/>
      <c r="G820" s="24">
        <f>IF($A820="","",IF($B820="","EKSİK","TAM"))</f>
        <v/>
      </c>
    </row>
    <row r="821">
      <c r="A821" s="12" t="n"/>
      <c r="B821" s="12" t="n"/>
      <c r="C821" s="12" t="n"/>
      <c r="D821" s="12" t="n"/>
      <c r="E821" s="12" t="n"/>
      <c r="F821" s="12" t="n"/>
      <c r="G821" s="24">
        <f>IF($A821="","",IF($B821="","EKSİK","TAM"))</f>
        <v/>
      </c>
    </row>
    <row r="822">
      <c r="A822" s="12" t="n"/>
      <c r="B822" s="12" t="n"/>
      <c r="C822" s="12" t="n"/>
      <c r="D822" s="12" t="n"/>
      <c r="E822" s="12" t="n"/>
      <c r="F822" s="12" t="n"/>
      <c r="G822" s="24">
        <f>IF($A822="","",IF($B822="","EKSİK","TAM"))</f>
        <v/>
      </c>
    </row>
    <row r="823">
      <c r="A823" s="12" t="n"/>
      <c r="B823" s="12" t="n"/>
      <c r="C823" s="12" t="n"/>
      <c r="D823" s="12" t="n"/>
      <c r="E823" s="12" t="n"/>
      <c r="F823" s="12" t="n"/>
      <c r="G823" s="24">
        <f>IF($A823="","",IF($B823="","EKSİK","TAM"))</f>
        <v/>
      </c>
    </row>
    <row r="824">
      <c r="A824" s="12" t="n"/>
      <c r="B824" s="12" t="n"/>
      <c r="C824" s="12" t="n"/>
      <c r="D824" s="12" t="n"/>
      <c r="E824" s="12" t="n"/>
      <c r="F824" s="12" t="n"/>
      <c r="G824" s="24">
        <f>IF($A824="","",IF($B824="","EKSİK","TAM"))</f>
        <v/>
      </c>
    </row>
    <row r="825">
      <c r="A825" s="12" t="n"/>
      <c r="B825" s="12" t="n"/>
      <c r="C825" s="12" t="n"/>
      <c r="D825" s="12" t="n"/>
      <c r="E825" s="12" t="n"/>
      <c r="F825" s="12" t="n"/>
      <c r="G825" s="24">
        <f>IF($A825="","",IF($B825="","EKSİK","TAM"))</f>
        <v/>
      </c>
    </row>
    <row r="826">
      <c r="A826" s="12" t="n"/>
      <c r="B826" s="12" t="n"/>
      <c r="C826" s="12" t="n"/>
      <c r="D826" s="12" t="n"/>
      <c r="E826" s="12" t="n"/>
      <c r="F826" s="12" t="n"/>
      <c r="G826" s="24">
        <f>IF($A826="","",IF($B826="","EKSİK","TAM"))</f>
        <v/>
      </c>
    </row>
    <row r="827">
      <c r="A827" s="12" t="n"/>
      <c r="B827" s="12" t="n"/>
      <c r="C827" s="12" t="n"/>
      <c r="D827" s="12" t="n"/>
      <c r="E827" s="12" t="n"/>
      <c r="F827" s="12" t="n"/>
      <c r="G827" s="24">
        <f>IF($A827="","",IF($B827="","EKSİK","TAM"))</f>
        <v/>
      </c>
    </row>
    <row r="828">
      <c r="A828" s="12" t="n"/>
      <c r="B828" s="12" t="n"/>
      <c r="C828" s="12" t="n"/>
      <c r="D828" s="12" t="n"/>
      <c r="E828" s="12" t="n"/>
      <c r="F828" s="12" t="n"/>
      <c r="G828" s="24">
        <f>IF($A828="","",IF($B828="","EKSİK","TAM"))</f>
        <v/>
      </c>
    </row>
    <row r="829">
      <c r="A829" s="12" t="n"/>
      <c r="B829" s="12" t="n"/>
      <c r="C829" s="12" t="n"/>
      <c r="D829" s="12" t="n"/>
      <c r="E829" s="12" t="n"/>
      <c r="F829" s="12" t="n"/>
      <c r="G829" s="24">
        <f>IF($A829="","",IF($B829="","EKSİK","TAM"))</f>
        <v/>
      </c>
    </row>
    <row r="830">
      <c r="A830" s="12" t="n"/>
      <c r="B830" s="12" t="n"/>
      <c r="C830" s="12" t="n"/>
      <c r="D830" s="12" t="n"/>
      <c r="E830" s="12" t="n"/>
      <c r="F830" s="12" t="n"/>
      <c r="G830" s="24">
        <f>IF($A830="","",IF($B830="","EKSİK","TAM"))</f>
        <v/>
      </c>
    </row>
    <row r="831">
      <c r="A831" s="12" t="n"/>
      <c r="B831" s="12" t="n"/>
      <c r="C831" s="12" t="n"/>
      <c r="D831" s="12" t="n"/>
      <c r="E831" s="12" t="n"/>
      <c r="F831" s="12" t="n"/>
      <c r="G831" s="24">
        <f>IF($A831="","",IF($B831="","EKSİK","TAM"))</f>
        <v/>
      </c>
    </row>
    <row r="832">
      <c r="A832" s="12" t="n"/>
      <c r="B832" s="12" t="n"/>
      <c r="C832" s="12" t="n"/>
      <c r="D832" s="12" t="n"/>
      <c r="E832" s="12" t="n"/>
      <c r="F832" s="12" t="n"/>
      <c r="G832" s="24">
        <f>IF($A832="","",IF($B832="","EKSİK","TAM"))</f>
        <v/>
      </c>
    </row>
    <row r="833">
      <c r="A833" s="12" t="n"/>
      <c r="B833" s="12" t="n"/>
      <c r="C833" s="12" t="n"/>
      <c r="D833" s="12" t="n"/>
      <c r="E833" s="12" t="n"/>
      <c r="F833" s="12" t="n"/>
      <c r="G833" s="24">
        <f>IF($A833="","",IF($B833="","EKSİK","TAM"))</f>
        <v/>
      </c>
    </row>
    <row r="834">
      <c r="A834" s="12" t="n"/>
      <c r="B834" s="12" t="n"/>
      <c r="C834" s="12" t="n"/>
      <c r="D834" s="12" t="n"/>
      <c r="E834" s="12" t="n"/>
      <c r="F834" s="12" t="n"/>
      <c r="G834" s="24">
        <f>IF($A834="","",IF($B834="","EKSİK","TAM"))</f>
        <v/>
      </c>
    </row>
    <row r="835">
      <c r="A835" s="12" t="n"/>
      <c r="B835" s="12" t="n"/>
      <c r="C835" s="12" t="n"/>
      <c r="D835" s="12" t="n"/>
      <c r="E835" s="12" t="n"/>
      <c r="F835" s="12" t="n"/>
      <c r="G835" s="24">
        <f>IF($A835="","",IF($B835="","EKSİK","TAM"))</f>
        <v/>
      </c>
    </row>
    <row r="836">
      <c r="A836" s="12" t="n"/>
      <c r="B836" s="12" t="n"/>
      <c r="C836" s="12" t="n"/>
      <c r="D836" s="12" t="n"/>
      <c r="E836" s="12" t="n"/>
      <c r="F836" s="12" t="n"/>
      <c r="G836" s="24">
        <f>IF($A836="","",IF($B836="","EKSİK","TAM"))</f>
        <v/>
      </c>
    </row>
    <row r="837">
      <c r="A837" s="12" t="n"/>
      <c r="B837" s="12" t="n"/>
      <c r="C837" s="12" t="n"/>
      <c r="D837" s="12" t="n"/>
      <c r="E837" s="12" t="n"/>
      <c r="F837" s="12" t="n"/>
      <c r="G837" s="24">
        <f>IF($A837="","",IF($B837="","EKSİK","TAM"))</f>
        <v/>
      </c>
    </row>
    <row r="838">
      <c r="A838" s="12" t="n"/>
      <c r="B838" s="12" t="n"/>
      <c r="C838" s="12" t="n"/>
      <c r="D838" s="12" t="n"/>
      <c r="E838" s="12" t="n"/>
      <c r="F838" s="12" t="n"/>
      <c r="G838" s="24">
        <f>IF($A838="","",IF($B838="","EKSİK","TAM"))</f>
        <v/>
      </c>
    </row>
    <row r="839">
      <c r="A839" s="12" t="n"/>
      <c r="B839" s="12" t="n"/>
      <c r="C839" s="12" t="n"/>
      <c r="D839" s="12" t="n"/>
      <c r="E839" s="12" t="n"/>
      <c r="F839" s="12" t="n"/>
      <c r="G839" s="24">
        <f>IF($A839="","",IF($B839="","EKSİK","TAM"))</f>
        <v/>
      </c>
    </row>
    <row r="840">
      <c r="A840" s="12" t="n"/>
      <c r="B840" s="12" t="n"/>
      <c r="C840" s="12" t="n"/>
      <c r="D840" s="12" t="n"/>
      <c r="E840" s="12" t="n"/>
      <c r="F840" s="12" t="n"/>
      <c r="G840" s="24">
        <f>IF($A840="","",IF($B840="","EKSİK","TAM"))</f>
        <v/>
      </c>
    </row>
    <row r="841">
      <c r="A841" s="12" t="n"/>
      <c r="B841" s="12" t="n"/>
      <c r="C841" s="12" t="n"/>
      <c r="D841" s="12" t="n"/>
      <c r="E841" s="12" t="n"/>
      <c r="F841" s="12" t="n"/>
      <c r="G841" s="24">
        <f>IF($A841="","",IF($B841="","EKSİK","TAM"))</f>
        <v/>
      </c>
    </row>
    <row r="842">
      <c r="A842" s="12" t="n"/>
      <c r="B842" s="12" t="n"/>
      <c r="C842" s="12" t="n"/>
      <c r="D842" s="12" t="n"/>
      <c r="E842" s="12" t="n"/>
      <c r="F842" s="12" t="n"/>
      <c r="G842" s="24">
        <f>IF($A842="","",IF($B842="","EKSİK","TAM"))</f>
        <v/>
      </c>
    </row>
    <row r="843">
      <c r="A843" s="12" t="n"/>
      <c r="B843" s="12" t="n"/>
      <c r="C843" s="12" t="n"/>
      <c r="D843" s="12" t="n"/>
      <c r="E843" s="12" t="n"/>
      <c r="F843" s="12" t="n"/>
      <c r="G843" s="24">
        <f>IF($A843="","",IF($B843="","EKSİK","TAM"))</f>
        <v/>
      </c>
    </row>
    <row r="844">
      <c r="A844" s="12" t="n"/>
      <c r="B844" s="12" t="n"/>
      <c r="C844" s="12" t="n"/>
      <c r="D844" s="12" t="n"/>
      <c r="E844" s="12" t="n"/>
      <c r="F844" s="12" t="n"/>
      <c r="G844" s="24">
        <f>IF($A844="","",IF($B844="","EKSİK","TAM"))</f>
        <v/>
      </c>
    </row>
    <row r="845">
      <c r="A845" s="12" t="n"/>
      <c r="B845" s="12" t="n"/>
      <c r="C845" s="12" t="n"/>
      <c r="D845" s="12" t="n"/>
      <c r="E845" s="12" t="n"/>
      <c r="F845" s="12" t="n"/>
      <c r="G845" s="24">
        <f>IF($A845="","",IF($B845="","EKSİK","TAM"))</f>
        <v/>
      </c>
    </row>
    <row r="846">
      <c r="A846" s="12" t="n"/>
      <c r="B846" s="12" t="n"/>
      <c r="C846" s="12" t="n"/>
      <c r="D846" s="12" t="n"/>
      <c r="E846" s="12" t="n"/>
      <c r="F846" s="12" t="n"/>
      <c r="G846" s="24">
        <f>IF($A846="","",IF($B846="","EKSİK","TAM"))</f>
        <v/>
      </c>
    </row>
    <row r="847">
      <c r="A847" s="12" t="n"/>
      <c r="B847" s="12" t="n"/>
      <c r="C847" s="12" t="n"/>
      <c r="D847" s="12" t="n"/>
      <c r="E847" s="12" t="n"/>
      <c r="F847" s="12" t="n"/>
      <c r="G847" s="24">
        <f>IF($A847="","",IF($B847="","EKSİK","TAM"))</f>
        <v/>
      </c>
    </row>
    <row r="848">
      <c r="A848" s="12" t="n"/>
      <c r="B848" s="12" t="n"/>
      <c r="C848" s="12" t="n"/>
      <c r="D848" s="12" t="n"/>
      <c r="E848" s="12" t="n"/>
      <c r="F848" s="12" t="n"/>
      <c r="G848" s="24">
        <f>IF($A848="","",IF($B848="","EKSİK","TAM"))</f>
        <v/>
      </c>
    </row>
    <row r="849">
      <c r="A849" s="12" t="n"/>
      <c r="B849" s="12" t="n"/>
      <c r="C849" s="12" t="n"/>
      <c r="D849" s="12" t="n"/>
      <c r="E849" s="12" t="n"/>
      <c r="F849" s="12" t="n"/>
      <c r="G849" s="24">
        <f>IF($A849="","",IF($B849="","EKSİK","TAM"))</f>
        <v/>
      </c>
    </row>
    <row r="850">
      <c r="A850" s="12" t="n"/>
      <c r="B850" s="12" t="n"/>
      <c r="C850" s="12" t="n"/>
      <c r="D850" s="12" t="n"/>
      <c r="E850" s="12" t="n"/>
      <c r="F850" s="12" t="n"/>
      <c r="G850" s="24">
        <f>IF($A850="","",IF($B850="","EKSİK","TAM"))</f>
        <v/>
      </c>
    </row>
    <row r="851">
      <c r="A851" s="12" t="n"/>
      <c r="B851" s="12" t="n"/>
      <c r="C851" s="12" t="n"/>
      <c r="D851" s="12" t="n"/>
      <c r="E851" s="12" t="n"/>
      <c r="F851" s="12" t="n"/>
      <c r="G851" s="24">
        <f>IF($A851="","",IF($B851="","EKSİK","TAM"))</f>
        <v/>
      </c>
    </row>
    <row r="852">
      <c r="A852" s="12" t="n"/>
      <c r="B852" s="12" t="n"/>
      <c r="C852" s="12" t="n"/>
      <c r="D852" s="12" t="n"/>
      <c r="E852" s="12" t="n"/>
      <c r="F852" s="12" t="n"/>
      <c r="G852" s="24">
        <f>IF($A852="","",IF($B852="","EKSİK","TAM"))</f>
        <v/>
      </c>
    </row>
    <row r="853">
      <c r="A853" s="12" t="n"/>
      <c r="B853" s="12" t="n"/>
      <c r="C853" s="12" t="n"/>
      <c r="D853" s="12" t="n"/>
      <c r="E853" s="12" t="n"/>
      <c r="F853" s="12" t="n"/>
      <c r="G853" s="24">
        <f>IF($A853="","",IF($B853="","EKSİK","TAM"))</f>
        <v/>
      </c>
    </row>
    <row r="854">
      <c r="A854" s="12" t="n"/>
      <c r="B854" s="12" t="n"/>
      <c r="C854" s="12" t="n"/>
      <c r="D854" s="12" t="n"/>
      <c r="E854" s="12" t="n"/>
      <c r="F854" s="12" t="n"/>
      <c r="G854" s="24">
        <f>IF($A854="","",IF($B854="","EKSİK","TAM"))</f>
        <v/>
      </c>
    </row>
    <row r="855">
      <c r="A855" s="12" t="n"/>
      <c r="B855" s="12" t="n"/>
      <c r="C855" s="12" t="n"/>
      <c r="D855" s="12" t="n"/>
      <c r="E855" s="12" t="n"/>
      <c r="F855" s="12" t="n"/>
      <c r="G855" s="24">
        <f>IF($A855="","",IF($B855="","EKSİK","TAM"))</f>
        <v/>
      </c>
    </row>
    <row r="856">
      <c r="A856" s="12" t="n"/>
      <c r="B856" s="12" t="n"/>
      <c r="C856" s="12" t="n"/>
      <c r="D856" s="12" t="n"/>
      <c r="E856" s="12" t="n"/>
      <c r="F856" s="12" t="n"/>
      <c r="G856" s="24">
        <f>IF($A856="","",IF($B856="","EKSİK","TAM"))</f>
        <v/>
      </c>
    </row>
    <row r="857">
      <c r="A857" s="12" t="n"/>
      <c r="B857" s="12" t="n"/>
      <c r="C857" s="12" t="n"/>
      <c r="D857" s="12" t="n"/>
      <c r="E857" s="12" t="n"/>
      <c r="F857" s="12" t="n"/>
      <c r="G857" s="24">
        <f>IF($A857="","",IF($B857="","EKSİK","TAM"))</f>
        <v/>
      </c>
    </row>
    <row r="858">
      <c r="A858" s="12" t="n"/>
      <c r="B858" s="12" t="n"/>
      <c r="C858" s="12" t="n"/>
      <c r="D858" s="12" t="n"/>
      <c r="E858" s="12" t="n"/>
      <c r="F858" s="12" t="n"/>
      <c r="G858" s="24">
        <f>IF($A858="","",IF($B858="","EKSİK","TAM"))</f>
        <v/>
      </c>
    </row>
    <row r="859">
      <c r="A859" s="12" t="n"/>
      <c r="B859" s="12" t="n"/>
      <c r="C859" s="12" t="n"/>
      <c r="D859" s="12" t="n"/>
      <c r="E859" s="12" t="n"/>
      <c r="F859" s="12" t="n"/>
      <c r="G859" s="24">
        <f>IF($A859="","",IF($B859="","EKSİK","TAM"))</f>
        <v/>
      </c>
    </row>
    <row r="860">
      <c r="A860" s="12" t="n"/>
      <c r="B860" s="12" t="n"/>
      <c r="C860" s="12" t="n"/>
      <c r="D860" s="12" t="n"/>
      <c r="E860" s="12" t="n"/>
      <c r="F860" s="12" t="n"/>
      <c r="G860" s="24">
        <f>IF($A860="","",IF($B860="","EKSİK","TAM"))</f>
        <v/>
      </c>
    </row>
    <row r="861">
      <c r="A861" s="12" t="n"/>
      <c r="B861" s="12" t="n"/>
      <c r="C861" s="12" t="n"/>
      <c r="D861" s="12" t="n"/>
      <c r="E861" s="12" t="n"/>
      <c r="F861" s="12" t="n"/>
      <c r="G861" s="24">
        <f>IF($A861="","",IF($B861="","EKSİK","TAM"))</f>
        <v/>
      </c>
    </row>
    <row r="862">
      <c r="A862" s="12" t="n"/>
      <c r="B862" s="12" t="n"/>
      <c r="C862" s="12" t="n"/>
      <c r="D862" s="12" t="n"/>
      <c r="E862" s="12" t="n"/>
      <c r="F862" s="12" t="n"/>
      <c r="G862" s="24">
        <f>IF($A862="","",IF($B862="","EKSİK","TAM"))</f>
        <v/>
      </c>
    </row>
    <row r="863">
      <c r="A863" s="12" t="n"/>
      <c r="B863" s="12" t="n"/>
      <c r="C863" s="12" t="n"/>
      <c r="D863" s="12" t="n"/>
      <c r="E863" s="12" t="n"/>
      <c r="F863" s="12" t="n"/>
      <c r="G863" s="24">
        <f>IF($A863="","",IF($B863="","EKSİK","TAM"))</f>
        <v/>
      </c>
    </row>
    <row r="864">
      <c r="A864" s="12" t="n"/>
      <c r="B864" s="12" t="n"/>
      <c r="C864" s="12" t="n"/>
      <c r="D864" s="12" t="n"/>
      <c r="E864" s="12" t="n"/>
      <c r="F864" s="12" t="n"/>
      <c r="G864" s="24">
        <f>IF($A864="","",IF($B864="","EKSİK","TAM"))</f>
        <v/>
      </c>
    </row>
    <row r="865">
      <c r="A865" s="12" t="n"/>
      <c r="B865" s="12" t="n"/>
      <c r="C865" s="12" t="n"/>
      <c r="D865" s="12" t="n"/>
      <c r="E865" s="12" t="n"/>
      <c r="F865" s="12" t="n"/>
      <c r="G865" s="24">
        <f>IF($A865="","",IF($B865="","EKSİK","TAM"))</f>
        <v/>
      </c>
    </row>
    <row r="866">
      <c r="A866" s="12" t="n"/>
      <c r="B866" s="12" t="n"/>
      <c r="C866" s="12" t="n"/>
      <c r="D866" s="12" t="n"/>
      <c r="E866" s="12" t="n"/>
      <c r="F866" s="12" t="n"/>
      <c r="G866" s="24">
        <f>IF($A866="","",IF($B866="","EKSİK","TAM"))</f>
        <v/>
      </c>
    </row>
    <row r="867">
      <c r="A867" s="12" t="n"/>
      <c r="B867" s="12" t="n"/>
      <c r="C867" s="12" t="n"/>
      <c r="D867" s="12" t="n"/>
      <c r="E867" s="12" t="n"/>
      <c r="F867" s="12" t="n"/>
      <c r="G867" s="24">
        <f>IF($A867="","",IF($B867="","EKSİK","TAM"))</f>
        <v/>
      </c>
    </row>
    <row r="868">
      <c r="A868" s="12" t="n"/>
      <c r="B868" s="12" t="n"/>
      <c r="C868" s="12" t="n"/>
      <c r="D868" s="12" t="n"/>
      <c r="E868" s="12" t="n"/>
      <c r="F868" s="12" t="n"/>
      <c r="G868" s="24">
        <f>IF($A868="","",IF($B868="","EKSİK","TAM"))</f>
        <v/>
      </c>
    </row>
    <row r="869">
      <c r="A869" s="12" t="n"/>
      <c r="B869" s="12" t="n"/>
      <c r="C869" s="12" t="n"/>
      <c r="D869" s="12" t="n"/>
      <c r="E869" s="12" t="n"/>
      <c r="F869" s="12" t="n"/>
      <c r="G869" s="24">
        <f>IF($A869="","",IF($B869="","EKSİK","TAM"))</f>
        <v/>
      </c>
    </row>
    <row r="870">
      <c r="A870" s="12" t="n"/>
      <c r="B870" s="12" t="n"/>
      <c r="C870" s="12" t="n"/>
      <c r="D870" s="12" t="n"/>
      <c r="E870" s="12" t="n"/>
      <c r="F870" s="12" t="n"/>
      <c r="G870" s="24">
        <f>IF($A870="","",IF($B870="","EKSİK","TAM"))</f>
        <v/>
      </c>
    </row>
    <row r="871">
      <c r="A871" s="12" t="n"/>
      <c r="B871" s="12" t="n"/>
      <c r="C871" s="12" t="n"/>
      <c r="D871" s="12" t="n"/>
      <c r="E871" s="12" t="n"/>
      <c r="F871" s="12" t="n"/>
      <c r="G871" s="24">
        <f>IF($A871="","",IF($B871="","EKSİK","TAM"))</f>
        <v/>
      </c>
    </row>
    <row r="872">
      <c r="A872" s="12" t="n"/>
      <c r="B872" s="12" t="n"/>
      <c r="C872" s="12" t="n"/>
      <c r="D872" s="12" t="n"/>
      <c r="E872" s="12" t="n"/>
      <c r="F872" s="12" t="n"/>
      <c r="G872" s="24">
        <f>IF($A872="","",IF($B872="","EKSİK","TAM"))</f>
        <v/>
      </c>
    </row>
    <row r="873">
      <c r="A873" s="12" t="n"/>
      <c r="B873" s="12" t="n"/>
      <c r="C873" s="12" t="n"/>
      <c r="D873" s="12" t="n"/>
      <c r="E873" s="12" t="n"/>
      <c r="F873" s="12" t="n"/>
      <c r="G873" s="24">
        <f>IF($A873="","",IF($B873="","EKSİK","TAM"))</f>
        <v/>
      </c>
    </row>
    <row r="874">
      <c r="A874" s="12" t="n"/>
      <c r="B874" s="12" t="n"/>
      <c r="C874" s="12" t="n"/>
      <c r="D874" s="12" t="n"/>
      <c r="E874" s="12" t="n"/>
      <c r="F874" s="12" t="n"/>
      <c r="G874" s="24">
        <f>IF($A874="","",IF($B874="","EKSİK","TAM"))</f>
        <v/>
      </c>
    </row>
    <row r="875">
      <c r="A875" s="12" t="n"/>
      <c r="B875" s="12" t="n"/>
      <c r="C875" s="12" t="n"/>
      <c r="D875" s="12" t="n"/>
      <c r="E875" s="12" t="n"/>
      <c r="F875" s="12" t="n"/>
      <c r="G875" s="24">
        <f>IF($A875="","",IF($B875="","EKSİK","TAM"))</f>
        <v/>
      </c>
    </row>
    <row r="876">
      <c r="A876" s="12" t="n"/>
      <c r="B876" s="12" t="n"/>
      <c r="C876" s="12" t="n"/>
      <c r="D876" s="12" t="n"/>
      <c r="E876" s="12" t="n"/>
      <c r="F876" s="12" t="n"/>
      <c r="G876" s="24">
        <f>IF($A876="","",IF($B876="","EKSİK","TAM"))</f>
        <v/>
      </c>
    </row>
    <row r="877">
      <c r="A877" s="12" t="n"/>
      <c r="B877" s="12" t="n"/>
      <c r="C877" s="12" t="n"/>
      <c r="D877" s="12" t="n"/>
      <c r="E877" s="12" t="n"/>
      <c r="F877" s="12" t="n"/>
      <c r="G877" s="24">
        <f>IF($A877="","",IF($B877="","EKSİK","TAM"))</f>
        <v/>
      </c>
    </row>
    <row r="878">
      <c r="A878" s="12" t="n"/>
      <c r="B878" s="12" t="n"/>
      <c r="C878" s="12" t="n"/>
      <c r="D878" s="12" t="n"/>
      <c r="E878" s="12" t="n"/>
      <c r="F878" s="12" t="n"/>
      <c r="G878" s="24">
        <f>IF($A878="","",IF($B878="","EKSİK","TAM"))</f>
        <v/>
      </c>
    </row>
    <row r="879">
      <c r="A879" s="12" t="n"/>
      <c r="B879" s="12" t="n"/>
      <c r="C879" s="12" t="n"/>
      <c r="D879" s="12" t="n"/>
      <c r="E879" s="12" t="n"/>
      <c r="F879" s="12" t="n"/>
      <c r="G879" s="24">
        <f>IF($A879="","",IF($B879="","EKSİK","TAM"))</f>
        <v/>
      </c>
    </row>
    <row r="880">
      <c r="A880" s="12" t="n"/>
      <c r="B880" s="12" t="n"/>
      <c r="C880" s="12" t="n"/>
      <c r="D880" s="12" t="n"/>
      <c r="E880" s="12" t="n"/>
      <c r="F880" s="12" t="n"/>
      <c r="G880" s="24">
        <f>IF($A880="","",IF($B880="","EKSİK","TAM"))</f>
        <v/>
      </c>
    </row>
    <row r="881">
      <c r="A881" s="12" t="n"/>
      <c r="B881" s="12" t="n"/>
      <c r="C881" s="12" t="n"/>
      <c r="D881" s="12" t="n"/>
      <c r="E881" s="12" t="n"/>
      <c r="F881" s="12" t="n"/>
      <c r="G881" s="24">
        <f>IF($A881="","",IF($B881="","EKSİK","TAM"))</f>
        <v/>
      </c>
    </row>
    <row r="882">
      <c r="A882" s="12" t="n"/>
      <c r="B882" s="12" t="n"/>
      <c r="C882" s="12" t="n"/>
      <c r="D882" s="12" t="n"/>
      <c r="E882" s="12" t="n"/>
      <c r="F882" s="12" t="n"/>
      <c r="G882" s="24">
        <f>IF($A882="","",IF($B882="","EKSİK","TAM"))</f>
        <v/>
      </c>
    </row>
    <row r="883">
      <c r="A883" s="12" t="n"/>
      <c r="B883" s="12" t="n"/>
      <c r="C883" s="12" t="n"/>
      <c r="D883" s="12" t="n"/>
      <c r="E883" s="12" t="n"/>
      <c r="F883" s="12" t="n"/>
      <c r="G883" s="24">
        <f>IF($A883="","",IF($B883="","EKSİK","TAM"))</f>
        <v/>
      </c>
    </row>
    <row r="884">
      <c r="A884" s="12" t="n"/>
      <c r="B884" s="12" t="n"/>
      <c r="C884" s="12" t="n"/>
      <c r="D884" s="12" t="n"/>
      <c r="E884" s="12" t="n"/>
      <c r="F884" s="12" t="n"/>
      <c r="G884" s="24">
        <f>IF($A884="","",IF($B884="","EKSİK","TAM"))</f>
        <v/>
      </c>
    </row>
    <row r="885">
      <c r="A885" s="12" t="n"/>
      <c r="B885" s="12" t="n"/>
      <c r="C885" s="12" t="n"/>
      <c r="D885" s="12" t="n"/>
      <c r="E885" s="12" t="n"/>
      <c r="F885" s="12" t="n"/>
      <c r="G885" s="24">
        <f>IF($A885="","",IF($B885="","EKSİK","TAM"))</f>
        <v/>
      </c>
    </row>
    <row r="886">
      <c r="A886" s="12" t="n"/>
      <c r="B886" s="12" t="n"/>
      <c r="C886" s="12" t="n"/>
      <c r="D886" s="12" t="n"/>
      <c r="E886" s="12" t="n"/>
      <c r="F886" s="12" t="n"/>
      <c r="G886" s="24">
        <f>IF($A886="","",IF($B886="","EKSİK","TAM"))</f>
        <v/>
      </c>
    </row>
    <row r="887">
      <c r="A887" s="12" t="n"/>
      <c r="B887" s="12" t="n"/>
      <c r="C887" s="12" t="n"/>
      <c r="D887" s="12" t="n"/>
      <c r="E887" s="12" t="n"/>
      <c r="F887" s="12" t="n"/>
      <c r="G887" s="24">
        <f>IF($A887="","",IF($B887="","EKSİK","TAM"))</f>
        <v/>
      </c>
    </row>
    <row r="888">
      <c r="A888" s="12" t="n"/>
      <c r="B888" s="12" t="n"/>
      <c r="C888" s="12" t="n"/>
      <c r="D888" s="12" t="n"/>
      <c r="E888" s="12" t="n"/>
      <c r="F888" s="12" t="n"/>
      <c r="G888" s="24">
        <f>IF($A888="","",IF($B888="","EKSİK","TAM"))</f>
        <v/>
      </c>
    </row>
    <row r="889">
      <c r="A889" s="12" t="n"/>
      <c r="B889" s="12" t="n"/>
      <c r="C889" s="12" t="n"/>
      <c r="D889" s="12" t="n"/>
      <c r="E889" s="12" t="n"/>
      <c r="F889" s="12" t="n"/>
      <c r="G889" s="24">
        <f>IF($A889="","",IF($B889="","EKSİK","TAM"))</f>
        <v/>
      </c>
    </row>
    <row r="890">
      <c r="A890" s="12" t="n"/>
      <c r="B890" s="12" t="n"/>
      <c r="C890" s="12" t="n"/>
      <c r="D890" s="12" t="n"/>
      <c r="E890" s="12" t="n"/>
      <c r="F890" s="12" t="n"/>
      <c r="G890" s="24">
        <f>IF($A890="","",IF($B890="","EKSİK","TAM"))</f>
        <v/>
      </c>
    </row>
    <row r="891">
      <c r="A891" s="12" t="n"/>
      <c r="B891" s="12" t="n"/>
      <c r="C891" s="12" t="n"/>
      <c r="D891" s="12" t="n"/>
      <c r="E891" s="12" t="n"/>
      <c r="F891" s="12" t="n"/>
      <c r="G891" s="24">
        <f>IF($A891="","",IF($B891="","EKSİK","TAM"))</f>
        <v/>
      </c>
    </row>
    <row r="892">
      <c r="A892" s="12" t="n"/>
      <c r="B892" s="12" t="n"/>
      <c r="C892" s="12" t="n"/>
      <c r="D892" s="12" t="n"/>
      <c r="E892" s="12" t="n"/>
      <c r="F892" s="12" t="n"/>
      <c r="G892" s="24">
        <f>IF($A892="","",IF($B892="","EKSİK","TAM"))</f>
        <v/>
      </c>
    </row>
    <row r="893">
      <c r="A893" s="12" t="n"/>
      <c r="B893" s="12" t="n"/>
      <c r="C893" s="12" t="n"/>
      <c r="D893" s="12" t="n"/>
      <c r="E893" s="12" t="n"/>
      <c r="F893" s="12" t="n"/>
      <c r="G893" s="24">
        <f>IF($A893="","",IF($B893="","EKSİK","TAM"))</f>
        <v/>
      </c>
    </row>
    <row r="894">
      <c r="A894" s="12" t="n"/>
      <c r="B894" s="12" t="n"/>
      <c r="C894" s="12" t="n"/>
      <c r="D894" s="12" t="n"/>
      <c r="E894" s="12" t="n"/>
      <c r="F894" s="12" t="n"/>
      <c r="G894" s="24">
        <f>IF($A894="","",IF($B894="","EKSİK","TAM"))</f>
        <v/>
      </c>
    </row>
    <row r="895">
      <c r="A895" s="12" t="n"/>
      <c r="B895" s="12" t="n"/>
      <c r="C895" s="12" t="n"/>
      <c r="D895" s="12" t="n"/>
      <c r="E895" s="12" t="n"/>
      <c r="F895" s="12" t="n"/>
      <c r="G895" s="24">
        <f>IF($A895="","",IF($B895="","EKSİK","TAM"))</f>
        <v/>
      </c>
    </row>
    <row r="896">
      <c r="A896" s="12" t="n"/>
      <c r="B896" s="12" t="n"/>
      <c r="C896" s="12" t="n"/>
      <c r="D896" s="12" t="n"/>
      <c r="E896" s="12" t="n"/>
      <c r="F896" s="12" t="n"/>
      <c r="G896" s="24">
        <f>IF($A896="","",IF($B896="","EKSİK","TAM"))</f>
        <v/>
      </c>
    </row>
    <row r="897">
      <c r="A897" s="12" t="n"/>
      <c r="B897" s="12" t="n"/>
      <c r="C897" s="12" t="n"/>
      <c r="D897" s="12" t="n"/>
      <c r="E897" s="12" t="n"/>
      <c r="F897" s="12" t="n"/>
      <c r="G897" s="24">
        <f>IF($A897="","",IF($B897="","EKSİK","TAM"))</f>
        <v/>
      </c>
    </row>
    <row r="898">
      <c r="A898" s="12" t="n"/>
      <c r="B898" s="12" t="n"/>
      <c r="C898" s="12" t="n"/>
      <c r="D898" s="12" t="n"/>
      <c r="E898" s="12" t="n"/>
      <c r="F898" s="12" t="n"/>
      <c r="G898" s="24">
        <f>IF($A898="","",IF($B898="","EKSİK","TAM"))</f>
        <v/>
      </c>
    </row>
    <row r="899">
      <c r="A899" s="12" t="n"/>
      <c r="B899" s="12" t="n"/>
      <c r="C899" s="12" t="n"/>
      <c r="D899" s="12" t="n"/>
      <c r="E899" s="12" t="n"/>
      <c r="F899" s="12" t="n"/>
      <c r="G899" s="24">
        <f>IF($A899="","",IF($B899="","EKSİK","TAM"))</f>
        <v/>
      </c>
    </row>
    <row r="900">
      <c r="A900" s="12" t="n"/>
      <c r="B900" s="12" t="n"/>
      <c r="C900" s="12" t="n"/>
      <c r="D900" s="12" t="n"/>
      <c r="E900" s="12" t="n"/>
      <c r="F900" s="12" t="n"/>
      <c r="G900" s="24">
        <f>IF($A900="","",IF($B900="","EKSİK","TAM"))</f>
        <v/>
      </c>
    </row>
    <row r="901">
      <c r="A901" s="12" t="n"/>
      <c r="B901" s="12" t="n"/>
      <c r="C901" s="12" t="n"/>
      <c r="D901" s="12" t="n"/>
      <c r="E901" s="12" t="n"/>
      <c r="F901" s="12" t="n"/>
      <c r="G901" s="24">
        <f>IF($A901="","",IF($B901="","EKSİK","TAM"))</f>
        <v/>
      </c>
    </row>
    <row r="902">
      <c r="A902" s="12" t="n"/>
      <c r="B902" s="12" t="n"/>
      <c r="C902" s="12" t="n"/>
      <c r="D902" s="12" t="n"/>
      <c r="E902" s="12" t="n"/>
      <c r="F902" s="12" t="n"/>
      <c r="G902" s="24">
        <f>IF($A902="","",IF($B902="","EKSİK","TAM"))</f>
        <v/>
      </c>
    </row>
    <row r="903">
      <c r="A903" s="12" t="n"/>
      <c r="B903" s="12" t="n"/>
      <c r="C903" s="12" t="n"/>
      <c r="D903" s="12" t="n"/>
      <c r="E903" s="12" t="n"/>
      <c r="F903" s="12" t="n"/>
      <c r="G903" s="24">
        <f>IF($A903="","",IF($B903="","EKSİK","TAM"))</f>
        <v/>
      </c>
    </row>
    <row r="904">
      <c r="A904" s="12" t="n"/>
      <c r="B904" s="12" t="n"/>
      <c r="C904" s="12" t="n"/>
      <c r="D904" s="12" t="n"/>
      <c r="E904" s="12" t="n"/>
      <c r="F904" s="12" t="n"/>
      <c r="G904" s="24">
        <f>IF($A904="","",IF($B904="","EKSİK","TAM"))</f>
        <v/>
      </c>
    </row>
    <row r="905">
      <c r="A905" s="12" t="n"/>
      <c r="B905" s="12" t="n"/>
      <c r="C905" s="12" t="n"/>
      <c r="D905" s="12" t="n"/>
      <c r="E905" s="12" t="n"/>
      <c r="F905" s="12" t="n"/>
      <c r="G905" s="24">
        <f>IF($A905="","",IF($B905="","EKSİK","TAM"))</f>
        <v/>
      </c>
    </row>
    <row r="906">
      <c r="A906" s="12" t="n"/>
      <c r="B906" s="12" t="n"/>
      <c r="C906" s="12" t="n"/>
      <c r="D906" s="12" t="n"/>
      <c r="E906" s="12" t="n"/>
      <c r="F906" s="12" t="n"/>
      <c r="G906" s="24">
        <f>IF($A906="","",IF($B906="","EKSİK","TAM"))</f>
        <v/>
      </c>
    </row>
    <row r="907">
      <c r="A907" s="12" t="n"/>
      <c r="B907" s="12" t="n"/>
      <c r="C907" s="12" t="n"/>
      <c r="D907" s="12" t="n"/>
      <c r="E907" s="12" t="n"/>
      <c r="F907" s="12" t="n"/>
      <c r="G907" s="24">
        <f>IF($A907="","",IF($B907="","EKSİK","TAM"))</f>
        <v/>
      </c>
    </row>
    <row r="908">
      <c r="A908" s="12" t="n"/>
      <c r="B908" s="12" t="n"/>
      <c r="C908" s="12" t="n"/>
      <c r="D908" s="12" t="n"/>
      <c r="E908" s="12" t="n"/>
      <c r="F908" s="12" t="n"/>
      <c r="G908" s="24">
        <f>IF($A908="","",IF($B908="","EKSİK","TAM"))</f>
        <v/>
      </c>
    </row>
    <row r="909">
      <c r="A909" s="12" t="n"/>
      <c r="B909" s="12" t="n"/>
      <c r="C909" s="12" t="n"/>
      <c r="D909" s="12" t="n"/>
      <c r="E909" s="12" t="n"/>
      <c r="F909" s="12" t="n"/>
      <c r="G909" s="24">
        <f>IF($A909="","",IF($B909="","EKSİK","TAM"))</f>
        <v/>
      </c>
    </row>
    <row r="910">
      <c r="A910" s="12" t="n"/>
      <c r="B910" s="12" t="n"/>
      <c r="C910" s="12" t="n"/>
      <c r="D910" s="12" t="n"/>
      <c r="E910" s="12" t="n"/>
      <c r="F910" s="12" t="n"/>
      <c r="G910" s="24">
        <f>IF($A910="","",IF($B910="","EKSİK","TAM"))</f>
        <v/>
      </c>
    </row>
    <row r="911">
      <c r="A911" s="12" t="n"/>
      <c r="B911" s="12" t="n"/>
      <c r="C911" s="12" t="n"/>
      <c r="D911" s="12" t="n"/>
      <c r="E911" s="12" t="n"/>
      <c r="F911" s="12" t="n"/>
      <c r="G911" s="24">
        <f>IF($A911="","",IF($B911="","EKSİK","TAM"))</f>
        <v/>
      </c>
    </row>
    <row r="912">
      <c r="A912" s="12" t="n"/>
      <c r="B912" s="12" t="n"/>
      <c r="C912" s="12" t="n"/>
      <c r="D912" s="12" t="n"/>
      <c r="E912" s="12" t="n"/>
      <c r="F912" s="12" t="n"/>
      <c r="G912" s="24">
        <f>IF($A912="","",IF($B912="","EKSİK","TAM"))</f>
        <v/>
      </c>
    </row>
    <row r="913">
      <c r="A913" s="12" t="n"/>
      <c r="B913" s="12" t="n"/>
      <c r="C913" s="12" t="n"/>
      <c r="D913" s="12" t="n"/>
      <c r="E913" s="12" t="n"/>
      <c r="F913" s="12" t="n"/>
      <c r="G913" s="24">
        <f>IF($A913="","",IF($B913="","EKSİK","TAM"))</f>
        <v/>
      </c>
    </row>
    <row r="914">
      <c r="A914" s="12" t="n"/>
      <c r="B914" s="12" t="n"/>
      <c r="C914" s="12" t="n"/>
      <c r="D914" s="12" t="n"/>
      <c r="E914" s="12" t="n"/>
      <c r="F914" s="12" t="n"/>
      <c r="G914" s="24">
        <f>IF($A914="","",IF($B914="","EKSİK","TAM"))</f>
        <v/>
      </c>
    </row>
    <row r="915">
      <c r="A915" s="12" t="n"/>
      <c r="B915" s="12" t="n"/>
      <c r="C915" s="12" t="n"/>
      <c r="D915" s="12" t="n"/>
      <c r="E915" s="12" t="n"/>
      <c r="F915" s="12" t="n"/>
      <c r="G915" s="24">
        <f>IF($A915="","",IF($B915="","EKSİK","TAM"))</f>
        <v/>
      </c>
    </row>
    <row r="916">
      <c r="A916" s="12" t="n"/>
      <c r="B916" s="12" t="n"/>
      <c r="C916" s="12" t="n"/>
      <c r="D916" s="12" t="n"/>
      <c r="E916" s="12" t="n"/>
      <c r="F916" s="12" t="n"/>
      <c r="G916" s="24">
        <f>IF($A916="","",IF($B916="","EKSİK","TAM"))</f>
        <v/>
      </c>
    </row>
    <row r="917">
      <c r="A917" s="12" t="n"/>
      <c r="B917" s="12" t="n"/>
      <c r="C917" s="12" t="n"/>
      <c r="D917" s="12" t="n"/>
      <c r="E917" s="12" t="n"/>
      <c r="F917" s="12" t="n"/>
      <c r="G917" s="24">
        <f>IF($A917="","",IF($B917="","EKSİK","TAM"))</f>
        <v/>
      </c>
    </row>
    <row r="918">
      <c r="A918" s="12" t="n"/>
      <c r="B918" s="12" t="n"/>
      <c r="C918" s="12" t="n"/>
      <c r="D918" s="12" t="n"/>
      <c r="E918" s="12" t="n"/>
      <c r="F918" s="12" t="n"/>
      <c r="G918" s="24">
        <f>IF($A918="","",IF($B918="","EKSİK","TAM"))</f>
        <v/>
      </c>
    </row>
    <row r="919">
      <c r="A919" s="12" t="n"/>
      <c r="B919" s="12" t="n"/>
      <c r="C919" s="12" t="n"/>
      <c r="D919" s="12" t="n"/>
      <c r="E919" s="12" t="n"/>
      <c r="F919" s="12" t="n"/>
      <c r="G919" s="24">
        <f>IF($A919="","",IF($B919="","EKSİK","TAM"))</f>
        <v/>
      </c>
    </row>
    <row r="920">
      <c r="A920" s="12" t="n"/>
      <c r="B920" s="12" t="n"/>
      <c r="C920" s="12" t="n"/>
      <c r="D920" s="12" t="n"/>
      <c r="E920" s="12" t="n"/>
      <c r="F920" s="12" t="n"/>
      <c r="G920" s="24">
        <f>IF($A920="","",IF($B920="","EKSİK","TAM"))</f>
        <v/>
      </c>
    </row>
    <row r="921">
      <c r="A921" s="12" t="n"/>
      <c r="B921" s="12" t="n"/>
      <c r="C921" s="12" t="n"/>
      <c r="D921" s="12" t="n"/>
      <c r="E921" s="12" t="n"/>
      <c r="F921" s="12" t="n"/>
      <c r="G921" s="24">
        <f>IF($A921="","",IF($B921="","EKSİK","TAM"))</f>
        <v/>
      </c>
    </row>
    <row r="922">
      <c r="A922" s="12" t="n"/>
      <c r="B922" s="12" t="n"/>
      <c r="C922" s="12" t="n"/>
      <c r="D922" s="12" t="n"/>
      <c r="E922" s="12" t="n"/>
      <c r="F922" s="12" t="n"/>
      <c r="G922" s="24">
        <f>IF($A922="","",IF($B922="","EKSİK","TAM"))</f>
        <v/>
      </c>
    </row>
    <row r="923">
      <c r="A923" s="12" t="n"/>
      <c r="B923" s="12" t="n"/>
      <c r="C923" s="12" t="n"/>
      <c r="D923" s="12" t="n"/>
      <c r="E923" s="12" t="n"/>
      <c r="F923" s="12" t="n"/>
      <c r="G923" s="24">
        <f>IF($A923="","",IF($B923="","EKSİK","TAM"))</f>
        <v/>
      </c>
    </row>
    <row r="924">
      <c r="A924" s="12" t="n"/>
      <c r="B924" s="12" t="n"/>
      <c r="C924" s="12" t="n"/>
      <c r="D924" s="12" t="n"/>
      <c r="E924" s="12" t="n"/>
      <c r="F924" s="12" t="n"/>
      <c r="G924" s="24">
        <f>IF($A924="","",IF($B924="","EKSİK","TAM"))</f>
        <v/>
      </c>
    </row>
    <row r="925">
      <c r="A925" s="12" t="n"/>
      <c r="B925" s="12" t="n"/>
      <c r="C925" s="12" t="n"/>
      <c r="D925" s="12" t="n"/>
      <c r="E925" s="12" t="n"/>
      <c r="F925" s="12" t="n"/>
      <c r="G925" s="24">
        <f>IF($A925="","",IF($B925="","EKSİK","TAM"))</f>
        <v/>
      </c>
    </row>
    <row r="926">
      <c r="A926" s="12" t="n"/>
      <c r="B926" s="12" t="n"/>
      <c r="C926" s="12" t="n"/>
      <c r="D926" s="12" t="n"/>
      <c r="E926" s="12" t="n"/>
      <c r="F926" s="12" t="n"/>
      <c r="G926" s="24">
        <f>IF($A926="","",IF($B926="","EKSİK","TAM"))</f>
        <v/>
      </c>
    </row>
    <row r="927">
      <c r="A927" s="12" t="n"/>
      <c r="B927" s="12" t="n"/>
      <c r="C927" s="12" t="n"/>
      <c r="D927" s="12" t="n"/>
      <c r="E927" s="12" t="n"/>
      <c r="F927" s="12" t="n"/>
      <c r="G927" s="24">
        <f>IF($A927="","",IF($B927="","EKSİK","TAM"))</f>
        <v/>
      </c>
    </row>
    <row r="928">
      <c r="A928" s="12" t="n"/>
      <c r="B928" s="12" t="n"/>
      <c r="C928" s="12" t="n"/>
      <c r="D928" s="12" t="n"/>
      <c r="E928" s="12" t="n"/>
      <c r="F928" s="12" t="n"/>
      <c r="G928" s="24">
        <f>IF($A928="","",IF($B928="","EKSİK","TAM"))</f>
        <v/>
      </c>
    </row>
    <row r="929">
      <c r="A929" s="12" t="n"/>
      <c r="B929" s="12" t="n"/>
      <c r="C929" s="12" t="n"/>
      <c r="D929" s="12" t="n"/>
      <c r="E929" s="12" t="n"/>
      <c r="F929" s="12" t="n"/>
      <c r="G929" s="24">
        <f>IF($A929="","",IF($B929="","EKSİK","TAM"))</f>
        <v/>
      </c>
    </row>
    <row r="930">
      <c r="A930" s="12" t="n"/>
      <c r="B930" s="12" t="n"/>
      <c r="C930" s="12" t="n"/>
      <c r="D930" s="12" t="n"/>
      <c r="E930" s="12" t="n"/>
      <c r="F930" s="12" t="n"/>
      <c r="G930" s="24">
        <f>IF($A930="","",IF($B930="","EKSİK","TAM"))</f>
        <v/>
      </c>
    </row>
    <row r="931">
      <c r="A931" s="12" t="n"/>
      <c r="B931" s="12" t="n"/>
      <c r="C931" s="12" t="n"/>
      <c r="D931" s="12" t="n"/>
      <c r="E931" s="12" t="n"/>
      <c r="F931" s="12" t="n"/>
      <c r="G931" s="24">
        <f>IF($A931="","",IF($B931="","EKSİK","TAM"))</f>
        <v/>
      </c>
    </row>
    <row r="932">
      <c r="A932" s="12" t="n"/>
      <c r="B932" s="12" t="n"/>
      <c r="C932" s="12" t="n"/>
      <c r="D932" s="12" t="n"/>
      <c r="E932" s="12" t="n"/>
      <c r="F932" s="12" t="n"/>
      <c r="G932" s="24">
        <f>IF($A932="","",IF($B932="","EKSİK","TAM"))</f>
        <v/>
      </c>
    </row>
    <row r="933">
      <c r="A933" s="12" t="n"/>
      <c r="B933" s="12" t="n"/>
      <c r="C933" s="12" t="n"/>
      <c r="D933" s="12" t="n"/>
      <c r="E933" s="12" t="n"/>
      <c r="F933" s="12" t="n"/>
      <c r="G933" s="24">
        <f>IF($A933="","",IF($B933="","EKSİK","TAM"))</f>
        <v/>
      </c>
    </row>
    <row r="934">
      <c r="A934" s="12" t="n"/>
      <c r="B934" s="12" t="n"/>
      <c r="C934" s="12" t="n"/>
      <c r="D934" s="12" t="n"/>
      <c r="E934" s="12" t="n"/>
      <c r="F934" s="12" t="n"/>
      <c r="G934" s="24">
        <f>IF($A934="","",IF($B934="","EKSİK","TAM"))</f>
        <v/>
      </c>
    </row>
    <row r="935">
      <c r="A935" s="12" t="n"/>
      <c r="B935" s="12" t="n"/>
      <c r="C935" s="12" t="n"/>
      <c r="D935" s="12" t="n"/>
      <c r="E935" s="12" t="n"/>
      <c r="F935" s="12" t="n"/>
      <c r="G935" s="24">
        <f>IF($A935="","",IF($B935="","EKSİK","TAM"))</f>
        <v/>
      </c>
    </row>
    <row r="936">
      <c r="A936" s="12" t="n"/>
      <c r="B936" s="12" t="n"/>
      <c r="C936" s="12" t="n"/>
      <c r="D936" s="12" t="n"/>
      <c r="E936" s="12" t="n"/>
      <c r="F936" s="12" t="n"/>
      <c r="G936" s="24">
        <f>IF($A936="","",IF($B936="","EKSİK","TAM"))</f>
        <v/>
      </c>
    </row>
    <row r="937">
      <c r="A937" s="12" t="n"/>
      <c r="B937" s="12" t="n"/>
      <c r="C937" s="12" t="n"/>
      <c r="D937" s="12" t="n"/>
      <c r="E937" s="12" t="n"/>
      <c r="F937" s="12" t="n"/>
      <c r="G937" s="24">
        <f>IF($A937="","",IF($B937="","EKSİK","TAM"))</f>
        <v/>
      </c>
    </row>
    <row r="938">
      <c r="A938" s="12" t="n"/>
      <c r="B938" s="12" t="n"/>
      <c r="C938" s="12" t="n"/>
      <c r="D938" s="12" t="n"/>
      <c r="E938" s="12" t="n"/>
      <c r="F938" s="12" t="n"/>
      <c r="G938" s="24">
        <f>IF($A938="","",IF($B938="","EKSİK","TAM"))</f>
        <v/>
      </c>
    </row>
    <row r="939">
      <c r="A939" s="12" t="n"/>
      <c r="B939" s="12" t="n"/>
      <c r="C939" s="12" t="n"/>
      <c r="D939" s="12" t="n"/>
      <c r="E939" s="12" t="n"/>
      <c r="F939" s="12" t="n"/>
      <c r="G939" s="24">
        <f>IF($A939="","",IF($B939="","EKSİK","TAM"))</f>
        <v/>
      </c>
    </row>
    <row r="940">
      <c r="A940" s="12" t="n"/>
      <c r="B940" s="12" t="n"/>
      <c r="C940" s="12" t="n"/>
      <c r="D940" s="12" t="n"/>
      <c r="E940" s="12" t="n"/>
      <c r="F940" s="12" t="n"/>
      <c r="G940" s="24">
        <f>IF($A940="","",IF($B940="","EKSİK","TAM"))</f>
        <v/>
      </c>
    </row>
    <row r="941">
      <c r="A941" s="12" t="n"/>
      <c r="B941" s="12" t="n"/>
      <c r="C941" s="12" t="n"/>
      <c r="D941" s="12" t="n"/>
      <c r="E941" s="12" t="n"/>
      <c r="F941" s="12" t="n"/>
      <c r="G941" s="24">
        <f>IF($A941="","",IF($B941="","EKSİK","TAM"))</f>
        <v/>
      </c>
    </row>
    <row r="942">
      <c r="A942" s="12" t="n"/>
      <c r="B942" s="12" t="n"/>
      <c r="C942" s="12" t="n"/>
      <c r="D942" s="12" t="n"/>
      <c r="E942" s="12" t="n"/>
      <c r="F942" s="12" t="n"/>
      <c r="G942" s="24">
        <f>IF($A942="","",IF($B942="","EKSİK","TAM"))</f>
        <v/>
      </c>
    </row>
    <row r="943">
      <c r="A943" s="12" t="n"/>
      <c r="B943" s="12" t="n"/>
      <c r="C943" s="12" t="n"/>
      <c r="D943" s="12" t="n"/>
      <c r="E943" s="12" t="n"/>
      <c r="F943" s="12" t="n"/>
      <c r="G943" s="24">
        <f>IF($A943="","",IF($B943="","EKSİK","TAM"))</f>
        <v/>
      </c>
    </row>
    <row r="944">
      <c r="A944" s="12" t="n"/>
      <c r="B944" s="12" t="n"/>
      <c r="C944" s="12" t="n"/>
      <c r="D944" s="12" t="n"/>
      <c r="E944" s="12" t="n"/>
      <c r="F944" s="12" t="n"/>
      <c r="G944" s="24">
        <f>IF($A944="","",IF($B944="","EKSİK","TAM"))</f>
        <v/>
      </c>
    </row>
    <row r="945">
      <c r="A945" s="12" t="n"/>
      <c r="B945" s="12" t="n"/>
      <c r="C945" s="12" t="n"/>
      <c r="D945" s="12" t="n"/>
      <c r="E945" s="12" t="n"/>
      <c r="F945" s="12" t="n"/>
      <c r="G945" s="24">
        <f>IF($A945="","",IF($B945="","EKSİK","TAM"))</f>
        <v/>
      </c>
    </row>
    <row r="946">
      <c r="A946" s="12" t="n"/>
      <c r="B946" s="12" t="n"/>
      <c r="C946" s="12" t="n"/>
      <c r="D946" s="12" t="n"/>
      <c r="E946" s="12" t="n"/>
      <c r="F946" s="12" t="n"/>
      <c r="G946" s="24">
        <f>IF($A946="","",IF($B946="","EKSİK","TAM"))</f>
        <v/>
      </c>
    </row>
    <row r="947">
      <c r="A947" s="12" t="n"/>
      <c r="B947" s="12" t="n"/>
      <c r="C947" s="12" t="n"/>
      <c r="D947" s="12" t="n"/>
      <c r="E947" s="12" t="n"/>
      <c r="F947" s="12" t="n"/>
      <c r="G947" s="24">
        <f>IF($A947="","",IF($B947="","EKSİK","TAM"))</f>
        <v/>
      </c>
    </row>
    <row r="948">
      <c r="A948" s="12" t="n"/>
      <c r="B948" s="12" t="n"/>
      <c r="C948" s="12" t="n"/>
      <c r="D948" s="12" t="n"/>
      <c r="E948" s="12" t="n"/>
      <c r="F948" s="12" t="n"/>
      <c r="G948" s="24">
        <f>IF($A948="","",IF($B948="","EKSİK","TAM"))</f>
        <v/>
      </c>
    </row>
    <row r="949">
      <c r="A949" s="12" t="n"/>
      <c r="B949" s="12" t="n"/>
      <c r="C949" s="12" t="n"/>
      <c r="D949" s="12" t="n"/>
      <c r="E949" s="12" t="n"/>
      <c r="F949" s="12" t="n"/>
      <c r="G949" s="24">
        <f>IF($A949="","",IF($B949="","EKSİK","TAM"))</f>
        <v/>
      </c>
    </row>
    <row r="950">
      <c r="A950" s="12" t="n"/>
      <c r="B950" s="12" t="n"/>
      <c r="C950" s="12" t="n"/>
      <c r="D950" s="12" t="n"/>
      <c r="E950" s="12" t="n"/>
      <c r="F950" s="12" t="n"/>
      <c r="G950" s="24">
        <f>IF($A950="","",IF($B950="","EKSİK","TAM"))</f>
        <v/>
      </c>
    </row>
    <row r="951">
      <c r="A951" s="12" t="n"/>
      <c r="B951" s="12" t="n"/>
      <c r="C951" s="12" t="n"/>
      <c r="D951" s="12" t="n"/>
      <c r="E951" s="12" t="n"/>
      <c r="F951" s="12" t="n"/>
      <c r="G951" s="24">
        <f>IF($A951="","",IF($B951="","EKSİK","TAM"))</f>
        <v/>
      </c>
    </row>
    <row r="952">
      <c r="A952" s="12" t="n"/>
      <c r="B952" s="12" t="n"/>
      <c r="C952" s="12" t="n"/>
      <c r="D952" s="12" t="n"/>
      <c r="E952" s="12" t="n"/>
      <c r="F952" s="12" t="n"/>
      <c r="G952" s="24">
        <f>IF($A952="","",IF($B952="","EKSİK","TAM"))</f>
        <v/>
      </c>
    </row>
    <row r="953">
      <c r="A953" s="12" t="n"/>
      <c r="B953" s="12" t="n"/>
      <c r="C953" s="12" t="n"/>
      <c r="D953" s="12" t="n"/>
      <c r="E953" s="12" t="n"/>
      <c r="F953" s="12" t="n"/>
      <c r="G953" s="24">
        <f>IF($A953="","",IF($B953="","EKSİK","TAM"))</f>
        <v/>
      </c>
    </row>
    <row r="954">
      <c r="A954" s="12" t="n"/>
      <c r="B954" s="12" t="n"/>
      <c r="C954" s="12" t="n"/>
      <c r="D954" s="12" t="n"/>
      <c r="E954" s="12" t="n"/>
      <c r="F954" s="12" t="n"/>
      <c r="G954" s="24">
        <f>IF($A954="","",IF($B954="","EKSİK","TAM"))</f>
        <v/>
      </c>
    </row>
    <row r="955">
      <c r="A955" s="12" t="n"/>
      <c r="B955" s="12" t="n"/>
      <c r="C955" s="12" t="n"/>
      <c r="D955" s="12" t="n"/>
      <c r="E955" s="12" t="n"/>
      <c r="F955" s="12" t="n"/>
      <c r="G955" s="24">
        <f>IF($A955="","",IF($B955="","EKSİK","TAM"))</f>
        <v/>
      </c>
    </row>
    <row r="956">
      <c r="A956" s="12" t="n"/>
      <c r="B956" s="12" t="n"/>
      <c r="C956" s="12" t="n"/>
      <c r="D956" s="12" t="n"/>
      <c r="E956" s="12" t="n"/>
      <c r="F956" s="12" t="n"/>
      <c r="G956" s="24">
        <f>IF($A956="","",IF($B956="","EKSİK","TAM"))</f>
        <v/>
      </c>
    </row>
    <row r="957">
      <c r="A957" s="12" t="n"/>
      <c r="B957" s="12" t="n"/>
      <c r="C957" s="12" t="n"/>
      <c r="D957" s="12" t="n"/>
      <c r="E957" s="12" t="n"/>
      <c r="F957" s="12" t="n"/>
      <c r="G957" s="24">
        <f>IF($A957="","",IF($B957="","EKSİK","TAM"))</f>
        <v/>
      </c>
    </row>
    <row r="958">
      <c r="A958" s="12" t="n"/>
      <c r="B958" s="12" t="n"/>
      <c r="C958" s="12" t="n"/>
      <c r="D958" s="12" t="n"/>
      <c r="E958" s="12" t="n"/>
      <c r="F958" s="12" t="n"/>
      <c r="G958" s="24">
        <f>IF($A958="","",IF($B958="","EKSİK","TAM"))</f>
        <v/>
      </c>
    </row>
    <row r="959">
      <c r="A959" s="12" t="n"/>
      <c r="B959" s="12" t="n"/>
      <c r="C959" s="12" t="n"/>
      <c r="D959" s="12" t="n"/>
      <c r="E959" s="12" t="n"/>
      <c r="F959" s="12" t="n"/>
      <c r="G959" s="24">
        <f>IF($A959="","",IF($B959="","EKSİK","TAM"))</f>
        <v/>
      </c>
    </row>
    <row r="960">
      <c r="A960" s="12" t="n"/>
      <c r="B960" s="12" t="n"/>
      <c r="C960" s="12" t="n"/>
      <c r="D960" s="12" t="n"/>
      <c r="E960" s="12" t="n"/>
      <c r="F960" s="12" t="n"/>
      <c r="G960" s="24">
        <f>IF($A960="","",IF($B960="","EKSİK","TAM"))</f>
        <v/>
      </c>
    </row>
    <row r="961">
      <c r="A961" s="12" t="n"/>
      <c r="B961" s="12" t="n"/>
      <c r="C961" s="12" t="n"/>
      <c r="D961" s="12" t="n"/>
      <c r="E961" s="12" t="n"/>
      <c r="F961" s="12" t="n"/>
      <c r="G961" s="24">
        <f>IF($A961="","",IF($B961="","EKSİK","TAM"))</f>
        <v/>
      </c>
    </row>
    <row r="962">
      <c r="A962" s="12" t="n"/>
      <c r="B962" s="12" t="n"/>
      <c r="C962" s="12" t="n"/>
      <c r="D962" s="12" t="n"/>
      <c r="E962" s="12" t="n"/>
      <c r="F962" s="12" t="n"/>
      <c r="G962" s="24">
        <f>IF($A962="","",IF($B962="","EKSİK","TAM"))</f>
        <v/>
      </c>
    </row>
    <row r="963">
      <c r="A963" s="12" t="n"/>
      <c r="B963" s="12" t="n"/>
      <c r="C963" s="12" t="n"/>
      <c r="D963" s="12" t="n"/>
      <c r="E963" s="12" t="n"/>
      <c r="F963" s="12" t="n"/>
      <c r="G963" s="24">
        <f>IF($A963="","",IF($B963="","EKSİK","TAM"))</f>
        <v/>
      </c>
    </row>
    <row r="964">
      <c r="A964" s="12" t="n"/>
      <c r="B964" s="12" t="n"/>
      <c r="C964" s="12" t="n"/>
      <c r="D964" s="12" t="n"/>
      <c r="E964" s="12" t="n"/>
      <c r="F964" s="12" t="n"/>
      <c r="G964" s="24">
        <f>IF($A964="","",IF($B964="","EKSİK","TAM"))</f>
        <v/>
      </c>
    </row>
    <row r="965">
      <c r="A965" s="12" t="n"/>
      <c r="B965" s="12" t="n"/>
      <c r="C965" s="12" t="n"/>
      <c r="D965" s="12" t="n"/>
      <c r="E965" s="12" t="n"/>
      <c r="F965" s="12" t="n"/>
      <c r="G965" s="24">
        <f>IF($A965="","",IF($B965="","EKSİK","TAM"))</f>
        <v/>
      </c>
    </row>
    <row r="966">
      <c r="A966" s="12" t="n"/>
      <c r="B966" s="12" t="n"/>
      <c r="C966" s="12" t="n"/>
      <c r="D966" s="12" t="n"/>
      <c r="E966" s="12" t="n"/>
      <c r="F966" s="12" t="n"/>
      <c r="G966" s="24">
        <f>IF($A966="","",IF($B966="","EKSİK","TAM"))</f>
        <v/>
      </c>
    </row>
    <row r="967">
      <c r="A967" s="12" t="n"/>
      <c r="B967" s="12" t="n"/>
      <c r="C967" s="12" t="n"/>
      <c r="D967" s="12" t="n"/>
      <c r="E967" s="12" t="n"/>
      <c r="F967" s="12" t="n"/>
      <c r="G967" s="24">
        <f>IF($A967="","",IF($B967="","EKSİK","TAM"))</f>
        <v/>
      </c>
    </row>
    <row r="968">
      <c r="A968" s="12" t="n"/>
      <c r="B968" s="12" t="n"/>
      <c r="C968" s="12" t="n"/>
      <c r="D968" s="12" t="n"/>
      <c r="E968" s="12" t="n"/>
      <c r="F968" s="12" t="n"/>
      <c r="G968" s="24">
        <f>IF($A968="","",IF($B968="","EKSİK","TAM"))</f>
        <v/>
      </c>
    </row>
    <row r="969">
      <c r="A969" s="12" t="n"/>
      <c r="B969" s="12" t="n"/>
      <c r="C969" s="12" t="n"/>
      <c r="D969" s="12" t="n"/>
      <c r="E969" s="12" t="n"/>
      <c r="F969" s="12" t="n"/>
      <c r="G969" s="24">
        <f>IF($A969="","",IF($B969="","EKSİK","TAM"))</f>
        <v/>
      </c>
    </row>
    <row r="970">
      <c r="A970" s="12" t="n"/>
      <c r="B970" s="12" t="n"/>
      <c r="C970" s="12" t="n"/>
      <c r="D970" s="12" t="n"/>
      <c r="E970" s="12" t="n"/>
      <c r="F970" s="12" t="n"/>
      <c r="G970" s="24">
        <f>IF($A970="","",IF($B970="","EKSİK","TAM"))</f>
        <v/>
      </c>
    </row>
    <row r="971">
      <c r="A971" s="12" t="n"/>
      <c r="B971" s="12" t="n"/>
      <c r="C971" s="12" t="n"/>
      <c r="D971" s="12" t="n"/>
      <c r="E971" s="12" t="n"/>
      <c r="F971" s="12" t="n"/>
      <c r="G971" s="24">
        <f>IF($A971="","",IF($B971="","EKSİK","TAM"))</f>
        <v/>
      </c>
    </row>
    <row r="972">
      <c r="A972" s="12" t="n"/>
      <c r="B972" s="12" t="n"/>
      <c r="C972" s="12" t="n"/>
      <c r="D972" s="12" t="n"/>
      <c r="E972" s="12" t="n"/>
      <c r="F972" s="12" t="n"/>
      <c r="G972" s="24">
        <f>IF($A972="","",IF($B972="","EKSİK","TAM"))</f>
        <v/>
      </c>
    </row>
    <row r="973">
      <c r="A973" s="12" t="n"/>
      <c r="B973" s="12" t="n"/>
      <c r="C973" s="12" t="n"/>
      <c r="D973" s="12" t="n"/>
      <c r="E973" s="12" t="n"/>
      <c r="F973" s="12" t="n"/>
      <c r="G973" s="24">
        <f>IF($A973="","",IF($B973="","EKSİK","TAM"))</f>
        <v/>
      </c>
    </row>
    <row r="974">
      <c r="A974" s="12" t="n"/>
      <c r="B974" s="12" t="n"/>
      <c r="C974" s="12" t="n"/>
      <c r="D974" s="12" t="n"/>
      <c r="E974" s="12" t="n"/>
      <c r="F974" s="12" t="n"/>
      <c r="G974" s="24">
        <f>IF($A974="","",IF($B974="","EKSİK","TAM"))</f>
        <v/>
      </c>
    </row>
    <row r="975">
      <c r="A975" s="12" t="n"/>
      <c r="B975" s="12" t="n"/>
      <c r="C975" s="12" t="n"/>
      <c r="D975" s="12" t="n"/>
      <c r="E975" s="12" t="n"/>
      <c r="F975" s="12" t="n"/>
      <c r="G975" s="24">
        <f>IF($A975="","",IF($B975="","EKSİK","TAM"))</f>
        <v/>
      </c>
    </row>
    <row r="976">
      <c r="A976" s="12" t="n"/>
      <c r="B976" s="12" t="n"/>
      <c r="C976" s="12" t="n"/>
      <c r="D976" s="12" t="n"/>
      <c r="E976" s="12" t="n"/>
      <c r="F976" s="12" t="n"/>
      <c r="G976" s="24">
        <f>IF($A976="","",IF($B976="","EKSİK","TAM"))</f>
        <v/>
      </c>
    </row>
    <row r="977">
      <c r="A977" s="12" t="n"/>
      <c r="B977" s="12" t="n"/>
      <c r="C977" s="12" t="n"/>
      <c r="D977" s="12" t="n"/>
      <c r="E977" s="12" t="n"/>
      <c r="F977" s="12" t="n"/>
      <c r="G977" s="24">
        <f>IF($A977="","",IF($B977="","EKSİK","TAM"))</f>
        <v/>
      </c>
    </row>
    <row r="978">
      <c r="A978" s="12" t="n"/>
      <c r="B978" s="12" t="n"/>
      <c r="C978" s="12" t="n"/>
      <c r="D978" s="12" t="n"/>
      <c r="E978" s="12" t="n"/>
      <c r="F978" s="12" t="n"/>
      <c r="G978" s="24">
        <f>IF($A978="","",IF($B978="","EKSİK","TAM"))</f>
        <v/>
      </c>
    </row>
    <row r="979">
      <c r="A979" s="12" t="n"/>
      <c r="B979" s="12" t="n"/>
      <c r="C979" s="12" t="n"/>
      <c r="D979" s="12" t="n"/>
      <c r="E979" s="12" t="n"/>
      <c r="F979" s="12" t="n"/>
      <c r="G979" s="24">
        <f>IF($A979="","",IF($B979="","EKSİK","TAM"))</f>
        <v/>
      </c>
    </row>
    <row r="980">
      <c r="A980" s="12" t="n"/>
      <c r="B980" s="12" t="n"/>
      <c r="C980" s="12" t="n"/>
      <c r="D980" s="12" t="n"/>
      <c r="E980" s="12" t="n"/>
      <c r="F980" s="12" t="n"/>
      <c r="G980" s="24">
        <f>IF($A980="","",IF($B980="","EKSİK","TAM"))</f>
        <v/>
      </c>
    </row>
    <row r="981">
      <c r="A981" s="12" t="n"/>
      <c r="B981" s="12" t="n"/>
      <c r="C981" s="12" t="n"/>
      <c r="D981" s="12" t="n"/>
      <c r="E981" s="12" t="n"/>
      <c r="F981" s="12" t="n"/>
      <c r="G981" s="24">
        <f>IF($A981="","",IF($B981="","EKSİK","TAM"))</f>
        <v/>
      </c>
    </row>
    <row r="982">
      <c r="A982" s="12" t="n"/>
      <c r="B982" s="12" t="n"/>
      <c r="C982" s="12" t="n"/>
      <c r="D982" s="12" t="n"/>
      <c r="E982" s="12" t="n"/>
      <c r="F982" s="12" t="n"/>
      <c r="G982" s="24">
        <f>IF($A982="","",IF($B982="","EKSİK","TAM"))</f>
        <v/>
      </c>
    </row>
    <row r="983">
      <c r="A983" s="12" t="n"/>
      <c r="B983" s="12" t="n"/>
      <c r="C983" s="12" t="n"/>
      <c r="D983" s="12" t="n"/>
      <c r="E983" s="12" t="n"/>
      <c r="F983" s="12" t="n"/>
      <c r="G983" s="24">
        <f>IF($A983="","",IF($B983="","EKSİK","TAM"))</f>
        <v/>
      </c>
    </row>
    <row r="984">
      <c r="A984" s="12" t="n"/>
      <c r="B984" s="12" t="n"/>
      <c r="C984" s="12" t="n"/>
      <c r="D984" s="12" t="n"/>
      <c r="E984" s="12" t="n"/>
      <c r="F984" s="12" t="n"/>
      <c r="G984" s="24">
        <f>IF($A984="","",IF($B984="","EKSİK","TAM"))</f>
        <v/>
      </c>
    </row>
    <row r="985">
      <c r="A985" s="12" t="n"/>
      <c r="B985" s="12" t="n"/>
      <c r="C985" s="12" t="n"/>
      <c r="D985" s="12" t="n"/>
      <c r="E985" s="12" t="n"/>
      <c r="F985" s="12" t="n"/>
      <c r="G985" s="24">
        <f>IF($A985="","",IF($B985="","EKSİK","TAM"))</f>
        <v/>
      </c>
    </row>
    <row r="986">
      <c r="A986" s="12" t="n"/>
      <c r="B986" s="12" t="n"/>
      <c r="C986" s="12" t="n"/>
      <c r="D986" s="12" t="n"/>
      <c r="E986" s="12" t="n"/>
      <c r="F986" s="12" t="n"/>
      <c r="G986" s="24">
        <f>IF($A986="","",IF($B986="","EKSİK","TAM"))</f>
        <v/>
      </c>
    </row>
    <row r="987">
      <c r="A987" s="12" t="n"/>
      <c r="B987" s="12" t="n"/>
      <c r="C987" s="12" t="n"/>
      <c r="D987" s="12" t="n"/>
      <c r="E987" s="12" t="n"/>
      <c r="F987" s="12" t="n"/>
      <c r="G987" s="24">
        <f>IF($A987="","",IF($B987="","EKSİK","TAM"))</f>
        <v/>
      </c>
    </row>
    <row r="988">
      <c r="A988" s="12" t="n"/>
      <c r="B988" s="12" t="n"/>
      <c r="C988" s="12" t="n"/>
      <c r="D988" s="12" t="n"/>
      <c r="E988" s="12" t="n"/>
      <c r="F988" s="12" t="n"/>
      <c r="G988" s="24">
        <f>IF($A988="","",IF($B988="","EKSİK","TAM"))</f>
        <v/>
      </c>
    </row>
    <row r="989">
      <c r="A989" s="12" t="n"/>
      <c r="B989" s="12" t="n"/>
      <c r="C989" s="12" t="n"/>
      <c r="D989" s="12" t="n"/>
      <c r="E989" s="12" t="n"/>
      <c r="F989" s="12" t="n"/>
      <c r="G989" s="24">
        <f>IF($A989="","",IF($B989="","EKSİK","TAM"))</f>
        <v/>
      </c>
    </row>
    <row r="990">
      <c r="A990" s="12" t="n"/>
      <c r="B990" s="12" t="n"/>
      <c r="C990" s="12" t="n"/>
      <c r="D990" s="12" t="n"/>
      <c r="E990" s="12" t="n"/>
      <c r="F990" s="12" t="n"/>
      <c r="G990" s="24">
        <f>IF($A990="","",IF($B990="","EKSİK","TAM"))</f>
        <v/>
      </c>
    </row>
    <row r="991">
      <c r="A991" s="12" t="n"/>
      <c r="B991" s="12" t="n"/>
      <c r="C991" s="12" t="n"/>
      <c r="D991" s="12" t="n"/>
      <c r="E991" s="12" t="n"/>
      <c r="F991" s="12" t="n"/>
      <c r="G991" s="24">
        <f>IF($A991="","",IF($B991="","EKSİK","TAM"))</f>
        <v/>
      </c>
    </row>
    <row r="992">
      <c r="A992" s="12" t="n"/>
      <c r="B992" s="12" t="n"/>
      <c r="C992" s="12" t="n"/>
      <c r="D992" s="12" t="n"/>
      <c r="E992" s="12" t="n"/>
      <c r="F992" s="12" t="n"/>
      <c r="G992" s="24">
        <f>IF($A992="","",IF($B992="","EKSİK","TAM"))</f>
        <v/>
      </c>
    </row>
    <row r="993">
      <c r="A993" s="12" t="n"/>
      <c r="B993" s="12" t="n"/>
      <c r="C993" s="12" t="n"/>
      <c r="D993" s="12" t="n"/>
      <c r="E993" s="12" t="n"/>
      <c r="F993" s="12" t="n"/>
      <c r="G993" s="24">
        <f>IF($A993="","",IF($B993="","EKSİK","TAM"))</f>
        <v/>
      </c>
    </row>
    <row r="994">
      <c r="A994" s="12" t="n"/>
      <c r="B994" s="12" t="n"/>
      <c r="C994" s="12" t="n"/>
      <c r="D994" s="12" t="n"/>
      <c r="E994" s="12" t="n"/>
      <c r="F994" s="12" t="n"/>
      <c r="G994" s="24">
        <f>IF($A994="","",IF($B994="","EKSİK","TAM"))</f>
        <v/>
      </c>
    </row>
    <row r="995">
      <c r="A995" s="12" t="n"/>
      <c r="B995" s="12" t="n"/>
      <c r="C995" s="12" t="n"/>
      <c r="D995" s="12" t="n"/>
      <c r="E995" s="12" t="n"/>
      <c r="F995" s="12" t="n"/>
      <c r="G995" s="24">
        <f>IF($A995="","",IF($B995="","EKSİK","TAM"))</f>
        <v/>
      </c>
    </row>
    <row r="996">
      <c r="A996" s="12" t="n"/>
      <c r="B996" s="12" t="n"/>
      <c r="C996" s="12" t="n"/>
      <c r="D996" s="12" t="n"/>
      <c r="E996" s="12" t="n"/>
      <c r="F996" s="12" t="n"/>
      <c r="G996" s="24">
        <f>IF($A996="","",IF($B996="","EKSİK","TAM"))</f>
        <v/>
      </c>
    </row>
    <row r="997">
      <c r="A997" s="12" t="n"/>
      <c r="B997" s="12" t="n"/>
      <c r="C997" s="12" t="n"/>
      <c r="D997" s="12" t="n"/>
      <c r="E997" s="12" t="n"/>
      <c r="F997" s="12" t="n"/>
      <c r="G997" s="24">
        <f>IF($A997="","",IF($B997="","EKSİK","TAM"))</f>
        <v/>
      </c>
    </row>
    <row r="998">
      <c r="A998" s="12" t="n"/>
      <c r="B998" s="12" t="n"/>
      <c r="C998" s="12" t="n"/>
      <c r="D998" s="12" t="n"/>
      <c r="E998" s="12" t="n"/>
      <c r="F998" s="12" t="n"/>
      <c r="G998" s="24">
        <f>IF($A998="","",IF($B998="","EKSİK","TAM"))</f>
        <v/>
      </c>
    </row>
    <row r="999">
      <c r="A999" s="12" t="n"/>
      <c r="B999" s="12" t="n"/>
      <c r="C999" s="12" t="n"/>
      <c r="D999" s="12" t="n"/>
      <c r="E999" s="12" t="n"/>
      <c r="F999" s="12" t="n"/>
      <c r="G999" s="24">
        <f>IF($A999="","",IF($B999="","EKSİK","TAM"))</f>
        <v/>
      </c>
    </row>
    <row r="1000">
      <c r="A1000" s="12" t="n"/>
      <c r="B1000" s="12" t="n"/>
      <c r="C1000" s="12" t="n"/>
      <c r="D1000" s="12" t="n"/>
      <c r="E1000" s="12" t="n"/>
      <c r="F1000" s="12" t="n"/>
      <c r="G1000" s="24">
        <f>IF($A1000="","",IF($B1000="","EKSİK","TAM"))</f>
        <v/>
      </c>
    </row>
    <row r="1001">
      <c r="A1001" s="12" t="n"/>
      <c r="B1001" s="12" t="n"/>
      <c r="C1001" s="12" t="n"/>
      <c r="D1001" s="12" t="n"/>
      <c r="E1001" s="12" t="n"/>
      <c r="F1001" s="12" t="n"/>
      <c r="G1001" s="24">
        <f>IF($A1001="","",IF($B1001="","EKSİK","TAM"))</f>
        <v/>
      </c>
    </row>
    <row r="1002">
      <c r="A1002" s="12" t="n"/>
      <c r="B1002" s="12" t="n"/>
      <c r="C1002" s="12" t="n"/>
      <c r="D1002" s="12" t="n"/>
      <c r="E1002" s="12" t="n"/>
      <c r="F1002" s="12" t="n"/>
      <c r="G1002" s="24">
        <f>IF($A1002="","",IF($B1002="","EKSİK","TAM"))</f>
        <v/>
      </c>
    </row>
    <row r="1003">
      <c r="A1003" s="12" t="n"/>
      <c r="B1003" s="12" t="n"/>
      <c r="C1003" s="12" t="n"/>
      <c r="D1003" s="12" t="n"/>
      <c r="E1003" s="12" t="n"/>
      <c r="F1003" s="12" t="n"/>
      <c r="G1003" s="24">
        <f>IF($A1003="","",IF($B1003="","EKSİK","TAM"))</f>
        <v/>
      </c>
    </row>
    <row r="1004">
      <c r="A1004" s="12" t="n"/>
      <c r="B1004" s="12" t="n"/>
      <c r="C1004" s="12" t="n"/>
      <c r="D1004" s="12" t="n"/>
      <c r="E1004" s="12" t="n"/>
      <c r="F1004" s="12" t="n"/>
      <c r="G1004" s="24">
        <f>IF($A1004="","",IF($B1004="","EKSİK","TAM"))</f>
        <v/>
      </c>
    </row>
    <row r="1005">
      <c r="A1005" s="12" t="n"/>
      <c r="B1005" s="12" t="n"/>
      <c r="C1005" s="12" t="n"/>
      <c r="D1005" s="12" t="n"/>
      <c r="E1005" s="12" t="n"/>
      <c r="F1005" s="12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T1"/>
    <mergeCell ref="A3:L3"/>
  </mergeCells>
  <dataValidations count="2">
    <dataValidation sqref="D6:D1005" showDropDown="0" showInputMessage="1" showErrorMessage="1" allowBlank="1" errorTitle="Liste" error="Listeden seçin" promptTitle="Para" prompt="USD/EUR" type="list" errorStyle="stop">
      <formula1>ListeDoviz</formula1>
    </dataValidation>
    <dataValidation sqref="F6:F1005" showDropDown="0" showInputMessage="1" showErrorMessage="1" allowBlank="1" errorTitle="Liste" error="Listeden seçin" promptTitle="Aktif" prompt="Evet/Hayı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X10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1" t="inlineStr">
        <is>
          <t>AKIS — İhracat Sipariş Kârlılık &amp; Kur Riski Komutası</t>
        </is>
      </c>
    </row>
    <row r="3" ht="20" customHeight="1">
      <c r="A3" s="29" t="inlineStr">
        <is>
          <t>Sipariş satırları — durum makinesi + yetim + geçersiz geçiş + zincir</t>
        </is>
      </c>
    </row>
    <row r="5" ht="30" customHeight="1">
      <c r="A5" s="22" t="inlineStr">
        <is>
          <t>IslemId</t>
        </is>
      </c>
      <c r="B5" s="22" t="inlineStr">
        <is>
          <t>KaynakKartId</t>
        </is>
      </c>
      <c r="C5" s="22" t="inlineStr">
        <is>
          <t>OncekiDurum</t>
        </is>
      </c>
      <c r="D5" s="22" t="inlineStr">
        <is>
          <t>Durum</t>
        </is>
      </c>
      <c r="E5" s="22" t="inlineStr">
        <is>
          <t>FobDoviz</t>
        </is>
      </c>
      <c r="F5" s="22" t="inlineStr">
        <is>
          <t>MaliyetDoviz</t>
        </is>
      </c>
      <c r="G5" s="22" t="inlineStr">
        <is>
          <t>Tutar</t>
        </is>
      </c>
      <c r="H5" s="22" t="inlineStr">
        <is>
          <t>HedgeOran</t>
        </is>
      </c>
      <c r="I5" s="22" t="inlineStr">
        <is>
          <t>YetimBayrak</t>
        </is>
      </c>
      <c r="J5" s="22" t="inlineStr">
        <is>
          <t>GecisUyarisi</t>
        </is>
      </c>
      <c r="K5" s="22" t="inlineStr">
        <is>
          <t>ZincirBayrak</t>
        </is>
      </c>
      <c r="L5" s="22" t="inlineStr">
        <is>
          <t>KayitDolu</t>
        </is>
      </c>
    </row>
    <row r="6">
      <c r="A6" s="12" t="inlineStr">
        <is>
          <t>SIP-00001</t>
        </is>
      </c>
      <c r="B6" s="12" t="inlineStr">
        <is>
          <t>MUS-001</t>
        </is>
      </c>
      <c r="C6" s="12" t="n"/>
      <c r="D6" s="12" t="inlineStr">
        <is>
          <t>ONAY</t>
        </is>
      </c>
      <c r="E6" s="14" t="n">
        <v>80000</v>
      </c>
      <c r="F6" s="14" t="n">
        <v>45000</v>
      </c>
      <c r="G6" s="14" t="n">
        <v>80000</v>
      </c>
      <c r="H6" s="15" t="n">
        <v>0.7</v>
      </c>
      <c r="I6" s="24">
        <f>IF($A6="","",IF($B6="","YETİM",IF(COUNTIF(tblKartlar[KartId],$B6)=0,"YETİM","")))</f>
        <v/>
      </c>
      <c r="J6" s="24">
        <f>IF(OR($A6="",$C6=""),"",IF(OR($C6&amp;"|"&amp;$D6="",COUNTIF(ListeIzinliGecis,$C6&amp;"|"&amp;$D6)&gt;0),"","GEÇERSİZ GEÇİŞ"))</f>
        <v/>
      </c>
      <c r="K6" s="24">
        <f>IF($A6="","",IF(OR($E6="",$G6=""),"",IF(ABS($G6-$E6)&gt;zincirTolerans,"ZİNCİR KIRIK","OK")))</f>
        <v/>
      </c>
      <c r="L6" s="24">
        <f>IF($A6="","",1)</f>
        <v/>
      </c>
    </row>
    <row r="7">
      <c r="A7" s="12" t="inlineStr">
        <is>
          <t>SIP-00002</t>
        </is>
      </c>
      <c r="B7" s="12" t="inlineStr">
        <is>
          <t>MUS-002</t>
        </is>
      </c>
      <c r="C7" s="12" t="inlineStr">
        <is>
          <t>TEKLIF</t>
        </is>
      </c>
      <c r="D7" s="12" t="inlineStr">
        <is>
          <t>URETIM</t>
        </is>
      </c>
      <c r="E7" s="14" t="n">
        <v>60000</v>
      </c>
      <c r="F7" s="14" t="n">
        <v>38000</v>
      </c>
      <c r="G7" s="14" t="n">
        <v>60000</v>
      </c>
      <c r="H7" s="15" t="n">
        <v>0.5</v>
      </c>
      <c r="I7" s="24">
        <f>IF($A7="","",IF($B7="","YETİM",IF(COUNTIF(tblKartlar[KartId],$B7)=0,"YETİM","")))</f>
        <v/>
      </c>
      <c r="J7" s="24">
        <f>IF(OR($A7="",$C7=""),"",IF(OR($C7&amp;"|"&amp;$D7="",COUNTIF(ListeIzinliGecis,$C7&amp;"|"&amp;$D7)&gt;0),"","GEÇERSİZ GEÇİŞ"))</f>
        <v/>
      </c>
      <c r="K7" s="24">
        <f>IF($A7="","",IF(OR($E7="",$G7=""),"",IF(ABS($G7-$E7)&gt;zincirTolerans,"ZİNCİR KIRIK","OK")))</f>
        <v/>
      </c>
      <c r="L7" s="24">
        <f>IF($A7="","",1)</f>
        <v/>
      </c>
    </row>
    <row r="8">
      <c r="A8" s="12" t="inlineStr">
        <is>
          <t>SIP-00003</t>
        </is>
      </c>
      <c r="B8" s="12" t="inlineStr">
        <is>
          <t>MUS-001</t>
        </is>
      </c>
      <c r="C8" s="12" t="inlineStr">
        <is>
          <t>SEVK</t>
        </is>
      </c>
      <c r="D8" s="12" t="inlineStr">
        <is>
          <t>TAHSILAT</t>
        </is>
      </c>
      <c r="E8" s="14" t="n">
        <v>40000</v>
      </c>
      <c r="F8" s="14" t="n">
        <v>22000</v>
      </c>
      <c r="G8" s="14" t="n">
        <v>40000</v>
      </c>
      <c r="H8" s="15" t="n">
        <v>0.8</v>
      </c>
      <c r="I8" s="24">
        <f>IF($A8="","",IF($B8="","YETİM",IF(COUNTIF(tblKartlar[KartId],$B8)=0,"YETİM","")))</f>
        <v/>
      </c>
      <c r="J8" s="24">
        <f>IF(OR($A8="",$C8=""),"",IF(OR($C8&amp;"|"&amp;$D8="",COUNTIF(ListeIzinliGecis,$C8&amp;"|"&amp;$D8)&gt;0),"","GEÇERSİZ GEÇİŞ"))</f>
        <v/>
      </c>
      <c r="K8" s="24">
        <f>IF($A8="","",IF(OR($E8="",$G8=""),"",IF(ABS($G8-$E8)&gt;zincirTolerans,"ZİNCİR KIRIK","OK")))</f>
        <v/>
      </c>
      <c r="L8" s="24">
        <f>IF($A8="","",1)</f>
        <v/>
      </c>
    </row>
    <row r="9">
      <c r="A9" s="12" t="inlineStr">
        <is>
          <t>SIP-00004</t>
        </is>
      </c>
      <c r="B9" s="12" t="n"/>
      <c r="C9" s="12" t="inlineStr">
        <is>
          <t>TEKLIF</t>
        </is>
      </c>
      <c r="D9" s="12" t="inlineStr">
        <is>
          <t>ONAY</t>
        </is>
      </c>
      <c r="E9" s="14" t="n">
        <v>20000</v>
      </c>
      <c r="F9" s="14" t="n">
        <v>12000</v>
      </c>
      <c r="G9" s="14" t="n">
        <v>20000</v>
      </c>
      <c r="H9" s="15" t="n">
        <v>0.4</v>
      </c>
      <c r="I9" s="24">
        <f>IF($A9="","",IF($B9="","YETİM",IF(COUNTIF(tblKartlar[KartId],$B9)=0,"YETİM","")))</f>
        <v/>
      </c>
      <c r="J9" s="24">
        <f>IF(OR($A9="",$C9=""),"",IF(OR($C9&amp;"|"&amp;$D9="",COUNTIF(ListeIzinliGecis,$C9&amp;"|"&amp;$D9)&gt;0),"","GEÇERSİZ GEÇİŞ"))</f>
        <v/>
      </c>
      <c r="K9" s="24">
        <f>IF($A9="","",IF(OR($E9="",$G9=""),"",IF(ABS($G9-$E9)&gt;zincirTolerans,"ZİNCİR KIRIK","OK")))</f>
        <v/>
      </c>
      <c r="L9" s="24">
        <f>IF($A9="","",1)</f>
        <v/>
      </c>
    </row>
    <row r="10">
      <c r="A10" s="12" t="n"/>
      <c r="B10" s="12" t="n"/>
      <c r="C10" s="12" t="n"/>
      <c r="D10" s="12" t="n"/>
      <c r="E10" s="14" t="n"/>
      <c r="F10" s="14" t="n"/>
      <c r="G10" s="14" t="n"/>
      <c r="H10" s="15" t="n"/>
      <c r="I10" s="24">
        <f>IF($A10="","",IF($B10="","YETİM",IF(COUNTIF(tblKartlar[KartId],$B10)=0,"YETİM","")))</f>
        <v/>
      </c>
      <c r="J10" s="24">
        <f>IF(OR($A10="",$C10=""),"",IF(OR($C10&amp;"|"&amp;$D10="",COUNTIF(ListeIzinliGecis,$C10&amp;"|"&amp;$D10)&gt;0),"","GEÇERSİZ GEÇİŞ"))</f>
        <v/>
      </c>
      <c r="K10" s="24">
        <f>IF($A10="","",IF(OR($E10="",$G10=""),"",IF(ABS($G10-$E10)&gt;zincirTolerans,"ZİNCİR KIRIK","OK")))</f>
        <v/>
      </c>
      <c r="L10" s="24">
        <f>IF($A10="","",1)</f>
        <v/>
      </c>
    </row>
    <row r="11">
      <c r="A11" s="12" t="n"/>
      <c r="B11" s="12" t="n"/>
      <c r="C11" s="12" t="n"/>
      <c r="D11" s="12" t="n"/>
      <c r="E11" s="14" t="n"/>
      <c r="F11" s="14" t="n"/>
      <c r="G11" s="14" t="n"/>
      <c r="H11" s="15" t="n"/>
      <c r="I11" s="24">
        <f>IF($A11="","",IF($B11="","YETİM",IF(COUNTIF(tblKartlar[KartId],$B11)=0,"YETİM","")))</f>
        <v/>
      </c>
      <c r="J11" s="24">
        <f>IF(OR($A11="",$C11=""),"",IF(OR($C11&amp;"|"&amp;$D11="",COUNTIF(ListeIzinliGecis,$C11&amp;"|"&amp;$D11)&gt;0),"","GEÇERSİZ GEÇİŞ"))</f>
        <v/>
      </c>
      <c r="K11" s="24">
        <f>IF($A11="","",IF(OR($E11="",$G11=""),"",IF(ABS($G11-$E11)&gt;zincirTolerans,"ZİNCİR KIRIK","OK")))</f>
        <v/>
      </c>
      <c r="L11" s="24">
        <f>IF($A11="","",1)</f>
        <v/>
      </c>
    </row>
    <row r="12">
      <c r="A12" s="12" t="n"/>
      <c r="B12" s="12" t="n"/>
      <c r="C12" s="12" t="n"/>
      <c r="D12" s="12" t="n"/>
      <c r="E12" s="14" t="n"/>
      <c r="F12" s="14" t="n"/>
      <c r="G12" s="14" t="n"/>
      <c r="H12" s="15" t="n"/>
      <c r="I12" s="24">
        <f>IF($A12="","",IF($B12="","YETİM",IF(COUNTIF(tblKartlar[KartId],$B12)=0,"YETİM","")))</f>
        <v/>
      </c>
      <c r="J12" s="24">
        <f>IF(OR($A12="",$C12=""),"",IF(OR($C12&amp;"|"&amp;$D12="",COUNTIF(ListeIzinliGecis,$C12&amp;"|"&amp;$D12)&gt;0),"","GEÇERSİZ GEÇİŞ"))</f>
        <v/>
      </c>
      <c r="K12" s="24">
        <f>IF($A12="","",IF(OR($E12="",$G12=""),"",IF(ABS($G12-$E12)&gt;zincirTolerans,"ZİNCİR KIRIK","OK")))</f>
        <v/>
      </c>
      <c r="L12" s="24">
        <f>IF($A12="","",1)</f>
        <v/>
      </c>
    </row>
    <row r="13">
      <c r="A13" s="12" t="n"/>
      <c r="B13" s="12" t="n"/>
      <c r="C13" s="12" t="n"/>
      <c r="D13" s="12" t="n"/>
      <c r="E13" s="14" t="n"/>
      <c r="F13" s="14" t="n"/>
      <c r="G13" s="14" t="n"/>
      <c r="H13" s="15" t="n"/>
      <c r="I13" s="24">
        <f>IF($A13="","",IF($B13="","YETİM",IF(COUNTIF(tblKartlar[KartId],$B13)=0,"YETİM","")))</f>
        <v/>
      </c>
      <c r="J13" s="24">
        <f>IF(OR($A13="",$C13=""),"",IF(OR($C13&amp;"|"&amp;$D13="",COUNTIF(ListeIzinliGecis,$C13&amp;"|"&amp;$D13)&gt;0),"","GEÇERSİZ GEÇİŞ"))</f>
        <v/>
      </c>
      <c r="K13" s="24">
        <f>IF($A13="","",IF(OR($E13="",$G13=""),"",IF(ABS($G13-$E13)&gt;zincirTolerans,"ZİNCİR KIRIK","OK")))</f>
        <v/>
      </c>
      <c r="L13" s="24">
        <f>IF($A13="","",1)</f>
        <v/>
      </c>
    </row>
    <row r="14">
      <c r="A14" s="12" t="n"/>
      <c r="B14" s="12" t="n"/>
      <c r="C14" s="12" t="n"/>
      <c r="D14" s="12" t="n"/>
      <c r="E14" s="14" t="n"/>
      <c r="F14" s="14" t="n"/>
      <c r="G14" s="14" t="n"/>
      <c r="H14" s="15" t="n"/>
      <c r="I14" s="24">
        <f>IF($A14="","",IF($B14="","YETİM",IF(COUNTIF(tblKartlar[KartId],$B14)=0,"YETİM","")))</f>
        <v/>
      </c>
      <c r="J14" s="24">
        <f>IF(OR($A14="",$C14=""),"",IF(OR($C14&amp;"|"&amp;$D14="",COUNTIF(ListeIzinliGecis,$C14&amp;"|"&amp;$D14)&gt;0),"","GEÇERSİZ GEÇİŞ"))</f>
        <v/>
      </c>
      <c r="K14" s="24">
        <f>IF($A14="","",IF(OR($E14="",$G14=""),"",IF(ABS($G14-$E14)&gt;zincirTolerans,"ZİNCİR KIRIK","OK")))</f>
        <v/>
      </c>
      <c r="L14" s="24">
        <f>IF($A14="","",1)</f>
        <v/>
      </c>
    </row>
    <row r="15">
      <c r="A15" s="12" t="n"/>
      <c r="B15" s="12" t="n"/>
      <c r="C15" s="12" t="n"/>
      <c r="D15" s="12" t="n"/>
      <c r="E15" s="14" t="n"/>
      <c r="F15" s="14" t="n"/>
      <c r="G15" s="14" t="n"/>
      <c r="H15" s="15" t="n"/>
      <c r="I15" s="24">
        <f>IF($A15="","",IF($B15="","YETİM",IF(COUNTIF(tblKartlar[KartId],$B15)=0,"YETİM","")))</f>
        <v/>
      </c>
      <c r="J15" s="24">
        <f>IF(OR($A15="",$C15=""),"",IF(OR($C15&amp;"|"&amp;$D15="",COUNTIF(ListeIzinliGecis,$C15&amp;"|"&amp;$D15)&gt;0),"","GEÇERSİZ GEÇİŞ"))</f>
        <v/>
      </c>
      <c r="K15" s="24">
        <f>IF($A15="","",IF(OR($E15="",$G15=""),"",IF(ABS($G15-$E15)&gt;zincirTolerans,"ZİNCİR KIRIK","OK")))</f>
        <v/>
      </c>
      <c r="L15" s="24">
        <f>IF($A15="","",1)</f>
        <v/>
      </c>
    </row>
    <row r="16">
      <c r="A16" s="12" t="n"/>
      <c r="B16" s="12" t="n"/>
      <c r="C16" s="12" t="n"/>
      <c r="D16" s="12" t="n"/>
      <c r="E16" s="14" t="n"/>
      <c r="F16" s="14" t="n"/>
      <c r="G16" s="14" t="n"/>
      <c r="H16" s="15" t="n"/>
      <c r="I16" s="24">
        <f>IF($A16="","",IF($B16="","YETİM",IF(COUNTIF(tblKartlar[KartId],$B16)=0,"YETİM","")))</f>
        <v/>
      </c>
      <c r="J16" s="24">
        <f>IF(OR($A16="",$C16=""),"",IF(OR($C16&amp;"|"&amp;$D16="",COUNTIF(ListeIzinliGecis,$C16&amp;"|"&amp;$D16)&gt;0),"","GEÇERSİZ GEÇİŞ"))</f>
        <v/>
      </c>
      <c r="K16" s="24">
        <f>IF($A16="","",IF(OR($E16="",$G16=""),"",IF(ABS($G16-$E16)&gt;zincirTolerans,"ZİNCİR KIRIK","OK")))</f>
        <v/>
      </c>
      <c r="L16" s="24">
        <f>IF($A16="","",1)</f>
        <v/>
      </c>
    </row>
    <row r="17">
      <c r="A17" s="12" t="n"/>
      <c r="B17" s="12" t="n"/>
      <c r="C17" s="12" t="n"/>
      <c r="D17" s="12" t="n"/>
      <c r="E17" s="14" t="n"/>
      <c r="F17" s="14" t="n"/>
      <c r="G17" s="14" t="n"/>
      <c r="H17" s="15" t="n"/>
      <c r="I17" s="24">
        <f>IF($A17="","",IF($B17="","YETİM",IF(COUNTIF(tblKartlar[KartId],$B17)=0,"YETİM","")))</f>
        <v/>
      </c>
      <c r="J17" s="24">
        <f>IF(OR($A17="",$C17=""),"",IF(OR($C17&amp;"|"&amp;$D17="",COUNTIF(ListeIzinliGecis,$C17&amp;"|"&amp;$D17)&gt;0),"","GEÇERSİZ GEÇİŞ"))</f>
        <v/>
      </c>
      <c r="K17" s="24">
        <f>IF($A17="","",IF(OR($E17="",$G17=""),"",IF(ABS($G17-$E17)&gt;zincirTolerans,"ZİNCİR KIRIK","OK")))</f>
        <v/>
      </c>
      <c r="L17" s="24">
        <f>IF($A17="","",1)</f>
        <v/>
      </c>
    </row>
    <row r="18">
      <c r="A18" s="12" t="n"/>
      <c r="B18" s="12" t="n"/>
      <c r="C18" s="12" t="n"/>
      <c r="D18" s="12" t="n"/>
      <c r="E18" s="14" t="n"/>
      <c r="F18" s="14" t="n"/>
      <c r="G18" s="14" t="n"/>
      <c r="H18" s="15" t="n"/>
      <c r="I18" s="24">
        <f>IF($A18="","",IF($B18="","YETİM",IF(COUNTIF(tblKartlar[KartId],$B18)=0,"YETİM","")))</f>
        <v/>
      </c>
      <c r="J18" s="24">
        <f>IF(OR($A18="",$C18=""),"",IF(OR($C18&amp;"|"&amp;$D18="",COUNTIF(ListeIzinliGecis,$C18&amp;"|"&amp;$D18)&gt;0),"","GEÇERSİZ GEÇİŞ"))</f>
        <v/>
      </c>
      <c r="K18" s="24">
        <f>IF($A18="","",IF(OR($E18="",$G18=""),"",IF(ABS($G18-$E18)&gt;zincirTolerans,"ZİNCİR KIRIK","OK")))</f>
        <v/>
      </c>
      <c r="L18" s="24">
        <f>IF($A18="","",1)</f>
        <v/>
      </c>
    </row>
    <row r="19">
      <c r="A19" s="12" t="n"/>
      <c r="B19" s="12" t="n"/>
      <c r="C19" s="12" t="n"/>
      <c r="D19" s="12" t="n"/>
      <c r="E19" s="14" t="n"/>
      <c r="F19" s="14" t="n"/>
      <c r="G19" s="14" t="n"/>
      <c r="H19" s="15" t="n"/>
      <c r="I19" s="24">
        <f>IF($A19="","",IF($B19="","YETİM",IF(COUNTIF(tblKartlar[KartId],$B19)=0,"YETİM","")))</f>
        <v/>
      </c>
      <c r="J19" s="24">
        <f>IF(OR($A19="",$C19=""),"",IF(OR($C19&amp;"|"&amp;$D19="",COUNTIF(ListeIzinliGecis,$C19&amp;"|"&amp;$D19)&gt;0),"","GEÇERSİZ GEÇİŞ"))</f>
        <v/>
      </c>
      <c r="K19" s="24">
        <f>IF($A19="","",IF(OR($E19="",$G19=""),"",IF(ABS($G19-$E19)&gt;zincirTolerans,"ZİNCİR KIRIK","OK")))</f>
        <v/>
      </c>
      <c r="L19" s="24">
        <f>IF($A19="","",1)</f>
        <v/>
      </c>
    </row>
    <row r="20">
      <c r="A20" s="12" t="n"/>
      <c r="B20" s="12" t="n"/>
      <c r="C20" s="12" t="n"/>
      <c r="D20" s="12" t="n"/>
      <c r="E20" s="14" t="n"/>
      <c r="F20" s="14" t="n"/>
      <c r="G20" s="14" t="n"/>
      <c r="H20" s="15" t="n"/>
      <c r="I20" s="24">
        <f>IF($A20="","",IF($B20="","YETİM",IF(COUNTIF(tblKartlar[KartId],$B20)=0,"YETİM","")))</f>
        <v/>
      </c>
      <c r="J20" s="24">
        <f>IF(OR($A20="",$C20=""),"",IF(OR($C20&amp;"|"&amp;$D20="",COUNTIF(ListeIzinliGecis,$C20&amp;"|"&amp;$D20)&gt;0),"","GEÇERSİZ GEÇİŞ"))</f>
        <v/>
      </c>
      <c r="K20" s="24">
        <f>IF($A20="","",IF(OR($E20="",$G20=""),"",IF(ABS($G20-$E20)&gt;zincirTolerans,"ZİNCİR KIRIK","OK")))</f>
        <v/>
      </c>
      <c r="L20" s="24">
        <f>IF($A20="","",1)</f>
        <v/>
      </c>
    </row>
    <row r="21">
      <c r="A21" s="12" t="n"/>
      <c r="B21" s="12" t="n"/>
      <c r="C21" s="12" t="n"/>
      <c r="D21" s="12" t="n"/>
      <c r="E21" s="14" t="n"/>
      <c r="F21" s="14" t="n"/>
      <c r="G21" s="14" t="n"/>
      <c r="H21" s="15" t="n"/>
      <c r="I21" s="24">
        <f>IF($A21="","",IF($B21="","YETİM",IF(COUNTIF(tblKartlar[KartId],$B21)=0,"YETİM","")))</f>
        <v/>
      </c>
      <c r="J21" s="24">
        <f>IF(OR($A21="",$C21=""),"",IF(OR($C21&amp;"|"&amp;$D21="",COUNTIF(ListeIzinliGecis,$C21&amp;"|"&amp;$D21)&gt;0),"","GEÇERSİZ GEÇİŞ"))</f>
        <v/>
      </c>
      <c r="K21" s="24">
        <f>IF($A21="","",IF(OR($E21="",$G21=""),"",IF(ABS($G21-$E21)&gt;zincirTolerans,"ZİNCİR KIRIK","OK")))</f>
        <v/>
      </c>
      <c r="L21" s="24">
        <f>IF($A21="","",1)</f>
        <v/>
      </c>
    </row>
    <row r="22">
      <c r="A22" s="12" t="n"/>
      <c r="B22" s="12" t="n"/>
      <c r="C22" s="12" t="n"/>
      <c r="D22" s="12" t="n"/>
      <c r="E22" s="14" t="n"/>
      <c r="F22" s="14" t="n"/>
      <c r="G22" s="14" t="n"/>
      <c r="H22" s="15" t="n"/>
      <c r="I22" s="24">
        <f>IF($A22="","",IF($B22="","YETİM",IF(COUNTIF(tblKartlar[KartId],$B22)=0,"YETİM","")))</f>
        <v/>
      </c>
      <c r="J22" s="24">
        <f>IF(OR($A22="",$C22=""),"",IF(OR($C22&amp;"|"&amp;$D22="",COUNTIF(ListeIzinliGecis,$C22&amp;"|"&amp;$D22)&gt;0),"","GEÇERSİZ GEÇİŞ"))</f>
        <v/>
      </c>
      <c r="K22" s="24">
        <f>IF($A22="","",IF(OR($E22="",$G22=""),"",IF(ABS($G22-$E22)&gt;zincirTolerans,"ZİNCİR KIRIK","OK")))</f>
        <v/>
      </c>
      <c r="L22" s="24">
        <f>IF($A22="","",1)</f>
        <v/>
      </c>
    </row>
    <row r="23">
      <c r="A23" s="12" t="n"/>
      <c r="B23" s="12" t="n"/>
      <c r="C23" s="12" t="n"/>
      <c r="D23" s="12" t="n"/>
      <c r="E23" s="14" t="n"/>
      <c r="F23" s="14" t="n"/>
      <c r="G23" s="14" t="n"/>
      <c r="H23" s="15" t="n"/>
      <c r="I23" s="24">
        <f>IF($A23="","",IF($B23="","YETİM",IF(COUNTIF(tblKartlar[KartId],$B23)=0,"YETİM","")))</f>
        <v/>
      </c>
      <c r="J23" s="24">
        <f>IF(OR($A23="",$C23=""),"",IF(OR($C23&amp;"|"&amp;$D23="",COUNTIF(ListeIzinliGecis,$C23&amp;"|"&amp;$D23)&gt;0),"","GEÇERSİZ GEÇİŞ"))</f>
        <v/>
      </c>
      <c r="K23" s="24">
        <f>IF($A23="","",IF(OR($E23="",$G23=""),"",IF(ABS($G23-$E23)&gt;zincirTolerans,"ZİNCİR KIRIK","OK")))</f>
        <v/>
      </c>
      <c r="L23" s="24">
        <f>IF($A23="","",1)</f>
        <v/>
      </c>
    </row>
    <row r="24">
      <c r="A24" s="12" t="n"/>
      <c r="B24" s="12" t="n"/>
      <c r="C24" s="12" t="n"/>
      <c r="D24" s="12" t="n"/>
      <c r="E24" s="14" t="n"/>
      <c r="F24" s="14" t="n"/>
      <c r="G24" s="14" t="n"/>
      <c r="H24" s="15" t="n"/>
      <c r="I24" s="24">
        <f>IF($A24="","",IF($B24="","YETİM",IF(COUNTIF(tblKartlar[KartId],$B24)=0,"YETİM","")))</f>
        <v/>
      </c>
      <c r="J24" s="24">
        <f>IF(OR($A24="",$C24=""),"",IF(OR($C24&amp;"|"&amp;$D24="",COUNTIF(ListeIzinliGecis,$C24&amp;"|"&amp;$D24)&gt;0),"","GEÇERSİZ GEÇİŞ"))</f>
        <v/>
      </c>
      <c r="K24" s="24">
        <f>IF($A24="","",IF(OR($E24="",$G24=""),"",IF(ABS($G24-$E24)&gt;zincirTolerans,"ZİNCİR KIRIK","OK")))</f>
        <v/>
      </c>
      <c r="L24" s="24">
        <f>IF($A24="","",1)</f>
        <v/>
      </c>
    </row>
    <row r="25">
      <c r="A25" s="12" t="n"/>
      <c r="B25" s="12" t="n"/>
      <c r="C25" s="12" t="n"/>
      <c r="D25" s="12" t="n"/>
      <c r="E25" s="14" t="n"/>
      <c r="F25" s="14" t="n"/>
      <c r="G25" s="14" t="n"/>
      <c r="H25" s="15" t="n"/>
      <c r="I25" s="24">
        <f>IF($A25="","",IF($B25="","YETİM",IF(COUNTIF(tblKartlar[KartId],$B25)=0,"YETİM","")))</f>
        <v/>
      </c>
      <c r="J25" s="24">
        <f>IF(OR($A25="",$C25=""),"",IF(OR($C25&amp;"|"&amp;$D25="",COUNTIF(ListeIzinliGecis,$C25&amp;"|"&amp;$D25)&gt;0),"","GEÇERSİZ GEÇİŞ"))</f>
        <v/>
      </c>
      <c r="K25" s="24">
        <f>IF($A25="","",IF(OR($E25="",$G25=""),"",IF(ABS($G25-$E25)&gt;zincirTolerans,"ZİNCİR KIRIK","OK")))</f>
        <v/>
      </c>
      <c r="L25" s="24">
        <f>IF($A25="","",1)</f>
        <v/>
      </c>
    </row>
    <row r="26">
      <c r="A26" s="12" t="n"/>
      <c r="B26" s="12" t="n"/>
      <c r="C26" s="12" t="n"/>
      <c r="D26" s="12" t="n"/>
      <c r="E26" s="14" t="n"/>
      <c r="F26" s="14" t="n"/>
      <c r="G26" s="14" t="n"/>
      <c r="H26" s="15" t="n"/>
      <c r="I26" s="24">
        <f>IF($A26="","",IF($B26="","YETİM",IF(COUNTIF(tblKartlar[KartId],$B26)=0,"YETİM","")))</f>
        <v/>
      </c>
      <c r="J26" s="24">
        <f>IF(OR($A26="",$C26=""),"",IF(OR($C26&amp;"|"&amp;$D26="",COUNTIF(ListeIzinliGecis,$C26&amp;"|"&amp;$D26)&gt;0),"","GEÇERSİZ GEÇİŞ"))</f>
        <v/>
      </c>
      <c r="K26" s="24">
        <f>IF($A26="","",IF(OR($E26="",$G26=""),"",IF(ABS($G26-$E26)&gt;zincirTolerans,"ZİNCİR KIRIK","OK")))</f>
        <v/>
      </c>
      <c r="L26" s="24">
        <f>IF($A26="","",1)</f>
        <v/>
      </c>
    </row>
    <row r="27">
      <c r="A27" s="12" t="n"/>
      <c r="B27" s="12" t="n"/>
      <c r="C27" s="12" t="n"/>
      <c r="D27" s="12" t="n"/>
      <c r="E27" s="14" t="n"/>
      <c r="F27" s="14" t="n"/>
      <c r="G27" s="14" t="n"/>
      <c r="H27" s="15" t="n"/>
      <c r="I27" s="24">
        <f>IF($A27="","",IF($B27="","YETİM",IF(COUNTIF(tblKartlar[KartId],$B27)=0,"YETİM","")))</f>
        <v/>
      </c>
      <c r="J27" s="24">
        <f>IF(OR($A27="",$C27=""),"",IF(OR($C27&amp;"|"&amp;$D27="",COUNTIF(ListeIzinliGecis,$C27&amp;"|"&amp;$D27)&gt;0),"","GEÇERSİZ GEÇİŞ"))</f>
        <v/>
      </c>
      <c r="K27" s="24">
        <f>IF($A27="","",IF(OR($E27="",$G27=""),"",IF(ABS($G27-$E27)&gt;zincirTolerans,"ZİNCİR KIRIK","OK")))</f>
        <v/>
      </c>
      <c r="L27" s="24">
        <f>IF($A27="","",1)</f>
        <v/>
      </c>
    </row>
    <row r="28">
      <c r="A28" s="12" t="n"/>
      <c r="B28" s="12" t="n"/>
      <c r="C28" s="12" t="n"/>
      <c r="D28" s="12" t="n"/>
      <c r="E28" s="14" t="n"/>
      <c r="F28" s="14" t="n"/>
      <c r="G28" s="14" t="n"/>
      <c r="H28" s="15" t="n"/>
      <c r="I28" s="24">
        <f>IF($A28="","",IF($B28="","YETİM",IF(COUNTIF(tblKartlar[KartId],$B28)=0,"YETİM","")))</f>
        <v/>
      </c>
      <c r="J28" s="24">
        <f>IF(OR($A28="",$C28=""),"",IF(OR($C28&amp;"|"&amp;$D28="",COUNTIF(ListeIzinliGecis,$C28&amp;"|"&amp;$D28)&gt;0),"","GEÇERSİZ GEÇİŞ"))</f>
        <v/>
      </c>
      <c r="K28" s="24">
        <f>IF($A28="","",IF(OR($E28="",$G28=""),"",IF(ABS($G28-$E28)&gt;zincirTolerans,"ZİNCİR KIRIK","OK")))</f>
        <v/>
      </c>
      <c r="L28" s="24">
        <f>IF($A28="","",1)</f>
        <v/>
      </c>
    </row>
    <row r="29">
      <c r="A29" s="12" t="n"/>
      <c r="B29" s="12" t="n"/>
      <c r="C29" s="12" t="n"/>
      <c r="D29" s="12" t="n"/>
      <c r="E29" s="14" t="n"/>
      <c r="F29" s="14" t="n"/>
      <c r="G29" s="14" t="n"/>
      <c r="H29" s="15" t="n"/>
      <c r="I29" s="24">
        <f>IF($A29="","",IF($B29="","YETİM",IF(COUNTIF(tblKartlar[KartId],$B29)=0,"YETİM","")))</f>
        <v/>
      </c>
      <c r="J29" s="24">
        <f>IF(OR($A29="",$C29=""),"",IF(OR($C29&amp;"|"&amp;$D29="",COUNTIF(ListeIzinliGecis,$C29&amp;"|"&amp;$D29)&gt;0),"","GEÇERSİZ GEÇİŞ"))</f>
        <v/>
      </c>
      <c r="K29" s="24">
        <f>IF($A29="","",IF(OR($E29="",$G29=""),"",IF(ABS($G29-$E29)&gt;zincirTolerans,"ZİNCİR KIRIK","OK")))</f>
        <v/>
      </c>
      <c r="L29" s="24">
        <f>IF($A29="","",1)</f>
        <v/>
      </c>
    </row>
    <row r="30">
      <c r="A30" s="12" t="n"/>
      <c r="B30" s="12" t="n"/>
      <c r="C30" s="12" t="n"/>
      <c r="D30" s="12" t="n"/>
      <c r="E30" s="14" t="n"/>
      <c r="F30" s="14" t="n"/>
      <c r="G30" s="14" t="n"/>
      <c r="H30" s="15" t="n"/>
      <c r="I30" s="24">
        <f>IF($A30="","",IF($B30="","YETİM",IF(COUNTIF(tblKartlar[KartId],$B30)=0,"YETİM","")))</f>
        <v/>
      </c>
      <c r="J30" s="24">
        <f>IF(OR($A30="",$C30=""),"",IF(OR($C30&amp;"|"&amp;$D30="",COUNTIF(ListeIzinliGecis,$C30&amp;"|"&amp;$D30)&gt;0),"","GEÇERSİZ GEÇİŞ"))</f>
        <v/>
      </c>
      <c r="K30" s="24">
        <f>IF($A30="","",IF(OR($E30="",$G30=""),"",IF(ABS($G30-$E30)&gt;zincirTolerans,"ZİNCİR KIRIK","OK")))</f>
        <v/>
      </c>
      <c r="L30" s="24">
        <f>IF($A30="","",1)</f>
        <v/>
      </c>
    </row>
    <row r="31">
      <c r="A31" s="12" t="n"/>
      <c r="B31" s="12" t="n"/>
      <c r="C31" s="12" t="n"/>
      <c r="D31" s="12" t="n"/>
      <c r="E31" s="14" t="n"/>
      <c r="F31" s="14" t="n"/>
      <c r="G31" s="14" t="n"/>
      <c r="H31" s="15" t="n"/>
      <c r="I31" s="24">
        <f>IF($A31="","",IF($B31="","YETİM",IF(COUNTIF(tblKartlar[KartId],$B31)=0,"YETİM","")))</f>
        <v/>
      </c>
      <c r="J31" s="24">
        <f>IF(OR($A31="",$C31=""),"",IF(OR($C31&amp;"|"&amp;$D31="",COUNTIF(ListeIzinliGecis,$C31&amp;"|"&amp;$D31)&gt;0),"","GEÇERSİZ GEÇİŞ"))</f>
        <v/>
      </c>
      <c r="K31" s="24">
        <f>IF($A31="","",IF(OR($E31="",$G31=""),"",IF(ABS($G31-$E31)&gt;zincirTolerans,"ZİNCİR KIRIK","OK")))</f>
        <v/>
      </c>
      <c r="L31" s="24">
        <f>IF($A31="","",1)</f>
        <v/>
      </c>
    </row>
    <row r="32">
      <c r="A32" s="12" t="n"/>
      <c r="B32" s="12" t="n"/>
      <c r="C32" s="12" t="n"/>
      <c r="D32" s="12" t="n"/>
      <c r="E32" s="14" t="n"/>
      <c r="F32" s="14" t="n"/>
      <c r="G32" s="14" t="n"/>
      <c r="H32" s="15" t="n"/>
      <c r="I32" s="24">
        <f>IF($A32="","",IF($B32="","YETİM",IF(COUNTIF(tblKartlar[KartId],$B32)=0,"YETİM","")))</f>
        <v/>
      </c>
      <c r="J32" s="24">
        <f>IF(OR($A32="",$C32=""),"",IF(OR($C32&amp;"|"&amp;$D32="",COUNTIF(ListeIzinliGecis,$C32&amp;"|"&amp;$D32)&gt;0),"","GEÇERSİZ GEÇİŞ"))</f>
        <v/>
      </c>
      <c r="K32" s="24">
        <f>IF($A32="","",IF(OR($E32="",$G32=""),"",IF(ABS($G32-$E32)&gt;zincirTolerans,"ZİNCİR KIRIK","OK")))</f>
        <v/>
      </c>
      <c r="L32" s="24">
        <f>IF($A32="","",1)</f>
        <v/>
      </c>
    </row>
    <row r="33">
      <c r="A33" s="12" t="n"/>
      <c r="B33" s="12" t="n"/>
      <c r="C33" s="12" t="n"/>
      <c r="D33" s="12" t="n"/>
      <c r="E33" s="14" t="n"/>
      <c r="F33" s="14" t="n"/>
      <c r="G33" s="14" t="n"/>
      <c r="H33" s="15" t="n"/>
      <c r="I33" s="24">
        <f>IF($A33="","",IF($B33="","YETİM",IF(COUNTIF(tblKartlar[KartId],$B33)=0,"YETİM","")))</f>
        <v/>
      </c>
      <c r="J33" s="24">
        <f>IF(OR($A33="",$C33=""),"",IF(OR($C33&amp;"|"&amp;$D33="",COUNTIF(ListeIzinliGecis,$C33&amp;"|"&amp;$D33)&gt;0),"","GEÇERSİZ GEÇİŞ"))</f>
        <v/>
      </c>
      <c r="K33" s="24">
        <f>IF($A33="","",IF(OR($E33="",$G33=""),"",IF(ABS($G33-$E33)&gt;zincirTolerans,"ZİNCİR KIRIK","OK")))</f>
        <v/>
      </c>
      <c r="L33" s="24">
        <f>IF($A33="","",1)</f>
        <v/>
      </c>
    </row>
    <row r="34">
      <c r="A34" s="12" t="n"/>
      <c r="B34" s="12" t="n"/>
      <c r="C34" s="12" t="n"/>
      <c r="D34" s="12" t="n"/>
      <c r="E34" s="14" t="n"/>
      <c r="F34" s="14" t="n"/>
      <c r="G34" s="14" t="n"/>
      <c r="H34" s="15" t="n"/>
      <c r="I34" s="24">
        <f>IF($A34="","",IF($B34="","YETİM",IF(COUNTIF(tblKartlar[KartId],$B34)=0,"YETİM","")))</f>
        <v/>
      </c>
      <c r="J34" s="24">
        <f>IF(OR($A34="",$C34=""),"",IF(OR($C34&amp;"|"&amp;$D34="",COUNTIF(ListeIzinliGecis,$C34&amp;"|"&amp;$D34)&gt;0),"","GEÇERSİZ GEÇİŞ"))</f>
        <v/>
      </c>
      <c r="K34" s="24">
        <f>IF($A34="","",IF(OR($E34="",$G34=""),"",IF(ABS($G34-$E34)&gt;zincirTolerans,"ZİNCİR KIRIK","OK")))</f>
        <v/>
      </c>
      <c r="L34" s="24">
        <f>IF($A34="","",1)</f>
        <v/>
      </c>
    </row>
    <row r="35">
      <c r="A35" s="12" t="n"/>
      <c r="B35" s="12" t="n"/>
      <c r="C35" s="12" t="n"/>
      <c r="D35" s="12" t="n"/>
      <c r="E35" s="14" t="n"/>
      <c r="F35" s="14" t="n"/>
      <c r="G35" s="14" t="n"/>
      <c r="H35" s="15" t="n"/>
      <c r="I35" s="24">
        <f>IF($A35="","",IF($B35="","YETİM",IF(COUNTIF(tblKartlar[KartId],$B35)=0,"YETİM","")))</f>
        <v/>
      </c>
      <c r="J35" s="24">
        <f>IF(OR($A35="",$C35=""),"",IF(OR($C35&amp;"|"&amp;$D35="",COUNTIF(ListeIzinliGecis,$C35&amp;"|"&amp;$D35)&gt;0),"","GEÇERSİZ GEÇİŞ"))</f>
        <v/>
      </c>
      <c r="K35" s="24">
        <f>IF($A35="","",IF(OR($E35="",$G35=""),"",IF(ABS($G35-$E35)&gt;zincirTolerans,"ZİNCİR KIRIK","OK")))</f>
        <v/>
      </c>
      <c r="L35" s="24">
        <f>IF($A35="","",1)</f>
        <v/>
      </c>
    </row>
    <row r="36">
      <c r="A36" s="12" t="n"/>
      <c r="B36" s="12" t="n"/>
      <c r="C36" s="12" t="n"/>
      <c r="D36" s="12" t="n"/>
      <c r="E36" s="14" t="n"/>
      <c r="F36" s="14" t="n"/>
      <c r="G36" s="14" t="n"/>
      <c r="H36" s="15" t="n"/>
      <c r="I36" s="24">
        <f>IF($A36="","",IF($B36="","YETİM",IF(COUNTIF(tblKartlar[KartId],$B36)=0,"YETİM","")))</f>
        <v/>
      </c>
      <c r="J36" s="24">
        <f>IF(OR($A36="",$C36=""),"",IF(OR($C36&amp;"|"&amp;$D36="",COUNTIF(ListeIzinliGecis,$C36&amp;"|"&amp;$D36)&gt;0),"","GEÇERSİZ GEÇİŞ"))</f>
        <v/>
      </c>
      <c r="K36" s="24">
        <f>IF($A36="","",IF(OR($E36="",$G36=""),"",IF(ABS($G36-$E36)&gt;zincirTolerans,"ZİNCİR KIRIK","OK")))</f>
        <v/>
      </c>
      <c r="L36" s="24">
        <f>IF($A36="","",1)</f>
        <v/>
      </c>
    </row>
    <row r="37">
      <c r="A37" s="12" t="n"/>
      <c r="B37" s="12" t="n"/>
      <c r="C37" s="12" t="n"/>
      <c r="D37" s="12" t="n"/>
      <c r="E37" s="14" t="n"/>
      <c r="F37" s="14" t="n"/>
      <c r="G37" s="14" t="n"/>
      <c r="H37" s="15" t="n"/>
      <c r="I37" s="24">
        <f>IF($A37="","",IF($B37="","YETİM",IF(COUNTIF(tblKartlar[KartId],$B37)=0,"YETİM","")))</f>
        <v/>
      </c>
      <c r="J37" s="24">
        <f>IF(OR($A37="",$C37=""),"",IF(OR($C37&amp;"|"&amp;$D37="",COUNTIF(ListeIzinliGecis,$C37&amp;"|"&amp;$D37)&gt;0),"","GEÇERSİZ GEÇİŞ"))</f>
        <v/>
      </c>
      <c r="K37" s="24">
        <f>IF($A37="","",IF(OR($E37="",$G37=""),"",IF(ABS($G37-$E37)&gt;zincirTolerans,"ZİNCİR KIRIK","OK")))</f>
        <v/>
      </c>
      <c r="L37" s="24">
        <f>IF($A37="","",1)</f>
        <v/>
      </c>
    </row>
    <row r="38">
      <c r="A38" s="12" t="n"/>
      <c r="B38" s="12" t="n"/>
      <c r="C38" s="12" t="n"/>
      <c r="D38" s="12" t="n"/>
      <c r="E38" s="14" t="n"/>
      <c r="F38" s="14" t="n"/>
      <c r="G38" s="14" t="n"/>
      <c r="H38" s="15" t="n"/>
      <c r="I38" s="24">
        <f>IF($A38="","",IF($B38="","YETİM",IF(COUNTIF(tblKartlar[KartId],$B38)=0,"YETİM","")))</f>
        <v/>
      </c>
      <c r="J38" s="24">
        <f>IF(OR($A38="",$C38=""),"",IF(OR($C38&amp;"|"&amp;$D38="",COUNTIF(ListeIzinliGecis,$C38&amp;"|"&amp;$D38)&gt;0),"","GEÇERSİZ GEÇİŞ"))</f>
        <v/>
      </c>
      <c r="K38" s="24">
        <f>IF($A38="","",IF(OR($E38="",$G38=""),"",IF(ABS($G38-$E38)&gt;zincirTolerans,"ZİNCİR KIRIK","OK")))</f>
        <v/>
      </c>
      <c r="L38" s="24">
        <f>IF($A38="","",1)</f>
        <v/>
      </c>
    </row>
    <row r="39">
      <c r="A39" s="12" t="n"/>
      <c r="B39" s="12" t="n"/>
      <c r="C39" s="12" t="n"/>
      <c r="D39" s="12" t="n"/>
      <c r="E39" s="14" t="n"/>
      <c r="F39" s="14" t="n"/>
      <c r="G39" s="14" t="n"/>
      <c r="H39" s="15" t="n"/>
      <c r="I39" s="24">
        <f>IF($A39="","",IF($B39="","YETİM",IF(COUNTIF(tblKartlar[KartId],$B39)=0,"YETİM","")))</f>
        <v/>
      </c>
      <c r="J39" s="24">
        <f>IF(OR($A39="",$C39=""),"",IF(OR($C39&amp;"|"&amp;$D39="",COUNTIF(ListeIzinliGecis,$C39&amp;"|"&amp;$D39)&gt;0),"","GEÇERSİZ GEÇİŞ"))</f>
        <v/>
      </c>
      <c r="K39" s="24">
        <f>IF($A39="","",IF(OR($E39="",$G39=""),"",IF(ABS($G39-$E39)&gt;zincirTolerans,"ZİNCİR KIRIK","OK")))</f>
        <v/>
      </c>
      <c r="L39" s="24">
        <f>IF($A39="","",1)</f>
        <v/>
      </c>
    </row>
    <row r="40">
      <c r="A40" s="12" t="n"/>
      <c r="B40" s="12" t="n"/>
      <c r="C40" s="12" t="n"/>
      <c r="D40" s="12" t="n"/>
      <c r="E40" s="14" t="n"/>
      <c r="F40" s="14" t="n"/>
      <c r="G40" s="14" t="n"/>
      <c r="H40" s="15" t="n"/>
      <c r="I40" s="24">
        <f>IF($A40="","",IF($B40="","YETİM",IF(COUNTIF(tblKartlar[KartId],$B40)=0,"YETİM","")))</f>
        <v/>
      </c>
      <c r="J40" s="24">
        <f>IF(OR($A40="",$C40=""),"",IF(OR($C40&amp;"|"&amp;$D40="",COUNTIF(ListeIzinliGecis,$C40&amp;"|"&amp;$D40)&gt;0),"","GEÇERSİZ GEÇİŞ"))</f>
        <v/>
      </c>
      <c r="K40" s="24">
        <f>IF($A40="","",IF(OR($E40="",$G40=""),"",IF(ABS($G40-$E40)&gt;zincirTolerans,"ZİNCİR KIRIK","OK")))</f>
        <v/>
      </c>
      <c r="L40" s="24">
        <f>IF($A40="","",1)</f>
        <v/>
      </c>
    </row>
    <row r="41">
      <c r="A41" s="12" t="n"/>
      <c r="B41" s="12" t="n"/>
      <c r="C41" s="12" t="n"/>
      <c r="D41" s="12" t="n"/>
      <c r="E41" s="14" t="n"/>
      <c r="F41" s="14" t="n"/>
      <c r="G41" s="14" t="n"/>
      <c r="H41" s="15" t="n"/>
      <c r="I41" s="24">
        <f>IF($A41="","",IF($B41="","YETİM",IF(COUNTIF(tblKartlar[KartId],$B41)=0,"YETİM","")))</f>
        <v/>
      </c>
      <c r="J41" s="24">
        <f>IF(OR($A41="",$C41=""),"",IF(OR($C41&amp;"|"&amp;$D41="",COUNTIF(ListeIzinliGecis,$C41&amp;"|"&amp;$D41)&gt;0),"","GEÇERSİZ GEÇİŞ"))</f>
        <v/>
      </c>
      <c r="K41" s="24">
        <f>IF($A41="","",IF(OR($E41="",$G41=""),"",IF(ABS($G41-$E41)&gt;zincirTolerans,"ZİNCİR KIRIK","OK")))</f>
        <v/>
      </c>
      <c r="L41" s="24">
        <f>IF($A41="","",1)</f>
        <v/>
      </c>
    </row>
    <row r="42">
      <c r="A42" s="12" t="n"/>
      <c r="B42" s="12" t="n"/>
      <c r="C42" s="12" t="n"/>
      <c r="D42" s="12" t="n"/>
      <c r="E42" s="14" t="n"/>
      <c r="F42" s="14" t="n"/>
      <c r="G42" s="14" t="n"/>
      <c r="H42" s="15" t="n"/>
      <c r="I42" s="24">
        <f>IF($A42="","",IF($B42="","YETİM",IF(COUNTIF(tblKartlar[KartId],$B42)=0,"YETİM","")))</f>
        <v/>
      </c>
      <c r="J42" s="24">
        <f>IF(OR($A42="",$C42=""),"",IF(OR($C42&amp;"|"&amp;$D42="",COUNTIF(ListeIzinliGecis,$C42&amp;"|"&amp;$D42)&gt;0),"","GEÇERSİZ GEÇİŞ"))</f>
        <v/>
      </c>
      <c r="K42" s="24">
        <f>IF($A42="","",IF(OR($E42="",$G42=""),"",IF(ABS($G42-$E42)&gt;zincirTolerans,"ZİNCİR KIRIK","OK")))</f>
        <v/>
      </c>
      <c r="L42" s="24">
        <f>IF($A42="","",1)</f>
        <v/>
      </c>
    </row>
    <row r="43">
      <c r="A43" s="12" t="n"/>
      <c r="B43" s="12" t="n"/>
      <c r="C43" s="12" t="n"/>
      <c r="D43" s="12" t="n"/>
      <c r="E43" s="14" t="n"/>
      <c r="F43" s="14" t="n"/>
      <c r="G43" s="14" t="n"/>
      <c r="H43" s="15" t="n"/>
      <c r="I43" s="24">
        <f>IF($A43="","",IF($B43="","YETİM",IF(COUNTIF(tblKartlar[KartId],$B43)=0,"YETİM","")))</f>
        <v/>
      </c>
      <c r="J43" s="24">
        <f>IF(OR($A43="",$C43=""),"",IF(OR($C43&amp;"|"&amp;$D43="",COUNTIF(ListeIzinliGecis,$C43&amp;"|"&amp;$D43)&gt;0),"","GEÇERSİZ GEÇİŞ"))</f>
        <v/>
      </c>
      <c r="K43" s="24">
        <f>IF($A43="","",IF(OR($E43="",$G43=""),"",IF(ABS($G43-$E43)&gt;zincirTolerans,"ZİNCİR KIRIK","OK")))</f>
        <v/>
      </c>
      <c r="L43" s="24">
        <f>IF($A43="","",1)</f>
        <v/>
      </c>
    </row>
    <row r="44">
      <c r="A44" s="12" t="n"/>
      <c r="B44" s="12" t="n"/>
      <c r="C44" s="12" t="n"/>
      <c r="D44" s="12" t="n"/>
      <c r="E44" s="14" t="n"/>
      <c r="F44" s="14" t="n"/>
      <c r="G44" s="14" t="n"/>
      <c r="H44" s="15" t="n"/>
      <c r="I44" s="24">
        <f>IF($A44="","",IF($B44="","YETİM",IF(COUNTIF(tblKartlar[KartId],$B44)=0,"YETİM","")))</f>
        <v/>
      </c>
      <c r="J44" s="24">
        <f>IF(OR($A44="",$C44=""),"",IF(OR($C44&amp;"|"&amp;$D44="",COUNTIF(ListeIzinliGecis,$C44&amp;"|"&amp;$D44)&gt;0),"","GEÇERSİZ GEÇİŞ"))</f>
        <v/>
      </c>
      <c r="K44" s="24">
        <f>IF($A44="","",IF(OR($E44="",$G44=""),"",IF(ABS($G44-$E44)&gt;zincirTolerans,"ZİNCİR KIRIK","OK")))</f>
        <v/>
      </c>
      <c r="L44" s="24">
        <f>IF($A44="","",1)</f>
        <v/>
      </c>
    </row>
    <row r="45">
      <c r="A45" s="12" t="n"/>
      <c r="B45" s="12" t="n"/>
      <c r="C45" s="12" t="n"/>
      <c r="D45" s="12" t="n"/>
      <c r="E45" s="14" t="n"/>
      <c r="F45" s="14" t="n"/>
      <c r="G45" s="14" t="n"/>
      <c r="H45" s="15" t="n"/>
      <c r="I45" s="24">
        <f>IF($A45="","",IF($B45="","YETİM",IF(COUNTIF(tblKartlar[KartId],$B45)=0,"YETİM","")))</f>
        <v/>
      </c>
      <c r="J45" s="24">
        <f>IF(OR($A45="",$C45=""),"",IF(OR($C45&amp;"|"&amp;$D45="",COUNTIF(ListeIzinliGecis,$C45&amp;"|"&amp;$D45)&gt;0),"","GEÇERSİZ GEÇİŞ"))</f>
        <v/>
      </c>
      <c r="K45" s="24">
        <f>IF($A45="","",IF(OR($E45="",$G45=""),"",IF(ABS($G45-$E45)&gt;zincirTolerans,"ZİNCİR KIRIK","OK")))</f>
        <v/>
      </c>
      <c r="L45" s="24">
        <f>IF($A45="","",1)</f>
        <v/>
      </c>
    </row>
    <row r="46">
      <c r="A46" s="12" t="n"/>
      <c r="B46" s="12" t="n"/>
      <c r="C46" s="12" t="n"/>
      <c r="D46" s="12" t="n"/>
      <c r="E46" s="14" t="n"/>
      <c r="F46" s="14" t="n"/>
      <c r="G46" s="14" t="n"/>
      <c r="H46" s="15" t="n"/>
      <c r="I46" s="24">
        <f>IF($A46="","",IF($B46="","YETİM",IF(COUNTIF(tblKartlar[KartId],$B46)=0,"YETİM","")))</f>
        <v/>
      </c>
      <c r="J46" s="24">
        <f>IF(OR($A46="",$C46=""),"",IF(OR($C46&amp;"|"&amp;$D46="",COUNTIF(ListeIzinliGecis,$C46&amp;"|"&amp;$D46)&gt;0),"","GEÇERSİZ GEÇİŞ"))</f>
        <v/>
      </c>
      <c r="K46" s="24">
        <f>IF($A46="","",IF(OR($E46="",$G46=""),"",IF(ABS($G46-$E46)&gt;zincirTolerans,"ZİNCİR KIRIK","OK")))</f>
        <v/>
      </c>
      <c r="L46" s="24">
        <f>IF($A46="","",1)</f>
        <v/>
      </c>
    </row>
    <row r="47">
      <c r="A47" s="12" t="n"/>
      <c r="B47" s="12" t="n"/>
      <c r="C47" s="12" t="n"/>
      <c r="D47" s="12" t="n"/>
      <c r="E47" s="14" t="n"/>
      <c r="F47" s="14" t="n"/>
      <c r="G47" s="14" t="n"/>
      <c r="H47" s="15" t="n"/>
      <c r="I47" s="24">
        <f>IF($A47="","",IF($B47="","YETİM",IF(COUNTIF(tblKartlar[KartId],$B47)=0,"YETİM","")))</f>
        <v/>
      </c>
      <c r="J47" s="24">
        <f>IF(OR($A47="",$C47=""),"",IF(OR($C47&amp;"|"&amp;$D47="",COUNTIF(ListeIzinliGecis,$C47&amp;"|"&amp;$D47)&gt;0),"","GEÇERSİZ GEÇİŞ"))</f>
        <v/>
      </c>
      <c r="K47" s="24">
        <f>IF($A47="","",IF(OR($E47="",$G47=""),"",IF(ABS($G47-$E47)&gt;zincirTolerans,"ZİNCİR KIRIK","OK")))</f>
        <v/>
      </c>
      <c r="L47" s="24">
        <f>IF($A47="","",1)</f>
        <v/>
      </c>
    </row>
    <row r="48">
      <c r="A48" s="12" t="n"/>
      <c r="B48" s="12" t="n"/>
      <c r="C48" s="12" t="n"/>
      <c r="D48" s="12" t="n"/>
      <c r="E48" s="14" t="n"/>
      <c r="F48" s="14" t="n"/>
      <c r="G48" s="14" t="n"/>
      <c r="H48" s="15" t="n"/>
      <c r="I48" s="24">
        <f>IF($A48="","",IF($B48="","YETİM",IF(COUNTIF(tblKartlar[KartId],$B48)=0,"YETİM","")))</f>
        <v/>
      </c>
      <c r="J48" s="24">
        <f>IF(OR($A48="",$C48=""),"",IF(OR($C48&amp;"|"&amp;$D48="",COUNTIF(ListeIzinliGecis,$C48&amp;"|"&amp;$D48)&gt;0),"","GEÇERSİZ GEÇİŞ"))</f>
        <v/>
      </c>
      <c r="K48" s="24">
        <f>IF($A48="","",IF(OR($E48="",$G48=""),"",IF(ABS($G48-$E48)&gt;zincirTolerans,"ZİNCİR KIRIK","OK")))</f>
        <v/>
      </c>
      <c r="L48" s="24">
        <f>IF($A48="","",1)</f>
        <v/>
      </c>
    </row>
    <row r="49">
      <c r="A49" s="12" t="n"/>
      <c r="B49" s="12" t="n"/>
      <c r="C49" s="12" t="n"/>
      <c r="D49" s="12" t="n"/>
      <c r="E49" s="14" t="n"/>
      <c r="F49" s="14" t="n"/>
      <c r="G49" s="14" t="n"/>
      <c r="H49" s="15" t="n"/>
      <c r="I49" s="24">
        <f>IF($A49="","",IF($B49="","YETİM",IF(COUNTIF(tblKartlar[KartId],$B49)=0,"YETİM","")))</f>
        <v/>
      </c>
      <c r="J49" s="24">
        <f>IF(OR($A49="",$C49=""),"",IF(OR($C49&amp;"|"&amp;$D49="",COUNTIF(ListeIzinliGecis,$C49&amp;"|"&amp;$D49)&gt;0),"","GEÇERSİZ GEÇİŞ"))</f>
        <v/>
      </c>
      <c r="K49" s="24">
        <f>IF($A49="","",IF(OR($E49="",$G49=""),"",IF(ABS($G49-$E49)&gt;zincirTolerans,"ZİNCİR KIRIK","OK")))</f>
        <v/>
      </c>
      <c r="L49" s="24">
        <f>IF($A49="","",1)</f>
        <v/>
      </c>
    </row>
    <row r="50">
      <c r="A50" s="12" t="n"/>
      <c r="B50" s="12" t="n"/>
      <c r="C50" s="12" t="n"/>
      <c r="D50" s="12" t="n"/>
      <c r="E50" s="14" t="n"/>
      <c r="F50" s="14" t="n"/>
      <c r="G50" s="14" t="n"/>
      <c r="H50" s="15" t="n"/>
      <c r="I50" s="24">
        <f>IF($A50="","",IF($B50="","YETİM",IF(COUNTIF(tblKartlar[KartId],$B50)=0,"YETİM","")))</f>
        <v/>
      </c>
      <c r="J50" s="24">
        <f>IF(OR($A50="",$C50=""),"",IF(OR($C50&amp;"|"&amp;$D50="",COUNTIF(ListeIzinliGecis,$C50&amp;"|"&amp;$D50)&gt;0),"","GEÇERSİZ GEÇİŞ"))</f>
        <v/>
      </c>
      <c r="K50" s="24">
        <f>IF($A50="","",IF(OR($E50="",$G50=""),"",IF(ABS($G50-$E50)&gt;zincirTolerans,"ZİNCİR KIRIK","OK")))</f>
        <v/>
      </c>
      <c r="L50" s="24">
        <f>IF($A50="","",1)</f>
        <v/>
      </c>
    </row>
    <row r="51">
      <c r="A51" s="12" t="n"/>
      <c r="B51" s="12" t="n"/>
      <c r="C51" s="12" t="n"/>
      <c r="D51" s="12" t="n"/>
      <c r="E51" s="14" t="n"/>
      <c r="F51" s="14" t="n"/>
      <c r="G51" s="14" t="n"/>
      <c r="H51" s="15" t="n"/>
      <c r="I51" s="24">
        <f>IF($A51="","",IF($B51="","YETİM",IF(COUNTIF(tblKartlar[KartId],$B51)=0,"YETİM","")))</f>
        <v/>
      </c>
      <c r="J51" s="24">
        <f>IF(OR($A51="",$C51=""),"",IF(OR($C51&amp;"|"&amp;$D51="",COUNTIF(ListeIzinliGecis,$C51&amp;"|"&amp;$D51)&gt;0),"","GEÇERSİZ GEÇİŞ"))</f>
        <v/>
      </c>
      <c r="K51" s="24">
        <f>IF($A51="","",IF(OR($E51="",$G51=""),"",IF(ABS($G51-$E51)&gt;zincirTolerans,"ZİNCİR KIRIK","OK")))</f>
        <v/>
      </c>
      <c r="L51" s="24">
        <f>IF($A51="","",1)</f>
        <v/>
      </c>
    </row>
    <row r="52">
      <c r="A52" s="12" t="n"/>
      <c r="B52" s="12" t="n"/>
      <c r="C52" s="12" t="n"/>
      <c r="D52" s="12" t="n"/>
      <c r="E52" s="14" t="n"/>
      <c r="F52" s="14" t="n"/>
      <c r="G52" s="14" t="n"/>
      <c r="H52" s="15" t="n"/>
      <c r="I52" s="24">
        <f>IF($A52="","",IF($B52="","YETİM",IF(COUNTIF(tblKartlar[KartId],$B52)=0,"YETİM","")))</f>
        <v/>
      </c>
      <c r="J52" s="24">
        <f>IF(OR($A52="",$C52=""),"",IF(OR($C52&amp;"|"&amp;$D52="",COUNTIF(ListeIzinliGecis,$C52&amp;"|"&amp;$D52)&gt;0),"","GEÇERSİZ GEÇİŞ"))</f>
        <v/>
      </c>
      <c r="K52" s="24">
        <f>IF($A52="","",IF(OR($E52="",$G52=""),"",IF(ABS($G52-$E52)&gt;zincirTolerans,"ZİNCİR KIRIK","OK")))</f>
        <v/>
      </c>
      <c r="L52" s="24">
        <f>IF($A52="","",1)</f>
        <v/>
      </c>
    </row>
    <row r="53">
      <c r="A53" s="12" t="n"/>
      <c r="B53" s="12" t="n"/>
      <c r="C53" s="12" t="n"/>
      <c r="D53" s="12" t="n"/>
      <c r="E53" s="14" t="n"/>
      <c r="F53" s="14" t="n"/>
      <c r="G53" s="14" t="n"/>
      <c r="H53" s="15" t="n"/>
      <c r="I53" s="24">
        <f>IF($A53="","",IF($B53="","YETİM",IF(COUNTIF(tblKartlar[KartId],$B53)=0,"YETİM","")))</f>
        <v/>
      </c>
      <c r="J53" s="24">
        <f>IF(OR($A53="",$C53=""),"",IF(OR($C53&amp;"|"&amp;$D53="",COUNTIF(ListeIzinliGecis,$C53&amp;"|"&amp;$D53)&gt;0),"","GEÇERSİZ GEÇİŞ"))</f>
        <v/>
      </c>
      <c r="K53" s="24">
        <f>IF($A53="","",IF(OR($E53="",$G53=""),"",IF(ABS($G53-$E53)&gt;zincirTolerans,"ZİNCİR KIRIK","OK")))</f>
        <v/>
      </c>
      <c r="L53" s="24">
        <f>IF($A53="","",1)</f>
        <v/>
      </c>
    </row>
    <row r="54">
      <c r="A54" s="12" t="n"/>
      <c r="B54" s="12" t="n"/>
      <c r="C54" s="12" t="n"/>
      <c r="D54" s="12" t="n"/>
      <c r="E54" s="14" t="n"/>
      <c r="F54" s="14" t="n"/>
      <c r="G54" s="14" t="n"/>
      <c r="H54" s="15" t="n"/>
      <c r="I54" s="24">
        <f>IF($A54="","",IF($B54="","YETİM",IF(COUNTIF(tblKartlar[KartId],$B54)=0,"YETİM","")))</f>
        <v/>
      </c>
      <c r="J54" s="24">
        <f>IF(OR($A54="",$C54=""),"",IF(OR($C54&amp;"|"&amp;$D54="",COUNTIF(ListeIzinliGecis,$C54&amp;"|"&amp;$D54)&gt;0),"","GEÇERSİZ GEÇİŞ"))</f>
        <v/>
      </c>
      <c r="K54" s="24">
        <f>IF($A54="","",IF(OR($E54="",$G54=""),"",IF(ABS($G54-$E54)&gt;zincirTolerans,"ZİNCİR KIRIK","OK")))</f>
        <v/>
      </c>
      <c r="L54" s="24">
        <f>IF($A54="","",1)</f>
        <v/>
      </c>
    </row>
    <row r="55">
      <c r="A55" s="12" t="n"/>
      <c r="B55" s="12" t="n"/>
      <c r="C55" s="12" t="n"/>
      <c r="D55" s="12" t="n"/>
      <c r="E55" s="14" t="n"/>
      <c r="F55" s="14" t="n"/>
      <c r="G55" s="14" t="n"/>
      <c r="H55" s="15" t="n"/>
      <c r="I55" s="24">
        <f>IF($A55="","",IF($B55="","YETİM",IF(COUNTIF(tblKartlar[KartId],$B55)=0,"YETİM","")))</f>
        <v/>
      </c>
      <c r="J55" s="24">
        <f>IF(OR($A55="",$C55=""),"",IF(OR($C55&amp;"|"&amp;$D55="",COUNTIF(ListeIzinliGecis,$C55&amp;"|"&amp;$D55)&gt;0),"","GEÇERSİZ GEÇİŞ"))</f>
        <v/>
      </c>
      <c r="K55" s="24">
        <f>IF($A55="","",IF(OR($E55="",$G55=""),"",IF(ABS($G55-$E55)&gt;zincirTolerans,"ZİNCİR KIRIK","OK")))</f>
        <v/>
      </c>
      <c r="L55" s="24">
        <f>IF($A55="","",1)</f>
        <v/>
      </c>
    </row>
    <row r="56">
      <c r="A56" s="12" t="n"/>
      <c r="B56" s="12" t="n"/>
      <c r="C56" s="12" t="n"/>
      <c r="D56" s="12" t="n"/>
      <c r="E56" s="14" t="n"/>
      <c r="F56" s="14" t="n"/>
      <c r="G56" s="14" t="n"/>
      <c r="H56" s="15" t="n"/>
      <c r="I56" s="24">
        <f>IF($A56="","",IF($B56="","YETİM",IF(COUNTIF(tblKartlar[KartId],$B56)=0,"YETİM","")))</f>
        <v/>
      </c>
      <c r="J56" s="24">
        <f>IF(OR($A56="",$C56=""),"",IF(OR($C56&amp;"|"&amp;$D56="",COUNTIF(ListeIzinliGecis,$C56&amp;"|"&amp;$D56)&gt;0),"","GEÇERSİZ GEÇİŞ"))</f>
        <v/>
      </c>
      <c r="K56" s="24">
        <f>IF($A56="","",IF(OR($E56="",$G56=""),"",IF(ABS($G56-$E56)&gt;zincirTolerans,"ZİNCİR KIRIK","OK")))</f>
        <v/>
      </c>
      <c r="L56" s="24">
        <f>IF($A56="","",1)</f>
        <v/>
      </c>
    </row>
    <row r="57">
      <c r="A57" s="12" t="n"/>
      <c r="B57" s="12" t="n"/>
      <c r="C57" s="12" t="n"/>
      <c r="D57" s="12" t="n"/>
      <c r="E57" s="14" t="n"/>
      <c r="F57" s="14" t="n"/>
      <c r="G57" s="14" t="n"/>
      <c r="H57" s="15" t="n"/>
      <c r="I57" s="24">
        <f>IF($A57="","",IF($B57="","YETİM",IF(COUNTIF(tblKartlar[KartId],$B57)=0,"YETİM","")))</f>
        <v/>
      </c>
      <c r="J57" s="24">
        <f>IF(OR($A57="",$C57=""),"",IF(OR($C57&amp;"|"&amp;$D57="",COUNTIF(ListeIzinliGecis,$C57&amp;"|"&amp;$D57)&gt;0),"","GEÇERSİZ GEÇİŞ"))</f>
        <v/>
      </c>
      <c r="K57" s="24">
        <f>IF($A57="","",IF(OR($E57="",$G57=""),"",IF(ABS($G57-$E57)&gt;zincirTolerans,"ZİNCİR KIRIK","OK")))</f>
        <v/>
      </c>
      <c r="L57" s="24">
        <f>IF($A57="","",1)</f>
        <v/>
      </c>
    </row>
    <row r="58">
      <c r="A58" s="12" t="n"/>
      <c r="B58" s="12" t="n"/>
      <c r="C58" s="12" t="n"/>
      <c r="D58" s="12" t="n"/>
      <c r="E58" s="14" t="n"/>
      <c r="F58" s="14" t="n"/>
      <c r="G58" s="14" t="n"/>
      <c r="H58" s="15" t="n"/>
      <c r="I58" s="24">
        <f>IF($A58="","",IF($B58="","YETİM",IF(COUNTIF(tblKartlar[KartId],$B58)=0,"YETİM","")))</f>
        <v/>
      </c>
      <c r="J58" s="24">
        <f>IF(OR($A58="",$C58=""),"",IF(OR($C58&amp;"|"&amp;$D58="",COUNTIF(ListeIzinliGecis,$C58&amp;"|"&amp;$D58)&gt;0),"","GEÇERSİZ GEÇİŞ"))</f>
        <v/>
      </c>
      <c r="K58" s="24">
        <f>IF($A58="","",IF(OR($E58="",$G58=""),"",IF(ABS($G58-$E58)&gt;zincirTolerans,"ZİNCİR KIRIK","OK")))</f>
        <v/>
      </c>
      <c r="L58" s="24">
        <f>IF($A58="","",1)</f>
        <v/>
      </c>
    </row>
    <row r="59">
      <c r="A59" s="12" t="n"/>
      <c r="B59" s="12" t="n"/>
      <c r="C59" s="12" t="n"/>
      <c r="D59" s="12" t="n"/>
      <c r="E59" s="14" t="n"/>
      <c r="F59" s="14" t="n"/>
      <c r="G59" s="14" t="n"/>
      <c r="H59" s="15" t="n"/>
      <c r="I59" s="24">
        <f>IF($A59="","",IF($B59="","YETİM",IF(COUNTIF(tblKartlar[KartId],$B59)=0,"YETİM","")))</f>
        <v/>
      </c>
      <c r="J59" s="24">
        <f>IF(OR($A59="",$C59=""),"",IF(OR($C59&amp;"|"&amp;$D59="",COUNTIF(ListeIzinliGecis,$C59&amp;"|"&amp;$D59)&gt;0),"","GEÇERSİZ GEÇİŞ"))</f>
        <v/>
      </c>
      <c r="K59" s="24">
        <f>IF($A59="","",IF(OR($E59="",$G59=""),"",IF(ABS($G59-$E59)&gt;zincirTolerans,"ZİNCİR KIRIK","OK")))</f>
        <v/>
      </c>
      <c r="L59" s="24">
        <f>IF($A59="","",1)</f>
        <v/>
      </c>
    </row>
    <row r="60">
      <c r="A60" s="12" t="n"/>
      <c r="B60" s="12" t="n"/>
      <c r="C60" s="12" t="n"/>
      <c r="D60" s="12" t="n"/>
      <c r="E60" s="14" t="n"/>
      <c r="F60" s="14" t="n"/>
      <c r="G60" s="14" t="n"/>
      <c r="H60" s="15" t="n"/>
      <c r="I60" s="24">
        <f>IF($A60="","",IF($B60="","YETİM",IF(COUNTIF(tblKartlar[KartId],$B60)=0,"YETİM","")))</f>
        <v/>
      </c>
      <c r="J60" s="24">
        <f>IF(OR($A60="",$C60=""),"",IF(OR($C60&amp;"|"&amp;$D60="",COUNTIF(ListeIzinliGecis,$C60&amp;"|"&amp;$D60)&gt;0),"","GEÇERSİZ GEÇİŞ"))</f>
        <v/>
      </c>
      <c r="K60" s="24">
        <f>IF($A60="","",IF(OR($E60="",$G60=""),"",IF(ABS($G60-$E60)&gt;zincirTolerans,"ZİNCİR KIRIK","OK")))</f>
        <v/>
      </c>
      <c r="L60" s="24">
        <f>IF($A60="","",1)</f>
        <v/>
      </c>
    </row>
    <row r="61">
      <c r="A61" s="12" t="n"/>
      <c r="B61" s="12" t="n"/>
      <c r="C61" s="12" t="n"/>
      <c r="D61" s="12" t="n"/>
      <c r="E61" s="14" t="n"/>
      <c r="F61" s="14" t="n"/>
      <c r="G61" s="14" t="n"/>
      <c r="H61" s="15" t="n"/>
      <c r="I61" s="24">
        <f>IF($A61="","",IF($B61="","YETİM",IF(COUNTIF(tblKartlar[KartId],$B61)=0,"YETİM","")))</f>
        <v/>
      </c>
      <c r="J61" s="24">
        <f>IF(OR($A61="",$C61=""),"",IF(OR($C61&amp;"|"&amp;$D61="",COUNTIF(ListeIzinliGecis,$C61&amp;"|"&amp;$D61)&gt;0),"","GEÇERSİZ GEÇİŞ"))</f>
        <v/>
      </c>
      <c r="K61" s="24">
        <f>IF($A61="","",IF(OR($E61="",$G61=""),"",IF(ABS($G61-$E61)&gt;zincirTolerans,"ZİNCİR KIRIK","OK")))</f>
        <v/>
      </c>
      <c r="L61" s="24">
        <f>IF($A61="","",1)</f>
        <v/>
      </c>
    </row>
    <row r="62">
      <c r="A62" s="12" t="n"/>
      <c r="B62" s="12" t="n"/>
      <c r="C62" s="12" t="n"/>
      <c r="D62" s="12" t="n"/>
      <c r="E62" s="14" t="n"/>
      <c r="F62" s="14" t="n"/>
      <c r="G62" s="14" t="n"/>
      <c r="H62" s="15" t="n"/>
      <c r="I62" s="24">
        <f>IF($A62="","",IF($B62="","YETİM",IF(COUNTIF(tblKartlar[KartId],$B62)=0,"YETİM","")))</f>
        <v/>
      </c>
      <c r="J62" s="24">
        <f>IF(OR($A62="",$C62=""),"",IF(OR($C62&amp;"|"&amp;$D62="",COUNTIF(ListeIzinliGecis,$C62&amp;"|"&amp;$D62)&gt;0),"","GEÇERSİZ GEÇİŞ"))</f>
        <v/>
      </c>
      <c r="K62" s="24">
        <f>IF($A62="","",IF(OR($E62="",$G62=""),"",IF(ABS($G62-$E62)&gt;zincirTolerans,"ZİNCİR KIRIK","OK")))</f>
        <v/>
      </c>
      <c r="L62" s="24">
        <f>IF($A62="","",1)</f>
        <v/>
      </c>
    </row>
    <row r="63">
      <c r="A63" s="12" t="n"/>
      <c r="B63" s="12" t="n"/>
      <c r="C63" s="12" t="n"/>
      <c r="D63" s="12" t="n"/>
      <c r="E63" s="14" t="n"/>
      <c r="F63" s="14" t="n"/>
      <c r="G63" s="14" t="n"/>
      <c r="H63" s="15" t="n"/>
      <c r="I63" s="24">
        <f>IF($A63="","",IF($B63="","YETİM",IF(COUNTIF(tblKartlar[KartId],$B63)=0,"YETİM","")))</f>
        <v/>
      </c>
      <c r="J63" s="24">
        <f>IF(OR($A63="",$C63=""),"",IF(OR($C63&amp;"|"&amp;$D63="",COUNTIF(ListeIzinliGecis,$C63&amp;"|"&amp;$D63)&gt;0),"","GEÇERSİZ GEÇİŞ"))</f>
        <v/>
      </c>
      <c r="K63" s="24">
        <f>IF($A63="","",IF(OR($E63="",$G63=""),"",IF(ABS($G63-$E63)&gt;zincirTolerans,"ZİNCİR KIRIK","OK")))</f>
        <v/>
      </c>
      <c r="L63" s="24">
        <f>IF($A63="","",1)</f>
        <v/>
      </c>
    </row>
    <row r="64">
      <c r="A64" s="12" t="n"/>
      <c r="B64" s="12" t="n"/>
      <c r="C64" s="12" t="n"/>
      <c r="D64" s="12" t="n"/>
      <c r="E64" s="14" t="n"/>
      <c r="F64" s="14" t="n"/>
      <c r="G64" s="14" t="n"/>
      <c r="H64" s="15" t="n"/>
      <c r="I64" s="24">
        <f>IF($A64="","",IF($B64="","YETİM",IF(COUNTIF(tblKartlar[KartId],$B64)=0,"YETİM","")))</f>
        <v/>
      </c>
      <c r="J64" s="24">
        <f>IF(OR($A64="",$C64=""),"",IF(OR($C64&amp;"|"&amp;$D64="",COUNTIF(ListeIzinliGecis,$C64&amp;"|"&amp;$D64)&gt;0),"","GEÇERSİZ GEÇİŞ"))</f>
        <v/>
      </c>
      <c r="K64" s="24">
        <f>IF($A64="","",IF(OR($E64="",$G64=""),"",IF(ABS($G64-$E64)&gt;zincirTolerans,"ZİNCİR KIRIK","OK")))</f>
        <v/>
      </c>
      <c r="L64" s="24">
        <f>IF($A64="","",1)</f>
        <v/>
      </c>
    </row>
    <row r="65">
      <c r="A65" s="12" t="n"/>
      <c r="B65" s="12" t="n"/>
      <c r="C65" s="12" t="n"/>
      <c r="D65" s="12" t="n"/>
      <c r="E65" s="14" t="n"/>
      <c r="F65" s="14" t="n"/>
      <c r="G65" s="14" t="n"/>
      <c r="H65" s="15" t="n"/>
      <c r="I65" s="24">
        <f>IF($A65="","",IF($B65="","YETİM",IF(COUNTIF(tblKartlar[KartId],$B65)=0,"YETİM","")))</f>
        <v/>
      </c>
      <c r="J65" s="24">
        <f>IF(OR($A65="",$C65=""),"",IF(OR($C65&amp;"|"&amp;$D65="",COUNTIF(ListeIzinliGecis,$C65&amp;"|"&amp;$D65)&gt;0),"","GEÇERSİZ GEÇİŞ"))</f>
        <v/>
      </c>
      <c r="K65" s="24">
        <f>IF($A65="","",IF(OR($E65="",$G65=""),"",IF(ABS($G65-$E65)&gt;zincirTolerans,"ZİNCİR KIRIK","OK")))</f>
        <v/>
      </c>
      <c r="L65" s="24">
        <f>IF($A65="","",1)</f>
        <v/>
      </c>
    </row>
    <row r="66">
      <c r="A66" s="12" t="n"/>
      <c r="B66" s="12" t="n"/>
      <c r="C66" s="12" t="n"/>
      <c r="D66" s="12" t="n"/>
      <c r="E66" s="14" t="n"/>
      <c r="F66" s="14" t="n"/>
      <c r="G66" s="14" t="n"/>
      <c r="H66" s="15" t="n"/>
      <c r="I66" s="24">
        <f>IF($A66="","",IF($B66="","YETİM",IF(COUNTIF(tblKartlar[KartId],$B66)=0,"YETİM","")))</f>
        <v/>
      </c>
      <c r="J66" s="24">
        <f>IF(OR($A66="",$C66=""),"",IF(OR($C66&amp;"|"&amp;$D66="",COUNTIF(ListeIzinliGecis,$C66&amp;"|"&amp;$D66)&gt;0),"","GEÇERSİZ GEÇİŞ"))</f>
        <v/>
      </c>
      <c r="K66" s="24">
        <f>IF($A66="","",IF(OR($E66="",$G66=""),"",IF(ABS($G66-$E66)&gt;zincirTolerans,"ZİNCİR KIRIK","OK")))</f>
        <v/>
      </c>
      <c r="L66" s="24">
        <f>IF($A66="","",1)</f>
        <v/>
      </c>
    </row>
    <row r="67">
      <c r="A67" s="12" t="n"/>
      <c r="B67" s="12" t="n"/>
      <c r="C67" s="12" t="n"/>
      <c r="D67" s="12" t="n"/>
      <c r="E67" s="14" t="n"/>
      <c r="F67" s="14" t="n"/>
      <c r="G67" s="14" t="n"/>
      <c r="H67" s="15" t="n"/>
      <c r="I67" s="24">
        <f>IF($A67="","",IF($B67="","YETİM",IF(COUNTIF(tblKartlar[KartId],$B67)=0,"YETİM","")))</f>
        <v/>
      </c>
      <c r="J67" s="24">
        <f>IF(OR($A67="",$C67=""),"",IF(OR($C67&amp;"|"&amp;$D67="",COUNTIF(ListeIzinliGecis,$C67&amp;"|"&amp;$D67)&gt;0),"","GEÇERSİZ GEÇİŞ"))</f>
        <v/>
      </c>
      <c r="K67" s="24">
        <f>IF($A67="","",IF(OR($E67="",$G67=""),"",IF(ABS($G67-$E67)&gt;zincirTolerans,"ZİNCİR KIRIK","OK")))</f>
        <v/>
      </c>
      <c r="L67" s="24">
        <f>IF($A67="","",1)</f>
        <v/>
      </c>
    </row>
    <row r="68">
      <c r="A68" s="12" t="n"/>
      <c r="B68" s="12" t="n"/>
      <c r="C68" s="12" t="n"/>
      <c r="D68" s="12" t="n"/>
      <c r="E68" s="14" t="n"/>
      <c r="F68" s="14" t="n"/>
      <c r="G68" s="14" t="n"/>
      <c r="H68" s="15" t="n"/>
      <c r="I68" s="24">
        <f>IF($A68="","",IF($B68="","YETİM",IF(COUNTIF(tblKartlar[KartId],$B68)=0,"YETİM","")))</f>
        <v/>
      </c>
      <c r="J68" s="24">
        <f>IF(OR($A68="",$C68=""),"",IF(OR($C68&amp;"|"&amp;$D68="",COUNTIF(ListeIzinliGecis,$C68&amp;"|"&amp;$D68)&gt;0),"","GEÇERSİZ GEÇİŞ"))</f>
        <v/>
      </c>
      <c r="K68" s="24">
        <f>IF($A68="","",IF(OR($E68="",$G68=""),"",IF(ABS($G68-$E68)&gt;zincirTolerans,"ZİNCİR KIRIK","OK")))</f>
        <v/>
      </c>
      <c r="L68" s="24">
        <f>IF($A68="","",1)</f>
        <v/>
      </c>
    </row>
    <row r="69">
      <c r="A69" s="12" t="n"/>
      <c r="B69" s="12" t="n"/>
      <c r="C69" s="12" t="n"/>
      <c r="D69" s="12" t="n"/>
      <c r="E69" s="14" t="n"/>
      <c r="F69" s="14" t="n"/>
      <c r="G69" s="14" t="n"/>
      <c r="H69" s="15" t="n"/>
      <c r="I69" s="24">
        <f>IF($A69="","",IF($B69="","YETİM",IF(COUNTIF(tblKartlar[KartId],$B69)=0,"YETİM","")))</f>
        <v/>
      </c>
      <c r="J69" s="24">
        <f>IF(OR($A69="",$C69=""),"",IF(OR($C69&amp;"|"&amp;$D69="",COUNTIF(ListeIzinliGecis,$C69&amp;"|"&amp;$D69)&gt;0),"","GEÇERSİZ GEÇİŞ"))</f>
        <v/>
      </c>
      <c r="K69" s="24">
        <f>IF($A69="","",IF(OR($E69="",$G69=""),"",IF(ABS($G69-$E69)&gt;zincirTolerans,"ZİNCİR KIRIK","OK")))</f>
        <v/>
      </c>
      <c r="L69" s="24">
        <f>IF($A69="","",1)</f>
        <v/>
      </c>
    </row>
    <row r="70">
      <c r="A70" s="12" t="n"/>
      <c r="B70" s="12" t="n"/>
      <c r="C70" s="12" t="n"/>
      <c r="D70" s="12" t="n"/>
      <c r="E70" s="14" t="n"/>
      <c r="F70" s="14" t="n"/>
      <c r="G70" s="14" t="n"/>
      <c r="H70" s="15" t="n"/>
      <c r="I70" s="24">
        <f>IF($A70="","",IF($B70="","YETİM",IF(COUNTIF(tblKartlar[KartId],$B70)=0,"YETİM","")))</f>
        <v/>
      </c>
      <c r="J70" s="24">
        <f>IF(OR($A70="",$C70=""),"",IF(OR($C70&amp;"|"&amp;$D70="",COUNTIF(ListeIzinliGecis,$C70&amp;"|"&amp;$D70)&gt;0),"","GEÇERSİZ GEÇİŞ"))</f>
        <v/>
      </c>
      <c r="K70" s="24">
        <f>IF($A70="","",IF(OR($E70="",$G70=""),"",IF(ABS($G70-$E70)&gt;zincirTolerans,"ZİNCİR KIRIK","OK")))</f>
        <v/>
      </c>
      <c r="L70" s="24">
        <f>IF($A70="","",1)</f>
        <v/>
      </c>
    </row>
    <row r="71">
      <c r="A71" s="12" t="n"/>
      <c r="B71" s="12" t="n"/>
      <c r="C71" s="12" t="n"/>
      <c r="D71" s="12" t="n"/>
      <c r="E71" s="14" t="n"/>
      <c r="F71" s="14" t="n"/>
      <c r="G71" s="14" t="n"/>
      <c r="H71" s="15" t="n"/>
      <c r="I71" s="24">
        <f>IF($A71="","",IF($B71="","YETİM",IF(COUNTIF(tblKartlar[KartId],$B71)=0,"YETİM","")))</f>
        <v/>
      </c>
      <c r="J71" s="24">
        <f>IF(OR($A71="",$C71=""),"",IF(OR($C71&amp;"|"&amp;$D71="",COUNTIF(ListeIzinliGecis,$C71&amp;"|"&amp;$D71)&gt;0),"","GEÇERSİZ GEÇİŞ"))</f>
        <v/>
      </c>
      <c r="K71" s="24">
        <f>IF($A71="","",IF(OR($E71="",$G71=""),"",IF(ABS($G71-$E71)&gt;zincirTolerans,"ZİNCİR KIRIK","OK")))</f>
        <v/>
      </c>
      <c r="L71" s="24">
        <f>IF($A71="","",1)</f>
        <v/>
      </c>
    </row>
    <row r="72">
      <c r="A72" s="12" t="n"/>
      <c r="B72" s="12" t="n"/>
      <c r="C72" s="12" t="n"/>
      <c r="D72" s="12" t="n"/>
      <c r="E72" s="14" t="n"/>
      <c r="F72" s="14" t="n"/>
      <c r="G72" s="14" t="n"/>
      <c r="H72" s="15" t="n"/>
      <c r="I72" s="24">
        <f>IF($A72="","",IF($B72="","YETİM",IF(COUNTIF(tblKartlar[KartId],$B72)=0,"YETİM","")))</f>
        <v/>
      </c>
      <c r="J72" s="24">
        <f>IF(OR($A72="",$C72=""),"",IF(OR($C72&amp;"|"&amp;$D72="",COUNTIF(ListeIzinliGecis,$C72&amp;"|"&amp;$D72)&gt;0),"","GEÇERSİZ GEÇİŞ"))</f>
        <v/>
      </c>
      <c r="K72" s="24">
        <f>IF($A72="","",IF(OR($E72="",$G72=""),"",IF(ABS($G72-$E72)&gt;zincirTolerans,"ZİNCİR KIRIK","OK")))</f>
        <v/>
      </c>
      <c r="L72" s="24">
        <f>IF($A72="","",1)</f>
        <v/>
      </c>
    </row>
    <row r="73">
      <c r="A73" s="12" t="n"/>
      <c r="B73" s="12" t="n"/>
      <c r="C73" s="12" t="n"/>
      <c r="D73" s="12" t="n"/>
      <c r="E73" s="14" t="n"/>
      <c r="F73" s="14" t="n"/>
      <c r="G73" s="14" t="n"/>
      <c r="H73" s="15" t="n"/>
      <c r="I73" s="24">
        <f>IF($A73="","",IF($B73="","YETİM",IF(COUNTIF(tblKartlar[KartId],$B73)=0,"YETİM","")))</f>
        <v/>
      </c>
      <c r="J73" s="24">
        <f>IF(OR($A73="",$C73=""),"",IF(OR($C73&amp;"|"&amp;$D73="",COUNTIF(ListeIzinliGecis,$C73&amp;"|"&amp;$D73)&gt;0),"","GEÇERSİZ GEÇİŞ"))</f>
        <v/>
      </c>
      <c r="K73" s="24">
        <f>IF($A73="","",IF(OR($E73="",$G73=""),"",IF(ABS($G73-$E73)&gt;zincirTolerans,"ZİNCİR KIRIK","OK")))</f>
        <v/>
      </c>
      <c r="L73" s="24">
        <f>IF($A73="","",1)</f>
        <v/>
      </c>
    </row>
    <row r="74">
      <c r="A74" s="12" t="n"/>
      <c r="B74" s="12" t="n"/>
      <c r="C74" s="12" t="n"/>
      <c r="D74" s="12" t="n"/>
      <c r="E74" s="14" t="n"/>
      <c r="F74" s="14" t="n"/>
      <c r="G74" s="14" t="n"/>
      <c r="H74" s="15" t="n"/>
      <c r="I74" s="24">
        <f>IF($A74="","",IF($B74="","YETİM",IF(COUNTIF(tblKartlar[KartId],$B74)=0,"YETİM","")))</f>
        <v/>
      </c>
      <c r="J74" s="24">
        <f>IF(OR($A74="",$C74=""),"",IF(OR($C74&amp;"|"&amp;$D74="",COUNTIF(ListeIzinliGecis,$C74&amp;"|"&amp;$D74)&gt;0),"","GEÇERSİZ GEÇİŞ"))</f>
        <v/>
      </c>
      <c r="K74" s="24">
        <f>IF($A74="","",IF(OR($E74="",$G74=""),"",IF(ABS($G74-$E74)&gt;zincirTolerans,"ZİNCİR KIRIK","OK")))</f>
        <v/>
      </c>
      <c r="L74" s="24">
        <f>IF($A74="","",1)</f>
        <v/>
      </c>
    </row>
    <row r="75">
      <c r="A75" s="12" t="n"/>
      <c r="B75" s="12" t="n"/>
      <c r="C75" s="12" t="n"/>
      <c r="D75" s="12" t="n"/>
      <c r="E75" s="14" t="n"/>
      <c r="F75" s="14" t="n"/>
      <c r="G75" s="14" t="n"/>
      <c r="H75" s="15" t="n"/>
      <c r="I75" s="24">
        <f>IF($A75="","",IF($B75="","YETİM",IF(COUNTIF(tblKartlar[KartId],$B75)=0,"YETİM","")))</f>
        <v/>
      </c>
      <c r="J75" s="24">
        <f>IF(OR($A75="",$C75=""),"",IF(OR($C75&amp;"|"&amp;$D75="",COUNTIF(ListeIzinliGecis,$C75&amp;"|"&amp;$D75)&gt;0),"","GEÇERSİZ GEÇİŞ"))</f>
        <v/>
      </c>
      <c r="K75" s="24">
        <f>IF($A75="","",IF(OR($E75="",$G75=""),"",IF(ABS($G75-$E75)&gt;zincirTolerans,"ZİNCİR KIRIK","OK")))</f>
        <v/>
      </c>
      <c r="L75" s="24">
        <f>IF($A75="","",1)</f>
        <v/>
      </c>
    </row>
    <row r="76">
      <c r="A76" s="12" t="n"/>
      <c r="B76" s="12" t="n"/>
      <c r="C76" s="12" t="n"/>
      <c r="D76" s="12" t="n"/>
      <c r="E76" s="14" t="n"/>
      <c r="F76" s="14" t="n"/>
      <c r="G76" s="14" t="n"/>
      <c r="H76" s="15" t="n"/>
      <c r="I76" s="24">
        <f>IF($A76="","",IF($B76="","YETİM",IF(COUNTIF(tblKartlar[KartId],$B76)=0,"YETİM","")))</f>
        <v/>
      </c>
      <c r="J76" s="24">
        <f>IF(OR($A76="",$C76=""),"",IF(OR($C76&amp;"|"&amp;$D76="",COUNTIF(ListeIzinliGecis,$C76&amp;"|"&amp;$D76)&gt;0),"","GEÇERSİZ GEÇİŞ"))</f>
        <v/>
      </c>
      <c r="K76" s="24">
        <f>IF($A76="","",IF(OR($E76="",$G76=""),"",IF(ABS($G76-$E76)&gt;zincirTolerans,"ZİNCİR KIRIK","OK")))</f>
        <v/>
      </c>
      <c r="L76" s="24">
        <f>IF($A76="","",1)</f>
        <v/>
      </c>
    </row>
    <row r="77">
      <c r="A77" s="12" t="n"/>
      <c r="B77" s="12" t="n"/>
      <c r="C77" s="12" t="n"/>
      <c r="D77" s="12" t="n"/>
      <c r="E77" s="14" t="n"/>
      <c r="F77" s="14" t="n"/>
      <c r="G77" s="14" t="n"/>
      <c r="H77" s="15" t="n"/>
      <c r="I77" s="24">
        <f>IF($A77="","",IF($B77="","YETİM",IF(COUNTIF(tblKartlar[KartId],$B77)=0,"YETİM","")))</f>
        <v/>
      </c>
      <c r="J77" s="24">
        <f>IF(OR($A77="",$C77=""),"",IF(OR($C77&amp;"|"&amp;$D77="",COUNTIF(ListeIzinliGecis,$C77&amp;"|"&amp;$D77)&gt;0),"","GEÇERSİZ GEÇİŞ"))</f>
        <v/>
      </c>
      <c r="K77" s="24">
        <f>IF($A77="","",IF(OR($E77="",$G77=""),"",IF(ABS($G77-$E77)&gt;zincirTolerans,"ZİNCİR KIRIK","OK")))</f>
        <v/>
      </c>
      <c r="L77" s="24">
        <f>IF($A77="","",1)</f>
        <v/>
      </c>
    </row>
    <row r="78">
      <c r="A78" s="12" t="n"/>
      <c r="B78" s="12" t="n"/>
      <c r="C78" s="12" t="n"/>
      <c r="D78" s="12" t="n"/>
      <c r="E78" s="14" t="n"/>
      <c r="F78" s="14" t="n"/>
      <c r="G78" s="14" t="n"/>
      <c r="H78" s="15" t="n"/>
      <c r="I78" s="24">
        <f>IF($A78="","",IF($B78="","YETİM",IF(COUNTIF(tblKartlar[KartId],$B78)=0,"YETİM","")))</f>
        <v/>
      </c>
      <c r="J78" s="24">
        <f>IF(OR($A78="",$C78=""),"",IF(OR($C78&amp;"|"&amp;$D78="",COUNTIF(ListeIzinliGecis,$C78&amp;"|"&amp;$D78)&gt;0),"","GEÇERSİZ GEÇİŞ"))</f>
        <v/>
      </c>
      <c r="K78" s="24">
        <f>IF($A78="","",IF(OR($E78="",$G78=""),"",IF(ABS($G78-$E78)&gt;zincirTolerans,"ZİNCİR KIRIK","OK")))</f>
        <v/>
      </c>
      <c r="L78" s="24">
        <f>IF($A78="","",1)</f>
        <v/>
      </c>
    </row>
    <row r="79">
      <c r="A79" s="12" t="n"/>
      <c r="B79" s="12" t="n"/>
      <c r="C79" s="12" t="n"/>
      <c r="D79" s="12" t="n"/>
      <c r="E79" s="14" t="n"/>
      <c r="F79" s="14" t="n"/>
      <c r="G79" s="14" t="n"/>
      <c r="H79" s="15" t="n"/>
      <c r="I79" s="24">
        <f>IF($A79="","",IF($B79="","YETİM",IF(COUNTIF(tblKartlar[KartId],$B79)=0,"YETİM","")))</f>
        <v/>
      </c>
      <c r="J79" s="24">
        <f>IF(OR($A79="",$C79=""),"",IF(OR($C79&amp;"|"&amp;$D79="",COUNTIF(ListeIzinliGecis,$C79&amp;"|"&amp;$D79)&gt;0),"","GEÇERSİZ GEÇİŞ"))</f>
        <v/>
      </c>
      <c r="K79" s="24">
        <f>IF($A79="","",IF(OR($E79="",$G79=""),"",IF(ABS($G79-$E79)&gt;zincirTolerans,"ZİNCİR KIRIK","OK")))</f>
        <v/>
      </c>
      <c r="L79" s="24">
        <f>IF($A79="","",1)</f>
        <v/>
      </c>
    </row>
    <row r="80">
      <c r="A80" s="12" t="n"/>
      <c r="B80" s="12" t="n"/>
      <c r="C80" s="12" t="n"/>
      <c r="D80" s="12" t="n"/>
      <c r="E80" s="14" t="n"/>
      <c r="F80" s="14" t="n"/>
      <c r="G80" s="14" t="n"/>
      <c r="H80" s="15" t="n"/>
      <c r="I80" s="24">
        <f>IF($A80="","",IF($B80="","YETİM",IF(COUNTIF(tblKartlar[KartId],$B80)=0,"YETİM","")))</f>
        <v/>
      </c>
      <c r="J80" s="24">
        <f>IF(OR($A80="",$C80=""),"",IF(OR($C80&amp;"|"&amp;$D80="",COUNTIF(ListeIzinliGecis,$C80&amp;"|"&amp;$D80)&gt;0),"","GEÇERSİZ GEÇİŞ"))</f>
        <v/>
      </c>
      <c r="K80" s="24">
        <f>IF($A80="","",IF(OR($E80="",$G80=""),"",IF(ABS($G80-$E80)&gt;zincirTolerans,"ZİNCİR KIRIK","OK")))</f>
        <v/>
      </c>
      <c r="L80" s="24">
        <f>IF($A80="","",1)</f>
        <v/>
      </c>
    </row>
    <row r="81">
      <c r="A81" s="12" t="n"/>
      <c r="B81" s="12" t="n"/>
      <c r="C81" s="12" t="n"/>
      <c r="D81" s="12" t="n"/>
      <c r="E81" s="14" t="n"/>
      <c r="F81" s="14" t="n"/>
      <c r="G81" s="14" t="n"/>
      <c r="H81" s="15" t="n"/>
      <c r="I81" s="24">
        <f>IF($A81="","",IF($B81="","YETİM",IF(COUNTIF(tblKartlar[KartId],$B81)=0,"YETİM","")))</f>
        <v/>
      </c>
      <c r="J81" s="24">
        <f>IF(OR($A81="",$C81=""),"",IF(OR($C81&amp;"|"&amp;$D81="",COUNTIF(ListeIzinliGecis,$C81&amp;"|"&amp;$D81)&gt;0),"","GEÇERSİZ GEÇİŞ"))</f>
        <v/>
      </c>
      <c r="K81" s="24">
        <f>IF($A81="","",IF(OR($E81="",$G81=""),"",IF(ABS($G81-$E81)&gt;zincirTolerans,"ZİNCİR KIRIK","OK")))</f>
        <v/>
      </c>
      <c r="L81" s="24">
        <f>IF($A81="","",1)</f>
        <v/>
      </c>
    </row>
    <row r="82">
      <c r="A82" s="12" t="n"/>
      <c r="B82" s="12" t="n"/>
      <c r="C82" s="12" t="n"/>
      <c r="D82" s="12" t="n"/>
      <c r="E82" s="14" t="n"/>
      <c r="F82" s="14" t="n"/>
      <c r="G82" s="14" t="n"/>
      <c r="H82" s="15" t="n"/>
      <c r="I82" s="24">
        <f>IF($A82="","",IF($B82="","YETİM",IF(COUNTIF(tblKartlar[KartId],$B82)=0,"YETİM","")))</f>
        <v/>
      </c>
      <c r="J82" s="24">
        <f>IF(OR($A82="",$C82=""),"",IF(OR($C82&amp;"|"&amp;$D82="",COUNTIF(ListeIzinliGecis,$C82&amp;"|"&amp;$D82)&gt;0),"","GEÇERSİZ GEÇİŞ"))</f>
        <v/>
      </c>
      <c r="K82" s="24">
        <f>IF($A82="","",IF(OR($E82="",$G82=""),"",IF(ABS($G82-$E82)&gt;zincirTolerans,"ZİNCİR KIRIK","OK")))</f>
        <v/>
      </c>
      <c r="L82" s="24">
        <f>IF($A82="","",1)</f>
        <v/>
      </c>
    </row>
    <row r="83">
      <c r="A83" s="12" t="n"/>
      <c r="B83" s="12" t="n"/>
      <c r="C83" s="12" t="n"/>
      <c r="D83" s="12" t="n"/>
      <c r="E83" s="14" t="n"/>
      <c r="F83" s="14" t="n"/>
      <c r="G83" s="14" t="n"/>
      <c r="H83" s="15" t="n"/>
      <c r="I83" s="24">
        <f>IF($A83="","",IF($B83="","YETİM",IF(COUNTIF(tblKartlar[KartId],$B83)=0,"YETİM","")))</f>
        <v/>
      </c>
      <c r="J83" s="24">
        <f>IF(OR($A83="",$C83=""),"",IF(OR($C83&amp;"|"&amp;$D83="",COUNTIF(ListeIzinliGecis,$C83&amp;"|"&amp;$D83)&gt;0),"","GEÇERSİZ GEÇİŞ"))</f>
        <v/>
      </c>
      <c r="K83" s="24">
        <f>IF($A83="","",IF(OR($E83="",$G83=""),"",IF(ABS($G83-$E83)&gt;zincirTolerans,"ZİNCİR KIRIK","OK")))</f>
        <v/>
      </c>
      <c r="L83" s="24">
        <f>IF($A83="","",1)</f>
        <v/>
      </c>
    </row>
    <row r="84">
      <c r="A84" s="12" t="n"/>
      <c r="B84" s="12" t="n"/>
      <c r="C84" s="12" t="n"/>
      <c r="D84" s="12" t="n"/>
      <c r="E84" s="14" t="n"/>
      <c r="F84" s="14" t="n"/>
      <c r="G84" s="14" t="n"/>
      <c r="H84" s="15" t="n"/>
      <c r="I84" s="24">
        <f>IF($A84="","",IF($B84="","YETİM",IF(COUNTIF(tblKartlar[KartId],$B84)=0,"YETİM","")))</f>
        <v/>
      </c>
      <c r="J84" s="24">
        <f>IF(OR($A84="",$C84=""),"",IF(OR($C84&amp;"|"&amp;$D84="",COUNTIF(ListeIzinliGecis,$C84&amp;"|"&amp;$D84)&gt;0),"","GEÇERSİZ GEÇİŞ"))</f>
        <v/>
      </c>
      <c r="K84" s="24">
        <f>IF($A84="","",IF(OR($E84="",$G84=""),"",IF(ABS($G84-$E84)&gt;zincirTolerans,"ZİNCİR KIRIK","OK")))</f>
        <v/>
      </c>
      <c r="L84" s="24">
        <f>IF($A84="","",1)</f>
        <v/>
      </c>
    </row>
    <row r="85">
      <c r="A85" s="12" t="n"/>
      <c r="B85" s="12" t="n"/>
      <c r="C85" s="12" t="n"/>
      <c r="D85" s="12" t="n"/>
      <c r="E85" s="14" t="n"/>
      <c r="F85" s="14" t="n"/>
      <c r="G85" s="14" t="n"/>
      <c r="H85" s="15" t="n"/>
      <c r="I85" s="24">
        <f>IF($A85="","",IF($B85="","YETİM",IF(COUNTIF(tblKartlar[KartId],$B85)=0,"YETİM","")))</f>
        <v/>
      </c>
      <c r="J85" s="24">
        <f>IF(OR($A85="",$C85=""),"",IF(OR($C85&amp;"|"&amp;$D85="",COUNTIF(ListeIzinliGecis,$C85&amp;"|"&amp;$D85)&gt;0),"","GEÇERSİZ GEÇİŞ"))</f>
        <v/>
      </c>
      <c r="K85" s="24">
        <f>IF($A85="","",IF(OR($E85="",$G85=""),"",IF(ABS($G85-$E85)&gt;zincirTolerans,"ZİNCİR KIRIK","OK")))</f>
        <v/>
      </c>
      <c r="L85" s="24">
        <f>IF($A85="","",1)</f>
        <v/>
      </c>
    </row>
    <row r="86">
      <c r="A86" s="12" t="n"/>
      <c r="B86" s="12" t="n"/>
      <c r="C86" s="12" t="n"/>
      <c r="D86" s="12" t="n"/>
      <c r="E86" s="14" t="n"/>
      <c r="F86" s="14" t="n"/>
      <c r="G86" s="14" t="n"/>
      <c r="H86" s="15" t="n"/>
      <c r="I86" s="24">
        <f>IF($A86="","",IF($B86="","YETİM",IF(COUNTIF(tblKartlar[KartId],$B86)=0,"YETİM","")))</f>
        <v/>
      </c>
      <c r="J86" s="24">
        <f>IF(OR($A86="",$C86=""),"",IF(OR($C86&amp;"|"&amp;$D86="",COUNTIF(ListeIzinliGecis,$C86&amp;"|"&amp;$D86)&gt;0),"","GEÇERSİZ GEÇİŞ"))</f>
        <v/>
      </c>
      <c r="K86" s="24">
        <f>IF($A86="","",IF(OR($E86="",$G86=""),"",IF(ABS($G86-$E86)&gt;zincirTolerans,"ZİNCİR KIRIK","OK")))</f>
        <v/>
      </c>
      <c r="L86" s="24">
        <f>IF($A86="","",1)</f>
        <v/>
      </c>
    </row>
    <row r="87">
      <c r="A87" s="12" t="n"/>
      <c r="B87" s="12" t="n"/>
      <c r="C87" s="12" t="n"/>
      <c r="D87" s="12" t="n"/>
      <c r="E87" s="14" t="n"/>
      <c r="F87" s="14" t="n"/>
      <c r="G87" s="14" t="n"/>
      <c r="H87" s="15" t="n"/>
      <c r="I87" s="24">
        <f>IF($A87="","",IF($B87="","YETİM",IF(COUNTIF(tblKartlar[KartId],$B87)=0,"YETİM","")))</f>
        <v/>
      </c>
      <c r="J87" s="24">
        <f>IF(OR($A87="",$C87=""),"",IF(OR($C87&amp;"|"&amp;$D87="",COUNTIF(ListeIzinliGecis,$C87&amp;"|"&amp;$D87)&gt;0),"","GEÇERSİZ GEÇİŞ"))</f>
        <v/>
      </c>
      <c r="K87" s="24">
        <f>IF($A87="","",IF(OR($E87="",$G87=""),"",IF(ABS($G87-$E87)&gt;zincirTolerans,"ZİNCİR KIRIK","OK")))</f>
        <v/>
      </c>
      <c r="L87" s="24">
        <f>IF($A87="","",1)</f>
        <v/>
      </c>
    </row>
    <row r="88">
      <c r="A88" s="12" t="n"/>
      <c r="B88" s="12" t="n"/>
      <c r="C88" s="12" t="n"/>
      <c r="D88" s="12" t="n"/>
      <c r="E88" s="14" t="n"/>
      <c r="F88" s="14" t="n"/>
      <c r="G88" s="14" t="n"/>
      <c r="H88" s="15" t="n"/>
      <c r="I88" s="24">
        <f>IF($A88="","",IF($B88="","YETİM",IF(COUNTIF(tblKartlar[KartId],$B88)=0,"YETİM","")))</f>
        <v/>
      </c>
      <c r="J88" s="24">
        <f>IF(OR($A88="",$C88=""),"",IF(OR($C88&amp;"|"&amp;$D88="",COUNTIF(ListeIzinliGecis,$C88&amp;"|"&amp;$D88)&gt;0),"","GEÇERSİZ GEÇİŞ"))</f>
        <v/>
      </c>
      <c r="K88" s="24">
        <f>IF($A88="","",IF(OR($E88="",$G88=""),"",IF(ABS($G88-$E88)&gt;zincirTolerans,"ZİNCİR KIRIK","OK")))</f>
        <v/>
      </c>
      <c r="L88" s="24">
        <f>IF($A88="","",1)</f>
        <v/>
      </c>
    </row>
    <row r="89">
      <c r="A89" s="12" t="n"/>
      <c r="B89" s="12" t="n"/>
      <c r="C89" s="12" t="n"/>
      <c r="D89" s="12" t="n"/>
      <c r="E89" s="14" t="n"/>
      <c r="F89" s="14" t="n"/>
      <c r="G89" s="14" t="n"/>
      <c r="H89" s="15" t="n"/>
      <c r="I89" s="24">
        <f>IF($A89="","",IF($B89="","YETİM",IF(COUNTIF(tblKartlar[KartId],$B89)=0,"YETİM","")))</f>
        <v/>
      </c>
      <c r="J89" s="24">
        <f>IF(OR($A89="",$C89=""),"",IF(OR($C89&amp;"|"&amp;$D89="",COUNTIF(ListeIzinliGecis,$C89&amp;"|"&amp;$D89)&gt;0),"","GEÇERSİZ GEÇİŞ"))</f>
        <v/>
      </c>
      <c r="K89" s="24">
        <f>IF($A89="","",IF(OR($E89="",$G89=""),"",IF(ABS($G89-$E89)&gt;zincirTolerans,"ZİNCİR KIRIK","OK")))</f>
        <v/>
      </c>
      <c r="L89" s="24">
        <f>IF($A89="","",1)</f>
        <v/>
      </c>
    </row>
    <row r="90">
      <c r="A90" s="12" t="n"/>
      <c r="B90" s="12" t="n"/>
      <c r="C90" s="12" t="n"/>
      <c r="D90" s="12" t="n"/>
      <c r="E90" s="14" t="n"/>
      <c r="F90" s="14" t="n"/>
      <c r="G90" s="14" t="n"/>
      <c r="H90" s="15" t="n"/>
      <c r="I90" s="24">
        <f>IF($A90="","",IF($B90="","YETİM",IF(COUNTIF(tblKartlar[KartId],$B90)=0,"YETİM","")))</f>
        <v/>
      </c>
      <c r="J90" s="24">
        <f>IF(OR($A90="",$C90=""),"",IF(OR($C90&amp;"|"&amp;$D90="",COUNTIF(ListeIzinliGecis,$C90&amp;"|"&amp;$D90)&gt;0),"","GEÇERSİZ GEÇİŞ"))</f>
        <v/>
      </c>
      <c r="K90" s="24">
        <f>IF($A90="","",IF(OR($E90="",$G90=""),"",IF(ABS($G90-$E90)&gt;zincirTolerans,"ZİNCİR KIRIK","OK")))</f>
        <v/>
      </c>
      <c r="L90" s="24">
        <f>IF($A90="","",1)</f>
        <v/>
      </c>
    </row>
    <row r="91">
      <c r="A91" s="12" t="n"/>
      <c r="B91" s="12" t="n"/>
      <c r="C91" s="12" t="n"/>
      <c r="D91" s="12" t="n"/>
      <c r="E91" s="14" t="n"/>
      <c r="F91" s="14" t="n"/>
      <c r="G91" s="14" t="n"/>
      <c r="H91" s="15" t="n"/>
      <c r="I91" s="24">
        <f>IF($A91="","",IF($B91="","YETİM",IF(COUNTIF(tblKartlar[KartId],$B91)=0,"YETİM","")))</f>
        <v/>
      </c>
      <c r="J91" s="24">
        <f>IF(OR($A91="",$C91=""),"",IF(OR($C91&amp;"|"&amp;$D91="",COUNTIF(ListeIzinliGecis,$C91&amp;"|"&amp;$D91)&gt;0),"","GEÇERSİZ GEÇİŞ"))</f>
        <v/>
      </c>
      <c r="K91" s="24">
        <f>IF($A91="","",IF(OR($E91="",$G91=""),"",IF(ABS($G91-$E91)&gt;zincirTolerans,"ZİNCİR KIRIK","OK")))</f>
        <v/>
      </c>
      <c r="L91" s="24">
        <f>IF($A91="","",1)</f>
        <v/>
      </c>
    </row>
    <row r="92">
      <c r="A92" s="12" t="n"/>
      <c r="B92" s="12" t="n"/>
      <c r="C92" s="12" t="n"/>
      <c r="D92" s="12" t="n"/>
      <c r="E92" s="14" t="n"/>
      <c r="F92" s="14" t="n"/>
      <c r="G92" s="14" t="n"/>
      <c r="H92" s="15" t="n"/>
      <c r="I92" s="24">
        <f>IF($A92="","",IF($B92="","YETİM",IF(COUNTIF(tblKartlar[KartId],$B92)=0,"YETİM","")))</f>
        <v/>
      </c>
      <c r="J92" s="24">
        <f>IF(OR($A92="",$C92=""),"",IF(OR($C92&amp;"|"&amp;$D92="",COUNTIF(ListeIzinliGecis,$C92&amp;"|"&amp;$D92)&gt;0),"","GEÇERSİZ GEÇİŞ"))</f>
        <v/>
      </c>
      <c r="K92" s="24">
        <f>IF($A92="","",IF(OR($E92="",$G92=""),"",IF(ABS($G92-$E92)&gt;zincirTolerans,"ZİNCİR KIRIK","OK")))</f>
        <v/>
      </c>
      <c r="L92" s="24">
        <f>IF($A92="","",1)</f>
        <v/>
      </c>
    </row>
    <row r="93">
      <c r="A93" s="12" t="n"/>
      <c r="B93" s="12" t="n"/>
      <c r="C93" s="12" t="n"/>
      <c r="D93" s="12" t="n"/>
      <c r="E93" s="14" t="n"/>
      <c r="F93" s="14" t="n"/>
      <c r="G93" s="14" t="n"/>
      <c r="H93" s="15" t="n"/>
      <c r="I93" s="24">
        <f>IF($A93="","",IF($B93="","YETİM",IF(COUNTIF(tblKartlar[KartId],$B93)=0,"YETİM","")))</f>
        <v/>
      </c>
      <c r="J93" s="24">
        <f>IF(OR($A93="",$C93=""),"",IF(OR($C93&amp;"|"&amp;$D93="",COUNTIF(ListeIzinliGecis,$C93&amp;"|"&amp;$D93)&gt;0),"","GEÇERSİZ GEÇİŞ"))</f>
        <v/>
      </c>
      <c r="K93" s="24">
        <f>IF($A93="","",IF(OR($E93="",$G93=""),"",IF(ABS($G93-$E93)&gt;zincirTolerans,"ZİNCİR KIRIK","OK")))</f>
        <v/>
      </c>
      <c r="L93" s="24">
        <f>IF($A93="","",1)</f>
        <v/>
      </c>
    </row>
    <row r="94">
      <c r="A94" s="12" t="n"/>
      <c r="B94" s="12" t="n"/>
      <c r="C94" s="12" t="n"/>
      <c r="D94" s="12" t="n"/>
      <c r="E94" s="14" t="n"/>
      <c r="F94" s="14" t="n"/>
      <c r="G94" s="14" t="n"/>
      <c r="H94" s="15" t="n"/>
      <c r="I94" s="24">
        <f>IF($A94="","",IF($B94="","YETİM",IF(COUNTIF(tblKartlar[KartId],$B94)=0,"YETİM","")))</f>
        <v/>
      </c>
      <c r="J94" s="24">
        <f>IF(OR($A94="",$C94=""),"",IF(OR($C94&amp;"|"&amp;$D94="",COUNTIF(ListeIzinliGecis,$C94&amp;"|"&amp;$D94)&gt;0),"","GEÇERSİZ GEÇİŞ"))</f>
        <v/>
      </c>
      <c r="K94" s="24">
        <f>IF($A94="","",IF(OR($E94="",$G94=""),"",IF(ABS($G94-$E94)&gt;zincirTolerans,"ZİNCİR KIRIK","OK")))</f>
        <v/>
      </c>
      <c r="L94" s="24">
        <f>IF($A94="","",1)</f>
        <v/>
      </c>
    </row>
    <row r="95">
      <c r="A95" s="12" t="n"/>
      <c r="B95" s="12" t="n"/>
      <c r="C95" s="12" t="n"/>
      <c r="D95" s="12" t="n"/>
      <c r="E95" s="14" t="n"/>
      <c r="F95" s="14" t="n"/>
      <c r="G95" s="14" t="n"/>
      <c r="H95" s="15" t="n"/>
      <c r="I95" s="24">
        <f>IF($A95="","",IF($B95="","YETİM",IF(COUNTIF(tblKartlar[KartId],$B95)=0,"YETİM","")))</f>
        <v/>
      </c>
      <c r="J95" s="24">
        <f>IF(OR($A95="",$C95=""),"",IF(OR($C95&amp;"|"&amp;$D95="",COUNTIF(ListeIzinliGecis,$C95&amp;"|"&amp;$D95)&gt;0),"","GEÇERSİZ GEÇİŞ"))</f>
        <v/>
      </c>
      <c r="K95" s="24">
        <f>IF($A95="","",IF(OR($E95="",$G95=""),"",IF(ABS($G95-$E95)&gt;zincirTolerans,"ZİNCİR KIRIK","OK")))</f>
        <v/>
      </c>
      <c r="L95" s="24">
        <f>IF($A95="","",1)</f>
        <v/>
      </c>
    </row>
    <row r="96">
      <c r="A96" s="12" t="n"/>
      <c r="B96" s="12" t="n"/>
      <c r="C96" s="12" t="n"/>
      <c r="D96" s="12" t="n"/>
      <c r="E96" s="14" t="n"/>
      <c r="F96" s="14" t="n"/>
      <c r="G96" s="14" t="n"/>
      <c r="H96" s="15" t="n"/>
      <c r="I96" s="24">
        <f>IF($A96="","",IF($B96="","YETİM",IF(COUNTIF(tblKartlar[KartId],$B96)=0,"YETİM","")))</f>
        <v/>
      </c>
      <c r="J96" s="24">
        <f>IF(OR($A96="",$C96=""),"",IF(OR($C96&amp;"|"&amp;$D96="",COUNTIF(ListeIzinliGecis,$C96&amp;"|"&amp;$D96)&gt;0),"","GEÇERSİZ GEÇİŞ"))</f>
        <v/>
      </c>
      <c r="K96" s="24">
        <f>IF($A96="","",IF(OR($E96="",$G96=""),"",IF(ABS($G96-$E96)&gt;zincirTolerans,"ZİNCİR KIRIK","OK")))</f>
        <v/>
      </c>
      <c r="L96" s="24">
        <f>IF($A96="","",1)</f>
        <v/>
      </c>
    </row>
    <row r="97">
      <c r="A97" s="12" t="n"/>
      <c r="B97" s="12" t="n"/>
      <c r="C97" s="12" t="n"/>
      <c r="D97" s="12" t="n"/>
      <c r="E97" s="14" t="n"/>
      <c r="F97" s="14" t="n"/>
      <c r="G97" s="14" t="n"/>
      <c r="H97" s="15" t="n"/>
      <c r="I97" s="24">
        <f>IF($A97="","",IF($B97="","YETİM",IF(COUNTIF(tblKartlar[KartId],$B97)=0,"YETİM","")))</f>
        <v/>
      </c>
      <c r="J97" s="24">
        <f>IF(OR($A97="",$C97=""),"",IF(OR($C97&amp;"|"&amp;$D97="",COUNTIF(ListeIzinliGecis,$C97&amp;"|"&amp;$D97)&gt;0),"","GEÇERSİZ GEÇİŞ"))</f>
        <v/>
      </c>
      <c r="K97" s="24">
        <f>IF($A97="","",IF(OR($E97="",$G97=""),"",IF(ABS($G97-$E97)&gt;zincirTolerans,"ZİNCİR KIRIK","OK")))</f>
        <v/>
      </c>
      <c r="L97" s="24">
        <f>IF($A97="","",1)</f>
        <v/>
      </c>
    </row>
    <row r="98">
      <c r="A98" s="12" t="n"/>
      <c r="B98" s="12" t="n"/>
      <c r="C98" s="12" t="n"/>
      <c r="D98" s="12" t="n"/>
      <c r="E98" s="14" t="n"/>
      <c r="F98" s="14" t="n"/>
      <c r="G98" s="14" t="n"/>
      <c r="H98" s="15" t="n"/>
      <c r="I98" s="24">
        <f>IF($A98="","",IF($B98="","YETİM",IF(COUNTIF(tblKartlar[KartId],$B98)=0,"YETİM","")))</f>
        <v/>
      </c>
      <c r="J98" s="24">
        <f>IF(OR($A98="",$C98=""),"",IF(OR($C98&amp;"|"&amp;$D98="",COUNTIF(ListeIzinliGecis,$C98&amp;"|"&amp;$D98)&gt;0),"","GEÇERSİZ GEÇİŞ"))</f>
        <v/>
      </c>
      <c r="K98" s="24">
        <f>IF($A98="","",IF(OR($E98="",$G98=""),"",IF(ABS($G98-$E98)&gt;zincirTolerans,"ZİNCİR KIRIK","OK")))</f>
        <v/>
      </c>
      <c r="L98" s="24">
        <f>IF($A98="","",1)</f>
        <v/>
      </c>
    </row>
    <row r="99">
      <c r="A99" s="12" t="n"/>
      <c r="B99" s="12" t="n"/>
      <c r="C99" s="12" t="n"/>
      <c r="D99" s="12" t="n"/>
      <c r="E99" s="14" t="n"/>
      <c r="F99" s="14" t="n"/>
      <c r="G99" s="14" t="n"/>
      <c r="H99" s="15" t="n"/>
      <c r="I99" s="24">
        <f>IF($A99="","",IF($B99="","YETİM",IF(COUNTIF(tblKartlar[KartId],$B99)=0,"YETİM","")))</f>
        <v/>
      </c>
      <c r="J99" s="24">
        <f>IF(OR($A99="",$C99=""),"",IF(OR($C99&amp;"|"&amp;$D99="",COUNTIF(ListeIzinliGecis,$C99&amp;"|"&amp;$D99)&gt;0),"","GEÇERSİZ GEÇİŞ"))</f>
        <v/>
      </c>
      <c r="K99" s="24">
        <f>IF($A99="","",IF(OR($E99="",$G99=""),"",IF(ABS($G99-$E99)&gt;zincirTolerans,"ZİNCİR KIRIK","OK")))</f>
        <v/>
      </c>
      <c r="L99" s="24">
        <f>IF($A99="","",1)</f>
        <v/>
      </c>
    </row>
    <row r="100">
      <c r="A100" s="12" t="n"/>
      <c r="B100" s="12" t="n"/>
      <c r="C100" s="12" t="n"/>
      <c r="D100" s="12" t="n"/>
      <c r="E100" s="14" t="n"/>
      <c r="F100" s="14" t="n"/>
      <c r="G100" s="14" t="n"/>
      <c r="H100" s="15" t="n"/>
      <c r="I100" s="24">
        <f>IF($A100="","",IF($B100="","YETİM",IF(COUNTIF(tblKartlar[KartId],$B100)=0,"YETİM","")))</f>
        <v/>
      </c>
      <c r="J100" s="24">
        <f>IF(OR($A100="",$C100=""),"",IF(OR($C100&amp;"|"&amp;$D100="",COUNTIF(ListeIzinliGecis,$C100&amp;"|"&amp;$D100)&gt;0),"","GEÇERSİZ GEÇİŞ"))</f>
        <v/>
      </c>
      <c r="K100" s="24">
        <f>IF($A100="","",IF(OR($E100="",$G100=""),"",IF(ABS($G100-$E100)&gt;zincirTolerans,"ZİNCİR KIRIK","OK")))</f>
        <v/>
      </c>
      <c r="L100" s="24">
        <f>IF($A100="","",1)</f>
        <v/>
      </c>
    </row>
    <row r="101">
      <c r="A101" s="12" t="n"/>
      <c r="B101" s="12" t="n"/>
      <c r="C101" s="12" t="n"/>
      <c r="D101" s="12" t="n"/>
      <c r="E101" s="14" t="n"/>
      <c r="F101" s="14" t="n"/>
      <c r="G101" s="14" t="n"/>
      <c r="H101" s="15" t="n"/>
      <c r="I101" s="24">
        <f>IF($A101="","",IF($B101="","YETİM",IF(COUNTIF(tblKartlar[KartId],$B101)=0,"YETİM","")))</f>
        <v/>
      </c>
      <c r="J101" s="24">
        <f>IF(OR($A101="",$C101=""),"",IF(OR($C101&amp;"|"&amp;$D101="",COUNTIF(ListeIzinliGecis,$C101&amp;"|"&amp;$D101)&gt;0),"","GEÇERSİZ GEÇİŞ"))</f>
        <v/>
      </c>
      <c r="K101" s="24">
        <f>IF($A101="","",IF(OR($E101="",$G101=""),"",IF(ABS($G101-$E101)&gt;zincirTolerans,"ZİNCİR KIRIK","OK")))</f>
        <v/>
      </c>
      <c r="L101" s="24">
        <f>IF($A101="","",1)</f>
        <v/>
      </c>
    </row>
    <row r="102">
      <c r="A102" s="12" t="n"/>
      <c r="B102" s="12" t="n"/>
      <c r="C102" s="12" t="n"/>
      <c r="D102" s="12" t="n"/>
      <c r="E102" s="14" t="n"/>
      <c r="F102" s="14" t="n"/>
      <c r="G102" s="14" t="n"/>
      <c r="H102" s="15" t="n"/>
      <c r="I102" s="24">
        <f>IF($A102="","",IF($B102="","YETİM",IF(COUNTIF(tblKartlar[KartId],$B102)=0,"YETİM","")))</f>
        <v/>
      </c>
      <c r="J102" s="24">
        <f>IF(OR($A102="",$C102=""),"",IF(OR($C102&amp;"|"&amp;$D102="",COUNTIF(ListeIzinliGecis,$C102&amp;"|"&amp;$D102)&gt;0),"","GEÇERSİZ GEÇİŞ"))</f>
        <v/>
      </c>
      <c r="K102" s="24">
        <f>IF($A102="","",IF(OR($E102="",$G102=""),"",IF(ABS($G102-$E102)&gt;zincirTolerans,"ZİNCİR KIRIK","OK")))</f>
        <v/>
      </c>
      <c r="L102" s="24">
        <f>IF($A102="","",1)</f>
        <v/>
      </c>
    </row>
    <row r="103">
      <c r="A103" s="12" t="n"/>
      <c r="B103" s="12" t="n"/>
      <c r="C103" s="12" t="n"/>
      <c r="D103" s="12" t="n"/>
      <c r="E103" s="14" t="n"/>
      <c r="F103" s="14" t="n"/>
      <c r="G103" s="14" t="n"/>
      <c r="H103" s="15" t="n"/>
      <c r="I103" s="24">
        <f>IF($A103="","",IF($B103="","YETİM",IF(COUNTIF(tblKartlar[KartId],$B103)=0,"YETİM","")))</f>
        <v/>
      </c>
      <c r="J103" s="24">
        <f>IF(OR($A103="",$C103=""),"",IF(OR($C103&amp;"|"&amp;$D103="",COUNTIF(ListeIzinliGecis,$C103&amp;"|"&amp;$D103)&gt;0),"","GEÇERSİZ GEÇİŞ"))</f>
        <v/>
      </c>
      <c r="K103" s="24">
        <f>IF($A103="","",IF(OR($E103="",$G103=""),"",IF(ABS($G103-$E103)&gt;zincirTolerans,"ZİNCİR KIRIK","OK")))</f>
        <v/>
      </c>
      <c r="L103" s="24">
        <f>IF($A103="","",1)</f>
        <v/>
      </c>
    </row>
    <row r="104">
      <c r="A104" s="12" t="n"/>
      <c r="B104" s="12" t="n"/>
      <c r="C104" s="12" t="n"/>
      <c r="D104" s="12" t="n"/>
      <c r="E104" s="14" t="n"/>
      <c r="F104" s="14" t="n"/>
      <c r="G104" s="14" t="n"/>
      <c r="H104" s="15" t="n"/>
      <c r="I104" s="24">
        <f>IF($A104="","",IF($B104="","YETİM",IF(COUNTIF(tblKartlar[KartId],$B104)=0,"YETİM","")))</f>
        <v/>
      </c>
      <c r="J104" s="24">
        <f>IF(OR($A104="",$C104=""),"",IF(OR($C104&amp;"|"&amp;$D104="",COUNTIF(ListeIzinliGecis,$C104&amp;"|"&amp;$D104)&gt;0),"","GEÇERSİZ GEÇİŞ"))</f>
        <v/>
      </c>
      <c r="K104" s="24">
        <f>IF($A104="","",IF(OR($E104="",$G104=""),"",IF(ABS($G104-$E104)&gt;zincirTolerans,"ZİNCİR KIRIK","OK")))</f>
        <v/>
      </c>
      <c r="L104" s="24">
        <f>IF($A104="","",1)</f>
        <v/>
      </c>
    </row>
    <row r="105">
      <c r="A105" s="12" t="n"/>
      <c r="B105" s="12" t="n"/>
      <c r="C105" s="12" t="n"/>
      <c r="D105" s="12" t="n"/>
      <c r="E105" s="14" t="n"/>
      <c r="F105" s="14" t="n"/>
      <c r="G105" s="14" t="n"/>
      <c r="H105" s="15" t="n"/>
      <c r="I105" s="24">
        <f>IF($A105="","",IF($B105="","YETİM",IF(COUNTIF(tblKartlar[KartId],$B105)=0,"YETİM","")))</f>
        <v/>
      </c>
      <c r="J105" s="24">
        <f>IF(OR($A105="",$C105=""),"",IF(OR($C105&amp;"|"&amp;$D105="",COUNTIF(ListeIzinliGecis,$C105&amp;"|"&amp;$D105)&gt;0),"","GEÇERSİZ GEÇİŞ"))</f>
        <v/>
      </c>
      <c r="K105" s="24">
        <f>IF($A105="","",IF(OR($E105="",$G105=""),"",IF(ABS($G105-$E105)&gt;zincirTolerans,"ZİNCİR KIRIK","OK")))</f>
        <v/>
      </c>
      <c r="L105" s="24">
        <f>IF($A105="","",1)</f>
        <v/>
      </c>
    </row>
    <row r="106">
      <c r="A106" s="12" t="n"/>
      <c r="B106" s="12" t="n"/>
      <c r="C106" s="12" t="n"/>
      <c r="D106" s="12" t="n"/>
      <c r="E106" s="14" t="n"/>
      <c r="F106" s="14" t="n"/>
      <c r="G106" s="14" t="n"/>
      <c r="H106" s="15" t="n"/>
      <c r="I106" s="24">
        <f>IF($A106="","",IF($B106="","YETİM",IF(COUNTIF(tblKartlar[KartId],$B106)=0,"YETİM","")))</f>
        <v/>
      </c>
      <c r="J106" s="24">
        <f>IF(OR($A106="",$C106=""),"",IF(OR($C106&amp;"|"&amp;$D106="",COUNTIF(ListeIzinliGecis,$C106&amp;"|"&amp;$D106)&gt;0),"","GEÇERSİZ GEÇİŞ"))</f>
        <v/>
      </c>
      <c r="K106" s="24">
        <f>IF($A106="","",IF(OR($E106="",$G106=""),"",IF(ABS($G106-$E106)&gt;zincirTolerans,"ZİNCİR KIRIK","OK")))</f>
        <v/>
      </c>
      <c r="L106" s="24">
        <f>IF($A106="","",1)</f>
        <v/>
      </c>
    </row>
    <row r="107">
      <c r="A107" s="12" t="n"/>
      <c r="B107" s="12" t="n"/>
      <c r="C107" s="12" t="n"/>
      <c r="D107" s="12" t="n"/>
      <c r="E107" s="14" t="n"/>
      <c r="F107" s="14" t="n"/>
      <c r="G107" s="14" t="n"/>
      <c r="H107" s="15" t="n"/>
      <c r="I107" s="24">
        <f>IF($A107="","",IF($B107="","YETİM",IF(COUNTIF(tblKartlar[KartId],$B107)=0,"YETİM","")))</f>
        <v/>
      </c>
      <c r="J107" s="24">
        <f>IF(OR($A107="",$C107=""),"",IF(OR($C107&amp;"|"&amp;$D107="",COUNTIF(ListeIzinliGecis,$C107&amp;"|"&amp;$D107)&gt;0),"","GEÇERSİZ GEÇİŞ"))</f>
        <v/>
      </c>
      <c r="K107" s="24">
        <f>IF($A107="","",IF(OR($E107="",$G107=""),"",IF(ABS($G107-$E107)&gt;zincirTolerans,"ZİNCİR KIRIK","OK")))</f>
        <v/>
      </c>
      <c r="L107" s="24">
        <f>IF($A107="","",1)</f>
        <v/>
      </c>
    </row>
    <row r="108">
      <c r="A108" s="12" t="n"/>
      <c r="B108" s="12" t="n"/>
      <c r="C108" s="12" t="n"/>
      <c r="D108" s="12" t="n"/>
      <c r="E108" s="14" t="n"/>
      <c r="F108" s="14" t="n"/>
      <c r="G108" s="14" t="n"/>
      <c r="H108" s="15" t="n"/>
      <c r="I108" s="24">
        <f>IF($A108="","",IF($B108="","YETİM",IF(COUNTIF(tblKartlar[KartId],$B108)=0,"YETİM","")))</f>
        <v/>
      </c>
      <c r="J108" s="24">
        <f>IF(OR($A108="",$C108=""),"",IF(OR($C108&amp;"|"&amp;$D108="",COUNTIF(ListeIzinliGecis,$C108&amp;"|"&amp;$D108)&gt;0),"","GEÇERSİZ GEÇİŞ"))</f>
        <v/>
      </c>
      <c r="K108" s="24">
        <f>IF($A108="","",IF(OR($E108="",$G108=""),"",IF(ABS($G108-$E108)&gt;zincirTolerans,"ZİNCİR KIRIK","OK")))</f>
        <v/>
      </c>
      <c r="L108" s="24">
        <f>IF($A108="","",1)</f>
        <v/>
      </c>
    </row>
    <row r="109">
      <c r="A109" s="12" t="n"/>
      <c r="B109" s="12" t="n"/>
      <c r="C109" s="12" t="n"/>
      <c r="D109" s="12" t="n"/>
      <c r="E109" s="14" t="n"/>
      <c r="F109" s="14" t="n"/>
      <c r="G109" s="14" t="n"/>
      <c r="H109" s="15" t="n"/>
      <c r="I109" s="24">
        <f>IF($A109="","",IF($B109="","YETİM",IF(COUNTIF(tblKartlar[KartId],$B109)=0,"YETİM","")))</f>
        <v/>
      </c>
      <c r="J109" s="24">
        <f>IF(OR($A109="",$C109=""),"",IF(OR($C109&amp;"|"&amp;$D109="",COUNTIF(ListeIzinliGecis,$C109&amp;"|"&amp;$D109)&gt;0),"","GEÇERSİZ GEÇİŞ"))</f>
        <v/>
      </c>
      <c r="K109" s="24">
        <f>IF($A109="","",IF(OR($E109="",$G109=""),"",IF(ABS($G109-$E109)&gt;zincirTolerans,"ZİNCİR KIRIK","OK")))</f>
        <v/>
      </c>
      <c r="L109" s="24">
        <f>IF($A109="","",1)</f>
        <v/>
      </c>
    </row>
    <row r="110">
      <c r="A110" s="12" t="n"/>
      <c r="B110" s="12" t="n"/>
      <c r="C110" s="12" t="n"/>
      <c r="D110" s="12" t="n"/>
      <c r="E110" s="14" t="n"/>
      <c r="F110" s="14" t="n"/>
      <c r="G110" s="14" t="n"/>
      <c r="H110" s="15" t="n"/>
      <c r="I110" s="24">
        <f>IF($A110="","",IF($B110="","YETİM",IF(COUNTIF(tblKartlar[KartId],$B110)=0,"YETİM","")))</f>
        <v/>
      </c>
      <c r="J110" s="24">
        <f>IF(OR($A110="",$C110=""),"",IF(OR($C110&amp;"|"&amp;$D110="",COUNTIF(ListeIzinliGecis,$C110&amp;"|"&amp;$D110)&gt;0),"","GEÇERSİZ GEÇİŞ"))</f>
        <v/>
      </c>
      <c r="K110" s="24">
        <f>IF($A110="","",IF(OR($E110="",$G110=""),"",IF(ABS($G110-$E110)&gt;zincirTolerans,"ZİNCİR KIRIK","OK")))</f>
        <v/>
      </c>
      <c r="L110" s="24">
        <f>IF($A110="","",1)</f>
        <v/>
      </c>
    </row>
    <row r="111">
      <c r="A111" s="12" t="n"/>
      <c r="B111" s="12" t="n"/>
      <c r="C111" s="12" t="n"/>
      <c r="D111" s="12" t="n"/>
      <c r="E111" s="14" t="n"/>
      <c r="F111" s="14" t="n"/>
      <c r="G111" s="14" t="n"/>
      <c r="H111" s="15" t="n"/>
      <c r="I111" s="24">
        <f>IF($A111="","",IF($B111="","YETİM",IF(COUNTIF(tblKartlar[KartId],$B111)=0,"YETİM","")))</f>
        <v/>
      </c>
      <c r="J111" s="24">
        <f>IF(OR($A111="",$C111=""),"",IF(OR($C111&amp;"|"&amp;$D111="",COUNTIF(ListeIzinliGecis,$C111&amp;"|"&amp;$D111)&gt;0),"","GEÇERSİZ GEÇİŞ"))</f>
        <v/>
      </c>
      <c r="K111" s="24">
        <f>IF($A111="","",IF(OR($E111="",$G111=""),"",IF(ABS($G111-$E111)&gt;zincirTolerans,"ZİNCİR KIRIK","OK")))</f>
        <v/>
      </c>
      <c r="L111" s="24">
        <f>IF($A111="","",1)</f>
        <v/>
      </c>
    </row>
    <row r="112">
      <c r="A112" s="12" t="n"/>
      <c r="B112" s="12" t="n"/>
      <c r="C112" s="12" t="n"/>
      <c r="D112" s="12" t="n"/>
      <c r="E112" s="14" t="n"/>
      <c r="F112" s="14" t="n"/>
      <c r="G112" s="14" t="n"/>
      <c r="H112" s="15" t="n"/>
      <c r="I112" s="24">
        <f>IF($A112="","",IF($B112="","YETİM",IF(COUNTIF(tblKartlar[KartId],$B112)=0,"YETİM","")))</f>
        <v/>
      </c>
      <c r="J112" s="24">
        <f>IF(OR($A112="",$C112=""),"",IF(OR($C112&amp;"|"&amp;$D112="",COUNTIF(ListeIzinliGecis,$C112&amp;"|"&amp;$D112)&gt;0),"","GEÇERSİZ GEÇİŞ"))</f>
        <v/>
      </c>
      <c r="K112" s="24">
        <f>IF($A112="","",IF(OR($E112="",$G112=""),"",IF(ABS($G112-$E112)&gt;zincirTolerans,"ZİNCİR KIRIK","OK")))</f>
        <v/>
      </c>
      <c r="L112" s="24">
        <f>IF($A112="","",1)</f>
        <v/>
      </c>
    </row>
    <row r="113">
      <c r="A113" s="12" t="n"/>
      <c r="B113" s="12" t="n"/>
      <c r="C113" s="12" t="n"/>
      <c r="D113" s="12" t="n"/>
      <c r="E113" s="14" t="n"/>
      <c r="F113" s="14" t="n"/>
      <c r="G113" s="14" t="n"/>
      <c r="H113" s="15" t="n"/>
      <c r="I113" s="24">
        <f>IF($A113="","",IF($B113="","YETİM",IF(COUNTIF(tblKartlar[KartId],$B113)=0,"YETİM","")))</f>
        <v/>
      </c>
      <c r="J113" s="24">
        <f>IF(OR($A113="",$C113=""),"",IF(OR($C113&amp;"|"&amp;$D113="",COUNTIF(ListeIzinliGecis,$C113&amp;"|"&amp;$D113)&gt;0),"","GEÇERSİZ GEÇİŞ"))</f>
        <v/>
      </c>
      <c r="K113" s="24">
        <f>IF($A113="","",IF(OR($E113="",$G113=""),"",IF(ABS($G113-$E113)&gt;zincirTolerans,"ZİNCİR KIRIK","OK")))</f>
        <v/>
      </c>
      <c r="L113" s="24">
        <f>IF($A113="","",1)</f>
        <v/>
      </c>
    </row>
    <row r="114">
      <c r="A114" s="12" t="n"/>
      <c r="B114" s="12" t="n"/>
      <c r="C114" s="12" t="n"/>
      <c r="D114" s="12" t="n"/>
      <c r="E114" s="14" t="n"/>
      <c r="F114" s="14" t="n"/>
      <c r="G114" s="14" t="n"/>
      <c r="H114" s="15" t="n"/>
      <c r="I114" s="24">
        <f>IF($A114="","",IF($B114="","YETİM",IF(COUNTIF(tblKartlar[KartId],$B114)=0,"YETİM","")))</f>
        <v/>
      </c>
      <c r="J114" s="24">
        <f>IF(OR($A114="",$C114=""),"",IF(OR($C114&amp;"|"&amp;$D114="",COUNTIF(ListeIzinliGecis,$C114&amp;"|"&amp;$D114)&gt;0),"","GEÇERSİZ GEÇİŞ"))</f>
        <v/>
      </c>
      <c r="K114" s="24">
        <f>IF($A114="","",IF(OR($E114="",$G114=""),"",IF(ABS($G114-$E114)&gt;zincirTolerans,"ZİNCİR KIRIK","OK")))</f>
        <v/>
      </c>
      <c r="L114" s="24">
        <f>IF($A114="","",1)</f>
        <v/>
      </c>
    </row>
    <row r="115">
      <c r="A115" s="12" t="n"/>
      <c r="B115" s="12" t="n"/>
      <c r="C115" s="12" t="n"/>
      <c r="D115" s="12" t="n"/>
      <c r="E115" s="14" t="n"/>
      <c r="F115" s="14" t="n"/>
      <c r="G115" s="14" t="n"/>
      <c r="H115" s="15" t="n"/>
      <c r="I115" s="24">
        <f>IF($A115="","",IF($B115="","YETİM",IF(COUNTIF(tblKartlar[KartId],$B115)=0,"YETİM","")))</f>
        <v/>
      </c>
      <c r="J115" s="24">
        <f>IF(OR($A115="",$C115=""),"",IF(OR($C115&amp;"|"&amp;$D115="",COUNTIF(ListeIzinliGecis,$C115&amp;"|"&amp;$D115)&gt;0),"","GEÇERSİZ GEÇİŞ"))</f>
        <v/>
      </c>
      <c r="K115" s="24">
        <f>IF($A115="","",IF(OR($E115="",$G115=""),"",IF(ABS($G115-$E115)&gt;zincirTolerans,"ZİNCİR KIRIK","OK")))</f>
        <v/>
      </c>
      <c r="L115" s="24">
        <f>IF($A115="","",1)</f>
        <v/>
      </c>
    </row>
    <row r="116">
      <c r="A116" s="12" t="n"/>
      <c r="B116" s="12" t="n"/>
      <c r="C116" s="12" t="n"/>
      <c r="D116" s="12" t="n"/>
      <c r="E116" s="14" t="n"/>
      <c r="F116" s="14" t="n"/>
      <c r="G116" s="14" t="n"/>
      <c r="H116" s="15" t="n"/>
      <c r="I116" s="24">
        <f>IF($A116="","",IF($B116="","YETİM",IF(COUNTIF(tblKartlar[KartId],$B116)=0,"YETİM","")))</f>
        <v/>
      </c>
      <c r="J116" s="24">
        <f>IF(OR($A116="",$C116=""),"",IF(OR($C116&amp;"|"&amp;$D116="",COUNTIF(ListeIzinliGecis,$C116&amp;"|"&amp;$D116)&gt;0),"","GEÇERSİZ GEÇİŞ"))</f>
        <v/>
      </c>
      <c r="K116" s="24">
        <f>IF($A116="","",IF(OR($E116="",$G116=""),"",IF(ABS($G116-$E116)&gt;zincirTolerans,"ZİNCİR KIRIK","OK")))</f>
        <v/>
      </c>
      <c r="L116" s="24">
        <f>IF($A116="","",1)</f>
        <v/>
      </c>
    </row>
    <row r="117">
      <c r="A117" s="12" t="n"/>
      <c r="B117" s="12" t="n"/>
      <c r="C117" s="12" t="n"/>
      <c r="D117" s="12" t="n"/>
      <c r="E117" s="14" t="n"/>
      <c r="F117" s="14" t="n"/>
      <c r="G117" s="14" t="n"/>
      <c r="H117" s="15" t="n"/>
      <c r="I117" s="24">
        <f>IF($A117="","",IF($B117="","YETİM",IF(COUNTIF(tblKartlar[KartId],$B117)=0,"YETİM","")))</f>
        <v/>
      </c>
      <c r="J117" s="24">
        <f>IF(OR($A117="",$C117=""),"",IF(OR($C117&amp;"|"&amp;$D117="",COUNTIF(ListeIzinliGecis,$C117&amp;"|"&amp;$D117)&gt;0),"","GEÇERSİZ GEÇİŞ"))</f>
        <v/>
      </c>
      <c r="K117" s="24">
        <f>IF($A117="","",IF(OR($E117="",$G117=""),"",IF(ABS($G117-$E117)&gt;zincirTolerans,"ZİNCİR KIRIK","OK")))</f>
        <v/>
      </c>
      <c r="L117" s="24">
        <f>IF($A117="","",1)</f>
        <v/>
      </c>
    </row>
    <row r="118">
      <c r="A118" s="12" t="n"/>
      <c r="B118" s="12" t="n"/>
      <c r="C118" s="12" t="n"/>
      <c r="D118" s="12" t="n"/>
      <c r="E118" s="14" t="n"/>
      <c r="F118" s="14" t="n"/>
      <c r="G118" s="14" t="n"/>
      <c r="H118" s="15" t="n"/>
      <c r="I118" s="24">
        <f>IF($A118="","",IF($B118="","YETİM",IF(COUNTIF(tblKartlar[KartId],$B118)=0,"YETİM","")))</f>
        <v/>
      </c>
      <c r="J118" s="24">
        <f>IF(OR($A118="",$C118=""),"",IF(OR($C118&amp;"|"&amp;$D118="",COUNTIF(ListeIzinliGecis,$C118&amp;"|"&amp;$D118)&gt;0),"","GEÇERSİZ GEÇİŞ"))</f>
        <v/>
      </c>
      <c r="K118" s="24">
        <f>IF($A118="","",IF(OR($E118="",$G118=""),"",IF(ABS($G118-$E118)&gt;zincirTolerans,"ZİNCİR KIRIK","OK")))</f>
        <v/>
      </c>
      <c r="L118" s="24">
        <f>IF($A118="","",1)</f>
        <v/>
      </c>
    </row>
    <row r="119">
      <c r="A119" s="12" t="n"/>
      <c r="B119" s="12" t="n"/>
      <c r="C119" s="12" t="n"/>
      <c r="D119" s="12" t="n"/>
      <c r="E119" s="14" t="n"/>
      <c r="F119" s="14" t="n"/>
      <c r="G119" s="14" t="n"/>
      <c r="H119" s="15" t="n"/>
      <c r="I119" s="24">
        <f>IF($A119="","",IF($B119="","YETİM",IF(COUNTIF(tblKartlar[KartId],$B119)=0,"YETİM","")))</f>
        <v/>
      </c>
      <c r="J119" s="24">
        <f>IF(OR($A119="",$C119=""),"",IF(OR($C119&amp;"|"&amp;$D119="",COUNTIF(ListeIzinliGecis,$C119&amp;"|"&amp;$D119)&gt;0),"","GEÇERSİZ GEÇİŞ"))</f>
        <v/>
      </c>
      <c r="K119" s="24">
        <f>IF($A119="","",IF(OR($E119="",$G119=""),"",IF(ABS($G119-$E119)&gt;zincirTolerans,"ZİNCİR KIRIK","OK")))</f>
        <v/>
      </c>
      <c r="L119" s="24">
        <f>IF($A119="","",1)</f>
        <v/>
      </c>
    </row>
    <row r="120">
      <c r="A120" s="12" t="n"/>
      <c r="B120" s="12" t="n"/>
      <c r="C120" s="12" t="n"/>
      <c r="D120" s="12" t="n"/>
      <c r="E120" s="14" t="n"/>
      <c r="F120" s="14" t="n"/>
      <c r="G120" s="14" t="n"/>
      <c r="H120" s="15" t="n"/>
      <c r="I120" s="24">
        <f>IF($A120="","",IF($B120="","YETİM",IF(COUNTIF(tblKartlar[KartId],$B120)=0,"YETİM","")))</f>
        <v/>
      </c>
      <c r="J120" s="24">
        <f>IF(OR($A120="",$C120=""),"",IF(OR($C120&amp;"|"&amp;$D120="",COUNTIF(ListeIzinliGecis,$C120&amp;"|"&amp;$D120)&gt;0),"","GEÇERSİZ GEÇİŞ"))</f>
        <v/>
      </c>
      <c r="K120" s="24">
        <f>IF($A120="","",IF(OR($E120="",$G120=""),"",IF(ABS($G120-$E120)&gt;zincirTolerans,"ZİNCİR KIRIK","OK")))</f>
        <v/>
      </c>
      <c r="L120" s="24">
        <f>IF($A120="","",1)</f>
        <v/>
      </c>
    </row>
    <row r="121">
      <c r="A121" s="12" t="n"/>
      <c r="B121" s="12" t="n"/>
      <c r="C121" s="12" t="n"/>
      <c r="D121" s="12" t="n"/>
      <c r="E121" s="14" t="n"/>
      <c r="F121" s="14" t="n"/>
      <c r="G121" s="14" t="n"/>
      <c r="H121" s="15" t="n"/>
      <c r="I121" s="24">
        <f>IF($A121="","",IF($B121="","YETİM",IF(COUNTIF(tblKartlar[KartId],$B121)=0,"YETİM","")))</f>
        <v/>
      </c>
      <c r="J121" s="24">
        <f>IF(OR($A121="",$C121=""),"",IF(OR($C121&amp;"|"&amp;$D121="",COUNTIF(ListeIzinliGecis,$C121&amp;"|"&amp;$D121)&gt;0),"","GEÇERSİZ GEÇİŞ"))</f>
        <v/>
      </c>
      <c r="K121" s="24">
        <f>IF($A121="","",IF(OR($E121="",$G121=""),"",IF(ABS($G121-$E121)&gt;zincirTolerans,"ZİNCİR KIRIK","OK")))</f>
        <v/>
      </c>
      <c r="L121" s="24">
        <f>IF($A121="","",1)</f>
        <v/>
      </c>
    </row>
    <row r="122">
      <c r="A122" s="12" t="n"/>
      <c r="B122" s="12" t="n"/>
      <c r="C122" s="12" t="n"/>
      <c r="D122" s="12" t="n"/>
      <c r="E122" s="14" t="n"/>
      <c r="F122" s="14" t="n"/>
      <c r="G122" s="14" t="n"/>
      <c r="H122" s="15" t="n"/>
      <c r="I122" s="24">
        <f>IF($A122="","",IF($B122="","YETİM",IF(COUNTIF(tblKartlar[KartId],$B122)=0,"YETİM","")))</f>
        <v/>
      </c>
      <c r="J122" s="24">
        <f>IF(OR($A122="",$C122=""),"",IF(OR($C122&amp;"|"&amp;$D122="",COUNTIF(ListeIzinliGecis,$C122&amp;"|"&amp;$D122)&gt;0),"","GEÇERSİZ GEÇİŞ"))</f>
        <v/>
      </c>
      <c r="K122" s="24">
        <f>IF($A122="","",IF(OR($E122="",$G122=""),"",IF(ABS($G122-$E122)&gt;zincirTolerans,"ZİNCİR KIRIK","OK")))</f>
        <v/>
      </c>
      <c r="L122" s="24">
        <f>IF($A122="","",1)</f>
        <v/>
      </c>
    </row>
    <row r="123">
      <c r="A123" s="12" t="n"/>
      <c r="B123" s="12" t="n"/>
      <c r="C123" s="12" t="n"/>
      <c r="D123" s="12" t="n"/>
      <c r="E123" s="14" t="n"/>
      <c r="F123" s="14" t="n"/>
      <c r="G123" s="14" t="n"/>
      <c r="H123" s="15" t="n"/>
      <c r="I123" s="24">
        <f>IF($A123="","",IF($B123="","YETİM",IF(COUNTIF(tblKartlar[KartId],$B123)=0,"YETİM","")))</f>
        <v/>
      </c>
      <c r="J123" s="24">
        <f>IF(OR($A123="",$C123=""),"",IF(OR($C123&amp;"|"&amp;$D123="",COUNTIF(ListeIzinliGecis,$C123&amp;"|"&amp;$D123)&gt;0),"","GEÇERSİZ GEÇİŞ"))</f>
        <v/>
      </c>
      <c r="K123" s="24">
        <f>IF($A123="","",IF(OR($E123="",$G123=""),"",IF(ABS($G123-$E123)&gt;zincirTolerans,"ZİNCİR KIRIK","OK")))</f>
        <v/>
      </c>
      <c r="L123" s="24">
        <f>IF($A123="","",1)</f>
        <v/>
      </c>
    </row>
    <row r="124">
      <c r="A124" s="12" t="n"/>
      <c r="B124" s="12" t="n"/>
      <c r="C124" s="12" t="n"/>
      <c r="D124" s="12" t="n"/>
      <c r="E124" s="14" t="n"/>
      <c r="F124" s="14" t="n"/>
      <c r="G124" s="14" t="n"/>
      <c r="H124" s="15" t="n"/>
      <c r="I124" s="24">
        <f>IF($A124="","",IF($B124="","YETİM",IF(COUNTIF(tblKartlar[KartId],$B124)=0,"YETİM","")))</f>
        <v/>
      </c>
      <c r="J124" s="24">
        <f>IF(OR($A124="",$C124=""),"",IF(OR($C124&amp;"|"&amp;$D124="",COUNTIF(ListeIzinliGecis,$C124&amp;"|"&amp;$D124)&gt;0),"","GEÇERSİZ GEÇİŞ"))</f>
        <v/>
      </c>
      <c r="K124" s="24">
        <f>IF($A124="","",IF(OR($E124="",$G124=""),"",IF(ABS($G124-$E124)&gt;zincirTolerans,"ZİNCİR KIRIK","OK")))</f>
        <v/>
      </c>
      <c r="L124" s="24">
        <f>IF($A124="","",1)</f>
        <v/>
      </c>
    </row>
    <row r="125">
      <c r="A125" s="12" t="n"/>
      <c r="B125" s="12" t="n"/>
      <c r="C125" s="12" t="n"/>
      <c r="D125" s="12" t="n"/>
      <c r="E125" s="14" t="n"/>
      <c r="F125" s="14" t="n"/>
      <c r="G125" s="14" t="n"/>
      <c r="H125" s="15" t="n"/>
      <c r="I125" s="24">
        <f>IF($A125="","",IF($B125="","YETİM",IF(COUNTIF(tblKartlar[KartId],$B125)=0,"YETİM","")))</f>
        <v/>
      </c>
      <c r="J125" s="24">
        <f>IF(OR($A125="",$C125=""),"",IF(OR($C125&amp;"|"&amp;$D125="",COUNTIF(ListeIzinliGecis,$C125&amp;"|"&amp;$D125)&gt;0),"","GEÇERSİZ GEÇİŞ"))</f>
        <v/>
      </c>
      <c r="K125" s="24">
        <f>IF($A125="","",IF(OR($E125="",$G125=""),"",IF(ABS($G125-$E125)&gt;zincirTolerans,"ZİNCİR KIRIK","OK")))</f>
        <v/>
      </c>
      <c r="L125" s="24">
        <f>IF($A125="","",1)</f>
        <v/>
      </c>
    </row>
    <row r="126">
      <c r="A126" s="12" t="n"/>
      <c r="B126" s="12" t="n"/>
      <c r="C126" s="12" t="n"/>
      <c r="D126" s="12" t="n"/>
      <c r="E126" s="14" t="n"/>
      <c r="F126" s="14" t="n"/>
      <c r="G126" s="14" t="n"/>
      <c r="H126" s="15" t="n"/>
      <c r="I126" s="24">
        <f>IF($A126="","",IF($B126="","YETİM",IF(COUNTIF(tblKartlar[KartId],$B126)=0,"YETİM","")))</f>
        <v/>
      </c>
      <c r="J126" s="24">
        <f>IF(OR($A126="",$C126=""),"",IF(OR($C126&amp;"|"&amp;$D126="",COUNTIF(ListeIzinliGecis,$C126&amp;"|"&amp;$D126)&gt;0),"","GEÇERSİZ GEÇİŞ"))</f>
        <v/>
      </c>
      <c r="K126" s="24">
        <f>IF($A126="","",IF(OR($E126="",$G126=""),"",IF(ABS($G126-$E126)&gt;zincirTolerans,"ZİNCİR KIRIK","OK")))</f>
        <v/>
      </c>
      <c r="L126" s="24">
        <f>IF($A126="","",1)</f>
        <v/>
      </c>
    </row>
    <row r="127">
      <c r="A127" s="12" t="n"/>
      <c r="B127" s="12" t="n"/>
      <c r="C127" s="12" t="n"/>
      <c r="D127" s="12" t="n"/>
      <c r="E127" s="14" t="n"/>
      <c r="F127" s="14" t="n"/>
      <c r="G127" s="14" t="n"/>
      <c r="H127" s="15" t="n"/>
      <c r="I127" s="24">
        <f>IF($A127="","",IF($B127="","YETİM",IF(COUNTIF(tblKartlar[KartId],$B127)=0,"YETİM","")))</f>
        <v/>
      </c>
      <c r="J127" s="24">
        <f>IF(OR($A127="",$C127=""),"",IF(OR($C127&amp;"|"&amp;$D127="",COUNTIF(ListeIzinliGecis,$C127&amp;"|"&amp;$D127)&gt;0),"","GEÇERSİZ GEÇİŞ"))</f>
        <v/>
      </c>
      <c r="K127" s="24">
        <f>IF($A127="","",IF(OR($E127="",$G127=""),"",IF(ABS($G127-$E127)&gt;zincirTolerans,"ZİNCİR KIRIK","OK")))</f>
        <v/>
      </c>
      <c r="L127" s="24">
        <f>IF($A127="","",1)</f>
        <v/>
      </c>
    </row>
    <row r="128">
      <c r="A128" s="12" t="n"/>
      <c r="B128" s="12" t="n"/>
      <c r="C128" s="12" t="n"/>
      <c r="D128" s="12" t="n"/>
      <c r="E128" s="14" t="n"/>
      <c r="F128" s="14" t="n"/>
      <c r="G128" s="14" t="n"/>
      <c r="H128" s="15" t="n"/>
      <c r="I128" s="24">
        <f>IF($A128="","",IF($B128="","YETİM",IF(COUNTIF(tblKartlar[KartId],$B128)=0,"YETİM","")))</f>
        <v/>
      </c>
      <c r="J128" s="24">
        <f>IF(OR($A128="",$C128=""),"",IF(OR($C128&amp;"|"&amp;$D128="",COUNTIF(ListeIzinliGecis,$C128&amp;"|"&amp;$D128)&gt;0),"","GEÇERSİZ GEÇİŞ"))</f>
        <v/>
      </c>
      <c r="K128" s="24">
        <f>IF($A128="","",IF(OR($E128="",$G128=""),"",IF(ABS($G128-$E128)&gt;zincirTolerans,"ZİNCİR KIRIK","OK")))</f>
        <v/>
      </c>
      <c r="L128" s="24">
        <f>IF($A128="","",1)</f>
        <v/>
      </c>
    </row>
    <row r="129">
      <c r="A129" s="12" t="n"/>
      <c r="B129" s="12" t="n"/>
      <c r="C129" s="12" t="n"/>
      <c r="D129" s="12" t="n"/>
      <c r="E129" s="14" t="n"/>
      <c r="F129" s="14" t="n"/>
      <c r="G129" s="14" t="n"/>
      <c r="H129" s="15" t="n"/>
      <c r="I129" s="24">
        <f>IF($A129="","",IF($B129="","YETİM",IF(COUNTIF(tblKartlar[KartId],$B129)=0,"YETİM","")))</f>
        <v/>
      </c>
      <c r="J129" s="24">
        <f>IF(OR($A129="",$C129=""),"",IF(OR($C129&amp;"|"&amp;$D129="",COUNTIF(ListeIzinliGecis,$C129&amp;"|"&amp;$D129)&gt;0),"","GEÇERSİZ GEÇİŞ"))</f>
        <v/>
      </c>
      <c r="K129" s="24">
        <f>IF($A129="","",IF(OR($E129="",$G129=""),"",IF(ABS($G129-$E129)&gt;zincirTolerans,"ZİNCİR KIRIK","OK")))</f>
        <v/>
      </c>
      <c r="L129" s="24">
        <f>IF($A129="","",1)</f>
        <v/>
      </c>
    </row>
    <row r="130">
      <c r="A130" s="12" t="n"/>
      <c r="B130" s="12" t="n"/>
      <c r="C130" s="12" t="n"/>
      <c r="D130" s="12" t="n"/>
      <c r="E130" s="14" t="n"/>
      <c r="F130" s="14" t="n"/>
      <c r="G130" s="14" t="n"/>
      <c r="H130" s="15" t="n"/>
      <c r="I130" s="24">
        <f>IF($A130="","",IF($B130="","YETİM",IF(COUNTIF(tblKartlar[KartId],$B130)=0,"YETİM","")))</f>
        <v/>
      </c>
      <c r="J130" s="24">
        <f>IF(OR($A130="",$C130=""),"",IF(OR($C130&amp;"|"&amp;$D130="",COUNTIF(ListeIzinliGecis,$C130&amp;"|"&amp;$D130)&gt;0),"","GEÇERSİZ GEÇİŞ"))</f>
        <v/>
      </c>
      <c r="K130" s="24">
        <f>IF($A130="","",IF(OR($E130="",$G130=""),"",IF(ABS($G130-$E130)&gt;zincirTolerans,"ZİNCİR KIRIK","OK")))</f>
        <v/>
      </c>
      <c r="L130" s="24">
        <f>IF($A130="","",1)</f>
        <v/>
      </c>
    </row>
    <row r="131">
      <c r="A131" s="12" t="n"/>
      <c r="B131" s="12" t="n"/>
      <c r="C131" s="12" t="n"/>
      <c r="D131" s="12" t="n"/>
      <c r="E131" s="14" t="n"/>
      <c r="F131" s="14" t="n"/>
      <c r="G131" s="14" t="n"/>
      <c r="H131" s="15" t="n"/>
      <c r="I131" s="24">
        <f>IF($A131="","",IF($B131="","YETİM",IF(COUNTIF(tblKartlar[KartId],$B131)=0,"YETİM","")))</f>
        <v/>
      </c>
      <c r="J131" s="24">
        <f>IF(OR($A131="",$C131=""),"",IF(OR($C131&amp;"|"&amp;$D131="",COUNTIF(ListeIzinliGecis,$C131&amp;"|"&amp;$D131)&gt;0),"","GEÇERSİZ GEÇİŞ"))</f>
        <v/>
      </c>
      <c r="K131" s="24">
        <f>IF($A131="","",IF(OR($E131="",$G131=""),"",IF(ABS($G131-$E131)&gt;zincirTolerans,"ZİNCİR KIRIK","OK")))</f>
        <v/>
      </c>
      <c r="L131" s="24">
        <f>IF($A131="","",1)</f>
        <v/>
      </c>
    </row>
    <row r="132">
      <c r="A132" s="12" t="n"/>
      <c r="B132" s="12" t="n"/>
      <c r="C132" s="12" t="n"/>
      <c r="D132" s="12" t="n"/>
      <c r="E132" s="14" t="n"/>
      <c r="F132" s="14" t="n"/>
      <c r="G132" s="14" t="n"/>
      <c r="H132" s="15" t="n"/>
      <c r="I132" s="24">
        <f>IF($A132="","",IF($B132="","YETİM",IF(COUNTIF(tblKartlar[KartId],$B132)=0,"YETİM","")))</f>
        <v/>
      </c>
      <c r="J132" s="24">
        <f>IF(OR($A132="",$C132=""),"",IF(OR($C132&amp;"|"&amp;$D132="",COUNTIF(ListeIzinliGecis,$C132&amp;"|"&amp;$D132)&gt;0),"","GEÇERSİZ GEÇİŞ"))</f>
        <v/>
      </c>
      <c r="K132" s="24">
        <f>IF($A132="","",IF(OR($E132="",$G132=""),"",IF(ABS($G132-$E132)&gt;zincirTolerans,"ZİNCİR KIRIK","OK")))</f>
        <v/>
      </c>
      <c r="L132" s="24">
        <f>IF($A132="","",1)</f>
        <v/>
      </c>
    </row>
    <row r="133">
      <c r="A133" s="12" t="n"/>
      <c r="B133" s="12" t="n"/>
      <c r="C133" s="12" t="n"/>
      <c r="D133" s="12" t="n"/>
      <c r="E133" s="14" t="n"/>
      <c r="F133" s="14" t="n"/>
      <c r="G133" s="14" t="n"/>
      <c r="H133" s="15" t="n"/>
      <c r="I133" s="24">
        <f>IF($A133="","",IF($B133="","YETİM",IF(COUNTIF(tblKartlar[KartId],$B133)=0,"YETİM","")))</f>
        <v/>
      </c>
      <c r="J133" s="24">
        <f>IF(OR($A133="",$C133=""),"",IF(OR($C133&amp;"|"&amp;$D133="",COUNTIF(ListeIzinliGecis,$C133&amp;"|"&amp;$D133)&gt;0),"","GEÇERSİZ GEÇİŞ"))</f>
        <v/>
      </c>
      <c r="K133" s="24">
        <f>IF($A133="","",IF(OR($E133="",$G133=""),"",IF(ABS($G133-$E133)&gt;zincirTolerans,"ZİNCİR KIRIK","OK")))</f>
        <v/>
      </c>
      <c r="L133" s="24">
        <f>IF($A133="","",1)</f>
        <v/>
      </c>
    </row>
    <row r="134">
      <c r="A134" s="12" t="n"/>
      <c r="B134" s="12" t="n"/>
      <c r="C134" s="12" t="n"/>
      <c r="D134" s="12" t="n"/>
      <c r="E134" s="14" t="n"/>
      <c r="F134" s="14" t="n"/>
      <c r="G134" s="14" t="n"/>
      <c r="H134" s="15" t="n"/>
      <c r="I134" s="24">
        <f>IF($A134="","",IF($B134="","YETİM",IF(COUNTIF(tblKartlar[KartId],$B134)=0,"YETİM","")))</f>
        <v/>
      </c>
      <c r="J134" s="24">
        <f>IF(OR($A134="",$C134=""),"",IF(OR($C134&amp;"|"&amp;$D134="",COUNTIF(ListeIzinliGecis,$C134&amp;"|"&amp;$D134)&gt;0),"","GEÇERSİZ GEÇİŞ"))</f>
        <v/>
      </c>
      <c r="K134" s="24">
        <f>IF($A134="","",IF(OR($E134="",$G134=""),"",IF(ABS($G134-$E134)&gt;zincirTolerans,"ZİNCİR KIRIK","OK")))</f>
        <v/>
      </c>
      <c r="L134" s="24">
        <f>IF($A134="","",1)</f>
        <v/>
      </c>
    </row>
    <row r="135">
      <c r="A135" s="12" t="n"/>
      <c r="B135" s="12" t="n"/>
      <c r="C135" s="12" t="n"/>
      <c r="D135" s="12" t="n"/>
      <c r="E135" s="14" t="n"/>
      <c r="F135" s="14" t="n"/>
      <c r="G135" s="14" t="n"/>
      <c r="H135" s="15" t="n"/>
      <c r="I135" s="24">
        <f>IF($A135="","",IF($B135="","YETİM",IF(COUNTIF(tblKartlar[KartId],$B135)=0,"YETİM","")))</f>
        <v/>
      </c>
      <c r="J135" s="24">
        <f>IF(OR($A135="",$C135=""),"",IF(OR($C135&amp;"|"&amp;$D135="",COUNTIF(ListeIzinliGecis,$C135&amp;"|"&amp;$D135)&gt;0),"","GEÇERSİZ GEÇİŞ"))</f>
        <v/>
      </c>
      <c r="K135" s="24">
        <f>IF($A135="","",IF(OR($E135="",$G135=""),"",IF(ABS($G135-$E135)&gt;zincirTolerans,"ZİNCİR KIRIK","OK")))</f>
        <v/>
      </c>
      <c r="L135" s="24">
        <f>IF($A135="","",1)</f>
        <v/>
      </c>
    </row>
    <row r="136">
      <c r="A136" s="12" t="n"/>
      <c r="B136" s="12" t="n"/>
      <c r="C136" s="12" t="n"/>
      <c r="D136" s="12" t="n"/>
      <c r="E136" s="14" t="n"/>
      <c r="F136" s="14" t="n"/>
      <c r="G136" s="14" t="n"/>
      <c r="H136" s="15" t="n"/>
      <c r="I136" s="24">
        <f>IF($A136="","",IF($B136="","YETİM",IF(COUNTIF(tblKartlar[KartId],$B136)=0,"YETİM","")))</f>
        <v/>
      </c>
      <c r="J136" s="24">
        <f>IF(OR($A136="",$C136=""),"",IF(OR($C136&amp;"|"&amp;$D136="",COUNTIF(ListeIzinliGecis,$C136&amp;"|"&amp;$D136)&gt;0),"","GEÇERSİZ GEÇİŞ"))</f>
        <v/>
      </c>
      <c r="K136" s="24">
        <f>IF($A136="","",IF(OR($E136="",$G136=""),"",IF(ABS($G136-$E136)&gt;zincirTolerans,"ZİNCİR KIRIK","OK")))</f>
        <v/>
      </c>
      <c r="L136" s="24">
        <f>IF($A136="","",1)</f>
        <v/>
      </c>
    </row>
    <row r="137">
      <c r="A137" s="12" t="n"/>
      <c r="B137" s="12" t="n"/>
      <c r="C137" s="12" t="n"/>
      <c r="D137" s="12" t="n"/>
      <c r="E137" s="14" t="n"/>
      <c r="F137" s="14" t="n"/>
      <c r="G137" s="14" t="n"/>
      <c r="H137" s="15" t="n"/>
      <c r="I137" s="24">
        <f>IF($A137="","",IF($B137="","YETİM",IF(COUNTIF(tblKartlar[KartId],$B137)=0,"YETİM","")))</f>
        <v/>
      </c>
      <c r="J137" s="24">
        <f>IF(OR($A137="",$C137=""),"",IF(OR($C137&amp;"|"&amp;$D137="",COUNTIF(ListeIzinliGecis,$C137&amp;"|"&amp;$D137)&gt;0),"","GEÇERSİZ GEÇİŞ"))</f>
        <v/>
      </c>
      <c r="K137" s="24">
        <f>IF($A137="","",IF(OR($E137="",$G137=""),"",IF(ABS($G137-$E137)&gt;zincirTolerans,"ZİNCİR KIRIK","OK")))</f>
        <v/>
      </c>
      <c r="L137" s="24">
        <f>IF($A137="","",1)</f>
        <v/>
      </c>
    </row>
    <row r="138">
      <c r="A138" s="12" t="n"/>
      <c r="B138" s="12" t="n"/>
      <c r="C138" s="12" t="n"/>
      <c r="D138" s="12" t="n"/>
      <c r="E138" s="14" t="n"/>
      <c r="F138" s="14" t="n"/>
      <c r="G138" s="14" t="n"/>
      <c r="H138" s="15" t="n"/>
      <c r="I138" s="24">
        <f>IF($A138="","",IF($B138="","YETİM",IF(COUNTIF(tblKartlar[KartId],$B138)=0,"YETİM","")))</f>
        <v/>
      </c>
      <c r="J138" s="24">
        <f>IF(OR($A138="",$C138=""),"",IF(OR($C138&amp;"|"&amp;$D138="",COUNTIF(ListeIzinliGecis,$C138&amp;"|"&amp;$D138)&gt;0),"","GEÇERSİZ GEÇİŞ"))</f>
        <v/>
      </c>
      <c r="K138" s="24">
        <f>IF($A138="","",IF(OR($E138="",$G138=""),"",IF(ABS($G138-$E138)&gt;zincirTolerans,"ZİNCİR KIRIK","OK")))</f>
        <v/>
      </c>
      <c r="L138" s="24">
        <f>IF($A138="","",1)</f>
        <v/>
      </c>
    </row>
    <row r="139">
      <c r="A139" s="12" t="n"/>
      <c r="B139" s="12" t="n"/>
      <c r="C139" s="12" t="n"/>
      <c r="D139" s="12" t="n"/>
      <c r="E139" s="14" t="n"/>
      <c r="F139" s="14" t="n"/>
      <c r="G139" s="14" t="n"/>
      <c r="H139" s="15" t="n"/>
      <c r="I139" s="24">
        <f>IF($A139="","",IF($B139="","YETİM",IF(COUNTIF(tblKartlar[KartId],$B139)=0,"YETİM","")))</f>
        <v/>
      </c>
      <c r="J139" s="24">
        <f>IF(OR($A139="",$C139=""),"",IF(OR($C139&amp;"|"&amp;$D139="",COUNTIF(ListeIzinliGecis,$C139&amp;"|"&amp;$D139)&gt;0),"","GEÇERSİZ GEÇİŞ"))</f>
        <v/>
      </c>
      <c r="K139" s="24">
        <f>IF($A139="","",IF(OR($E139="",$G139=""),"",IF(ABS($G139-$E139)&gt;zincirTolerans,"ZİNCİR KIRIK","OK")))</f>
        <v/>
      </c>
      <c r="L139" s="24">
        <f>IF($A139="","",1)</f>
        <v/>
      </c>
    </row>
    <row r="140">
      <c r="A140" s="12" t="n"/>
      <c r="B140" s="12" t="n"/>
      <c r="C140" s="12" t="n"/>
      <c r="D140" s="12" t="n"/>
      <c r="E140" s="14" t="n"/>
      <c r="F140" s="14" t="n"/>
      <c r="G140" s="14" t="n"/>
      <c r="H140" s="15" t="n"/>
      <c r="I140" s="24">
        <f>IF($A140="","",IF($B140="","YETİM",IF(COUNTIF(tblKartlar[KartId],$B140)=0,"YETİM","")))</f>
        <v/>
      </c>
      <c r="J140" s="24">
        <f>IF(OR($A140="",$C140=""),"",IF(OR($C140&amp;"|"&amp;$D140="",COUNTIF(ListeIzinliGecis,$C140&amp;"|"&amp;$D140)&gt;0),"","GEÇERSİZ GEÇİŞ"))</f>
        <v/>
      </c>
      <c r="K140" s="24">
        <f>IF($A140="","",IF(OR($E140="",$G140=""),"",IF(ABS($G140-$E140)&gt;zincirTolerans,"ZİNCİR KIRIK","OK")))</f>
        <v/>
      </c>
      <c r="L140" s="24">
        <f>IF($A140="","",1)</f>
        <v/>
      </c>
    </row>
    <row r="141">
      <c r="A141" s="12" t="n"/>
      <c r="B141" s="12" t="n"/>
      <c r="C141" s="12" t="n"/>
      <c r="D141" s="12" t="n"/>
      <c r="E141" s="14" t="n"/>
      <c r="F141" s="14" t="n"/>
      <c r="G141" s="14" t="n"/>
      <c r="H141" s="15" t="n"/>
      <c r="I141" s="24">
        <f>IF($A141="","",IF($B141="","YETİM",IF(COUNTIF(tblKartlar[KartId],$B141)=0,"YETİM","")))</f>
        <v/>
      </c>
      <c r="J141" s="24">
        <f>IF(OR($A141="",$C141=""),"",IF(OR($C141&amp;"|"&amp;$D141="",COUNTIF(ListeIzinliGecis,$C141&amp;"|"&amp;$D141)&gt;0),"","GEÇERSİZ GEÇİŞ"))</f>
        <v/>
      </c>
      <c r="K141" s="24">
        <f>IF($A141="","",IF(OR($E141="",$G141=""),"",IF(ABS($G141-$E141)&gt;zincirTolerans,"ZİNCİR KIRIK","OK")))</f>
        <v/>
      </c>
      <c r="L141" s="24">
        <f>IF($A141="","",1)</f>
        <v/>
      </c>
    </row>
    <row r="142">
      <c r="A142" s="12" t="n"/>
      <c r="B142" s="12" t="n"/>
      <c r="C142" s="12" t="n"/>
      <c r="D142" s="12" t="n"/>
      <c r="E142" s="14" t="n"/>
      <c r="F142" s="14" t="n"/>
      <c r="G142" s="14" t="n"/>
      <c r="H142" s="15" t="n"/>
      <c r="I142" s="24">
        <f>IF($A142="","",IF($B142="","YETİM",IF(COUNTIF(tblKartlar[KartId],$B142)=0,"YETİM","")))</f>
        <v/>
      </c>
      <c r="J142" s="24">
        <f>IF(OR($A142="",$C142=""),"",IF(OR($C142&amp;"|"&amp;$D142="",COUNTIF(ListeIzinliGecis,$C142&amp;"|"&amp;$D142)&gt;0),"","GEÇERSİZ GEÇİŞ"))</f>
        <v/>
      </c>
      <c r="K142" s="24">
        <f>IF($A142="","",IF(OR($E142="",$G142=""),"",IF(ABS($G142-$E142)&gt;zincirTolerans,"ZİNCİR KIRIK","OK")))</f>
        <v/>
      </c>
      <c r="L142" s="24">
        <f>IF($A142="","",1)</f>
        <v/>
      </c>
    </row>
    <row r="143">
      <c r="A143" s="12" t="n"/>
      <c r="B143" s="12" t="n"/>
      <c r="C143" s="12" t="n"/>
      <c r="D143" s="12" t="n"/>
      <c r="E143" s="14" t="n"/>
      <c r="F143" s="14" t="n"/>
      <c r="G143" s="14" t="n"/>
      <c r="H143" s="15" t="n"/>
      <c r="I143" s="24">
        <f>IF($A143="","",IF($B143="","YETİM",IF(COUNTIF(tblKartlar[KartId],$B143)=0,"YETİM","")))</f>
        <v/>
      </c>
      <c r="J143" s="24">
        <f>IF(OR($A143="",$C143=""),"",IF(OR($C143&amp;"|"&amp;$D143="",COUNTIF(ListeIzinliGecis,$C143&amp;"|"&amp;$D143)&gt;0),"","GEÇERSİZ GEÇİŞ"))</f>
        <v/>
      </c>
      <c r="K143" s="24">
        <f>IF($A143="","",IF(OR($E143="",$G143=""),"",IF(ABS($G143-$E143)&gt;zincirTolerans,"ZİNCİR KIRIK","OK")))</f>
        <v/>
      </c>
      <c r="L143" s="24">
        <f>IF($A143="","",1)</f>
        <v/>
      </c>
    </row>
    <row r="144">
      <c r="A144" s="12" t="n"/>
      <c r="B144" s="12" t="n"/>
      <c r="C144" s="12" t="n"/>
      <c r="D144" s="12" t="n"/>
      <c r="E144" s="14" t="n"/>
      <c r="F144" s="14" t="n"/>
      <c r="G144" s="14" t="n"/>
      <c r="H144" s="15" t="n"/>
      <c r="I144" s="24">
        <f>IF($A144="","",IF($B144="","YETİM",IF(COUNTIF(tblKartlar[KartId],$B144)=0,"YETİM","")))</f>
        <v/>
      </c>
      <c r="J144" s="24">
        <f>IF(OR($A144="",$C144=""),"",IF(OR($C144&amp;"|"&amp;$D144="",COUNTIF(ListeIzinliGecis,$C144&amp;"|"&amp;$D144)&gt;0),"","GEÇERSİZ GEÇİŞ"))</f>
        <v/>
      </c>
      <c r="K144" s="24">
        <f>IF($A144="","",IF(OR($E144="",$G144=""),"",IF(ABS($G144-$E144)&gt;zincirTolerans,"ZİNCİR KIRIK","OK")))</f>
        <v/>
      </c>
      <c r="L144" s="24">
        <f>IF($A144="","",1)</f>
        <v/>
      </c>
    </row>
    <row r="145">
      <c r="A145" s="12" t="n"/>
      <c r="B145" s="12" t="n"/>
      <c r="C145" s="12" t="n"/>
      <c r="D145" s="12" t="n"/>
      <c r="E145" s="14" t="n"/>
      <c r="F145" s="14" t="n"/>
      <c r="G145" s="14" t="n"/>
      <c r="H145" s="15" t="n"/>
      <c r="I145" s="24">
        <f>IF($A145="","",IF($B145="","YETİM",IF(COUNTIF(tblKartlar[KartId],$B145)=0,"YETİM","")))</f>
        <v/>
      </c>
      <c r="J145" s="24">
        <f>IF(OR($A145="",$C145=""),"",IF(OR($C145&amp;"|"&amp;$D145="",COUNTIF(ListeIzinliGecis,$C145&amp;"|"&amp;$D145)&gt;0),"","GEÇERSİZ GEÇİŞ"))</f>
        <v/>
      </c>
      <c r="K145" s="24">
        <f>IF($A145="","",IF(OR($E145="",$G145=""),"",IF(ABS($G145-$E145)&gt;zincirTolerans,"ZİNCİR KIRIK","OK")))</f>
        <v/>
      </c>
      <c r="L145" s="24">
        <f>IF($A145="","",1)</f>
        <v/>
      </c>
    </row>
    <row r="146">
      <c r="A146" s="12" t="n"/>
      <c r="B146" s="12" t="n"/>
      <c r="C146" s="12" t="n"/>
      <c r="D146" s="12" t="n"/>
      <c r="E146" s="14" t="n"/>
      <c r="F146" s="14" t="n"/>
      <c r="G146" s="14" t="n"/>
      <c r="H146" s="15" t="n"/>
      <c r="I146" s="24">
        <f>IF($A146="","",IF($B146="","YETİM",IF(COUNTIF(tblKartlar[KartId],$B146)=0,"YETİM","")))</f>
        <v/>
      </c>
      <c r="J146" s="24">
        <f>IF(OR($A146="",$C146=""),"",IF(OR($C146&amp;"|"&amp;$D146="",COUNTIF(ListeIzinliGecis,$C146&amp;"|"&amp;$D146)&gt;0),"","GEÇERSİZ GEÇİŞ"))</f>
        <v/>
      </c>
      <c r="K146" s="24">
        <f>IF($A146="","",IF(OR($E146="",$G146=""),"",IF(ABS($G146-$E146)&gt;zincirTolerans,"ZİNCİR KIRIK","OK")))</f>
        <v/>
      </c>
      <c r="L146" s="24">
        <f>IF($A146="","",1)</f>
        <v/>
      </c>
    </row>
    <row r="147">
      <c r="A147" s="12" t="n"/>
      <c r="B147" s="12" t="n"/>
      <c r="C147" s="12" t="n"/>
      <c r="D147" s="12" t="n"/>
      <c r="E147" s="14" t="n"/>
      <c r="F147" s="14" t="n"/>
      <c r="G147" s="14" t="n"/>
      <c r="H147" s="15" t="n"/>
      <c r="I147" s="24">
        <f>IF($A147="","",IF($B147="","YETİM",IF(COUNTIF(tblKartlar[KartId],$B147)=0,"YETİM","")))</f>
        <v/>
      </c>
      <c r="J147" s="24">
        <f>IF(OR($A147="",$C147=""),"",IF(OR($C147&amp;"|"&amp;$D147="",COUNTIF(ListeIzinliGecis,$C147&amp;"|"&amp;$D147)&gt;0),"","GEÇERSİZ GEÇİŞ"))</f>
        <v/>
      </c>
      <c r="K147" s="24">
        <f>IF($A147="","",IF(OR($E147="",$G147=""),"",IF(ABS($G147-$E147)&gt;zincirTolerans,"ZİNCİR KIRIK","OK")))</f>
        <v/>
      </c>
      <c r="L147" s="24">
        <f>IF($A147="","",1)</f>
        <v/>
      </c>
    </row>
    <row r="148">
      <c r="A148" s="12" t="n"/>
      <c r="B148" s="12" t="n"/>
      <c r="C148" s="12" t="n"/>
      <c r="D148" s="12" t="n"/>
      <c r="E148" s="14" t="n"/>
      <c r="F148" s="14" t="n"/>
      <c r="G148" s="14" t="n"/>
      <c r="H148" s="15" t="n"/>
      <c r="I148" s="24">
        <f>IF($A148="","",IF($B148="","YETİM",IF(COUNTIF(tblKartlar[KartId],$B148)=0,"YETİM","")))</f>
        <v/>
      </c>
      <c r="J148" s="24">
        <f>IF(OR($A148="",$C148=""),"",IF(OR($C148&amp;"|"&amp;$D148="",COUNTIF(ListeIzinliGecis,$C148&amp;"|"&amp;$D148)&gt;0),"","GEÇERSİZ GEÇİŞ"))</f>
        <v/>
      </c>
      <c r="K148" s="24">
        <f>IF($A148="","",IF(OR($E148="",$G148=""),"",IF(ABS($G148-$E148)&gt;zincirTolerans,"ZİNCİR KIRIK","OK")))</f>
        <v/>
      </c>
      <c r="L148" s="24">
        <f>IF($A148="","",1)</f>
        <v/>
      </c>
    </row>
    <row r="149">
      <c r="A149" s="12" t="n"/>
      <c r="B149" s="12" t="n"/>
      <c r="C149" s="12" t="n"/>
      <c r="D149" s="12" t="n"/>
      <c r="E149" s="14" t="n"/>
      <c r="F149" s="14" t="n"/>
      <c r="G149" s="14" t="n"/>
      <c r="H149" s="15" t="n"/>
      <c r="I149" s="24">
        <f>IF($A149="","",IF($B149="","YETİM",IF(COUNTIF(tblKartlar[KartId],$B149)=0,"YETİM","")))</f>
        <v/>
      </c>
      <c r="J149" s="24">
        <f>IF(OR($A149="",$C149=""),"",IF(OR($C149&amp;"|"&amp;$D149="",COUNTIF(ListeIzinliGecis,$C149&amp;"|"&amp;$D149)&gt;0),"","GEÇERSİZ GEÇİŞ"))</f>
        <v/>
      </c>
      <c r="K149" s="24">
        <f>IF($A149="","",IF(OR($E149="",$G149=""),"",IF(ABS($G149-$E149)&gt;zincirTolerans,"ZİNCİR KIRIK","OK")))</f>
        <v/>
      </c>
      <c r="L149" s="24">
        <f>IF($A149="","",1)</f>
        <v/>
      </c>
    </row>
    <row r="150">
      <c r="A150" s="12" t="n"/>
      <c r="B150" s="12" t="n"/>
      <c r="C150" s="12" t="n"/>
      <c r="D150" s="12" t="n"/>
      <c r="E150" s="14" t="n"/>
      <c r="F150" s="14" t="n"/>
      <c r="G150" s="14" t="n"/>
      <c r="H150" s="15" t="n"/>
      <c r="I150" s="24">
        <f>IF($A150="","",IF($B150="","YETİM",IF(COUNTIF(tblKartlar[KartId],$B150)=0,"YETİM","")))</f>
        <v/>
      </c>
      <c r="J150" s="24">
        <f>IF(OR($A150="",$C150=""),"",IF(OR($C150&amp;"|"&amp;$D150="",COUNTIF(ListeIzinliGecis,$C150&amp;"|"&amp;$D150)&gt;0),"","GEÇERSİZ GEÇİŞ"))</f>
        <v/>
      </c>
      <c r="K150" s="24">
        <f>IF($A150="","",IF(OR($E150="",$G150=""),"",IF(ABS($G150-$E150)&gt;zincirTolerans,"ZİNCİR KIRIK","OK")))</f>
        <v/>
      </c>
      <c r="L150" s="24">
        <f>IF($A150="","",1)</f>
        <v/>
      </c>
    </row>
    <row r="151">
      <c r="A151" s="12" t="n"/>
      <c r="B151" s="12" t="n"/>
      <c r="C151" s="12" t="n"/>
      <c r="D151" s="12" t="n"/>
      <c r="E151" s="14" t="n"/>
      <c r="F151" s="14" t="n"/>
      <c r="G151" s="14" t="n"/>
      <c r="H151" s="15" t="n"/>
      <c r="I151" s="24">
        <f>IF($A151="","",IF($B151="","YETİM",IF(COUNTIF(tblKartlar[KartId],$B151)=0,"YETİM","")))</f>
        <v/>
      </c>
      <c r="J151" s="24">
        <f>IF(OR($A151="",$C151=""),"",IF(OR($C151&amp;"|"&amp;$D151="",COUNTIF(ListeIzinliGecis,$C151&amp;"|"&amp;$D151)&gt;0),"","GEÇERSİZ GEÇİŞ"))</f>
        <v/>
      </c>
      <c r="K151" s="24">
        <f>IF($A151="","",IF(OR($E151="",$G151=""),"",IF(ABS($G151-$E151)&gt;zincirTolerans,"ZİNCİR KIRIK","OK")))</f>
        <v/>
      </c>
      <c r="L151" s="24">
        <f>IF($A151="","",1)</f>
        <v/>
      </c>
    </row>
    <row r="152">
      <c r="A152" s="12" t="n"/>
      <c r="B152" s="12" t="n"/>
      <c r="C152" s="12" t="n"/>
      <c r="D152" s="12" t="n"/>
      <c r="E152" s="14" t="n"/>
      <c r="F152" s="14" t="n"/>
      <c r="G152" s="14" t="n"/>
      <c r="H152" s="15" t="n"/>
      <c r="I152" s="24">
        <f>IF($A152="","",IF($B152="","YETİM",IF(COUNTIF(tblKartlar[KartId],$B152)=0,"YETİM","")))</f>
        <v/>
      </c>
      <c r="J152" s="24">
        <f>IF(OR($A152="",$C152=""),"",IF(OR($C152&amp;"|"&amp;$D152="",COUNTIF(ListeIzinliGecis,$C152&amp;"|"&amp;$D152)&gt;0),"","GEÇERSİZ GEÇİŞ"))</f>
        <v/>
      </c>
      <c r="K152" s="24">
        <f>IF($A152="","",IF(OR($E152="",$G152=""),"",IF(ABS($G152-$E152)&gt;zincirTolerans,"ZİNCİR KIRIK","OK")))</f>
        <v/>
      </c>
      <c r="L152" s="24">
        <f>IF($A152="","",1)</f>
        <v/>
      </c>
    </row>
    <row r="153">
      <c r="A153" s="12" t="n"/>
      <c r="B153" s="12" t="n"/>
      <c r="C153" s="12" t="n"/>
      <c r="D153" s="12" t="n"/>
      <c r="E153" s="14" t="n"/>
      <c r="F153" s="14" t="n"/>
      <c r="G153" s="14" t="n"/>
      <c r="H153" s="15" t="n"/>
      <c r="I153" s="24">
        <f>IF($A153="","",IF($B153="","YETİM",IF(COUNTIF(tblKartlar[KartId],$B153)=0,"YETİM","")))</f>
        <v/>
      </c>
      <c r="J153" s="24">
        <f>IF(OR($A153="",$C153=""),"",IF(OR($C153&amp;"|"&amp;$D153="",COUNTIF(ListeIzinliGecis,$C153&amp;"|"&amp;$D153)&gt;0),"","GEÇERSİZ GEÇİŞ"))</f>
        <v/>
      </c>
      <c r="K153" s="24">
        <f>IF($A153="","",IF(OR($E153="",$G153=""),"",IF(ABS($G153-$E153)&gt;zincirTolerans,"ZİNCİR KIRIK","OK")))</f>
        <v/>
      </c>
      <c r="L153" s="24">
        <f>IF($A153="","",1)</f>
        <v/>
      </c>
    </row>
    <row r="154">
      <c r="A154" s="12" t="n"/>
      <c r="B154" s="12" t="n"/>
      <c r="C154" s="12" t="n"/>
      <c r="D154" s="12" t="n"/>
      <c r="E154" s="14" t="n"/>
      <c r="F154" s="14" t="n"/>
      <c r="G154" s="14" t="n"/>
      <c r="H154" s="15" t="n"/>
      <c r="I154" s="24">
        <f>IF($A154="","",IF($B154="","YETİM",IF(COUNTIF(tblKartlar[KartId],$B154)=0,"YETİM","")))</f>
        <v/>
      </c>
      <c r="J154" s="24">
        <f>IF(OR($A154="",$C154=""),"",IF(OR($C154&amp;"|"&amp;$D154="",COUNTIF(ListeIzinliGecis,$C154&amp;"|"&amp;$D154)&gt;0),"","GEÇERSİZ GEÇİŞ"))</f>
        <v/>
      </c>
      <c r="K154" s="24">
        <f>IF($A154="","",IF(OR($E154="",$G154=""),"",IF(ABS($G154-$E154)&gt;zincirTolerans,"ZİNCİR KIRIK","OK")))</f>
        <v/>
      </c>
      <c r="L154" s="24">
        <f>IF($A154="","",1)</f>
        <v/>
      </c>
    </row>
    <row r="155">
      <c r="A155" s="12" t="n"/>
      <c r="B155" s="12" t="n"/>
      <c r="C155" s="12" t="n"/>
      <c r="D155" s="12" t="n"/>
      <c r="E155" s="14" t="n"/>
      <c r="F155" s="14" t="n"/>
      <c r="G155" s="14" t="n"/>
      <c r="H155" s="15" t="n"/>
      <c r="I155" s="24">
        <f>IF($A155="","",IF($B155="","YETİM",IF(COUNTIF(tblKartlar[KartId],$B155)=0,"YETİM","")))</f>
        <v/>
      </c>
      <c r="J155" s="24">
        <f>IF(OR($A155="",$C155=""),"",IF(OR($C155&amp;"|"&amp;$D155="",COUNTIF(ListeIzinliGecis,$C155&amp;"|"&amp;$D155)&gt;0),"","GEÇERSİZ GEÇİŞ"))</f>
        <v/>
      </c>
      <c r="K155" s="24">
        <f>IF($A155="","",IF(OR($E155="",$G155=""),"",IF(ABS($G155-$E155)&gt;zincirTolerans,"ZİNCİR KIRIK","OK")))</f>
        <v/>
      </c>
      <c r="L155" s="24">
        <f>IF($A155="","",1)</f>
        <v/>
      </c>
    </row>
    <row r="156">
      <c r="A156" s="12" t="n"/>
      <c r="B156" s="12" t="n"/>
      <c r="C156" s="12" t="n"/>
      <c r="D156" s="12" t="n"/>
      <c r="E156" s="14" t="n"/>
      <c r="F156" s="14" t="n"/>
      <c r="G156" s="14" t="n"/>
      <c r="H156" s="15" t="n"/>
      <c r="I156" s="24">
        <f>IF($A156="","",IF($B156="","YETİM",IF(COUNTIF(tblKartlar[KartId],$B156)=0,"YETİM","")))</f>
        <v/>
      </c>
      <c r="J156" s="24">
        <f>IF(OR($A156="",$C156=""),"",IF(OR($C156&amp;"|"&amp;$D156="",COUNTIF(ListeIzinliGecis,$C156&amp;"|"&amp;$D156)&gt;0),"","GEÇERSİZ GEÇİŞ"))</f>
        <v/>
      </c>
      <c r="K156" s="24">
        <f>IF($A156="","",IF(OR($E156="",$G156=""),"",IF(ABS($G156-$E156)&gt;zincirTolerans,"ZİNCİR KIRIK","OK")))</f>
        <v/>
      </c>
      <c r="L156" s="24">
        <f>IF($A156="","",1)</f>
        <v/>
      </c>
    </row>
    <row r="157">
      <c r="A157" s="12" t="n"/>
      <c r="B157" s="12" t="n"/>
      <c r="C157" s="12" t="n"/>
      <c r="D157" s="12" t="n"/>
      <c r="E157" s="14" t="n"/>
      <c r="F157" s="14" t="n"/>
      <c r="G157" s="14" t="n"/>
      <c r="H157" s="15" t="n"/>
      <c r="I157" s="24">
        <f>IF($A157="","",IF($B157="","YETİM",IF(COUNTIF(tblKartlar[KartId],$B157)=0,"YETİM","")))</f>
        <v/>
      </c>
      <c r="J157" s="24">
        <f>IF(OR($A157="",$C157=""),"",IF(OR($C157&amp;"|"&amp;$D157="",COUNTIF(ListeIzinliGecis,$C157&amp;"|"&amp;$D157)&gt;0),"","GEÇERSİZ GEÇİŞ"))</f>
        <v/>
      </c>
      <c r="K157" s="24">
        <f>IF($A157="","",IF(OR($E157="",$G157=""),"",IF(ABS($G157-$E157)&gt;zincirTolerans,"ZİNCİR KIRIK","OK")))</f>
        <v/>
      </c>
      <c r="L157" s="24">
        <f>IF($A157="","",1)</f>
        <v/>
      </c>
    </row>
    <row r="158">
      <c r="A158" s="12" t="n"/>
      <c r="B158" s="12" t="n"/>
      <c r="C158" s="12" t="n"/>
      <c r="D158" s="12" t="n"/>
      <c r="E158" s="14" t="n"/>
      <c r="F158" s="14" t="n"/>
      <c r="G158" s="14" t="n"/>
      <c r="H158" s="15" t="n"/>
      <c r="I158" s="24">
        <f>IF($A158="","",IF($B158="","YETİM",IF(COUNTIF(tblKartlar[KartId],$B158)=0,"YETİM","")))</f>
        <v/>
      </c>
      <c r="J158" s="24">
        <f>IF(OR($A158="",$C158=""),"",IF(OR($C158&amp;"|"&amp;$D158="",COUNTIF(ListeIzinliGecis,$C158&amp;"|"&amp;$D158)&gt;0),"","GEÇERSİZ GEÇİŞ"))</f>
        <v/>
      </c>
      <c r="K158" s="24">
        <f>IF($A158="","",IF(OR($E158="",$G158=""),"",IF(ABS($G158-$E158)&gt;zincirTolerans,"ZİNCİR KIRIK","OK")))</f>
        <v/>
      </c>
      <c r="L158" s="24">
        <f>IF($A158="","",1)</f>
        <v/>
      </c>
    </row>
    <row r="159">
      <c r="A159" s="12" t="n"/>
      <c r="B159" s="12" t="n"/>
      <c r="C159" s="12" t="n"/>
      <c r="D159" s="12" t="n"/>
      <c r="E159" s="14" t="n"/>
      <c r="F159" s="14" t="n"/>
      <c r="G159" s="14" t="n"/>
      <c r="H159" s="15" t="n"/>
      <c r="I159" s="24">
        <f>IF($A159="","",IF($B159="","YETİM",IF(COUNTIF(tblKartlar[KartId],$B159)=0,"YETİM","")))</f>
        <v/>
      </c>
      <c r="J159" s="24">
        <f>IF(OR($A159="",$C159=""),"",IF(OR($C159&amp;"|"&amp;$D159="",COUNTIF(ListeIzinliGecis,$C159&amp;"|"&amp;$D159)&gt;0),"","GEÇERSİZ GEÇİŞ"))</f>
        <v/>
      </c>
      <c r="K159" s="24">
        <f>IF($A159="","",IF(OR($E159="",$G159=""),"",IF(ABS($G159-$E159)&gt;zincirTolerans,"ZİNCİR KIRIK","OK")))</f>
        <v/>
      </c>
      <c r="L159" s="24">
        <f>IF($A159="","",1)</f>
        <v/>
      </c>
    </row>
    <row r="160">
      <c r="A160" s="12" t="n"/>
      <c r="B160" s="12" t="n"/>
      <c r="C160" s="12" t="n"/>
      <c r="D160" s="12" t="n"/>
      <c r="E160" s="14" t="n"/>
      <c r="F160" s="14" t="n"/>
      <c r="G160" s="14" t="n"/>
      <c r="H160" s="15" t="n"/>
      <c r="I160" s="24">
        <f>IF($A160="","",IF($B160="","YETİM",IF(COUNTIF(tblKartlar[KartId],$B160)=0,"YETİM","")))</f>
        <v/>
      </c>
      <c r="J160" s="24">
        <f>IF(OR($A160="",$C160=""),"",IF(OR($C160&amp;"|"&amp;$D160="",COUNTIF(ListeIzinliGecis,$C160&amp;"|"&amp;$D160)&gt;0),"","GEÇERSİZ GEÇİŞ"))</f>
        <v/>
      </c>
      <c r="K160" s="24">
        <f>IF($A160="","",IF(OR($E160="",$G160=""),"",IF(ABS($G160-$E160)&gt;zincirTolerans,"ZİNCİR KIRIK","OK")))</f>
        <v/>
      </c>
      <c r="L160" s="24">
        <f>IF($A160="","",1)</f>
        <v/>
      </c>
    </row>
    <row r="161">
      <c r="A161" s="12" t="n"/>
      <c r="B161" s="12" t="n"/>
      <c r="C161" s="12" t="n"/>
      <c r="D161" s="12" t="n"/>
      <c r="E161" s="14" t="n"/>
      <c r="F161" s="14" t="n"/>
      <c r="G161" s="14" t="n"/>
      <c r="H161" s="15" t="n"/>
      <c r="I161" s="24">
        <f>IF($A161="","",IF($B161="","YETİM",IF(COUNTIF(tblKartlar[KartId],$B161)=0,"YETİM","")))</f>
        <v/>
      </c>
      <c r="J161" s="24">
        <f>IF(OR($A161="",$C161=""),"",IF(OR($C161&amp;"|"&amp;$D161="",COUNTIF(ListeIzinliGecis,$C161&amp;"|"&amp;$D161)&gt;0),"","GEÇERSİZ GEÇİŞ"))</f>
        <v/>
      </c>
      <c r="K161" s="24">
        <f>IF($A161="","",IF(OR($E161="",$G161=""),"",IF(ABS($G161-$E161)&gt;zincirTolerans,"ZİNCİR KIRIK","OK")))</f>
        <v/>
      </c>
      <c r="L161" s="24">
        <f>IF($A161="","",1)</f>
        <v/>
      </c>
    </row>
    <row r="162">
      <c r="A162" s="12" t="n"/>
      <c r="B162" s="12" t="n"/>
      <c r="C162" s="12" t="n"/>
      <c r="D162" s="12" t="n"/>
      <c r="E162" s="14" t="n"/>
      <c r="F162" s="14" t="n"/>
      <c r="G162" s="14" t="n"/>
      <c r="H162" s="15" t="n"/>
      <c r="I162" s="24">
        <f>IF($A162="","",IF($B162="","YETİM",IF(COUNTIF(tblKartlar[KartId],$B162)=0,"YETİM","")))</f>
        <v/>
      </c>
      <c r="J162" s="24">
        <f>IF(OR($A162="",$C162=""),"",IF(OR($C162&amp;"|"&amp;$D162="",COUNTIF(ListeIzinliGecis,$C162&amp;"|"&amp;$D162)&gt;0),"","GEÇERSİZ GEÇİŞ"))</f>
        <v/>
      </c>
      <c r="K162" s="24">
        <f>IF($A162="","",IF(OR($E162="",$G162=""),"",IF(ABS($G162-$E162)&gt;zincirTolerans,"ZİNCİR KIRIK","OK")))</f>
        <v/>
      </c>
      <c r="L162" s="24">
        <f>IF($A162="","",1)</f>
        <v/>
      </c>
    </row>
    <row r="163">
      <c r="A163" s="12" t="n"/>
      <c r="B163" s="12" t="n"/>
      <c r="C163" s="12" t="n"/>
      <c r="D163" s="12" t="n"/>
      <c r="E163" s="14" t="n"/>
      <c r="F163" s="14" t="n"/>
      <c r="G163" s="14" t="n"/>
      <c r="H163" s="15" t="n"/>
      <c r="I163" s="24">
        <f>IF($A163="","",IF($B163="","YETİM",IF(COUNTIF(tblKartlar[KartId],$B163)=0,"YETİM","")))</f>
        <v/>
      </c>
      <c r="J163" s="24">
        <f>IF(OR($A163="",$C163=""),"",IF(OR($C163&amp;"|"&amp;$D163="",COUNTIF(ListeIzinliGecis,$C163&amp;"|"&amp;$D163)&gt;0),"","GEÇERSİZ GEÇİŞ"))</f>
        <v/>
      </c>
      <c r="K163" s="24">
        <f>IF($A163="","",IF(OR($E163="",$G163=""),"",IF(ABS($G163-$E163)&gt;zincirTolerans,"ZİNCİR KIRIK","OK")))</f>
        <v/>
      </c>
      <c r="L163" s="24">
        <f>IF($A163="","",1)</f>
        <v/>
      </c>
    </row>
    <row r="164">
      <c r="A164" s="12" t="n"/>
      <c r="B164" s="12" t="n"/>
      <c r="C164" s="12" t="n"/>
      <c r="D164" s="12" t="n"/>
      <c r="E164" s="14" t="n"/>
      <c r="F164" s="14" t="n"/>
      <c r="G164" s="14" t="n"/>
      <c r="H164" s="15" t="n"/>
      <c r="I164" s="24">
        <f>IF($A164="","",IF($B164="","YETİM",IF(COUNTIF(tblKartlar[KartId],$B164)=0,"YETİM","")))</f>
        <v/>
      </c>
      <c r="J164" s="24">
        <f>IF(OR($A164="",$C164=""),"",IF(OR($C164&amp;"|"&amp;$D164="",COUNTIF(ListeIzinliGecis,$C164&amp;"|"&amp;$D164)&gt;0),"","GEÇERSİZ GEÇİŞ"))</f>
        <v/>
      </c>
      <c r="K164" s="24">
        <f>IF($A164="","",IF(OR($E164="",$G164=""),"",IF(ABS($G164-$E164)&gt;zincirTolerans,"ZİNCİR KIRIK","OK")))</f>
        <v/>
      </c>
      <c r="L164" s="24">
        <f>IF($A164="","",1)</f>
        <v/>
      </c>
    </row>
    <row r="165">
      <c r="A165" s="12" t="n"/>
      <c r="B165" s="12" t="n"/>
      <c r="C165" s="12" t="n"/>
      <c r="D165" s="12" t="n"/>
      <c r="E165" s="14" t="n"/>
      <c r="F165" s="14" t="n"/>
      <c r="G165" s="14" t="n"/>
      <c r="H165" s="15" t="n"/>
      <c r="I165" s="24">
        <f>IF($A165="","",IF($B165="","YETİM",IF(COUNTIF(tblKartlar[KartId],$B165)=0,"YETİM","")))</f>
        <v/>
      </c>
      <c r="J165" s="24">
        <f>IF(OR($A165="",$C165=""),"",IF(OR($C165&amp;"|"&amp;$D165="",COUNTIF(ListeIzinliGecis,$C165&amp;"|"&amp;$D165)&gt;0),"","GEÇERSİZ GEÇİŞ"))</f>
        <v/>
      </c>
      <c r="K165" s="24">
        <f>IF($A165="","",IF(OR($E165="",$G165=""),"",IF(ABS($G165-$E165)&gt;zincirTolerans,"ZİNCİR KIRIK","OK")))</f>
        <v/>
      </c>
      <c r="L165" s="24">
        <f>IF($A165="","",1)</f>
        <v/>
      </c>
    </row>
    <row r="166">
      <c r="A166" s="12" t="n"/>
      <c r="B166" s="12" t="n"/>
      <c r="C166" s="12" t="n"/>
      <c r="D166" s="12" t="n"/>
      <c r="E166" s="14" t="n"/>
      <c r="F166" s="14" t="n"/>
      <c r="G166" s="14" t="n"/>
      <c r="H166" s="15" t="n"/>
      <c r="I166" s="24">
        <f>IF($A166="","",IF($B166="","YETİM",IF(COUNTIF(tblKartlar[KartId],$B166)=0,"YETİM","")))</f>
        <v/>
      </c>
      <c r="J166" s="24">
        <f>IF(OR($A166="",$C166=""),"",IF(OR($C166&amp;"|"&amp;$D166="",COUNTIF(ListeIzinliGecis,$C166&amp;"|"&amp;$D166)&gt;0),"","GEÇERSİZ GEÇİŞ"))</f>
        <v/>
      </c>
      <c r="K166" s="24">
        <f>IF($A166="","",IF(OR($E166="",$G166=""),"",IF(ABS($G166-$E166)&gt;zincirTolerans,"ZİNCİR KIRIK","OK")))</f>
        <v/>
      </c>
      <c r="L166" s="24">
        <f>IF($A166="","",1)</f>
        <v/>
      </c>
    </row>
    <row r="167">
      <c r="A167" s="12" t="n"/>
      <c r="B167" s="12" t="n"/>
      <c r="C167" s="12" t="n"/>
      <c r="D167" s="12" t="n"/>
      <c r="E167" s="14" t="n"/>
      <c r="F167" s="14" t="n"/>
      <c r="G167" s="14" t="n"/>
      <c r="H167" s="15" t="n"/>
      <c r="I167" s="24">
        <f>IF($A167="","",IF($B167="","YETİM",IF(COUNTIF(tblKartlar[KartId],$B167)=0,"YETİM","")))</f>
        <v/>
      </c>
      <c r="J167" s="24">
        <f>IF(OR($A167="",$C167=""),"",IF(OR($C167&amp;"|"&amp;$D167="",COUNTIF(ListeIzinliGecis,$C167&amp;"|"&amp;$D167)&gt;0),"","GEÇERSİZ GEÇİŞ"))</f>
        <v/>
      </c>
      <c r="K167" s="24">
        <f>IF($A167="","",IF(OR($E167="",$G167=""),"",IF(ABS($G167-$E167)&gt;zincirTolerans,"ZİNCİR KIRIK","OK")))</f>
        <v/>
      </c>
      <c r="L167" s="24">
        <f>IF($A167="","",1)</f>
        <v/>
      </c>
    </row>
    <row r="168">
      <c r="A168" s="12" t="n"/>
      <c r="B168" s="12" t="n"/>
      <c r="C168" s="12" t="n"/>
      <c r="D168" s="12" t="n"/>
      <c r="E168" s="14" t="n"/>
      <c r="F168" s="14" t="n"/>
      <c r="G168" s="14" t="n"/>
      <c r="H168" s="15" t="n"/>
      <c r="I168" s="24">
        <f>IF($A168="","",IF($B168="","YETİM",IF(COUNTIF(tblKartlar[KartId],$B168)=0,"YETİM","")))</f>
        <v/>
      </c>
      <c r="J168" s="24">
        <f>IF(OR($A168="",$C168=""),"",IF(OR($C168&amp;"|"&amp;$D168="",COUNTIF(ListeIzinliGecis,$C168&amp;"|"&amp;$D168)&gt;0),"","GEÇERSİZ GEÇİŞ"))</f>
        <v/>
      </c>
      <c r="K168" s="24">
        <f>IF($A168="","",IF(OR($E168="",$G168=""),"",IF(ABS($G168-$E168)&gt;zincirTolerans,"ZİNCİR KIRIK","OK")))</f>
        <v/>
      </c>
      <c r="L168" s="24">
        <f>IF($A168="","",1)</f>
        <v/>
      </c>
    </row>
    <row r="169">
      <c r="A169" s="12" t="n"/>
      <c r="B169" s="12" t="n"/>
      <c r="C169" s="12" t="n"/>
      <c r="D169" s="12" t="n"/>
      <c r="E169" s="14" t="n"/>
      <c r="F169" s="14" t="n"/>
      <c r="G169" s="14" t="n"/>
      <c r="H169" s="15" t="n"/>
      <c r="I169" s="24">
        <f>IF($A169="","",IF($B169="","YETİM",IF(COUNTIF(tblKartlar[KartId],$B169)=0,"YETİM","")))</f>
        <v/>
      </c>
      <c r="J169" s="24">
        <f>IF(OR($A169="",$C169=""),"",IF(OR($C169&amp;"|"&amp;$D169="",COUNTIF(ListeIzinliGecis,$C169&amp;"|"&amp;$D169)&gt;0),"","GEÇERSİZ GEÇİŞ"))</f>
        <v/>
      </c>
      <c r="K169" s="24">
        <f>IF($A169="","",IF(OR($E169="",$G169=""),"",IF(ABS($G169-$E169)&gt;zincirTolerans,"ZİNCİR KIRIK","OK")))</f>
        <v/>
      </c>
      <c r="L169" s="24">
        <f>IF($A169="","",1)</f>
        <v/>
      </c>
    </row>
    <row r="170">
      <c r="A170" s="12" t="n"/>
      <c r="B170" s="12" t="n"/>
      <c r="C170" s="12" t="n"/>
      <c r="D170" s="12" t="n"/>
      <c r="E170" s="14" t="n"/>
      <c r="F170" s="14" t="n"/>
      <c r="G170" s="14" t="n"/>
      <c r="H170" s="15" t="n"/>
      <c r="I170" s="24">
        <f>IF($A170="","",IF($B170="","YETİM",IF(COUNTIF(tblKartlar[KartId],$B170)=0,"YETİM","")))</f>
        <v/>
      </c>
      <c r="J170" s="24">
        <f>IF(OR($A170="",$C170=""),"",IF(OR($C170&amp;"|"&amp;$D170="",COUNTIF(ListeIzinliGecis,$C170&amp;"|"&amp;$D170)&gt;0),"","GEÇERSİZ GEÇİŞ"))</f>
        <v/>
      </c>
      <c r="K170" s="24">
        <f>IF($A170="","",IF(OR($E170="",$G170=""),"",IF(ABS($G170-$E170)&gt;zincirTolerans,"ZİNCİR KIRIK","OK")))</f>
        <v/>
      </c>
      <c r="L170" s="24">
        <f>IF($A170="","",1)</f>
        <v/>
      </c>
    </row>
    <row r="171">
      <c r="A171" s="12" t="n"/>
      <c r="B171" s="12" t="n"/>
      <c r="C171" s="12" t="n"/>
      <c r="D171" s="12" t="n"/>
      <c r="E171" s="14" t="n"/>
      <c r="F171" s="14" t="n"/>
      <c r="G171" s="14" t="n"/>
      <c r="H171" s="15" t="n"/>
      <c r="I171" s="24">
        <f>IF($A171="","",IF($B171="","YETİM",IF(COUNTIF(tblKartlar[KartId],$B171)=0,"YETİM","")))</f>
        <v/>
      </c>
      <c r="J171" s="24">
        <f>IF(OR($A171="",$C171=""),"",IF(OR($C171&amp;"|"&amp;$D171="",COUNTIF(ListeIzinliGecis,$C171&amp;"|"&amp;$D171)&gt;0),"","GEÇERSİZ GEÇİŞ"))</f>
        <v/>
      </c>
      <c r="K171" s="24">
        <f>IF($A171="","",IF(OR($E171="",$G171=""),"",IF(ABS($G171-$E171)&gt;zincirTolerans,"ZİNCİR KIRIK","OK")))</f>
        <v/>
      </c>
      <c r="L171" s="24">
        <f>IF($A171="","",1)</f>
        <v/>
      </c>
    </row>
    <row r="172">
      <c r="A172" s="12" t="n"/>
      <c r="B172" s="12" t="n"/>
      <c r="C172" s="12" t="n"/>
      <c r="D172" s="12" t="n"/>
      <c r="E172" s="14" t="n"/>
      <c r="F172" s="14" t="n"/>
      <c r="G172" s="14" t="n"/>
      <c r="H172" s="15" t="n"/>
      <c r="I172" s="24">
        <f>IF($A172="","",IF($B172="","YETİM",IF(COUNTIF(tblKartlar[KartId],$B172)=0,"YETİM","")))</f>
        <v/>
      </c>
      <c r="J172" s="24">
        <f>IF(OR($A172="",$C172=""),"",IF(OR($C172&amp;"|"&amp;$D172="",COUNTIF(ListeIzinliGecis,$C172&amp;"|"&amp;$D172)&gt;0),"","GEÇERSİZ GEÇİŞ"))</f>
        <v/>
      </c>
      <c r="K172" s="24">
        <f>IF($A172="","",IF(OR($E172="",$G172=""),"",IF(ABS($G172-$E172)&gt;zincirTolerans,"ZİNCİR KIRIK","OK")))</f>
        <v/>
      </c>
      <c r="L172" s="24">
        <f>IF($A172="","",1)</f>
        <v/>
      </c>
    </row>
    <row r="173">
      <c r="A173" s="12" t="n"/>
      <c r="B173" s="12" t="n"/>
      <c r="C173" s="12" t="n"/>
      <c r="D173" s="12" t="n"/>
      <c r="E173" s="14" t="n"/>
      <c r="F173" s="14" t="n"/>
      <c r="G173" s="14" t="n"/>
      <c r="H173" s="15" t="n"/>
      <c r="I173" s="24">
        <f>IF($A173="","",IF($B173="","YETİM",IF(COUNTIF(tblKartlar[KartId],$B173)=0,"YETİM","")))</f>
        <v/>
      </c>
      <c r="J173" s="24">
        <f>IF(OR($A173="",$C173=""),"",IF(OR($C173&amp;"|"&amp;$D173="",COUNTIF(ListeIzinliGecis,$C173&amp;"|"&amp;$D173)&gt;0),"","GEÇERSİZ GEÇİŞ"))</f>
        <v/>
      </c>
      <c r="K173" s="24">
        <f>IF($A173="","",IF(OR($E173="",$G173=""),"",IF(ABS($G173-$E173)&gt;zincirTolerans,"ZİNCİR KIRIK","OK")))</f>
        <v/>
      </c>
      <c r="L173" s="24">
        <f>IF($A173="","",1)</f>
        <v/>
      </c>
    </row>
    <row r="174">
      <c r="A174" s="12" t="n"/>
      <c r="B174" s="12" t="n"/>
      <c r="C174" s="12" t="n"/>
      <c r="D174" s="12" t="n"/>
      <c r="E174" s="14" t="n"/>
      <c r="F174" s="14" t="n"/>
      <c r="G174" s="14" t="n"/>
      <c r="H174" s="15" t="n"/>
      <c r="I174" s="24">
        <f>IF($A174="","",IF($B174="","YETİM",IF(COUNTIF(tblKartlar[KartId],$B174)=0,"YETİM","")))</f>
        <v/>
      </c>
      <c r="J174" s="24">
        <f>IF(OR($A174="",$C174=""),"",IF(OR($C174&amp;"|"&amp;$D174="",COUNTIF(ListeIzinliGecis,$C174&amp;"|"&amp;$D174)&gt;0),"","GEÇERSİZ GEÇİŞ"))</f>
        <v/>
      </c>
      <c r="K174" s="24">
        <f>IF($A174="","",IF(OR($E174="",$G174=""),"",IF(ABS($G174-$E174)&gt;zincirTolerans,"ZİNCİR KIRIK","OK")))</f>
        <v/>
      </c>
      <c r="L174" s="24">
        <f>IF($A174="","",1)</f>
        <v/>
      </c>
    </row>
    <row r="175">
      <c r="A175" s="12" t="n"/>
      <c r="B175" s="12" t="n"/>
      <c r="C175" s="12" t="n"/>
      <c r="D175" s="12" t="n"/>
      <c r="E175" s="14" t="n"/>
      <c r="F175" s="14" t="n"/>
      <c r="G175" s="14" t="n"/>
      <c r="H175" s="15" t="n"/>
      <c r="I175" s="24">
        <f>IF($A175="","",IF($B175="","YETİM",IF(COUNTIF(tblKartlar[KartId],$B175)=0,"YETİM","")))</f>
        <v/>
      </c>
      <c r="J175" s="24">
        <f>IF(OR($A175="",$C175=""),"",IF(OR($C175&amp;"|"&amp;$D175="",COUNTIF(ListeIzinliGecis,$C175&amp;"|"&amp;$D175)&gt;0),"","GEÇERSİZ GEÇİŞ"))</f>
        <v/>
      </c>
      <c r="K175" s="24">
        <f>IF($A175="","",IF(OR($E175="",$G175=""),"",IF(ABS($G175-$E175)&gt;zincirTolerans,"ZİNCİR KIRIK","OK")))</f>
        <v/>
      </c>
      <c r="L175" s="24">
        <f>IF($A175="","",1)</f>
        <v/>
      </c>
    </row>
    <row r="176">
      <c r="A176" s="12" t="n"/>
      <c r="B176" s="12" t="n"/>
      <c r="C176" s="12" t="n"/>
      <c r="D176" s="12" t="n"/>
      <c r="E176" s="14" t="n"/>
      <c r="F176" s="14" t="n"/>
      <c r="G176" s="14" t="n"/>
      <c r="H176" s="15" t="n"/>
      <c r="I176" s="24">
        <f>IF($A176="","",IF($B176="","YETİM",IF(COUNTIF(tblKartlar[KartId],$B176)=0,"YETİM","")))</f>
        <v/>
      </c>
      <c r="J176" s="24">
        <f>IF(OR($A176="",$C176=""),"",IF(OR($C176&amp;"|"&amp;$D176="",COUNTIF(ListeIzinliGecis,$C176&amp;"|"&amp;$D176)&gt;0),"","GEÇERSİZ GEÇİŞ"))</f>
        <v/>
      </c>
      <c r="K176" s="24">
        <f>IF($A176="","",IF(OR($E176="",$G176=""),"",IF(ABS($G176-$E176)&gt;zincirTolerans,"ZİNCİR KIRIK","OK")))</f>
        <v/>
      </c>
      <c r="L176" s="24">
        <f>IF($A176="","",1)</f>
        <v/>
      </c>
    </row>
    <row r="177">
      <c r="A177" s="12" t="n"/>
      <c r="B177" s="12" t="n"/>
      <c r="C177" s="12" t="n"/>
      <c r="D177" s="12" t="n"/>
      <c r="E177" s="14" t="n"/>
      <c r="F177" s="14" t="n"/>
      <c r="G177" s="14" t="n"/>
      <c r="H177" s="15" t="n"/>
      <c r="I177" s="24">
        <f>IF($A177="","",IF($B177="","YETİM",IF(COUNTIF(tblKartlar[KartId],$B177)=0,"YETİM","")))</f>
        <v/>
      </c>
      <c r="J177" s="24">
        <f>IF(OR($A177="",$C177=""),"",IF(OR($C177&amp;"|"&amp;$D177="",COUNTIF(ListeIzinliGecis,$C177&amp;"|"&amp;$D177)&gt;0),"","GEÇERSİZ GEÇİŞ"))</f>
        <v/>
      </c>
      <c r="K177" s="24">
        <f>IF($A177="","",IF(OR($E177="",$G177=""),"",IF(ABS($G177-$E177)&gt;zincirTolerans,"ZİNCİR KIRIK","OK")))</f>
        <v/>
      </c>
      <c r="L177" s="24">
        <f>IF($A177="","",1)</f>
        <v/>
      </c>
    </row>
    <row r="178">
      <c r="A178" s="12" t="n"/>
      <c r="B178" s="12" t="n"/>
      <c r="C178" s="12" t="n"/>
      <c r="D178" s="12" t="n"/>
      <c r="E178" s="14" t="n"/>
      <c r="F178" s="14" t="n"/>
      <c r="G178" s="14" t="n"/>
      <c r="H178" s="15" t="n"/>
      <c r="I178" s="24">
        <f>IF($A178="","",IF($B178="","YETİM",IF(COUNTIF(tblKartlar[KartId],$B178)=0,"YETİM","")))</f>
        <v/>
      </c>
      <c r="J178" s="24">
        <f>IF(OR($A178="",$C178=""),"",IF(OR($C178&amp;"|"&amp;$D178="",COUNTIF(ListeIzinliGecis,$C178&amp;"|"&amp;$D178)&gt;0),"","GEÇERSİZ GEÇİŞ"))</f>
        <v/>
      </c>
      <c r="K178" s="24">
        <f>IF($A178="","",IF(OR($E178="",$G178=""),"",IF(ABS($G178-$E178)&gt;zincirTolerans,"ZİNCİR KIRIK","OK")))</f>
        <v/>
      </c>
      <c r="L178" s="24">
        <f>IF($A178="","",1)</f>
        <v/>
      </c>
    </row>
    <row r="179">
      <c r="A179" s="12" t="n"/>
      <c r="B179" s="12" t="n"/>
      <c r="C179" s="12" t="n"/>
      <c r="D179" s="12" t="n"/>
      <c r="E179" s="14" t="n"/>
      <c r="F179" s="14" t="n"/>
      <c r="G179" s="14" t="n"/>
      <c r="H179" s="15" t="n"/>
      <c r="I179" s="24">
        <f>IF($A179="","",IF($B179="","YETİM",IF(COUNTIF(tblKartlar[KartId],$B179)=0,"YETİM","")))</f>
        <v/>
      </c>
      <c r="J179" s="24">
        <f>IF(OR($A179="",$C179=""),"",IF(OR($C179&amp;"|"&amp;$D179="",COUNTIF(ListeIzinliGecis,$C179&amp;"|"&amp;$D179)&gt;0),"","GEÇERSİZ GEÇİŞ"))</f>
        <v/>
      </c>
      <c r="K179" s="24">
        <f>IF($A179="","",IF(OR($E179="",$G179=""),"",IF(ABS($G179-$E179)&gt;zincirTolerans,"ZİNCİR KIRIK","OK")))</f>
        <v/>
      </c>
      <c r="L179" s="24">
        <f>IF($A179="","",1)</f>
        <v/>
      </c>
    </row>
    <row r="180">
      <c r="A180" s="12" t="n"/>
      <c r="B180" s="12" t="n"/>
      <c r="C180" s="12" t="n"/>
      <c r="D180" s="12" t="n"/>
      <c r="E180" s="14" t="n"/>
      <c r="F180" s="14" t="n"/>
      <c r="G180" s="14" t="n"/>
      <c r="H180" s="15" t="n"/>
      <c r="I180" s="24">
        <f>IF($A180="","",IF($B180="","YETİM",IF(COUNTIF(tblKartlar[KartId],$B180)=0,"YETİM","")))</f>
        <v/>
      </c>
      <c r="J180" s="24">
        <f>IF(OR($A180="",$C180=""),"",IF(OR($C180&amp;"|"&amp;$D180="",COUNTIF(ListeIzinliGecis,$C180&amp;"|"&amp;$D180)&gt;0),"","GEÇERSİZ GEÇİŞ"))</f>
        <v/>
      </c>
      <c r="K180" s="24">
        <f>IF($A180="","",IF(OR($E180="",$G180=""),"",IF(ABS($G180-$E180)&gt;zincirTolerans,"ZİNCİR KIRIK","OK")))</f>
        <v/>
      </c>
      <c r="L180" s="24">
        <f>IF($A180="","",1)</f>
        <v/>
      </c>
    </row>
    <row r="181">
      <c r="A181" s="12" t="n"/>
      <c r="B181" s="12" t="n"/>
      <c r="C181" s="12" t="n"/>
      <c r="D181" s="12" t="n"/>
      <c r="E181" s="14" t="n"/>
      <c r="F181" s="14" t="n"/>
      <c r="G181" s="14" t="n"/>
      <c r="H181" s="15" t="n"/>
      <c r="I181" s="24">
        <f>IF($A181="","",IF($B181="","YETİM",IF(COUNTIF(tblKartlar[KartId],$B181)=0,"YETİM","")))</f>
        <v/>
      </c>
      <c r="J181" s="24">
        <f>IF(OR($A181="",$C181=""),"",IF(OR($C181&amp;"|"&amp;$D181="",COUNTIF(ListeIzinliGecis,$C181&amp;"|"&amp;$D181)&gt;0),"","GEÇERSİZ GEÇİŞ"))</f>
        <v/>
      </c>
      <c r="K181" s="24">
        <f>IF($A181="","",IF(OR($E181="",$G181=""),"",IF(ABS($G181-$E181)&gt;zincirTolerans,"ZİNCİR KIRIK","OK")))</f>
        <v/>
      </c>
      <c r="L181" s="24">
        <f>IF($A181="","",1)</f>
        <v/>
      </c>
    </row>
    <row r="182">
      <c r="A182" s="12" t="n"/>
      <c r="B182" s="12" t="n"/>
      <c r="C182" s="12" t="n"/>
      <c r="D182" s="12" t="n"/>
      <c r="E182" s="14" t="n"/>
      <c r="F182" s="14" t="n"/>
      <c r="G182" s="14" t="n"/>
      <c r="H182" s="15" t="n"/>
      <c r="I182" s="24">
        <f>IF($A182="","",IF($B182="","YETİM",IF(COUNTIF(tblKartlar[KartId],$B182)=0,"YETİM","")))</f>
        <v/>
      </c>
      <c r="J182" s="24">
        <f>IF(OR($A182="",$C182=""),"",IF(OR($C182&amp;"|"&amp;$D182="",COUNTIF(ListeIzinliGecis,$C182&amp;"|"&amp;$D182)&gt;0),"","GEÇERSİZ GEÇİŞ"))</f>
        <v/>
      </c>
      <c r="K182" s="24">
        <f>IF($A182="","",IF(OR($E182="",$G182=""),"",IF(ABS($G182-$E182)&gt;zincirTolerans,"ZİNCİR KIRIK","OK")))</f>
        <v/>
      </c>
      <c r="L182" s="24">
        <f>IF($A182="","",1)</f>
        <v/>
      </c>
    </row>
    <row r="183">
      <c r="A183" s="12" t="n"/>
      <c r="B183" s="12" t="n"/>
      <c r="C183" s="12" t="n"/>
      <c r="D183" s="12" t="n"/>
      <c r="E183" s="14" t="n"/>
      <c r="F183" s="14" t="n"/>
      <c r="G183" s="14" t="n"/>
      <c r="H183" s="15" t="n"/>
      <c r="I183" s="24">
        <f>IF($A183="","",IF($B183="","YETİM",IF(COUNTIF(tblKartlar[KartId],$B183)=0,"YETİM","")))</f>
        <v/>
      </c>
      <c r="J183" s="24">
        <f>IF(OR($A183="",$C183=""),"",IF(OR($C183&amp;"|"&amp;$D183="",COUNTIF(ListeIzinliGecis,$C183&amp;"|"&amp;$D183)&gt;0),"","GEÇERSİZ GEÇİŞ"))</f>
        <v/>
      </c>
      <c r="K183" s="24">
        <f>IF($A183="","",IF(OR($E183="",$G183=""),"",IF(ABS($G183-$E183)&gt;zincirTolerans,"ZİNCİR KIRIK","OK")))</f>
        <v/>
      </c>
      <c r="L183" s="24">
        <f>IF($A183="","",1)</f>
        <v/>
      </c>
    </row>
    <row r="184">
      <c r="A184" s="12" t="n"/>
      <c r="B184" s="12" t="n"/>
      <c r="C184" s="12" t="n"/>
      <c r="D184" s="12" t="n"/>
      <c r="E184" s="14" t="n"/>
      <c r="F184" s="14" t="n"/>
      <c r="G184" s="14" t="n"/>
      <c r="H184" s="15" t="n"/>
      <c r="I184" s="24">
        <f>IF($A184="","",IF($B184="","YETİM",IF(COUNTIF(tblKartlar[KartId],$B184)=0,"YETİM","")))</f>
        <v/>
      </c>
      <c r="J184" s="24">
        <f>IF(OR($A184="",$C184=""),"",IF(OR($C184&amp;"|"&amp;$D184="",COUNTIF(ListeIzinliGecis,$C184&amp;"|"&amp;$D184)&gt;0),"","GEÇERSİZ GEÇİŞ"))</f>
        <v/>
      </c>
      <c r="K184" s="24">
        <f>IF($A184="","",IF(OR($E184="",$G184=""),"",IF(ABS($G184-$E184)&gt;zincirTolerans,"ZİNCİR KIRIK","OK")))</f>
        <v/>
      </c>
      <c r="L184" s="24">
        <f>IF($A184="","",1)</f>
        <v/>
      </c>
    </row>
    <row r="185">
      <c r="A185" s="12" t="n"/>
      <c r="B185" s="12" t="n"/>
      <c r="C185" s="12" t="n"/>
      <c r="D185" s="12" t="n"/>
      <c r="E185" s="14" t="n"/>
      <c r="F185" s="14" t="n"/>
      <c r="G185" s="14" t="n"/>
      <c r="H185" s="15" t="n"/>
      <c r="I185" s="24">
        <f>IF($A185="","",IF($B185="","YETİM",IF(COUNTIF(tblKartlar[KartId],$B185)=0,"YETİM","")))</f>
        <v/>
      </c>
      <c r="J185" s="24">
        <f>IF(OR($A185="",$C185=""),"",IF(OR($C185&amp;"|"&amp;$D185="",COUNTIF(ListeIzinliGecis,$C185&amp;"|"&amp;$D185)&gt;0),"","GEÇERSİZ GEÇİŞ"))</f>
        <v/>
      </c>
      <c r="K185" s="24">
        <f>IF($A185="","",IF(OR($E185="",$G185=""),"",IF(ABS($G185-$E185)&gt;zincirTolerans,"ZİNCİR KIRIK","OK")))</f>
        <v/>
      </c>
      <c r="L185" s="24">
        <f>IF($A185="","",1)</f>
        <v/>
      </c>
    </row>
    <row r="186">
      <c r="A186" s="12" t="n"/>
      <c r="B186" s="12" t="n"/>
      <c r="C186" s="12" t="n"/>
      <c r="D186" s="12" t="n"/>
      <c r="E186" s="14" t="n"/>
      <c r="F186" s="14" t="n"/>
      <c r="G186" s="14" t="n"/>
      <c r="H186" s="15" t="n"/>
      <c r="I186" s="24">
        <f>IF($A186="","",IF($B186="","YETİM",IF(COUNTIF(tblKartlar[KartId],$B186)=0,"YETİM","")))</f>
        <v/>
      </c>
      <c r="J186" s="24">
        <f>IF(OR($A186="",$C186=""),"",IF(OR($C186&amp;"|"&amp;$D186="",COUNTIF(ListeIzinliGecis,$C186&amp;"|"&amp;$D186)&gt;0),"","GEÇERSİZ GEÇİŞ"))</f>
        <v/>
      </c>
      <c r="K186" s="24">
        <f>IF($A186="","",IF(OR($E186="",$G186=""),"",IF(ABS($G186-$E186)&gt;zincirTolerans,"ZİNCİR KIRIK","OK")))</f>
        <v/>
      </c>
      <c r="L186" s="24">
        <f>IF($A186="","",1)</f>
        <v/>
      </c>
    </row>
    <row r="187">
      <c r="A187" s="12" t="n"/>
      <c r="B187" s="12" t="n"/>
      <c r="C187" s="12" t="n"/>
      <c r="D187" s="12" t="n"/>
      <c r="E187" s="14" t="n"/>
      <c r="F187" s="14" t="n"/>
      <c r="G187" s="14" t="n"/>
      <c r="H187" s="15" t="n"/>
      <c r="I187" s="24">
        <f>IF($A187="","",IF($B187="","YETİM",IF(COUNTIF(tblKartlar[KartId],$B187)=0,"YETİM","")))</f>
        <v/>
      </c>
      <c r="J187" s="24">
        <f>IF(OR($A187="",$C187=""),"",IF(OR($C187&amp;"|"&amp;$D187="",COUNTIF(ListeIzinliGecis,$C187&amp;"|"&amp;$D187)&gt;0),"","GEÇERSİZ GEÇİŞ"))</f>
        <v/>
      </c>
      <c r="K187" s="24">
        <f>IF($A187="","",IF(OR($E187="",$G187=""),"",IF(ABS($G187-$E187)&gt;zincirTolerans,"ZİNCİR KIRIK","OK")))</f>
        <v/>
      </c>
      <c r="L187" s="24">
        <f>IF($A187="","",1)</f>
        <v/>
      </c>
    </row>
    <row r="188">
      <c r="A188" s="12" t="n"/>
      <c r="B188" s="12" t="n"/>
      <c r="C188" s="12" t="n"/>
      <c r="D188" s="12" t="n"/>
      <c r="E188" s="14" t="n"/>
      <c r="F188" s="14" t="n"/>
      <c r="G188" s="14" t="n"/>
      <c r="H188" s="15" t="n"/>
      <c r="I188" s="24">
        <f>IF($A188="","",IF($B188="","YETİM",IF(COUNTIF(tblKartlar[KartId],$B188)=0,"YETİM","")))</f>
        <v/>
      </c>
      <c r="J188" s="24">
        <f>IF(OR($A188="",$C188=""),"",IF(OR($C188&amp;"|"&amp;$D188="",COUNTIF(ListeIzinliGecis,$C188&amp;"|"&amp;$D188)&gt;0),"","GEÇERSİZ GEÇİŞ"))</f>
        <v/>
      </c>
      <c r="K188" s="24">
        <f>IF($A188="","",IF(OR($E188="",$G188=""),"",IF(ABS($G188-$E188)&gt;zincirTolerans,"ZİNCİR KIRIK","OK")))</f>
        <v/>
      </c>
      <c r="L188" s="24">
        <f>IF($A188="","",1)</f>
        <v/>
      </c>
    </row>
    <row r="189">
      <c r="A189" s="12" t="n"/>
      <c r="B189" s="12" t="n"/>
      <c r="C189" s="12" t="n"/>
      <c r="D189" s="12" t="n"/>
      <c r="E189" s="14" t="n"/>
      <c r="F189" s="14" t="n"/>
      <c r="G189" s="14" t="n"/>
      <c r="H189" s="15" t="n"/>
      <c r="I189" s="24">
        <f>IF($A189="","",IF($B189="","YETİM",IF(COUNTIF(tblKartlar[KartId],$B189)=0,"YETİM","")))</f>
        <v/>
      </c>
      <c r="J189" s="24">
        <f>IF(OR($A189="",$C189=""),"",IF(OR($C189&amp;"|"&amp;$D189="",COUNTIF(ListeIzinliGecis,$C189&amp;"|"&amp;$D189)&gt;0),"","GEÇERSİZ GEÇİŞ"))</f>
        <v/>
      </c>
      <c r="K189" s="24">
        <f>IF($A189="","",IF(OR($E189="",$G189=""),"",IF(ABS($G189-$E189)&gt;zincirTolerans,"ZİNCİR KIRIK","OK")))</f>
        <v/>
      </c>
      <c r="L189" s="24">
        <f>IF($A189="","",1)</f>
        <v/>
      </c>
    </row>
    <row r="190">
      <c r="A190" s="12" t="n"/>
      <c r="B190" s="12" t="n"/>
      <c r="C190" s="12" t="n"/>
      <c r="D190" s="12" t="n"/>
      <c r="E190" s="14" t="n"/>
      <c r="F190" s="14" t="n"/>
      <c r="G190" s="14" t="n"/>
      <c r="H190" s="15" t="n"/>
      <c r="I190" s="24">
        <f>IF($A190="","",IF($B190="","YETİM",IF(COUNTIF(tblKartlar[KartId],$B190)=0,"YETİM","")))</f>
        <v/>
      </c>
      <c r="J190" s="24">
        <f>IF(OR($A190="",$C190=""),"",IF(OR($C190&amp;"|"&amp;$D190="",COUNTIF(ListeIzinliGecis,$C190&amp;"|"&amp;$D190)&gt;0),"","GEÇERSİZ GEÇİŞ"))</f>
        <v/>
      </c>
      <c r="K190" s="24">
        <f>IF($A190="","",IF(OR($E190="",$G190=""),"",IF(ABS($G190-$E190)&gt;zincirTolerans,"ZİNCİR KIRIK","OK")))</f>
        <v/>
      </c>
      <c r="L190" s="24">
        <f>IF($A190="","",1)</f>
        <v/>
      </c>
    </row>
    <row r="191">
      <c r="A191" s="12" t="n"/>
      <c r="B191" s="12" t="n"/>
      <c r="C191" s="12" t="n"/>
      <c r="D191" s="12" t="n"/>
      <c r="E191" s="14" t="n"/>
      <c r="F191" s="14" t="n"/>
      <c r="G191" s="14" t="n"/>
      <c r="H191" s="15" t="n"/>
      <c r="I191" s="24">
        <f>IF($A191="","",IF($B191="","YETİM",IF(COUNTIF(tblKartlar[KartId],$B191)=0,"YETİM","")))</f>
        <v/>
      </c>
      <c r="J191" s="24">
        <f>IF(OR($A191="",$C191=""),"",IF(OR($C191&amp;"|"&amp;$D191="",COUNTIF(ListeIzinliGecis,$C191&amp;"|"&amp;$D191)&gt;0),"","GEÇERSİZ GEÇİŞ"))</f>
        <v/>
      </c>
      <c r="K191" s="24">
        <f>IF($A191="","",IF(OR($E191="",$G191=""),"",IF(ABS($G191-$E191)&gt;zincirTolerans,"ZİNCİR KIRIK","OK")))</f>
        <v/>
      </c>
      <c r="L191" s="24">
        <f>IF($A191="","",1)</f>
        <v/>
      </c>
    </row>
    <row r="192">
      <c r="A192" s="12" t="n"/>
      <c r="B192" s="12" t="n"/>
      <c r="C192" s="12" t="n"/>
      <c r="D192" s="12" t="n"/>
      <c r="E192" s="14" t="n"/>
      <c r="F192" s="14" t="n"/>
      <c r="G192" s="14" t="n"/>
      <c r="H192" s="15" t="n"/>
      <c r="I192" s="24">
        <f>IF($A192="","",IF($B192="","YETİM",IF(COUNTIF(tblKartlar[KartId],$B192)=0,"YETİM","")))</f>
        <v/>
      </c>
      <c r="J192" s="24">
        <f>IF(OR($A192="",$C192=""),"",IF(OR($C192&amp;"|"&amp;$D192="",COUNTIF(ListeIzinliGecis,$C192&amp;"|"&amp;$D192)&gt;0),"","GEÇERSİZ GEÇİŞ"))</f>
        <v/>
      </c>
      <c r="K192" s="24">
        <f>IF($A192="","",IF(OR($E192="",$G192=""),"",IF(ABS($G192-$E192)&gt;zincirTolerans,"ZİNCİR KIRIK","OK")))</f>
        <v/>
      </c>
      <c r="L192" s="24">
        <f>IF($A192="","",1)</f>
        <v/>
      </c>
    </row>
    <row r="193">
      <c r="A193" s="12" t="n"/>
      <c r="B193" s="12" t="n"/>
      <c r="C193" s="12" t="n"/>
      <c r="D193" s="12" t="n"/>
      <c r="E193" s="14" t="n"/>
      <c r="F193" s="14" t="n"/>
      <c r="G193" s="14" t="n"/>
      <c r="H193" s="15" t="n"/>
      <c r="I193" s="24">
        <f>IF($A193="","",IF($B193="","YETİM",IF(COUNTIF(tblKartlar[KartId],$B193)=0,"YETİM","")))</f>
        <v/>
      </c>
      <c r="J193" s="24">
        <f>IF(OR($A193="",$C193=""),"",IF(OR($C193&amp;"|"&amp;$D193="",COUNTIF(ListeIzinliGecis,$C193&amp;"|"&amp;$D193)&gt;0),"","GEÇERSİZ GEÇİŞ"))</f>
        <v/>
      </c>
      <c r="K193" s="24">
        <f>IF($A193="","",IF(OR($E193="",$G193=""),"",IF(ABS($G193-$E193)&gt;zincirTolerans,"ZİNCİR KIRIK","OK")))</f>
        <v/>
      </c>
      <c r="L193" s="24">
        <f>IF($A193="","",1)</f>
        <v/>
      </c>
    </row>
    <row r="194">
      <c r="A194" s="12" t="n"/>
      <c r="B194" s="12" t="n"/>
      <c r="C194" s="12" t="n"/>
      <c r="D194" s="12" t="n"/>
      <c r="E194" s="14" t="n"/>
      <c r="F194" s="14" t="n"/>
      <c r="G194" s="14" t="n"/>
      <c r="H194" s="15" t="n"/>
      <c r="I194" s="24">
        <f>IF($A194="","",IF($B194="","YETİM",IF(COUNTIF(tblKartlar[KartId],$B194)=0,"YETİM","")))</f>
        <v/>
      </c>
      <c r="J194" s="24">
        <f>IF(OR($A194="",$C194=""),"",IF(OR($C194&amp;"|"&amp;$D194="",COUNTIF(ListeIzinliGecis,$C194&amp;"|"&amp;$D194)&gt;0),"","GEÇERSİZ GEÇİŞ"))</f>
        <v/>
      </c>
      <c r="K194" s="24">
        <f>IF($A194="","",IF(OR($E194="",$G194=""),"",IF(ABS($G194-$E194)&gt;zincirTolerans,"ZİNCİR KIRIK","OK")))</f>
        <v/>
      </c>
      <c r="L194" s="24">
        <f>IF($A194="","",1)</f>
        <v/>
      </c>
    </row>
    <row r="195">
      <c r="A195" s="12" t="n"/>
      <c r="B195" s="12" t="n"/>
      <c r="C195" s="12" t="n"/>
      <c r="D195" s="12" t="n"/>
      <c r="E195" s="14" t="n"/>
      <c r="F195" s="14" t="n"/>
      <c r="G195" s="14" t="n"/>
      <c r="H195" s="15" t="n"/>
      <c r="I195" s="24">
        <f>IF($A195="","",IF($B195="","YETİM",IF(COUNTIF(tblKartlar[KartId],$B195)=0,"YETİM","")))</f>
        <v/>
      </c>
      <c r="J195" s="24">
        <f>IF(OR($A195="",$C195=""),"",IF(OR($C195&amp;"|"&amp;$D195="",COUNTIF(ListeIzinliGecis,$C195&amp;"|"&amp;$D195)&gt;0),"","GEÇERSİZ GEÇİŞ"))</f>
        <v/>
      </c>
      <c r="K195" s="24">
        <f>IF($A195="","",IF(OR($E195="",$G195=""),"",IF(ABS($G195-$E195)&gt;zincirTolerans,"ZİNCİR KIRIK","OK")))</f>
        <v/>
      </c>
      <c r="L195" s="24">
        <f>IF($A195="","",1)</f>
        <v/>
      </c>
    </row>
    <row r="196">
      <c r="A196" s="12" t="n"/>
      <c r="B196" s="12" t="n"/>
      <c r="C196" s="12" t="n"/>
      <c r="D196" s="12" t="n"/>
      <c r="E196" s="14" t="n"/>
      <c r="F196" s="14" t="n"/>
      <c r="G196" s="14" t="n"/>
      <c r="H196" s="15" t="n"/>
      <c r="I196" s="24">
        <f>IF($A196="","",IF($B196="","YETİM",IF(COUNTIF(tblKartlar[KartId],$B196)=0,"YETİM","")))</f>
        <v/>
      </c>
      <c r="J196" s="24">
        <f>IF(OR($A196="",$C196=""),"",IF(OR($C196&amp;"|"&amp;$D196="",COUNTIF(ListeIzinliGecis,$C196&amp;"|"&amp;$D196)&gt;0),"","GEÇERSİZ GEÇİŞ"))</f>
        <v/>
      </c>
      <c r="K196" s="24">
        <f>IF($A196="","",IF(OR($E196="",$G196=""),"",IF(ABS($G196-$E196)&gt;zincirTolerans,"ZİNCİR KIRIK","OK")))</f>
        <v/>
      </c>
      <c r="L196" s="24">
        <f>IF($A196="","",1)</f>
        <v/>
      </c>
    </row>
    <row r="197">
      <c r="A197" s="12" t="n"/>
      <c r="B197" s="12" t="n"/>
      <c r="C197" s="12" t="n"/>
      <c r="D197" s="12" t="n"/>
      <c r="E197" s="14" t="n"/>
      <c r="F197" s="14" t="n"/>
      <c r="G197" s="14" t="n"/>
      <c r="H197" s="15" t="n"/>
      <c r="I197" s="24">
        <f>IF($A197="","",IF($B197="","YETİM",IF(COUNTIF(tblKartlar[KartId],$B197)=0,"YETİM","")))</f>
        <v/>
      </c>
      <c r="J197" s="24">
        <f>IF(OR($A197="",$C197=""),"",IF(OR($C197&amp;"|"&amp;$D197="",COUNTIF(ListeIzinliGecis,$C197&amp;"|"&amp;$D197)&gt;0),"","GEÇERSİZ GEÇİŞ"))</f>
        <v/>
      </c>
      <c r="K197" s="24">
        <f>IF($A197="","",IF(OR($E197="",$G197=""),"",IF(ABS($G197-$E197)&gt;zincirTolerans,"ZİNCİR KIRIK","OK")))</f>
        <v/>
      </c>
      <c r="L197" s="24">
        <f>IF($A197="","",1)</f>
        <v/>
      </c>
    </row>
    <row r="198">
      <c r="A198" s="12" t="n"/>
      <c r="B198" s="12" t="n"/>
      <c r="C198" s="12" t="n"/>
      <c r="D198" s="12" t="n"/>
      <c r="E198" s="14" t="n"/>
      <c r="F198" s="14" t="n"/>
      <c r="G198" s="14" t="n"/>
      <c r="H198" s="15" t="n"/>
      <c r="I198" s="24">
        <f>IF($A198="","",IF($B198="","YETİM",IF(COUNTIF(tblKartlar[KartId],$B198)=0,"YETİM","")))</f>
        <v/>
      </c>
      <c r="J198" s="24">
        <f>IF(OR($A198="",$C198=""),"",IF(OR($C198&amp;"|"&amp;$D198="",COUNTIF(ListeIzinliGecis,$C198&amp;"|"&amp;$D198)&gt;0),"","GEÇERSİZ GEÇİŞ"))</f>
        <v/>
      </c>
      <c r="K198" s="24">
        <f>IF($A198="","",IF(OR($E198="",$G198=""),"",IF(ABS($G198-$E198)&gt;zincirTolerans,"ZİNCİR KIRIK","OK")))</f>
        <v/>
      </c>
      <c r="L198" s="24">
        <f>IF($A198="","",1)</f>
        <v/>
      </c>
    </row>
    <row r="199">
      <c r="A199" s="12" t="n"/>
      <c r="B199" s="12" t="n"/>
      <c r="C199" s="12" t="n"/>
      <c r="D199" s="12" t="n"/>
      <c r="E199" s="14" t="n"/>
      <c r="F199" s="14" t="n"/>
      <c r="G199" s="14" t="n"/>
      <c r="H199" s="15" t="n"/>
      <c r="I199" s="24">
        <f>IF($A199="","",IF($B199="","YETİM",IF(COUNTIF(tblKartlar[KartId],$B199)=0,"YETİM","")))</f>
        <v/>
      </c>
      <c r="J199" s="24">
        <f>IF(OR($A199="",$C199=""),"",IF(OR($C199&amp;"|"&amp;$D199="",COUNTIF(ListeIzinliGecis,$C199&amp;"|"&amp;$D199)&gt;0),"","GEÇERSİZ GEÇİŞ"))</f>
        <v/>
      </c>
      <c r="K199" s="24">
        <f>IF($A199="","",IF(OR($E199="",$G199=""),"",IF(ABS($G199-$E199)&gt;zincirTolerans,"ZİNCİR KIRIK","OK")))</f>
        <v/>
      </c>
      <c r="L199" s="24">
        <f>IF($A199="","",1)</f>
        <v/>
      </c>
    </row>
    <row r="200">
      <c r="A200" s="12" t="n"/>
      <c r="B200" s="12" t="n"/>
      <c r="C200" s="12" t="n"/>
      <c r="D200" s="12" t="n"/>
      <c r="E200" s="14" t="n"/>
      <c r="F200" s="14" t="n"/>
      <c r="G200" s="14" t="n"/>
      <c r="H200" s="15" t="n"/>
      <c r="I200" s="24">
        <f>IF($A200="","",IF($B200="","YETİM",IF(COUNTIF(tblKartlar[KartId],$B200)=0,"YETİM","")))</f>
        <v/>
      </c>
      <c r="J200" s="24">
        <f>IF(OR($A200="",$C200=""),"",IF(OR($C200&amp;"|"&amp;$D200="",COUNTIF(ListeIzinliGecis,$C200&amp;"|"&amp;$D200)&gt;0),"","GEÇERSİZ GEÇİŞ"))</f>
        <v/>
      </c>
      <c r="K200" s="24">
        <f>IF($A200="","",IF(OR($E200="",$G200=""),"",IF(ABS($G200-$E200)&gt;zincirTolerans,"ZİNCİR KIRIK","OK")))</f>
        <v/>
      </c>
      <c r="L200" s="24">
        <f>IF($A200="","",1)</f>
        <v/>
      </c>
    </row>
    <row r="201">
      <c r="A201" s="12" t="n"/>
      <c r="B201" s="12" t="n"/>
      <c r="C201" s="12" t="n"/>
      <c r="D201" s="12" t="n"/>
      <c r="E201" s="14" t="n"/>
      <c r="F201" s="14" t="n"/>
      <c r="G201" s="14" t="n"/>
      <c r="H201" s="15" t="n"/>
      <c r="I201" s="24">
        <f>IF($A201="","",IF($B201="","YETİM",IF(COUNTIF(tblKartlar[KartId],$B201)=0,"YETİM","")))</f>
        <v/>
      </c>
      <c r="J201" s="24">
        <f>IF(OR($A201="",$C201=""),"",IF(OR($C201&amp;"|"&amp;$D201="",COUNTIF(ListeIzinliGecis,$C201&amp;"|"&amp;$D201)&gt;0),"","GEÇERSİZ GEÇİŞ"))</f>
        <v/>
      </c>
      <c r="K201" s="24">
        <f>IF($A201="","",IF(OR($E201="",$G201=""),"",IF(ABS($G201-$E201)&gt;zincirTolerans,"ZİNCİR KIRIK","OK")))</f>
        <v/>
      </c>
      <c r="L201" s="24">
        <f>IF($A201="","",1)</f>
        <v/>
      </c>
    </row>
    <row r="202">
      <c r="A202" s="12" t="n"/>
      <c r="B202" s="12" t="n"/>
      <c r="C202" s="12" t="n"/>
      <c r="D202" s="12" t="n"/>
      <c r="E202" s="14" t="n"/>
      <c r="F202" s="14" t="n"/>
      <c r="G202" s="14" t="n"/>
      <c r="H202" s="15" t="n"/>
      <c r="I202" s="24">
        <f>IF($A202="","",IF($B202="","YETİM",IF(COUNTIF(tblKartlar[KartId],$B202)=0,"YETİM","")))</f>
        <v/>
      </c>
      <c r="J202" s="24">
        <f>IF(OR($A202="",$C202=""),"",IF(OR($C202&amp;"|"&amp;$D202="",COUNTIF(ListeIzinliGecis,$C202&amp;"|"&amp;$D202)&gt;0),"","GEÇERSİZ GEÇİŞ"))</f>
        <v/>
      </c>
      <c r="K202" s="24">
        <f>IF($A202="","",IF(OR($E202="",$G202=""),"",IF(ABS($G202-$E202)&gt;zincirTolerans,"ZİNCİR KIRIK","OK")))</f>
        <v/>
      </c>
      <c r="L202" s="24">
        <f>IF($A202="","",1)</f>
        <v/>
      </c>
    </row>
    <row r="203">
      <c r="A203" s="12" t="n"/>
      <c r="B203" s="12" t="n"/>
      <c r="C203" s="12" t="n"/>
      <c r="D203" s="12" t="n"/>
      <c r="E203" s="14" t="n"/>
      <c r="F203" s="14" t="n"/>
      <c r="G203" s="14" t="n"/>
      <c r="H203" s="15" t="n"/>
      <c r="I203" s="24">
        <f>IF($A203="","",IF($B203="","YETİM",IF(COUNTIF(tblKartlar[KartId],$B203)=0,"YETİM","")))</f>
        <v/>
      </c>
      <c r="J203" s="24">
        <f>IF(OR($A203="",$C203=""),"",IF(OR($C203&amp;"|"&amp;$D203="",COUNTIF(ListeIzinliGecis,$C203&amp;"|"&amp;$D203)&gt;0),"","GEÇERSİZ GEÇİŞ"))</f>
        <v/>
      </c>
      <c r="K203" s="24">
        <f>IF($A203="","",IF(OR($E203="",$G203=""),"",IF(ABS($G203-$E203)&gt;zincirTolerans,"ZİNCİR KIRIK","OK")))</f>
        <v/>
      </c>
      <c r="L203" s="24">
        <f>IF($A203="","",1)</f>
        <v/>
      </c>
    </row>
    <row r="204">
      <c r="A204" s="12" t="n"/>
      <c r="B204" s="12" t="n"/>
      <c r="C204" s="12" t="n"/>
      <c r="D204" s="12" t="n"/>
      <c r="E204" s="14" t="n"/>
      <c r="F204" s="14" t="n"/>
      <c r="G204" s="14" t="n"/>
      <c r="H204" s="15" t="n"/>
      <c r="I204" s="24">
        <f>IF($A204="","",IF($B204="","YETİM",IF(COUNTIF(tblKartlar[KartId],$B204)=0,"YETİM","")))</f>
        <v/>
      </c>
      <c r="J204" s="24">
        <f>IF(OR($A204="",$C204=""),"",IF(OR($C204&amp;"|"&amp;$D204="",COUNTIF(ListeIzinliGecis,$C204&amp;"|"&amp;$D204)&gt;0),"","GEÇERSİZ GEÇİŞ"))</f>
        <v/>
      </c>
      <c r="K204" s="24">
        <f>IF($A204="","",IF(OR($E204="",$G204=""),"",IF(ABS($G204-$E204)&gt;zincirTolerans,"ZİNCİR KIRIK","OK")))</f>
        <v/>
      </c>
      <c r="L204" s="24">
        <f>IF($A204="","",1)</f>
        <v/>
      </c>
    </row>
    <row r="205">
      <c r="A205" s="12" t="n"/>
      <c r="B205" s="12" t="n"/>
      <c r="C205" s="12" t="n"/>
      <c r="D205" s="12" t="n"/>
      <c r="E205" s="14" t="n"/>
      <c r="F205" s="14" t="n"/>
      <c r="G205" s="14" t="n"/>
      <c r="H205" s="15" t="n"/>
      <c r="I205" s="24">
        <f>IF($A205="","",IF($B205="","YETİM",IF(COUNTIF(tblKartlar[KartId],$B205)=0,"YETİM","")))</f>
        <v/>
      </c>
      <c r="J205" s="24">
        <f>IF(OR($A205="",$C205=""),"",IF(OR($C205&amp;"|"&amp;$D205="",COUNTIF(ListeIzinliGecis,$C205&amp;"|"&amp;$D205)&gt;0),"","GEÇERSİZ GEÇİŞ"))</f>
        <v/>
      </c>
      <c r="K205" s="24">
        <f>IF($A205="","",IF(OR($E205="",$G205=""),"",IF(ABS($G205-$E205)&gt;zincirTolerans,"ZİNCİR KIRIK","OK")))</f>
        <v/>
      </c>
      <c r="L205" s="24">
        <f>IF($A205="","",1)</f>
        <v/>
      </c>
    </row>
    <row r="206">
      <c r="A206" s="12" t="n"/>
      <c r="B206" s="12" t="n"/>
      <c r="C206" s="12" t="n"/>
      <c r="D206" s="12" t="n"/>
      <c r="E206" s="14" t="n"/>
      <c r="F206" s="14" t="n"/>
      <c r="G206" s="14" t="n"/>
      <c r="H206" s="15" t="n"/>
      <c r="I206" s="24">
        <f>IF($A206="","",IF($B206="","YETİM",IF(COUNTIF(tblKartlar[KartId],$B206)=0,"YETİM","")))</f>
        <v/>
      </c>
      <c r="J206" s="24">
        <f>IF(OR($A206="",$C206=""),"",IF(OR($C206&amp;"|"&amp;$D206="",COUNTIF(ListeIzinliGecis,$C206&amp;"|"&amp;$D206)&gt;0),"","GEÇERSİZ GEÇİŞ"))</f>
        <v/>
      </c>
      <c r="K206" s="24">
        <f>IF($A206="","",IF(OR($E206="",$G206=""),"",IF(ABS($G206-$E206)&gt;zincirTolerans,"ZİNCİR KIRIK","OK")))</f>
        <v/>
      </c>
      <c r="L206" s="24">
        <f>IF($A206="","",1)</f>
        <v/>
      </c>
    </row>
    <row r="207">
      <c r="A207" s="12" t="n"/>
      <c r="B207" s="12" t="n"/>
      <c r="C207" s="12" t="n"/>
      <c r="D207" s="12" t="n"/>
      <c r="E207" s="14" t="n"/>
      <c r="F207" s="14" t="n"/>
      <c r="G207" s="14" t="n"/>
      <c r="H207" s="15" t="n"/>
      <c r="I207" s="24">
        <f>IF($A207="","",IF($B207="","YETİM",IF(COUNTIF(tblKartlar[KartId],$B207)=0,"YETİM","")))</f>
        <v/>
      </c>
      <c r="J207" s="24">
        <f>IF(OR($A207="",$C207=""),"",IF(OR($C207&amp;"|"&amp;$D207="",COUNTIF(ListeIzinliGecis,$C207&amp;"|"&amp;$D207)&gt;0),"","GEÇERSİZ GEÇİŞ"))</f>
        <v/>
      </c>
      <c r="K207" s="24">
        <f>IF($A207="","",IF(OR($E207="",$G207=""),"",IF(ABS($G207-$E207)&gt;zincirTolerans,"ZİNCİR KIRIK","OK")))</f>
        <v/>
      </c>
      <c r="L207" s="24">
        <f>IF($A207="","",1)</f>
        <v/>
      </c>
    </row>
    <row r="208">
      <c r="A208" s="12" t="n"/>
      <c r="B208" s="12" t="n"/>
      <c r="C208" s="12" t="n"/>
      <c r="D208" s="12" t="n"/>
      <c r="E208" s="14" t="n"/>
      <c r="F208" s="14" t="n"/>
      <c r="G208" s="14" t="n"/>
      <c r="H208" s="15" t="n"/>
      <c r="I208" s="24">
        <f>IF($A208="","",IF($B208="","YETİM",IF(COUNTIF(tblKartlar[KartId],$B208)=0,"YETİM","")))</f>
        <v/>
      </c>
      <c r="J208" s="24">
        <f>IF(OR($A208="",$C208=""),"",IF(OR($C208&amp;"|"&amp;$D208="",COUNTIF(ListeIzinliGecis,$C208&amp;"|"&amp;$D208)&gt;0),"","GEÇERSİZ GEÇİŞ"))</f>
        <v/>
      </c>
      <c r="K208" s="24">
        <f>IF($A208="","",IF(OR($E208="",$G208=""),"",IF(ABS($G208-$E208)&gt;zincirTolerans,"ZİNCİR KIRIK","OK")))</f>
        <v/>
      </c>
      <c r="L208" s="24">
        <f>IF($A208="","",1)</f>
        <v/>
      </c>
    </row>
    <row r="209">
      <c r="A209" s="12" t="n"/>
      <c r="B209" s="12" t="n"/>
      <c r="C209" s="12" t="n"/>
      <c r="D209" s="12" t="n"/>
      <c r="E209" s="14" t="n"/>
      <c r="F209" s="14" t="n"/>
      <c r="G209" s="14" t="n"/>
      <c r="H209" s="15" t="n"/>
      <c r="I209" s="24">
        <f>IF($A209="","",IF($B209="","YETİM",IF(COUNTIF(tblKartlar[KartId],$B209)=0,"YETİM","")))</f>
        <v/>
      </c>
      <c r="J209" s="24">
        <f>IF(OR($A209="",$C209=""),"",IF(OR($C209&amp;"|"&amp;$D209="",COUNTIF(ListeIzinliGecis,$C209&amp;"|"&amp;$D209)&gt;0),"","GEÇERSİZ GEÇİŞ"))</f>
        <v/>
      </c>
      <c r="K209" s="24">
        <f>IF($A209="","",IF(OR($E209="",$G209=""),"",IF(ABS($G209-$E209)&gt;zincirTolerans,"ZİNCİR KIRIK","OK")))</f>
        <v/>
      </c>
      <c r="L209" s="24">
        <f>IF($A209="","",1)</f>
        <v/>
      </c>
    </row>
    <row r="210">
      <c r="A210" s="12" t="n"/>
      <c r="B210" s="12" t="n"/>
      <c r="C210" s="12" t="n"/>
      <c r="D210" s="12" t="n"/>
      <c r="E210" s="14" t="n"/>
      <c r="F210" s="14" t="n"/>
      <c r="G210" s="14" t="n"/>
      <c r="H210" s="15" t="n"/>
      <c r="I210" s="24">
        <f>IF($A210="","",IF($B210="","YETİM",IF(COUNTIF(tblKartlar[KartId],$B210)=0,"YETİM","")))</f>
        <v/>
      </c>
      <c r="J210" s="24">
        <f>IF(OR($A210="",$C210=""),"",IF(OR($C210&amp;"|"&amp;$D210="",COUNTIF(ListeIzinliGecis,$C210&amp;"|"&amp;$D210)&gt;0),"","GEÇERSİZ GEÇİŞ"))</f>
        <v/>
      </c>
      <c r="K210" s="24">
        <f>IF($A210="","",IF(OR($E210="",$G210=""),"",IF(ABS($G210-$E210)&gt;zincirTolerans,"ZİNCİR KIRIK","OK")))</f>
        <v/>
      </c>
      <c r="L210" s="24">
        <f>IF($A210="","",1)</f>
        <v/>
      </c>
    </row>
    <row r="211">
      <c r="A211" s="12" t="n"/>
      <c r="B211" s="12" t="n"/>
      <c r="C211" s="12" t="n"/>
      <c r="D211" s="12" t="n"/>
      <c r="E211" s="14" t="n"/>
      <c r="F211" s="14" t="n"/>
      <c r="G211" s="14" t="n"/>
      <c r="H211" s="15" t="n"/>
      <c r="I211" s="24">
        <f>IF($A211="","",IF($B211="","YETİM",IF(COUNTIF(tblKartlar[KartId],$B211)=0,"YETİM","")))</f>
        <v/>
      </c>
      <c r="J211" s="24">
        <f>IF(OR($A211="",$C211=""),"",IF(OR($C211&amp;"|"&amp;$D211="",COUNTIF(ListeIzinliGecis,$C211&amp;"|"&amp;$D211)&gt;0),"","GEÇERSİZ GEÇİŞ"))</f>
        <v/>
      </c>
      <c r="K211" s="24">
        <f>IF($A211="","",IF(OR($E211="",$G211=""),"",IF(ABS($G211-$E211)&gt;zincirTolerans,"ZİNCİR KIRIK","OK")))</f>
        <v/>
      </c>
      <c r="L211" s="24">
        <f>IF($A211="","",1)</f>
        <v/>
      </c>
    </row>
    <row r="212">
      <c r="A212" s="12" t="n"/>
      <c r="B212" s="12" t="n"/>
      <c r="C212" s="12" t="n"/>
      <c r="D212" s="12" t="n"/>
      <c r="E212" s="14" t="n"/>
      <c r="F212" s="14" t="n"/>
      <c r="G212" s="14" t="n"/>
      <c r="H212" s="15" t="n"/>
      <c r="I212" s="24">
        <f>IF($A212="","",IF($B212="","YETİM",IF(COUNTIF(tblKartlar[KartId],$B212)=0,"YETİM","")))</f>
        <v/>
      </c>
      <c r="J212" s="24">
        <f>IF(OR($A212="",$C212=""),"",IF(OR($C212&amp;"|"&amp;$D212="",COUNTIF(ListeIzinliGecis,$C212&amp;"|"&amp;$D212)&gt;0),"","GEÇERSİZ GEÇİŞ"))</f>
        <v/>
      </c>
      <c r="K212" s="24">
        <f>IF($A212="","",IF(OR($E212="",$G212=""),"",IF(ABS($G212-$E212)&gt;zincirTolerans,"ZİNCİR KIRIK","OK")))</f>
        <v/>
      </c>
      <c r="L212" s="24">
        <f>IF($A212="","",1)</f>
        <v/>
      </c>
    </row>
    <row r="213">
      <c r="A213" s="12" t="n"/>
      <c r="B213" s="12" t="n"/>
      <c r="C213" s="12" t="n"/>
      <c r="D213" s="12" t="n"/>
      <c r="E213" s="14" t="n"/>
      <c r="F213" s="14" t="n"/>
      <c r="G213" s="14" t="n"/>
      <c r="H213" s="15" t="n"/>
      <c r="I213" s="24">
        <f>IF($A213="","",IF($B213="","YETİM",IF(COUNTIF(tblKartlar[KartId],$B213)=0,"YETİM","")))</f>
        <v/>
      </c>
      <c r="J213" s="24">
        <f>IF(OR($A213="",$C213=""),"",IF(OR($C213&amp;"|"&amp;$D213="",COUNTIF(ListeIzinliGecis,$C213&amp;"|"&amp;$D213)&gt;0),"","GEÇERSİZ GEÇİŞ"))</f>
        <v/>
      </c>
      <c r="K213" s="24">
        <f>IF($A213="","",IF(OR($E213="",$G213=""),"",IF(ABS($G213-$E213)&gt;zincirTolerans,"ZİNCİR KIRIK","OK")))</f>
        <v/>
      </c>
      <c r="L213" s="24">
        <f>IF($A213="","",1)</f>
        <v/>
      </c>
    </row>
    <row r="214">
      <c r="A214" s="12" t="n"/>
      <c r="B214" s="12" t="n"/>
      <c r="C214" s="12" t="n"/>
      <c r="D214" s="12" t="n"/>
      <c r="E214" s="14" t="n"/>
      <c r="F214" s="14" t="n"/>
      <c r="G214" s="14" t="n"/>
      <c r="H214" s="15" t="n"/>
      <c r="I214" s="24">
        <f>IF($A214="","",IF($B214="","YETİM",IF(COUNTIF(tblKartlar[KartId],$B214)=0,"YETİM","")))</f>
        <v/>
      </c>
      <c r="J214" s="24">
        <f>IF(OR($A214="",$C214=""),"",IF(OR($C214&amp;"|"&amp;$D214="",COUNTIF(ListeIzinliGecis,$C214&amp;"|"&amp;$D214)&gt;0),"","GEÇERSİZ GEÇİŞ"))</f>
        <v/>
      </c>
      <c r="K214" s="24">
        <f>IF($A214="","",IF(OR($E214="",$G214=""),"",IF(ABS($G214-$E214)&gt;zincirTolerans,"ZİNCİR KIRIK","OK")))</f>
        <v/>
      </c>
      <c r="L214" s="24">
        <f>IF($A214="","",1)</f>
        <v/>
      </c>
    </row>
    <row r="215">
      <c r="A215" s="12" t="n"/>
      <c r="B215" s="12" t="n"/>
      <c r="C215" s="12" t="n"/>
      <c r="D215" s="12" t="n"/>
      <c r="E215" s="14" t="n"/>
      <c r="F215" s="14" t="n"/>
      <c r="G215" s="14" t="n"/>
      <c r="H215" s="15" t="n"/>
      <c r="I215" s="24">
        <f>IF($A215="","",IF($B215="","YETİM",IF(COUNTIF(tblKartlar[KartId],$B215)=0,"YETİM","")))</f>
        <v/>
      </c>
      <c r="J215" s="24">
        <f>IF(OR($A215="",$C215=""),"",IF(OR($C215&amp;"|"&amp;$D215="",COUNTIF(ListeIzinliGecis,$C215&amp;"|"&amp;$D215)&gt;0),"","GEÇERSİZ GEÇİŞ"))</f>
        <v/>
      </c>
      <c r="K215" s="24">
        <f>IF($A215="","",IF(OR($E215="",$G215=""),"",IF(ABS($G215-$E215)&gt;zincirTolerans,"ZİNCİR KIRIK","OK")))</f>
        <v/>
      </c>
      <c r="L215" s="24">
        <f>IF($A215="","",1)</f>
        <v/>
      </c>
    </row>
    <row r="216">
      <c r="A216" s="12" t="n"/>
      <c r="B216" s="12" t="n"/>
      <c r="C216" s="12" t="n"/>
      <c r="D216" s="12" t="n"/>
      <c r="E216" s="14" t="n"/>
      <c r="F216" s="14" t="n"/>
      <c r="G216" s="14" t="n"/>
      <c r="H216" s="15" t="n"/>
      <c r="I216" s="24">
        <f>IF($A216="","",IF($B216="","YETİM",IF(COUNTIF(tblKartlar[KartId],$B216)=0,"YETİM","")))</f>
        <v/>
      </c>
      <c r="J216" s="24">
        <f>IF(OR($A216="",$C216=""),"",IF(OR($C216&amp;"|"&amp;$D216="",COUNTIF(ListeIzinliGecis,$C216&amp;"|"&amp;$D216)&gt;0),"","GEÇERSİZ GEÇİŞ"))</f>
        <v/>
      </c>
      <c r="K216" s="24">
        <f>IF($A216="","",IF(OR($E216="",$G216=""),"",IF(ABS($G216-$E216)&gt;zincirTolerans,"ZİNCİR KIRIK","OK")))</f>
        <v/>
      </c>
      <c r="L216" s="24">
        <f>IF($A216="","",1)</f>
        <v/>
      </c>
    </row>
    <row r="217">
      <c r="A217" s="12" t="n"/>
      <c r="B217" s="12" t="n"/>
      <c r="C217" s="12" t="n"/>
      <c r="D217" s="12" t="n"/>
      <c r="E217" s="14" t="n"/>
      <c r="F217" s="14" t="n"/>
      <c r="G217" s="14" t="n"/>
      <c r="H217" s="15" t="n"/>
      <c r="I217" s="24">
        <f>IF($A217="","",IF($B217="","YETİM",IF(COUNTIF(tblKartlar[KartId],$B217)=0,"YETİM","")))</f>
        <v/>
      </c>
      <c r="J217" s="24">
        <f>IF(OR($A217="",$C217=""),"",IF(OR($C217&amp;"|"&amp;$D217="",COUNTIF(ListeIzinliGecis,$C217&amp;"|"&amp;$D217)&gt;0),"","GEÇERSİZ GEÇİŞ"))</f>
        <v/>
      </c>
      <c r="K217" s="24">
        <f>IF($A217="","",IF(OR($E217="",$G217=""),"",IF(ABS($G217-$E217)&gt;zincirTolerans,"ZİNCİR KIRIK","OK")))</f>
        <v/>
      </c>
      <c r="L217" s="24">
        <f>IF($A217="","",1)</f>
        <v/>
      </c>
    </row>
    <row r="218">
      <c r="A218" s="12" t="n"/>
      <c r="B218" s="12" t="n"/>
      <c r="C218" s="12" t="n"/>
      <c r="D218" s="12" t="n"/>
      <c r="E218" s="14" t="n"/>
      <c r="F218" s="14" t="n"/>
      <c r="G218" s="14" t="n"/>
      <c r="H218" s="15" t="n"/>
      <c r="I218" s="24">
        <f>IF($A218="","",IF($B218="","YETİM",IF(COUNTIF(tblKartlar[KartId],$B218)=0,"YETİM","")))</f>
        <v/>
      </c>
      <c r="J218" s="24">
        <f>IF(OR($A218="",$C218=""),"",IF(OR($C218&amp;"|"&amp;$D218="",COUNTIF(ListeIzinliGecis,$C218&amp;"|"&amp;$D218)&gt;0),"","GEÇERSİZ GEÇİŞ"))</f>
        <v/>
      </c>
      <c r="K218" s="24">
        <f>IF($A218="","",IF(OR($E218="",$G218=""),"",IF(ABS($G218-$E218)&gt;zincirTolerans,"ZİNCİR KIRIK","OK")))</f>
        <v/>
      </c>
      <c r="L218" s="24">
        <f>IF($A218="","",1)</f>
        <v/>
      </c>
    </row>
    <row r="219">
      <c r="A219" s="12" t="n"/>
      <c r="B219" s="12" t="n"/>
      <c r="C219" s="12" t="n"/>
      <c r="D219" s="12" t="n"/>
      <c r="E219" s="14" t="n"/>
      <c r="F219" s="14" t="n"/>
      <c r="G219" s="14" t="n"/>
      <c r="H219" s="15" t="n"/>
      <c r="I219" s="24">
        <f>IF($A219="","",IF($B219="","YETİM",IF(COUNTIF(tblKartlar[KartId],$B219)=0,"YETİM","")))</f>
        <v/>
      </c>
      <c r="J219" s="24">
        <f>IF(OR($A219="",$C219=""),"",IF(OR($C219&amp;"|"&amp;$D219="",COUNTIF(ListeIzinliGecis,$C219&amp;"|"&amp;$D219)&gt;0),"","GEÇERSİZ GEÇİŞ"))</f>
        <v/>
      </c>
      <c r="K219" s="24">
        <f>IF($A219="","",IF(OR($E219="",$G219=""),"",IF(ABS($G219-$E219)&gt;zincirTolerans,"ZİNCİR KIRIK","OK")))</f>
        <v/>
      </c>
      <c r="L219" s="24">
        <f>IF($A219="","",1)</f>
        <v/>
      </c>
    </row>
    <row r="220">
      <c r="A220" s="12" t="n"/>
      <c r="B220" s="12" t="n"/>
      <c r="C220" s="12" t="n"/>
      <c r="D220" s="12" t="n"/>
      <c r="E220" s="14" t="n"/>
      <c r="F220" s="14" t="n"/>
      <c r="G220" s="14" t="n"/>
      <c r="H220" s="15" t="n"/>
      <c r="I220" s="24">
        <f>IF($A220="","",IF($B220="","YETİM",IF(COUNTIF(tblKartlar[KartId],$B220)=0,"YETİM","")))</f>
        <v/>
      </c>
      <c r="J220" s="24">
        <f>IF(OR($A220="",$C220=""),"",IF(OR($C220&amp;"|"&amp;$D220="",COUNTIF(ListeIzinliGecis,$C220&amp;"|"&amp;$D220)&gt;0),"","GEÇERSİZ GEÇİŞ"))</f>
        <v/>
      </c>
      <c r="K220" s="24">
        <f>IF($A220="","",IF(OR($E220="",$G220=""),"",IF(ABS($G220-$E220)&gt;zincirTolerans,"ZİNCİR KIRIK","OK")))</f>
        <v/>
      </c>
      <c r="L220" s="24">
        <f>IF($A220="","",1)</f>
        <v/>
      </c>
    </row>
    <row r="221">
      <c r="A221" s="12" t="n"/>
      <c r="B221" s="12" t="n"/>
      <c r="C221" s="12" t="n"/>
      <c r="D221" s="12" t="n"/>
      <c r="E221" s="14" t="n"/>
      <c r="F221" s="14" t="n"/>
      <c r="G221" s="14" t="n"/>
      <c r="H221" s="15" t="n"/>
      <c r="I221" s="24">
        <f>IF($A221="","",IF($B221="","YETİM",IF(COUNTIF(tblKartlar[KartId],$B221)=0,"YETİM","")))</f>
        <v/>
      </c>
      <c r="J221" s="24">
        <f>IF(OR($A221="",$C221=""),"",IF(OR($C221&amp;"|"&amp;$D221="",COUNTIF(ListeIzinliGecis,$C221&amp;"|"&amp;$D221)&gt;0),"","GEÇERSİZ GEÇİŞ"))</f>
        <v/>
      </c>
      <c r="K221" s="24">
        <f>IF($A221="","",IF(OR($E221="",$G221=""),"",IF(ABS($G221-$E221)&gt;zincirTolerans,"ZİNCİR KIRIK","OK")))</f>
        <v/>
      </c>
      <c r="L221" s="24">
        <f>IF($A221="","",1)</f>
        <v/>
      </c>
    </row>
    <row r="222">
      <c r="A222" s="12" t="n"/>
      <c r="B222" s="12" t="n"/>
      <c r="C222" s="12" t="n"/>
      <c r="D222" s="12" t="n"/>
      <c r="E222" s="14" t="n"/>
      <c r="F222" s="14" t="n"/>
      <c r="G222" s="14" t="n"/>
      <c r="H222" s="15" t="n"/>
      <c r="I222" s="24">
        <f>IF($A222="","",IF($B222="","YETİM",IF(COUNTIF(tblKartlar[KartId],$B222)=0,"YETİM","")))</f>
        <v/>
      </c>
      <c r="J222" s="24">
        <f>IF(OR($A222="",$C222=""),"",IF(OR($C222&amp;"|"&amp;$D222="",COUNTIF(ListeIzinliGecis,$C222&amp;"|"&amp;$D222)&gt;0),"","GEÇERSİZ GEÇİŞ"))</f>
        <v/>
      </c>
      <c r="K222" s="24">
        <f>IF($A222="","",IF(OR($E222="",$G222=""),"",IF(ABS($G222-$E222)&gt;zincirTolerans,"ZİNCİR KIRIK","OK")))</f>
        <v/>
      </c>
      <c r="L222" s="24">
        <f>IF($A222="","",1)</f>
        <v/>
      </c>
    </row>
    <row r="223">
      <c r="A223" s="12" t="n"/>
      <c r="B223" s="12" t="n"/>
      <c r="C223" s="12" t="n"/>
      <c r="D223" s="12" t="n"/>
      <c r="E223" s="14" t="n"/>
      <c r="F223" s="14" t="n"/>
      <c r="G223" s="14" t="n"/>
      <c r="H223" s="15" t="n"/>
      <c r="I223" s="24">
        <f>IF($A223="","",IF($B223="","YETİM",IF(COUNTIF(tblKartlar[KartId],$B223)=0,"YETİM","")))</f>
        <v/>
      </c>
      <c r="J223" s="24">
        <f>IF(OR($A223="",$C223=""),"",IF(OR($C223&amp;"|"&amp;$D223="",COUNTIF(ListeIzinliGecis,$C223&amp;"|"&amp;$D223)&gt;0),"","GEÇERSİZ GEÇİŞ"))</f>
        <v/>
      </c>
      <c r="K223" s="24">
        <f>IF($A223="","",IF(OR($E223="",$G223=""),"",IF(ABS($G223-$E223)&gt;zincirTolerans,"ZİNCİR KIRIK","OK")))</f>
        <v/>
      </c>
      <c r="L223" s="24">
        <f>IF($A223="","",1)</f>
        <v/>
      </c>
    </row>
    <row r="224">
      <c r="A224" s="12" t="n"/>
      <c r="B224" s="12" t="n"/>
      <c r="C224" s="12" t="n"/>
      <c r="D224" s="12" t="n"/>
      <c r="E224" s="14" t="n"/>
      <c r="F224" s="14" t="n"/>
      <c r="G224" s="14" t="n"/>
      <c r="H224" s="15" t="n"/>
      <c r="I224" s="24">
        <f>IF($A224="","",IF($B224="","YETİM",IF(COUNTIF(tblKartlar[KartId],$B224)=0,"YETİM","")))</f>
        <v/>
      </c>
      <c r="J224" s="24">
        <f>IF(OR($A224="",$C224=""),"",IF(OR($C224&amp;"|"&amp;$D224="",COUNTIF(ListeIzinliGecis,$C224&amp;"|"&amp;$D224)&gt;0),"","GEÇERSİZ GEÇİŞ"))</f>
        <v/>
      </c>
      <c r="K224" s="24">
        <f>IF($A224="","",IF(OR($E224="",$G224=""),"",IF(ABS($G224-$E224)&gt;zincirTolerans,"ZİNCİR KIRIK","OK")))</f>
        <v/>
      </c>
      <c r="L224" s="24">
        <f>IF($A224="","",1)</f>
        <v/>
      </c>
    </row>
    <row r="225">
      <c r="A225" s="12" t="n"/>
      <c r="B225" s="12" t="n"/>
      <c r="C225" s="12" t="n"/>
      <c r="D225" s="12" t="n"/>
      <c r="E225" s="14" t="n"/>
      <c r="F225" s="14" t="n"/>
      <c r="G225" s="14" t="n"/>
      <c r="H225" s="15" t="n"/>
      <c r="I225" s="24">
        <f>IF($A225="","",IF($B225="","YETİM",IF(COUNTIF(tblKartlar[KartId],$B225)=0,"YETİM","")))</f>
        <v/>
      </c>
      <c r="J225" s="24">
        <f>IF(OR($A225="",$C225=""),"",IF(OR($C225&amp;"|"&amp;$D225="",COUNTIF(ListeIzinliGecis,$C225&amp;"|"&amp;$D225)&gt;0),"","GEÇERSİZ GEÇİŞ"))</f>
        <v/>
      </c>
      <c r="K225" s="24">
        <f>IF($A225="","",IF(OR($E225="",$G225=""),"",IF(ABS($G225-$E225)&gt;zincirTolerans,"ZİNCİR KIRIK","OK")))</f>
        <v/>
      </c>
      <c r="L225" s="24">
        <f>IF($A225="","",1)</f>
        <v/>
      </c>
    </row>
    <row r="226">
      <c r="A226" s="12" t="n"/>
      <c r="B226" s="12" t="n"/>
      <c r="C226" s="12" t="n"/>
      <c r="D226" s="12" t="n"/>
      <c r="E226" s="14" t="n"/>
      <c r="F226" s="14" t="n"/>
      <c r="G226" s="14" t="n"/>
      <c r="H226" s="15" t="n"/>
      <c r="I226" s="24">
        <f>IF($A226="","",IF($B226="","YETİM",IF(COUNTIF(tblKartlar[KartId],$B226)=0,"YETİM","")))</f>
        <v/>
      </c>
      <c r="J226" s="24">
        <f>IF(OR($A226="",$C226=""),"",IF(OR($C226&amp;"|"&amp;$D226="",COUNTIF(ListeIzinliGecis,$C226&amp;"|"&amp;$D226)&gt;0),"","GEÇERSİZ GEÇİŞ"))</f>
        <v/>
      </c>
      <c r="K226" s="24">
        <f>IF($A226="","",IF(OR($E226="",$G226=""),"",IF(ABS($G226-$E226)&gt;zincirTolerans,"ZİNCİR KIRIK","OK")))</f>
        <v/>
      </c>
      <c r="L226" s="24">
        <f>IF($A226="","",1)</f>
        <v/>
      </c>
    </row>
    <row r="227">
      <c r="A227" s="12" t="n"/>
      <c r="B227" s="12" t="n"/>
      <c r="C227" s="12" t="n"/>
      <c r="D227" s="12" t="n"/>
      <c r="E227" s="14" t="n"/>
      <c r="F227" s="14" t="n"/>
      <c r="G227" s="14" t="n"/>
      <c r="H227" s="15" t="n"/>
      <c r="I227" s="24">
        <f>IF($A227="","",IF($B227="","YETİM",IF(COUNTIF(tblKartlar[KartId],$B227)=0,"YETİM","")))</f>
        <v/>
      </c>
      <c r="J227" s="24">
        <f>IF(OR($A227="",$C227=""),"",IF(OR($C227&amp;"|"&amp;$D227="",COUNTIF(ListeIzinliGecis,$C227&amp;"|"&amp;$D227)&gt;0),"","GEÇERSİZ GEÇİŞ"))</f>
        <v/>
      </c>
      <c r="K227" s="24">
        <f>IF($A227="","",IF(OR($E227="",$G227=""),"",IF(ABS($G227-$E227)&gt;zincirTolerans,"ZİNCİR KIRIK","OK")))</f>
        <v/>
      </c>
      <c r="L227" s="24">
        <f>IF($A227="","",1)</f>
        <v/>
      </c>
    </row>
    <row r="228">
      <c r="A228" s="12" t="n"/>
      <c r="B228" s="12" t="n"/>
      <c r="C228" s="12" t="n"/>
      <c r="D228" s="12" t="n"/>
      <c r="E228" s="14" t="n"/>
      <c r="F228" s="14" t="n"/>
      <c r="G228" s="14" t="n"/>
      <c r="H228" s="15" t="n"/>
      <c r="I228" s="24">
        <f>IF($A228="","",IF($B228="","YETİM",IF(COUNTIF(tblKartlar[KartId],$B228)=0,"YETİM","")))</f>
        <v/>
      </c>
      <c r="J228" s="24">
        <f>IF(OR($A228="",$C228=""),"",IF(OR($C228&amp;"|"&amp;$D228="",COUNTIF(ListeIzinliGecis,$C228&amp;"|"&amp;$D228)&gt;0),"","GEÇERSİZ GEÇİŞ"))</f>
        <v/>
      </c>
      <c r="K228" s="24">
        <f>IF($A228="","",IF(OR($E228="",$G228=""),"",IF(ABS($G228-$E228)&gt;zincirTolerans,"ZİNCİR KIRIK","OK")))</f>
        <v/>
      </c>
      <c r="L228" s="24">
        <f>IF($A228="","",1)</f>
        <v/>
      </c>
    </row>
    <row r="229">
      <c r="A229" s="12" t="n"/>
      <c r="B229" s="12" t="n"/>
      <c r="C229" s="12" t="n"/>
      <c r="D229" s="12" t="n"/>
      <c r="E229" s="14" t="n"/>
      <c r="F229" s="14" t="n"/>
      <c r="G229" s="14" t="n"/>
      <c r="H229" s="15" t="n"/>
      <c r="I229" s="24">
        <f>IF($A229="","",IF($B229="","YETİM",IF(COUNTIF(tblKartlar[KartId],$B229)=0,"YETİM","")))</f>
        <v/>
      </c>
      <c r="J229" s="24">
        <f>IF(OR($A229="",$C229=""),"",IF(OR($C229&amp;"|"&amp;$D229="",COUNTIF(ListeIzinliGecis,$C229&amp;"|"&amp;$D229)&gt;0),"","GEÇERSİZ GEÇİŞ"))</f>
        <v/>
      </c>
      <c r="K229" s="24">
        <f>IF($A229="","",IF(OR($E229="",$G229=""),"",IF(ABS($G229-$E229)&gt;zincirTolerans,"ZİNCİR KIRIK","OK")))</f>
        <v/>
      </c>
      <c r="L229" s="24">
        <f>IF($A229="","",1)</f>
        <v/>
      </c>
    </row>
    <row r="230">
      <c r="A230" s="12" t="n"/>
      <c r="B230" s="12" t="n"/>
      <c r="C230" s="12" t="n"/>
      <c r="D230" s="12" t="n"/>
      <c r="E230" s="14" t="n"/>
      <c r="F230" s="14" t="n"/>
      <c r="G230" s="14" t="n"/>
      <c r="H230" s="15" t="n"/>
      <c r="I230" s="24">
        <f>IF($A230="","",IF($B230="","YETİM",IF(COUNTIF(tblKartlar[KartId],$B230)=0,"YETİM","")))</f>
        <v/>
      </c>
      <c r="J230" s="24">
        <f>IF(OR($A230="",$C230=""),"",IF(OR($C230&amp;"|"&amp;$D230="",COUNTIF(ListeIzinliGecis,$C230&amp;"|"&amp;$D230)&gt;0),"","GEÇERSİZ GEÇİŞ"))</f>
        <v/>
      </c>
      <c r="K230" s="24">
        <f>IF($A230="","",IF(OR($E230="",$G230=""),"",IF(ABS($G230-$E230)&gt;zincirTolerans,"ZİNCİR KIRIK","OK")))</f>
        <v/>
      </c>
      <c r="L230" s="24">
        <f>IF($A230="","",1)</f>
        <v/>
      </c>
    </row>
    <row r="231">
      <c r="A231" s="12" t="n"/>
      <c r="B231" s="12" t="n"/>
      <c r="C231" s="12" t="n"/>
      <c r="D231" s="12" t="n"/>
      <c r="E231" s="14" t="n"/>
      <c r="F231" s="14" t="n"/>
      <c r="G231" s="14" t="n"/>
      <c r="H231" s="15" t="n"/>
      <c r="I231" s="24">
        <f>IF($A231="","",IF($B231="","YETİM",IF(COUNTIF(tblKartlar[KartId],$B231)=0,"YETİM","")))</f>
        <v/>
      </c>
      <c r="J231" s="24">
        <f>IF(OR($A231="",$C231=""),"",IF(OR($C231&amp;"|"&amp;$D231="",COUNTIF(ListeIzinliGecis,$C231&amp;"|"&amp;$D231)&gt;0),"","GEÇERSİZ GEÇİŞ"))</f>
        <v/>
      </c>
      <c r="K231" s="24">
        <f>IF($A231="","",IF(OR($E231="",$G231=""),"",IF(ABS($G231-$E231)&gt;zincirTolerans,"ZİNCİR KIRIK","OK")))</f>
        <v/>
      </c>
      <c r="L231" s="24">
        <f>IF($A231="","",1)</f>
        <v/>
      </c>
    </row>
    <row r="232">
      <c r="A232" s="12" t="n"/>
      <c r="B232" s="12" t="n"/>
      <c r="C232" s="12" t="n"/>
      <c r="D232" s="12" t="n"/>
      <c r="E232" s="14" t="n"/>
      <c r="F232" s="14" t="n"/>
      <c r="G232" s="14" t="n"/>
      <c r="H232" s="15" t="n"/>
      <c r="I232" s="24">
        <f>IF($A232="","",IF($B232="","YETİM",IF(COUNTIF(tblKartlar[KartId],$B232)=0,"YETİM","")))</f>
        <v/>
      </c>
      <c r="J232" s="24">
        <f>IF(OR($A232="",$C232=""),"",IF(OR($C232&amp;"|"&amp;$D232="",COUNTIF(ListeIzinliGecis,$C232&amp;"|"&amp;$D232)&gt;0),"","GEÇERSİZ GEÇİŞ"))</f>
        <v/>
      </c>
      <c r="K232" s="24">
        <f>IF($A232="","",IF(OR($E232="",$G232=""),"",IF(ABS($G232-$E232)&gt;zincirTolerans,"ZİNCİR KIRIK","OK")))</f>
        <v/>
      </c>
      <c r="L232" s="24">
        <f>IF($A232="","",1)</f>
        <v/>
      </c>
    </row>
    <row r="233">
      <c r="A233" s="12" t="n"/>
      <c r="B233" s="12" t="n"/>
      <c r="C233" s="12" t="n"/>
      <c r="D233" s="12" t="n"/>
      <c r="E233" s="14" t="n"/>
      <c r="F233" s="14" t="n"/>
      <c r="G233" s="14" t="n"/>
      <c r="H233" s="15" t="n"/>
      <c r="I233" s="24">
        <f>IF($A233="","",IF($B233="","YETİM",IF(COUNTIF(tblKartlar[KartId],$B233)=0,"YETİM","")))</f>
        <v/>
      </c>
      <c r="J233" s="24">
        <f>IF(OR($A233="",$C233=""),"",IF(OR($C233&amp;"|"&amp;$D233="",COUNTIF(ListeIzinliGecis,$C233&amp;"|"&amp;$D233)&gt;0),"","GEÇERSİZ GEÇİŞ"))</f>
        <v/>
      </c>
      <c r="K233" s="24">
        <f>IF($A233="","",IF(OR($E233="",$G233=""),"",IF(ABS($G233-$E233)&gt;zincirTolerans,"ZİNCİR KIRIK","OK")))</f>
        <v/>
      </c>
      <c r="L233" s="24">
        <f>IF($A233="","",1)</f>
        <v/>
      </c>
    </row>
    <row r="234">
      <c r="A234" s="12" t="n"/>
      <c r="B234" s="12" t="n"/>
      <c r="C234" s="12" t="n"/>
      <c r="D234" s="12" t="n"/>
      <c r="E234" s="14" t="n"/>
      <c r="F234" s="14" t="n"/>
      <c r="G234" s="14" t="n"/>
      <c r="H234" s="15" t="n"/>
      <c r="I234" s="24">
        <f>IF($A234="","",IF($B234="","YETİM",IF(COUNTIF(tblKartlar[KartId],$B234)=0,"YETİM","")))</f>
        <v/>
      </c>
      <c r="J234" s="24">
        <f>IF(OR($A234="",$C234=""),"",IF(OR($C234&amp;"|"&amp;$D234="",COUNTIF(ListeIzinliGecis,$C234&amp;"|"&amp;$D234)&gt;0),"","GEÇERSİZ GEÇİŞ"))</f>
        <v/>
      </c>
      <c r="K234" s="24">
        <f>IF($A234="","",IF(OR($E234="",$G234=""),"",IF(ABS($G234-$E234)&gt;zincirTolerans,"ZİNCİR KIRIK","OK")))</f>
        <v/>
      </c>
      <c r="L234" s="24">
        <f>IF($A234="","",1)</f>
        <v/>
      </c>
    </row>
    <row r="235">
      <c r="A235" s="12" t="n"/>
      <c r="B235" s="12" t="n"/>
      <c r="C235" s="12" t="n"/>
      <c r="D235" s="12" t="n"/>
      <c r="E235" s="14" t="n"/>
      <c r="F235" s="14" t="n"/>
      <c r="G235" s="14" t="n"/>
      <c r="H235" s="15" t="n"/>
      <c r="I235" s="24">
        <f>IF($A235="","",IF($B235="","YETİM",IF(COUNTIF(tblKartlar[KartId],$B235)=0,"YETİM","")))</f>
        <v/>
      </c>
      <c r="J235" s="24">
        <f>IF(OR($A235="",$C235=""),"",IF(OR($C235&amp;"|"&amp;$D235="",COUNTIF(ListeIzinliGecis,$C235&amp;"|"&amp;$D235)&gt;0),"","GEÇERSİZ GEÇİŞ"))</f>
        <v/>
      </c>
      <c r="K235" s="24">
        <f>IF($A235="","",IF(OR($E235="",$G235=""),"",IF(ABS($G235-$E235)&gt;zincirTolerans,"ZİNCİR KIRIK","OK")))</f>
        <v/>
      </c>
      <c r="L235" s="24">
        <f>IF($A235="","",1)</f>
        <v/>
      </c>
    </row>
    <row r="236">
      <c r="A236" s="12" t="n"/>
      <c r="B236" s="12" t="n"/>
      <c r="C236" s="12" t="n"/>
      <c r="D236" s="12" t="n"/>
      <c r="E236" s="14" t="n"/>
      <c r="F236" s="14" t="n"/>
      <c r="G236" s="14" t="n"/>
      <c r="H236" s="15" t="n"/>
      <c r="I236" s="24">
        <f>IF($A236="","",IF($B236="","YETİM",IF(COUNTIF(tblKartlar[KartId],$B236)=0,"YETİM","")))</f>
        <v/>
      </c>
      <c r="J236" s="24">
        <f>IF(OR($A236="",$C236=""),"",IF(OR($C236&amp;"|"&amp;$D236="",COUNTIF(ListeIzinliGecis,$C236&amp;"|"&amp;$D236)&gt;0),"","GEÇERSİZ GEÇİŞ"))</f>
        <v/>
      </c>
      <c r="K236" s="24">
        <f>IF($A236="","",IF(OR($E236="",$G236=""),"",IF(ABS($G236-$E236)&gt;zincirTolerans,"ZİNCİR KIRIK","OK")))</f>
        <v/>
      </c>
      <c r="L236" s="24">
        <f>IF($A236="","",1)</f>
        <v/>
      </c>
    </row>
    <row r="237">
      <c r="A237" s="12" t="n"/>
      <c r="B237" s="12" t="n"/>
      <c r="C237" s="12" t="n"/>
      <c r="D237" s="12" t="n"/>
      <c r="E237" s="14" t="n"/>
      <c r="F237" s="14" t="n"/>
      <c r="G237" s="14" t="n"/>
      <c r="H237" s="15" t="n"/>
      <c r="I237" s="24">
        <f>IF($A237="","",IF($B237="","YETİM",IF(COUNTIF(tblKartlar[KartId],$B237)=0,"YETİM","")))</f>
        <v/>
      </c>
      <c r="J237" s="24">
        <f>IF(OR($A237="",$C237=""),"",IF(OR($C237&amp;"|"&amp;$D237="",COUNTIF(ListeIzinliGecis,$C237&amp;"|"&amp;$D237)&gt;0),"","GEÇERSİZ GEÇİŞ"))</f>
        <v/>
      </c>
      <c r="K237" s="24">
        <f>IF($A237="","",IF(OR($E237="",$G237=""),"",IF(ABS($G237-$E237)&gt;zincirTolerans,"ZİNCİR KIRIK","OK")))</f>
        <v/>
      </c>
      <c r="L237" s="24">
        <f>IF($A237="","",1)</f>
        <v/>
      </c>
    </row>
    <row r="238">
      <c r="A238" s="12" t="n"/>
      <c r="B238" s="12" t="n"/>
      <c r="C238" s="12" t="n"/>
      <c r="D238" s="12" t="n"/>
      <c r="E238" s="14" t="n"/>
      <c r="F238" s="14" t="n"/>
      <c r="G238" s="14" t="n"/>
      <c r="H238" s="15" t="n"/>
      <c r="I238" s="24">
        <f>IF($A238="","",IF($B238="","YETİM",IF(COUNTIF(tblKartlar[KartId],$B238)=0,"YETİM","")))</f>
        <v/>
      </c>
      <c r="J238" s="24">
        <f>IF(OR($A238="",$C238=""),"",IF(OR($C238&amp;"|"&amp;$D238="",COUNTIF(ListeIzinliGecis,$C238&amp;"|"&amp;$D238)&gt;0),"","GEÇERSİZ GEÇİŞ"))</f>
        <v/>
      </c>
      <c r="K238" s="24">
        <f>IF($A238="","",IF(OR($E238="",$G238=""),"",IF(ABS($G238-$E238)&gt;zincirTolerans,"ZİNCİR KIRIK","OK")))</f>
        <v/>
      </c>
      <c r="L238" s="24">
        <f>IF($A238="","",1)</f>
        <v/>
      </c>
    </row>
    <row r="239">
      <c r="A239" s="12" t="n"/>
      <c r="B239" s="12" t="n"/>
      <c r="C239" s="12" t="n"/>
      <c r="D239" s="12" t="n"/>
      <c r="E239" s="14" t="n"/>
      <c r="F239" s="14" t="n"/>
      <c r="G239" s="14" t="n"/>
      <c r="H239" s="15" t="n"/>
      <c r="I239" s="24">
        <f>IF($A239="","",IF($B239="","YETİM",IF(COUNTIF(tblKartlar[KartId],$B239)=0,"YETİM","")))</f>
        <v/>
      </c>
      <c r="J239" s="24">
        <f>IF(OR($A239="",$C239=""),"",IF(OR($C239&amp;"|"&amp;$D239="",COUNTIF(ListeIzinliGecis,$C239&amp;"|"&amp;$D239)&gt;0),"","GEÇERSİZ GEÇİŞ"))</f>
        <v/>
      </c>
      <c r="K239" s="24">
        <f>IF($A239="","",IF(OR($E239="",$G239=""),"",IF(ABS($G239-$E239)&gt;zincirTolerans,"ZİNCİR KIRIK","OK")))</f>
        <v/>
      </c>
      <c r="L239" s="24">
        <f>IF($A239="","",1)</f>
        <v/>
      </c>
    </row>
    <row r="240">
      <c r="A240" s="12" t="n"/>
      <c r="B240" s="12" t="n"/>
      <c r="C240" s="12" t="n"/>
      <c r="D240" s="12" t="n"/>
      <c r="E240" s="14" t="n"/>
      <c r="F240" s="14" t="n"/>
      <c r="G240" s="14" t="n"/>
      <c r="H240" s="15" t="n"/>
      <c r="I240" s="24">
        <f>IF($A240="","",IF($B240="","YETİM",IF(COUNTIF(tblKartlar[KartId],$B240)=0,"YETİM","")))</f>
        <v/>
      </c>
      <c r="J240" s="24">
        <f>IF(OR($A240="",$C240=""),"",IF(OR($C240&amp;"|"&amp;$D240="",COUNTIF(ListeIzinliGecis,$C240&amp;"|"&amp;$D240)&gt;0),"","GEÇERSİZ GEÇİŞ"))</f>
        <v/>
      </c>
      <c r="K240" s="24">
        <f>IF($A240="","",IF(OR($E240="",$G240=""),"",IF(ABS($G240-$E240)&gt;zincirTolerans,"ZİNCİR KIRIK","OK")))</f>
        <v/>
      </c>
      <c r="L240" s="24">
        <f>IF($A240="","",1)</f>
        <v/>
      </c>
    </row>
    <row r="241">
      <c r="A241" s="12" t="n"/>
      <c r="B241" s="12" t="n"/>
      <c r="C241" s="12" t="n"/>
      <c r="D241" s="12" t="n"/>
      <c r="E241" s="14" t="n"/>
      <c r="F241" s="14" t="n"/>
      <c r="G241" s="14" t="n"/>
      <c r="H241" s="15" t="n"/>
      <c r="I241" s="24">
        <f>IF($A241="","",IF($B241="","YETİM",IF(COUNTIF(tblKartlar[KartId],$B241)=0,"YETİM","")))</f>
        <v/>
      </c>
      <c r="J241" s="24">
        <f>IF(OR($A241="",$C241=""),"",IF(OR($C241&amp;"|"&amp;$D241="",COUNTIF(ListeIzinliGecis,$C241&amp;"|"&amp;$D241)&gt;0),"","GEÇERSİZ GEÇİŞ"))</f>
        <v/>
      </c>
      <c r="K241" s="24">
        <f>IF($A241="","",IF(OR($E241="",$G241=""),"",IF(ABS($G241-$E241)&gt;zincirTolerans,"ZİNCİR KIRIK","OK")))</f>
        <v/>
      </c>
      <c r="L241" s="24">
        <f>IF($A241="","",1)</f>
        <v/>
      </c>
    </row>
    <row r="242">
      <c r="A242" s="12" t="n"/>
      <c r="B242" s="12" t="n"/>
      <c r="C242" s="12" t="n"/>
      <c r="D242" s="12" t="n"/>
      <c r="E242" s="14" t="n"/>
      <c r="F242" s="14" t="n"/>
      <c r="G242" s="14" t="n"/>
      <c r="H242" s="15" t="n"/>
      <c r="I242" s="24">
        <f>IF($A242="","",IF($B242="","YETİM",IF(COUNTIF(tblKartlar[KartId],$B242)=0,"YETİM","")))</f>
        <v/>
      </c>
      <c r="J242" s="24">
        <f>IF(OR($A242="",$C242=""),"",IF(OR($C242&amp;"|"&amp;$D242="",COUNTIF(ListeIzinliGecis,$C242&amp;"|"&amp;$D242)&gt;0),"","GEÇERSİZ GEÇİŞ"))</f>
        <v/>
      </c>
      <c r="K242" s="24">
        <f>IF($A242="","",IF(OR($E242="",$G242=""),"",IF(ABS($G242-$E242)&gt;zincirTolerans,"ZİNCİR KIRIK","OK")))</f>
        <v/>
      </c>
      <c r="L242" s="24">
        <f>IF($A242="","",1)</f>
        <v/>
      </c>
    </row>
    <row r="243">
      <c r="A243" s="12" t="n"/>
      <c r="B243" s="12" t="n"/>
      <c r="C243" s="12" t="n"/>
      <c r="D243" s="12" t="n"/>
      <c r="E243" s="14" t="n"/>
      <c r="F243" s="14" t="n"/>
      <c r="G243" s="14" t="n"/>
      <c r="H243" s="15" t="n"/>
      <c r="I243" s="24">
        <f>IF($A243="","",IF($B243="","YETİM",IF(COUNTIF(tblKartlar[KartId],$B243)=0,"YETİM","")))</f>
        <v/>
      </c>
      <c r="J243" s="24">
        <f>IF(OR($A243="",$C243=""),"",IF(OR($C243&amp;"|"&amp;$D243="",COUNTIF(ListeIzinliGecis,$C243&amp;"|"&amp;$D243)&gt;0),"","GEÇERSİZ GEÇİŞ"))</f>
        <v/>
      </c>
      <c r="K243" s="24">
        <f>IF($A243="","",IF(OR($E243="",$G243=""),"",IF(ABS($G243-$E243)&gt;zincirTolerans,"ZİNCİR KIRIK","OK")))</f>
        <v/>
      </c>
      <c r="L243" s="24">
        <f>IF($A243="","",1)</f>
        <v/>
      </c>
    </row>
    <row r="244">
      <c r="A244" s="12" t="n"/>
      <c r="B244" s="12" t="n"/>
      <c r="C244" s="12" t="n"/>
      <c r="D244" s="12" t="n"/>
      <c r="E244" s="14" t="n"/>
      <c r="F244" s="14" t="n"/>
      <c r="G244" s="14" t="n"/>
      <c r="H244" s="15" t="n"/>
      <c r="I244" s="24">
        <f>IF($A244="","",IF($B244="","YETİM",IF(COUNTIF(tblKartlar[KartId],$B244)=0,"YETİM","")))</f>
        <v/>
      </c>
      <c r="J244" s="24">
        <f>IF(OR($A244="",$C244=""),"",IF(OR($C244&amp;"|"&amp;$D244="",COUNTIF(ListeIzinliGecis,$C244&amp;"|"&amp;$D244)&gt;0),"","GEÇERSİZ GEÇİŞ"))</f>
        <v/>
      </c>
      <c r="K244" s="24">
        <f>IF($A244="","",IF(OR($E244="",$G244=""),"",IF(ABS($G244-$E244)&gt;zincirTolerans,"ZİNCİR KIRIK","OK")))</f>
        <v/>
      </c>
      <c r="L244" s="24">
        <f>IF($A244="","",1)</f>
        <v/>
      </c>
    </row>
    <row r="245">
      <c r="A245" s="12" t="n"/>
      <c r="B245" s="12" t="n"/>
      <c r="C245" s="12" t="n"/>
      <c r="D245" s="12" t="n"/>
      <c r="E245" s="14" t="n"/>
      <c r="F245" s="14" t="n"/>
      <c r="G245" s="14" t="n"/>
      <c r="H245" s="15" t="n"/>
      <c r="I245" s="24">
        <f>IF($A245="","",IF($B245="","YETİM",IF(COUNTIF(tblKartlar[KartId],$B245)=0,"YETİM","")))</f>
        <v/>
      </c>
      <c r="J245" s="24">
        <f>IF(OR($A245="",$C245=""),"",IF(OR($C245&amp;"|"&amp;$D245="",COUNTIF(ListeIzinliGecis,$C245&amp;"|"&amp;$D245)&gt;0),"","GEÇERSİZ GEÇİŞ"))</f>
        <v/>
      </c>
      <c r="K245" s="24">
        <f>IF($A245="","",IF(OR($E245="",$G245=""),"",IF(ABS($G245-$E245)&gt;zincirTolerans,"ZİNCİR KIRIK","OK")))</f>
        <v/>
      </c>
      <c r="L245" s="24">
        <f>IF($A245="","",1)</f>
        <v/>
      </c>
    </row>
    <row r="246">
      <c r="A246" s="12" t="n"/>
      <c r="B246" s="12" t="n"/>
      <c r="C246" s="12" t="n"/>
      <c r="D246" s="12" t="n"/>
      <c r="E246" s="14" t="n"/>
      <c r="F246" s="14" t="n"/>
      <c r="G246" s="14" t="n"/>
      <c r="H246" s="15" t="n"/>
      <c r="I246" s="24">
        <f>IF($A246="","",IF($B246="","YETİM",IF(COUNTIF(tblKartlar[KartId],$B246)=0,"YETİM","")))</f>
        <v/>
      </c>
      <c r="J246" s="24">
        <f>IF(OR($A246="",$C246=""),"",IF(OR($C246&amp;"|"&amp;$D246="",COUNTIF(ListeIzinliGecis,$C246&amp;"|"&amp;$D246)&gt;0),"","GEÇERSİZ GEÇİŞ"))</f>
        <v/>
      </c>
      <c r="K246" s="24">
        <f>IF($A246="","",IF(OR($E246="",$G246=""),"",IF(ABS($G246-$E246)&gt;zincirTolerans,"ZİNCİR KIRIK","OK")))</f>
        <v/>
      </c>
      <c r="L246" s="24">
        <f>IF($A246="","",1)</f>
        <v/>
      </c>
    </row>
    <row r="247">
      <c r="A247" s="12" t="n"/>
      <c r="B247" s="12" t="n"/>
      <c r="C247" s="12" t="n"/>
      <c r="D247" s="12" t="n"/>
      <c r="E247" s="14" t="n"/>
      <c r="F247" s="14" t="n"/>
      <c r="G247" s="14" t="n"/>
      <c r="H247" s="15" t="n"/>
      <c r="I247" s="24">
        <f>IF($A247="","",IF($B247="","YETİM",IF(COUNTIF(tblKartlar[KartId],$B247)=0,"YETİM","")))</f>
        <v/>
      </c>
      <c r="J247" s="24">
        <f>IF(OR($A247="",$C247=""),"",IF(OR($C247&amp;"|"&amp;$D247="",COUNTIF(ListeIzinliGecis,$C247&amp;"|"&amp;$D247)&gt;0),"","GEÇERSİZ GEÇİŞ"))</f>
        <v/>
      </c>
      <c r="K247" s="24">
        <f>IF($A247="","",IF(OR($E247="",$G247=""),"",IF(ABS($G247-$E247)&gt;zincirTolerans,"ZİNCİR KIRIK","OK")))</f>
        <v/>
      </c>
      <c r="L247" s="24">
        <f>IF($A247="","",1)</f>
        <v/>
      </c>
    </row>
    <row r="248">
      <c r="A248" s="12" t="n"/>
      <c r="B248" s="12" t="n"/>
      <c r="C248" s="12" t="n"/>
      <c r="D248" s="12" t="n"/>
      <c r="E248" s="14" t="n"/>
      <c r="F248" s="14" t="n"/>
      <c r="G248" s="14" t="n"/>
      <c r="H248" s="15" t="n"/>
      <c r="I248" s="24">
        <f>IF($A248="","",IF($B248="","YETİM",IF(COUNTIF(tblKartlar[KartId],$B248)=0,"YETİM","")))</f>
        <v/>
      </c>
      <c r="J248" s="24">
        <f>IF(OR($A248="",$C248=""),"",IF(OR($C248&amp;"|"&amp;$D248="",COUNTIF(ListeIzinliGecis,$C248&amp;"|"&amp;$D248)&gt;0),"","GEÇERSİZ GEÇİŞ"))</f>
        <v/>
      </c>
      <c r="K248" s="24">
        <f>IF($A248="","",IF(OR($E248="",$G248=""),"",IF(ABS($G248-$E248)&gt;zincirTolerans,"ZİNCİR KIRIK","OK")))</f>
        <v/>
      </c>
      <c r="L248" s="24">
        <f>IF($A248="","",1)</f>
        <v/>
      </c>
    </row>
    <row r="249">
      <c r="A249" s="12" t="n"/>
      <c r="B249" s="12" t="n"/>
      <c r="C249" s="12" t="n"/>
      <c r="D249" s="12" t="n"/>
      <c r="E249" s="14" t="n"/>
      <c r="F249" s="14" t="n"/>
      <c r="G249" s="14" t="n"/>
      <c r="H249" s="15" t="n"/>
      <c r="I249" s="24">
        <f>IF($A249="","",IF($B249="","YETİM",IF(COUNTIF(tblKartlar[KartId],$B249)=0,"YETİM","")))</f>
        <v/>
      </c>
      <c r="J249" s="24">
        <f>IF(OR($A249="",$C249=""),"",IF(OR($C249&amp;"|"&amp;$D249="",COUNTIF(ListeIzinliGecis,$C249&amp;"|"&amp;$D249)&gt;0),"","GEÇERSİZ GEÇİŞ"))</f>
        <v/>
      </c>
      <c r="K249" s="24">
        <f>IF($A249="","",IF(OR($E249="",$G249=""),"",IF(ABS($G249-$E249)&gt;zincirTolerans,"ZİNCİR KIRIK","OK")))</f>
        <v/>
      </c>
      <c r="L249" s="24">
        <f>IF($A249="","",1)</f>
        <v/>
      </c>
    </row>
    <row r="250">
      <c r="A250" s="12" t="n"/>
      <c r="B250" s="12" t="n"/>
      <c r="C250" s="12" t="n"/>
      <c r="D250" s="12" t="n"/>
      <c r="E250" s="14" t="n"/>
      <c r="F250" s="14" t="n"/>
      <c r="G250" s="14" t="n"/>
      <c r="H250" s="15" t="n"/>
      <c r="I250" s="24">
        <f>IF($A250="","",IF($B250="","YETİM",IF(COUNTIF(tblKartlar[KartId],$B250)=0,"YETİM","")))</f>
        <v/>
      </c>
      <c r="J250" s="24">
        <f>IF(OR($A250="",$C250=""),"",IF(OR($C250&amp;"|"&amp;$D250="",COUNTIF(ListeIzinliGecis,$C250&amp;"|"&amp;$D250)&gt;0),"","GEÇERSİZ GEÇİŞ"))</f>
        <v/>
      </c>
      <c r="K250" s="24">
        <f>IF($A250="","",IF(OR($E250="",$G250=""),"",IF(ABS($G250-$E250)&gt;zincirTolerans,"ZİNCİR KIRIK","OK")))</f>
        <v/>
      </c>
      <c r="L250" s="24">
        <f>IF($A250="","",1)</f>
        <v/>
      </c>
    </row>
    <row r="251">
      <c r="A251" s="12" t="n"/>
      <c r="B251" s="12" t="n"/>
      <c r="C251" s="12" t="n"/>
      <c r="D251" s="12" t="n"/>
      <c r="E251" s="14" t="n"/>
      <c r="F251" s="14" t="n"/>
      <c r="G251" s="14" t="n"/>
      <c r="H251" s="15" t="n"/>
      <c r="I251" s="24">
        <f>IF($A251="","",IF($B251="","YETİM",IF(COUNTIF(tblKartlar[KartId],$B251)=0,"YETİM","")))</f>
        <v/>
      </c>
      <c r="J251" s="24">
        <f>IF(OR($A251="",$C251=""),"",IF(OR($C251&amp;"|"&amp;$D251="",COUNTIF(ListeIzinliGecis,$C251&amp;"|"&amp;$D251)&gt;0),"","GEÇERSİZ GEÇİŞ"))</f>
        <v/>
      </c>
      <c r="K251" s="24">
        <f>IF($A251="","",IF(OR($E251="",$G251=""),"",IF(ABS($G251-$E251)&gt;zincirTolerans,"ZİNCİR KIRIK","OK")))</f>
        <v/>
      </c>
      <c r="L251" s="24">
        <f>IF($A251="","",1)</f>
        <v/>
      </c>
    </row>
    <row r="252">
      <c r="A252" s="12" t="n"/>
      <c r="B252" s="12" t="n"/>
      <c r="C252" s="12" t="n"/>
      <c r="D252" s="12" t="n"/>
      <c r="E252" s="14" t="n"/>
      <c r="F252" s="14" t="n"/>
      <c r="G252" s="14" t="n"/>
      <c r="H252" s="15" t="n"/>
      <c r="I252" s="24">
        <f>IF($A252="","",IF($B252="","YETİM",IF(COUNTIF(tblKartlar[KartId],$B252)=0,"YETİM","")))</f>
        <v/>
      </c>
      <c r="J252" s="24">
        <f>IF(OR($A252="",$C252=""),"",IF(OR($C252&amp;"|"&amp;$D252="",COUNTIF(ListeIzinliGecis,$C252&amp;"|"&amp;$D252)&gt;0),"","GEÇERSİZ GEÇİŞ"))</f>
        <v/>
      </c>
      <c r="K252" s="24">
        <f>IF($A252="","",IF(OR($E252="",$G252=""),"",IF(ABS($G252-$E252)&gt;zincirTolerans,"ZİNCİR KIRIK","OK")))</f>
        <v/>
      </c>
      <c r="L252" s="24">
        <f>IF($A252="","",1)</f>
        <v/>
      </c>
    </row>
    <row r="253">
      <c r="A253" s="12" t="n"/>
      <c r="B253" s="12" t="n"/>
      <c r="C253" s="12" t="n"/>
      <c r="D253" s="12" t="n"/>
      <c r="E253" s="14" t="n"/>
      <c r="F253" s="14" t="n"/>
      <c r="G253" s="14" t="n"/>
      <c r="H253" s="15" t="n"/>
      <c r="I253" s="24">
        <f>IF($A253="","",IF($B253="","YETİM",IF(COUNTIF(tblKartlar[KartId],$B253)=0,"YETİM","")))</f>
        <v/>
      </c>
      <c r="J253" s="24">
        <f>IF(OR($A253="",$C253=""),"",IF(OR($C253&amp;"|"&amp;$D253="",COUNTIF(ListeIzinliGecis,$C253&amp;"|"&amp;$D253)&gt;0),"","GEÇERSİZ GEÇİŞ"))</f>
        <v/>
      </c>
      <c r="K253" s="24">
        <f>IF($A253="","",IF(OR($E253="",$G253=""),"",IF(ABS($G253-$E253)&gt;zincirTolerans,"ZİNCİR KIRIK","OK")))</f>
        <v/>
      </c>
      <c r="L253" s="24">
        <f>IF($A253="","",1)</f>
        <v/>
      </c>
    </row>
    <row r="254">
      <c r="A254" s="12" t="n"/>
      <c r="B254" s="12" t="n"/>
      <c r="C254" s="12" t="n"/>
      <c r="D254" s="12" t="n"/>
      <c r="E254" s="14" t="n"/>
      <c r="F254" s="14" t="n"/>
      <c r="G254" s="14" t="n"/>
      <c r="H254" s="15" t="n"/>
      <c r="I254" s="24">
        <f>IF($A254="","",IF($B254="","YETİM",IF(COUNTIF(tblKartlar[KartId],$B254)=0,"YETİM","")))</f>
        <v/>
      </c>
      <c r="J254" s="24">
        <f>IF(OR($A254="",$C254=""),"",IF(OR($C254&amp;"|"&amp;$D254="",COUNTIF(ListeIzinliGecis,$C254&amp;"|"&amp;$D254)&gt;0),"","GEÇERSİZ GEÇİŞ"))</f>
        <v/>
      </c>
      <c r="K254" s="24">
        <f>IF($A254="","",IF(OR($E254="",$G254=""),"",IF(ABS($G254-$E254)&gt;zincirTolerans,"ZİNCİR KIRIK","OK")))</f>
        <v/>
      </c>
      <c r="L254" s="24">
        <f>IF($A254="","",1)</f>
        <v/>
      </c>
    </row>
    <row r="255">
      <c r="A255" s="12" t="n"/>
      <c r="B255" s="12" t="n"/>
      <c r="C255" s="12" t="n"/>
      <c r="D255" s="12" t="n"/>
      <c r="E255" s="14" t="n"/>
      <c r="F255" s="14" t="n"/>
      <c r="G255" s="14" t="n"/>
      <c r="H255" s="15" t="n"/>
      <c r="I255" s="24">
        <f>IF($A255="","",IF($B255="","YETİM",IF(COUNTIF(tblKartlar[KartId],$B255)=0,"YETİM","")))</f>
        <v/>
      </c>
      <c r="J255" s="24">
        <f>IF(OR($A255="",$C255=""),"",IF(OR($C255&amp;"|"&amp;$D255="",COUNTIF(ListeIzinliGecis,$C255&amp;"|"&amp;$D255)&gt;0),"","GEÇERSİZ GEÇİŞ"))</f>
        <v/>
      </c>
      <c r="K255" s="24">
        <f>IF($A255="","",IF(OR($E255="",$G255=""),"",IF(ABS($G255-$E255)&gt;zincirTolerans,"ZİNCİR KIRIK","OK")))</f>
        <v/>
      </c>
      <c r="L255" s="24">
        <f>IF($A255="","",1)</f>
        <v/>
      </c>
    </row>
    <row r="256">
      <c r="A256" s="12" t="n"/>
      <c r="B256" s="12" t="n"/>
      <c r="C256" s="12" t="n"/>
      <c r="D256" s="12" t="n"/>
      <c r="E256" s="14" t="n"/>
      <c r="F256" s="14" t="n"/>
      <c r="G256" s="14" t="n"/>
      <c r="H256" s="15" t="n"/>
      <c r="I256" s="24">
        <f>IF($A256="","",IF($B256="","YETİM",IF(COUNTIF(tblKartlar[KartId],$B256)=0,"YETİM","")))</f>
        <v/>
      </c>
      <c r="J256" s="24">
        <f>IF(OR($A256="",$C256=""),"",IF(OR($C256&amp;"|"&amp;$D256="",COUNTIF(ListeIzinliGecis,$C256&amp;"|"&amp;$D256)&gt;0),"","GEÇERSİZ GEÇİŞ"))</f>
        <v/>
      </c>
      <c r="K256" s="24">
        <f>IF($A256="","",IF(OR($E256="",$G256=""),"",IF(ABS($G256-$E256)&gt;zincirTolerans,"ZİNCİR KIRIK","OK")))</f>
        <v/>
      </c>
      <c r="L256" s="24">
        <f>IF($A256="","",1)</f>
        <v/>
      </c>
    </row>
    <row r="257">
      <c r="A257" s="12" t="n"/>
      <c r="B257" s="12" t="n"/>
      <c r="C257" s="12" t="n"/>
      <c r="D257" s="12" t="n"/>
      <c r="E257" s="14" t="n"/>
      <c r="F257" s="14" t="n"/>
      <c r="G257" s="14" t="n"/>
      <c r="H257" s="15" t="n"/>
      <c r="I257" s="24">
        <f>IF($A257="","",IF($B257="","YETİM",IF(COUNTIF(tblKartlar[KartId],$B257)=0,"YETİM","")))</f>
        <v/>
      </c>
      <c r="J257" s="24">
        <f>IF(OR($A257="",$C257=""),"",IF(OR($C257&amp;"|"&amp;$D257="",COUNTIF(ListeIzinliGecis,$C257&amp;"|"&amp;$D257)&gt;0),"","GEÇERSİZ GEÇİŞ"))</f>
        <v/>
      </c>
      <c r="K257" s="24">
        <f>IF($A257="","",IF(OR($E257="",$G257=""),"",IF(ABS($G257-$E257)&gt;zincirTolerans,"ZİNCİR KIRIK","OK")))</f>
        <v/>
      </c>
      <c r="L257" s="24">
        <f>IF($A257="","",1)</f>
        <v/>
      </c>
    </row>
    <row r="258">
      <c r="A258" s="12" t="n"/>
      <c r="B258" s="12" t="n"/>
      <c r="C258" s="12" t="n"/>
      <c r="D258" s="12" t="n"/>
      <c r="E258" s="14" t="n"/>
      <c r="F258" s="14" t="n"/>
      <c r="G258" s="14" t="n"/>
      <c r="H258" s="15" t="n"/>
      <c r="I258" s="24">
        <f>IF($A258="","",IF($B258="","YETİM",IF(COUNTIF(tblKartlar[KartId],$B258)=0,"YETİM","")))</f>
        <v/>
      </c>
      <c r="J258" s="24">
        <f>IF(OR($A258="",$C258=""),"",IF(OR($C258&amp;"|"&amp;$D258="",COUNTIF(ListeIzinliGecis,$C258&amp;"|"&amp;$D258)&gt;0),"","GEÇERSİZ GEÇİŞ"))</f>
        <v/>
      </c>
      <c r="K258" s="24">
        <f>IF($A258="","",IF(OR($E258="",$G258=""),"",IF(ABS($G258-$E258)&gt;zincirTolerans,"ZİNCİR KIRIK","OK")))</f>
        <v/>
      </c>
      <c r="L258" s="24">
        <f>IF($A258="","",1)</f>
        <v/>
      </c>
    </row>
    <row r="259">
      <c r="A259" s="12" t="n"/>
      <c r="B259" s="12" t="n"/>
      <c r="C259" s="12" t="n"/>
      <c r="D259" s="12" t="n"/>
      <c r="E259" s="14" t="n"/>
      <c r="F259" s="14" t="n"/>
      <c r="G259" s="14" t="n"/>
      <c r="H259" s="15" t="n"/>
      <c r="I259" s="24">
        <f>IF($A259="","",IF($B259="","YETİM",IF(COUNTIF(tblKartlar[KartId],$B259)=0,"YETİM","")))</f>
        <v/>
      </c>
      <c r="J259" s="24">
        <f>IF(OR($A259="",$C259=""),"",IF(OR($C259&amp;"|"&amp;$D259="",COUNTIF(ListeIzinliGecis,$C259&amp;"|"&amp;$D259)&gt;0),"","GEÇERSİZ GEÇİŞ"))</f>
        <v/>
      </c>
      <c r="K259" s="24">
        <f>IF($A259="","",IF(OR($E259="",$G259=""),"",IF(ABS($G259-$E259)&gt;zincirTolerans,"ZİNCİR KIRIK","OK")))</f>
        <v/>
      </c>
      <c r="L259" s="24">
        <f>IF($A259="","",1)</f>
        <v/>
      </c>
    </row>
    <row r="260">
      <c r="A260" s="12" t="n"/>
      <c r="B260" s="12" t="n"/>
      <c r="C260" s="12" t="n"/>
      <c r="D260" s="12" t="n"/>
      <c r="E260" s="14" t="n"/>
      <c r="F260" s="14" t="n"/>
      <c r="G260" s="14" t="n"/>
      <c r="H260" s="15" t="n"/>
      <c r="I260" s="24">
        <f>IF($A260="","",IF($B260="","YETİM",IF(COUNTIF(tblKartlar[KartId],$B260)=0,"YETİM","")))</f>
        <v/>
      </c>
      <c r="J260" s="24">
        <f>IF(OR($A260="",$C260=""),"",IF(OR($C260&amp;"|"&amp;$D260="",COUNTIF(ListeIzinliGecis,$C260&amp;"|"&amp;$D260)&gt;0),"","GEÇERSİZ GEÇİŞ"))</f>
        <v/>
      </c>
      <c r="K260" s="24">
        <f>IF($A260="","",IF(OR($E260="",$G260=""),"",IF(ABS($G260-$E260)&gt;zincirTolerans,"ZİNCİR KIRIK","OK")))</f>
        <v/>
      </c>
      <c r="L260" s="24">
        <f>IF($A260="","",1)</f>
        <v/>
      </c>
    </row>
    <row r="261">
      <c r="A261" s="12" t="n"/>
      <c r="B261" s="12" t="n"/>
      <c r="C261" s="12" t="n"/>
      <c r="D261" s="12" t="n"/>
      <c r="E261" s="14" t="n"/>
      <c r="F261" s="14" t="n"/>
      <c r="G261" s="14" t="n"/>
      <c r="H261" s="15" t="n"/>
      <c r="I261" s="24">
        <f>IF($A261="","",IF($B261="","YETİM",IF(COUNTIF(tblKartlar[KartId],$B261)=0,"YETİM","")))</f>
        <v/>
      </c>
      <c r="J261" s="24">
        <f>IF(OR($A261="",$C261=""),"",IF(OR($C261&amp;"|"&amp;$D261="",COUNTIF(ListeIzinliGecis,$C261&amp;"|"&amp;$D261)&gt;0),"","GEÇERSİZ GEÇİŞ"))</f>
        <v/>
      </c>
      <c r="K261" s="24">
        <f>IF($A261="","",IF(OR($E261="",$G261=""),"",IF(ABS($G261-$E261)&gt;zincirTolerans,"ZİNCİR KIRIK","OK")))</f>
        <v/>
      </c>
      <c r="L261" s="24">
        <f>IF($A261="","",1)</f>
        <v/>
      </c>
    </row>
    <row r="262">
      <c r="A262" s="12" t="n"/>
      <c r="B262" s="12" t="n"/>
      <c r="C262" s="12" t="n"/>
      <c r="D262" s="12" t="n"/>
      <c r="E262" s="14" t="n"/>
      <c r="F262" s="14" t="n"/>
      <c r="G262" s="14" t="n"/>
      <c r="H262" s="15" t="n"/>
      <c r="I262" s="24">
        <f>IF($A262="","",IF($B262="","YETİM",IF(COUNTIF(tblKartlar[KartId],$B262)=0,"YETİM","")))</f>
        <v/>
      </c>
      <c r="J262" s="24">
        <f>IF(OR($A262="",$C262=""),"",IF(OR($C262&amp;"|"&amp;$D262="",COUNTIF(ListeIzinliGecis,$C262&amp;"|"&amp;$D262)&gt;0),"","GEÇERSİZ GEÇİŞ"))</f>
        <v/>
      </c>
      <c r="K262" s="24">
        <f>IF($A262="","",IF(OR($E262="",$G262=""),"",IF(ABS($G262-$E262)&gt;zincirTolerans,"ZİNCİR KIRIK","OK")))</f>
        <v/>
      </c>
      <c r="L262" s="24">
        <f>IF($A262="","",1)</f>
        <v/>
      </c>
    </row>
    <row r="263">
      <c r="A263" s="12" t="n"/>
      <c r="B263" s="12" t="n"/>
      <c r="C263" s="12" t="n"/>
      <c r="D263" s="12" t="n"/>
      <c r="E263" s="14" t="n"/>
      <c r="F263" s="14" t="n"/>
      <c r="G263" s="14" t="n"/>
      <c r="H263" s="15" t="n"/>
      <c r="I263" s="24">
        <f>IF($A263="","",IF($B263="","YETİM",IF(COUNTIF(tblKartlar[KartId],$B263)=0,"YETİM","")))</f>
        <v/>
      </c>
      <c r="J263" s="24">
        <f>IF(OR($A263="",$C263=""),"",IF(OR($C263&amp;"|"&amp;$D263="",COUNTIF(ListeIzinliGecis,$C263&amp;"|"&amp;$D263)&gt;0),"","GEÇERSİZ GEÇİŞ"))</f>
        <v/>
      </c>
      <c r="K263" s="24">
        <f>IF($A263="","",IF(OR($E263="",$G263=""),"",IF(ABS($G263-$E263)&gt;zincirTolerans,"ZİNCİR KIRIK","OK")))</f>
        <v/>
      </c>
      <c r="L263" s="24">
        <f>IF($A263="","",1)</f>
        <v/>
      </c>
    </row>
    <row r="264">
      <c r="A264" s="12" t="n"/>
      <c r="B264" s="12" t="n"/>
      <c r="C264" s="12" t="n"/>
      <c r="D264" s="12" t="n"/>
      <c r="E264" s="14" t="n"/>
      <c r="F264" s="14" t="n"/>
      <c r="G264" s="14" t="n"/>
      <c r="H264" s="15" t="n"/>
      <c r="I264" s="24">
        <f>IF($A264="","",IF($B264="","YETİM",IF(COUNTIF(tblKartlar[KartId],$B264)=0,"YETİM","")))</f>
        <v/>
      </c>
      <c r="J264" s="24">
        <f>IF(OR($A264="",$C264=""),"",IF(OR($C264&amp;"|"&amp;$D264="",COUNTIF(ListeIzinliGecis,$C264&amp;"|"&amp;$D264)&gt;0),"","GEÇERSİZ GEÇİŞ"))</f>
        <v/>
      </c>
      <c r="K264" s="24">
        <f>IF($A264="","",IF(OR($E264="",$G264=""),"",IF(ABS($G264-$E264)&gt;zincirTolerans,"ZİNCİR KIRIK","OK")))</f>
        <v/>
      </c>
      <c r="L264" s="24">
        <f>IF($A264="","",1)</f>
        <v/>
      </c>
    </row>
    <row r="265">
      <c r="A265" s="12" t="n"/>
      <c r="B265" s="12" t="n"/>
      <c r="C265" s="12" t="n"/>
      <c r="D265" s="12" t="n"/>
      <c r="E265" s="14" t="n"/>
      <c r="F265" s="14" t="n"/>
      <c r="G265" s="14" t="n"/>
      <c r="H265" s="15" t="n"/>
      <c r="I265" s="24">
        <f>IF($A265="","",IF($B265="","YETİM",IF(COUNTIF(tblKartlar[KartId],$B265)=0,"YETİM","")))</f>
        <v/>
      </c>
      <c r="J265" s="24">
        <f>IF(OR($A265="",$C265=""),"",IF(OR($C265&amp;"|"&amp;$D265="",COUNTIF(ListeIzinliGecis,$C265&amp;"|"&amp;$D265)&gt;0),"","GEÇERSİZ GEÇİŞ"))</f>
        <v/>
      </c>
      <c r="K265" s="24">
        <f>IF($A265="","",IF(OR($E265="",$G265=""),"",IF(ABS($G265-$E265)&gt;zincirTolerans,"ZİNCİR KIRIK","OK")))</f>
        <v/>
      </c>
      <c r="L265" s="24">
        <f>IF($A265="","",1)</f>
        <v/>
      </c>
    </row>
    <row r="266">
      <c r="A266" s="12" t="n"/>
      <c r="B266" s="12" t="n"/>
      <c r="C266" s="12" t="n"/>
      <c r="D266" s="12" t="n"/>
      <c r="E266" s="14" t="n"/>
      <c r="F266" s="14" t="n"/>
      <c r="G266" s="14" t="n"/>
      <c r="H266" s="15" t="n"/>
      <c r="I266" s="24">
        <f>IF($A266="","",IF($B266="","YETİM",IF(COUNTIF(tblKartlar[KartId],$B266)=0,"YETİM","")))</f>
        <v/>
      </c>
      <c r="J266" s="24">
        <f>IF(OR($A266="",$C266=""),"",IF(OR($C266&amp;"|"&amp;$D266="",COUNTIF(ListeIzinliGecis,$C266&amp;"|"&amp;$D266)&gt;0),"","GEÇERSİZ GEÇİŞ"))</f>
        <v/>
      </c>
      <c r="K266" s="24">
        <f>IF($A266="","",IF(OR($E266="",$G266=""),"",IF(ABS($G266-$E266)&gt;zincirTolerans,"ZİNCİR KIRIK","OK")))</f>
        <v/>
      </c>
      <c r="L266" s="24">
        <f>IF($A266="","",1)</f>
        <v/>
      </c>
    </row>
    <row r="267">
      <c r="A267" s="12" t="n"/>
      <c r="B267" s="12" t="n"/>
      <c r="C267" s="12" t="n"/>
      <c r="D267" s="12" t="n"/>
      <c r="E267" s="14" t="n"/>
      <c r="F267" s="14" t="n"/>
      <c r="G267" s="14" t="n"/>
      <c r="H267" s="15" t="n"/>
      <c r="I267" s="24">
        <f>IF($A267="","",IF($B267="","YETİM",IF(COUNTIF(tblKartlar[KartId],$B267)=0,"YETİM","")))</f>
        <v/>
      </c>
      <c r="J267" s="24">
        <f>IF(OR($A267="",$C267=""),"",IF(OR($C267&amp;"|"&amp;$D267="",COUNTIF(ListeIzinliGecis,$C267&amp;"|"&amp;$D267)&gt;0),"","GEÇERSİZ GEÇİŞ"))</f>
        <v/>
      </c>
      <c r="K267" s="24">
        <f>IF($A267="","",IF(OR($E267="",$G267=""),"",IF(ABS($G267-$E267)&gt;zincirTolerans,"ZİNCİR KIRIK","OK")))</f>
        <v/>
      </c>
      <c r="L267" s="24">
        <f>IF($A267="","",1)</f>
        <v/>
      </c>
    </row>
    <row r="268">
      <c r="A268" s="12" t="n"/>
      <c r="B268" s="12" t="n"/>
      <c r="C268" s="12" t="n"/>
      <c r="D268" s="12" t="n"/>
      <c r="E268" s="14" t="n"/>
      <c r="F268" s="14" t="n"/>
      <c r="G268" s="14" t="n"/>
      <c r="H268" s="15" t="n"/>
      <c r="I268" s="24">
        <f>IF($A268="","",IF($B268="","YETİM",IF(COUNTIF(tblKartlar[KartId],$B268)=0,"YETİM","")))</f>
        <v/>
      </c>
      <c r="J268" s="24">
        <f>IF(OR($A268="",$C268=""),"",IF(OR($C268&amp;"|"&amp;$D268="",COUNTIF(ListeIzinliGecis,$C268&amp;"|"&amp;$D268)&gt;0),"","GEÇERSİZ GEÇİŞ"))</f>
        <v/>
      </c>
      <c r="K268" s="24">
        <f>IF($A268="","",IF(OR($E268="",$G268=""),"",IF(ABS($G268-$E268)&gt;zincirTolerans,"ZİNCİR KIRIK","OK")))</f>
        <v/>
      </c>
      <c r="L268" s="24">
        <f>IF($A268="","",1)</f>
        <v/>
      </c>
    </row>
    <row r="269">
      <c r="A269" s="12" t="n"/>
      <c r="B269" s="12" t="n"/>
      <c r="C269" s="12" t="n"/>
      <c r="D269" s="12" t="n"/>
      <c r="E269" s="14" t="n"/>
      <c r="F269" s="14" t="n"/>
      <c r="G269" s="14" t="n"/>
      <c r="H269" s="15" t="n"/>
      <c r="I269" s="24">
        <f>IF($A269="","",IF($B269="","YETİM",IF(COUNTIF(tblKartlar[KartId],$B269)=0,"YETİM","")))</f>
        <v/>
      </c>
      <c r="J269" s="24">
        <f>IF(OR($A269="",$C269=""),"",IF(OR($C269&amp;"|"&amp;$D269="",COUNTIF(ListeIzinliGecis,$C269&amp;"|"&amp;$D269)&gt;0),"","GEÇERSİZ GEÇİŞ"))</f>
        <v/>
      </c>
      <c r="K269" s="24">
        <f>IF($A269="","",IF(OR($E269="",$G269=""),"",IF(ABS($G269-$E269)&gt;zincirTolerans,"ZİNCİR KIRIK","OK")))</f>
        <v/>
      </c>
      <c r="L269" s="24">
        <f>IF($A269="","",1)</f>
        <v/>
      </c>
    </row>
    <row r="270">
      <c r="A270" s="12" t="n"/>
      <c r="B270" s="12" t="n"/>
      <c r="C270" s="12" t="n"/>
      <c r="D270" s="12" t="n"/>
      <c r="E270" s="14" t="n"/>
      <c r="F270" s="14" t="n"/>
      <c r="G270" s="14" t="n"/>
      <c r="H270" s="15" t="n"/>
      <c r="I270" s="24">
        <f>IF($A270="","",IF($B270="","YETİM",IF(COUNTIF(tblKartlar[KartId],$B270)=0,"YETİM","")))</f>
        <v/>
      </c>
      <c r="J270" s="24">
        <f>IF(OR($A270="",$C270=""),"",IF(OR($C270&amp;"|"&amp;$D270="",COUNTIF(ListeIzinliGecis,$C270&amp;"|"&amp;$D270)&gt;0),"","GEÇERSİZ GEÇİŞ"))</f>
        <v/>
      </c>
      <c r="K270" s="24">
        <f>IF($A270="","",IF(OR($E270="",$G270=""),"",IF(ABS($G270-$E270)&gt;zincirTolerans,"ZİNCİR KIRIK","OK")))</f>
        <v/>
      </c>
      <c r="L270" s="24">
        <f>IF($A270="","",1)</f>
        <v/>
      </c>
    </row>
    <row r="271">
      <c r="A271" s="12" t="n"/>
      <c r="B271" s="12" t="n"/>
      <c r="C271" s="12" t="n"/>
      <c r="D271" s="12" t="n"/>
      <c r="E271" s="14" t="n"/>
      <c r="F271" s="14" t="n"/>
      <c r="G271" s="14" t="n"/>
      <c r="H271" s="15" t="n"/>
      <c r="I271" s="24">
        <f>IF($A271="","",IF($B271="","YETİM",IF(COUNTIF(tblKartlar[KartId],$B271)=0,"YETİM","")))</f>
        <v/>
      </c>
      <c r="J271" s="24">
        <f>IF(OR($A271="",$C271=""),"",IF(OR($C271&amp;"|"&amp;$D271="",COUNTIF(ListeIzinliGecis,$C271&amp;"|"&amp;$D271)&gt;0),"","GEÇERSİZ GEÇİŞ"))</f>
        <v/>
      </c>
      <c r="K271" s="24">
        <f>IF($A271="","",IF(OR($E271="",$G271=""),"",IF(ABS($G271-$E271)&gt;zincirTolerans,"ZİNCİR KIRIK","OK")))</f>
        <v/>
      </c>
      <c r="L271" s="24">
        <f>IF($A271="","",1)</f>
        <v/>
      </c>
    </row>
    <row r="272">
      <c r="A272" s="12" t="n"/>
      <c r="B272" s="12" t="n"/>
      <c r="C272" s="12" t="n"/>
      <c r="D272" s="12" t="n"/>
      <c r="E272" s="14" t="n"/>
      <c r="F272" s="14" t="n"/>
      <c r="G272" s="14" t="n"/>
      <c r="H272" s="15" t="n"/>
      <c r="I272" s="24">
        <f>IF($A272="","",IF($B272="","YETİM",IF(COUNTIF(tblKartlar[KartId],$B272)=0,"YETİM","")))</f>
        <v/>
      </c>
      <c r="J272" s="24">
        <f>IF(OR($A272="",$C272=""),"",IF(OR($C272&amp;"|"&amp;$D272="",COUNTIF(ListeIzinliGecis,$C272&amp;"|"&amp;$D272)&gt;0),"","GEÇERSİZ GEÇİŞ"))</f>
        <v/>
      </c>
      <c r="K272" s="24">
        <f>IF($A272="","",IF(OR($E272="",$G272=""),"",IF(ABS($G272-$E272)&gt;zincirTolerans,"ZİNCİR KIRIK","OK")))</f>
        <v/>
      </c>
      <c r="L272" s="24">
        <f>IF($A272="","",1)</f>
        <v/>
      </c>
    </row>
    <row r="273">
      <c r="A273" s="12" t="n"/>
      <c r="B273" s="12" t="n"/>
      <c r="C273" s="12" t="n"/>
      <c r="D273" s="12" t="n"/>
      <c r="E273" s="14" t="n"/>
      <c r="F273" s="14" t="n"/>
      <c r="G273" s="14" t="n"/>
      <c r="H273" s="15" t="n"/>
      <c r="I273" s="24">
        <f>IF($A273="","",IF($B273="","YETİM",IF(COUNTIF(tblKartlar[KartId],$B273)=0,"YETİM","")))</f>
        <v/>
      </c>
      <c r="J273" s="24">
        <f>IF(OR($A273="",$C273=""),"",IF(OR($C273&amp;"|"&amp;$D273="",COUNTIF(ListeIzinliGecis,$C273&amp;"|"&amp;$D273)&gt;0),"","GEÇERSİZ GEÇİŞ"))</f>
        <v/>
      </c>
      <c r="K273" s="24">
        <f>IF($A273="","",IF(OR($E273="",$G273=""),"",IF(ABS($G273-$E273)&gt;zincirTolerans,"ZİNCİR KIRIK","OK")))</f>
        <v/>
      </c>
      <c r="L273" s="24">
        <f>IF($A273="","",1)</f>
        <v/>
      </c>
    </row>
    <row r="274">
      <c r="A274" s="12" t="n"/>
      <c r="B274" s="12" t="n"/>
      <c r="C274" s="12" t="n"/>
      <c r="D274" s="12" t="n"/>
      <c r="E274" s="14" t="n"/>
      <c r="F274" s="14" t="n"/>
      <c r="G274" s="14" t="n"/>
      <c r="H274" s="15" t="n"/>
      <c r="I274" s="24">
        <f>IF($A274="","",IF($B274="","YETİM",IF(COUNTIF(tblKartlar[KartId],$B274)=0,"YETİM","")))</f>
        <v/>
      </c>
      <c r="J274" s="24">
        <f>IF(OR($A274="",$C274=""),"",IF(OR($C274&amp;"|"&amp;$D274="",COUNTIF(ListeIzinliGecis,$C274&amp;"|"&amp;$D274)&gt;0),"","GEÇERSİZ GEÇİŞ"))</f>
        <v/>
      </c>
      <c r="K274" s="24">
        <f>IF($A274="","",IF(OR($E274="",$G274=""),"",IF(ABS($G274-$E274)&gt;zincirTolerans,"ZİNCİR KIRIK","OK")))</f>
        <v/>
      </c>
      <c r="L274" s="24">
        <f>IF($A274="","",1)</f>
        <v/>
      </c>
    </row>
    <row r="275">
      <c r="A275" s="12" t="n"/>
      <c r="B275" s="12" t="n"/>
      <c r="C275" s="12" t="n"/>
      <c r="D275" s="12" t="n"/>
      <c r="E275" s="14" t="n"/>
      <c r="F275" s="14" t="n"/>
      <c r="G275" s="14" t="n"/>
      <c r="H275" s="15" t="n"/>
      <c r="I275" s="24">
        <f>IF($A275="","",IF($B275="","YETİM",IF(COUNTIF(tblKartlar[KartId],$B275)=0,"YETİM","")))</f>
        <v/>
      </c>
      <c r="J275" s="24">
        <f>IF(OR($A275="",$C275=""),"",IF(OR($C275&amp;"|"&amp;$D275="",COUNTIF(ListeIzinliGecis,$C275&amp;"|"&amp;$D275)&gt;0),"","GEÇERSİZ GEÇİŞ"))</f>
        <v/>
      </c>
      <c r="K275" s="24">
        <f>IF($A275="","",IF(OR($E275="",$G275=""),"",IF(ABS($G275-$E275)&gt;zincirTolerans,"ZİNCİR KIRIK","OK")))</f>
        <v/>
      </c>
      <c r="L275" s="24">
        <f>IF($A275="","",1)</f>
        <v/>
      </c>
    </row>
    <row r="276">
      <c r="A276" s="12" t="n"/>
      <c r="B276" s="12" t="n"/>
      <c r="C276" s="12" t="n"/>
      <c r="D276" s="12" t="n"/>
      <c r="E276" s="14" t="n"/>
      <c r="F276" s="14" t="n"/>
      <c r="G276" s="14" t="n"/>
      <c r="H276" s="15" t="n"/>
      <c r="I276" s="24">
        <f>IF($A276="","",IF($B276="","YETİM",IF(COUNTIF(tblKartlar[KartId],$B276)=0,"YETİM","")))</f>
        <v/>
      </c>
      <c r="J276" s="24">
        <f>IF(OR($A276="",$C276=""),"",IF(OR($C276&amp;"|"&amp;$D276="",COUNTIF(ListeIzinliGecis,$C276&amp;"|"&amp;$D276)&gt;0),"","GEÇERSİZ GEÇİŞ"))</f>
        <v/>
      </c>
      <c r="K276" s="24">
        <f>IF($A276="","",IF(OR($E276="",$G276=""),"",IF(ABS($G276-$E276)&gt;zincirTolerans,"ZİNCİR KIRIK","OK")))</f>
        <v/>
      </c>
      <c r="L276" s="24">
        <f>IF($A276="","",1)</f>
        <v/>
      </c>
    </row>
    <row r="277">
      <c r="A277" s="12" t="n"/>
      <c r="B277" s="12" t="n"/>
      <c r="C277" s="12" t="n"/>
      <c r="D277" s="12" t="n"/>
      <c r="E277" s="14" t="n"/>
      <c r="F277" s="14" t="n"/>
      <c r="G277" s="14" t="n"/>
      <c r="H277" s="15" t="n"/>
      <c r="I277" s="24">
        <f>IF($A277="","",IF($B277="","YETİM",IF(COUNTIF(tblKartlar[KartId],$B277)=0,"YETİM","")))</f>
        <v/>
      </c>
      <c r="J277" s="24">
        <f>IF(OR($A277="",$C277=""),"",IF(OR($C277&amp;"|"&amp;$D277="",COUNTIF(ListeIzinliGecis,$C277&amp;"|"&amp;$D277)&gt;0),"","GEÇERSİZ GEÇİŞ"))</f>
        <v/>
      </c>
      <c r="K277" s="24">
        <f>IF($A277="","",IF(OR($E277="",$G277=""),"",IF(ABS($G277-$E277)&gt;zincirTolerans,"ZİNCİR KIRIK","OK")))</f>
        <v/>
      </c>
      <c r="L277" s="24">
        <f>IF($A277="","",1)</f>
        <v/>
      </c>
    </row>
    <row r="278">
      <c r="A278" s="12" t="n"/>
      <c r="B278" s="12" t="n"/>
      <c r="C278" s="12" t="n"/>
      <c r="D278" s="12" t="n"/>
      <c r="E278" s="14" t="n"/>
      <c r="F278" s="14" t="n"/>
      <c r="G278" s="14" t="n"/>
      <c r="H278" s="15" t="n"/>
      <c r="I278" s="24">
        <f>IF($A278="","",IF($B278="","YETİM",IF(COUNTIF(tblKartlar[KartId],$B278)=0,"YETİM","")))</f>
        <v/>
      </c>
      <c r="J278" s="24">
        <f>IF(OR($A278="",$C278=""),"",IF(OR($C278&amp;"|"&amp;$D278="",COUNTIF(ListeIzinliGecis,$C278&amp;"|"&amp;$D278)&gt;0),"","GEÇERSİZ GEÇİŞ"))</f>
        <v/>
      </c>
      <c r="K278" s="24">
        <f>IF($A278="","",IF(OR($E278="",$G278=""),"",IF(ABS($G278-$E278)&gt;zincirTolerans,"ZİNCİR KIRIK","OK")))</f>
        <v/>
      </c>
      <c r="L278" s="24">
        <f>IF($A278="","",1)</f>
        <v/>
      </c>
    </row>
    <row r="279">
      <c r="A279" s="12" t="n"/>
      <c r="B279" s="12" t="n"/>
      <c r="C279" s="12" t="n"/>
      <c r="D279" s="12" t="n"/>
      <c r="E279" s="14" t="n"/>
      <c r="F279" s="14" t="n"/>
      <c r="G279" s="14" t="n"/>
      <c r="H279" s="15" t="n"/>
      <c r="I279" s="24">
        <f>IF($A279="","",IF($B279="","YETİM",IF(COUNTIF(tblKartlar[KartId],$B279)=0,"YETİM","")))</f>
        <v/>
      </c>
      <c r="J279" s="24">
        <f>IF(OR($A279="",$C279=""),"",IF(OR($C279&amp;"|"&amp;$D279="",COUNTIF(ListeIzinliGecis,$C279&amp;"|"&amp;$D279)&gt;0),"","GEÇERSİZ GEÇİŞ"))</f>
        <v/>
      </c>
      <c r="K279" s="24">
        <f>IF($A279="","",IF(OR($E279="",$G279=""),"",IF(ABS($G279-$E279)&gt;zincirTolerans,"ZİNCİR KIRIK","OK")))</f>
        <v/>
      </c>
      <c r="L279" s="24">
        <f>IF($A279="","",1)</f>
        <v/>
      </c>
    </row>
    <row r="280">
      <c r="A280" s="12" t="n"/>
      <c r="B280" s="12" t="n"/>
      <c r="C280" s="12" t="n"/>
      <c r="D280" s="12" t="n"/>
      <c r="E280" s="14" t="n"/>
      <c r="F280" s="14" t="n"/>
      <c r="G280" s="14" t="n"/>
      <c r="H280" s="15" t="n"/>
      <c r="I280" s="24">
        <f>IF($A280="","",IF($B280="","YETİM",IF(COUNTIF(tblKartlar[KartId],$B280)=0,"YETİM","")))</f>
        <v/>
      </c>
      <c r="J280" s="24">
        <f>IF(OR($A280="",$C280=""),"",IF(OR($C280&amp;"|"&amp;$D280="",COUNTIF(ListeIzinliGecis,$C280&amp;"|"&amp;$D280)&gt;0),"","GEÇERSİZ GEÇİŞ"))</f>
        <v/>
      </c>
      <c r="K280" s="24">
        <f>IF($A280="","",IF(OR($E280="",$G280=""),"",IF(ABS($G280-$E280)&gt;zincirTolerans,"ZİNCİR KIRIK","OK")))</f>
        <v/>
      </c>
      <c r="L280" s="24">
        <f>IF($A280="","",1)</f>
        <v/>
      </c>
    </row>
    <row r="281">
      <c r="A281" s="12" t="n"/>
      <c r="B281" s="12" t="n"/>
      <c r="C281" s="12" t="n"/>
      <c r="D281" s="12" t="n"/>
      <c r="E281" s="14" t="n"/>
      <c r="F281" s="14" t="n"/>
      <c r="G281" s="14" t="n"/>
      <c r="H281" s="15" t="n"/>
      <c r="I281" s="24">
        <f>IF($A281="","",IF($B281="","YETİM",IF(COUNTIF(tblKartlar[KartId],$B281)=0,"YETİM","")))</f>
        <v/>
      </c>
      <c r="J281" s="24">
        <f>IF(OR($A281="",$C281=""),"",IF(OR($C281&amp;"|"&amp;$D281="",COUNTIF(ListeIzinliGecis,$C281&amp;"|"&amp;$D281)&gt;0),"","GEÇERSİZ GEÇİŞ"))</f>
        <v/>
      </c>
      <c r="K281" s="24">
        <f>IF($A281="","",IF(OR($E281="",$G281=""),"",IF(ABS($G281-$E281)&gt;zincirTolerans,"ZİNCİR KIRIK","OK")))</f>
        <v/>
      </c>
      <c r="L281" s="24">
        <f>IF($A281="","",1)</f>
        <v/>
      </c>
    </row>
    <row r="282">
      <c r="A282" s="12" t="n"/>
      <c r="B282" s="12" t="n"/>
      <c r="C282" s="12" t="n"/>
      <c r="D282" s="12" t="n"/>
      <c r="E282" s="14" t="n"/>
      <c r="F282" s="14" t="n"/>
      <c r="G282" s="14" t="n"/>
      <c r="H282" s="15" t="n"/>
      <c r="I282" s="24">
        <f>IF($A282="","",IF($B282="","YETİM",IF(COUNTIF(tblKartlar[KartId],$B282)=0,"YETİM","")))</f>
        <v/>
      </c>
      <c r="J282" s="24">
        <f>IF(OR($A282="",$C282=""),"",IF(OR($C282&amp;"|"&amp;$D282="",COUNTIF(ListeIzinliGecis,$C282&amp;"|"&amp;$D282)&gt;0),"","GEÇERSİZ GEÇİŞ"))</f>
        <v/>
      </c>
      <c r="K282" s="24">
        <f>IF($A282="","",IF(OR($E282="",$G282=""),"",IF(ABS($G282-$E282)&gt;zincirTolerans,"ZİNCİR KIRIK","OK")))</f>
        <v/>
      </c>
      <c r="L282" s="24">
        <f>IF($A282="","",1)</f>
        <v/>
      </c>
    </row>
    <row r="283">
      <c r="A283" s="12" t="n"/>
      <c r="B283" s="12" t="n"/>
      <c r="C283" s="12" t="n"/>
      <c r="D283" s="12" t="n"/>
      <c r="E283" s="14" t="n"/>
      <c r="F283" s="14" t="n"/>
      <c r="G283" s="14" t="n"/>
      <c r="H283" s="15" t="n"/>
      <c r="I283" s="24">
        <f>IF($A283="","",IF($B283="","YETİM",IF(COUNTIF(tblKartlar[KartId],$B283)=0,"YETİM","")))</f>
        <v/>
      </c>
      <c r="J283" s="24">
        <f>IF(OR($A283="",$C283=""),"",IF(OR($C283&amp;"|"&amp;$D283="",COUNTIF(ListeIzinliGecis,$C283&amp;"|"&amp;$D283)&gt;0),"","GEÇERSİZ GEÇİŞ"))</f>
        <v/>
      </c>
      <c r="K283" s="24">
        <f>IF($A283="","",IF(OR($E283="",$G283=""),"",IF(ABS($G283-$E283)&gt;zincirTolerans,"ZİNCİR KIRIK","OK")))</f>
        <v/>
      </c>
      <c r="L283" s="24">
        <f>IF($A283="","",1)</f>
        <v/>
      </c>
    </row>
    <row r="284">
      <c r="A284" s="12" t="n"/>
      <c r="B284" s="12" t="n"/>
      <c r="C284" s="12" t="n"/>
      <c r="D284" s="12" t="n"/>
      <c r="E284" s="14" t="n"/>
      <c r="F284" s="14" t="n"/>
      <c r="G284" s="14" t="n"/>
      <c r="H284" s="15" t="n"/>
      <c r="I284" s="24">
        <f>IF($A284="","",IF($B284="","YETİM",IF(COUNTIF(tblKartlar[KartId],$B284)=0,"YETİM","")))</f>
        <v/>
      </c>
      <c r="J284" s="24">
        <f>IF(OR($A284="",$C284=""),"",IF(OR($C284&amp;"|"&amp;$D284="",COUNTIF(ListeIzinliGecis,$C284&amp;"|"&amp;$D284)&gt;0),"","GEÇERSİZ GEÇİŞ"))</f>
        <v/>
      </c>
      <c r="K284" s="24">
        <f>IF($A284="","",IF(OR($E284="",$G284=""),"",IF(ABS($G284-$E284)&gt;zincirTolerans,"ZİNCİR KIRIK","OK")))</f>
        <v/>
      </c>
      <c r="L284" s="24">
        <f>IF($A284="","",1)</f>
        <v/>
      </c>
    </row>
    <row r="285">
      <c r="A285" s="12" t="n"/>
      <c r="B285" s="12" t="n"/>
      <c r="C285" s="12" t="n"/>
      <c r="D285" s="12" t="n"/>
      <c r="E285" s="14" t="n"/>
      <c r="F285" s="14" t="n"/>
      <c r="G285" s="14" t="n"/>
      <c r="H285" s="15" t="n"/>
      <c r="I285" s="24">
        <f>IF($A285="","",IF($B285="","YETİM",IF(COUNTIF(tblKartlar[KartId],$B285)=0,"YETİM","")))</f>
        <v/>
      </c>
      <c r="J285" s="24">
        <f>IF(OR($A285="",$C285=""),"",IF(OR($C285&amp;"|"&amp;$D285="",COUNTIF(ListeIzinliGecis,$C285&amp;"|"&amp;$D285)&gt;0),"","GEÇERSİZ GEÇİŞ"))</f>
        <v/>
      </c>
      <c r="K285" s="24">
        <f>IF($A285="","",IF(OR($E285="",$G285=""),"",IF(ABS($G285-$E285)&gt;zincirTolerans,"ZİNCİR KIRIK","OK")))</f>
        <v/>
      </c>
      <c r="L285" s="24">
        <f>IF($A285="","",1)</f>
        <v/>
      </c>
    </row>
    <row r="286">
      <c r="A286" s="12" t="n"/>
      <c r="B286" s="12" t="n"/>
      <c r="C286" s="12" t="n"/>
      <c r="D286" s="12" t="n"/>
      <c r="E286" s="14" t="n"/>
      <c r="F286" s="14" t="n"/>
      <c r="G286" s="14" t="n"/>
      <c r="H286" s="15" t="n"/>
      <c r="I286" s="24">
        <f>IF($A286="","",IF($B286="","YETİM",IF(COUNTIF(tblKartlar[KartId],$B286)=0,"YETİM","")))</f>
        <v/>
      </c>
      <c r="J286" s="24">
        <f>IF(OR($A286="",$C286=""),"",IF(OR($C286&amp;"|"&amp;$D286="",COUNTIF(ListeIzinliGecis,$C286&amp;"|"&amp;$D286)&gt;0),"","GEÇERSİZ GEÇİŞ"))</f>
        <v/>
      </c>
      <c r="K286" s="24">
        <f>IF($A286="","",IF(OR($E286="",$G286=""),"",IF(ABS($G286-$E286)&gt;zincirTolerans,"ZİNCİR KIRIK","OK")))</f>
        <v/>
      </c>
      <c r="L286" s="24">
        <f>IF($A286="","",1)</f>
        <v/>
      </c>
    </row>
    <row r="287">
      <c r="A287" s="12" t="n"/>
      <c r="B287" s="12" t="n"/>
      <c r="C287" s="12" t="n"/>
      <c r="D287" s="12" t="n"/>
      <c r="E287" s="14" t="n"/>
      <c r="F287" s="14" t="n"/>
      <c r="G287" s="14" t="n"/>
      <c r="H287" s="15" t="n"/>
      <c r="I287" s="24">
        <f>IF($A287="","",IF($B287="","YETİM",IF(COUNTIF(tblKartlar[KartId],$B287)=0,"YETİM","")))</f>
        <v/>
      </c>
      <c r="J287" s="24">
        <f>IF(OR($A287="",$C287=""),"",IF(OR($C287&amp;"|"&amp;$D287="",COUNTIF(ListeIzinliGecis,$C287&amp;"|"&amp;$D287)&gt;0),"","GEÇERSİZ GEÇİŞ"))</f>
        <v/>
      </c>
      <c r="K287" s="24">
        <f>IF($A287="","",IF(OR($E287="",$G287=""),"",IF(ABS($G287-$E287)&gt;zincirTolerans,"ZİNCİR KIRIK","OK")))</f>
        <v/>
      </c>
      <c r="L287" s="24">
        <f>IF($A287="","",1)</f>
        <v/>
      </c>
    </row>
    <row r="288">
      <c r="A288" s="12" t="n"/>
      <c r="B288" s="12" t="n"/>
      <c r="C288" s="12" t="n"/>
      <c r="D288" s="12" t="n"/>
      <c r="E288" s="14" t="n"/>
      <c r="F288" s="14" t="n"/>
      <c r="G288" s="14" t="n"/>
      <c r="H288" s="15" t="n"/>
      <c r="I288" s="24">
        <f>IF($A288="","",IF($B288="","YETİM",IF(COUNTIF(tblKartlar[KartId],$B288)=0,"YETİM","")))</f>
        <v/>
      </c>
      <c r="J288" s="24">
        <f>IF(OR($A288="",$C288=""),"",IF(OR($C288&amp;"|"&amp;$D288="",COUNTIF(ListeIzinliGecis,$C288&amp;"|"&amp;$D288)&gt;0),"","GEÇERSİZ GEÇİŞ"))</f>
        <v/>
      </c>
      <c r="K288" s="24">
        <f>IF($A288="","",IF(OR($E288="",$G288=""),"",IF(ABS($G288-$E288)&gt;zincirTolerans,"ZİNCİR KIRIK","OK")))</f>
        <v/>
      </c>
      <c r="L288" s="24">
        <f>IF($A288="","",1)</f>
        <v/>
      </c>
    </row>
    <row r="289">
      <c r="A289" s="12" t="n"/>
      <c r="B289" s="12" t="n"/>
      <c r="C289" s="12" t="n"/>
      <c r="D289" s="12" t="n"/>
      <c r="E289" s="14" t="n"/>
      <c r="F289" s="14" t="n"/>
      <c r="G289" s="14" t="n"/>
      <c r="H289" s="15" t="n"/>
      <c r="I289" s="24">
        <f>IF($A289="","",IF($B289="","YETİM",IF(COUNTIF(tblKartlar[KartId],$B289)=0,"YETİM","")))</f>
        <v/>
      </c>
      <c r="J289" s="24">
        <f>IF(OR($A289="",$C289=""),"",IF(OR($C289&amp;"|"&amp;$D289="",COUNTIF(ListeIzinliGecis,$C289&amp;"|"&amp;$D289)&gt;0),"","GEÇERSİZ GEÇİŞ"))</f>
        <v/>
      </c>
      <c r="K289" s="24">
        <f>IF($A289="","",IF(OR($E289="",$G289=""),"",IF(ABS($G289-$E289)&gt;zincirTolerans,"ZİNCİR KIRIK","OK")))</f>
        <v/>
      </c>
      <c r="L289" s="24">
        <f>IF($A289="","",1)</f>
        <v/>
      </c>
    </row>
    <row r="290">
      <c r="A290" s="12" t="n"/>
      <c r="B290" s="12" t="n"/>
      <c r="C290" s="12" t="n"/>
      <c r="D290" s="12" t="n"/>
      <c r="E290" s="14" t="n"/>
      <c r="F290" s="14" t="n"/>
      <c r="G290" s="14" t="n"/>
      <c r="H290" s="15" t="n"/>
      <c r="I290" s="24">
        <f>IF($A290="","",IF($B290="","YETİM",IF(COUNTIF(tblKartlar[KartId],$B290)=0,"YETİM","")))</f>
        <v/>
      </c>
      <c r="J290" s="24">
        <f>IF(OR($A290="",$C290=""),"",IF(OR($C290&amp;"|"&amp;$D290="",COUNTIF(ListeIzinliGecis,$C290&amp;"|"&amp;$D290)&gt;0),"","GEÇERSİZ GEÇİŞ"))</f>
        <v/>
      </c>
      <c r="K290" s="24">
        <f>IF($A290="","",IF(OR($E290="",$G290=""),"",IF(ABS($G290-$E290)&gt;zincirTolerans,"ZİNCİR KIRIK","OK")))</f>
        <v/>
      </c>
      <c r="L290" s="24">
        <f>IF($A290="","",1)</f>
        <v/>
      </c>
    </row>
    <row r="291">
      <c r="A291" s="12" t="n"/>
      <c r="B291" s="12" t="n"/>
      <c r="C291" s="12" t="n"/>
      <c r="D291" s="12" t="n"/>
      <c r="E291" s="14" t="n"/>
      <c r="F291" s="14" t="n"/>
      <c r="G291" s="14" t="n"/>
      <c r="H291" s="15" t="n"/>
      <c r="I291" s="24">
        <f>IF($A291="","",IF($B291="","YETİM",IF(COUNTIF(tblKartlar[KartId],$B291)=0,"YETİM","")))</f>
        <v/>
      </c>
      <c r="J291" s="24">
        <f>IF(OR($A291="",$C291=""),"",IF(OR($C291&amp;"|"&amp;$D291="",COUNTIF(ListeIzinliGecis,$C291&amp;"|"&amp;$D291)&gt;0),"","GEÇERSİZ GEÇİŞ"))</f>
        <v/>
      </c>
      <c r="K291" s="24">
        <f>IF($A291="","",IF(OR($E291="",$G291=""),"",IF(ABS($G291-$E291)&gt;zincirTolerans,"ZİNCİR KIRIK","OK")))</f>
        <v/>
      </c>
      <c r="L291" s="24">
        <f>IF($A291="","",1)</f>
        <v/>
      </c>
    </row>
    <row r="292">
      <c r="A292" s="12" t="n"/>
      <c r="B292" s="12" t="n"/>
      <c r="C292" s="12" t="n"/>
      <c r="D292" s="12" t="n"/>
      <c r="E292" s="14" t="n"/>
      <c r="F292" s="14" t="n"/>
      <c r="G292" s="14" t="n"/>
      <c r="H292" s="15" t="n"/>
      <c r="I292" s="24">
        <f>IF($A292="","",IF($B292="","YETİM",IF(COUNTIF(tblKartlar[KartId],$B292)=0,"YETİM","")))</f>
        <v/>
      </c>
      <c r="J292" s="24">
        <f>IF(OR($A292="",$C292=""),"",IF(OR($C292&amp;"|"&amp;$D292="",COUNTIF(ListeIzinliGecis,$C292&amp;"|"&amp;$D292)&gt;0),"","GEÇERSİZ GEÇİŞ"))</f>
        <v/>
      </c>
      <c r="K292" s="24">
        <f>IF($A292="","",IF(OR($E292="",$G292=""),"",IF(ABS($G292-$E292)&gt;zincirTolerans,"ZİNCİR KIRIK","OK")))</f>
        <v/>
      </c>
      <c r="L292" s="24">
        <f>IF($A292="","",1)</f>
        <v/>
      </c>
    </row>
    <row r="293">
      <c r="A293" s="12" t="n"/>
      <c r="B293" s="12" t="n"/>
      <c r="C293" s="12" t="n"/>
      <c r="D293" s="12" t="n"/>
      <c r="E293" s="14" t="n"/>
      <c r="F293" s="14" t="n"/>
      <c r="G293" s="14" t="n"/>
      <c r="H293" s="15" t="n"/>
      <c r="I293" s="24">
        <f>IF($A293="","",IF($B293="","YETİM",IF(COUNTIF(tblKartlar[KartId],$B293)=0,"YETİM","")))</f>
        <v/>
      </c>
      <c r="J293" s="24">
        <f>IF(OR($A293="",$C293=""),"",IF(OR($C293&amp;"|"&amp;$D293="",COUNTIF(ListeIzinliGecis,$C293&amp;"|"&amp;$D293)&gt;0),"","GEÇERSİZ GEÇİŞ"))</f>
        <v/>
      </c>
      <c r="K293" s="24">
        <f>IF($A293="","",IF(OR($E293="",$G293=""),"",IF(ABS($G293-$E293)&gt;zincirTolerans,"ZİNCİR KIRIK","OK")))</f>
        <v/>
      </c>
      <c r="L293" s="24">
        <f>IF($A293="","",1)</f>
        <v/>
      </c>
    </row>
    <row r="294">
      <c r="A294" s="12" t="n"/>
      <c r="B294" s="12" t="n"/>
      <c r="C294" s="12" t="n"/>
      <c r="D294" s="12" t="n"/>
      <c r="E294" s="14" t="n"/>
      <c r="F294" s="14" t="n"/>
      <c r="G294" s="14" t="n"/>
      <c r="H294" s="15" t="n"/>
      <c r="I294" s="24">
        <f>IF($A294="","",IF($B294="","YETİM",IF(COUNTIF(tblKartlar[KartId],$B294)=0,"YETİM","")))</f>
        <v/>
      </c>
      <c r="J294" s="24">
        <f>IF(OR($A294="",$C294=""),"",IF(OR($C294&amp;"|"&amp;$D294="",COUNTIF(ListeIzinliGecis,$C294&amp;"|"&amp;$D294)&gt;0),"","GEÇERSİZ GEÇİŞ"))</f>
        <v/>
      </c>
      <c r="K294" s="24">
        <f>IF($A294="","",IF(OR($E294="",$G294=""),"",IF(ABS($G294-$E294)&gt;zincirTolerans,"ZİNCİR KIRIK","OK")))</f>
        <v/>
      </c>
      <c r="L294" s="24">
        <f>IF($A294="","",1)</f>
        <v/>
      </c>
    </row>
    <row r="295">
      <c r="A295" s="12" t="n"/>
      <c r="B295" s="12" t="n"/>
      <c r="C295" s="12" t="n"/>
      <c r="D295" s="12" t="n"/>
      <c r="E295" s="14" t="n"/>
      <c r="F295" s="14" t="n"/>
      <c r="G295" s="14" t="n"/>
      <c r="H295" s="15" t="n"/>
      <c r="I295" s="24">
        <f>IF($A295="","",IF($B295="","YETİM",IF(COUNTIF(tblKartlar[KartId],$B295)=0,"YETİM","")))</f>
        <v/>
      </c>
      <c r="J295" s="24">
        <f>IF(OR($A295="",$C295=""),"",IF(OR($C295&amp;"|"&amp;$D295="",COUNTIF(ListeIzinliGecis,$C295&amp;"|"&amp;$D295)&gt;0),"","GEÇERSİZ GEÇİŞ"))</f>
        <v/>
      </c>
      <c r="K295" s="24">
        <f>IF($A295="","",IF(OR($E295="",$G295=""),"",IF(ABS($G295-$E295)&gt;zincirTolerans,"ZİNCİR KIRIK","OK")))</f>
        <v/>
      </c>
      <c r="L295" s="24">
        <f>IF($A295="","",1)</f>
        <v/>
      </c>
    </row>
    <row r="296">
      <c r="A296" s="12" t="n"/>
      <c r="B296" s="12" t="n"/>
      <c r="C296" s="12" t="n"/>
      <c r="D296" s="12" t="n"/>
      <c r="E296" s="14" t="n"/>
      <c r="F296" s="14" t="n"/>
      <c r="G296" s="14" t="n"/>
      <c r="H296" s="15" t="n"/>
      <c r="I296" s="24">
        <f>IF($A296="","",IF($B296="","YETİM",IF(COUNTIF(tblKartlar[KartId],$B296)=0,"YETİM","")))</f>
        <v/>
      </c>
      <c r="J296" s="24">
        <f>IF(OR($A296="",$C296=""),"",IF(OR($C296&amp;"|"&amp;$D296="",COUNTIF(ListeIzinliGecis,$C296&amp;"|"&amp;$D296)&gt;0),"","GEÇERSİZ GEÇİŞ"))</f>
        <v/>
      </c>
      <c r="K296" s="24">
        <f>IF($A296="","",IF(OR($E296="",$G296=""),"",IF(ABS($G296-$E296)&gt;zincirTolerans,"ZİNCİR KIRIK","OK")))</f>
        <v/>
      </c>
      <c r="L296" s="24">
        <f>IF($A296="","",1)</f>
        <v/>
      </c>
    </row>
    <row r="297">
      <c r="A297" s="12" t="n"/>
      <c r="B297" s="12" t="n"/>
      <c r="C297" s="12" t="n"/>
      <c r="D297" s="12" t="n"/>
      <c r="E297" s="14" t="n"/>
      <c r="F297" s="14" t="n"/>
      <c r="G297" s="14" t="n"/>
      <c r="H297" s="15" t="n"/>
      <c r="I297" s="24">
        <f>IF($A297="","",IF($B297="","YETİM",IF(COUNTIF(tblKartlar[KartId],$B297)=0,"YETİM","")))</f>
        <v/>
      </c>
      <c r="J297" s="24">
        <f>IF(OR($A297="",$C297=""),"",IF(OR($C297&amp;"|"&amp;$D297="",COUNTIF(ListeIzinliGecis,$C297&amp;"|"&amp;$D297)&gt;0),"","GEÇERSİZ GEÇİŞ"))</f>
        <v/>
      </c>
      <c r="K297" s="24">
        <f>IF($A297="","",IF(OR($E297="",$G297=""),"",IF(ABS($G297-$E297)&gt;zincirTolerans,"ZİNCİR KIRIK","OK")))</f>
        <v/>
      </c>
      <c r="L297" s="24">
        <f>IF($A297="","",1)</f>
        <v/>
      </c>
    </row>
    <row r="298">
      <c r="A298" s="12" t="n"/>
      <c r="B298" s="12" t="n"/>
      <c r="C298" s="12" t="n"/>
      <c r="D298" s="12" t="n"/>
      <c r="E298" s="14" t="n"/>
      <c r="F298" s="14" t="n"/>
      <c r="G298" s="14" t="n"/>
      <c r="H298" s="15" t="n"/>
      <c r="I298" s="24">
        <f>IF($A298="","",IF($B298="","YETİM",IF(COUNTIF(tblKartlar[KartId],$B298)=0,"YETİM","")))</f>
        <v/>
      </c>
      <c r="J298" s="24">
        <f>IF(OR($A298="",$C298=""),"",IF(OR($C298&amp;"|"&amp;$D298="",COUNTIF(ListeIzinliGecis,$C298&amp;"|"&amp;$D298)&gt;0),"","GEÇERSİZ GEÇİŞ"))</f>
        <v/>
      </c>
      <c r="K298" s="24">
        <f>IF($A298="","",IF(OR($E298="",$G298=""),"",IF(ABS($G298-$E298)&gt;zincirTolerans,"ZİNCİR KIRIK","OK")))</f>
        <v/>
      </c>
      <c r="L298" s="24">
        <f>IF($A298="","",1)</f>
        <v/>
      </c>
    </row>
    <row r="299">
      <c r="A299" s="12" t="n"/>
      <c r="B299" s="12" t="n"/>
      <c r="C299" s="12" t="n"/>
      <c r="D299" s="12" t="n"/>
      <c r="E299" s="14" t="n"/>
      <c r="F299" s="14" t="n"/>
      <c r="G299" s="14" t="n"/>
      <c r="H299" s="15" t="n"/>
      <c r="I299" s="24">
        <f>IF($A299="","",IF($B299="","YETİM",IF(COUNTIF(tblKartlar[KartId],$B299)=0,"YETİM","")))</f>
        <v/>
      </c>
      <c r="J299" s="24">
        <f>IF(OR($A299="",$C299=""),"",IF(OR($C299&amp;"|"&amp;$D299="",COUNTIF(ListeIzinliGecis,$C299&amp;"|"&amp;$D299)&gt;0),"","GEÇERSİZ GEÇİŞ"))</f>
        <v/>
      </c>
      <c r="K299" s="24">
        <f>IF($A299="","",IF(OR($E299="",$G299=""),"",IF(ABS($G299-$E299)&gt;zincirTolerans,"ZİNCİR KIRIK","OK")))</f>
        <v/>
      </c>
      <c r="L299" s="24">
        <f>IF($A299="","",1)</f>
        <v/>
      </c>
    </row>
    <row r="300">
      <c r="A300" s="12" t="n"/>
      <c r="B300" s="12" t="n"/>
      <c r="C300" s="12" t="n"/>
      <c r="D300" s="12" t="n"/>
      <c r="E300" s="14" t="n"/>
      <c r="F300" s="14" t="n"/>
      <c r="G300" s="14" t="n"/>
      <c r="H300" s="15" t="n"/>
      <c r="I300" s="24">
        <f>IF($A300="","",IF($B300="","YETİM",IF(COUNTIF(tblKartlar[KartId],$B300)=0,"YETİM","")))</f>
        <v/>
      </c>
      <c r="J300" s="24">
        <f>IF(OR($A300="",$C300=""),"",IF(OR($C300&amp;"|"&amp;$D300="",COUNTIF(ListeIzinliGecis,$C300&amp;"|"&amp;$D300)&gt;0),"","GEÇERSİZ GEÇİŞ"))</f>
        <v/>
      </c>
      <c r="K300" s="24">
        <f>IF($A300="","",IF(OR($E300="",$G300=""),"",IF(ABS($G300-$E300)&gt;zincirTolerans,"ZİNCİR KIRIK","OK")))</f>
        <v/>
      </c>
      <c r="L300" s="24">
        <f>IF($A300="","",1)</f>
        <v/>
      </c>
    </row>
    <row r="301">
      <c r="A301" s="12" t="n"/>
      <c r="B301" s="12" t="n"/>
      <c r="C301" s="12" t="n"/>
      <c r="D301" s="12" t="n"/>
      <c r="E301" s="14" t="n"/>
      <c r="F301" s="14" t="n"/>
      <c r="G301" s="14" t="n"/>
      <c r="H301" s="15" t="n"/>
      <c r="I301" s="24">
        <f>IF($A301="","",IF($B301="","YETİM",IF(COUNTIF(tblKartlar[KartId],$B301)=0,"YETİM","")))</f>
        <v/>
      </c>
      <c r="J301" s="24">
        <f>IF(OR($A301="",$C301=""),"",IF(OR($C301&amp;"|"&amp;$D301="",COUNTIF(ListeIzinliGecis,$C301&amp;"|"&amp;$D301)&gt;0),"","GEÇERSİZ GEÇİŞ"))</f>
        <v/>
      </c>
      <c r="K301" s="24">
        <f>IF($A301="","",IF(OR($E301="",$G301=""),"",IF(ABS($G301-$E301)&gt;zincirTolerans,"ZİNCİR KIRIK","OK")))</f>
        <v/>
      </c>
      <c r="L301" s="24">
        <f>IF($A301="","",1)</f>
        <v/>
      </c>
    </row>
    <row r="302">
      <c r="A302" s="12" t="n"/>
      <c r="B302" s="12" t="n"/>
      <c r="C302" s="12" t="n"/>
      <c r="D302" s="12" t="n"/>
      <c r="E302" s="14" t="n"/>
      <c r="F302" s="14" t="n"/>
      <c r="G302" s="14" t="n"/>
      <c r="H302" s="15" t="n"/>
      <c r="I302" s="24">
        <f>IF($A302="","",IF($B302="","YETİM",IF(COUNTIF(tblKartlar[KartId],$B302)=0,"YETİM","")))</f>
        <v/>
      </c>
      <c r="J302" s="24">
        <f>IF(OR($A302="",$C302=""),"",IF(OR($C302&amp;"|"&amp;$D302="",COUNTIF(ListeIzinliGecis,$C302&amp;"|"&amp;$D302)&gt;0),"","GEÇERSİZ GEÇİŞ"))</f>
        <v/>
      </c>
      <c r="K302" s="24">
        <f>IF($A302="","",IF(OR($E302="",$G302=""),"",IF(ABS($G302-$E302)&gt;zincirTolerans,"ZİNCİR KIRIK","OK")))</f>
        <v/>
      </c>
      <c r="L302" s="24">
        <f>IF($A302="","",1)</f>
        <v/>
      </c>
    </row>
    <row r="303">
      <c r="A303" s="12" t="n"/>
      <c r="B303" s="12" t="n"/>
      <c r="C303" s="12" t="n"/>
      <c r="D303" s="12" t="n"/>
      <c r="E303" s="14" t="n"/>
      <c r="F303" s="14" t="n"/>
      <c r="G303" s="14" t="n"/>
      <c r="H303" s="15" t="n"/>
      <c r="I303" s="24">
        <f>IF($A303="","",IF($B303="","YETİM",IF(COUNTIF(tblKartlar[KartId],$B303)=0,"YETİM","")))</f>
        <v/>
      </c>
      <c r="J303" s="24">
        <f>IF(OR($A303="",$C303=""),"",IF(OR($C303&amp;"|"&amp;$D303="",COUNTIF(ListeIzinliGecis,$C303&amp;"|"&amp;$D303)&gt;0),"","GEÇERSİZ GEÇİŞ"))</f>
        <v/>
      </c>
      <c r="K303" s="24">
        <f>IF($A303="","",IF(OR($E303="",$G303=""),"",IF(ABS($G303-$E303)&gt;zincirTolerans,"ZİNCİR KIRIK","OK")))</f>
        <v/>
      </c>
      <c r="L303" s="24">
        <f>IF($A303="","",1)</f>
        <v/>
      </c>
    </row>
    <row r="304">
      <c r="A304" s="12" t="n"/>
      <c r="B304" s="12" t="n"/>
      <c r="C304" s="12" t="n"/>
      <c r="D304" s="12" t="n"/>
      <c r="E304" s="14" t="n"/>
      <c r="F304" s="14" t="n"/>
      <c r="G304" s="14" t="n"/>
      <c r="H304" s="15" t="n"/>
      <c r="I304" s="24">
        <f>IF($A304="","",IF($B304="","YETİM",IF(COUNTIF(tblKartlar[KartId],$B304)=0,"YETİM","")))</f>
        <v/>
      </c>
      <c r="J304" s="24">
        <f>IF(OR($A304="",$C304=""),"",IF(OR($C304&amp;"|"&amp;$D304="",COUNTIF(ListeIzinliGecis,$C304&amp;"|"&amp;$D304)&gt;0),"","GEÇERSİZ GEÇİŞ"))</f>
        <v/>
      </c>
      <c r="K304" s="24">
        <f>IF($A304="","",IF(OR($E304="",$G304=""),"",IF(ABS($G304-$E304)&gt;zincirTolerans,"ZİNCİR KIRIK","OK")))</f>
        <v/>
      </c>
      <c r="L304" s="24">
        <f>IF($A304="","",1)</f>
        <v/>
      </c>
    </row>
    <row r="305">
      <c r="A305" s="12" t="n"/>
      <c r="B305" s="12" t="n"/>
      <c r="C305" s="12" t="n"/>
      <c r="D305" s="12" t="n"/>
      <c r="E305" s="14" t="n"/>
      <c r="F305" s="14" t="n"/>
      <c r="G305" s="14" t="n"/>
      <c r="H305" s="15" t="n"/>
      <c r="I305" s="24">
        <f>IF($A305="","",IF($B305="","YETİM",IF(COUNTIF(tblKartlar[KartId],$B305)=0,"YETİM","")))</f>
        <v/>
      </c>
      <c r="J305" s="24">
        <f>IF(OR($A305="",$C305=""),"",IF(OR($C305&amp;"|"&amp;$D305="",COUNTIF(ListeIzinliGecis,$C305&amp;"|"&amp;$D305)&gt;0),"","GEÇERSİZ GEÇİŞ"))</f>
        <v/>
      </c>
      <c r="K305" s="24">
        <f>IF($A305="","",IF(OR($E305="",$G305=""),"",IF(ABS($G305-$E305)&gt;zincirTolerans,"ZİNCİR KIRIK","OK")))</f>
        <v/>
      </c>
      <c r="L305" s="24">
        <f>IF($A305="","",1)</f>
        <v/>
      </c>
    </row>
    <row r="306">
      <c r="A306" s="12" t="n"/>
      <c r="B306" s="12" t="n"/>
      <c r="C306" s="12" t="n"/>
      <c r="D306" s="12" t="n"/>
      <c r="E306" s="14" t="n"/>
      <c r="F306" s="14" t="n"/>
      <c r="G306" s="14" t="n"/>
      <c r="H306" s="15" t="n"/>
      <c r="I306" s="24">
        <f>IF($A306="","",IF($B306="","YETİM",IF(COUNTIF(tblKartlar[KartId],$B306)=0,"YETİM","")))</f>
        <v/>
      </c>
      <c r="J306" s="24">
        <f>IF(OR($A306="",$C306=""),"",IF(OR($C306&amp;"|"&amp;$D306="",COUNTIF(ListeIzinliGecis,$C306&amp;"|"&amp;$D306)&gt;0),"","GEÇERSİZ GEÇİŞ"))</f>
        <v/>
      </c>
      <c r="K306" s="24">
        <f>IF($A306="","",IF(OR($E306="",$G306=""),"",IF(ABS($G306-$E306)&gt;zincirTolerans,"ZİNCİR KIRIK","OK")))</f>
        <v/>
      </c>
      <c r="L306" s="24">
        <f>IF($A306="","",1)</f>
        <v/>
      </c>
    </row>
    <row r="307">
      <c r="A307" s="12" t="n"/>
      <c r="B307" s="12" t="n"/>
      <c r="C307" s="12" t="n"/>
      <c r="D307" s="12" t="n"/>
      <c r="E307" s="14" t="n"/>
      <c r="F307" s="14" t="n"/>
      <c r="G307" s="14" t="n"/>
      <c r="H307" s="15" t="n"/>
      <c r="I307" s="24">
        <f>IF($A307="","",IF($B307="","YETİM",IF(COUNTIF(tblKartlar[KartId],$B307)=0,"YETİM","")))</f>
        <v/>
      </c>
      <c r="J307" s="24">
        <f>IF(OR($A307="",$C307=""),"",IF(OR($C307&amp;"|"&amp;$D307="",COUNTIF(ListeIzinliGecis,$C307&amp;"|"&amp;$D307)&gt;0),"","GEÇERSİZ GEÇİŞ"))</f>
        <v/>
      </c>
      <c r="K307" s="24">
        <f>IF($A307="","",IF(OR($E307="",$G307=""),"",IF(ABS($G307-$E307)&gt;zincirTolerans,"ZİNCİR KIRIK","OK")))</f>
        <v/>
      </c>
      <c r="L307" s="24">
        <f>IF($A307="","",1)</f>
        <v/>
      </c>
    </row>
    <row r="308">
      <c r="A308" s="12" t="n"/>
      <c r="B308" s="12" t="n"/>
      <c r="C308" s="12" t="n"/>
      <c r="D308" s="12" t="n"/>
      <c r="E308" s="14" t="n"/>
      <c r="F308" s="14" t="n"/>
      <c r="G308" s="14" t="n"/>
      <c r="H308" s="15" t="n"/>
      <c r="I308" s="24">
        <f>IF($A308="","",IF($B308="","YETİM",IF(COUNTIF(tblKartlar[KartId],$B308)=0,"YETİM","")))</f>
        <v/>
      </c>
      <c r="J308" s="24">
        <f>IF(OR($A308="",$C308=""),"",IF(OR($C308&amp;"|"&amp;$D308="",COUNTIF(ListeIzinliGecis,$C308&amp;"|"&amp;$D308)&gt;0),"","GEÇERSİZ GEÇİŞ"))</f>
        <v/>
      </c>
      <c r="K308" s="24">
        <f>IF($A308="","",IF(OR($E308="",$G308=""),"",IF(ABS($G308-$E308)&gt;zincirTolerans,"ZİNCİR KIRIK","OK")))</f>
        <v/>
      </c>
      <c r="L308" s="24">
        <f>IF($A308="","",1)</f>
        <v/>
      </c>
    </row>
    <row r="309">
      <c r="A309" s="12" t="n"/>
      <c r="B309" s="12" t="n"/>
      <c r="C309" s="12" t="n"/>
      <c r="D309" s="12" t="n"/>
      <c r="E309" s="14" t="n"/>
      <c r="F309" s="14" t="n"/>
      <c r="G309" s="14" t="n"/>
      <c r="H309" s="15" t="n"/>
      <c r="I309" s="24">
        <f>IF($A309="","",IF($B309="","YETİM",IF(COUNTIF(tblKartlar[KartId],$B309)=0,"YETİM","")))</f>
        <v/>
      </c>
      <c r="J309" s="24">
        <f>IF(OR($A309="",$C309=""),"",IF(OR($C309&amp;"|"&amp;$D309="",COUNTIF(ListeIzinliGecis,$C309&amp;"|"&amp;$D309)&gt;0),"","GEÇERSİZ GEÇİŞ"))</f>
        <v/>
      </c>
      <c r="K309" s="24">
        <f>IF($A309="","",IF(OR($E309="",$G309=""),"",IF(ABS($G309-$E309)&gt;zincirTolerans,"ZİNCİR KIRIK","OK")))</f>
        <v/>
      </c>
      <c r="L309" s="24">
        <f>IF($A309="","",1)</f>
        <v/>
      </c>
    </row>
    <row r="310">
      <c r="A310" s="12" t="n"/>
      <c r="B310" s="12" t="n"/>
      <c r="C310" s="12" t="n"/>
      <c r="D310" s="12" t="n"/>
      <c r="E310" s="14" t="n"/>
      <c r="F310" s="14" t="n"/>
      <c r="G310" s="14" t="n"/>
      <c r="H310" s="15" t="n"/>
      <c r="I310" s="24">
        <f>IF($A310="","",IF($B310="","YETİM",IF(COUNTIF(tblKartlar[KartId],$B310)=0,"YETİM","")))</f>
        <v/>
      </c>
      <c r="J310" s="24">
        <f>IF(OR($A310="",$C310=""),"",IF(OR($C310&amp;"|"&amp;$D310="",COUNTIF(ListeIzinliGecis,$C310&amp;"|"&amp;$D310)&gt;0),"","GEÇERSİZ GEÇİŞ"))</f>
        <v/>
      </c>
      <c r="K310" s="24">
        <f>IF($A310="","",IF(OR($E310="",$G310=""),"",IF(ABS($G310-$E310)&gt;zincirTolerans,"ZİNCİR KIRIK","OK")))</f>
        <v/>
      </c>
      <c r="L310" s="24">
        <f>IF($A310="","",1)</f>
        <v/>
      </c>
    </row>
    <row r="311">
      <c r="A311" s="12" t="n"/>
      <c r="B311" s="12" t="n"/>
      <c r="C311" s="12" t="n"/>
      <c r="D311" s="12" t="n"/>
      <c r="E311" s="14" t="n"/>
      <c r="F311" s="14" t="n"/>
      <c r="G311" s="14" t="n"/>
      <c r="H311" s="15" t="n"/>
      <c r="I311" s="24">
        <f>IF($A311="","",IF($B311="","YETİM",IF(COUNTIF(tblKartlar[KartId],$B311)=0,"YETİM","")))</f>
        <v/>
      </c>
      <c r="J311" s="24">
        <f>IF(OR($A311="",$C311=""),"",IF(OR($C311&amp;"|"&amp;$D311="",COUNTIF(ListeIzinliGecis,$C311&amp;"|"&amp;$D311)&gt;0),"","GEÇERSİZ GEÇİŞ"))</f>
        <v/>
      </c>
      <c r="K311" s="24">
        <f>IF($A311="","",IF(OR($E311="",$G311=""),"",IF(ABS($G311-$E311)&gt;zincirTolerans,"ZİNCİR KIRIK","OK")))</f>
        <v/>
      </c>
      <c r="L311" s="24">
        <f>IF($A311="","",1)</f>
        <v/>
      </c>
    </row>
    <row r="312">
      <c r="A312" s="12" t="n"/>
      <c r="B312" s="12" t="n"/>
      <c r="C312" s="12" t="n"/>
      <c r="D312" s="12" t="n"/>
      <c r="E312" s="14" t="n"/>
      <c r="F312" s="14" t="n"/>
      <c r="G312" s="14" t="n"/>
      <c r="H312" s="15" t="n"/>
      <c r="I312" s="24">
        <f>IF($A312="","",IF($B312="","YETİM",IF(COUNTIF(tblKartlar[KartId],$B312)=0,"YETİM","")))</f>
        <v/>
      </c>
      <c r="J312" s="24">
        <f>IF(OR($A312="",$C312=""),"",IF(OR($C312&amp;"|"&amp;$D312="",COUNTIF(ListeIzinliGecis,$C312&amp;"|"&amp;$D312)&gt;0),"","GEÇERSİZ GEÇİŞ"))</f>
        <v/>
      </c>
      <c r="K312" s="24">
        <f>IF($A312="","",IF(OR($E312="",$G312=""),"",IF(ABS($G312-$E312)&gt;zincirTolerans,"ZİNCİR KIRIK","OK")))</f>
        <v/>
      </c>
      <c r="L312" s="24">
        <f>IF($A312="","",1)</f>
        <v/>
      </c>
    </row>
    <row r="313">
      <c r="A313" s="12" t="n"/>
      <c r="B313" s="12" t="n"/>
      <c r="C313" s="12" t="n"/>
      <c r="D313" s="12" t="n"/>
      <c r="E313" s="14" t="n"/>
      <c r="F313" s="14" t="n"/>
      <c r="G313" s="14" t="n"/>
      <c r="H313" s="15" t="n"/>
      <c r="I313" s="24">
        <f>IF($A313="","",IF($B313="","YETİM",IF(COUNTIF(tblKartlar[KartId],$B313)=0,"YETİM","")))</f>
        <v/>
      </c>
      <c r="J313" s="24">
        <f>IF(OR($A313="",$C313=""),"",IF(OR($C313&amp;"|"&amp;$D313="",COUNTIF(ListeIzinliGecis,$C313&amp;"|"&amp;$D313)&gt;0),"","GEÇERSİZ GEÇİŞ"))</f>
        <v/>
      </c>
      <c r="K313" s="24">
        <f>IF($A313="","",IF(OR($E313="",$G313=""),"",IF(ABS($G313-$E313)&gt;zincirTolerans,"ZİNCİR KIRIK","OK")))</f>
        <v/>
      </c>
      <c r="L313" s="24">
        <f>IF($A313="","",1)</f>
        <v/>
      </c>
    </row>
    <row r="314">
      <c r="A314" s="12" t="n"/>
      <c r="B314" s="12" t="n"/>
      <c r="C314" s="12" t="n"/>
      <c r="D314" s="12" t="n"/>
      <c r="E314" s="14" t="n"/>
      <c r="F314" s="14" t="n"/>
      <c r="G314" s="14" t="n"/>
      <c r="H314" s="15" t="n"/>
      <c r="I314" s="24">
        <f>IF($A314="","",IF($B314="","YETİM",IF(COUNTIF(tblKartlar[KartId],$B314)=0,"YETİM","")))</f>
        <v/>
      </c>
      <c r="J314" s="24">
        <f>IF(OR($A314="",$C314=""),"",IF(OR($C314&amp;"|"&amp;$D314="",COUNTIF(ListeIzinliGecis,$C314&amp;"|"&amp;$D314)&gt;0),"","GEÇERSİZ GEÇİŞ"))</f>
        <v/>
      </c>
      <c r="K314" s="24">
        <f>IF($A314="","",IF(OR($E314="",$G314=""),"",IF(ABS($G314-$E314)&gt;zincirTolerans,"ZİNCİR KIRIK","OK")))</f>
        <v/>
      </c>
      <c r="L314" s="24">
        <f>IF($A314="","",1)</f>
        <v/>
      </c>
    </row>
    <row r="315">
      <c r="A315" s="12" t="n"/>
      <c r="B315" s="12" t="n"/>
      <c r="C315" s="12" t="n"/>
      <c r="D315" s="12" t="n"/>
      <c r="E315" s="14" t="n"/>
      <c r="F315" s="14" t="n"/>
      <c r="G315" s="14" t="n"/>
      <c r="H315" s="15" t="n"/>
      <c r="I315" s="24">
        <f>IF($A315="","",IF($B315="","YETİM",IF(COUNTIF(tblKartlar[KartId],$B315)=0,"YETİM","")))</f>
        <v/>
      </c>
      <c r="J315" s="24">
        <f>IF(OR($A315="",$C315=""),"",IF(OR($C315&amp;"|"&amp;$D315="",COUNTIF(ListeIzinliGecis,$C315&amp;"|"&amp;$D315)&gt;0),"","GEÇERSİZ GEÇİŞ"))</f>
        <v/>
      </c>
      <c r="K315" s="24">
        <f>IF($A315="","",IF(OR($E315="",$G315=""),"",IF(ABS($G315-$E315)&gt;zincirTolerans,"ZİNCİR KIRIK","OK")))</f>
        <v/>
      </c>
      <c r="L315" s="24">
        <f>IF($A315="","",1)</f>
        <v/>
      </c>
    </row>
    <row r="316">
      <c r="A316" s="12" t="n"/>
      <c r="B316" s="12" t="n"/>
      <c r="C316" s="12" t="n"/>
      <c r="D316" s="12" t="n"/>
      <c r="E316" s="14" t="n"/>
      <c r="F316" s="14" t="n"/>
      <c r="G316" s="14" t="n"/>
      <c r="H316" s="15" t="n"/>
      <c r="I316" s="24">
        <f>IF($A316="","",IF($B316="","YETİM",IF(COUNTIF(tblKartlar[KartId],$B316)=0,"YETİM","")))</f>
        <v/>
      </c>
      <c r="J316" s="24">
        <f>IF(OR($A316="",$C316=""),"",IF(OR($C316&amp;"|"&amp;$D316="",COUNTIF(ListeIzinliGecis,$C316&amp;"|"&amp;$D316)&gt;0),"","GEÇERSİZ GEÇİŞ"))</f>
        <v/>
      </c>
      <c r="K316" s="24">
        <f>IF($A316="","",IF(OR($E316="",$G316=""),"",IF(ABS($G316-$E316)&gt;zincirTolerans,"ZİNCİR KIRIK","OK")))</f>
        <v/>
      </c>
      <c r="L316" s="24">
        <f>IF($A316="","",1)</f>
        <v/>
      </c>
    </row>
    <row r="317">
      <c r="A317" s="12" t="n"/>
      <c r="B317" s="12" t="n"/>
      <c r="C317" s="12" t="n"/>
      <c r="D317" s="12" t="n"/>
      <c r="E317" s="14" t="n"/>
      <c r="F317" s="14" t="n"/>
      <c r="G317" s="14" t="n"/>
      <c r="H317" s="15" t="n"/>
      <c r="I317" s="24">
        <f>IF($A317="","",IF($B317="","YETİM",IF(COUNTIF(tblKartlar[KartId],$B317)=0,"YETİM","")))</f>
        <v/>
      </c>
      <c r="J317" s="24">
        <f>IF(OR($A317="",$C317=""),"",IF(OR($C317&amp;"|"&amp;$D317="",COUNTIF(ListeIzinliGecis,$C317&amp;"|"&amp;$D317)&gt;0),"","GEÇERSİZ GEÇİŞ"))</f>
        <v/>
      </c>
      <c r="K317" s="24">
        <f>IF($A317="","",IF(OR($E317="",$G317=""),"",IF(ABS($G317-$E317)&gt;zincirTolerans,"ZİNCİR KIRIK","OK")))</f>
        <v/>
      </c>
      <c r="L317" s="24">
        <f>IF($A317="","",1)</f>
        <v/>
      </c>
    </row>
    <row r="318">
      <c r="A318" s="12" t="n"/>
      <c r="B318" s="12" t="n"/>
      <c r="C318" s="12" t="n"/>
      <c r="D318" s="12" t="n"/>
      <c r="E318" s="14" t="n"/>
      <c r="F318" s="14" t="n"/>
      <c r="G318" s="14" t="n"/>
      <c r="H318" s="15" t="n"/>
      <c r="I318" s="24">
        <f>IF($A318="","",IF($B318="","YETİM",IF(COUNTIF(tblKartlar[KartId],$B318)=0,"YETİM","")))</f>
        <v/>
      </c>
      <c r="J318" s="24">
        <f>IF(OR($A318="",$C318=""),"",IF(OR($C318&amp;"|"&amp;$D318="",COUNTIF(ListeIzinliGecis,$C318&amp;"|"&amp;$D318)&gt;0),"","GEÇERSİZ GEÇİŞ"))</f>
        <v/>
      </c>
      <c r="K318" s="24">
        <f>IF($A318="","",IF(OR($E318="",$G318=""),"",IF(ABS($G318-$E318)&gt;zincirTolerans,"ZİNCİR KIRIK","OK")))</f>
        <v/>
      </c>
      <c r="L318" s="24">
        <f>IF($A318="","",1)</f>
        <v/>
      </c>
    </row>
    <row r="319">
      <c r="A319" s="12" t="n"/>
      <c r="B319" s="12" t="n"/>
      <c r="C319" s="12" t="n"/>
      <c r="D319" s="12" t="n"/>
      <c r="E319" s="14" t="n"/>
      <c r="F319" s="14" t="n"/>
      <c r="G319" s="14" t="n"/>
      <c r="H319" s="15" t="n"/>
      <c r="I319" s="24">
        <f>IF($A319="","",IF($B319="","YETİM",IF(COUNTIF(tblKartlar[KartId],$B319)=0,"YETİM","")))</f>
        <v/>
      </c>
      <c r="J319" s="24">
        <f>IF(OR($A319="",$C319=""),"",IF(OR($C319&amp;"|"&amp;$D319="",COUNTIF(ListeIzinliGecis,$C319&amp;"|"&amp;$D319)&gt;0),"","GEÇERSİZ GEÇİŞ"))</f>
        <v/>
      </c>
      <c r="K319" s="24">
        <f>IF($A319="","",IF(OR($E319="",$G319=""),"",IF(ABS($G319-$E319)&gt;zincirTolerans,"ZİNCİR KIRIK","OK")))</f>
        <v/>
      </c>
      <c r="L319" s="24">
        <f>IF($A319="","",1)</f>
        <v/>
      </c>
    </row>
    <row r="320">
      <c r="A320" s="12" t="n"/>
      <c r="B320" s="12" t="n"/>
      <c r="C320" s="12" t="n"/>
      <c r="D320" s="12" t="n"/>
      <c r="E320" s="14" t="n"/>
      <c r="F320" s="14" t="n"/>
      <c r="G320" s="14" t="n"/>
      <c r="H320" s="15" t="n"/>
      <c r="I320" s="24">
        <f>IF($A320="","",IF($B320="","YETİM",IF(COUNTIF(tblKartlar[KartId],$B320)=0,"YETİM","")))</f>
        <v/>
      </c>
      <c r="J320" s="24">
        <f>IF(OR($A320="",$C320=""),"",IF(OR($C320&amp;"|"&amp;$D320="",COUNTIF(ListeIzinliGecis,$C320&amp;"|"&amp;$D320)&gt;0),"","GEÇERSİZ GEÇİŞ"))</f>
        <v/>
      </c>
      <c r="K320" s="24">
        <f>IF($A320="","",IF(OR($E320="",$G320=""),"",IF(ABS($G320-$E320)&gt;zincirTolerans,"ZİNCİR KIRIK","OK")))</f>
        <v/>
      </c>
      <c r="L320" s="24">
        <f>IF($A320="","",1)</f>
        <v/>
      </c>
    </row>
    <row r="321">
      <c r="A321" s="12" t="n"/>
      <c r="B321" s="12" t="n"/>
      <c r="C321" s="12" t="n"/>
      <c r="D321" s="12" t="n"/>
      <c r="E321" s="14" t="n"/>
      <c r="F321" s="14" t="n"/>
      <c r="G321" s="14" t="n"/>
      <c r="H321" s="15" t="n"/>
      <c r="I321" s="24">
        <f>IF($A321="","",IF($B321="","YETİM",IF(COUNTIF(tblKartlar[KartId],$B321)=0,"YETİM","")))</f>
        <v/>
      </c>
      <c r="J321" s="24">
        <f>IF(OR($A321="",$C321=""),"",IF(OR($C321&amp;"|"&amp;$D321="",COUNTIF(ListeIzinliGecis,$C321&amp;"|"&amp;$D321)&gt;0),"","GEÇERSİZ GEÇİŞ"))</f>
        <v/>
      </c>
      <c r="K321" s="24">
        <f>IF($A321="","",IF(OR($E321="",$G321=""),"",IF(ABS($G321-$E321)&gt;zincirTolerans,"ZİNCİR KIRIK","OK")))</f>
        <v/>
      </c>
      <c r="L321" s="24">
        <f>IF($A321="","",1)</f>
        <v/>
      </c>
    </row>
    <row r="322">
      <c r="A322" s="12" t="n"/>
      <c r="B322" s="12" t="n"/>
      <c r="C322" s="12" t="n"/>
      <c r="D322" s="12" t="n"/>
      <c r="E322" s="14" t="n"/>
      <c r="F322" s="14" t="n"/>
      <c r="G322" s="14" t="n"/>
      <c r="H322" s="15" t="n"/>
      <c r="I322" s="24">
        <f>IF($A322="","",IF($B322="","YETİM",IF(COUNTIF(tblKartlar[KartId],$B322)=0,"YETİM","")))</f>
        <v/>
      </c>
      <c r="J322" s="24">
        <f>IF(OR($A322="",$C322=""),"",IF(OR($C322&amp;"|"&amp;$D322="",COUNTIF(ListeIzinliGecis,$C322&amp;"|"&amp;$D322)&gt;0),"","GEÇERSİZ GEÇİŞ"))</f>
        <v/>
      </c>
      <c r="K322" s="24">
        <f>IF($A322="","",IF(OR($E322="",$G322=""),"",IF(ABS($G322-$E322)&gt;zincirTolerans,"ZİNCİR KIRIK","OK")))</f>
        <v/>
      </c>
      <c r="L322" s="24">
        <f>IF($A322="","",1)</f>
        <v/>
      </c>
    </row>
    <row r="323">
      <c r="A323" s="12" t="n"/>
      <c r="B323" s="12" t="n"/>
      <c r="C323" s="12" t="n"/>
      <c r="D323" s="12" t="n"/>
      <c r="E323" s="14" t="n"/>
      <c r="F323" s="14" t="n"/>
      <c r="G323" s="14" t="n"/>
      <c r="H323" s="15" t="n"/>
      <c r="I323" s="24">
        <f>IF($A323="","",IF($B323="","YETİM",IF(COUNTIF(tblKartlar[KartId],$B323)=0,"YETİM","")))</f>
        <v/>
      </c>
      <c r="J323" s="24">
        <f>IF(OR($A323="",$C323=""),"",IF(OR($C323&amp;"|"&amp;$D323="",COUNTIF(ListeIzinliGecis,$C323&amp;"|"&amp;$D323)&gt;0),"","GEÇERSİZ GEÇİŞ"))</f>
        <v/>
      </c>
      <c r="K323" s="24">
        <f>IF($A323="","",IF(OR($E323="",$G323=""),"",IF(ABS($G323-$E323)&gt;zincirTolerans,"ZİNCİR KIRIK","OK")))</f>
        <v/>
      </c>
      <c r="L323" s="24">
        <f>IF($A323="","",1)</f>
        <v/>
      </c>
    </row>
    <row r="324">
      <c r="A324" s="12" t="n"/>
      <c r="B324" s="12" t="n"/>
      <c r="C324" s="12" t="n"/>
      <c r="D324" s="12" t="n"/>
      <c r="E324" s="14" t="n"/>
      <c r="F324" s="14" t="n"/>
      <c r="G324" s="14" t="n"/>
      <c r="H324" s="15" t="n"/>
      <c r="I324" s="24">
        <f>IF($A324="","",IF($B324="","YETİM",IF(COUNTIF(tblKartlar[KartId],$B324)=0,"YETİM","")))</f>
        <v/>
      </c>
      <c r="J324" s="24">
        <f>IF(OR($A324="",$C324=""),"",IF(OR($C324&amp;"|"&amp;$D324="",COUNTIF(ListeIzinliGecis,$C324&amp;"|"&amp;$D324)&gt;0),"","GEÇERSİZ GEÇİŞ"))</f>
        <v/>
      </c>
      <c r="K324" s="24">
        <f>IF($A324="","",IF(OR($E324="",$G324=""),"",IF(ABS($G324-$E324)&gt;zincirTolerans,"ZİNCİR KIRIK","OK")))</f>
        <v/>
      </c>
      <c r="L324" s="24">
        <f>IF($A324="","",1)</f>
        <v/>
      </c>
    </row>
    <row r="325">
      <c r="A325" s="12" t="n"/>
      <c r="B325" s="12" t="n"/>
      <c r="C325" s="12" t="n"/>
      <c r="D325" s="12" t="n"/>
      <c r="E325" s="14" t="n"/>
      <c r="F325" s="14" t="n"/>
      <c r="G325" s="14" t="n"/>
      <c r="H325" s="15" t="n"/>
      <c r="I325" s="24">
        <f>IF($A325="","",IF($B325="","YETİM",IF(COUNTIF(tblKartlar[KartId],$B325)=0,"YETİM","")))</f>
        <v/>
      </c>
      <c r="J325" s="24">
        <f>IF(OR($A325="",$C325=""),"",IF(OR($C325&amp;"|"&amp;$D325="",COUNTIF(ListeIzinliGecis,$C325&amp;"|"&amp;$D325)&gt;0),"","GEÇERSİZ GEÇİŞ"))</f>
        <v/>
      </c>
      <c r="K325" s="24">
        <f>IF($A325="","",IF(OR($E325="",$G325=""),"",IF(ABS($G325-$E325)&gt;zincirTolerans,"ZİNCİR KIRIK","OK")))</f>
        <v/>
      </c>
      <c r="L325" s="24">
        <f>IF($A325="","",1)</f>
        <v/>
      </c>
    </row>
    <row r="326">
      <c r="A326" s="12" t="n"/>
      <c r="B326" s="12" t="n"/>
      <c r="C326" s="12" t="n"/>
      <c r="D326" s="12" t="n"/>
      <c r="E326" s="14" t="n"/>
      <c r="F326" s="14" t="n"/>
      <c r="G326" s="14" t="n"/>
      <c r="H326" s="15" t="n"/>
      <c r="I326" s="24">
        <f>IF($A326="","",IF($B326="","YETİM",IF(COUNTIF(tblKartlar[KartId],$B326)=0,"YETİM","")))</f>
        <v/>
      </c>
      <c r="J326" s="24">
        <f>IF(OR($A326="",$C326=""),"",IF(OR($C326&amp;"|"&amp;$D326="",COUNTIF(ListeIzinliGecis,$C326&amp;"|"&amp;$D326)&gt;0),"","GEÇERSİZ GEÇİŞ"))</f>
        <v/>
      </c>
      <c r="K326" s="24">
        <f>IF($A326="","",IF(OR($E326="",$G326=""),"",IF(ABS($G326-$E326)&gt;zincirTolerans,"ZİNCİR KIRIK","OK")))</f>
        <v/>
      </c>
      <c r="L326" s="24">
        <f>IF($A326="","",1)</f>
        <v/>
      </c>
    </row>
    <row r="327">
      <c r="A327" s="12" t="n"/>
      <c r="B327" s="12" t="n"/>
      <c r="C327" s="12" t="n"/>
      <c r="D327" s="12" t="n"/>
      <c r="E327" s="14" t="n"/>
      <c r="F327" s="14" t="n"/>
      <c r="G327" s="14" t="n"/>
      <c r="H327" s="15" t="n"/>
      <c r="I327" s="24">
        <f>IF($A327="","",IF($B327="","YETİM",IF(COUNTIF(tblKartlar[KartId],$B327)=0,"YETİM","")))</f>
        <v/>
      </c>
      <c r="J327" s="24">
        <f>IF(OR($A327="",$C327=""),"",IF(OR($C327&amp;"|"&amp;$D327="",COUNTIF(ListeIzinliGecis,$C327&amp;"|"&amp;$D327)&gt;0),"","GEÇERSİZ GEÇİŞ"))</f>
        <v/>
      </c>
      <c r="K327" s="24">
        <f>IF($A327="","",IF(OR($E327="",$G327=""),"",IF(ABS($G327-$E327)&gt;zincirTolerans,"ZİNCİR KIRIK","OK")))</f>
        <v/>
      </c>
      <c r="L327" s="24">
        <f>IF($A327="","",1)</f>
        <v/>
      </c>
    </row>
    <row r="328">
      <c r="A328" s="12" t="n"/>
      <c r="B328" s="12" t="n"/>
      <c r="C328" s="12" t="n"/>
      <c r="D328" s="12" t="n"/>
      <c r="E328" s="14" t="n"/>
      <c r="F328" s="14" t="n"/>
      <c r="G328" s="14" t="n"/>
      <c r="H328" s="15" t="n"/>
      <c r="I328" s="24">
        <f>IF($A328="","",IF($B328="","YETİM",IF(COUNTIF(tblKartlar[KartId],$B328)=0,"YETİM","")))</f>
        <v/>
      </c>
      <c r="J328" s="24">
        <f>IF(OR($A328="",$C328=""),"",IF(OR($C328&amp;"|"&amp;$D328="",COUNTIF(ListeIzinliGecis,$C328&amp;"|"&amp;$D328)&gt;0),"","GEÇERSİZ GEÇİŞ"))</f>
        <v/>
      </c>
      <c r="K328" s="24">
        <f>IF($A328="","",IF(OR($E328="",$G328=""),"",IF(ABS($G328-$E328)&gt;zincirTolerans,"ZİNCİR KIRIK","OK")))</f>
        <v/>
      </c>
      <c r="L328" s="24">
        <f>IF($A328="","",1)</f>
        <v/>
      </c>
    </row>
    <row r="329">
      <c r="A329" s="12" t="n"/>
      <c r="B329" s="12" t="n"/>
      <c r="C329" s="12" t="n"/>
      <c r="D329" s="12" t="n"/>
      <c r="E329" s="14" t="n"/>
      <c r="F329" s="14" t="n"/>
      <c r="G329" s="14" t="n"/>
      <c r="H329" s="15" t="n"/>
      <c r="I329" s="24">
        <f>IF($A329="","",IF($B329="","YETİM",IF(COUNTIF(tblKartlar[KartId],$B329)=0,"YETİM","")))</f>
        <v/>
      </c>
      <c r="J329" s="24">
        <f>IF(OR($A329="",$C329=""),"",IF(OR($C329&amp;"|"&amp;$D329="",COUNTIF(ListeIzinliGecis,$C329&amp;"|"&amp;$D329)&gt;0),"","GEÇERSİZ GEÇİŞ"))</f>
        <v/>
      </c>
      <c r="K329" s="24">
        <f>IF($A329="","",IF(OR($E329="",$G329=""),"",IF(ABS($G329-$E329)&gt;zincirTolerans,"ZİNCİR KIRIK","OK")))</f>
        <v/>
      </c>
      <c r="L329" s="24">
        <f>IF($A329="","",1)</f>
        <v/>
      </c>
    </row>
    <row r="330">
      <c r="A330" s="12" t="n"/>
      <c r="B330" s="12" t="n"/>
      <c r="C330" s="12" t="n"/>
      <c r="D330" s="12" t="n"/>
      <c r="E330" s="14" t="n"/>
      <c r="F330" s="14" t="n"/>
      <c r="G330" s="14" t="n"/>
      <c r="H330" s="15" t="n"/>
      <c r="I330" s="24">
        <f>IF($A330="","",IF($B330="","YETİM",IF(COUNTIF(tblKartlar[KartId],$B330)=0,"YETİM","")))</f>
        <v/>
      </c>
      <c r="J330" s="24">
        <f>IF(OR($A330="",$C330=""),"",IF(OR($C330&amp;"|"&amp;$D330="",COUNTIF(ListeIzinliGecis,$C330&amp;"|"&amp;$D330)&gt;0),"","GEÇERSİZ GEÇİŞ"))</f>
        <v/>
      </c>
      <c r="K330" s="24">
        <f>IF($A330="","",IF(OR($E330="",$G330=""),"",IF(ABS($G330-$E330)&gt;zincirTolerans,"ZİNCİR KIRIK","OK")))</f>
        <v/>
      </c>
      <c r="L330" s="24">
        <f>IF($A330="","",1)</f>
        <v/>
      </c>
    </row>
    <row r="331">
      <c r="A331" s="12" t="n"/>
      <c r="B331" s="12" t="n"/>
      <c r="C331" s="12" t="n"/>
      <c r="D331" s="12" t="n"/>
      <c r="E331" s="14" t="n"/>
      <c r="F331" s="14" t="n"/>
      <c r="G331" s="14" t="n"/>
      <c r="H331" s="15" t="n"/>
      <c r="I331" s="24">
        <f>IF($A331="","",IF($B331="","YETİM",IF(COUNTIF(tblKartlar[KartId],$B331)=0,"YETİM","")))</f>
        <v/>
      </c>
      <c r="J331" s="24">
        <f>IF(OR($A331="",$C331=""),"",IF(OR($C331&amp;"|"&amp;$D331="",COUNTIF(ListeIzinliGecis,$C331&amp;"|"&amp;$D331)&gt;0),"","GEÇERSİZ GEÇİŞ"))</f>
        <v/>
      </c>
      <c r="K331" s="24">
        <f>IF($A331="","",IF(OR($E331="",$G331=""),"",IF(ABS($G331-$E331)&gt;zincirTolerans,"ZİNCİR KIRIK","OK")))</f>
        <v/>
      </c>
      <c r="L331" s="24">
        <f>IF($A331="","",1)</f>
        <v/>
      </c>
    </row>
    <row r="332">
      <c r="A332" s="12" t="n"/>
      <c r="B332" s="12" t="n"/>
      <c r="C332" s="12" t="n"/>
      <c r="D332" s="12" t="n"/>
      <c r="E332" s="14" t="n"/>
      <c r="F332" s="14" t="n"/>
      <c r="G332" s="14" t="n"/>
      <c r="H332" s="15" t="n"/>
      <c r="I332" s="24">
        <f>IF($A332="","",IF($B332="","YETİM",IF(COUNTIF(tblKartlar[KartId],$B332)=0,"YETİM","")))</f>
        <v/>
      </c>
      <c r="J332" s="24">
        <f>IF(OR($A332="",$C332=""),"",IF(OR($C332&amp;"|"&amp;$D332="",COUNTIF(ListeIzinliGecis,$C332&amp;"|"&amp;$D332)&gt;0),"","GEÇERSİZ GEÇİŞ"))</f>
        <v/>
      </c>
      <c r="K332" s="24">
        <f>IF($A332="","",IF(OR($E332="",$G332=""),"",IF(ABS($G332-$E332)&gt;zincirTolerans,"ZİNCİR KIRIK","OK")))</f>
        <v/>
      </c>
      <c r="L332" s="24">
        <f>IF($A332="","",1)</f>
        <v/>
      </c>
    </row>
    <row r="333">
      <c r="A333" s="12" t="n"/>
      <c r="B333" s="12" t="n"/>
      <c r="C333" s="12" t="n"/>
      <c r="D333" s="12" t="n"/>
      <c r="E333" s="14" t="n"/>
      <c r="F333" s="14" t="n"/>
      <c r="G333" s="14" t="n"/>
      <c r="H333" s="15" t="n"/>
      <c r="I333" s="24">
        <f>IF($A333="","",IF($B333="","YETİM",IF(COUNTIF(tblKartlar[KartId],$B333)=0,"YETİM","")))</f>
        <v/>
      </c>
      <c r="J333" s="24">
        <f>IF(OR($A333="",$C333=""),"",IF(OR($C333&amp;"|"&amp;$D333="",COUNTIF(ListeIzinliGecis,$C333&amp;"|"&amp;$D333)&gt;0),"","GEÇERSİZ GEÇİŞ"))</f>
        <v/>
      </c>
      <c r="K333" s="24">
        <f>IF($A333="","",IF(OR($E333="",$G333=""),"",IF(ABS($G333-$E333)&gt;zincirTolerans,"ZİNCİR KIRIK","OK")))</f>
        <v/>
      </c>
      <c r="L333" s="24">
        <f>IF($A333="","",1)</f>
        <v/>
      </c>
    </row>
    <row r="334">
      <c r="A334" s="12" t="n"/>
      <c r="B334" s="12" t="n"/>
      <c r="C334" s="12" t="n"/>
      <c r="D334" s="12" t="n"/>
      <c r="E334" s="14" t="n"/>
      <c r="F334" s="14" t="n"/>
      <c r="G334" s="14" t="n"/>
      <c r="H334" s="15" t="n"/>
      <c r="I334" s="24">
        <f>IF($A334="","",IF($B334="","YETİM",IF(COUNTIF(tblKartlar[KartId],$B334)=0,"YETİM","")))</f>
        <v/>
      </c>
      <c r="J334" s="24">
        <f>IF(OR($A334="",$C334=""),"",IF(OR($C334&amp;"|"&amp;$D334="",COUNTIF(ListeIzinliGecis,$C334&amp;"|"&amp;$D334)&gt;0),"","GEÇERSİZ GEÇİŞ"))</f>
        <v/>
      </c>
      <c r="K334" s="24">
        <f>IF($A334="","",IF(OR($E334="",$G334=""),"",IF(ABS($G334-$E334)&gt;zincirTolerans,"ZİNCİR KIRIK","OK")))</f>
        <v/>
      </c>
      <c r="L334" s="24">
        <f>IF($A334="","",1)</f>
        <v/>
      </c>
    </row>
    <row r="335">
      <c r="A335" s="12" t="n"/>
      <c r="B335" s="12" t="n"/>
      <c r="C335" s="12" t="n"/>
      <c r="D335" s="12" t="n"/>
      <c r="E335" s="14" t="n"/>
      <c r="F335" s="14" t="n"/>
      <c r="G335" s="14" t="n"/>
      <c r="H335" s="15" t="n"/>
      <c r="I335" s="24">
        <f>IF($A335="","",IF($B335="","YETİM",IF(COUNTIF(tblKartlar[KartId],$B335)=0,"YETİM","")))</f>
        <v/>
      </c>
      <c r="J335" s="24">
        <f>IF(OR($A335="",$C335=""),"",IF(OR($C335&amp;"|"&amp;$D335="",COUNTIF(ListeIzinliGecis,$C335&amp;"|"&amp;$D335)&gt;0),"","GEÇERSİZ GEÇİŞ"))</f>
        <v/>
      </c>
      <c r="K335" s="24">
        <f>IF($A335="","",IF(OR($E335="",$G335=""),"",IF(ABS($G335-$E335)&gt;zincirTolerans,"ZİNCİR KIRIK","OK")))</f>
        <v/>
      </c>
      <c r="L335" s="24">
        <f>IF($A335="","",1)</f>
        <v/>
      </c>
    </row>
    <row r="336">
      <c r="A336" s="12" t="n"/>
      <c r="B336" s="12" t="n"/>
      <c r="C336" s="12" t="n"/>
      <c r="D336" s="12" t="n"/>
      <c r="E336" s="14" t="n"/>
      <c r="F336" s="14" t="n"/>
      <c r="G336" s="14" t="n"/>
      <c r="H336" s="15" t="n"/>
      <c r="I336" s="24">
        <f>IF($A336="","",IF($B336="","YETİM",IF(COUNTIF(tblKartlar[KartId],$B336)=0,"YETİM","")))</f>
        <v/>
      </c>
      <c r="J336" s="24">
        <f>IF(OR($A336="",$C336=""),"",IF(OR($C336&amp;"|"&amp;$D336="",COUNTIF(ListeIzinliGecis,$C336&amp;"|"&amp;$D336)&gt;0),"","GEÇERSİZ GEÇİŞ"))</f>
        <v/>
      </c>
      <c r="K336" s="24">
        <f>IF($A336="","",IF(OR($E336="",$G336=""),"",IF(ABS($G336-$E336)&gt;zincirTolerans,"ZİNCİR KIRIK","OK")))</f>
        <v/>
      </c>
      <c r="L336" s="24">
        <f>IF($A336="","",1)</f>
        <v/>
      </c>
    </row>
    <row r="337">
      <c r="A337" s="12" t="n"/>
      <c r="B337" s="12" t="n"/>
      <c r="C337" s="12" t="n"/>
      <c r="D337" s="12" t="n"/>
      <c r="E337" s="14" t="n"/>
      <c r="F337" s="14" t="n"/>
      <c r="G337" s="14" t="n"/>
      <c r="H337" s="15" t="n"/>
      <c r="I337" s="24">
        <f>IF($A337="","",IF($B337="","YETİM",IF(COUNTIF(tblKartlar[KartId],$B337)=0,"YETİM","")))</f>
        <v/>
      </c>
      <c r="J337" s="24">
        <f>IF(OR($A337="",$C337=""),"",IF(OR($C337&amp;"|"&amp;$D337="",COUNTIF(ListeIzinliGecis,$C337&amp;"|"&amp;$D337)&gt;0),"","GEÇERSİZ GEÇİŞ"))</f>
        <v/>
      </c>
      <c r="K337" s="24">
        <f>IF($A337="","",IF(OR($E337="",$G337=""),"",IF(ABS($G337-$E337)&gt;zincirTolerans,"ZİNCİR KIRIK","OK")))</f>
        <v/>
      </c>
      <c r="L337" s="24">
        <f>IF($A337="","",1)</f>
        <v/>
      </c>
    </row>
    <row r="338">
      <c r="A338" s="12" t="n"/>
      <c r="B338" s="12" t="n"/>
      <c r="C338" s="12" t="n"/>
      <c r="D338" s="12" t="n"/>
      <c r="E338" s="14" t="n"/>
      <c r="F338" s="14" t="n"/>
      <c r="G338" s="14" t="n"/>
      <c r="H338" s="15" t="n"/>
      <c r="I338" s="24">
        <f>IF($A338="","",IF($B338="","YETİM",IF(COUNTIF(tblKartlar[KartId],$B338)=0,"YETİM","")))</f>
        <v/>
      </c>
      <c r="J338" s="24">
        <f>IF(OR($A338="",$C338=""),"",IF(OR($C338&amp;"|"&amp;$D338="",COUNTIF(ListeIzinliGecis,$C338&amp;"|"&amp;$D338)&gt;0),"","GEÇERSİZ GEÇİŞ"))</f>
        <v/>
      </c>
      <c r="K338" s="24">
        <f>IF($A338="","",IF(OR($E338="",$G338=""),"",IF(ABS($G338-$E338)&gt;zincirTolerans,"ZİNCİR KIRIK","OK")))</f>
        <v/>
      </c>
      <c r="L338" s="24">
        <f>IF($A338="","",1)</f>
        <v/>
      </c>
    </row>
    <row r="339">
      <c r="A339" s="12" t="n"/>
      <c r="B339" s="12" t="n"/>
      <c r="C339" s="12" t="n"/>
      <c r="D339" s="12" t="n"/>
      <c r="E339" s="14" t="n"/>
      <c r="F339" s="14" t="n"/>
      <c r="G339" s="14" t="n"/>
      <c r="H339" s="15" t="n"/>
      <c r="I339" s="24">
        <f>IF($A339="","",IF($B339="","YETİM",IF(COUNTIF(tblKartlar[KartId],$B339)=0,"YETİM","")))</f>
        <v/>
      </c>
      <c r="J339" s="24">
        <f>IF(OR($A339="",$C339=""),"",IF(OR($C339&amp;"|"&amp;$D339="",COUNTIF(ListeIzinliGecis,$C339&amp;"|"&amp;$D339)&gt;0),"","GEÇERSİZ GEÇİŞ"))</f>
        <v/>
      </c>
      <c r="K339" s="24">
        <f>IF($A339="","",IF(OR($E339="",$G339=""),"",IF(ABS($G339-$E339)&gt;zincirTolerans,"ZİNCİR KIRIK","OK")))</f>
        <v/>
      </c>
      <c r="L339" s="24">
        <f>IF($A339="","",1)</f>
        <v/>
      </c>
    </row>
    <row r="340">
      <c r="A340" s="12" t="n"/>
      <c r="B340" s="12" t="n"/>
      <c r="C340" s="12" t="n"/>
      <c r="D340" s="12" t="n"/>
      <c r="E340" s="14" t="n"/>
      <c r="F340" s="14" t="n"/>
      <c r="G340" s="14" t="n"/>
      <c r="H340" s="15" t="n"/>
      <c r="I340" s="24">
        <f>IF($A340="","",IF($B340="","YETİM",IF(COUNTIF(tblKartlar[KartId],$B340)=0,"YETİM","")))</f>
        <v/>
      </c>
      <c r="J340" s="24">
        <f>IF(OR($A340="",$C340=""),"",IF(OR($C340&amp;"|"&amp;$D340="",COUNTIF(ListeIzinliGecis,$C340&amp;"|"&amp;$D340)&gt;0),"","GEÇERSİZ GEÇİŞ"))</f>
        <v/>
      </c>
      <c r="K340" s="24">
        <f>IF($A340="","",IF(OR($E340="",$G340=""),"",IF(ABS($G340-$E340)&gt;zincirTolerans,"ZİNCİR KIRIK","OK")))</f>
        <v/>
      </c>
      <c r="L340" s="24">
        <f>IF($A340="","",1)</f>
        <v/>
      </c>
    </row>
    <row r="341">
      <c r="A341" s="12" t="n"/>
      <c r="B341" s="12" t="n"/>
      <c r="C341" s="12" t="n"/>
      <c r="D341" s="12" t="n"/>
      <c r="E341" s="14" t="n"/>
      <c r="F341" s="14" t="n"/>
      <c r="G341" s="14" t="n"/>
      <c r="H341" s="15" t="n"/>
      <c r="I341" s="24">
        <f>IF($A341="","",IF($B341="","YETİM",IF(COUNTIF(tblKartlar[KartId],$B341)=0,"YETİM","")))</f>
        <v/>
      </c>
      <c r="J341" s="24">
        <f>IF(OR($A341="",$C341=""),"",IF(OR($C341&amp;"|"&amp;$D341="",COUNTIF(ListeIzinliGecis,$C341&amp;"|"&amp;$D341)&gt;0),"","GEÇERSİZ GEÇİŞ"))</f>
        <v/>
      </c>
      <c r="K341" s="24">
        <f>IF($A341="","",IF(OR($E341="",$G341=""),"",IF(ABS($G341-$E341)&gt;zincirTolerans,"ZİNCİR KIRIK","OK")))</f>
        <v/>
      </c>
      <c r="L341" s="24">
        <f>IF($A341="","",1)</f>
        <v/>
      </c>
    </row>
    <row r="342">
      <c r="A342" s="12" t="n"/>
      <c r="B342" s="12" t="n"/>
      <c r="C342" s="12" t="n"/>
      <c r="D342" s="12" t="n"/>
      <c r="E342" s="14" t="n"/>
      <c r="F342" s="14" t="n"/>
      <c r="G342" s="14" t="n"/>
      <c r="H342" s="15" t="n"/>
      <c r="I342" s="24">
        <f>IF($A342="","",IF($B342="","YETİM",IF(COUNTIF(tblKartlar[KartId],$B342)=0,"YETİM","")))</f>
        <v/>
      </c>
      <c r="J342" s="24">
        <f>IF(OR($A342="",$C342=""),"",IF(OR($C342&amp;"|"&amp;$D342="",COUNTIF(ListeIzinliGecis,$C342&amp;"|"&amp;$D342)&gt;0),"","GEÇERSİZ GEÇİŞ"))</f>
        <v/>
      </c>
      <c r="K342" s="24">
        <f>IF($A342="","",IF(OR($E342="",$G342=""),"",IF(ABS($G342-$E342)&gt;zincirTolerans,"ZİNCİR KIRIK","OK")))</f>
        <v/>
      </c>
      <c r="L342" s="24">
        <f>IF($A342="","",1)</f>
        <v/>
      </c>
    </row>
    <row r="343">
      <c r="A343" s="12" t="n"/>
      <c r="B343" s="12" t="n"/>
      <c r="C343" s="12" t="n"/>
      <c r="D343" s="12" t="n"/>
      <c r="E343" s="14" t="n"/>
      <c r="F343" s="14" t="n"/>
      <c r="G343" s="14" t="n"/>
      <c r="H343" s="15" t="n"/>
      <c r="I343" s="24">
        <f>IF($A343="","",IF($B343="","YETİM",IF(COUNTIF(tblKartlar[KartId],$B343)=0,"YETİM","")))</f>
        <v/>
      </c>
      <c r="J343" s="24">
        <f>IF(OR($A343="",$C343=""),"",IF(OR($C343&amp;"|"&amp;$D343="",COUNTIF(ListeIzinliGecis,$C343&amp;"|"&amp;$D343)&gt;0),"","GEÇERSİZ GEÇİŞ"))</f>
        <v/>
      </c>
      <c r="K343" s="24">
        <f>IF($A343="","",IF(OR($E343="",$G343=""),"",IF(ABS($G343-$E343)&gt;zincirTolerans,"ZİNCİR KIRIK","OK")))</f>
        <v/>
      </c>
      <c r="L343" s="24">
        <f>IF($A343="","",1)</f>
        <v/>
      </c>
    </row>
    <row r="344">
      <c r="A344" s="12" t="n"/>
      <c r="B344" s="12" t="n"/>
      <c r="C344" s="12" t="n"/>
      <c r="D344" s="12" t="n"/>
      <c r="E344" s="14" t="n"/>
      <c r="F344" s="14" t="n"/>
      <c r="G344" s="14" t="n"/>
      <c r="H344" s="15" t="n"/>
      <c r="I344" s="24">
        <f>IF($A344="","",IF($B344="","YETİM",IF(COUNTIF(tblKartlar[KartId],$B344)=0,"YETİM","")))</f>
        <v/>
      </c>
      <c r="J344" s="24">
        <f>IF(OR($A344="",$C344=""),"",IF(OR($C344&amp;"|"&amp;$D344="",COUNTIF(ListeIzinliGecis,$C344&amp;"|"&amp;$D344)&gt;0),"","GEÇERSİZ GEÇİŞ"))</f>
        <v/>
      </c>
      <c r="K344" s="24">
        <f>IF($A344="","",IF(OR($E344="",$G344=""),"",IF(ABS($G344-$E344)&gt;zincirTolerans,"ZİNCİR KIRIK","OK")))</f>
        <v/>
      </c>
      <c r="L344" s="24">
        <f>IF($A344="","",1)</f>
        <v/>
      </c>
    </row>
    <row r="345">
      <c r="A345" s="12" t="n"/>
      <c r="B345" s="12" t="n"/>
      <c r="C345" s="12" t="n"/>
      <c r="D345" s="12" t="n"/>
      <c r="E345" s="14" t="n"/>
      <c r="F345" s="14" t="n"/>
      <c r="G345" s="14" t="n"/>
      <c r="H345" s="15" t="n"/>
      <c r="I345" s="24">
        <f>IF($A345="","",IF($B345="","YETİM",IF(COUNTIF(tblKartlar[KartId],$B345)=0,"YETİM","")))</f>
        <v/>
      </c>
      <c r="J345" s="24">
        <f>IF(OR($A345="",$C345=""),"",IF(OR($C345&amp;"|"&amp;$D345="",COUNTIF(ListeIzinliGecis,$C345&amp;"|"&amp;$D345)&gt;0),"","GEÇERSİZ GEÇİŞ"))</f>
        <v/>
      </c>
      <c r="K345" s="24">
        <f>IF($A345="","",IF(OR($E345="",$G345=""),"",IF(ABS($G345-$E345)&gt;zincirTolerans,"ZİNCİR KIRIK","OK")))</f>
        <v/>
      </c>
      <c r="L345" s="24">
        <f>IF($A345="","",1)</f>
        <v/>
      </c>
    </row>
    <row r="346">
      <c r="A346" s="12" t="n"/>
      <c r="B346" s="12" t="n"/>
      <c r="C346" s="12" t="n"/>
      <c r="D346" s="12" t="n"/>
      <c r="E346" s="14" t="n"/>
      <c r="F346" s="14" t="n"/>
      <c r="G346" s="14" t="n"/>
      <c r="H346" s="15" t="n"/>
      <c r="I346" s="24">
        <f>IF($A346="","",IF($B346="","YETİM",IF(COUNTIF(tblKartlar[KartId],$B346)=0,"YETİM","")))</f>
        <v/>
      </c>
      <c r="J346" s="24">
        <f>IF(OR($A346="",$C346=""),"",IF(OR($C346&amp;"|"&amp;$D346="",COUNTIF(ListeIzinliGecis,$C346&amp;"|"&amp;$D346)&gt;0),"","GEÇERSİZ GEÇİŞ"))</f>
        <v/>
      </c>
      <c r="K346" s="24">
        <f>IF($A346="","",IF(OR($E346="",$G346=""),"",IF(ABS($G346-$E346)&gt;zincirTolerans,"ZİNCİR KIRIK","OK")))</f>
        <v/>
      </c>
      <c r="L346" s="24">
        <f>IF($A346="","",1)</f>
        <v/>
      </c>
    </row>
    <row r="347">
      <c r="A347" s="12" t="n"/>
      <c r="B347" s="12" t="n"/>
      <c r="C347" s="12" t="n"/>
      <c r="D347" s="12" t="n"/>
      <c r="E347" s="14" t="n"/>
      <c r="F347" s="14" t="n"/>
      <c r="G347" s="14" t="n"/>
      <c r="H347" s="15" t="n"/>
      <c r="I347" s="24">
        <f>IF($A347="","",IF($B347="","YETİM",IF(COUNTIF(tblKartlar[KartId],$B347)=0,"YETİM","")))</f>
        <v/>
      </c>
      <c r="J347" s="24">
        <f>IF(OR($A347="",$C347=""),"",IF(OR($C347&amp;"|"&amp;$D347="",COUNTIF(ListeIzinliGecis,$C347&amp;"|"&amp;$D347)&gt;0),"","GEÇERSİZ GEÇİŞ"))</f>
        <v/>
      </c>
      <c r="K347" s="24">
        <f>IF($A347="","",IF(OR($E347="",$G347=""),"",IF(ABS($G347-$E347)&gt;zincirTolerans,"ZİNCİR KIRIK","OK")))</f>
        <v/>
      </c>
      <c r="L347" s="24">
        <f>IF($A347="","",1)</f>
        <v/>
      </c>
    </row>
    <row r="348">
      <c r="A348" s="12" t="n"/>
      <c r="B348" s="12" t="n"/>
      <c r="C348" s="12" t="n"/>
      <c r="D348" s="12" t="n"/>
      <c r="E348" s="14" t="n"/>
      <c r="F348" s="14" t="n"/>
      <c r="G348" s="14" t="n"/>
      <c r="H348" s="15" t="n"/>
      <c r="I348" s="24">
        <f>IF($A348="","",IF($B348="","YETİM",IF(COUNTIF(tblKartlar[KartId],$B348)=0,"YETİM","")))</f>
        <v/>
      </c>
      <c r="J348" s="24">
        <f>IF(OR($A348="",$C348=""),"",IF(OR($C348&amp;"|"&amp;$D348="",COUNTIF(ListeIzinliGecis,$C348&amp;"|"&amp;$D348)&gt;0),"","GEÇERSİZ GEÇİŞ"))</f>
        <v/>
      </c>
      <c r="K348" s="24">
        <f>IF($A348="","",IF(OR($E348="",$G348=""),"",IF(ABS($G348-$E348)&gt;zincirTolerans,"ZİNCİR KIRIK","OK")))</f>
        <v/>
      </c>
      <c r="L348" s="24">
        <f>IF($A348="","",1)</f>
        <v/>
      </c>
    </row>
    <row r="349">
      <c r="A349" s="12" t="n"/>
      <c r="B349" s="12" t="n"/>
      <c r="C349" s="12" t="n"/>
      <c r="D349" s="12" t="n"/>
      <c r="E349" s="14" t="n"/>
      <c r="F349" s="14" t="n"/>
      <c r="G349" s="14" t="n"/>
      <c r="H349" s="15" t="n"/>
      <c r="I349" s="24">
        <f>IF($A349="","",IF($B349="","YETİM",IF(COUNTIF(tblKartlar[KartId],$B349)=0,"YETİM","")))</f>
        <v/>
      </c>
      <c r="J349" s="24">
        <f>IF(OR($A349="",$C349=""),"",IF(OR($C349&amp;"|"&amp;$D349="",COUNTIF(ListeIzinliGecis,$C349&amp;"|"&amp;$D349)&gt;0),"","GEÇERSİZ GEÇİŞ"))</f>
        <v/>
      </c>
      <c r="K349" s="24">
        <f>IF($A349="","",IF(OR($E349="",$G349=""),"",IF(ABS($G349-$E349)&gt;zincirTolerans,"ZİNCİR KIRIK","OK")))</f>
        <v/>
      </c>
      <c r="L349" s="24">
        <f>IF($A349="","",1)</f>
        <v/>
      </c>
    </row>
    <row r="350">
      <c r="A350" s="12" t="n"/>
      <c r="B350" s="12" t="n"/>
      <c r="C350" s="12" t="n"/>
      <c r="D350" s="12" t="n"/>
      <c r="E350" s="14" t="n"/>
      <c r="F350" s="14" t="n"/>
      <c r="G350" s="14" t="n"/>
      <c r="H350" s="15" t="n"/>
      <c r="I350" s="24">
        <f>IF($A350="","",IF($B350="","YETİM",IF(COUNTIF(tblKartlar[KartId],$B350)=0,"YETİM","")))</f>
        <v/>
      </c>
      <c r="J350" s="24">
        <f>IF(OR($A350="",$C350=""),"",IF(OR($C350&amp;"|"&amp;$D350="",COUNTIF(ListeIzinliGecis,$C350&amp;"|"&amp;$D350)&gt;0),"","GEÇERSİZ GEÇİŞ"))</f>
        <v/>
      </c>
      <c r="K350" s="24">
        <f>IF($A350="","",IF(OR($E350="",$G350=""),"",IF(ABS($G350-$E350)&gt;zincirTolerans,"ZİNCİR KIRIK","OK")))</f>
        <v/>
      </c>
      <c r="L350" s="24">
        <f>IF($A350="","",1)</f>
        <v/>
      </c>
    </row>
    <row r="351">
      <c r="A351" s="12" t="n"/>
      <c r="B351" s="12" t="n"/>
      <c r="C351" s="12" t="n"/>
      <c r="D351" s="12" t="n"/>
      <c r="E351" s="14" t="n"/>
      <c r="F351" s="14" t="n"/>
      <c r="G351" s="14" t="n"/>
      <c r="H351" s="15" t="n"/>
      <c r="I351" s="24">
        <f>IF($A351="","",IF($B351="","YETİM",IF(COUNTIF(tblKartlar[KartId],$B351)=0,"YETİM","")))</f>
        <v/>
      </c>
      <c r="J351" s="24">
        <f>IF(OR($A351="",$C351=""),"",IF(OR($C351&amp;"|"&amp;$D351="",COUNTIF(ListeIzinliGecis,$C351&amp;"|"&amp;$D351)&gt;0),"","GEÇERSİZ GEÇİŞ"))</f>
        <v/>
      </c>
      <c r="K351" s="24">
        <f>IF($A351="","",IF(OR($E351="",$G351=""),"",IF(ABS($G351-$E351)&gt;zincirTolerans,"ZİNCİR KIRIK","OK")))</f>
        <v/>
      </c>
      <c r="L351" s="24">
        <f>IF($A351="","",1)</f>
        <v/>
      </c>
    </row>
    <row r="352">
      <c r="A352" s="12" t="n"/>
      <c r="B352" s="12" t="n"/>
      <c r="C352" s="12" t="n"/>
      <c r="D352" s="12" t="n"/>
      <c r="E352" s="14" t="n"/>
      <c r="F352" s="14" t="n"/>
      <c r="G352" s="14" t="n"/>
      <c r="H352" s="15" t="n"/>
      <c r="I352" s="24">
        <f>IF($A352="","",IF($B352="","YETİM",IF(COUNTIF(tblKartlar[KartId],$B352)=0,"YETİM","")))</f>
        <v/>
      </c>
      <c r="J352" s="24">
        <f>IF(OR($A352="",$C352=""),"",IF(OR($C352&amp;"|"&amp;$D352="",COUNTIF(ListeIzinliGecis,$C352&amp;"|"&amp;$D352)&gt;0),"","GEÇERSİZ GEÇİŞ"))</f>
        <v/>
      </c>
      <c r="K352" s="24">
        <f>IF($A352="","",IF(OR($E352="",$G352=""),"",IF(ABS($G352-$E352)&gt;zincirTolerans,"ZİNCİR KIRIK","OK")))</f>
        <v/>
      </c>
      <c r="L352" s="24">
        <f>IF($A352="","",1)</f>
        <v/>
      </c>
    </row>
    <row r="353">
      <c r="A353" s="12" t="n"/>
      <c r="B353" s="12" t="n"/>
      <c r="C353" s="12" t="n"/>
      <c r="D353" s="12" t="n"/>
      <c r="E353" s="14" t="n"/>
      <c r="F353" s="14" t="n"/>
      <c r="G353" s="14" t="n"/>
      <c r="H353" s="15" t="n"/>
      <c r="I353" s="24">
        <f>IF($A353="","",IF($B353="","YETİM",IF(COUNTIF(tblKartlar[KartId],$B353)=0,"YETİM","")))</f>
        <v/>
      </c>
      <c r="J353" s="24">
        <f>IF(OR($A353="",$C353=""),"",IF(OR($C353&amp;"|"&amp;$D353="",COUNTIF(ListeIzinliGecis,$C353&amp;"|"&amp;$D353)&gt;0),"","GEÇERSİZ GEÇİŞ"))</f>
        <v/>
      </c>
      <c r="K353" s="24">
        <f>IF($A353="","",IF(OR($E353="",$G353=""),"",IF(ABS($G353-$E353)&gt;zincirTolerans,"ZİNCİR KIRIK","OK")))</f>
        <v/>
      </c>
      <c r="L353" s="24">
        <f>IF($A353="","",1)</f>
        <v/>
      </c>
    </row>
    <row r="354">
      <c r="A354" s="12" t="n"/>
      <c r="B354" s="12" t="n"/>
      <c r="C354" s="12" t="n"/>
      <c r="D354" s="12" t="n"/>
      <c r="E354" s="14" t="n"/>
      <c r="F354" s="14" t="n"/>
      <c r="G354" s="14" t="n"/>
      <c r="H354" s="15" t="n"/>
      <c r="I354" s="24">
        <f>IF($A354="","",IF($B354="","YETİM",IF(COUNTIF(tblKartlar[KartId],$B354)=0,"YETİM","")))</f>
        <v/>
      </c>
      <c r="J354" s="24">
        <f>IF(OR($A354="",$C354=""),"",IF(OR($C354&amp;"|"&amp;$D354="",COUNTIF(ListeIzinliGecis,$C354&amp;"|"&amp;$D354)&gt;0),"","GEÇERSİZ GEÇİŞ"))</f>
        <v/>
      </c>
      <c r="K354" s="24">
        <f>IF($A354="","",IF(OR($E354="",$G354=""),"",IF(ABS($G354-$E354)&gt;zincirTolerans,"ZİNCİR KIRIK","OK")))</f>
        <v/>
      </c>
      <c r="L354" s="24">
        <f>IF($A354="","",1)</f>
        <v/>
      </c>
    </row>
    <row r="355">
      <c r="A355" s="12" t="n"/>
      <c r="B355" s="12" t="n"/>
      <c r="C355" s="12" t="n"/>
      <c r="D355" s="12" t="n"/>
      <c r="E355" s="14" t="n"/>
      <c r="F355" s="14" t="n"/>
      <c r="G355" s="14" t="n"/>
      <c r="H355" s="15" t="n"/>
      <c r="I355" s="24">
        <f>IF($A355="","",IF($B355="","YETİM",IF(COUNTIF(tblKartlar[KartId],$B355)=0,"YETİM","")))</f>
        <v/>
      </c>
      <c r="J355" s="24">
        <f>IF(OR($A355="",$C355=""),"",IF(OR($C355&amp;"|"&amp;$D355="",COUNTIF(ListeIzinliGecis,$C355&amp;"|"&amp;$D355)&gt;0),"","GEÇERSİZ GEÇİŞ"))</f>
        <v/>
      </c>
      <c r="K355" s="24">
        <f>IF($A355="","",IF(OR($E355="",$G355=""),"",IF(ABS($G355-$E355)&gt;zincirTolerans,"ZİNCİR KIRIK","OK")))</f>
        <v/>
      </c>
      <c r="L355" s="24">
        <f>IF($A355="","",1)</f>
        <v/>
      </c>
    </row>
    <row r="356">
      <c r="A356" s="12" t="n"/>
      <c r="B356" s="12" t="n"/>
      <c r="C356" s="12" t="n"/>
      <c r="D356" s="12" t="n"/>
      <c r="E356" s="14" t="n"/>
      <c r="F356" s="14" t="n"/>
      <c r="G356" s="14" t="n"/>
      <c r="H356" s="15" t="n"/>
      <c r="I356" s="24">
        <f>IF($A356="","",IF($B356="","YETİM",IF(COUNTIF(tblKartlar[KartId],$B356)=0,"YETİM","")))</f>
        <v/>
      </c>
      <c r="J356" s="24">
        <f>IF(OR($A356="",$C356=""),"",IF(OR($C356&amp;"|"&amp;$D356="",COUNTIF(ListeIzinliGecis,$C356&amp;"|"&amp;$D356)&gt;0),"","GEÇERSİZ GEÇİŞ"))</f>
        <v/>
      </c>
      <c r="K356" s="24">
        <f>IF($A356="","",IF(OR($E356="",$G356=""),"",IF(ABS($G356-$E356)&gt;zincirTolerans,"ZİNCİR KIRIK","OK")))</f>
        <v/>
      </c>
      <c r="L356" s="24">
        <f>IF($A356="","",1)</f>
        <v/>
      </c>
    </row>
    <row r="357">
      <c r="A357" s="12" t="n"/>
      <c r="B357" s="12" t="n"/>
      <c r="C357" s="12" t="n"/>
      <c r="D357" s="12" t="n"/>
      <c r="E357" s="14" t="n"/>
      <c r="F357" s="14" t="n"/>
      <c r="G357" s="14" t="n"/>
      <c r="H357" s="15" t="n"/>
      <c r="I357" s="24">
        <f>IF($A357="","",IF($B357="","YETİM",IF(COUNTIF(tblKartlar[KartId],$B357)=0,"YETİM","")))</f>
        <v/>
      </c>
      <c r="J357" s="24">
        <f>IF(OR($A357="",$C357=""),"",IF(OR($C357&amp;"|"&amp;$D357="",COUNTIF(ListeIzinliGecis,$C357&amp;"|"&amp;$D357)&gt;0),"","GEÇERSİZ GEÇİŞ"))</f>
        <v/>
      </c>
      <c r="K357" s="24">
        <f>IF($A357="","",IF(OR($E357="",$G357=""),"",IF(ABS($G357-$E357)&gt;zincirTolerans,"ZİNCİR KIRIK","OK")))</f>
        <v/>
      </c>
      <c r="L357" s="24">
        <f>IF($A357="","",1)</f>
        <v/>
      </c>
    </row>
    <row r="358">
      <c r="A358" s="12" t="n"/>
      <c r="B358" s="12" t="n"/>
      <c r="C358" s="12" t="n"/>
      <c r="D358" s="12" t="n"/>
      <c r="E358" s="14" t="n"/>
      <c r="F358" s="14" t="n"/>
      <c r="G358" s="14" t="n"/>
      <c r="H358" s="15" t="n"/>
      <c r="I358" s="24">
        <f>IF($A358="","",IF($B358="","YETİM",IF(COUNTIF(tblKartlar[KartId],$B358)=0,"YETİM","")))</f>
        <v/>
      </c>
      <c r="J358" s="24">
        <f>IF(OR($A358="",$C358=""),"",IF(OR($C358&amp;"|"&amp;$D358="",COUNTIF(ListeIzinliGecis,$C358&amp;"|"&amp;$D358)&gt;0),"","GEÇERSİZ GEÇİŞ"))</f>
        <v/>
      </c>
      <c r="K358" s="24">
        <f>IF($A358="","",IF(OR($E358="",$G358=""),"",IF(ABS($G358-$E358)&gt;zincirTolerans,"ZİNCİR KIRIK","OK")))</f>
        <v/>
      </c>
      <c r="L358" s="24">
        <f>IF($A358="","",1)</f>
        <v/>
      </c>
    </row>
    <row r="359">
      <c r="A359" s="12" t="n"/>
      <c r="B359" s="12" t="n"/>
      <c r="C359" s="12" t="n"/>
      <c r="D359" s="12" t="n"/>
      <c r="E359" s="14" t="n"/>
      <c r="F359" s="14" t="n"/>
      <c r="G359" s="14" t="n"/>
      <c r="H359" s="15" t="n"/>
      <c r="I359" s="24">
        <f>IF($A359="","",IF($B359="","YETİM",IF(COUNTIF(tblKartlar[KartId],$B359)=0,"YETİM","")))</f>
        <v/>
      </c>
      <c r="J359" s="24">
        <f>IF(OR($A359="",$C359=""),"",IF(OR($C359&amp;"|"&amp;$D359="",COUNTIF(ListeIzinliGecis,$C359&amp;"|"&amp;$D359)&gt;0),"","GEÇERSİZ GEÇİŞ"))</f>
        <v/>
      </c>
      <c r="K359" s="24">
        <f>IF($A359="","",IF(OR($E359="",$G359=""),"",IF(ABS($G359-$E359)&gt;zincirTolerans,"ZİNCİR KIRIK","OK")))</f>
        <v/>
      </c>
      <c r="L359" s="24">
        <f>IF($A359="","",1)</f>
        <v/>
      </c>
    </row>
    <row r="360">
      <c r="A360" s="12" t="n"/>
      <c r="B360" s="12" t="n"/>
      <c r="C360" s="12" t="n"/>
      <c r="D360" s="12" t="n"/>
      <c r="E360" s="14" t="n"/>
      <c r="F360" s="14" t="n"/>
      <c r="G360" s="14" t="n"/>
      <c r="H360" s="15" t="n"/>
      <c r="I360" s="24">
        <f>IF($A360="","",IF($B360="","YETİM",IF(COUNTIF(tblKartlar[KartId],$B360)=0,"YETİM","")))</f>
        <v/>
      </c>
      <c r="J360" s="24">
        <f>IF(OR($A360="",$C360=""),"",IF(OR($C360&amp;"|"&amp;$D360="",COUNTIF(ListeIzinliGecis,$C360&amp;"|"&amp;$D360)&gt;0),"","GEÇERSİZ GEÇİŞ"))</f>
        <v/>
      </c>
      <c r="K360" s="24">
        <f>IF($A360="","",IF(OR($E360="",$G360=""),"",IF(ABS($G360-$E360)&gt;zincirTolerans,"ZİNCİR KIRIK","OK")))</f>
        <v/>
      </c>
      <c r="L360" s="24">
        <f>IF($A360="","",1)</f>
        <v/>
      </c>
    </row>
    <row r="361">
      <c r="A361" s="12" t="n"/>
      <c r="B361" s="12" t="n"/>
      <c r="C361" s="12" t="n"/>
      <c r="D361" s="12" t="n"/>
      <c r="E361" s="14" t="n"/>
      <c r="F361" s="14" t="n"/>
      <c r="G361" s="14" t="n"/>
      <c r="H361" s="15" t="n"/>
      <c r="I361" s="24">
        <f>IF($A361="","",IF($B361="","YETİM",IF(COUNTIF(tblKartlar[KartId],$B361)=0,"YETİM","")))</f>
        <v/>
      </c>
      <c r="J361" s="24">
        <f>IF(OR($A361="",$C361=""),"",IF(OR($C361&amp;"|"&amp;$D361="",COUNTIF(ListeIzinliGecis,$C361&amp;"|"&amp;$D361)&gt;0),"","GEÇERSİZ GEÇİŞ"))</f>
        <v/>
      </c>
      <c r="K361" s="24">
        <f>IF($A361="","",IF(OR($E361="",$G361=""),"",IF(ABS($G361-$E361)&gt;zincirTolerans,"ZİNCİR KIRIK","OK")))</f>
        <v/>
      </c>
      <c r="L361" s="24">
        <f>IF($A361="","",1)</f>
        <v/>
      </c>
    </row>
    <row r="362">
      <c r="A362" s="12" t="n"/>
      <c r="B362" s="12" t="n"/>
      <c r="C362" s="12" t="n"/>
      <c r="D362" s="12" t="n"/>
      <c r="E362" s="14" t="n"/>
      <c r="F362" s="14" t="n"/>
      <c r="G362" s="14" t="n"/>
      <c r="H362" s="15" t="n"/>
      <c r="I362" s="24">
        <f>IF($A362="","",IF($B362="","YETİM",IF(COUNTIF(tblKartlar[KartId],$B362)=0,"YETİM","")))</f>
        <v/>
      </c>
      <c r="J362" s="24">
        <f>IF(OR($A362="",$C362=""),"",IF(OR($C362&amp;"|"&amp;$D362="",COUNTIF(ListeIzinliGecis,$C362&amp;"|"&amp;$D362)&gt;0),"","GEÇERSİZ GEÇİŞ"))</f>
        <v/>
      </c>
      <c r="K362" s="24">
        <f>IF($A362="","",IF(OR($E362="",$G362=""),"",IF(ABS($G362-$E362)&gt;zincirTolerans,"ZİNCİR KIRIK","OK")))</f>
        <v/>
      </c>
      <c r="L362" s="24">
        <f>IF($A362="","",1)</f>
        <v/>
      </c>
    </row>
    <row r="363">
      <c r="A363" s="12" t="n"/>
      <c r="B363" s="12" t="n"/>
      <c r="C363" s="12" t="n"/>
      <c r="D363" s="12" t="n"/>
      <c r="E363" s="14" t="n"/>
      <c r="F363" s="14" t="n"/>
      <c r="G363" s="14" t="n"/>
      <c r="H363" s="15" t="n"/>
      <c r="I363" s="24">
        <f>IF($A363="","",IF($B363="","YETİM",IF(COUNTIF(tblKartlar[KartId],$B363)=0,"YETİM","")))</f>
        <v/>
      </c>
      <c r="J363" s="24">
        <f>IF(OR($A363="",$C363=""),"",IF(OR($C363&amp;"|"&amp;$D363="",COUNTIF(ListeIzinliGecis,$C363&amp;"|"&amp;$D363)&gt;0),"","GEÇERSİZ GEÇİŞ"))</f>
        <v/>
      </c>
      <c r="K363" s="24">
        <f>IF($A363="","",IF(OR($E363="",$G363=""),"",IF(ABS($G363-$E363)&gt;zincirTolerans,"ZİNCİR KIRIK","OK")))</f>
        <v/>
      </c>
      <c r="L363" s="24">
        <f>IF($A363="","",1)</f>
        <v/>
      </c>
    </row>
    <row r="364">
      <c r="A364" s="12" t="n"/>
      <c r="B364" s="12" t="n"/>
      <c r="C364" s="12" t="n"/>
      <c r="D364" s="12" t="n"/>
      <c r="E364" s="14" t="n"/>
      <c r="F364" s="14" t="n"/>
      <c r="G364" s="14" t="n"/>
      <c r="H364" s="15" t="n"/>
      <c r="I364" s="24">
        <f>IF($A364="","",IF($B364="","YETİM",IF(COUNTIF(tblKartlar[KartId],$B364)=0,"YETİM","")))</f>
        <v/>
      </c>
      <c r="J364" s="24">
        <f>IF(OR($A364="",$C364=""),"",IF(OR($C364&amp;"|"&amp;$D364="",COUNTIF(ListeIzinliGecis,$C364&amp;"|"&amp;$D364)&gt;0),"","GEÇERSİZ GEÇİŞ"))</f>
        <v/>
      </c>
      <c r="K364" s="24">
        <f>IF($A364="","",IF(OR($E364="",$G364=""),"",IF(ABS($G364-$E364)&gt;zincirTolerans,"ZİNCİR KIRIK","OK")))</f>
        <v/>
      </c>
      <c r="L364" s="24">
        <f>IF($A364="","",1)</f>
        <v/>
      </c>
    </row>
    <row r="365">
      <c r="A365" s="12" t="n"/>
      <c r="B365" s="12" t="n"/>
      <c r="C365" s="12" t="n"/>
      <c r="D365" s="12" t="n"/>
      <c r="E365" s="14" t="n"/>
      <c r="F365" s="14" t="n"/>
      <c r="G365" s="14" t="n"/>
      <c r="H365" s="15" t="n"/>
      <c r="I365" s="24">
        <f>IF($A365="","",IF($B365="","YETİM",IF(COUNTIF(tblKartlar[KartId],$B365)=0,"YETİM","")))</f>
        <v/>
      </c>
      <c r="J365" s="24">
        <f>IF(OR($A365="",$C365=""),"",IF(OR($C365&amp;"|"&amp;$D365="",COUNTIF(ListeIzinliGecis,$C365&amp;"|"&amp;$D365)&gt;0),"","GEÇERSİZ GEÇİŞ"))</f>
        <v/>
      </c>
      <c r="K365" s="24">
        <f>IF($A365="","",IF(OR($E365="",$G365=""),"",IF(ABS($G365-$E365)&gt;zincirTolerans,"ZİNCİR KIRIK","OK")))</f>
        <v/>
      </c>
      <c r="L365" s="24">
        <f>IF($A365="","",1)</f>
        <v/>
      </c>
    </row>
    <row r="366">
      <c r="A366" s="12" t="n"/>
      <c r="B366" s="12" t="n"/>
      <c r="C366" s="12" t="n"/>
      <c r="D366" s="12" t="n"/>
      <c r="E366" s="14" t="n"/>
      <c r="F366" s="14" t="n"/>
      <c r="G366" s="14" t="n"/>
      <c r="H366" s="15" t="n"/>
      <c r="I366" s="24">
        <f>IF($A366="","",IF($B366="","YETİM",IF(COUNTIF(tblKartlar[KartId],$B366)=0,"YETİM","")))</f>
        <v/>
      </c>
      <c r="J366" s="24">
        <f>IF(OR($A366="",$C366=""),"",IF(OR($C366&amp;"|"&amp;$D366="",COUNTIF(ListeIzinliGecis,$C366&amp;"|"&amp;$D366)&gt;0),"","GEÇERSİZ GEÇİŞ"))</f>
        <v/>
      </c>
      <c r="K366" s="24">
        <f>IF($A366="","",IF(OR($E366="",$G366=""),"",IF(ABS($G366-$E366)&gt;zincirTolerans,"ZİNCİR KIRIK","OK")))</f>
        <v/>
      </c>
      <c r="L366" s="24">
        <f>IF($A366="","",1)</f>
        <v/>
      </c>
    </row>
    <row r="367">
      <c r="A367" s="12" t="n"/>
      <c r="B367" s="12" t="n"/>
      <c r="C367" s="12" t="n"/>
      <c r="D367" s="12" t="n"/>
      <c r="E367" s="14" t="n"/>
      <c r="F367" s="14" t="n"/>
      <c r="G367" s="14" t="n"/>
      <c r="H367" s="15" t="n"/>
      <c r="I367" s="24">
        <f>IF($A367="","",IF($B367="","YETİM",IF(COUNTIF(tblKartlar[KartId],$B367)=0,"YETİM","")))</f>
        <v/>
      </c>
      <c r="J367" s="24">
        <f>IF(OR($A367="",$C367=""),"",IF(OR($C367&amp;"|"&amp;$D367="",COUNTIF(ListeIzinliGecis,$C367&amp;"|"&amp;$D367)&gt;0),"","GEÇERSİZ GEÇİŞ"))</f>
        <v/>
      </c>
      <c r="K367" s="24">
        <f>IF($A367="","",IF(OR($E367="",$G367=""),"",IF(ABS($G367-$E367)&gt;zincirTolerans,"ZİNCİR KIRIK","OK")))</f>
        <v/>
      </c>
      <c r="L367" s="24">
        <f>IF($A367="","",1)</f>
        <v/>
      </c>
    </row>
    <row r="368">
      <c r="A368" s="12" t="n"/>
      <c r="B368" s="12" t="n"/>
      <c r="C368" s="12" t="n"/>
      <c r="D368" s="12" t="n"/>
      <c r="E368" s="14" t="n"/>
      <c r="F368" s="14" t="n"/>
      <c r="G368" s="14" t="n"/>
      <c r="H368" s="15" t="n"/>
      <c r="I368" s="24">
        <f>IF($A368="","",IF($B368="","YETİM",IF(COUNTIF(tblKartlar[KartId],$B368)=0,"YETİM","")))</f>
        <v/>
      </c>
      <c r="J368" s="24">
        <f>IF(OR($A368="",$C368=""),"",IF(OR($C368&amp;"|"&amp;$D368="",COUNTIF(ListeIzinliGecis,$C368&amp;"|"&amp;$D368)&gt;0),"","GEÇERSİZ GEÇİŞ"))</f>
        <v/>
      </c>
      <c r="K368" s="24">
        <f>IF($A368="","",IF(OR($E368="",$G368=""),"",IF(ABS($G368-$E368)&gt;zincirTolerans,"ZİNCİR KIRIK","OK")))</f>
        <v/>
      </c>
      <c r="L368" s="24">
        <f>IF($A368="","",1)</f>
        <v/>
      </c>
    </row>
    <row r="369">
      <c r="A369" s="12" t="n"/>
      <c r="B369" s="12" t="n"/>
      <c r="C369" s="12" t="n"/>
      <c r="D369" s="12" t="n"/>
      <c r="E369" s="14" t="n"/>
      <c r="F369" s="14" t="n"/>
      <c r="G369" s="14" t="n"/>
      <c r="H369" s="15" t="n"/>
      <c r="I369" s="24">
        <f>IF($A369="","",IF($B369="","YETİM",IF(COUNTIF(tblKartlar[KartId],$B369)=0,"YETİM","")))</f>
        <v/>
      </c>
      <c r="J369" s="24">
        <f>IF(OR($A369="",$C369=""),"",IF(OR($C369&amp;"|"&amp;$D369="",COUNTIF(ListeIzinliGecis,$C369&amp;"|"&amp;$D369)&gt;0),"","GEÇERSİZ GEÇİŞ"))</f>
        <v/>
      </c>
      <c r="K369" s="24">
        <f>IF($A369="","",IF(OR($E369="",$G369=""),"",IF(ABS($G369-$E369)&gt;zincirTolerans,"ZİNCİR KIRIK","OK")))</f>
        <v/>
      </c>
      <c r="L369" s="24">
        <f>IF($A369="","",1)</f>
        <v/>
      </c>
    </row>
    <row r="370">
      <c r="A370" s="12" t="n"/>
      <c r="B370" s="12" t="n"/>
      <c r="C370" s="12" t="n"/>
      <c r="D370" s="12" t="n"/>
      <c r="E370" s="14" t="n"/>
      <c r="F370" s="14" t="n"/>
      <c r="G370" s="14" t="n"/>
      <c r="H370" s="15" t="n"/>
      <c r="I370" s="24">
        <f>IF($A370="","",IF($B370="","YETİM",IF(COUNTIF(tblKartlar[KartId],$B370)=0,"YETİM","")))</f>
        <v/>
      </c>
      <c r="J370" s="24">
        <f>IF(OR($A370="",$C370=""),"",IF(OR($C370&amp;"|"&amp;$D370="",COUNTIF(ListeIzinliGecis,$C370&amp;"|"&amp;$D370)&gt;0),"","GEÇERSİZ GEÇİŞ"))</f>
        <v/>
      </c>
      <c r="K370" s="24">
        <f>IF($A370="","",IF(OR($E370="",$G370=""),"",IF(ABS($G370-$E370)&gt;zincirTolerans,"ZİNCİR KIRIK","OK")))</f>
        <v/>
      </c>
      <c r="L370" s="24">
        <f>IF($A370="","",1)</f>
        <v/>
      </c>
    </row>
    <row r="371">
      <c r="A371" s="12" t="n"/>
      <c r="B371" s="12" t="n"/>
      <c r="C371" s="12" t="n"/>
      <c r="D371" s="12" t="n"/>
      <c r="E371" s="14" t="n"/>
      <c r="F371" s="14" t="n"/>
      <c r="G371" s="14" t="n"/>
      <c r="H371" s="15" t="n"/>
      <c r="I371" s="24">
        <f>IF($A371="","",IF($B371="","YETİM",IF(COUNTIF(tblKartlar[KartId],$B371)=0,"YETİM","")))</f>
        <v/>
      </c>
      <c r="J371" s="24">
        <f>IF(OR($A371="",$C371=""),"",IF(OR($C371&amp;"|"&amp;$D371="",COUNTIF(ListeIzinliGecis,$C371&amp;"|"&amp;$D371)&gt;0),"","GEÇERSİZ GEÇİŞ"))</f>
        <v/>
      </c>
      <c r="K371" s="24">
        <f>IF($A371="","",IF(OR($E371="",$G371=""),"",IF(ABS($G371-$E371)&gt;zincirTolerans,"ZİNCİR KIRIK","OK")))</f>
        <v/>
      </c>
      <c r="L371" s="24">
        <f>IF($A371="","",1)</f>
        <v/>
      </c>
    </row>
    <row r="372">
      <c r="A372" s="12" t="n"/>
      <c r="B372" s="12" t="n"/>
      <c r="C372" s="12" t="n"/>
      <c r="D372" s="12" t="n"/>
      <c r="E372" s="14" t="n"/>
      <c r="F372" s="14" t="n"/>
      <c r="G372" s="14" t="n"/>
      <c r="H372" s="15" t="n"/>
      <c r="I372" s="24">
        <f>IF($A372="","",IF($B372="","YETİM",IF(COUNTIF(tblKartlar[KartId],$B372)=0,"YETİM","")))</f>
        <v/>
      </c>
      <c r="J372" s="24">
        <f>IF(OR($A372="",$C372=""),"",IF(OR($C372&amp;"|"&amp;$D372="",COUNTIF(ListeIzinliGecis,$C372&amp;"|"&amp;$D372)&gt;0),"","GEÇERSİZ GEÇİŞ"))</f>
        <v/>
      </c>
      <c r="K372" s="24">
        <f>IF($A372="","",IF(OR($E372="",$G372=""),"",IF(ABS($G372-$E372)&gt;zincirTolerans,"ZİNCİR KIRIK","OK")))</f>
        <v/>
      </c>
      <c r="L372" s="24">
        <f>IF($A372="","",1)</f>
        <v/>
      </c>
    </row>
    <row r="373">
      <c r="A373" s="12" t="n"/>
      <c r="B373" s="12" t="n"/>
      <c r="C373" s="12" t="n"/>
      <c r="D373" s="12" t="n"/>
      <c r="E373" s="14" t="n"/>
      <c r="F373" s="14" t="n"/>
      <c r="G373" s="14" t="n"/>
      <c r="H373" s="15" t="n"/>
      <c r="I373" s="24">
        <f>IF($A373="","",IF($B373="","YETİM",IF(COUNTIF(tblKartlar[KartId],$B373)=0,"YETİM","")))</f>
        <v/>
      </c>
      <c r="J373" s="24">
        <f>IF(OR($A373="",$C373=""),"",IF(OR($C373&amp;"|"&amp;$D373="",COUNTIF(ListeIzinliGecis,$C373&amp;"|"&amp;$D373)&gt;0),"","GEÇERSİZ GEÇİŞ"))</f>
        <v/>
      </c>
      <c r="K373" s="24">
        <f>IF($A373="","",IF(OR($E373="",$G373=""),"",IF(ABS($G373-$E373)&gt;zincirTolerans,"ZİNCİR KIRIK","OK")))</f>
        <v/>
      </c>
      <c r="L373" s="24">
        <f>IF($A373="","",1)</f>
        <v/>
      </c>
    </row>
    <row r="374">
      <c r="A374" s="12" t="n"/>
      <c r="B374" s="12" t="n"/>
      <c r="C374" s="12" t="n"/>
      <c r="D374" s="12" t="n"/>
      <c r="E374" s="14" t="n"/>
      <c r="F374" s="14" t="n"/>
      <c r="G374" s="14" t="n"/>
      <c r="H374" s="15" t="n"/>
      <c r="I374" s="24">
        <f>IF($A374="","",IF($B374="","YETİM",IF(COUNTIF(tblKartlar[KartId],$B374)=0,"YETİM","")))</f>
        <v/>
      </c>
      <c r="J374" s="24">
        <f>IF(OR($A374="",$C374=""),"",IF(OR($C374&amp;"|"&amp;$D374="",COUNTIF(ListeIzinliGecis,$C374&amp;"|"&amp;$D374)&gt;0),"","GEÇERSİZ GEÇİŞ"))</f>
        <v/>
      </c>
      <c r="K374" s="24">
        <f>IF($A374="","",IF(OR($E374="",$G374=""),"",IF(ABS($G374-$E374)&gt;zincirTolerans,"ZİNCİR KIRIK","OK")))</f>
        <v/>
      </c>
      <c r="L374" s="24">
        <f>IF($A374="","",1)</f>
        <v/>
      </c>
    </row>
    <row r="375">
      <c r="A375" s="12" t="n"/>
      <c r="B375" s="12" t="n"/>
      <c r="C375" s="12" t="n"/>
      <c r="D375" s="12" t="n"/>
      <c r="E375" s="14" t="n"/>
      <c r="F375" s="14" t="n"/>
      <c r="G375" s="14" t="n"/>
      <c r="H375" s="15" t="n"/>
      <c r="I375" s="24">
        <f>IF($A375="","",IF($B375="","YETİM",IF(COUNTIF(tblKartlar[KartId],$B375)=0,"YETİM","")))</f>
        <v/>
      </c>
      <c r="J375" s="24">
        <f>IF(OR($A375="",$C375=""),"",IF(OR($C375&amp;"|"&amp;$D375="",COUNTIF(ListeIzinliGecis,$C375&amp;"|"&amp;$D375)&gt;0),"","GEÇERSİZ GEÇİŞ"))</f>
        <v/>
      </c>
      <c r="K375" s="24">
        <f>IF($A375="","",IF(OR($E375="",$G375=""),"",IF(ABS($G375-$E375)&gt;zincirTolerans,"ZİNCİR KIRIK","OK")))</f>
        <v/>
      </c>
      <c r="L375" s="24">
        <f>IF($A375="","",1)</f>
        <v/>
      </c>
    </row>
    <row r="376">
      <c r="A376" s="12" t="n"/>
      <c r="B376" s="12" t="n"/>
      <c r="C376" s="12" t="n"/>
      <c r="D376" s="12" t="n"/>
      <c r="E376" s="14" t="n"/>
      <c r="F376" s="14" t="n"/>
      <c r="G376" s="14" t="n"/>
      <c r="H376" s="15" t="n"/>
      <c r="I376" s="24">
        <f>IF($A376="","",IF($B376="","YETİM",IF(COUNTIF(tblKartlar[KartId],$B376)=0,"YETİM","")))</f>
        <v/>
      </c>
      <c r="J376" s="24">
        <f>IF(OR($A376="",$C376=""),"",IF(OR($C376&amp;"|"&amp;$D376="",COUNTIF(ListeIzinliGecis,$C376&amp;"|"&amp;$D376)&gt;0),"","GEÇERSİZ GEÇİŞ"))</f>
        <v/>
      </c>
      <c r="K376" s="24">
        <f>IF($A376="","",IF(OR($E376="",$G376=""),"",IF(ABS($G376-$E376)&gt;zincirTolerans,"ZİNCİR KIRIK","OK")))</f>
        <v/>
      </c>
      <c r="L376" s="24">
        <f>IF($A376="","",1)</f>
        <v/>
      </c>
    </row>
    <row r="377">
      <c r="A377" s="12" t="n"/>
      <c r="B377" s="12" t="n"/>
      <c r="C377" s="12" t="n"/>
      <c r="D377" s="12" t="n"/>
      <c r="E377" s="14" t="n"/>
      <c r="F377" s="14" t="n"/>
      <c r="G377" s="14" t="n"/>
      <c r="H377" s="15" t="n"/>
      <c r="I377" s="24">
        <f>IF($A377="","",IF($B377="","YETİM",IF(COUNTIF(tblKartlar[KartId],$B377)=0,"YETİM","")))</f>
        <v/>
      </c>
      <c r="J377" s="24">
        <f>IF(OR($A377="",$C377=""),"",IF(OR($C377&amp;"|"&amp;$D377="",COUNTIF(ListeIzinliGecis,$C377&amp;"|"&amp;$D377)&gt;0),"","GEÇERSİZ GEÇİŞ"))</f>
        <v/>
      </c>
      <c r="K377" s="24">
        <f>IF($A377="","",IF(OR($E377="",$G377=""),"",IF(ABS($G377-$E377)&gt;zincirTolerans,"ZİNCİR KIRIK","OK")))</f>
        <v/>
      </c>
      <c r="L377" s="24">
        <f>IF($A377="","",1)</f>
        <v/>
      </c>
    </row>
    <row r="378">
      <c r="A378" s="12" t="n"/>
      <c r="B378" s="12" t="n"/>
      <c r="C378" s="12" t="n"/>
      <c r="D378" s="12" t="n"/>
      <c r="E378" s="14" t="n"/>
      <c r="F378" s="14" t="n"/>
      <c r="G378" s="14" t="n"/>
      <c r="H378" s="15" t="n"/>
      <c r="I378" s="24">
        <f>IF($A378="","",IF($B378="","YETİM",IF(COUNTIF(tblKartlar[KartId],$B378)=0,"YETİM","")))</f>
        <v/>
      </c>
      <c r="J378" s="24">
        <f>IF(OR($A378="",$C378=""),"",IF(OR($C378&amp;"|"&amp;$D378="",COUNTIF(ListeIzinliGecis,$C378&amp;"|"&amp;$D378)&gt;0),"","GEÇERSİZ GEÇİŞ"))</f>
        <v/>
      </c>
      <c r="K378" s="24">
        <f>IF($A378="","",IF(OR($E378="",$G378=""),"",IF(ABS($G378-$E378)&gt;zincirTolerans,"ZİNCİR KIRIK","OK")))</f>
        <v/>
      </c>
      <c r="L378" s="24">
        <f>IF($A378="","",1)</f>
        <v/>
      </c>
    </row>
    <row r="379">
      <c r="A379" s="12" t="n"/>
      <c r="B379" s="12" t="n"/>
      <c r="C379" s="12" t="n"/>
      <c r="D379" s="12" t="n"/>
      <c r="E379" s="14" t="n"/>
      <c r="F379" s="14" t="n"/>
      <c r="G379" s="14" t="n"/>
      <c r="H379" s="15" t="n"/>
      <c r="I379" s="24">
        <f>IF($A379="","",IF($B379="","YETİM",IF(COUNTIF(tblKartlar[KartId],$B379)=0,"YETİM","")))</f>
        <v/>
      </c>
      <c r="J379" s="24">
        <f>IF(OR($A379="",$C379=""),"",IF(OR($C379&amp;"|"&amp;$D379="",COUNTIF(ListeIzinliGecis,$C379&amp;"|"&amp;$D379)&gt;0),"","GEÇERSİZ GEÇİŞ"))</f>
        <v/>
      </c>
      <c r="K379" s="24">
        <f>IF($A379="","",IF(OR($E379="",$G379=""),"",IF(ABS($G379-$E379)&gt;zincirTolerans,"ZİNCİR KIRIK","OK")))</f>
        <v/>
      </c>
      <c r="L379" s="24">
        <f>IF($A379="","",1)</f>
        <v/>
      </c>
    </row>
    <row r="380">
      <c r="A380" s="12" t="n"/>
      <c r="B380" s="12" t="n"/>
      <c r="C380" s="12" t="n"/>
      <c r="D380" s="12" t="n"/>
      <c r="E380" s="14" t="n"/>
      <c r="F380" s="14" t="n"/>
      <c r="G380" s="14" t="n"/>
      <c r="H380" s="15" t="n"/>
      <c r="I380" s="24">
        <f>IF($A380="","",IF($B380="","YETİM",IF(COUNTIF(tblKartlar[KartId],$B380)=0,"YETİM","")))</f>
        <v/>
      </c>
      <c r="J380" s="24">
        <f>IF(OR($A380="",$C380=""),"",IF(OR($C380&amp;"|"&amp;$D380="",COUNTIF(ListeIzinliGecis,$C380&amp;"|"&amp;$D380)&gt;0),"","GEÇERSİZ GEÇİŞ"))</f>
        <v/>
      </c>
      <c r="K380" s="24">
        <f>IF($A380="","",IF(OR($E380="",$G380=""),"",IF(ABS($G380-$E380)&gt;zincirTolerans,"ZİNCİR KIRIK","OK")))</f>
        <v/>
      </c>
      <c r="L380" s="24">
        <f>IF($A380="","",1)</f>
        <v/>
      </c>
    </row>
    <row r="381">
      <c r="A381" s="12" t="n"/>
      <c r="B381" s="12" t="n"/>
      <c r="C381" s="12" t="n"/>
      <c r="D381" s="12" t="n"/>
      <c r="E381" s="14" t="n"/>
      <c r="F381" s="14" t="n"/>
      <c r="G381" s="14" t="n"/>
      <c r="H381" s="15" t="n"/>
      <c r="I381" s="24">
        <f>IF($A381="","",IF($B381="","YETİM",IF(COUNTIF(tblKartlar[KartId],$B381)=0,"YETİM","")))</f>
        <v/>
      </c>
      <c r="J381" s="24">
        <f>IF(OR($A381="",$C381=""),"",IF(OR($C381&amp;"|"&amp;$D381="",COUNTIF(ListeIzinliGecis,$C381&amp;"|"&amp;$D381)&gt;0),"","GEÇERSİZ GEÇİŞ"))</f>
        <v/>
      </c>
      <c r="K381" s="24">
        <f>IF($A381="","",IF(OR($E381="",$G381=""),"",IF(ABS($G381-$E381)&gt;zincirTolerans,"ZİNCİR KIRIK","OK")))</f>
        <v/>
      </c>
      <c r="L381" s="24">
        <f>IF($A381="","",1)</f>
        <v/>
      </c>
    </row>
    <row r="382">
      <c r="A382" s="12" t="n"/>
      <c r="B382" s="12" t="n"/>
      <c r="C382" s="12" t="n"/>
      <c r="D382" s="12" t="n"/>
      <c r="E382" s="14" t="n"/>
      <c r="F382" s="14" t="n"/>
      <c r="G382" s="14" t="n"/>
      <c r="H382" s="15" t="n"/>
      <c r="I382" s="24">
        <f>IF($A382="","",IF($B382="","YETİM",IF(COUNTIF(tblKartlar[KartId],$B382)=0,"YETİM","")))</f>
        <v/>
      </c>
      <c r="J382" s="24">
        <f>IF(OR($A382="",$C382=""),"",IF(OR($C382&amp;"|"&amp;$D382="",COUNTIF(ListeIzinliGecis,$C382&amp;"|"&amp;$D382)&gt;0),"","GEÇERSİZ GEÇİŞ"))</f>
        <v/>
      </c>
      <c r="K382" s="24">
        <f>IF($A382="","",IF(OR($E382="",$G382=""),"",IF(ABS($G382-$E382)&gt;zincirTolerans,"ZİNCİR KIRIK","OK")))</f>
        <v/>
      </c>
      <c r="L382" s="24">
        <f>IF($A382="","",1)</f>
        <v/>
      </c>
    </row>
    <row r="383">
      <c r="A383" s="12" t="n"/>
      <c r="B383" s="12" t="n"/>
      <c r="C383" s="12" t="n"/>
      <c r="D383" s="12" t="n"/>
      <c r="E383" s="14" t="n"/>
      <c r="F383" s="14" t="n"/>
      <c r="G383" s="14" t="n"/>
      <c r="H383" s="15" t="n"/>
      <c r="I383" s="24">
        <f>IF($A383="","",IF($B383="","YETİM",IF(COUNTIF(tblKartlar[KartId],$B383)=0,"YETİM","")))</f>
        <v/>
      </c>
      <c r="J383" s="24">
        <f>IF(OR($A383="",$C383=""),"",IF(OR($C383&amp;"|"&amp;$D383="",COUNTIF(ListeIzinliGecis,$C383&amp;"|"&amp;$D383)&gt;0),"","GEÇERSİZ GEÇİŞ"))</f>
        <v/>
      </c>
      <c r="K383" s="24">
        <f>IF($A383="","",IF(OR($E383="",$G383=""),"",IF(ABS($G383-$E383)&gt;zincirTolerans,"ZİNCİR KIRIK","OK")))</f>
        <v/>
      </c>
      <c r="L383" s="24">
        <f>IF($A383="","",1)</f>
        <v/>
      </c>
    </row>
    <row r="384">
      <c r="A384" s="12" t="n"/>
      <c r="B384" s="12" t="n"/>
      <c r="C384" s="12" t="n"/>
      <c r="D384" s="12" t="n"/>
      <c r="E384" s="14" t="n"/>
      <c r="F384" s="14" t="n"/>
      <c r="G384" s="14" t="n"/>
      <c r="H384" s="15" t="n"/>
      <c r="I384" s="24">
        <f>IF($A384="","",IF($B384="","YETİM",IF(COUNTIF(tblKartlar[KartId],$B384)=0,"YETİM","")))</f>
        <v/>
      </c>
      <c r="J384" s="24">
        <f>IF(OR($A384="",$C384=""),"",IF(OR($C384&amp;"|"&amp;$D384="",COUNTIF(ListeIzinliGecis,$C384&amp;"|"&amp;$D384)&gt;0),"","GEÇERSİZ GEÇİŞ"))</f>
        <v/>
      </c>
      <c r="K384" s="24">
        <f>IF($A384="","",IF(OR($E384="",$G384=""),"",IF(ABS($G384-$E384)&gt;zincirTolerans,"ZİNCİR KIRIK","OK")))</f>
        <v/>
      </c>
      <c r="L384" s="24">
        <f>IF($A384="","",1)</f>
        <v/>
      </c>
    </row>
    <row r="385">
      <c r="A385" s="12" t="n"/>
      <c r="B385" s="12" t="n"/>
      <c r="C385" s="12" t="n"/>
      <c r="D385" s="12" t="n"/>
      <c r="E385" s="14" t="n"/>
      <c r="F385" s="14" t="n"/>
      <c r="G385" s="14" t="n"/>
      <c r="H385" s="15" t="n"/>
      <c r="I385" s="24">
        <f>IF($A385="","",IF($B385="","YETİM",IF(COUNTIF(tblKartlar[KartId],$B385)=0,"YETİM","")))</f>
        <v/>
      </c>
      <c r="J385" s="24">
        <f>IF(OR($A385="",$C385=""),"",IF(OR($C385&amp;"|"&amp;$D385="",COUNTIF(ListeIzinliGecis,$C385&amp;"|"&amp;$D385)&gt;0),"","GEÇERSİZ GEÇİŞ"))</f>
        <v/>
      </c>
      <c r="K385" s="24">
        <f>IF($A385="","",IF(OR($E385="",$G385=""),"",IF(ABS($G385-$E385)&gt;zincirTolerans,"ZİNCİR KIRIK","OK")))</f>
        <v/>
      </c>
      <c r="L385" s="24">
        <f>IF($A385="","",1)</f>
        <v/>
      </c>
    </row>
    <row r="386">
      <c r="A386" s="12" t="n"/>
      <c r="B386" s="12" t="n"/>
      <c r="C386" s="12" t="n"/>
      <c r="D386" s="12" t="n"/>
      <c r="E386" s="14" t="n"/>
      <c r="F386" s="14" t="n"/>
      <c r="G386" s="14" t="n"/>
      <c r="H386" s="15" t="n"/>
      <c r="I386" s="24">
        <f>IF($A386="","",IF($B386="","YETİM",IF(COUNTIF(tblKartlar[KartId],$B386)=0,"YETİM","")))</f>
        <v/>
      </c>
      <c r="J386" s="24">
        <f>IF(OR($A386="",$C386=""),"",IF(OR($C386&amp;"|"&amp;$D386="",COUNTIF(ListeIzinliGecis,$C386&amp;"|"&amp;$D386)&gt;0),"","GEÇERSİZ GEÇİŞ"))</f>
        <v/>
      </c>
      <c r="K386" s="24">
        <f>IF($A386="","",IF(OR($E386="",$G386=""),"",IF(ABS($G386-$E386)&gt;zincirTolerans,"ZİNCİR KIRIK","OK")))</f>
        <v/>
      </c>
      <c r="L386" s="24">
        <f>IF($A386="","",1)</f>
        <v/>
      </c>
    </row>
    <row r="387">
      <c r="A387" s="12" t="n"/>
      <c r="B387" s="12" t="n"/>
      <c r="C387" s="12" t="n"/>
      <c r="D387" s="12" t="n"/>
      <c r="E387" s="14" t="n"/>
      <c r="F387" s="14" t="n"/>
      <c r="G387" s="14" t="n"/>
      <c r="H387" s="15" t="n"/>
      <c r="I387" s="24">
        <f>IF($A387="","",IF($B387="","YETİM",IF(COUNTIF(tblKartlar[KartId],$B387)=0,"YETİM","")))</f>
        <v/>
      </c>
      <c r="J387" s="24">
        <f>IF(OR($A387="",$C387=""),"",IF(OR($C387&amp;"|"&amp;$D387="",COUNTIF(ListeIzinliGecis,$C387&amp;"|"&amp;$D387)&gt;0),"","GEÇERSİZ GEÇİŞ"))</f>
        <v/>
      </c>
      <c r="K387" s="24">
        <f>IF($A387="","",IF(OR($E387="",$G387=""),"",IF(ABS($G387-$E387)&gt;zincirTolerans,"ZİNCİR KIRIK","OK")))</f>
        <v/>
      </c>
      <c r="L387" s="24">
        <f>IF($A387="","",1)</f>
        <v/>
      </c>
    </row>
    <row r="388">
      <c r="A388" s="12" t="n"/>
      <c r="B388" s="12" t="n"/>
      <c r="C388" s="12" t="n"/>
      <c r="D388" s="12" t="n"/>
      <c r="E388" s="14" t="n"/>
      <c r="F388" s="14" t="n"/>
      <c r="G388" s="14" t="n"/>
      <c r="H388" s="15" t="n"/>
      <c r="I388" s="24">
        <f>IF($A388="","",IF($B388="","YETİM",IF(COUNTIF(tblKartlar[KartId],$B388)=0,"YETİM","")))</f>
        <v/>
      </c>
      <c r="J388" s="24">
        <f>IF(OR($A388="",$C388=""),"",IF(OR($C388&amp;"|"&amp;$D388="",COUNTIF(ListeIzinliGecis,$C388&amp;"|"&amp;$D388)&gt;0),"","GEÇERSİZ GEÇİŞ"))</f>
        <v/>
      </c>
      <c r="K388" s="24">
        <f>IF($A388="","",IF(OR($E388="",$G388=""),"",IF(ABS($G388-$E388)&gt;zincirTolerans,"ZİNCİR KIRIK","OK")))</f>
        <v/>
      </c>
      <c r="L388" s="24">
        <f>IF($A388="","",1)</f>
        <v/>
      </c>
    </row>
    <row r="389">
      <c r="A389" s="12" t="n"/>
      <c r="B389" s="12" t="n"/>
      <c r="C389" s="12" t="n"/>
      <c r="D389" s="12" t="n"/>
      <c r="E389" s="14" t="n"/>
      <c r="F389" s="14" t="n"/>
      <c r="G389" s="14" t="n"/>
      <c r="H389" s="15" t="n"/>
      <c r="I389" s="24">
        <f>IF($A389="","",IF($B389="","YETİM",IF(COUNTIF(tblKartlar[KartId],$B389)=0,"YETİM","")))</f>
        <v/>
      </c>
      <c r="J389" s="24">
        <f>IF(OR($A389="",$C389=""),"",IF(OR($C389&amp;"|"&amp;$D389="",COUNTIF(ListeIzinliGecis,$C389&amp;"|"&amp;$D389)&gt;0),"","GEÇERSİZ GEÇİŞ"))</f>
        <v/>
      </c>
      <c r="K389" s="24">
        <f>IF($A389="","",IF(OR($E389="",$G389=""),"",IF(ABS($G389-$E389)&gt;zincirTolerans,"ZİNCİR KIRIK","OK")))</f>
        <v/>
      </c>
      <c r="L389" s="24">
        <f>IF($A389="","",1)</f>
        <v/>
      </c>
    </row>
    <row r="390">
      <c r="A390" s="12" t="n"/>
      <c r="B390" s="12" t="n"/>
      <c r="C390" s="12" t="n"/>
      <c r="D390" s="12" t="n"/>
      <c r="E390" s="14" t="n"/>
      <c r="F390" s="14" t="n"/>
      <c r="G390" s="14" t="n"/>
      <c r="H390" s="15" t="n"/>
      <c r="I390" s="24">
        <f>IF($A390="","",IF($B390="","YETİM",IF(COUNTIF(tblKartlar[KartId],$B390)=0,"YETİM","")))</f>
        <v/>
      </c>
      <c r="J390" s="24">
        <f>IF(OR($A390="",$C390=""),"",IF(OR($C390&amp;"|"&amp;$D390="",COUNTIF(ListeIzinliGecis,$C390&amp;"|"&amp;$D390)&gt;0),"","GEÇERSİZ GEÇİŞ"))</f>
        <v/>
      </c>
      <c r="K390" s="24">
        <f>IF($A390="","",IF(OR($E390="",$G390=""),"",IF(ABS($G390-$E390)&gt;zincirTolerans,"ZİNCİR KIRIK","OK")))</f>
        <v/>
      </c>
      <c r="L390" s="24">
        <f>IF($A390="","",1)</f>
        <v/>
      </c>
    </row>
    <row r="391">
      <c r="A391" s="12" t="n"/>
      <c r="B391" s="12" t="n"/>
      <c r="C391" s="12" t="n"/>
      <c r="D391" s="12" t="n"/>
      <c r="E391" s="14" t="n"/>
      <c r="F391" s="14" t="n"/>
      <c r="G391" s="14" t="n"/>
      <c r="H391" s="15" t="n"/>
      <c r="I391" s="24">
        <f>IF($A391="","",IF($B391="","YETİM",IF(COUNTIF(tblKartlar[KartId],$B391)=0,"YETİM","")))</f>
        <v/>
      </c>
      <c r="J391" s="24">
        <f>IF(OR($A391="",$C391=""),"",IF(OR($C391&amp;"|"&amp;$D391="",COUNTIF(ListeIzinliGecis,$C391&amp;"|"&amp;$D391)&gt;0),"","GEÇERSİZ GEÇİŞ"))</f>
        <v/>
      </c>
      <c r="K391" s="24">
        <f>IF($A391="","",IF(OR($E391="",$G391=""),"",IF(ABS($G391-$E391)&gt;zincirTolerans,"ZİNCİR KIRIK","OK")))</f>
        <v/>
      </c>
      <c r="L391" s="24">
        <f>IF($A391="","",1)</f>
        <v/>
      </c>
    </row>
    <row r="392">
      <c r="A392" s="12" t="n"/>
      <c r="B392" s="12" t="n"/>
      <c r="C392" s="12" t="n"/>
      <c r="D392" s="12" t="n"/>
      <c r="E392" s="14" t="n"/>
      <c r="F392" s="14" t="n"/>
      <c r="G392" s="14" t="n"/>
      <c r="H392" s="15" t="n"/>
      <c r="I392" s="24">
        <f>IF($A392="","",IF($B392="","YETİM",IF(COUNTIF(tblKartlar[KartId],$B392)=0,"YETİM","")))</f>
        <v/>
      </c>
      <c r="J392" s="24">
        <f>IF(OR($A392="",$C392=""),"",IF(OR($C392&amp;"|"&amp;$D392="",COUNTIF(ListeIzinliGecis,$C392&amp;"|"&amp;$D392)&gt;0),"","GEÇERSİZ GEÇİŞ"))</f>
        <v/>
      </c>
      <c r="K392" s="24">
        <f>IF($A392="","",IF(OR($E392="",$G392=""),"",IF(ABS($G392-$E392)&gt;zincirTolerans,"ZİNCİR KIRIK","OK")))</f>
        <v/>
      </c>
      <c r="L392" s="24">
        <f>IF($A392="","",1)</f>
        <v/>
      </c>
    </row>
    <row r="393">
      <c r="A393" s="12" t="n"/>
      <c r="B393" s="12" t="n"/>
      <c r="C393" s="12" t="n"/>
      <c r="D393" s="12" t="n"/>
      <c r="E393" s="14" t="n"/>
      <c r="F393" s="14" t="n"/>
      <c r="G393" s="14" t="n"/>
      <c r="H393" s="15" t="n"/>
      <c r="I393" s="24">
        <f>IF($A393="","",IF($B393="","YETİM",IF(COUNTIF(tblKartlar[KartId],$B393)=0,"YETİM","")))</f>
        <v/>
      </c>
      <c r="J393" s="24">
        <f>IF(OR($A393="",$C393=""),"",IF(OR($C393&amp;"|"&amp;$D393="",COUNTIF(ListeIzinliGecis,$C393&amp;"|"&amp;$D393)&gt;0),"","GEÇERSİZ GEÇİŞ"))</f>
        <v/>
      </c>
      <c r="K393" s="24">
        <f>IF($A393="","",IF(OR($E393="",$G393=""),"",IF(ABS($G393-$E393)&gt;zincirTolerans,"ZİNCİR KIRIK","OK")))</f>
        <v/>
      </c>
      <c r="L393" s="24">
        <f>IF($A393="","",1)</f>
        <v/>
      </c>
    </row>
    <row r="394">
      <c r="A394" s="12" t="n"/>
      <c r="B394" s="12" t="n"/>
      <c r="C394" s="12" t="n"/>
      <c r="D394" s="12" t="n"/>
      <c r="E394" s="14" t="n"/>
      <c r="F394" s="14" t="n"/>
      <c r="G394" s="14" t="n"/>
      <c r="H394" s="15" t="n"/>
      <c r="I394" s="24">
        <f>IF($A394="","",IF($B394="","YETİM",IF(COUNTIF(tblKartlar[KartId],$B394)=0,"YETİM","")))</f>
        <v/>
      </c>
      <c r="J394" s="24">
        <f>IF(OR($A394="",$C394=""),"",IF(OR($C394&amp;"|"&amp;$D394="",COUNTIF(ListeIzinliGecis,$C394&amp;"|"&amp;$D394)&gt;0),"","GEÇERSİZ GEÇİŞ"))</f>
        <v/>
      </c>
      <c r="K394" s="24">
        <f>IF($A394="","",IF(OR($E394="",$G394=""),"",IF(ABS($G394-$E394)&gt;zincirTolerans,"ZİNCİR KIRIK","OK")))</f>
        <v/>
      </c>
      <c r="L394" s="24">
        <f>IF($A394="","",1)</f>
        <v/>
      </c>
    </row>
    <row r="395">
      <c r="A395" s="12" t="n"/>
      <c r="B395" s="12" t="n"/>
      <c r="C395" s="12" t="n"/>
      <c r="D395" s="12" t="n"/>
      <c r="E395" s="14" t="n"/>
      <c r="F395" s="14" t="n"/>
      <c r="G395" s="14" t="n"/>
      <c r="H395" s="15" t="n"/>
      <c r="I395" s="24">
        <f>IF($A395="","",IF($B395="","YETİM",IF(COUNTIF(tblKartlar[KartId],$B395)=0,"YETİM","")))</f>
        <v/>
      </c>
      <c r="J395" s="24">
        <f>IF(OR($A395="",$C395=""),"",IF(OR($C395&amp;"|"&amp;$D395="",COUNTIF(ListeIzinliGecis,$C395&amp;"|"&amp;$D395)&gt;0),"","GEÇERSİZ GEÇİŞ"))</f>
        <v/>
      </c>
      <c r="K395" s="24">
        <f>IF($A395="","",IF(OR($E395="",$G395=""),"",IF(ABS($G395-$E395)&gt;zincirTolerans,"ZİNCİR KIRIK","OK")))</f>
        <v/>
      </c>
      <c r="L395" s="24">
        <f>IF($A395="","",1)</f>
        <v/>
      </c>
    </row>
    <row r="396">
      <c r="A396" s="12" t="n"/>
      <c r="B396" s="12" t="n"/>
      <c r="C396" s="12" t="n"/>
      <c r="D396" s="12" t="n"/>
      <c r="E396" s="14" t="n"/>
      <c r="F396" s="14" t="n"/>
      <c r="G396" s="14" t="n"/>
      <c r="H396" s="15" t="n"/>
      <c r="I396" s="24">
        <f>IF($A396="","",IF($B396="","YETİM",IF(COUNTIF(tblKartlar[KartId],$B396)=0,"YETİM","")))</f>
        <v/>
      </c>
      <c r="J396" s="24">
        <f>IF(OR($A396="",$C396=""),"",IF(OR($C396&amp;"|"&amp;$D396="",COUNTIF(ListeIzinliGecis,$C396&amp;"|"&amp;$D396)&gt;0),"","GEÇERSİZ GEÇİŞ"))</f>
        <v/>
      </c>
      <c r="K396" s="24">
        <f>IF($A396="","",IF(OR($E396="",$G396=""),"",IF(ABS($G396-$E396)&gt;zincirTolerans,"ZİNCİR KIRIK","OK")))</f>
        <v/>
      </c>
      <c r="L396" s="24">
        <f>IF($A396="","",1)</f>
        <v/>
      </c>
    </row>
    <row r="397">
      <c r="A397" s="12" t="n"/>
      <c r="B397" s="12" t="n"/>
      <c r="C397" s="12" t="n"/>
      <c r="D397" s="12" t="n"/>
      <c r="E397" s="14" t="n"/>
      <c r="F397" s="14" t="n"/>
      <c r="G397" s="14" t="n"/>
      <c r="H397" s="15" t="n"/>
      <c r="I397" s="24">
        <f>IF($A397="","",IF($B397="","YETİM",IF(COUNTIF(tblKartlar[KartId],$B397)=0,"YETİM","")))</f>
        <v/>
      </c>
      <c r="J397" s="24">
        <f>IF(OR($A397="",$C397=""),"",IF(OR($C397&amp;"|"&amp;$D397="",COUNTIF(ListeIzinliGecis,$C397&amp;"|"&amp;$D397)&gt;0),"","GEÇERSİZ GEÇİŞ"))</f>
        <v/>
      </c>
      <c r="K397" s="24">
        <f>IF($A397="","",IF(OR($E397="",$G397=""),"",IF(ABS($G397-$E397)&gt;zincirTolerans,"ZİNCİR KIRIK","OK")))</f>
        <v/>
      </c>
      <c r="L397" s="24">
        <f>IF($A397="","",1)</f>
        <v/>
      </c>
    </row>
    <row r="398">
      <c r="A398" s="12" t="n"/>
      <c r="B398" s="12" t="n"/>
      <c r="C398" s="12" t="n"/>
      <c r="D398" s="12" t="n"/>
      <c r="E398" s="14" t="n"/>
      <c r="F398" s="14" t="n"/>
      <c r="G398" s="14" t="n"/>
      <c r="H398" s="15" t="n"/>
      <c r="I398" s="24">
        <f>IF($A398="","",IF($B398="","YETİM",IF(COUNTIF(tblKartlar[KartId],$B398)=0,"YETİM","")))</f>
        <v/>
      </c>
      <c r="J398" s="24">
        <f>IF(OR($A398="",$C398=""),"",IF(OR($C398&amp;"|"&amp;$D398="",COUNTIF(ListeIzinliGecis,$C398&amp;"|"&amp;$D398)&gt;0),"","GEÇERSİZ GEÇİŞ"))</f>
        <v/>
      </c>
      <c r="K398" s="24">
        <f>IF($A398="","",IF(OR($E398="",$G398=""),"",IF(ABS($G398-$E398)&gt;zincirTolerans,"ZİNCİR KIRIK","OK")))</f>
        <v/>
      </c>
      <c r="L398" s="24">
        <f>IF($A398="","",1)</f>
        <v/>
      </c>
    </row>
    <row r="399">
      <c r="A399" s="12" t="n"/>
      <c r="B399" s="12" t="n"/>
      <c r="C399" s="12" t="n"/>
      <c r="D399" s="12" t="n"/>
      <c r="E399" s="14" t="n"/>
      <c r="F399" s="14" t="n"/>
      <c r="G399" s="14" t="n"/>
      <c r="H399" s="15" t="n"/>
      <c r="I399" s="24">
        <f>IF($A399="","",IF($B399="","YETİM",IF(COUNTIF(tblKartlar[KartId],$B399)=0,"YETİM","")))</f>
        <v/>
      </c>
      <c r="J399" s="24">
        <f>IF(OR($A399="",$C399=""),"",IF(OR($C399&amp;"|"&amp;$D399="",COUNTIF(ListeIzinliGecis,$C399&amp;"|"&amp;$D399)&gt;0),"","GEÇERSİZ GEÇİŞ"))</f>
        <v/>
      </c>
      <c r="K399" s="24">
        <f>IF($A399="","",IF(OR($E399="",$G399=""),"",IF(ABS($G399-$E399)&gt;zincirTolerans,"ZİNCİR KIRIK","OK")))</f>
        <v/>
      </c>
      <c r="L399" s="24">
        <f>IF($A399="","",1)</f>
        <v/>
      </c>
    </row>
    <row r="400">
      <c r="A400" s="12" t="n"/>
      <c r="B400" s="12" t="n"/>
      <c r="C400" s="12" t="n"/>
      <c r="D400" s="12" t="n"/>
      <c r="E400" s="14" t="n"/>
      <c r="F400" s="14" t="n"/>
      <c r="G400" s="14" t="n"/>
      <c r="H400" s="15" t="n"/>
      <c r="I400" s="24">
        <f>IF($A400="","",IF($B400="","YETİM",IF(COUNTIF(tblKartlar[KartId],$B400)=0,"YETİM","")))</f>
        <v/>
      </c>
      <c r="J400" s="24">
        <f>IF(OR($A400="",$C400=""),"",IF(OR($C400&amp;"|"&amp;$D400="",COUNTIF(ListeIzinliGecis,$C400&amp;"|"&amp;$D400)&gt;0),"","GEÇERSİZ GEÇİŞ"))</f>
        <v/>
      </c>
      <c r="K400" s="24">
        <f>IF($A400="","",IF(OR($E400="",$G400=""),"",IF(ABS($G400-$E400)&gt;zincirTolerans,"ZİNCİR KIRIK","OK")))</f>
        <v/>
      </c>
      <c r="L400" s="24">
        <f>IF($A400="","",1)</f>
        <v/>
      </c>
    </row>
    <row r="401">
      <c r="A401" s="12" t="n"/>
      <c r="B401" s="12" t="n"/>
      <c r="C401" s="12" t="n"/>
      <c r="D401" s="12" t="n"/>
      <c r="E401" s="14" t="n"/>
      <c r="F401" s="14" t="n"/>
      <c r="G401" s="14" t="n"/>
      <c r="H401" s="15" t="n"/>
      <c r="I401" s="24">
        <f>IF($A401="","",IF($B401="","YETİM",IF(COUNTIF(tblKartlar[KartId],$B401)=0,"YETİM","")))</f>
        <v/>
      </c>
      <c r="J401" s="24">
        <f>IF(OR($A401="",$C401=""),"",IF(OR($C401&amp;"|"&amp;$D401="",COUNTIF(ListeIzinliGecis,$C401&amp;"|"&amp;$D401)&gt;0),"","GEÇERSİZ GEÇİŞ"))</f>
        <v/>
      </c>
      <c r="K401" s="24">
        <f>IF($A401="","",IF(OR($E401="",$G401=""),"",IF(ABS($G401-$E401)&gt;zincirTolerans,"ZİNCİR KIRIK","OK")))</f>
        <v/>
      </c>
      <c r="L401" s="24">
        <f>IF($A401="","",1)</f>
        <v/>
      </c>
    </row>
    <row r="402">
      <c r="A402" s="12" t="n"/>
      <c r="B402" s="12" t="n"/>
      <c r="C402" s="12" t="n"/>
      <c r="D402" s="12" t="n"/>
      <c r="E402" s="14" t="n"/>
      <c r="F402" s="14" t="n"/>
      <c r="G402" s="14" t="n"/>
      <c r="H402" s="15" t="n"/>
      <c r="I402" s="24">
        <f>IF($A402="","",IF($B402="","YETİM",IF(COUNTIF(tblKartlar[KartId],$B402)=0,"YETİM","")))</f>
        <v/>
      </c>
      <c r="J402" s="24">
        <f>IF(OR($A402="",$C402=""),"",IF(OR($C402&amp;"|"&amp;$D402="",COUNTIF(ListeIzinliGecis,$C402&amp;"|"&amp;$D402)&gt;0),"","GEÇERSİZ GEÇİŞ"))</f>
        <v/>
      </c>
      <c r="K402" s="24">
        <f>IF($A402="","",IF(OR($E402="",$G402=""),"",IF(ABS($G402-$E402)&gt;zincirTolerans,"ZİNCİR KIRIK","OK")))</f>
        <v/>
      </c>
      <c r="L402" s="24">
        <f>IF($A402="","",1)</f>
        <v/>
      </c>
    </row>
    <row r="403">
      <c r="A403" s="12" t="n"/>
      <c r="B403" s="12" t="n"/>
      <c r="C403" s="12" t="n"/>
      <c r="D403" s="12" t="n"/>
      <c r="E403" s="14" t="n"/>
      <c r="F403" s="14" t="n"/>
      <c r="G403" s="14" t="n"/>
      <c r="H403" s="15" t="n"/>
      <c r="I403" s="24">
        <f>IF($A403="","",IF($B403="","YETİM",IF(COUNTIF(tblKartlar[KartId],$B403)=0,"YETİM","")))</f>
        <v/>
      </c>
      <c r="J403" s="24">
        <f>IF(OR($A403="",$C403=""),"",IF(OR($C403&amp;"|"&amp;$D403="",COUNTIF(ListeIzinliGecis,$C403&amp;"|"&amp;$D403)&gt;0),"","GEÇERSİZ GEÇİŞ"))</f>
        <v/>
      </c>
      <c r="K403" s="24">
        <f>IF($A403="","",IF(OR($E403="",$G403=""),"",IF(ABS($G403-$E403)&gt;zincirTolerans,"ZİNCİR KIRIK","OK")))</f>
        <v/>
      </c>
      <c r="L403" s="24">
        <f>IF($A403="","",1)</f>
        <v/>
      </c>
    </row>
    <row r="404">
      <c r="A404" s="12" t="n"/>
      <c r="B404" s="12" t="n"/>
      <c r="C404" s="12" t="n"/>
      <c r="D404" s="12" t="n"/>
      <c r="E404" s="14" t="n"/>
      <c r="F404" s="14" t="n"/>
      <c r="G404" s="14" t="n"/>
      <c r="H404" s="15" t="n"/>
      <c r="I404" s="24">
        <f>IF($A404="","",IF($B404="","YETİM",IF(COUNTIF(tblKartlar[KartId],$B404)=0,"YETİM","")))</f>
        <v/>
      </c>
      <c r="J404" s="24">
        <f>IF(OR($A404="",$C404=""),"",IF(OR($C404&amp;"|"&amp;$D404="",COUNTIF(ListeIzinliGecis,$C404&amp;"|"&amp;$D404)&gt;0),"","GEÇERSİZ GEÇİŞ"))</f>
        <v/>
      </c>
      <c r="K404" s="24">
        <f>IF($A404="","",IF(OR($E404="",$G404=""),"",IF(ABS($G404-$E404)&gt;zincirTolerans,"ZİNCİR KIRIK","OK")))</f>
        <v/>
      </c>
      <c r="L404" s="24">
        <f>IF($A404="","",1)</f>
        <v/>
      </c>
    </row>
    <row r="405">
      <c r="A405" s="12" t="n"/>
      <c r="B405" s="12" t="n"/>
      <c r="C405" s="12" t="n"/>
      <c r="D405" s="12" t="n"/>
      <c r="E405" s="14" t="n"/>
      <c r="F405" s="14" t="n"/>
      <c r="G405" s="14" t="n"/>
      <c r="H405" s="15" t="n"/>
      <c r="I405" s="24">
        <f>IF($A405="","",IF($B405="","YETİM",IF(COUNTIF(tblKartlar[KartId],$B405)=0,"YETİM","")))</f>
        <v/>
      </c>
      <c r="J405" s="24">
        <f>IF(OR($A405="",$C405=""),"",IF(OR($C405&amp;"|"&amp;$D405="",COUNTIF(ListeIzinliGecis,$C405&amp;"|"&amp;$D405)&gt;0),"","GEÇERSİZ GEÇİŞ"))</f>
        <v/>
      </c>
      <c r="K405" s="24">
        <f>IF($A405="","",IF(OR($E405="",$G405=""),"",IF(ABS($G405-$E405)&gt;zincirTolerans,"ZİNCİR KIRIK","OK")))</f>
        <v/>
      </c>
      <c r="L405" s="24">
        <f>IF($A405="","",1)</f>
        <v/>
      </c>
    </row>
    <row r="406">
      <c r="A406" s="12" t="n"/>
      <c r="B406" s="12" t="n"/>
      <c r="C406" s="12" t="n"/>
      <c r="D406" s="12" t="n"/>
      <c r="E406" s="14" t="n"/>
      <c r="F406" s="14" t="n"/>
      <c r="G406" s="14" t="n"/>
      <c r="H406" s="15" t="n"/>
      <c r="I406" s="24">
        <f>IF($A406="","",IF($B406="","YETİM",IF(COUNTIF(tblKartlar[KartId],$B406)=0,"YETİM","")))</f>
        <v/>
      </c>
      <c r="J406" s="24">
        <f>IF(OR($A406="",$C406=""),"",IF(OR($C406&amp;"|"&amp;$D406="",COUNTIF(ListeIzinliGecis,$C406&amp;"|"&amp;$D406)&gt;0),"","GEÇERSİZ GEÇİŞ"))</f>
        <v/>
      </c>
      <c r="K406" s="24">
        <f>IF($A406="","",IF(OR($E406="",$G406=""),"",IF(ABS($G406-$E406)&gt;zincirTolerans,"ZİNCİR KIRIK","OK")))</f>
        <v/>
      </c>
      <c r="L406" s="24">
        <f>IF($A406="","",1)</f>
        <v/>
      </c>
    </row>
    <row r="407">
      <c r="A407" s="12" t="n"/>
      <c r="B407" s="12" t="n"/>
      <c r="C407" s="12" t="n"/>
      <c r="D407" s="12" t="n"/>
      <c r="E407" s="14" t="n"/>
      <c r="F407" s="14" t="n"/>
      <c r="G407" s="14" t="n"/>
      <c r="H407" s="15" t="n"/>
      <c r="I407" s="24">
        <f>IF($A407="","",IF($B407="","YETİM",IF(COUNTIF(tblKartlar[KartId],$B407)=0,"YETİM","")))</f>
        <v/>
      </c>
      <c r="J407" s="24">
        <f>IF(OR($A407="",$C407=""),"",IF(OR($C407&amp;"|"&amp;$D407="",COUNTIF(ListeIzinliGecis,$C407&amp;"|"&amp;$D407)&gt;0),"","GEÇERSİZ GEÇİŞ"))</f>
        <v/>
      </c>
      <c r="K407" s="24">
        <f>IF($A407="","",IF(OR($E407="",$G407=""),"",IF(ABS($G407-$E407)&gt;zincirTolerans,"ZİNCİR KIRIK","OK")))</f>
        <v/>
      </c>
      <c r="L407" s="24">
        <f>IF($A407="","",1)</f>
        <v/>
      </c>
    </row>
    <row r="408">
      <c r="A408" s="12" t="n"/>
      <c r="B408" s="12" t="n"/>
      <c r="C408" s="12" t="n"/>
      <c r="D408" s="12" t="n"/>
      <c r="E408" s="14" t="n"/>
      <c r="F408" s="14" t="n"/>
      <c r="G408" s="14" t="n"/>
      <c r="H408" s="15" t="n"/>
      <c r="I408" s="24">
        <f>IF($A408="","",IF($B408="","YETİM",IF(COUNTIF(tblKartlar[KartId],$B408)=0,"YETİM","")))</f>
        <v/>
      </c>
      <c r="J408" s="24">
        <f>IF(OR($A408="",$C408=""),"",IF(OR($C408&amp;"|"&amp;$D408="",COUNTIF(ListeIzinliGecis,$C408&amp;"|"&amp;$D408)&gt;0),"","GEÇERSİZ GEÇİŞ"))</f>
        <v/>
      </c>
      <c r="K408" s="24">
        <f>IF($A408="","",IF(OR($E408="",$G408=""),"",IF(ABS($G408-$E408)&gt;zincirTolerans,"ZİNCİR KIRIK","OK")))</f>
        <v/>
      </c>
      <c r="L408" s="24">
        <f>IF($A408="","",1)</f>
        <v/>
      </c>
    </row>
    <row r="409">
      <c r="A409" s="12" t="n"/>
      <c r="B409" s="12" t="n"/>
      <c r="C409" s="12" t="n"/>
      <c r="D409" s="12" t="n"/>
      <c r="E409" s="14" t="n"/>
      <c r="F409" s="14" t="n"/>
      <c r="G409" s="14" t="n"/>
      <c r="H409" s="15" t="n"/>
      <c r="I409" s="24">
        <f>IF($A409="","",IF($B409="","YETİM",IF(COUNTIF(tblKartlar[KartId],$B409)=0,"YETİM","")))</f>
        <v/>
      </c>
      <c r="J409" s="24">
        <f>IF(OR($A409="",$C409=""),"",IF(OR($C409&amp;"|"&amp;$D409="",COUNTIF(ListeIzinliGecis,$C409&amp;"|"&amp;$D409)&gt;0),"","GEÇERSİZ GEÇİŞ"))</f>
        <v/>
      </c>
      <c r="K409" s="24">
        <f>IF($A409="","",IF(OR($E409="",$G409=""),"",IF(ABS($G409-$E409)&gt;zincirTolerans,"ZİNCİR KIRIK","OK")))</f>
        <v/>
      </c>
      <c r="L409" s="24">
        <f>IF($A409="","",1)</f>
        <v/>
      </c>
    </row>
    <row r="410">
      <c r="A410" s="12" t="n"/>
      <c r="B410" s="12" t="n"/>
      <c r="C410" s="12" t="n"/>
      <c r="D410" s="12" t="n"/>
      <c r="E410" s="14" t="n"/>
      <c r="F410" s="14" t="n"/>
      <c r="G410" s="14" t="n"/>
      <c r="H410" s="15" t="n"/>
      <c r="I410" s="24">
        <f>IF($A410="","",IF($B410="","YETİM",IF(COUNTIF(tblKartlar[KartId],$B410)=0,"YETİM","")))</f>
        <v/>
      </c>
      <c r="J410" s="24">
        <f>IF(OR($A410="",$C410=""),"",IF(OR($C410&amp;"|"&amp;$D410="",COUNTIF(ListeIzinliGecis,$C410&amp;"|"&amp;$D410)&gt;0),"","GEÇERSİZ GEÇİŞ"))</f>
        <v/>
      </c>
      <c r="K410" s="24">
        <f>IF($A410="","",IF(OR($E410="",$G410=""),"",IF(ABS($G410-$E410)&gt;zincirTolerans,"ZİNCİR KIRIK","OK")))</f>
        <v/>
      </c>
      <c r="L410" s="24">
        <f>IF($A410="","",1)</f>
        <v/>
      </c>
    </row>
    <row r="411">
      <c r="A411" s="12" t="n"/>
      <c r="B411" s="12" t="n"/>
      <c r="C411" s="12" t="n"/>
      <c r="D411" s="12" t="n"/>
      <c r="E411" s="14" t="n"/>
      <c r="F411" s="14" t="n"/>
      <c r="G411" s="14" t="n"/>
      <c r="H411" s="15" t="n"/>
      <c r="I411" s="24">
        <f>IF($A411="","",IF($B411="","YETİM",IF(COUNTIF(tblKartlar[KartId],$B411)=0,"YETİM","")))</f>
        <v/>
      </c>
      <c r="J411" s="24">
        <f>IF(OR($A411="",$C411=""),"",IF(OR($C411&amp;"|"&amp;$D411="",COUNTIF(ListeIzinliGecis,$C411&amp;"|"&amp;$D411)&gt;0),"","GEÇERSİZ GEÇİŞ"))</f>
        <v/>
      </c>
      <c r="K411" s="24">
        <f>IF($A411="","",IF(OR($E411="",$G411=""),"",IF(ABS($G411-$E411)&gt;zincirTolerans,"ZİNCİR KIRIK","OK")))</f>
        <v/>
      </c>
      <c r="L411" s="24">
        <f>IF($A411="","",1)</f>
        <v/>
      </c>
    </row>
    <row r="412">
      <c r="A412" s="12" t="n"/>
      <c r="B412" s="12" t="n"/>
      <c r="C412" s="12" t="n"/>
      <c r="D412" s="12" t="n"/>
      <c r="E412" s="14" t="n"/>
      <c r="F412" s="14" t="n"/>
      <c r="G412" s="14" t="n"/>
      <c r="H412" s="15" t="n"/>
      <c r="I412" s="24">
        <f>IF($A412="","",IF($B412="","YETİM",IF(COUNTIF(tblKartlar[KartId],$B412)=0,"YETİM","")))</f>
        <v/>
      </c>
      <c r="J412" s="24">
        <f>IF(OR($A412="",$C412=""),"",IF(OR($C412&amp;"|"&amp;$D412="",COUNTIF(ListeIzinliGecis,$C412&amp;"|"&amp;$D412)&gt;0),"","GEÇERSİZ GEÇİŞ"))</f>
        <v/>
      </c>
      <c r="K412" s="24">
        <f>IF($A412="","",IF(OR($E412="",$G412=""),"",IF(ABS($G412-$E412)&gt;zincirTolerans,"ZİNCİR KIRIK","OK")))</f>
        <v/>
      </c>
      <c r="L412" s="24">
        <f>IF($A412="","",1)</f>
        <v/>
      </c>
    </row>
    <row r="413">
      <c r="A413" s="12" t="n"/>
      <c r="B413" s="12" t="n"/>
      <c r="C413" s="12" t="n"/>
      <c r="D413" s="12" t="n"/>
      <c r="E413" s="14" t="n"/>
      <c r="F413" s="14" t="n"/>
      <c r="G413" s="14" t="n"/>
      <c r="H413" s="15" t="n"/>
      <c r="I413" s="24">
        <f>IF($A413="","",IF($B413="","YETİM",IF(COUNTIF(tblKartlar[KartId],$B413)=0,"YETİM","")))</f>
        <v/>
      </c>
      <c r="J413" s="24">
        <f>IF(OR($A413="",$C413=""),"",IF(OR($C413&amp;"|"&amp;$D413="",COUNTIF(ListeIzinliGecis,$C413&amp;"|"&amp;$D413)&gt;0),"","GEÇERSİZ GEÇİŞ"))</f>
        <v/>
      </c>
      <c r="K413" s="24">
        <f>IF($A413="","",IF(OR($E413="",$G413=""),"",IF(ABS($G413-$E413)&gt;zincirTolerans,"ZİNCİR KIRIK","OK")))</f>
        <v/>
      </c>
      <c r="L413" s="24">
        <f>IF($A413="","",1)</f>
        <v/>
      </c>
    </row>
    <row r="414">
      <c r="A414" s="12" t="n"/>
      <c r="B414" s="12" t="n"/>
      <c r="C414" s="12" t="n"/>
      <c r="D414" s="12" t="n"/>
      <c r="E414" s="14" t="n"/>
      <c r="F414" s="14" t="n"/>
      <c r="G414" s="14" t="n"/>
      <c r="H414" s="15" t="n"/>
      <c r="I414" s="24">
        <f>IF($A414="","",IF($B414="","YETİM",IF(COUNTIF(tblKartlar[KartId],$B414)=0,"YETİM","")))</f>
        <v/>
      </c>
      <c r="J414" s="24">
        <f>IF(OR($A414="",$C414=""),"",IF(OR($C414&amp;"|"&amp;$D414="",COUNTIF(ListeIzinliGecis,$C414&amp;"|"&amp;$D414)&gt;0),"","GEÇERSİZ GEÇİŞ"))</f>
        <v/>
      </c>
      <c r="K414" s="24">
        <f>IF($A414="","",IF(OR($E414="",$G414=""),"",IF(ABS($G414-$E414)&gt;zincirTolerans,"ZİNCİR KIRIK","OK")))</f>
        <v/>
      </c>
      <c r="L414" s="24">
        <f>IF($A414="","",1)</f>
        <v/>
      </c>
    </row>
    <row r="415">
      <c r="A415" s="12" t="n"/>
      <c r="B415" s="12" t="n"/>
      <c r="C415" s="12" t="n"/>
      <c r="D415" s="12" t="n"/>
      <c r="E415" s="14" t="n"/>
      <c r="F415" s="14" t="n"/>
      <c r="G415" s="14" t="n"/>
      <c r="H415" s="15" t="n"/>
      <c r="I415" s="24">
        <f>IF($A415="","",IF($B415="","YETİM",IF(COUNTIF(tblKartlar[KartId],$B415)=0,"YETİM","")))</f>
        <v/>
      </c>
      <c r="J415" s="24">
        <f>IF(OR($A415="",$C415=""),"",IF(OR($C415&amp;"|"&amp;$D415="",COUNTIF(ListeIzinliGecis,$C415&amp;"|"&amp;$D415)&gt;0),"","GEÇERSİZ GEÇİŞ"))</f>
        <v/>
      </c>
      <c r="K415" s="24">
        <f>IF($A415="","",IF(OR($E415="",$G415=""),"",IF(ABS($G415-$E415)&gt;zincirTolerans,"ZİNCİR KIRIK","OK")))</f>
        <v/>
      </c>
      <c r="L415" s="24">
        <f>IF($A415="","",1)</f>
        <v/>
      </c>
    </row>
    <row r="416">
      <c r="A416" s="12" t="n"/>
      <c r="B416" s="12" t="n"/>
      <c r="C416" s="12" t="n"/>
      <c r="D416" s="12" t="n"/>
      <c r="E416" s="14" t="n"/>
      <c r="F416" s="14" t="n"/>
      <c r="G416" s="14" t="n"/>
      <c r="H416" s="15" t="n"/>
      <c r="I416" s="24">
        <f>IF($A416="","",IF($B416="","YETİM",IF(COUNTIF(tblKartlar[KartId],$B416)=0,"YETİM","")))</f>
        <v/>
      </c>
      <c r="J416" s="24">
        <f>IF(OR($A416="",$C416=""),"",IF(OR($C416&amp;"|"&amp;$D416="",COUNTIF(ListeIzinliGecis,$C416&amp;"|"&amp;$D416)&gt;0),"","GEÇERSİZ GEÇİŞ"))</f>
        <v/>
      </c>
      <c r="K416" s="24">
        <f>IF($A416="","",IF(OR($E416="",$G416=""),"",IF(ABS($G416-$E416)&gt;zincirTolerans,"ZİNCİR KIRIK","OK")))</f>
        <v/>
      </c>
      <c r="L416" s="24">
        <f>IF($A416="","",1)</f>
        <v/>
      </c>
    </row>
    <row r="417">
      <c r="A417" s="12" t="n"/>
      <c r="B417" s="12" t="n"/>
      <c r="C417" s="12" t="n"/>
      <c r="D417" s="12" t="n"/>
      <c r="E417" s="14" t="n"/>
      <c r="F417" s="14" t="n"/>
      <c r="G417" s="14" t="n"/>
      <c r="H417" s="15" t="n"/>
      <c r="I417" s="24">
        <f>IF($A417="","",IF($B417="","YETİM",IF(COUNTIF(tblKartlar[KartId],$B417)=0,"YETİM","")))</f>
        <v/>
      </c>
      <c r="J417" s="24">
        <f>IF(OR($A417="",$C417=""),"",IF(OR($C417&amp;"|"&amp;$D417="",COUNTIF(ListeIzinliGecis,$C417&amp;"|"&amp;$D417)&gt;0),"","GEÇERSİZ GEÇİŞ"))</f>
        <v/>
      </c>
      <c r="K417" s="24">
        <f>IF($A417="","",IF(OR($E417="",$G417=""),"",IF(ABS($G417-$E417)&gt;zincirTolerans,"ZİNCİR KIRIK","OK")))</f>
        <v/>
      </c>
      <c r="L417" s="24">
        <f>IF($A417="","",1)</f>
        <v/>
      </c>
    </row>
    <row r="418">
      <c r="A418" s="12" t="n"/>
      <c r="B418" s="12" t="n"/>
      <c r="C418" s="12" t="n"/>
      <c r="D418" s="12" t="n"/>
      <c r="E418" s="14" t="n"/>
      <c r="F418" s="14" t="n"/>
      <c r="G418" s="14" t="n"/>
      <c r="H418" s="15" t="n"/>
      <c r="I418" s="24">
        <f>IF($A418="","",IF($B418="","YETİM",IF(COUNTIF(tblKartlar[KartId],$B418)=0,"YETİM","")))</f>
        <v/>
      </c>
      <c r="J418" s="24">
        <f>IF(OR($A418="",$C418=""),"",IF(OR($C418&amp;"|"&amp;$D418="",COUNTIF(ListeIzinliGecis,$C418&amp;"|"&amp;$D418)&gt;0),"","GEÇERSİZ GEÇİŞ"))</f>
        <v/>
      </c>
      <c r="K418" s="24">
        <f>IF($A418="","",IF(OR($E418="",$G418=""),"",IF(ABS($G418-$E418)&gt;zincirTolerans,"ZİNCİR KIRIK","OK")))</f>
        <v/>
      </c>
      <c r="L418" s="24">
        <f>IF($A418="","",1)</f>
        <v/>
      </c>
    </row>
    <row r="419">
      <c r="A419" s="12" t="n"/>
      <c r="B419" s="12" t="n"/>
      <c r="C419" s="12" t="n"/>
      <c r="D419" s="12" t="n"/>
      <c r="E419" s="14" t="n"/>
      <c r="F419" s="14" t="n"/>
      <c r="G419" s="14" t="n"/>
      <c r="H419" s="15" t="n"/>
      <c r="I419" s="24">
        <f>IF($A419="","",IF($B419="","YETİM",IF(COUNTIF(tblKartlar[KartId],$B419)=0,"YETİM","")))</f>
        <v/>
      </c>
      <c r="J419" s="24">
        <f>IF(OR($A419="",$C419=""),"",IF(OR($C419&amp;"|"&amp;$D419="",COUNTIF(ListeIzinliGecis,$C419&amp;"|"&amp;$D419)&gt;0),"","GEÇERSİZ GEÇİŞ"))</f>
        <v/>
      </c>
      <c r="K419" s="24">
        <f>IF($A419="","",IF(OR($E419="",$G419=""),"",IF(ABS($G419-$E419)&gt;zincirTolerans,"ZİNCİR KIRIK","OK")))</f>
        <v/>
      </c>
      <c r="L419" s="24">
        <f>IF($A419="","",1)</f>
        <v/>
      </c>
    </row>
    <row r="420">
      <c r="A420" s="12" t="n"/>
      <c r="B420" s="12" t="n"/>
      <c r="C420" s="12" t="n"/>
      <c r="D420" s="12" t="n"/>
      <c r="E420" s="14" t="n"/>
      <c r="F420" s="14" t="n"/>
      <c r="G420" s="14" t="n"/>
      <c r="H420" s="15" t="n"/>
      <c r="I420" s="24">
        <f>IF($A420="","",IF($B420="","YETİM",IF(COUNTIF(tblKartlar[KartId],$B420)=0,"YETİM","")))</f>
        <v/>
      </c>
      <c r="J420" s="24">
        <f>IF(OR($A420="",$C420=""),"",IF(OR($C420&amp;"|"&amp;$D420="",COUNTIF(ListeIzinliGecis,$C420&amp;"|"&amp;$D420)&gt;0),"","GEÇERSİZ GEÇİŞ"))</f>
        <v/>
      </c>
      <c r="K420" s="24">
        <f>IF($A420="","",IF(OR($E420="",$G420=""),"",IF(ABS($G420-$E420)&gt;zincirTolerans,"ZİNCİR KIRIK","OK")))</f>
        <v/>
      </c>
      <c r="L420" s="24">
        <f>IF($A420="","",1)</f>
        <v/>
      </c>
    </row>
    <row r="421">
      <c r="A421" s="12" t="n"/>
      <c r="B421" s="12" t="n"/>
      <c r="C421" s="12" t="n"/>
      <c r="D421" s="12" t="n"/>
      <c r="E421" s="14" t="n"/>
      <c r="F421" s="14" t="n"/>
      <c r="G421" s="14" t="n"/>
      <c r="H421" s="15" t="n"/>
      <c r="I421" s="24">
        <f>IF($A421="","",IF($B421="","YETİM",IF(COUNTIF(tblKartlar[KartId],$B421)=0,"YETİM","")))</f>
        <v/>
      </c>
      <c r="J421" s="24">
        <f>IF(OR($A421="",$C421=""),"",IF(OR($C421&amp;"|"&amp;$D421="",COUNTIF(ListeIzinliGecis,$C421&amp;"|"&amp;$D421)&gt;0),"","GEÇERSİZ GEÇİŞ"))</f>
        <v/>
      </c>
      <c r="K421" s="24">
        <f>IF($A421="","",IF(OR($E421="",$G421=""),"",IF(ABS($G421-$E421)&gt;zincirTolerans,"ZİNCİR KIRIK","OK")))</f>
        <v/>
      </c>
      <c r="L421" s="24">
        <f>IF($A421="","",1)</f>
        <v/>
      </c>
    </row>
    <row r="422">
      <c r="A422" s="12" t="n"/>
      <c r="B422" s="12" t="n"/>
      <c r="C422" s="12" t="n"/>
      <c r="D422" s="12" t="n"/>
      <c r="E422" s="14" t="n"/>
      <c r="F422" s="14" t="n"/>
      <c r="G422" s="14" t="n"/>
      <c r="H422" s="15" t="n"/>
      <c r="I422" s="24">
        <f>IF($A422="","",IF($B422="","YETİM",IF(COUNTIF(tblKartlar[KartId],$B422)=0,"YETİM","")))</f>
        <v/>
      </c>
      <c r="J422" s="24">
        <f>IF(OR($A422="",$C422=""),"",IF(OR($C422&amp;"|"&amp;$D422="",COUNTIF(ListeIzinliGecis,$C422&amp;"|"&amp;$D422)&gt;0),"","GEÇERSİZ GEÇİŞ"))</f>
        <v/>
      </c>
      <c r="K422" s="24">
        <f>IF($A422="","",IF(OR($E422="",$G422=""),"",IF(ABS($G422-$E422)&gt;zincirTolerans,"ZİNCİR KIRIK","OK")))</f>
        <v/>
      </c>
      <c r="L422" s="24">
        <f>IF($A422="","",1)</f>
        <v/>
      </c>
    </row>
    <row r="423">
      <c r="A423" s="12" t="n"/>
      <c r="B423" s="12" t="n"/>
      <c r="C423" s="12" t="n"/>
      <c r="D423" s="12" t="n"/>
      <c r="E423" s="14" t="n"/>
      <c r="F423" s="14" t="n"/>
      <c r="G423" s="14" t="n"/>
      <c r="H423" s="15" t="n"/>
      <c r="I423" s="24">
        <f>IF($A423="","",IF($B423="","YETİM",IF(COUNTIF(tblKartlar[KartId],$B423)=0,"YETİM","")))</f>
        <v/>
      </c>
      <c r="J423" s="24">
        <f>IF(OR($A423="",$C423=""),"",IF(OR($C423&amp;"|"&amp;$D423="",COUNTIF(ListeIzinliGecis,$C423&amp;"|"&amp;$D423)&gt;0),"","GEÇERSİZ GEÇİŞ"))</f>
        <v/>
      </c>
      <c r="K423" s="24">
        <f>IF($A423="","",IF(OR($E423="",$G423=""),"",IF(ABS($G423-$E423)&gt;zincirTolerans,"ZİNCİR KIRIK","OK")))</f>
        <v/>
      </c>
      <c r="L423" s="24">
        <f>IF($A423="","",1)</f>
        <v/>
      </c>
    </row>
    <row r="424">
      <c r="A424" s="12" t="n"/>
      <c r="B424" s="12" t="n"/>
      <c r="C424" s="12" t="n"/>
      <c r="D424" s="12" t="n"/>
      <c r="E424" s="14" t="n"/>
      <c r="F424" s="14" t="n"/>
      <c r="G424" s="14" t="n"/>
      <c r="H424" s="15" t="n"/>
      <c r="I424" s="24">
        <f>IF($A424="","",IF($B424="","YETİM",IF(COUNTIF(tblKartlar[KartId],$B424)=0,"YETİM","")))</f>
        <v/>
      </c>
      <c r="J424" s="24">
        <f>IF(OR($A424="",$C424=""),"",IF(OR($C424&amp;"|"&amp;$D424="",COUNTIF(ListeIzinliGecis,$C424&amp;"|"&amp;$D424)&gt;0),"","GEÇERSİZ GEÇİŞ"))</f>
        <v/>
      </c>
      <c r="K424" s="24">
        <f>IF($A424="","",IF(OR($E424="",$G424=""),"",IF(ABS($G424-$E424)&gt;zincirTolerans,"ZİNCİR KIRIK","OK")))</f>
        <v/>
      </c>
      <c r="L424" s="24">
        <f>IF($A424="","",1)</f>
        <v/>
      </c>
    </row>
    <row r="425">
      <c r="A425" s="12" t="n"/>
      <c r="B425" s="12" t="n"/>
      <c r="C425" s="12" t="n"/>
      <c r="D425" s="12" t="n"/>
      <c r="E425" s="14" t="n"/>
      <c r="F425" s="14" t="n"/>
      <c r="G425" s="14" t="n"/>
      <c r="H425" s="15" t="n"/>
      <c r="I425" s="24">
        <f>IF($A425="","",IF($B425="","YETİM",IF(COUNTIF(tblKartlar[KartId],$B425)=0,"YETİM","")))</f>
        <v/>
      </c>
      <c r="J425" s="24">
        <f>IF(OR($A425="",$C425=""),"",IF(OR($C425&amp;"|"&amp;$D425="",COUNTIF(ListeIzinliGecis,$C425&amp;"|"&amp;$D425)&gt;0),"","GEÇERSİZ GEÇİŞ"))</f>
        <v/>
      </c>
      <c r="K425" s="24">
        <f>IF($A425="","",IF(OR($E425="",$G425=""),"",IF(ABS($G425-$E425)&gt;zincirTolerans,"ZİNCİR KIRIK","OK")))</f>
        <v/>
      </c>
      <c r="L425" s="24">
        <f>IF($A425="","",1)</f>
        <v/>
      </c>
    </row>
    <row r="426">
      <c r="A426" s="12" t="n"/>
      <c r="B426" s="12" t="n"/>
      <c r="C426" s="12" t="n"/>
      <c r="D426" s="12" t="n"/>
      <c r="E426" s="14" t="n"/>
      <c r="F426" s="14" t="n"/>
      <c r="G426" s="14" t="n"/>
      <c r="H426" s="15" t="n"/>
      <c r="I426" s="24">
        <f>IF($A426="","",IF($B426="","YETİM",IF(COUNTIF(tblKartlar[KartId],$B426)=0,"YETİM","")))</f>
        <v/>
      </c>
      <c r="J426" s="24">
        <f>IF(OR($A426="",$C426=""),"",IF(OR($C426&amp;"|"&amp;$D426="",COUNTIF(ListeIzinliGecis,$C426&amp;"|"&amp;$D426)&gt;0),"","GEÇERSİZ GEÇİŞ"))</f>
        <v/>
      </c>
      <c r="K426" s="24">
        <f>IF($A426="","",IF(OR($E426="",$G426=""),"",IF(ABS($G426-$E426)&gt;zincirTolerans,"ZİNCİR KIRIK","OK")))</f>
        <v/>
      </c>
      <c r="L426" s="24">
        <f>IF($A426="","",1)</f>
        <v/>
      </c>
    </row>
    <row r="427">
      <c r="A427" s="12" t="n"/>
      <c r="B427" s="12" t="n"/>
      <c r="C427" s="12" t="n"/>
      <c r="D427" s="12" t="n"/>
      <c r="E427" s="14" t="n"/>
      <c r="F427" s="14" t="n"/>
      <c r="G427" s="14" t="n"/>
      <c r="H427" s="15" t="n"/>
      <c r="I427" s="24">
        <f>IF($A427="","",IF($B427="","YETİM",IF(COUNTIF(tblKartlar[KartId],$B427)=0,"YETİM","")))</f>
        <v/>
      </c>
      <c r="J427" s="24">
        <f>IF(OR($A427="",$C427=""),"",IF(OR($C427&amp;"|"&amp;$D427="",COUNTIF(ListeIzinliGecis,$C427&amp;"|"&amp;$D427)&gt;0),"","GEÇERSİZ GEÇİŞ"))</f>
        <v/>
      </c>
      <c r="K427" s="24">
        <f>IF($A427="","",IF(OR($E427="",$G427=""),"",IF(ABS($G427-$E427)&gt;zincirTolerans,"ZİNCİR KIRIK","OK")))</f>
        <v/>
      </c>
      <c r="L427" s="24">
        <f>IF($A427="","",1)</f>
        <v/>
      </c>
    </row>
    <row r="428">
      <c r="A428" s="12" t="n"/>
      <c r="B428" s="12" t="n"/>
      <c r="C428" s="12" t="n"/>
      <c r="D428" s="12" t="n"/>
      <c r="E428" s="14" t="n"/>
      <c r="F428" s="14" t="n"/>
      <c r="G428" s="14" t="n"/>
      <c r="H428" s="15" t="n"/>
      <c r="I428" s="24">
        <f>IF($A428="","",IF($B428="","YETİM",IF(COUNTIF(tblKartlar[KartId],$B428)=0,"YETİM","")))</f>
        <v/>
      </c>
      <c r="J428" s="24">
        <f>IF(OR($A428="",$C428=""),"",IF(OR($C428&amp;"|"&amp;$D428="",COUNTIF(ListeIzinliGecis,$C428&amp;"|"&amp;$D428)&gt;0),"","GEÇERSİZ GEÇİŞ"))</f>
        <v/>
      </c>
      <c r="K428" s="24">
        <f>IF($A428="","",IF(OR($E428="",$G428=""),"",IF(ABS($G428-$E428)&gt;zincirTolerans,"ZİNCİR KIRIK","OK")))</f>
        <v/>
      </c>
      <c r="L428" s="24">
        <f>IF($A428="","",1)</f>
        <v/>
      </c>
    </row>
    <row r="429">
      <c r="A429" s="12" t="n"/>
      <c r="B429" s="12" t="n"/>
      <c r="C429" s="12" t="n"/>
      <c r="D429" s="12" t="n"/>
      <c r="E429" s="14" t="n"/>
      <c r="F429" s="14" t="n"/>
      <c r="G429" s="14" t="n"/>
      <c r="H429" s="15" t="n"/>
      <c r="I429" s="24">
        <f>IF($A429="","",IF($B429="","YETİM",IF(COUNTIF(tblKartlar[KartId],$B429)=0,"YETİM","")))</f>
        <v/>
      </c>
      <c r="J429" s="24">
        <f>IF(OR($A429="",$C429=""),"",IF(OR($C429&amp;"|"&amp;$D429="",COUNTIF(ListeIzinliGecis,$C429&amp;"|"&amp;$D429)&gt;0),"","GEÇERSİZ GEÇİŞ"))</f>
        <v/>
      </c>
      <c r="K429" s="24">
        <f>IF($A429="","",IF(OR($E429="",$G429=""),"",IF(ABS($G429-$E429)&gt;zincirTolerans,"ZİNCİR KIRIK","OK")))</f>
        <v/>
      </c>
      <c r="L429" s="24">
        <f>IF($A429="","",1)</f>
        <v/>
      </c>
    </row>
    <row r="430">
      <c r="A430" s="12" t="n"/>
      <c r="B430" s="12" t="n"/>
      <c r="C430" s="12" t="n"/>
      <c r="D430" s="12" t="n"/>
      <c r="E430" s="14" t="n"/>
      <c r="F430" s="14" t="n"/>
      <c r="G430" s="14" t="n"/>
      <c r="H430" s="15" t="n"/>
      <c r="I430" s="24">
        <f>IF($A430="","",IF($B430="","YETİM",IF(COUNTIF(tblKartlar[KartId],$B430)=0,"YETİM","")))</f>
        <v/>
      </c>
      <c r="J430" s="24">
        <f>IF(OR($A430="",$C430=""),"",IF(OR($C430&amp;"|"&amp;$D430="",COUNTIF(ListeIzinliGecis,$C430&amp;"|"&amp;$D430)&gt;0),"","GEÇERSİZ GEÇİŞ"))</f>
        <v/>
      </c>
      <c r="K430" s="24">
        <f>IF($A430="","",IF(OR($E430="",$G430=""),"",IF(ABS($G430-$E430)&gt;zincirTolerans,"ZİNCİR KIRIK","OK")))</f>
        <v/>
      </c>
      <c r="L430" s="24">
        <f>IF($A430="","",1)</f>
        <v/>
      </c>
    </row>
    <row r="431">
      <c r="A431" s="12" t="n"/>
      <c r="B431" s="12" t="n"/>
      <c r="C431" s="12" t="n"/>
      <c r="D431" s="12" t="n"/>
      <c r="E431" s="14" t="n"/>
      <c r="F431" s="14" t="n"/>
      <c r="G431" s="14" t="n"/>
      <c r="H431" s="15" t="n"/>
      <c r="I431" s="24">
        <f>IF($A431="","",IF($B431="","YETİM",IF(COUNTIF(tblKartlar[KartId],$B431)=0,"YETİM","")))</f>
        <v/>
      </c>
      <c r="J431" s="24">
        <f>IF(OR($A431="",$C431=""),"",IF(OR($C431&amp;"|"&amp;$D431="",COUNTIF(ListeIzinliGecis,$C431&amp;"|"&amp;$D431)&gt;0),"","GEÇERSİZ GEÇİŞ"))</f>
        <v/>
      </c>
      <c r="K431" s="24">
        <f>IF($A431="","",IF(OR($E431="",$G431=""),"",IF(ABS($G431-$E431)&gt;zincirTolerans,"ZİNCİR KIRIK","OK")))</f>
        <v/>
      </c>
      <c r="L431" s="24">
        <f>IF($A431="","",1)</f>
        <v/>
      </c>
    </row>
    <row r="432">
      <c r="A432" s="12" t="n"/>
      <c r="B432" s="12" t="n"/>
      <c r="C432" s="12" t="n"/>
      <c r="D432" s="12" t="n"/>
      <c r="E432" s="14" t="n"/>
      <c r="F432" s="14" t="n"/>
      <c r="G432" s="14" t="n"/>
      <c r="H432" s="15" t="n"/>
      <c r="I432" s="24">
        <f>IF($A432="","",IF($B432="","YETİM",IF(COUNTIF(tblKartlar[KartId],$B432)=0,"YETİM","")))</f>
        <v/>
      </c>
      <c r="J432" s="24">
        <f>IF(OR($A432="",$C432=""),"",IF(OR($C432&amp;"|"&amp;$D432="",COUNTIF(ListeIzinliGecis,$C432&amp;"|"&amp;$D432)&gt;0),"","GEÇERSİZ GEÇİŞ"))</f>
        <v/>
      </c>
      <c r="K432" s="24">
        <f>IF($A432="","",IF(OR($E432="",$G432=""),"",IF(ABS($G432-$E432)&gt;zincirTolerans,"ZİNCİR KIRIK","OK")))</f>
        <v/>
      </c>
      <c r="L432" s="24">
        <f>IF($A432="","",1)</f>
        <v/>
      </c>
    </row>
    <row r="433">
      <c r="A433" s="12" t="n"/>
      <c r="B433" s="12" t="n"/>
      <c r="C433" s="12" t="n"/>
      <c r="D433" s="12" t="n"/>
      <c r="E433" s="14" t="n"/>
      <c r="F433" s="14" t="n"/>
      <c r="G433" s="14" t="n"/>
      <c r="H433" s="15" t="n"/>
      <c r="I433" s="24">
        <f>IF($A433="","",IF($B433="","YETİM",IF(COUNTIF(tblKartlar[KartId],$B433)=0,"YETİM","")))</f>
        <v/>
      </c>
      <c r="J433" s="24">
        <f>IF(OR($A433="",$C433=""),"",IF(OR($C433&amp;"|"&amp;$D433="",COUNTIF(ListeIzinliGecis,$C433&amp;"|"&amp;$D433)&gt;0),"","GEÇERSİZ GEÇİŞ"))</f>
        <v/>
      </c>
      <c r="K433" s="24">
        <f>IF($A433="","",IF(OR($E433="",$G433=""),"",IF(ABS($G433-$E433)&gt;zincirTolerans,"ZİNCİR KIRIK","OK")))</f>
        <v/>
      </c>
      <c r="L433" s="24">
        <f>IF($A433="","",1)</f>
        <v/>
      </c>
    </row>
    <row r="434">
      <c r="A434" s="12" t="n"/>
      <c r="B434" s="12" t="n"/>
      <c r="C434" s="12" t="n"/>
      <c r="D434" s="12" t="n"/>
      <c r="E434" s="14" t="n"/>
      <c r="F434" s="14" t="n"/>
      <c r="G434" s="14" t="n"/>
      <c r="H434" s="15" t="n"/>
      <c r="I434" s="24">
        <f>IF($A434="","",IF($B434="","YETİM",IF(COUNTIF(tblKartlar[KartId],$B434)=0,"YETİM","")))</f>
        <v/>
      </c>
      <c r="J434" s="24">
        <f>IF(OR($A434="",$C434=""),"",IF(OR($C434&amp;"|"&amp;$D434="",COUNTIF(ListeIzinliGecis,$C434&amp;"|"&amp;$D434)&gt;0),"","GEÇERSİZ GEÇİŞ"))</f>
        <v/>
      </c>
      <c r="K434" s="24">
        <f>IF($A434="","",IF(OR($E434="",$G434=""),"",IF(ABS($G434-$E434)&gt;zincirTolerans,"ZİNCİR KIRIK","OK")))</f>
        <v/>
      </c>
      <c r="L434" s="24">
        <f>IF($A434="","",1)</f>
        <v/>
      </c>
    </row>
    <row r="435">
      <c r="A435" s="12" t="n"/>
      <c r="B435" s="12" t="n"/>
      <c r="C435" s="12" t="n"/>
      <c r="D435" s="12" t="n"/>
      <c r="E435" s="14" t="n"/>
      <c r="F435" s="14" t="n"/>
      <c r="G435" s="14" t="n"/>
      <c r="H435" s="15" t="n"/>
      <c r="I435" s="24">
        <f>IF($A435="","",IF($B435="","YETİM",IF(COUNTIF(tblKartlar[KartId],$B435)=0,"YETİM","")))</f>
        <v/>
      </c>
      <c r="J435" s="24">
        <f>IF(OR($A435="",$C435=""),"",IF(OR($C435&amp;"|"&amp;$D435="",COUNTIF(ListeIzinliGecis,$C435&amp;"|"&amp;$D435)&gt;0),"","GEÇERSİZ GEÇİŞ"))</f>
        <v/>
      </c>
      <c r="K435" s="24">
        <f>IF($A435="","",IF(OR($E435="",$G435=""),"",IF(ABS($G435-$E435)&gt;zincirTolerans,"ZİNCİR KIRIK","OK")))</f>
        <v/>
      </c>
      <c r="L435" s="24">
        <f>IF($A435="","",1)</f>
        <v/>
      </c>
    </row>
    <row r="436">
      <c r="A436" s="12" t="n"/>
      <c r="B436" s="12" t="n"/>
      <c r="C436" s="12" t="n"/>
      <c r="D436" s="12" t="n"/>
      <c r="E436" s="14" t="n"/>
      <c r="F436" s="14" t="n"/>
      <c r="G436" s="14" t="n"/>
      <c r="H436" s="15" t="n"/>
      <c r="I436" s="24">
        <f>IF($A436="","",IF($B436="","YETİM",IF(COUNTIF(tblKartlar[KartId],$B436)=0,"YETİM","")))</f>
        <v/>
      </c>
      <c r="J436" s="24">
        <f>IF(OR($A436="",$C436=""),"",IF(OR($C436&amp;"|"&amp;$D436="",COUNTIF(ListeIzinliGecis,$C436&amp;"|"&amp;$D436)&gt;0),"","GEÇERSİZ GEÇİŞ"))</f>
        <v/>
      </c>
      <c r="K436" s="24">
        <f>IF($A436="","",IF(OR($E436="",$G436=""),"",IF(ABS($G436-$E436)&gt;zincirTolerans,"ZİNCİR KIRIK","OK")))</f>
        <v/>
      </c>
      <c r="L436" s="24">
        <f>IF($A436="","",1)</f>
        <v/>
      </c>
    </row>
    <row r="437">
      <c r="A437" s="12" t="n"/>
      <c r="B437" s="12" t="n"/>
      <c r="C437" s="12" t="n"/>
      <c r="D437" s="12" t="n"/>
      <c r="E437" s="14" t="n"/>
      <c r="F437" s="14" t="n"/>
      <c r="G437" s="14" t="n"/>
      <c r="H437" s="15" t="n"/>
      <c r="I437" s="24">
        <f>IF($A437="","",IF($B437="","YETİM",IF(COUNTIF(tblKartlar[KartId],$B437)=0,"YETİM","")))</f>
        <v/>
      </c>
      <c r="J437" s="24">
        <f>IF(OR($A437="",$C437=""),"",IF(OR($C437&amp;"|"&amp;$D437="",COUNTIF(ListeIzinliGecis,$C437&amp;"|"&amp;$D437)&gt;0),"","GEÇERSİZ GEÇİŞ"))</f>
        <v/>
      </c>
      <c r="K437" s="24">
        <f>IF($A437="","",IF(OR($E437="",$G437=""),"",IF(ABS($G437-$E437)&gt;zincirTolerans,"ZİNCİR KIRIK","OK")))</f>
        <v/>
      </c>
      <c r="L437" s="24">
        <f>IF($A437="","",1)</f>
        <v/>
      </c>
    </row>
    <row r="438">
      <c r="A438" s="12" t="n"/>
      <c r="B438" s="12" t="n"/>
      <c r="C438" s="12" t="n"/>
      <c r="D438" s="12" t="n"/>
      <c r="E438" s="14" t="n"/>
      <c r="F438" s="14" t="n"/>
      <c r="G438" s="14" t="n"/>
      <c r="H438" s="15" t="n"/>
      <c r="I438" s="24">
        <f>IF($A438="","",IF($B438="","YETİM",IF(COUNTIF(tblKartlar[KartId],$B438)=0,"YETİM","")))</f>
        <v/>
      </c>
      <c r="J438" s="24">
        <f>IF(OR($A438="",$C438=""),"",IF(OR($C438&amp;"|"&amp;$D438="",COUNTIF(ListeIzinliGecis,$C438&amp;"|"&amp;$D438)&gt;0),"","GEÇERSİZ GEÇİŞ"))</f>
        <v/>
      </c>
      <c r="K438" s="24">
        <f>IF($A438="","",IF(OR($E438="",$G438=""),"",IF(ABS($G438-$E438)&gt;zincirTolerans,"ZİNCİR KIRIK","OK")))</f>
        <v/>
      </c>
      <c r="L438" s="24">
        <f>IF($A438="","",1)</f>
        <v/>
      </c>
    </row>
    <row r="439">
      <c r="A439" s="12" t="n"/>
      <c r="B439" s="12" t="n"/>
      <c r="C439" s="12" t="n"/>
      <c r="D439" s="12" t="n"/>
      <c r="E439" s="14" t="n"/>
      <c r="F439" s="14" t="n"/>
      <c r="G439" s="14" t="n"/>
      <c r="H439" s="15" t="n"/>
      <c r="I439" s="24">
        <f>IF($A439="","",IF($B439="","YETİM",IF(COUNTIF(tblKartlar[KartId],$B439)=0,"YETİM","")))</f>
        <v/>
      </c>
      <c r="J439" s="24">
        <f>IF(OR($A439="",$C439=""),"",IF(OR($C439&amp;"|"&amp;$D439="",COUNTIF(ListeIzinliGecis,$C439&amp;"|"&amp;$D439)&gt;0),"","GEÇERSİZ GEÇİŞ"))</f>
        <v/>
      </c>
      <c r="K439" s="24">
        <f>IF($A439="","",IF(OR($E439="",$G439=""),"",IF(ABS($G439-$E439)&gt;zincirTolerans,"ZİNCİR KIRIK","OK")))</f>
        <v/>
      </c>
      <c r="L439" s="24">
        <f>IF($A439="","",1)</f>
        <v/>
      </c>
    </row>
    <row r="440">
      <c r="A440" s="12" t="n"/>
      <c r="B440" s="12" t="n"/>
      <c r="C440" s="12" t="n"/>
      <c r="D440" s="12" t="n"/>
      <c r="E440" s="14" t="n"/>
      <c r="F440" s="14" t="n"/>
      <c r="G440" s="14" t="n"/>
      <c r="H440" s="15" t="n"/>
      <c r="I440" s="24">
        <f>IF($A440="","",IF($B440="","YETİM",IF(COUNTIF(tblKartlar[KartId],$B440)=0,"YETİM","")))</f>
        <v/>
      </c>
      <c r="J440" s="24">
        <f>IF(OR($A440="",$C440=""),"",IF(OR($C440&amp;"|"&amp;$D440="",COUNTIF(ListeIzinliGecis,$C440&amp;"|"&amp;$D440)&gt;0),"","GEÇERSİZ GEÇİŞ"))</f>
        <v/>
      </c>
      <c r="K440" s="24">
        <f>IF($A440="","",IF(OR($E440="",$G440=""),"",IF(ABS($G440-$E440)&gt;zincirTolerans,"ZİNCİR KIRIK","OK")))</f>
        <v/>
      </c>
      <c r="L440" s="24">
        <f>IF($A440="","",1)</f>
        <v/>
      </c>
    </row>
    <row r="441">
      <c r="A441" s="12" t="n"/>
      <c r="B441" s="12" t="n"/>
      <c r="C441" s="12" t="n"/>
      <c r="D441" s="12" t="n"/>
      <c r="E441" s="14" t="n"/>
      <c r="F441" s="14" t="n"/>
      <c r="G441" s="14" t="n"/>
      <c r="H441" s="15" t="n"/>
      <c r="I441" s="24">
        <f>IF($A441="","",IF($B441="","YETİM",IF(COUNTIF(tblKartlar[KartId],$B441)=0,"YETİM","")))</f>
        <v/>
      </c>
      <c r="J441" s="24">
        <f>IF(OR($A441="",$C441=""),"",IF(OR($C441&amp;"|"&amp;$D441="",COUNTIF(ListeIzinliGecis,$C441&amp;"|"&amp;$D441)&gt;0),"","GEÇERSİZ GEÇİŞ"))</f>
        <v/>
      </c>
      <c r="K441" s="24">
        <f>IF($A441="","",IF(OR($E441="",$G441=""),"",IF(ABS($G441-$E441)&gt;zincirTolerans,"ZİNCİR KIRIK","OK")))</f>
        <v/>
      </c>
      <c r="L441" s="24">
        <f>IF($A441="","",1)</f>
        <v/>
      </c>
    </row>
    <row r="442">
      <c r="A442" s="12" t="n"/>
      <c r="B442" s="12" t="n"/>
      <c r="C442" s="12" t="n"/>
      <c r="D442" s="12" t="n"/>
      <c r="E442" s="14" t="n"/>
      <c r="F442" s="14" t="n"/>
      <c r="G442" s="14" t="n"/>
      <c r="H442" s="15" t="n"/>
      <c r="I442" s="24">
        <f>IF($A442="","",IF($B442="","YETİM",IF(COUNTIF(tblKartlar[KartId],$B442)=0,"YETİM","")))</f>
        <v/>
      </c>
      <c r="J442" s="24">
        <f>IF(OR($A442="",$C442=""),"",IF(OR($C442&amp;"|"&amp;$D442="",COUNTIF(ListeIzinliGecis,$C442&amp;"|"&amp;$D442)&gt;0),"","GEÇERSİZ GEÇİŞ"))</f>
        <v/>
      </c>
      <c r="K442" s="24">
        <f>IF($A442="","",IF(OR($E442="",$G442=""),"",IF(ABS($G442-$E442)&gt;zincirTolerans,"ZİNCİR KIRIK","OK")))</f>
        <v/>
      </c>
      <c r="L442" s="24">
        <f>IF($A442="","",1)</f>
        <v/>
      </c>
    </row>
    <row r="443">
      <c r="A443" s="12" t="n"/>
      <c r="B443" s="12" t="n"/>
      <c r="C443" s="12" t="n"/>
      <c r="D443" s="12" t="n"/>
      <c r="E443" s="14" t="n"/>
      <c r="F443" s="14" t="n"/>
      <c r="G443" s="14" t="n"/>
      <c r="H443" s="15" t="n"/>
      <c r="I443" s="24">
        <f>IF($A443="","",IF($B443="","YETİM",IF(COUNTIF(tblKartlar[KartId],$B443)=0,"YETİM","")))</f>
        <v/>
      </c>
      <c r="J443" s="24">
        <f>IF(OR($A443="",$C443=""),"",IF(OR($C443&amp;"|"&amp;$D443="",COUNTIF(ListeIzinliGecis,$C443&amp;"|"&amp;$D443)&gt;0),"","GEÇERSİZ GEÇİŞ"))</f>
        <v/>
      </c>
      <c r="K443" s="24">
        <f>IF($A443="","",IF(OR($E443="",$G443=""),"",IF(ABS($G443-$E443)&gt;zincirTolerans,"ZİNCİR KIRIK","OK")))</f>
        <v/>
      </c>
      <c r="L443" s="24">
        <f>IF($A443="","",1)</f>
        <v/>
      </c>
    </row>
    <row r="444">
      <c r="A444" s="12" t="n"/>
      <c r="B444" s="12" t="n"/>
      <c r="C444" s="12" t="n"/>
      <c r="D444" s="12" t="n"/>
      <c r="E444" s="14" t="n"/>
      <c r="F444" s="14" t="n"/>
      <c r="G444" s="14" t="n"/>
      <c r="H444" s="15" t="n"/>
      <c r="I444" s="24">
        <f>IF($A444="","",IF($B444="","YETİM",IF(COUNTIF(tblKartlar[KartId],$B444)=0,"YETİM","")))</f>
        <v/>
      </c>
      <c r="J444" s="24">
        <f>IF(OR($A444="",$C444=""),"",IF(OR($C444&amp;"|"&amp;$D444="",COUNTIF(ListeIzinliGecis,$C444&amp;"|"&amp;$D444)&gt;0),"","GEÇERSİZ GEÇİŞ"))</f>
        <v/>
      </c>
      <c r="K444" s="24">
        <f>IF($A444="","",IF(OR($E444="",$G444=""),"",IF(ABS($G444-$E444)&gt;zincirTolerans,"ZİNCİR KIRIK","OK")))</f>
        <v/>
      </c>
      <c r="L444" s="24">
        <f>IF($A444="","",1)</f>
        <v/>
      </c>
    </row>
    <row r="445">
      <c r="A445" s="12" t="n"/>
      <c r="B445" s="12" t="n"/>
      <c r="C445" s="12" t="n"/>
      <c r="D445" s="12" t="n"/>
      <c r="E445" s="14" t="n"/>
      <c r="F445" s="14" t="n"/>
      <c r="G445" s="14" t="n"/>
      <c r="H445" s="15" t="n"/>
      <c r="I445" s="24">
        <f>IF($A445="","",IF($B445="","YETİM",IF(COUNTIF(tblKartlar[KartId],$B445)=0,"YETİM","")))</f>
        <v/>
      </c>
      <c r="J445" s="24">
        <f>IF(OR($A445="",$C445=""),"",IF(OR($C445&amp;"|"&amp;$D445="",COUNTIF(ListeIzinliGecis,$C445&amp;"|"&amp;$D445)&gt;0),"","GEÇERSİZ GEÇİŞ"))</f>
        <v/>
      </c>
      <c r="K445" s="24">
        <f>IF($A445="","",IF(OR($E445="",$G445=""),"",IF(ABS($G445-$E445)&gt;zincirTolerans,"ZİNCİR KIRIK","OK")))</f>
        <v/>
      </c>
      <c r="L445" s="24">
        <f>IF($A445="","",1)</f>
        <v/>
      </c>
    </row>
    <row r="446">
      <c r="A446" s="12" t="n"/>
      <c r="B446" s="12" t="n"/>
      <c r="C446" s="12" t="n"/>
      <c r="D446" s="12" t="n"/>
      <c r="E446" s="14" t="n"/>
      <c r="F446" s="14" t="n"/>
      <c r="G446" s="14" t="n"/>
      <c r="H446" s="15" t="n"/>
      <c r="I446" s="24">
        <f>IF($A446="","",IF($B446="","YETİM",IF(COUNTIF(tblKartlar[KartId],$B446)=0,"YETİM","")))</f>
        <v/>
      </c>
      <c r="J446" s="24">
        <f>IF(OR($A446="",$C446=""),"",IF(OR($C446&amp;"|"&amp;$D446="",COUNTIF(ListeIzinliGecis,$C446&amp;"|"&amp;$D446)&gt;0),"","GEÇERSİZ GEÇİŞ"))</f>
        <v/>
      </c>
      <c r="K446" s="24">
        <f>IF($A446="","",IF(OR($E446="",$G446=""),"",IF(ABS($G446-$E446)&gt;zincirTolerans,"ZİNCİR KIRIK","OK")))</f>
        <v/>
      </c>
      <c r="L446" s="24">
        <f>IF($A446="","",1)</f>
        <v/>
      </c>
    </row>
    <row r="447">
      <c r="A447" s="12" t="n"/>
      <c r="B447" s="12" t="n"/>
      <c r="C447" s="12" t="n"/>
      <c r="D447" s="12" t="n"/>
      <c r="E447" s="14" t="n"/>
      <c r="F447" s="14" t="n"/>
      <c r="G447" s="14" t="n"/>
      <c r="H447" s="15" t="n"/>
      <c r="I447" s="24">
        <f>IF($A447="","",IF($B447="","YETİM",IF(COUNTIF(tblKartlar[KartId],$B447)=0,"YETİM","")))</f>
        <v/>
      </c>
      <c r="J447" s="24">
        <f>IF(OR($A447="",$C447=""),"",IF(OR($C447&amp;"|"&amp;$D447="",COUNTIF(ListeIzinliGecis,$C447&amp;"|"&amp;$D447)&gt;0),"","GEÇERSİZ GEÇİŞ"))</f>
        <v/>
      </c>
      <c r="K447" s="24">
        <f>IF($A447="","",IF(OR($E447="",$G447=""),"",IF(ABS($G447-$E447)&gt;zincirTolerans,"ZİNCİR KIRIK","OK")))</f>
        <v/>
      </c>
      <c r="L447" s="24">
        <f>IF($A447="","",1)</f>
        <v/>
      </c>
    </row>
    <row r="448">
      <c r="A448" s="12" t="n"/>
      <c r="B448" s="12" t="n"/>
      <c r="C448" s="12" t="n"/>
      <c r="D448" s="12" t="n"/>
      <c r="E448" s="14" t="n"/>
      <c r="F448" s="14" t="n"/>
      <c r="G448" s="14" t="n"/>
      <c r="H448" s="15" t="n"/>
      <c r="I448" s="24">
        <f>IF($A448="","",IF($B448="","YETİM",IF(COUNTIF(tblKartlar[KartId],$B448)=0,"YETİM","")))</f>
        <v/>
      </c>
      <c r="J448" s="24">
        <f>IF(OR($A448="",$C448=""),"",IF(OR($C448&amp;"|"&amp;$D448="",COUNTIF(ListeIzinliGecis,$C448&amp;"|"&amp;$D448)&gt;0),"","GEÇERSİZ GEÇİŞ"))</f>
        <v/>
      </c>
      <c r="K448" s="24">
        <f>IF($A448="","",IF(OR($E448="",$G448=""),"",IF(ABS($G448-$E448)&gt;zincirTolerans,"ZİNCİR KIRIK","OK")))</f>
        <v/>
      </c>
      <c r="L448" s="24">
        <f>IF($A448="","",1)</f>
        <v/>
      </c>
    </row>
    <row r="449">
      <c r="A449" s="12" t="n"/>
      <c r="B449" s="12" t="n"/>
      <c r="C449" s="12" t="n"/>
      <c r="D449" s="12" t="n"/>
      <c r="E449" s="14" t="n"/>
      <c r="F449" s="14" t="n"/>
      <c r="G449" s="14" t="n"/>
      <c r="H449" s="15" t="n"/>
      <c r="I449" s="24">
        <f>IF($A449="","",IF($B449="","YETİM",IF(COUNTIF(tblKartlar[KartId],$B449)=0,"YETİM","")))</f>
        <v/>
      </c>
      <c r="J449" s="24">
        <f>IF(OR($A449="",$C449=""),"",IF(OR($C449&amp;"|"&amp;$D449="",COUNTIF(ListeIzinliGecis,$C449&amp;"|"&amp;$D449)&gt;0),"","GEÇERSİZ GEÇİŞ"))</f>
        <v/>
      </c>
      <c r="K449" s="24">
        <f>IF($A449="","",IF(OR($E449="",$G449=""),"",IF(ABS($G449-$E449)&gt;zincirTolerans,"ZİNCİR KIRIK","OK")))</f>
        <v/>
      </c>
      <c r="L449" s="24">
        <f>IF($A449="","",1)</f>
        <v/>
      </c>
    </row>
    <row r="450">
      <c r="A450" s="12" t="n"/>
      <c r="B450" s="12" t="n"/>
      <c r="C450" s="12" t="n"/>
      <c r="D450" s="12" t="n"/>
      <c r="E450" s="14" t="n"/>
      <c r="F450" s="14" t="n"/>
      <c r="G450" s="14" t="n"/>
      <c r="H450" s="15" t="n"/>
      <c r="I450" s="24">
        <f>IF($A450="","",IF($B450="","YETİM",IF(COUNTIF(tblKartlar[KartId],$B450)=0,"YETİM","")))</f>
        <v/>
      </c>
      <c r="J450" s="24">
        <f>IF(OR($A450="",$C450=""),"",IF(OR($C450&amp;"|"&amp;$D450="",COUNTIF(ListeIzinliGecis,$C450&amp;"|"&amp;$D450)&gt;0),"","GEÇERSİZ GEÇİŞ"))</f>
        <v/>
      </c>
      <c r="K450" s="24">
        <f>IF($A450="","",IF(OR($E450="",$G450=""),"",IF(ABS($G450-$E450)&gt;zincirTolerans,"ZİNCİR KIRIK","OK")))</f>
        <v/>
      </c>
      <c r="L450" s="24">
        <f>IF($A450="","",1)</f>
        <v/>
      </c>
    </row>
    <row r="451">
      <c r="A451" s="12" t="n"/>
      <c r="B451" s="12" t="n"/>
      <c r="C451" s="12" t="n"/>
      <c r="D451" s="12" t="n"/>
      <c r="E451" s="14" t="n"/>
      <c r="F451" s="14" t="n"/>
      <c r="G451" s="14" t="n"/>
      <c r="H451" s="15" t="n"/>
      <c r="I451" s="24">
        <f>IF($A451="","",IF($B451="","YETİM",IF(COUNTIF(tblKartlar[KartId],$B451)=0,"YETİM","")))</f>
        <v/>
      </c>
      <c r="J451" s="24">
        <f>IF(OR($A451="",$C451=""),"",IF(OR($C451&amp;"|"&amp;$D451="",COUNTIF(ListeIzinliGecis,$C451&amp;"|"&amp;$D451)&gt;0),"","GEÇERSİZ GEÇİŞ"))</f>
        <v/>
      </c>
      <c r="K451" s="24">
        <f>IF($A451="","",IF(OR($E451="",$G451=""),"",IF(ABS($G451-$E451)&gt;zincirTolerans,"ZİNCİR KIRIK","OK")))</f>
        <v/>
      </c>
      <c r="L451" s="24">
        <f>IF($A451="","",1)</f>
        <v/>
      </c>
    </row>
    <row r="452">
      <c r="A452" s="12" t="n"/>
      <c r="B452" s="12" t="n"/>
      <c r="C452" s="12" t="n"/>
      <c r="D452" s="12" t="n"/>
      <c r="E452" s="14" t="n"/>
      <c r="F452" s="14" t="n"/>
      <c r="G452" s="14" t="n"/>
      <c r="H452" s="15" t="n"/>
      <c r="I452" s="24">
        <f>IF($A452="","",IF($B452="","YETİM",IF(COUNTIF(tblKartlar[KartId],$B452)=0,"YETİM","")))</f>
        <v/>
      </c>
      <c r="J452" s="24">
        <f>IF(OR($A452="",$C452=""),"",IF(OR($C452&amp;"|"&amp;$D452="",COUNTIF(ListeIzinliGecis,$C452&amp;"|"&amp;$D452)&gt;0),"","GEÇERSİZ GEÇİŞ"))</f>
        <v/>
      </c>
      <c r="K452" s="24">
        <f>IF($A452="","",IF(OR($E452="",$G452=""),"",IF(ABS($G452-$E452)&gt;zincirTolerans,"ZİNCİR KIRIK","OK")))</f>
        <v/>
      </c>
      <c r="L452" s="24">
        <f>IF($A452="","",1)</f>
        <v/>
      </c>
    </row>
    <row r="453">
      <c r="A453" s="12" t="n"/>
      <c r="B453" s="12" t="n"/>
      <c r="C453" s="12" t="n"/>
      <c r="D453" s="12" t="n"/>
      <c r="E453" s="14" t="n"/>
      <c r="F453" s="14" t="n"/>
      <c r="G453" s="14" t="n"/>
      <c r="H453" s="15" t="n"/>
      <c r="I453" s="24">
        <f>IF($A453="","",IF($B453="","YETİM",IF(COUNTIF(tblKartlar[KartId],$B453)=0,"YETİM","")))</f>
        <v/>
      </c>
      <c r="J453" s="24">
        <f>IF(OR($A453="",$C453=""),"",IF(OR($C453&amp;"|"&amp;$D453="",COUNTIF(ListeIzinliGecis,$C453&amp;"|"&amp;$D453)&gt;0),"","GEÇERSİZ GEÇİŞ"))</f>
        <v/>
      </c>
      <c r="K453" s="24">
        <f>IF($A453="","",IF(OR($E453="",$G453=""),"",IF(ABS($G453-$E453)&gt;zincirTolerans,"ZİNCİR KIRIK","OK")))</f>
        <v/>
      </c>
      <c r="L453" s="24">
        <f>IF($A453="","",1)</f>
        <v/>
      </c>
    </row>
    <row r="454">
      <c r="A454" s="12" t="n"/>
      <c r="B454" s="12" t="n"/>
      <c r="C454" s="12" t="n"/>
      <c r="D454" s="12" t="n"/>
      <c r="E454" s="14" t="n"/>
      <c r="F454" s="14" t="n"/>
      <c r="G454" s="14" t="n"/>
      <c r="H454" s="15" t="n"/>
      <c r="I454" s="24">
        <f>IF($A454="","",IF($B454="","YETİM",IF(COUNTIF(tblKartlar[KartId],$B454)=0,"YETİM","")))</f>
        <v/>
      </c>
      <c r="J454" s="24">
        <f>IF(OR($A454="",$C454=""),"",IF(OR($C454&amp;"|"&amp;$D454="",COUNTIF(ListeIzinliGecis,$C454&amp;"|"&amp;$D454)&gt;0),"","GEÇERSİZ GEÇİŞ"))</f>
        <v/>
      </c>
      <c r="K454" s="24">
        <f>IF($A454="","",IF(OR($E454="",$G454=""),"",IF(ABS($G454-$E454)&gt;zincirTolerans,"ZİNCİR KIRIK","OK")))</f>
        <v/>
      </c>
      <c r="L454" s="24">
        <f>IF($A454="","",1)</f>
        <v/>
      </c>
    </row>
    <row r="455">
      <c r="A455" s="12" t="n"/>
      <c r="B455" s="12" t="n"/>
      <c r="C455" s="12" t="n"/>
      <c r="D455" s="12" t="n"/>
      <c r="E455" s="14" t="n"/>
      <c r="F455" s="14" t="n"/>
      <c r="G455" s="14" t="n"/>
      <c r="H455" s="15" t="n"/>
      <c r="I455" s="24">
        <f>IF($A455="","",IF($B455="","YETİM",IF(COUNTIF(tblKartlar[KartId],$B455)=0,"YETİM","")))</f>
        <v/>
      </c>
      <c r="J455" s="24">
        <f>IF(OR($A455="",$C455=""),"",IF(OR($C455&amp;"|"&amp;$D455="",COUNTIF(ListeIzinliGecis,$C455&amp;"|"&amp;$D455)&gt;0),"","GEÇERSİZ GEÇİŞ"))</f>
        <v/>
      </c>
      <c r="K455" s="24">
        <f>IF($A455="","",IF(OR($E455="",$G455=""),"",IF(ABS($G455-$E455)&gt;zincirTolerans,"ZİNCİR KIRIK","OK")))</f>
        <v/>
      </c>
      <c r="L455" s="24">
        <f>IF($A455="","",1)</f>
        <v/>
      </c>
    </row>
    <row r="456">
      <c r="A456" s="12" t="n"/>
      <c r="B456" s="12" t="n"/>
      <c r="C456" s="12" t="n"/>
      <c r="D456" s="12" t="n"/>
      <c r="E456" s="14" t="n"/>
      <c r="F456" s="14" t="n"/>
      <c r="G456" s="14" t="n"/>
      <c r="H456" s="15" t="n"/>
      <c r="I456" s="24">
        <f>IF($A456="","",IF($B456="","YETİM",IF(COUNTIF(tblKartlar[KartId],$B456)=0,"YETİM","")))</f>
        <v/>
      </c>
      <c r="J456" s="24">
        <f>IF(OR($A456="",$C456=""),"",IF(OR($C456&amp;"|"&amp;$D456="",COUNTIF(ListeIzinliGecis,$C456&amp;"|"&amp;$D456)&gt;0),"","GEÇERSİZ GEÇİŞ"))</f>
        <v/>
      </c>
      <c r="K456" s="24">
        <f>IF($A456="","",IF(OR($E456="",$G456=""),"",IF(ABS($G456-$E456)&gt;zincirTolerans,"ZİNCİR KIRIK","OK")))</f>
        <v/>
      </c>
      <c r="L456" s="24">
        <f>IF($A456="","",1)</f>
        <v/>
      </c>
    </row>
    <row r="457">
      <c r="A457" s="12" t="n"/>
      <c r="B457" s="12" t="n"/>
      <c r="C457" s="12" t="n"/>
      <c r="D457" s="12" t="n"/>
      <c r="E457" s="14" t="n"/>
      <c r="F457" s="14" t="n"/>
      <c r="G457" s="14" t="n"/>
      <c r="H457" s="15" t="n"/>
      <c r="I457" s="24">
        <f>IF($A457="","",IF($B457="","YETİM",IF(COUNTIF(tblKartlar[KartId],$B457)=0,"YETİM","")))</f>
        <v/>
      </c>
      <c r="J457" s="24">
        <f>IF(OR($A457="",$C457=""),"",IF(OR($C457&amp;"|"&amp;$D457="",COUNTIF(ListeIzinliGecis,$C457&amp;"|"&amp;$D457)&gt;0),"","GEÇERSİZ GEÇİŞ"))</f>
        <v/>
      </c>
      <c r="K457" s="24">
        <f>IF($A457="","",IF(OR($E457="",$G457=""),"",IF(ABS($G457-$E457)&gt;zincirTolerans,"ZİNCİR KIRIK","OK")))</f>
        <v/>
      </c>
      <c r="L457" s="24">
        <f>IF($A457="","",1)</f>
        <v/>
      </c>
    </row>
    <row r="458">
      <c r="A458" s="12" t="n"/>
      <c r="B458" s="12" t="n"/>
      <c r="C458" s="12" t="n"/>
      <c r="D458" s="12" t="n"/>
      <c r="E458" s="14" t="n"/>
      <c r="F458" s="14" t="n"/>
      <c r="G458" s="14" t="n"/>
      <c r="H458" s="15" t="n"/>
      <c r="I458" s="24">
        <f>IF($A458="","",IF($B458="","YETİM",IF(COUNTIF(tblKartlar[KartId],$B458)=0,"YETİM","")))</f>
        <v/>
      </c>
      <c r="J458" s="24">
        <f>IF(OR($A458="",$C458=""),"",IF(OR($C458&amp;"|"&amp;$D458="",COUNTIF(ListeIzinliGecis,$C458&amp;"|"&amp;$D458)&gt;0),"","GEÇERSİZ GEÇİŞ"))</f>
        <v/>
      </c>
      <c r="K458" s="24">
        <f>IF($A458="","",IF(OR($E458="",$G458=""),"",IF(ABS($G458-$E458)&gt;zincirTolerans,"ZİNCİR KIRIK","OK")))</f>
        <v/>
      </c>
      <c r="L458" s="24">
        <f>IF($A458="","",1)</f>
        <v/>
      </c>
    </row>
    <row r="459">
      <c r="A459" s="12" t="n"/>
      <c r="B459" s="12" t="n"/>
      <c r="C459" s="12" t="n"/>
      <c r="D459" s="12" t="n"/>
      <c r="E459" s="14" t="n"/>
      <c r="F459" s="14" t="n"/>
      <c r="G459" s="14" t="n"/>
      <c r="H459" s="15" t="n"/>
      <c r="I459" s="24">
        <f>IF($A459="","",IF($B459="","YETİM",IF(COUNTIF(tblKartlar[KartId],$B459)=0,"YETİM","")))</f>
        <v/>
      </c>
      <c r="J459" s="24">
        <f>IF(OR($A459="",$C459=""),"",IF(OR($C459&amp;"|"&amp;$D459="",COUNTIF(ListeIzinliGecis,$C459&amp;"|"&amp;$D459)&gt;0),"","GEÇERSİZ GEÇİŞ"))</f>
        <v/>
      </c>
      <c r="K459" s="24">
        <f>IF($A459="","",IF(OR($E459="",$G459=""),"",IF(ABS($G459-$E459)&gt;zincirTolerans,"ZİNCİR KIRIK","OK")))</f>
        <v/>
      </c>
      <c r="L459" s="24">
        <f>IF($A459="","",1)</f>
        <v/>
      </c>
    </row>
    <row r="460">
      <c r="A460" s="12" t="n"/>
      <c r="B460" s="12" t="n"/>
      <c r="C460" s="12" t="n"/>
      <c r="D460" s="12" t="n"/>
      <c r="E460" s="14" t="n"/>
      <c r="F460" s="14" t="n"/>
      <c r="G460" s="14" t="n"/>
      <c r="H460" s="15" t="n"/>
      <c r="I460" s="24">
        <f>IF($A460="","",IF($B460="","YETİM",IF(COUNTIF(tblKartlar[KartId],$B460)=0,"YETİM","")))</f>
        <v/>
      </c>
      <c r="J460" s="24">
        <f>IF(OR($A460="",$C460=""),"",IF(OR($C460&amp;"|"&amp;$D460="",COUNTIF(ListeIzinliGecis,$C460&amp;"|"&amp;$D460)&gt;0),"","GEÇERSİZ GEÇİŞ"))</f>
        <v/>
      </c>
      <c r="K460" s="24">
        <f>IF($A460="","",IF(OR($E460="",$G460=""),"",IF(ABS($G460-$E460)&gt;zincirTolerans,"ZİNCİR KIRIK","OK")))</f>
        <v/>
      </c>
      <c r="L460" s="24">
        <f>IF($A460="","",1)</f>
        <v/>
      </c>
    </row>
    <row r="461">
      <c r="A461" s="12" t="n"/>
      <c r="B461" s="12" t="n"/>
      <c r="C461" s="12" t="n"/>
      <c r="D461" s="12" t="n"/>
      <c r="E461" s="14" t="n"/>
      <c r="F461" s="14" t="n"/>
      <c r="G461" s="14" t="n"/>
      <c r="H461" s="15" t="n"/>
      <c r="I461" s="24">
        <f>IF($A461="","",IF($B461="","YETİM",IF(COUNTIF(tblKartlar[KartId],$B461)=0,"YETİM","")))</f>
        <v/>
      </c>
      <c r="J461" s="24">
        <f>IF(OR($A461="",$C461=""),"",IF(OR($C461&amp;"|"&amp;$D461="",COUNTIF(ListeIzinliGecis,$C461&amp;"|"&amp;$D461)&gt;0),"","GEÇERSİZ GEÇİŞ"))</f>
        <v/>
      </c>
      <c r="K461" s="24">
        <f>IF($A461="","",IF(OR($E461="",$G461=""),"",IF(ABS($G461-$E461)&gt;zincirTolerans,"ZİNCİR KIRIK","OK")))</f>
        <v/>
      </c>
      <c r="L461" s="24">
        <f>IF($A461="","",1)</f>
        <v/>
      </c>
    </row>
    <row r="462">
      <c r="A462" s="12" t="n"/>
      <c r="B462" s="12" t="n"/>
      <c r="C462" s="12" t="n"/>
      <c r="D462" s="12" t="n"/>
      <c r="E462" s="14" t="n"/>
      <c r="F462" s="14" t="n"/>
      <c r="G462" s="14" t="n"/>
      <c r="H462" s="15" t="n"/>
      <c r="I462" s="24">
        <f>IF($A462="","",IF($B462="","YETİM",IF(COUNTIF(tblKartlar[KartId],$B462)=0,"YETİM","")))</f>
        <v/>
      </c>
      <c r="J462" s="24">
        <f>IF(OR($A462="",$C462=""),"",IF(OR($C462&amp;"|"&amp;$D462="",COUNTIF(ListeIzinliGecis,$C462&amp;"|"&amp;$D462)&gt;0),"","GEÇERSİZ GEÇİŞ"))</f>
        <v/>
      </c>
      <c r="K462" s="24">
        <f>IF($A462="","",IF(OR($E462="",$G462=""),"",IF(ABS($G462-$E462)&gt;zincirTolerans,"ZİNCİR KIRIK","OK")))</f>
        <v/>
      </c>
      <c r="L462" s="24">
        <f>IF($A462="","",1)</f>
        <v/>
      </c>
    </row>
    <row r="463">
      <c r="A463" s="12" t="n"/>
      <c r="B463" s="12" t="n"/>
      <c r="C463" s="12" t="n"/>
      <c r="D463" s="12" t="n"/>
      <c r="E463" s="14" t="n"/>
      <c r="F463" s="14" t="n"/>
      <c r="G463" s="14" t="n"/>
      <c r="H463" s="15" t="n"/>
      <c r="I463" s="24">
        <f>IF($A463="","",IF($B463="","YETİM",IF(COUNTIF(tblKartlar[KartId],$B463)=0,"YETİM","")))</f>
        <v/>
      </c>
      <c r="J463" s="24">
        <f>IF(OR($A463="",$C463=""),"",IF(OR($C463&amp;"|"&amp;$D463="",COUNTIF(ListeIzinliGecis,$C463&amp;"|"&amp;$D463)&gt;0),"","GEÇERSİZ GEÇİŞ"))</f>
        <v/>
      </c>
      <c r="K463" s="24">
        <f>IF($A463="","",IF(OR($E463="",$G463=""),"",IF(ABS($G463-$E463)&gt;zincirTolerans,"ZİNCİR KIRIK","OK")))</f>
        <v/>
      </c>
      <c r="L463" s="24">
        <f>IF($A463="","",1)</f>
        <v/>
      </c>
    </row>
    <row r="464">
      <c r="A464" s="12" t="n"/>
      <c r="B464" s="12" t="n"/>
      <c r="C464" s="12" t="n"/>
      <c r="D464" s="12" t="n"/>
      <c r="E464" s="14" t="n"/>
      <c r="F464" s="14" t="n"/>
      <c r="G464" s="14" t="n"/>
      <c r="H464" s="15" t="n"/>
      <c r="I464" s="24">
        <f>IF($A464="","",IF($B464="","YETİM",IF(COUNTIF(tblKartlar[KartId],$B464)=0,"YETİM","")))</f>
        <v/>
      </c>
      <c r="J464" s="24">
        <f>IF(OR($A464="",$C464=""),"",IF(OR($C464&amp;"|"&amp;$D464="",COUNTIF(ListeIzinliGecis,$C464&amp;"|"&amp;$D464)&gt;0),"","GEÇERSİZ GEÇİŞ"))</f>
        <v/>
      </c>
      <c r="K464" s="24">
        <f>IF($A464="","",IF(OR($E464="",$G464=""),"",IF(ABS($G464-$E464)&gt;zincirTolerans,"ZİNCİR KIRIK","OK")))</f>
        <v/>
      </c>
      <c r="L464" s="24">
        <f>IF($A464="","",1)</f>
        <v/>
      </c>
    </row>
    <row r="465">
      <c r="A465" s="12" t="n"/>
      <c r="B465" s="12" t="n"/>
      <c r="C465" s="12" t="n"/>
      <c r="D465" s="12" t="n"/>
      <c r="E465" s="14" t="n"/>
      <c r="F465" s="14" t="n"/>
      <c r="G465" s="14" t="n"/>
      <c r="H465" s="15" t="n"/>
      <c r="I465" s="24">
        <f>IF($A465="","",IF($B465="","YETİM",IF(COUNTIF(tblKartlar[KartId],$B465)=0,"YETİM","")))</f>
        <v/>
      </c>
      <c r="J465" s="24">
        <f>IF(OR($A465="",$C465=""),"",IF(OR($C465&amp;"|"&amp;$D465="",COUNTIF(ListeIzinliGecis,$C465&amp;"|"&amp;$D465)&gt;0),"","GEÇERSİZ GEÇİŞ"))</f>
        <v/>
      </c>
      <c r="K465" s="24">
        <f>IF($A465="","",IF(OR($E465="",$G465=""),"",IF(ABS($G465-$E465)&gt;zincirTolerans,"ZİNCİR KIRIK","OK")))</f>
        <v/>
      </c>
      <c r="L465" s="24">
        <f>IF($A465="","",1)</f>
        <v/>
      </c>
    </row>
    <row r="466">
      <c r="A466" s="12" t="n"/>
      <c r="B466" s="12" t="n"/>
      <c r="C466" s="12" t="n"/>
      <c r="D466" s="12" t="n"/>
      <c r="E466" s="14" t="n"/>
      <c r="F466" s="14" t="n"/>
      <c r="G466" s="14" t="n"/>
      <c r="H466" s="15" t="n"/>
      <c r="I466" s="24">
        <f>IF($A466="","",IF($B466="","YETİM",IF(COUNTIF(tblKartlar[KartId],$B466)=0,"YETİM","")))</f>
        <v/>
      </c>
      <c r="J466" s="24">
        <f>IF(OR($A466="",$C466=""),"",IF(OR($C466&amp;"|"&amp;$D466="",COUNTIF(ListeIzinliGecis,$C466&amp;"|"&amp;$D466)&gt;0),"","GEÇERSİZ GEÇİŞ"))</f>
        <v/>
      </c>
      <c r="K466" s="24">
        <f>IF($A466="","",IF(OR($E466="",$G466=""),"",IF(ABS($G466-$E466)&gt;zincirTolerans,"ZİNCİR KIRIK","OK")))</f>
        <v/>
      </c>
      <c r="L466" s="24">
        <f>IF($A466="","",1)</f>
        <v/>
      </c>
    </row>
    <row r="467">
      <c r="A467" s="12" t="n"/>
      <c r="B467" s="12" t="n"/>
      <c r="C467" s="12" t="n"/>
      <c r="D467" s="12" t="n"/>
      <c r="E467" s="14" t="n"/>
      <c r="F467" s="14" t="n"/>
      <c r="G467" s="14" t="n"/>
      <c r="H467" s="15" t="n"/>
      <c r="I467" s="24">
        <f>IF($A467="","",IF($B467="","YETİM",IF(COUNTIF(tblKartlar[KartId],$B467)=0,"YETİM","")))</f>
        <v/>
      </c>
      <c r="J467" s="24">
        <f>IF(OR($A467="",$C467=""),"",IF(OR($C467&amp;"|"&amp;$D467="",COUNTIF(ListeIzinliGecis,$C467&amp;"|"&amp;$D467)&gt;0),"","GEÇERSİZ GEÇİŞ"))</f>
        <v/>
      </c>
      <c r="K467" s="24">
        <f>IF($A467="","",IF(OR($E467="",$G467=""),"",IF(ABS($G467-$E467)&gt;zincirTolerans,"ZİNCİR KIRIK","OK")))</f>
        <v/>
      </c>
      <c r="L467" s="24">
        <f>IF($A467="","",1)</f>
        <v/>
      </c>
    </row>
    <row r="468">
      <c r="A468" s="12" t="n"/>
      <c r="B468" s="12" t="n"/>
      <c r="C468" s="12" t="n"/>
      <c r="D468" s="12" t="n"/>
      <c r="E468" s="14" t="n"/>
      <c r="F468" s="14" t="n"/>
      <c r="G468" s="14" t="n"/>
      <c r="H468" s="15" t="n"/>
      <c r="I468" s="24">
        <f>IF($A468="","",IF($B468="","YETİM",IF(COUNTIF(tblKartlar[KartId],$B468)=0,"YETİM","")))</f>
        <v/>
      </c>
      <c r="J468" s="24">
        <f>IF(OR($A468="",$C468=""),"",IF(OR($C468&amp;"|"&amp;$D468="",COUNTIF(ListeIzinliGecis,$C468&amp;"|"&amp;$D468)&gt;0),"","GEÇERSİZ GEÇİŞ"))</f>
        <v/>
      </c>
      <c r="K468" s="24">
        <f>IF($A468="","",IF(OR($E468="",$G468=""),"",IF(ABS($G468-$E468)&gt;zincirTolerans,"ZİNCİR KIRIK","OK")))</f>
        <v/>
      </c>
      <c r="L468" s="24">
        <f>IF($A468="","",1)</f>
        <v/>
      </c>
    </row>
    <row r="469">
      <c r="A469" s="12" t="n"/>
      <c r="B469" s="12" t="n"/>
      <c r="C469" s="12" t="n"/>
      <c r="D469" s="12" t="n"/>
      <c r="E469" s="14" t="n"/>
      <c r="F469" s="14" t="n"/>
      <c r="G469" s="14" t="n"/>
      <c r="H469" s="15" t="n"/>
      <c r="I469" s="24">
        <f>IF($A469="","",IF($B469="","YETİM",IF(COUNTIF(tblKartlar[KartId],$B469)=0,"YETİM","")))</f>
        <v/>
      </c>
      <c r="J469" s="24">
        <f>IF(OR($A469="",$C469=""),"",IF(OR($C469&amp;"|"&amp;$D469="",COUNTIF(ListeIzinliGecis,$C469&amp;"|"&amp;$D469)&gt;0),"","GEÇERSİZ GEÇİŞ"))</f>
        <v/>
      </c>
      <c r="K469" s="24">
        <f>IF($A469="","",IF(OR($E469="",$G469=""),"",IF(ABS($G469-$E469)&gt;zincirTolerans,"ZİNCİR KIRIK","OK")))</f>
        <v/>
      </c>
      <c r="L469" s="24">
        <f>IF($A469="","",1)</f>
        <v/>
      </c>
    </row>
    <row r="470">
      <c r="A470" s="12" t="n"/>
      <c r="B470" s="12" t="n"/>
      <c r="C470" s="12" t="n"/>
      <c r="D470" s="12" t="n"/>
      <c r="E470" s="14" t="n"/>
      <c r="F470" s="14" t="n"/>
      <c r="G470" s="14" t="n"/>
      <c r="H470" s="15" t="n"/>
      <c r="I470" s="24">
        <f>IF($A470="","",IF($B470="","YETİM",IF(COUNTIF(tblKartlar[KartId],$B470)=0,"YETİM","")))</f>
        <v/>
      </c>
      <c r="J470" s="24">
        <f>IF(OR($A470="",$C470=""),"",IF(OR($C470&amp;"|"&amp;$D470="",COUNTIF(ListeIzinliGecis,$C470&amp;"|"&amp;$D470)&gt;0),"","GEÇERSİZ GEÇİŞ"))</f>
        <v/>
      </c>
      <c r="K470" s="24">
        <f>IF($A470="","",IF(OR($E470="",$G470=""),"",IF(ABS($G470-$E470)&gt;zincirTolerans,"ZİNCİR KIRIK","OK")))</f>
        <v/>
      </c>
      <c r="L470" s="24">
        <f>IF($A470="","",1)</f>
        <v/>
      </c>
    </row>
    <row r="471">
      <c r="A471" s="12" t="n"/>
      <c r="B471" s="12" t="n"/>
      <c r="C471" s="12" t="n"/>
      <c r="D471" s="12" t="n"/>
      <c r="E471" s="14" t="n"/>
      <c r="F471" s="14" t="n"/>
      <c r="G471" s="14" t="n"/>
      <c r="H471" s="15" t="n"/>
      <c r="I471" s="24">
        <f>IF($A471="","",IF($B471="","YETİM",IF(COUNTIF(tblKartlar[KartId],$B471)=0,"YETİM","")))</f>
        <v/>
      </c>
      <c r="J471" s="24">
        <f>IF(OR($A471="",$C471=""),"",IF(OR($C471&amp;"|"&amp;$D471="",COUNTIF(ListeIzinliGecis,$C471&amp;"|"&amp;$D471)&gt;0),"","GEÇERSİZ GEÇİŞ"))</f>
        <v/>
      </c>
      <c r="K471" s="24">
        <f>IF($A471="","",IF(OR($E471="",$G471=""),"",IF(ABS($G471-$E471)&gt;zincirTolerans,"ZİNCİR KIRIK","OK")))</f>
        <v/>
      </c>
      <c r="L471" s="24">
        <f>IF($A471="","",1)</f>
        <v/>
      </c>
    </row>
    <row r="472">
      <c r="A472" s="12" t="n"/>
      <c r="B472" s="12" t="n"/>
      <c r="C472" s="12" t="n"/>
      <c r="D472" s="12" t="n"/>
      <c r="E472" s="14" t="n"/>
      <c r="F472" s="14" t="n"/>
      <c r="G472" s="14" t="n"/>
      <c r="H472" s="15" t="n"/>
      <c r="I472" s="24">
        <f>IF($A472="","",IF($B472="","YETİM",IF(COUNTIF(tblKartlar[KartId],$B472)=0,"YETİM","")))</f>
        <v/>
      </c>
      <c r="J472" s="24">
        <f>IF(OR($A472="",$C472=""),"",IF(OR($C472&amp;"|"&amp;$D472="",COUNTIF(ListeIzinliGecis,$C472&amp;"|"&amp;$D472)&gt;0),"","GEÇERSİZ GEÇİŞ"))</f>
        <v/>
      </c>
      <c r="K472" s="24">
        <f>IF($A472="","",IF(OR($E472="",$G472=""),"",IF(ABS($G472-$E472)&gt;zincirTolerans,"ZİNCİR KIRIK","OK")))</f>
        <v/>
      </c>
      <c r="L472" s="24">
        <f>IF($A472="","",1)</f>
        <v/>
      </c>
    </row>
    <row r="473">
      <c r="A473" s="12" t="n"/>
      <c r="B473" s="12" t="n"/>
      <c r="C473" s="12" t="n"/>
      <c r="D473" s="12" t="n"/>
      <c r="E473" s="14" t="n"/>
      <c r="F473" s="14" t="n"/>
      <c r="G473" s="14" t="n"/>
      <c r="H473" s="15" t="n"/>
      <c r="I473" s="24">
        <f>IF($A473="","",IF($B473="","YETİM",IF(COUNTIF(tblKartlar[KartId],$B473)=0,"YETİM","")))</f>
        <v/>
      </c>
      <c r="J473" s="24">
        <f>IF(OR($A473="",$C473=""),"",IF(OR($C473&amp;"|"&amp;$D473="",COUNTIF(ListeIzinliGecis,$C473&amp;"|"&amp;$D473)&gt;0),"","GEÇERSİZ GEÇİŞ"))</f>
        <v/>
      </c>
      <c r="K473" s="24">
        <f>IF($A473="","",IF(OR($E473="",$G473=""),"",IF(ABS($G473-$E473)&gt;zincirTolerans,"ZİNCİR KIRIK","OK")))</f>
        <v/>
      </c>
      <c r="L473" s="24">
        <f>IF($A473="","",1)</f>
        <v/>
      </c>
    </row>
    <row r="474">
      <c r="A474" s="12" t="n"/>
      <c r="B474" s="12" t="n"/>
      <c r="C474" s="12" t="n"/>
      <c r="D474" s="12" t="n"/>
      <c r="E474" s="14" t="n"/>
      <c r="F474" s="14" t="n"/>
      <c r="G474" s="14" t="n"/>
      <c r="H474" s="15" t="n"/>
      <c r="I474" s="24">
        <f>IF($A474="","",IF($B474="","YETİM",IF(COUNTIF(tblKartlar[KartId],$B474)=0,"YETİM","")))</f>
        <v/>
      </c>
      <c r="J474" s="24">
        <f>IF(OR($A474="",$C474=""),"",IF(OR($C474&amp;"|"&amp;$D474="",COUNTIF(ListeIzinliGecis,$C474&amp;"|"&amp;$D474)&gt;0),"","GEÇERSİZ GEÇİŞ"))</f>
        <v/>
      </c>
      <c r="K474" s="24">
        <f>IF($A474="","",IF(OR($E474="",$G474=""),"",IF(ABS($G474-$E474)&gt;zincirTolerans,"ZİNCİR KIRIK","OK")))</f>
        <v/>
      </c>
      <c r="L474" s="24">
        <f>IF($A474="","",1)</f>
        <v/>
      </c>
    </row>
    <row r="475">
      <c r="A475" s="12" t="n"/>
      <c r="B475" s="12" t="n"/>
      <c r="C475" s="12" t="n"/>
      <c r="D475" s="12" t="n"/>
      <c r="E475" s="14" t="n"/>
      <c r="F475" s="14" t="n"/>
      <c r="G475" s="14" t="n"/>
      <c r="H475" s="15" t="n"/>
      <c r="I475" s="24">
        <f>IF($A475="","",IF($B475="","YETİM",IF(COUNTIF(tblKartlar[KartId],$B475)=0,"YETİM","")))</f>
        <v/>
      </c>
      <c r="J475" s="24">
        <f>IF(OR($A475="",$C475=""),"",IF(OR($C475&amp;"|"&amp;$D475="",COUNTIF(ListeIzinliGecis,$C475&amp;"|"&amp;$D475)&gt;0),"","GEÇERSİZ GEÇİŞ"))</f>
        <v/>
      </c>
      <c r="K475" s="24">
        <f>IF($A475="","",IF(OR($E475="",$G475=""),"",IF(ABS($G475-$E475)&gt;zincirTolerans,"ZİNCİR KIRIK","OK")))</f>
        <v/>
      </c>
      <c r="L475" s="24">
        <f>IF($A475="","",1)</f>
        <v/>
      </c>
    </row>
    <row r="476">
      <c r="A476" s="12" t="n"/>
      <c r="B476" s="12" t="n"/>
      <c r="C476" s="12" t="n"/>
      <c r="D476" s="12" t="n"/>
      <c r="E476" s="14" t="n"/>
      <c r="F476" s="14" t="n"/>
      <c r="G476" s="14" t="n"/>
      <c r="H476" s="15" t="n"/>
      <c r="I476" s="24">
        <f>IF($A476="","",IF($B476="","YETİM",IF(COUNTIF(tblKartlar[KartId],$B476)=0,"YETİM","")))</f>
        <v/>
      </c>
      <c r="J476" s="24">
        <f>IF(OR($A476="",$C476=""),"",IF(OR($C476&amp;"|"&amp;$D476="",COUNTIF(ListeIzinliGecis,$C476&amp;"|"&amp;$D476)&gt;0),"","GEÇERSİZ GEÇİŞ"))</f>
        <v/>
      </c>
      <c r="K476" s="24">
        <f>IF($A476="","",IF(OR($E476="",$G476=""),"",IF(ABS($G476-$E476)&gt;zincirTolerans,"ZİNCİR KIRIK","OK")))</f>
        <v/>
      </c>
      <c r="L476" s="24">
        <f>IF($A476="","",1)</f>
        <v/>
      </c>
    </row>
    <row r="477">
      <c r="A477" s="12" t="n"/>
      <c r="B477" s="12" t="n"/>
      <c r="C477" s="12" t="n"/>
      <c r="D477" s="12" t="n"/>
      <c r="E477" s="14" t="n"/>
      <c r="F477" s="14" t="n"/>
      <c r="G477" s="14" t="n"/>
      <c r="H477" s="15" t="n"/>
      <c r="I477" s="24">
        <f>IF($A477="","",IF($B477="","YETİM",IF(COUNTIF(tblKartlar[KartId],$B477)=0,"YETİM","")))</f>
        <v/>
      </c>
      <c r="J477" s="24">
        <f>IF(OR($A477="",$C477=""),"",IF(OR($C477&amp;"|"&amp;$D477="",COUNTIF(ListeIzinliGecis,$C477&amp;"|"&amp;$D477)&gt;0),"","GEÇERSİZ GEÇİŞ"))</f>
        <v/>
      </c>
      <c r="K477" s="24">
        <f>IF($A477="","",IF(OR($E477="",$G477=""),"",IF(ABS($G477-$E477)&gt;zincirTolerans,"ZİNCİR KIRIK","OK")))</f>
        <v/>
      </c>
      <c r="L477" s="24">
        <f>IF($A477="","",1)</f>
        <v/>
      </c>
    </row>
    <row r="478">
      <c r="A478" s="12" t="n"/>
      <c r="B478" s="12" t="n"/>
      <c r="C478" s="12" t="n"/>
      <c r="D478" s="12" t="n"/>
      <c r="E478" s="14" t="n"/>
      <c r="F478" s="14" t="n"/>
      <c r="G478" s="14" t="n"/>
      <c r="H478" s="15" t="n"/>
      <c r="I478" s="24">
        <f>IF($A478="","",IF($B478="","YETİM",IF(COUNTIF(tblKartlar[KartId],$B478)=0,"YETİM","")))</f>
        <v/>
      </c>
      <c r="J478" s="24">
        <f>IF(OR($A478="",$C478=""),"",IF(OR($C478&amp;"|"&amp;$D478="",COUNTIF(ListeIzinliGecis,$C478&amp;"|"&amp;$D478)&gt;0),"","GEÇERSİZ GEÇİŞ"))</f>
        <v/>
      </c>
      <c r="K478" s="24">
        <f>IF($A478="","",IF(OR($E478="",$G478=""),"",IF(ABS($G478-$E478)&gt;zincirTolerans,"ZİNCİR KIRIK","OK")))</f>
        <v/>
      </c>
      <c r="L478" s="24">
        <f>IF($A478="","",1)</f>
        <v/>
      </c>
    </row>
    <row r="479">
      <c r="A479" s="12" t="n"/>
      <c r="B479" s="12" t="n"/>
      <c r="C479" s="12" t="n"/>
      <c r="D479" s="12" t="n"/>
      <c r="E479" s="14" t="n"/>
      <c r="F479" s="14" t="n"/>
      <c r="G479" s="14" t="n"/>
      <c r="H479" s="15" t="n"/>
      <c r="I479" s="24">
        <f>IF($A479="","",IF($B479="","YETİM",IF(COUNTIF(tblKartlar[KartId],$B479)=0,"YETİM","")))</f>
        <v/>
      </c>
      <c r="J479" s="24">
        <f>IF(OR($A479="",$C479=""),"",IF(OR($C479&amp;"|"&amp;$D479="",COUNTIF(ListeIzinliGecis,$C479&amp;"|"&amp;$D479)&gt;0),"","GEÇERSİZ GEÇİŞ"))</f>
        <v/>
      </c>
      <c r="K479" s="24">
        <f>IF($A479="","",IF(OR($E479="",$G479=""),"",IF(ABS($G479-$E479)&gt;zincirTolerans,"ZİNCİR KIRIK","OK")))</f>
        <v/>
      </c>
      <c r="L479" s="24">
        <f>IF($A479="","",1)</f>
        <v/>
      </c>
    </row>
    <row r="480">
      <c r="A480" s="12" t="n"/>
      <c r="B480" s="12" t="n"/>
      <c r="C480" s="12" t="n"/>
      <c r="D480" s="12" t="n"/>
      <c r="E480" s="14" t="n"/>
      <c r="F480" s="14" t="n"/>
      <c r="G480" s="14" t="n"/>
      <c r="H480" s="15" t="n"/>
      <c r="I480" s="24">
        <f>IF($A480="","",IF($B480="","YETİM",IF(COUNTIF(tblKartlar[KartId],$B480)=0,"YETİM","")))</f>
        <v/>
      </c>
      <c r="J480" s="24">
        <f>IF(OR($A480="",$C480=""),"",IF(OR($C480&amp;"|"&amp;$D480="",COUNTIF(ListeIzinliGecis,$C480&amp;"|"&amp;$D480)&gt;0),"","GEÇERSİZ GEÇİŞ"))</f>
        <v/>
      </c>
      <c r="K480" s="24">
        <f>IF($A480="","",IF(OR($E480="",$G480=""),"",IF(ABS($G480-$E480)&gt;zincirTolerans,"ZİNCİR KIRIK","OK")))</f>
        <v/>
      </c>
      <c r="L480" s="24">
        <f>IF($A480="","",1)</f>
        <v/>
      </c>
    </row>
    <row r="481">
      <c r="A481" s="12" t="n"/>
      <c r="B481" s="12" t="n"/>
      <c r="C481" s="12" t="n"/>
      <c r="D481" s="12" t="n"/>
      <c r="E481" s="14" t="n"/>
      <c r="F481" s="14" t="n"/>
      <c r="G481" s="14" t="n"/>
      <c r="H481" s="15" t="n"/>
      <c r="I481" s="24">
        <f>IF($A481="","",IF($B481="","YETİM",IF(COUNTIF(tblKartlar[KartId],$B481)=0,"YETİM","")))</f>
        <v/>
      </c>
      <c r="J481" s="24">
        <f>IF(OR($A481="",$C481=""),"",IF(OR($C481&amp;"|"&amp;$D481="",COUNTIF(ListeIzinliGecis,$C481&amp;"|"&amp;$D481)&gt;0),"","GEÇERSİZ GEÇİŞ"))</f>
        <v/>
      </c>
      <c r="K481" s="24">
        <f>IF($A481="","",IF(OR($E481="",$G481=""),"",IF(ABS($G481-$E481)&gt;zincirTolerans,"ZİNCİR KIRIK","OK")))</f>
        <v/>
      </c>
      <c r="L481" s="24">
        <f>IF($A481="","",1)</f>
        <v/>
      </c>
    </row>
    <row r="482">
      <c r="A482" s="12" t="n"/>
      <c r="B482" s="12" t="n"/>
      <c r="C482" s="12" t="n"/>
      <c r="D482" s="12" t="n"/>
      <c r="E482" s="14" t="n"/>
      <c r="F482" s="14" t="n"/>
      <c r="G482" s="14" t="n"/>
      <c r="H482" s="15" t="n"/>
      <c r="I482" s="24">
        <f>IF($A482="","",IF($B482="","YETİM",IF(COUNTIF(tblKartlar[KartId],$B482)=0,"YETİM","")))</f>
        <v/>
      </c>
      <c r="J482" s="24">
        <f>IF(OR($A482="",$C482=""),"",IF(OR($C482&amp;"|"&amp;$D482="",COUNTIF(ListeIzinliGecis,$C482&amp;"|"&amp;$D482)&gt;0),"","GEÇERSİZ GEÇİŞ"))</f>
        <v/>
      </c>
      <c r="K482" s="24">
        <f>IF($A482="","",IF(OR($E482="",$G482=""),"",IF(ABS($G482-$E482)&gt;zincirTolerans,"ZİNCİR KIRIK","OK")))</f>
        <v/>
      </c>
      <c r="L482" s="24">
        <f>IF($A482="","",1)</f>
        <v/>
      </c>
    </row>
    <row r="483">
      <c r="A483" s="12" t="n"/>
      <c r="B483" s="12" t="n"/>
      <c r="C483" s="12" t="n"/>
      <c r="D483" s="12" t="n"/>
      <c r="E483" s="14" t="n"/>
      <c r="F483" s="14" t="n"/>
      <c r="G483" s="14" t="n"/>
      <c r="H483" s="15" t="n"/>
      <c r="I483" s="24">
        <f>IF($A483="","",IF($B483="","YETİM",IF(COUNTIF(tblKartlar[KartId],$B483)=0,"YETİM","")))</f>
        <v/>
      </c>
      <c r="J483" s="24">
        <f>IF(OR($A483="",$C483=""),"",IF(OR($C483&amp;"|"&amp;$D483="",COUNTIF(ListeIzinliGecis,$C483&amp;"|"&amp;$D483)&gt;0),"","GEÇERSİZ GEÇİŞ"))</f>
        <v/>
      </c>
      <c r="K483" s="24">
        <f>IF($A483="","",IF(OR($E483="",$G483=""),"",IF(ABS($G483-$E483)&gt;zincirTolerans,"ZİNCİR KIRIK","OK")))</f>
        <v/>
      </c>
      <c r="L483" s="24">
        <f>IF($A483="","",1)</f>
        <v/>
      </c>
    </row>
    <row r="484">
      <c r="A484" s="12" t="n"/>
      <c r="B484" s="12" t="n"/>
      <c r="C484" s="12" t="n"/>
      <c r="D484" s="12" t="n"/>
      <c r="E484" s="14" t="n"/>
      <c r="F484" s="14" t="n"/>
      <c r="G484" s="14" t="n"/>
      <c r="H484" s="15" t="n"/>
      <c r="I484" s="24">
        <f>IF($A484="","",IF($B484="","YETİM",IF(COUNTIF(tblKartlar[KartId],$B484)=0,"YETİM","")))</f>
        <v/>
      </c>
      <c r="J484" s="24">
        <f>IF(OR($A484="",$C484=""),"",IF(OR($C484&amp;"|"&amp;$D484="",COUNTIF(ListeIzinliGecis,$C484&amp;"|"&amp;$D484)&gt;0),"","GEÇERSİZ GEÇİŞ"))</f>
        <v/>
      </c>
      <c r="K484" s="24">
        <f>IF($A484="","",IF(OR($E484="",$G484=""),"",IF(ABS($G484-$E484)&gt;zincirTolerans,"ZİNCİR KIRIK","OK")))</f>
        <v/>
      </c>
      <c r="L484" s="24">
        <f>IF($A484="","",1)</f>
        <v/>
      </c>
    </row>
    <row r="485">
      <c r="A485" s="12" t="n"/>
      <c r="B485" s="12" t="n"/>
      <c r="C485" s="12" t="n"/>
      <c r="D485" s="12" t="n"/>
      <c r="E485" s="14" t="n"/>
      <c r="F485" s="14" t="n"/>
      <c r="G485" s="14" t="n"/>
      <c r="H485" s="15" t="n"/>
      <c r="I485" s="24">
        <f>IF($A485="","",IF($B485="","YETİM",IF(COUNTIF(tblKartlar[KartId],$B485)=0,"YETİM","")))</f>
        <v/>
      </c>
      <c r="J485" s="24">
        <f>IF(OR($A485="",$C485=""),"",IF(OR($C485&amp;"|"&amp;$D485="",COUNTIF(ListeIzinliGecis,$C485&amp;"|"&amp;$D485)&gt;0),"","GEÇERSİZ GEÇİŞ"))</f>
        <v/>
      </c>
      <c r="K485" s="24">
        <f>IF($A485="","",IF(OR($E485="",$G485=""),"",IF(ABS($G485-$E485)&gt;zincirTolerans,"ZİNCİR KIRIK","OK")))</f>
        <v/>
      </c>
      <c r="L485" s="24">
        <f>IF($A485="","",1)</f>
        <v/>
      </c>
    </row>
    <row r="486">
      <c r="A486" s="12" t="n"/>
      <c r="B486" s="12" t="n"/>
      <c r="C486" s="12" t="n"/>
      <c r="D486" s="12" t="n"/>
      <c r="E486" s="14" t="n"/>
      <c r="F486" s="14" t="n"/>
      <c r="G486" s="14" t="n"/>
      <c r="H486" s="15" t="n"/>
      <c r="I486" s="24">
        <f>IF($A486="","",IF($B486="","YETİM",IF(COUNTIF(tblKartlar[KartId],$B486)=0,"YETİM","")))</f>
        <v/>
      </c>
      <c r="J486" s="24">
        <f>IF(OR($A486="",$C486=""),"",IF(OR($C486&amp;"|"&amp;$D486="",COUNTIF(ListeIzinliGecis,$C486&amp;"|"&amp;$D486)&gt;0),"","GEÇERSİZ GEÇİŞ"))</f>
        <v/>
      </c>
      <c r="K486" s="24">
        <f>IF($A486="","",IF(OR($E486="",$G486=""),"",IF(ABS($G486-$E486)&gt;zincirTolerans,"ZİNCİR KIRIK","OK")))</f>
        <v/>
      </c>
      <c r="L486" s="24">
        <f>IF($A486="","",1)</f>
        <v/>
      </c>
    </row>
    <row r="487">
      <c r="A487" s="12" t="n"/>
      <c r="B487" s="12" t="n"/>
      <c r="C487" s="12" t="n"/>
      <c r="D487" s="12" t="n"/>
      <c r="E487" s="14" t="n"/>
      <c r="F487" s="14" t="n"/>
      <c r="G487" s="14" t="n"/>
      <c r="H487" s="15" t="n"/>
      <c r="I487" s="24">
        <f>IF($A487="","",IF($B487="","YETİM",IF(COUNTIF(tblKartlar[KartId],$B487)=0,"YETİM","")))</f>
        <v/>
      </c>
      <c r="J487" s="24">
        <f>IF(OR($A487="",$C487=""),"",IF(OR($C487&amp;"|"&amp;$D487="",COUNTIF(ListeIzinliGecis,$C487&amp;"|"&amp;$D487)&gt;0),"","GEÇERSİZ GEÇİŞ"))</f>
        <v/>
      </c>
      <c r="K487" s="24">
        <f>IF($A487="","",IF(OR($E487="",$G487=""),"",IF(ABS($G487-$E487)&gt;zincirTolerans,"ZİNCİR KIRIK","OK")))</f>
        <v/>
      </c>
      <c r="L487" s="24">
        <f>IF($A487="","",1)</f>
        <v/>
      </c>
    </row>
    <row r="488">
      <c r="A488" s="12" t="n"/>
      <c r="B488" s="12" t="n"/>
      <c r="C488" s="12" t="n"/>
      <c r="D488" s="12" t="n"/>
      <c r="E488" s="14" t="n"/>
      <c r="F488" s="14" t="n"/>
      <c r="G488" s="14" t="n"/>
      <c r="H488" s="15" t="n"/>
      <c r="I488" s="24">
        <f>IF($A488="","",IF($B488="","YETİM",IF(COUNTIF(tblKartlar[KartId],$B488)=0,"YETİM","")))</f>
        <v/>
      </c>
      <c r="J488" s="24">
        <f>IF(OR($A488="",$C488=""),"",IF(OR($C488&amp;"|"&amp;$D488="",COUNTIF(ListeIzinliGecis,$C488&amp;"|"&amp;$D488)&gt;0),"","GEÇERSİZ GEÇİŞ"))</f>
        <v/>
      </c>
      <c r="K488" s="24">
        <f>IF($A488="","",IF(OR($E488="",$G488=""),"",IF(ABS($G488-$E488)&gt;zincirTolerans,"ZİNCİR KIRIK","OK")))</f>
        <v/>
      </c>
      <c r="L488" s="24">
        <f>IF($A488="","",1)</f>
        <v/>
      </c>
    </row>
    <row r="489">
      <c r="A489" s="12" t="n"/>
      <c r="B489" s="12" t="n"/>
      <c r="C489" s="12" t="n"/>
      <c r="D489" s="12" t="n"/>
      <c r="E489" s="14" t="n"/>
      <c r="F489" s="14" t="n"/>
      <c r="G489" s="14" t="n"/>
      <c r="H489" s="15" t="n"/>
      <c r="I489" s="24">
        <f>IF($A489="","",IF($B489="","YETİM",IF(COUNTIF(tblKartlar[KartId],$B489)=0,"YETİM","")))</f>
        <v/>
      </c>
      <c r="J489" s="24">
        <f>IF(OR($A489="",$C489=""),"",IF(OR($C489&amp;"|"&amp;$D489="",COUNTIF(ListeIzinliGecis,$C489&amp;"|"&amp;$D489)&gt;0),"","GEÇERSİZ GEÇİŞ"))</f>
        <v/>
      </c>
      <c r="K489" s="24">
        <f>IF($A489="","",IF(OR($E489="",$G489=""),"",IF(ABS($G489-$E489)&gt;zincirTolerans,"ZİNCİR KIRIK","OK")))</f>
        <v/>
      </c>
      <c r="L489" s="24">
        <f>IF($A489="","",1)</f>
        <v/>
      </c>
    </row>
    <row r="490">
      <c r="A490" s="12" t="n"/>
      <c r="B490" s="12" t="n"/>
      <c r="C490" s="12" t="n"/>
      <c r="D490" s="12" t="n"/>
      <c r="E490" s="14" t="n"/>
      <c r="F490" s="14" t="n"/>
      <c r="G490" s="14" t="n"/>
      <c r="H490" s="15" t="n"/>
      <c r="I490" s="24">
        <f>IF($A490="","",IF($B490="","YETİM",IF(COUNTIF(tblKartlar[KartId],$B490)=0,"YETİM","")))</f>
        <v/>
      </c>
      <c r="J490" s="24">
        <f>IF(OR($A490="",$C490=""),"",IF(OR($C490&amp;"|"&amp;$D490="",COUNTIF(ListeIzinliGecis,$C490&amp;"|"&amp;$D490)&gt;0),"","GEÇERSİZ GEÇİŞ"))</f>
        <v/>
      </c>
      <c r="K490" s="24">
        <f>IF($A490="","",IF(OR($E490="",$G490=""),"",IF(ABS($G490-$E490)&gt;zincirTolerans,"ZİNCİR KIRIK","OK")))</f>
        <v/>
      </c>
      <c r="L490" s="24">
        <f>IF($A490="","",1)</f>
        <v/>
      </c>
    </row>
    <row r="491">
      <c r="A491" s="12" t="n"/>
      <c r="B491" s="12" t="n"/>
      <c r="C491" s="12" t="n"/>
      <c r="D491" s="12" t="n"/>
      <c r="E491" s="14" t="n"/>
      <c r="F491" s="14" t="n"/>
      <c r="G491" s="14" t="n"/>
      <c r="H491" s="15" t="n"/>
      <c r="I491" s="24">
        <f>IF($A491="","",IF($B491="","YETİM",IF(COUNTIF(tblKartlar[KartId],$B491)=0,"YETİM","")))</f>
        <v/>
      </c>
      <c r="J491" s="24">
        <f>IF(OR($A491="",$C491=""),"",IF(OR($C491&amp;"|"&amp;$D491="",COUNTIF(ListeIzinliGecis,$C491&amp;"|"&amp;$D491)&gt;0),"","GEÇERSİZ GEÇİŞ"))</f>
        <v/>
      </c>
      <c r="K491" s="24">
        <f>IF($A491="","",IF(OR($E491="",$G491=""),"",IF(ABS($G491-$E491)&gt;zincirTolerans,"ZİNCİR KIRIK","OK")))</f>
        <v/>
      </c>
      <c r="L491" s="24">
        <f>IF($A491="","",1)</f>
        <v/>
      </c>
    </row>
    <row r="492">
      <c r="A492" s="12" t="n"/>
      <c r="B492" s="12" t="n"/>
      <c r="C492" s="12" t="n"/>
      <c r="D492" s="12" t="n"/>
      <c r="E492" s="14" t="n"/>
      <c r="F492" s="14" t="n"/>
      <c r="G492" s="14" t="n"/>
      <c r="H492" s="15" t="n"/>
      <c r="I492" s="24">
        <f>IF($A492="","",IF($B492="","YETİM",IF(COUNTIF(tblKartlar[KartId],$B492)=0,"YETİM","")))</f>
        <v/>
      </c>
      <c r="J492" s="24">
        <f>IF(OR($A492="",$C492=""),"",IF(OR($C492&amp;"|"&amp;$D492="",COUNTIF(ListeIzinliGecis,$C492&amp;"|"&amp;$D492)&gt;0),"","GEÇERSİZ GEÇİŞ"))</f>
        <v/>
      </c>
      <c r="K492" s="24">
        <f>IF($A492="","",IF(OR($E492="",$G492=""),"",IF(ABS($G492-$E492)&gt;zincirTolerans,"ZİNCİR KIRIK","OK")))</f>
        <v/>
      </c>
      <c r="L492" s="24">
        <f>IF($A492="","",1)</f>
        <v/>
      </c>
    </row>
    <row r="493">
      <c r="A493" s="12" t="n"/>
      <c r="B493" s="12" t="n"/>
      <c r="C493" s="12" t="n"/>
      <c r="D493" s="12" t="n"/>
      <c r="E493" s="14" t="n"/>
      <c r="F493" s="14" t="n"/>
      <c r="G493" s="14" t="n"/>
      <c r="H493" s="15" t="n"/>
      <c r="I493" s="24">
        <f>IF($A493="","",IF($B493="","YETİM",IF(COUNTIF(tblKartlar[KartId],$B493)=0,"YETİM","")))</f>
        <v/>
      </c>
      <c r="J493" s="24">
        <f>IF(OR($A493="",$C493=""),"",IF(OR($C493&amp;"|"&amp;$D493="",COUNTIF(ListeIzinliGecis,$C493&amp;"|"&amp;$D493)&gt;0),"","GEÇERSİZ GEÇİŞ"))</f>
        <v/>
      </c>
      <c r="K493" s="24">
        <f>IF($A493="","",IF(OR($E493="",$G493=""),"",IF(ABS($G493-$E493)&gt;zincirTolerans,"ZİNCİR KIRIK","OK")))</f>
        <v/>
      </c>
      <c r="L493" s="24">
        <f>IF($A493="","",1)</f>
        <v/>
      </c>
    </row>
    <row r="494">
      <c r="A494" s="12" t="n"/>
      <c r="B494" s="12" t="n"/>
      <c r="C494" s="12" t="n"/>
      <c r="D494" s="12" t="n"/>
      <c r="E494" s="14" t="n"/>
      <c r="F494" s="14" t="n"/>
      <c r="G494" s="14" t="n"/>
      <c r="H494" s="15" t="n"/>
      <c r="I494" s="24">
        <f>IF($A494="","",IF($B494="","YETİM",IF(COUNTIF(tblKartlar[KartId],$B494)=0,"YETİM","")))</f>
        <v/>
      </c>
      <c r="J494" s="24">
        <f>IF(OR($A494="",$C494=""),"",IF(OR($C494&amp;"|"&amp;$D494="",COUNTIF(ListeIzinliGecis,$C494&amp;"|"&amp;$D494)&gt;0),"","GEÇERSİZ GEÇİŞ"))</f>
        <v/>
      </c>
      <c r="K494" s="24">
        <f>IF($A494="","",IF(OR($E494="",$G494=""),"",IF(ABS($G494-$E494)&gt;zincirTolerans,"ZİNCİR KIRIK","OK")))</f>
        <v/>
      </c>
      <c r="L494" s="24">
        <f>IF($A494="","",1)</f>
        <v/>
      </c>
    </row>
    <row r="495">
      <c r="A495" s="12" t="n"/>
      <c r="B495" s="12" t="n"/>
      <c r="C495" s="12" t="n"/>
      <c r="D495" s="12" t="n"/>
      <c r="E495" s="14" t="n"/>
      <c r="F495" s="14" t="n"/>
      <c r="G495" s="14" t="n"/>
      <c r="H495" s="15" t="n"/>
      <c r="I495" s="24">
        <f>IF($A495="","",IF($B495="","YETİM",IF(COUNTIF(tblKartlar[KartId],$B495)=0,"YETİM","")))</f>
        <v/>
      </c>
      <c r="J495" s="24">
        <f>IF(OR($A495="",$C495=""),"",IF(OR($C495&amp;"|"&amp;$D495="",COUNTIF(ListeIzinliGecis,$C495&amp;"|"&amp;$D495)&gt;0),"","GEÇERSİZ GEÇİŞ"))</f>
        <v/>
      </c>
      <c r="K495" s="24">
        <f>IF($A495="","",IF(OR($E495="",$G495=""),"",IF(ABS($G495-$E495)&gt;zincirTolerans,"ZİNCİR KIRIK","OK")))</f>
        <v/>
      </c>
      <c r="L495" s="24">
        <f>IF($A495="","",1)</f>
        <v/>
      </c>
    </row>
    <row r="496">
      <c r="A496" s="12" t="n"/>
      <c r="B496" s="12" t="n"/>
      <c r="C496" s="12" t="n"/>
      <c r="D496" s="12" t="n"/>
      <c r="E496" s="14" t="n"/>
      <c r="F496" s="14" t="n"/>
      <c r="G496" s="14" t="n"/>
      <c r="H496" s="15" t="n"/>
      <c r="I496" s="24">
        <f>IF($A496="","",IF($B496="","YETİM",IF(COUNTIF(tblKartlar[KartId],$B496)=0,"YETİM","")))</f>
        <v/>
      </c>
      <c r="J496" s="24">
        <f>IF(OR($A496="",$C496=""),"",IF(OR($C496&amp;"|"&amp;$D496="",COUNTIF(ListeIzinliGecis,$C496&amp;"|"&amp;$D496)&gt;0),"","GEÇERSİZ GEÇİŞ"))</f>
        <v/>
      </c>
      <c r="K496" s="24">
        <f>IF($A496="","",IF(OR($E496="",$G496=""),"",IF(ABS($G496-$E496)&gt;zincirTolerans,"ZİNCİR KIRIK","OK")))</f>
        <v/>
      </c>
      <c r="L496" s="24">
        <f>IF($A496="","",1)</f>
        <v/>
      </c>
    </row>
    <row r="497">
      <c r="A497" s="12" t="n"/>
      <c r="B497" s="12" t="n"/>
      <c r="C497" s="12" t="n"/>
      <c r="D497" s="12" t="n"/>
      <c r="E497" s="14" t="n"/>
      <c r="F497" s="14" t="n"/>
      <c r="G497" s="14" t="n"/>
      <c r="H497" s="15" t="n"/>
      <c r="I497" s="24">
        <f>IF($A497="","",IF($B497="","YETİM",IF(COUNTIF(tblKartlar[KartId],$B497)=0,"YETİM","")))</f>
        <v/>
      </c>
      <c r="J497" s="24">
        <f>IF(OR($A497="",$C497=""),"",IF(OR($C497&amp;"|"&amp;$D497="",COUNTIF(ListeIzinliGecis,$C497&amp;"|"&amp;$D497)&gt;0),"","GEÇERSİZ GEÇİŞ"))</f>
        <v/>
      </c>
      <c r="K497" s="24">
        <f>IF($A497="","",IF(OR($E497="",$G497=""),"",IF(ABS($G497-$E497)&gt;zincirTolerans,"ZİNCİR KIRIK","OK")))</f>
        <v/>
      </c>
      <c r="L497" s="24">
        <f>IF($A497="","",1)</f>
        <v/>
      </c>
    </row>
    <row r="498">
      <c r="A498" s="12" t="n"/>
      <c r="B498" s="12" t="n"/>
      <c r="C498" s="12" t="n"/>
      <c r="D498" s="12" t="n"/>
      <c r="E498" s="14" t="n"/>
      <c r="F498" s="14" t="n"/>
      <c r="G498" s="14" t="n"/>
      <c r="H498" s="15" t="n"/>
      <c r="I498" s="24">
        <f>IF($A498="","",IF($B498="","YETİM",IF(COUNTIF(tblKartlar[KartId],$B498)=0,"YETİM","")))</f>
        <v/>
      </c>
      <c r="J498" s="24">
        <f>IF(OR($A498="",$C498=""),"",IF(OR($C498&amp;"|"&amp;$D498="",COUNTIF(ListeIzinliGecis,$C498&amp;"|"&amp;$D498)&gt;0),"","GEÇERSİZ GEÇİŞ"))</f>
        <v/>
      </c>
      <c r="K498" s="24">
        <f>IF($A498="","",IF(OR($E498="",$G498=""),"",IF(ABS($G498-$E498)&gt;zincirTolerans,"ZİNCİR KIRIK","OK")))</f>
        <v/>
      </c>
      <c r="L498" s="24">
        <f>IF($A498="","",1)</f>
        <v/>
      </c>
    </row>
    <row r="499">
      <c r="A499" s="12" t="n"/>
      <c r="B499" s="12" t="n"/>
      <c r="C499" s="12" t="n"/>
      <c r="D499" s="12" t="n"/>
      <c r="E499" s="14" t="n"/>
      <c r="F499" s="14" t="n"/>
      <c r="G499" s="14" t="n"/>
      <c r="H499" s="15" t="n"/>
      <c r="I499" s="24">
        <f>IF($A499="","",IF($B499="","YETİM",IF(COUNTIF(tblKartlar[KartId],$B499)=0,"YETİM","")))</f>
        <v/>
      </c>
      <c r="J499" s="24">
        <f>IF(OR($A499="",$C499=""),"",IF(OR($C499&amp;"|"&amp;$D499="",COUNTIF(ListeIzinliGecis,$C499&amp;"|"&amp;$D499)&gt;0),"","GEÇERSİZ GEÇİŞ"))</f>
        <v/>
      </c>
      <c r="K499" s="24">
        <f>IF($A499="","",IF(OR($E499="",$G499=""),"",IF(ABS($G499-$E499)&gt;zincirTolerans,"ZİNCİR KIRIK","OK")))</f>
        <v/>
      </c>
      <c r="L499" s="24">
        <f>IF($A499="","",1)</f>
        <v/>
      </c>
    </row>
    <row r="500">
      <c r="A500" s="12" t="n"/>
      <c r="B500" s="12" t="n"/>
      <c r="C500" s="12" t="n"/>
      <c r="D500" s="12" t="n"/>
      <c r="E500" s="14" t="n"/>
      <c r="F500" s="14" t="n"/>
      <c r="G500" s="14" t="n"/>
      <c r="H500" s="15" t="n"/>
      <c r="I500" s="24">
        <f>IF($A500="","",IF($B500="","YETİM",IF(COUNTIF(tblKartlar[KartId],$B500)=0,"YETİM","")))</f>
        <v/>
      </c>
      <c r="J500" s="24">
        <f>IF(OR($A500="",$C500=""),"",IF(OR($C500&amp;"|"&amp;$D500="",COUNTIF(ListeIzinliGecis,$C500&amp;"|"&amp;$D500)&gt;0),"","GEÇERSİZ GEÇİŞ"))</f>
        <v/>
      </c>
      <c r="K500" s="24">
        <f>IF($A500="","",IF(OR($E500="",$G500=""),"",IF(ABS($G500-$E500)&gt;zincirTolerans,"ZİNCİR KIRIK","OK")))</f>
        <v/>
      </c>
      <c r="L500" s="24">
        <f>IF($A500="","",1)</f>
        <v/>
      </c>
    </row>
    <row r="501">
      <c r="A501" s="12" t="n"/>
      <c r="B501" s="12" t="n"/>
      <c r="C501" s="12" t="n"/>
      <c r="D501" s="12" t="n"/>
      <c r="E501" s="14" t="n"/>
      <c r="F501" s="14" t="n"/>
      <c r="G501" s="14" t="n"/>
      <c r="H501" s="15" t="n"/>
      <c r="I501" s="24">
        <f>IF($A501="","",IF($B501="","YETİM",IF(COUNTIF(tblKartlar[KartId],$B501)=0,"YETİM","")))</f>
        <v/>
      </c>
      <c r="J501" s="24">
        <f>IF(OR($A501="",$C501=""),"",IF(OR($C501&amp;"|"&amp;$D501="",COUNTIF(ListeIzinliGecis,$C501&amp;"|"&amp;$D501)&gt;0),"","GEÇERSİZ GEÇİŞ"))</f>
        <v/>
      </c>
      <c r="K501" s="24">
        <f>IF($A501="","",IF(OR($E501="",$G501=""),"",IF(ABS($G501-$E501)&gt;zincirTolerans,"ZİNCİR KIRIK","OK")))</f>
        <v/>
      </c>
      <c r="L501" s="24">
        <f>IF($A501="","",1)</f>
        <v/>
      </c>
    </row>
    <row r="502">
      <c r="A502" s="12" t="n"/>
      <c r="B502" s="12" t="n"/>
      <c r="C502" s="12" t="n"/>
      <c r="D502" s="12" t="n"/>
      <c r="E502" s="14" t="n"/>
      <c r="F502" s="14" t="n"/>
      <c r="G502" s="14" t="n"/>
      <c r="H502" s="15" t="n"/>
      <c r="I502" s="24">
        <f>IF($A502="","",IF($B502="","YETİM",IF(COUNTIF(tblKartlar[KartId],$B502)=0,"YETİM","")))</f>
        <v/>
      </c>
      <c r="J502" s="24">
        <f>IF(OR($A502="",$C502=""),"",IF(OR($C502&amp;"|"&amp;$D502="",COUNTIF(ListeIzinliGecis,$C502&amp;"|"&amp;$D502)&gt;0),"","GEÇERSİZ GEÇİŞ"))</f>
        <v/>
      </c>
      <c r="K502" s="24">
        <f>IF($A502="","",IF(OR($E502="",$G502=""),"",IF(ABS($G502-$E502)&gt;zincirTolerans,"ZİNCİR KIRIK","OK")))</f>
        <v/>
      </c>
      <c r="L502" s="24">
        <f>IF($A502="","",1)</f>
        <v/>
      </c>
    </row>
    <row r="503">
      <c r="A503" s="12" t="n"/>
      <c r="B503" s="12" t="n"/>
      <c r="C503" s="12" t="n"/>
      <c r="D503" s="12" t="n"/>
      <c r="E503" s="14" t="n"/>
      <c r="F503" s="14" t="n"/>
      <c r="G503" s="14" t="n"/>
      <c r="H503" s="15" t="n"/>
      <c r="I503" s="24">
        <f>IF($A503="","",IF($B503="","YETİM",IF(COUNTIF(tblKartlar[KartId],$B503)=0,"YETİM","")))</f>
        <v/>
      </c>
      <c r="J503" s="24">
        <f>IF(OR($A503="",$C503=""),"",IF(OR($C503&amp;"|"&amp;$D503="",COUNTIF(ListeIzinliGecis,$C503&amp;"|"&amp;$D503)&gt;0),"","GEÇERSİZ GEÇİŞ"))</f>
        <v/>
      </c>
      <c r="K503" s="24">
        <f>IF($A503="","",IF(OR($E503="",$G503=""),"",IF(ABS($G503-$E503)&gt;zincirTolerans,"ZİNCİR KIRIK","OK")))</f>
        <v/>
      </c>
      <c r="L503" s="24">
        <f>IF($A503="","",1)</f>
        <v/>
      </c>
    </row>
    <row r="504">
      <c r="A504" s="12" t="n"/>
      <c r="B504" s="12" t="n"/>
      <c r="C504" s="12" t="n"/>
      <c r="D504" s="12" t="n"/>
      <c r="E504" s="14" t="n"/>
      <c r="F504" s="14" t="n"/>
      <c r="G504" s="14" t="n"/>
      <c r="H504" s="15" t="n"/>
      <c r="I504" s="24">
        <f>IF($A504="","",IF($B504="","YETİM",IF(COUNTIF(tblKartlar[KartId],$B504)=0,"YETİM","")))</f>
        <v/>
      </c>
      <c r="J504" s="24">
        <f>IF(OR($A504="",$C504=""),"",IF(OR($C504&amp;"|"&amp;$D504="",COUNTIF(ListeIzinliGecis,$C504&amp;"|"&amp;$D504)&gt;0),"","GEÇERSİZ GEÇİŞ"))</f>
        <v/>
      </c>
      <c r="K504" s="24">
        <f>IF($A504="","",IF(OR($E504="",$G504=""),"",IF(ABS($G504-$E504)&gt;zincirTolerans,"ZİNCİR KIRIK","OK")))</f>
        <v/>
      </c>
      <c r="L504" s="24">
        <f>IF($A504="","",1)</f>
        <v/>
      </c>
    </row>
    <row r="505">
      <c r="A505" s="12" t="n"/>
      <c r="B505" s="12" t="n"/>
      <c r="C505" s="12" t="n"/>
      <c r="D505" s="12" t="n"/>
      <c r="E505" s="14" t="n"/>
      <c r="F505" s="14" t="n"/>
      <c r="G505" s="14" t="n"/>
      <c r="H505" s="15" t="n"/>
      <c r="I505" s="24">
        <f>IF($A505="","",IF($B505="","YETİM",IF(COUNTIF(tblKartlar[KartId],$B505)=0,"YETİM","")))</f>
        <v/>
      </c>
      <c r="J505" s="24">
        <f>IF(OR($A505="",$C505=""),"",IF(OR($C505&amp;"|"&amp;$D505="",COUNTIF(ListeIzinliGecis,$C505&amp;"|"&amp;$D505)&gt;0),"","GEÇERSİZ GEÇİŞ"))</f>
        <v/>
      </c>
      <c r="K505" s="24">
        <f>IF($A505="","",IF(OR($E505="",$G505=""),"",IF(ABS($G505-$E505)&gt;zincirTolerans,"ZİNCİR KIRIK","OK")))</f>
        <v/>
      </c>
      <c r="L505" s="24">
        <f>IF($A505="","",1)</f>
        <v/>
      </c>
    </row>
    <row r="506">
      <c r="A506" s="12" t="n"/>
      <c r="B506" s="12" t="n"/>
      <c r="C506" s="12" t="n"/>
      <c r="D506" s="12" t="n"/>
      <c r="E506" s="14" t="n"/>
      <c r="F506" s="14" t="n"/>
      <c r="G506" s="14" t="n"/>
      <c r="H506" s="15" t="n"/>
      <c r="I506" s="24">
        <f>IF($A506="","",IF($B506="","YETİM",IF(COUNTIF(tblKartlar[KartId],$B506)=0,"YETİM","")))</f>
        <v/>
      </c>
      <c r="J506" s="24">
        <f>IF(OR($A506="",$C506=""),"",IF(OR($C506&amp;"|"&amp;$D506="",COUNTIF(ListeIzinliGecis,$C506&amp;"|"&amp;$D506)&gt;0),"","GEÇERSİZ GEÇİŞ"))</f>
        <v/>
      </c>
      <c r="K506" s="24">
        <f>IF($A506="","",IF(OR($E506="",$G506=""),"",IF(ABS($G506-$E506)&gt;zincirTolerans,"ZİNCİR KIRIK","OK")))</f>
        <v/>
      </c>
      <c r="L506" s="24">
        <f>IF($A506="","",1)</f>
        <v/>
      </c>
    </row>
    <row r="507">
      <c r="A507" s="12" t="n"/>
      <c r="B507" s="12" t="n"/>
      <c r="C507" s="12" t="n"/>
      <c r="D507" s="12" t="n"/>
      <c r="E507" s="14" t="n"/>
      <c r="F507" s="14" t="n"/>
      <c r="G507" s="14" t="n"/>
      <c r="H507" s="15" t="n"/>
      <c r="I507" s="24">
        <f>IF($A507="","",IF($B507="","YETİM",IF(COUNTIF(tblKartlar[KartId],$B507)=0,"YETİM","")))</f>
        <v/>
      </c>
      <c r="J507" s="24">
        <f>IF(OR($A507="",$C507=""),"",IF(OR($C507&amp;"|"&amp;$D507="",COUNTIF(ListeIzinliGecis,$C507&amp;"|"&amp;$D507)&gt;0),"","GEÇERSİZ GEÇİŞ"))</f>
        <v/>
      </c>
      <c r="K507" s="24">
        <f>IF($A507="","",IF(OR($E507="",$G507=""),"",IF(ABS($G507-$E507)&gt;zincirTolerans,"ZİNCİR KIRIK","OK")))</f>
        <v/>
      </c>
      <c r="L507" s="24">
        <f>IF($A507="","",1)</f>
        <v/>
      </c>
    </row>
    <row r="508">
      <c r="A508" s="12" t="n"/>
      <c r="B508" s="12" t="n"/>
      <c r="C508" s="12" t="n"/>
      <c r="D508" s="12" t="n"/>
      <c r="E508" s="14" t="n"/>
      <c r="F508" s="14" t="n"/>
      <c r="G508" s="14" t="n"/>
      <c r="H508" s="15" t="n"/>
      <c r="I508" s="24">
        <f>IF($A508="","",IF($B508="","YETİM",IF(COUNTIF(tblKartlar[KartId],$B508)=0,"YETİM","")))</f>
        <v/>
      </c>
      <c r="J508" s="24">
        <f>IF(OR($A508="",$C508=""),"",IF(OR($C508&amp;"|"&amp;$D508="",COUNTIF(ListeIzinliGecis,$C508&amp;"|"&amp;$D508)&gt;0),"","GEÇERSİZ GEÇİŞ"))</f>
        <v/>
      </c>
      <c r="K508" s="24">
        <f>IF($A508="","",IF(OR($E508="",$G508=""),"",IF(ABS($G508-$E508)&gt;zincirTolerans,"ZİNCİR KIRIK","OK")))</f>
        <v/>
      </c>
      <c r="L508" s="24">
        <f>IF($A508="","",1)</f>
        <v/>
      </c>
    </row>
    <row r="509">
      <c r="A509" s="12" t="n"/>
      <c r="B509" s="12" t="n"/>
      <c r="C509" s="12" t="n"/>
      <c r="D509" s="12" t="n"/>
      <c r="E509" s="14" t="n"/>
      <c r="F509" s="14" t="n"/>
      <c r="G509" s="14" t="n"/>
      <c r="H509" s="15" t="n"/>
      <c r="I509" s="24">
        <f>IF($A509="","",IF($B509="","YETİM",IF(COUNTIF(tblKartlar[KartId],$B509)=0,"YETİM","")))</f>
        <v/>
      </c>
      <c r="J509" s="24">
        <f>IF(OR($A509="",$C509=""),"",IF(OR($C509&amp;"|"&amp;$D509="",COUNTIF(ListeIzinliGecis,$C509&amp;"|"&amp;$D509)&gt;0),"","GEÇERSİZ GEÇİŞ"))</f>
        <v/>
      </c>
      <c r="K509" s="24">
        <f>IF($A509="","",IF(OR($E509="",$G509=""),"",IF(ABS($G509-$E509)&gt;zincirTolerans,"ZİNCİR KIRIK","OK")))</f>
        <v/>
      </c>
      <c r="L509" s="24">
        <f>IF($A509="","",1)</f>
        <v/>
      </c>
    </row>
    <row r="510">
      <c r="A510" s="12" t="n"/>
      <c r="B510" s="12" t="n"/>
      <c r="C510" s="12" t="n"/>
      <c r="D510" s="12" t="n"/>
      <c r="E510" s="14" t="n"/>
      <c r="F510" s="14" t="n"/>
      <c r="G510" s="14" t="n"/>
      <c r="H510" s="15" t="n"/>
      <c r="I510" s="24">
        <f>IF($A510="","",IF($B510="","YETİM",IF(COUNTIF(tblKartlar[KartId],$B510)=0,"YETİM","")))</f>
        <v/>
      </c>
      <c r="J510" s="24">
        <f>IF(OR($A510="",$C510=""),"",IF(OR($C510&amp;"|"&amp;$D510="",COUNTIF(ListeIzinliGecis,$C510&amp;"|"&amp;$D510)&gt;0),"","GEÇERSİZ GEÇİŞ"))</f>
        <v/>
      </c>
      <c r="K510" s="24">
        <f>IF($A510="","",IF(OR($E510="",$G510=""),"",IF(ABS($G510-$E510)&gt;zincirTolerans,"ZİNCİR KIRIK","OK")))</f>
        <v/>
      </c>
      <c r="L510" s="24">
        <f>IF($A510="","",1)</f>
        <v/>
      </c>
    </row>
    <row r="511">
      <c r="A511" s="12" t="n"/>
      <c r="B511" s="12" t="n"/>
      <c r="C511" s="12" t="n"/>
      <c r="D511" s="12" t="n"/>
      <c r="E511" s="14" t="n"/>
      <c r="F511" s="14" t="n"/>
      <c r="G511" s="14" t="n"/>
      <c r="H511" s="15" t="n"/>
      <c r="I511" s="24">
        <f>IF($A511="","",IF($B511="","YETİM",IF(COUNTIF(tblKartlar[KartId],$B511)=0,"YETİM","")))</f>
        <v/>
      </c>
      <c r="J511" s="24">
        <f>IF(OR($A511="",$C511=""),"",IF(OR($C511&amp;"|"&amp;$D511="",COUNTIF(ListeIzinliGecis,$C511&amp;"|"&amp;$D511)&gt;0),"","GEÇERSİZ GEÇİŞ"))</f>
        <v/>
      </c>
      <c r="K511" s="24">
        <f>IF($A511="","",IF(OR($E511="",$G511=""),"",IF(ABS($G511-$E511)&gt;zincirTolerans,"ZİNCİR KIRIK","OK")))</f>
        <v/>
      </c>
      <c r="L511" s="24">
        <f>IF($A511="","",1)</f>
        <v/>
      </c>
    </row>
    <row r="512">
      <c r="A512" s="12" t="n"/>
      <c r="B512" s="12" t="n"/>
      <c r="C512" s="12" t="n"/>
      <c r="D512" s="12" t="n"/>
      <c r="E512" s="14" t="n"/>
      <c r="F512" s="14" t="n"/>
      <c r="G512" s="14" t="n"/>
      <c r="H512" s="15" t="n"/>
      <c r="I512" s="24">
        <f>IF($A512="","",IF($B512="","YETİM",IF(COUNTIF(tblKartlar[KartId],$B512)=0,"YETİM","")))</f>
        <v/>
      </c>
      <c r="J512" s="24">
        <f>IF(OR($A512="",$C512=""),"",IF(OR($C512&amp;"|"&amp;$D512="",COUNTIF(ListeIzinliGecis,$C512&amp;"|"&amp;$D512)&gt;0),"","GEÇERSİZ GEÇİŞ"))</f>
        <v/>
      </c>
      <c r="K512" s="24">
        <f>IF($A512="","",IF(OR($E512="",$G512=""),"",IF(ABS($G512-$E512)&gt;zincirTolerans,"ZİNCİR KIRIK","OK")))</f>
        <v/>
      </c>
      <c r="L512" s="24">
        <f>IF($A512="","",1)</f>
        <v/>
      </c>
    </row>
    <row r="513">
      <c r="A513" s="12" t="n"/>
      <c r="B513" s="12" t="n"/>
      <c r="C513" s="12" t="n"/>
      <c r="D513" s="12" t="n"/>
      <c r="E513" s="14" t="n"/>
      <c r="F513" s="14" t="n"/>
      <c r="G513" s="14" t="n"/>
      <c r="H513" s="15" t="n"/>
      <c r="I513" s="24">
        <f>IF($A513="","",IF($B513="","YETİM",IF(COUNTIF(tblKartlar[KartId],$B513)=0,"YETİM","")))</f>
        <v/>
      </c>
      <c r="J513" s="24">
        <f>IF(OR($A513="",$C513=""),"",IF(OR($C513&amp;"|"&amp;$D513="",COUNTIF(ListeIzinliGecis,$C513&amp;"|"&amp;$D513)&gt;0),"","GEÇERSİZ GEÇİŞ"))</f>
        <v/>
      </c>
      <c r="K513" s="24">
        <f>IF($A513="","",IF(OR($E513="",$G513=""),"",IF(ABS($G513-$E513)&gt;zincirTolerans,"ZİNCİR KIRIK","OK")))</f>
        <v/>
      </c>
      <c r="L513" s="24">
        <f>IF($A513="","",1)</f>
        <v/>
      </c>
    </row>
    <row r="514">
      <c r="A514" s="12" t="n"/>
      <c r="B514" s="12" t="n"/>
      <c r="C514" s="12" t="n"/>
      <c r="D514" s="12" t="n"/>
      <c r="E514" s="14" t="n"/>
      <c r="F514" s="14" t="n"/>
      <c r="G514" s="14" t="n"/>
      <c r="H514" s="15" t="n"/>
      <c r="I514" s="24">
        <f>IF($A514="","",IF($B514="","YETİM",IF(COUNTIF(tblKartlar[KartId],$B514)=0,"YETİM","")))</f>
        <v/>
      </c>
      <c r="J514" s="24">
        <f>IF(OR($A514="",$C514=""),"",IF(OR($C514&amp;"|"&amp;$D514="",COUNTIF(ListeIzinliGecis,$C514&amp;"|"&amp;$D514)&gt;0),"","GEÇERSİZ GEÇİŞ"))</f>
        <v/>
      </c>
      <c r="K514" s="24">
        <f>IF($A514="","",IF(OR($E514="",$G514=""),"",IF(ABS($G514-$E514)&gt;zincirTolerans,"ZİNCİR KIRIK","OK")))</f>
        <v/>
      </c>
      <c r="L514" s="24">
        <f>IF($A514="","",1)</f>
        <v/>
      </c>
    </row>
    <row r="515">
      <c r="A515" s="12" t="n"/>
      <c r="B515" s="12" t="n"/>
      <c r="C515" s="12" t="n"/>
      <c r="D515" s="12" t="n"/>
      <c r="E515" s="14" t="n"/>
      <c r="F515" s="14" t="n"/>
      <c r="G515" s="14" t="n"/>
      <c r="H515" s="15" t="n"/>
      <c r="I515" s="24">
        <f>IF($A515="","",IF($B515="","YETİM",IF(COUNTIF(tblKartlar[KartId],$B515)=0,"YETİM","")))</f>
        <v/>
      </c>
      <c r="J515" s="24">
        <f>IF(OR($A515="",$C515=""),"",IF(OR($C515&amp;"|"&amp;$D515="",COUNTIF(ListeIzinliGecis,$C515&amp;"|"&amp;$D515)&gt;0),"","GEÇERSİZ GEÇİŞ"))</f>
        <v/>
      </c>
      <c r="K515" s="24">
        <f>IF($A515="","",IF(OR($E515="",$G515=""),"",IF(ABS($G515-$E515)&gt;zincirTolerans,"ZİNCİR KIRIK","OK")))</f>
        <v/>
      </c>
      <c r="L515" s="24">
        <f>IF($A515="","",1)</f>
        <v/>
      </c>
    </row>
    <row r="516">
      <c r="A516" s="12" t="n"/>
      <c r="B516" s="12" t="n"/>
      <c r="C516" s="12" t="n"/>
      <c r="D516" s="12" t="n"/>
      <c r="E516" s="14" t="n"/>
      <c r="F516" s="14" t="n"/>
      <c r="G516" s="14" t="n"/>
      <c r="H516" s="15" t="n"/>
      <c r="I516" s="24">
        <f>IF($A516="","",IF($B516="","YETİM",IF(COUNTIF(tblKartlar[KartId],$B516)=0,"YETİM","")))</f>
        <v/>
      </c>
      <c r="J516" s="24">
        <f>IF(OR($A516="",$C516=""),"",IF(OR($C516&amp;"|"&amp;$D516="",COUNTIF(ListeIzinliGecis,$C516&amp;"|"&amp;$D516)&gt;0),"","GEÇERSİZ GEÇİŞ"))</f>
        <v/>
      </c>
      <c r="K516" s="24">
        <f>IF($A516="","",IF(OR($E516="",$G516=""),"",IF(ABS($G516-$E516)&gt;zincirTolerans,"ZİNCİR KIRIK","OK")))</f>
        <v/>
      </c>
      <c r="L516" s="24">
        <f>IF($A516="","",1)</f>
        <v/>
      </c>
    </row>
    <row r="517">
      <c r="A517" s="12" t="n"/>
      <c r="B517" s="12" t="n"/>
      <c r="C517" s="12" t="n"/>
      <c r="D517" s="12" t="n"/>
      <c r="E517" s="14" t="n"/>
      <c r="F517" s="14" t="n"/>
      <c r="G517" s="14" t="n"/>
      <c r="H517" s="15" t="n"/>
      <c r="I517" s="24">
        <f>IF($A517="","",IF($B517="","YETİM",IF(COUNTIF(tblKartlar[KartId],$B517)=0,"YETİM","")))</f>
        <v/>
      </c>
      <c r="J517" s="24">
        <f>IF(OR($A517="",$C517=""),"",IF(OR($C517&amp;"|"&amp;$D517="",COUNTIF(ListeIzinliGecis,$C517&amp;"|"&amp;$D517)&gt;0),"","GEÇERSİZ GEÇİŞ"))</f>
        <v/>
      </c>
      <c r="K517" s="24">
        <f>IF($A517="","",IF(OR($E517="",$G517=""),"",IF(ABS($G517-$E517)&gt;zincirTolerans,"ZİNCİR KIRIK","OK")))</f>
        <v/>
      </c>
      <c r="L517" s="24">
        <f>IF($A517="","",1)</f>
        <v/>
      </c>
    </row>
    <row r="518">
      <c r="A518" s="12" t="n"/>
      <c r="B518" s="12" t="n"/>
      <c r="C518" s="12" t="n"/>
      <c r="D518" s="12" t="n"/>
      <c r="E518" s="14" t="n"/>
      <c r="F518" s="14" t="n"/>
      <c r="G518" s="14" t="n"/>
      <c r="H518" s="15" t="n"/>
      <c r="I518" s="24">
        <f>IF($A518="","",IF($B518="","YETİM",IF(COUNTIF(tblKartlar[KartId],$B518)=0,"YETİM","")))</f>
        <v/>
      </c>
      <c r="J518" s="24">
        <f>IF(OR($A518="",$C518=""),"",IF(OR($C518&amp;"|"&amp;$D518="",COUNTIF(ListeIzinliGecis,$C518&amp;"|"&amp;$D518)&gt;0),"","GEÇERSİZ GEÇİŞ"))</f>
        <v/>
      </c>
      <c r="K518" s="24">
        <f>IF($A518="","",IF(OR($E518="",$G518=""),"",IF(ABS($G518-$E518)&gt;zincirTolerans,"ZİNCİR KIRIK","OK")))</f>
        <v/>
      </c>
      <c r="L518" s="24">
        <f>IF($A518="","",1)</f>
        <v/>
      </c>
    </row>
    <row r="519">
      <c r="A519" s="12" t="n"/>
      <c r="B519" s="12" t="n"/>
      <c r="C519" s="12" t="n"/>
      <c r="D519" s="12" t="n"/>
      <c r="E519" s="14" t="n"/>
      <c r="F519" s="14" t="n"/>
      <c r="G519" s="14" t="n"/>
      <c r="H519" s="15" t="n"/>
      <c r="I519" s="24">
        <f>IF($A519="","",IF($B519="","YETİM",IF(COUNTIF(tblKartlar[KartId],$B519)=0,"YETİM","")))</f>
        <v/>
      </c>
      <c r="J519" s="24">
        <f>IF(OR($A519="",$C519=""),"",IF(OR($C519&amp;"|"&amp;$D519="",COUNTIF(ListeIzinliGecis,$C519&amp;"|"&amp;$D519)&gt;0),"","GEÇERSİZ GEÇİŞ"))</f>
        <v/>
      </c>
      <c r="K519" s="24">
        <f>IF($A519="","",IF(OR($E519="",$G519=""),"",IF(ABS($G519-$E519)&gt;zincirTolerans,"ZİNCİR KIRIK","OK")))</f>
        <v/>
      </c>
      <c r="L519" s="24">
        <f>IF($A519="","",1)</f>
        <v/>
      </c>
    </row>
    <row r="520">
      <c r="A520" s="12" t="n"/>
      <c r="B520" s="12" t="n"/>
      <c r="C520" s="12" t="n"/>
      <c r="D520" s="12" t="n"/>
      <c r="E520" s="14" t="n"/>
      <c r="F520" s="14" t="n"/>
      <c r="G520" s="14" t="n"/>
      <c r="H520" s="15" t="n"/>
      <c r="I520" s="24">
        <f>IF($A520="","",IF($B520="","YETİM",IF(COUNTIF(tblKartlar[KartId],$B520)=0,"YETİM","")))</f>
        <v/>
      </c>
      <c r="J520" s="24">
        <f>IF(OR($A520="",$C520=""),"",IF(OR($C520&amp;"|"&amp;$D520="",COUNTIF(ListeIzinliGecis,$C520&amp;"|"&amp;$D520)&gt;0),"","GEÇERSİZ GEÇİŞ"))</f>
        <v/>
      </c>
      <c r="K520" s="24">
        <f>IF($A520="","",IF(OR($E520="",$G520=""),"",IF(ABS($G520-$E520)&gt;zincirTolerans,"ZİNCİR KIRIK","OK")))</f>
        <v/>
      </c>
      <c r="L520" s="24">
        <f>IF($A520="","",1)</f>
        <v/>
      </c>
    </row>
    <row r="521">
      <c r="A521" s="12" t="n"/>
      <c r="B521" s="12" t="n"/>
      <c r="C521" s="12" t="n"/>
      <c r="D521" s="12" t="n"/>
      <c r="E521" s="14" t="n"/>
      <c r="F521" s="14" t="n"/>
      <c r="G521" s="14" t="n"/>
      <c r="H521" s="15" t="n"/>
      <c r="I521" s="24">
        <f>IF($A521="","",IF($B521="","YETİM",IF(COUNTIF(tblKartlar[KartId],$B521)=0,"YETİM","")))</f>
        <v/>
      </c>
      <c r="J521" s="24">
        <f>IF(OR($A521="",$C521=""),"",IF(OR($C521&amp;"|"&amp;$D521="",COUNTIF(ListeIzinliGecis,$C521&amp;"|"&amp;$D521)&gt;0),"","GEÇERSİZ GEÇİŞ"))</f>
        <v/>
      </c>
      <c r="K521" s="24">
        <f>IF($A521="","",IF(OR($E521="",$G521=""),"",IF(ABS($G521-$E521)&gt;zincirTolerans,"ZİNCİR KIRIK","OK")))</f>
        <v/>
      </c>
      <c r="L521" s="24">
        <f>IF($A521="","",1)</f>
        <v/>
      </c>
    </row>
    <row r="522">
      <c r="A522" s="12" t="n"/>
      <c r="B522" s="12" t="n"/>
      <c r="C522" s="12" t="n"/>
      <c r="D522" s="12" t="n"/>
      <c r="E522" s="14" t="n"/>
      <c r="F522" s="14" t="n"/>
      <c r="G522" s="14" t="n"/>
      <c r="H522" s="15" t="n"/>
      <c r="I522" s="24">
        <f>IF($A522="","",IF($B522="","YETİM",IF(COUNTIF(tblKartlar[KartId],$B522)=0,"YETİM","")))</f>
        <v/>
      </c>
      <c r="J522" s="24">
        <f>IF(OR($A522="",$C522=""),"",IF(OR($C522&amp;"|"&amp;$D522="",COUNTIF(ListeIzinliGecis,$C522&amp;"|"&amp;$D522)&gt;0),"","GEÇERSİZ GEÇİŞ"))</f>
        <v/>
      </c>
      <c r="K522" s="24">
        <f>IF($A522="","",IF(OR($E522="",$G522=""),"",IF(ABS($G522-$E522)&gt;zincirTolerans,"ZİNCİR KIRIK","OK")))</f>
        <v/>
      </c>
      <c r="L522" s="24">
        <f>IF($A522="","",1)</f>
        <v/>
      </c>
    </row>
    <row r="523">
      <c r="A523" s="12" t="n"/>
      <c r="B523" s="12" t="n"/>
      <c r="C523" s="12" t="n"/>
      <c r="D523" s="12" t="n"/>
      <c r="E523" s="14" t="n"/>
      <c r="F523" s="14" t="n"/>
      <c r="G523" s="14" t="n"/>
      <c r="H523" s="15" t="n"/>
      <c r="I523" s="24">
        <f>IF($A523="","",IF($B523="","YETİM",IF(COUNTIF(tblKartlar[KartId],$B523)=0,"YETİM","")))</f>
        <v/>
      </c>
      <c r="J523" s="24">
        <f>IF(OR($A523="",$C523=""),"",IF(OR($C523&amp;"|"&amp;$D523="",COUNTIF(ListeIzinliGecis,$C523&amp;"|"&amp;$D523)&gt;0),"","GEÇERSİZ GEÇİŞ"))</f>
        <v/>
      </c>
      <c r="K523" s="24">
        <f>IF($A523="","",IF(OR($E523="",$G523=""),"",IF(ABS($G523-$E523)&gt;zincirTolerans,"ZİNCİR KIRIK","OK")))</f>
        <v/>
      </c>
      <c r="L523" s="24">
        <f>IF($A523="","",1)</f>
        <v/>
      </c>
    </row>
    <row r="524">
      <c r="A524" s="12" t="n"/>
      <c r="B524" s="12" t="n"/>
      <c r="C524" s="12" t="n"/>
      <c r="D524" s="12" t="n"/>
      <c r="E524" s="14" t="n"/>
      <c r="F524" s="14" t="n"/>
      <c r="G524" s="14" t="n"/>
      <c r="H524" s="15" t="n"/>
      <c r="I524" s="24">
        <f>IF($A524="","",IF($B524="","YETİM",IF(COUNTIF(tblKartlar[KartId],$B524)=0,"YETİM","")))</f>
        <v/>
      </c>
      <c r="J524" s="24">
        <f>IF(OR($A524="",$C524=""),"",IF(OR($C524&amp;"|"&amp;$D524="",COUNTIF(ListeIzinliGecis,$C524&amp;"|"&amp;$D524)&gt;0),"","GEÇERSİZ GEÇİŞ"))</f>
        <v/>
      </c>
      <c r="K524" s="24">
        <f>IF($A524="","",IF(OR($E524="",$G524=""),"",IF(ABS($G524-$E524)&gt;zincirTolerans,"ZİNCİR KIRIK","OK")))</f>
        <v/>
      </c>
      <c r="L524" s="24">
        <f>IF($A524="","",1)</f>
        <v/>
      </c>
    </row>
    <row r="525">
      <c r="A525" s="12" t="n"/>
      <c r="B525" s="12" t="n"/>
      <c r="C525" s="12" t="n"/>
      <c r="D525" s="12" t="n"/>
      <c r="E525" s="14" t="n"/>
      <c r="F525" s="14" t="n"/>
      <c r="G525" s="14" t="n"/>
      <c r="H525" s="15" t="n"/>
      <c r="I525" s="24">
        <f>IF($A525="","",IF($B525="","YETİM",IF(COUNTIF(tblKartlar[KartId],$B525)=0,"YETİM","")))</f>
        <v/>
      </c>
      <c r="J525" s="24">
        <f>IF(OR($A525="",$C525=""),"",IF(OR($C525&amp;"|"&amp;$D525="",COUNTIF(ListeIzinliGecis,$C525&amp;"|"&amp;$D525)&gt;0),"","GEÇERSİZ GEÇİŞ"))</f>
        <v/>
      </c>
      <c r="K525" s="24">
        <f>IF($A525="","",IF(OR($E525="",$G525=""),"",IF(ABS($G525-$E525)&gt;zincirTolerans,"ZİNCİR KIRIK","OK")))</f>
        <v/>
      </c>
      <c r="L525" s="24">
        <f>IF($A525="","",1)</f>
        <v/>
      </c>
    </row>
    <row r="526">
      <c r="A526" s="12" t="n"/>
      <c r="B526" s="12" t="n"/>
      <c r="C526" s="12" t="n"/>
      <c r="D526" s="12" t="n"/>
      <c r="E526" s="14" t="n"/>
      <c r="F526" s="14" t="n"/>
      <c r="G526" s="14" t="n"/>
      <c r="H526" s="15" t="n"/>
      <c r="I526" s="24">
        <f>IF($A526="","",IF($B526="","YETİM",IF(COUNTIF(tblKartlar[KartId],$B526)=0,"YETİM","")))</f>
        <v/>
      </c>
      <c r="J526" s="24">
        <f>IF(OR($A526="",$C526=""),"",IF(OR($C526&amp;"|"&amp;$D526="",COUNTIF(ListeIzinliGecis,$C526&amp;"|"&amp;$D526)&gt;0),"","GEÇERSİZ GEÇİŞ"))</f>
        <v/>
      </c>
      <c r="K526" s="24">
        <f>IF($A526="","",IF(OR($E526="",$G526=""),"",IF(ABS($G526-$E526)&gt;zincirTolerans,"ZİNCİR KIRIK","OK")))</f>
        <v/>
      </c>
      <c r="L526" s="24">
        <f>IF($A526="","",1)</f>
        <v/>
      </c>
    </row>
    <row r="527">
      <c r="A527" s="12" t="n"/>
      <c r="B527" s="12" t="n"/>
      <c r="C527" s="12" t="n"/>
      <c r="D527" s="12" t="n"/>
      <c r="E527" s="14" t="n"/>
      <c r="F527" s="14" t="n"/>
      <c r="G527" s="14" t="n"/>
      <c r="H527" s="15" t="n"/>
      <c r="I527" s="24">
        <f>IF($A527="","",IF($B527="","YETİM",IF(COUNTIF(tblKartlar[KartId],$B527)=0,"YETİM","")))</f>
        <v/>
      </c>
      <c r="J527" s="24">
        <f>IF(OR($A527="",$C527=""),"",IF(OR($C527&amp;"|"&amp;$D527="",COUNTIF(ListeIzinliGecis,$C527&amp;"|"&amp;$D527)&gt;0),"","GEÇERSİZ GEÇİŞ"))</f>
        <v/>
      </c>
      <c r="K527" s="24">
        <f>IF($A527="","",IF(OR($E527="",$G527=""),"",IF(ABS($G527-$E527)&gt;zincirTolerans,"ZİNCİR KIRIK","OK")))</f>
        <v/>
      </c>
      <c r="L527" s="24">
        <f>IF($A527="","",1)</f>
        <v/>
      </c>
    </row>
    <row r="528">
      <c r="A528" s="12" t="n"/>
      <c r="B528" s="12" t="n"/>
      <c r="C528" s="12" t="n"/>
      <c r="D528" s="12" t="n"/>
      <c r="E528" s="14" t="n"/>
      <c r="F528" s="14" t="n"/>
      <c r="G528" s="14" t="n"/>
      <c r="H528" s="15" t="n"/>
      <c r="I528" s="24">
        <f>IF($A528="","",IF($B528="","YETİM",IF(COUNTIF(tblKartlar[KartId],$B528)=0,"YETİM","")))</f>
        <v/>
      </c>
      <c r="J528" s="24">
        <f>IF(OR($A528="",$C528=""),"",IF(OR($C528&amp;"|"&amp;$D528="",COUNTIF(ListeIzinliGecis,$C528&amp;"|"&amp;$D528)&gt;0),"","GEÇERSİZ GEÇİŞ"))</f>
        <v/>
      </c>
      <c r="K528" s="24">
        <f>IF($A528="","",IF(OR($E528="",$G528=""),"",IF(ABS($G528-$E528)&gt;zincirTolerans,"ZİNCİR KIRIK","OK")))</f>
        <v/>
      </c>
      <c r="L528" s="24">
        <f>IF($A528="","",1)</f>
        <v/>
      </c>
    </row>
    <row r="529">
      <c r="A529" s="12" t="n"/>
      <c r="B529" s="12" t="n"/>
      <c r="C529" s="12" t="n"/>
      <c r="D529" s="12" t="n"/>
      <c r="E529" s="14" t="n"/>
      <c r="F529" s="14" t="n"/>
      <c r="G529" s="14" t="n"/>
      <c r="H529" s="15" t="n"/>
      <c r="I529" s="24">
        <f>IF($A529="","",IF($B529="","YETİM",IF(COUNTIF(tblKartlar[KartId],$B529)=0,"YETİM","")))</f>
        <v/>
      </c>
      <c r="J529" s="24">
        <f>IF(OR($A529="",$C529=""),"",IF(OR($C529&amp;"|"&amp;$D529="",COUNTIF(ListeIzinliGecis,$C529&amp;"|"&amp;$D529)&gt;0),"","GEÇERSİZ GEÇİŞ"))</f>
        <v/>
      </c>
      <c r="K529" s="24">
        <f>IF($A529="","",IF(OR($E529="",$G529=""),"",IF(ABS($G529-$E529)&gt;zincirTolerans,"ZİNCİR KIRIK","OK")))</f>
        <v/>
      </c>
      <c r="L529" s="24">
        <f>IF($A529="","",1)</f>
        <v/>
      </c>
    </row>
    <row r="530">
      <c r="A530" s="12" t="n"/>
      <c r="B530" s="12" t="n"/>
      <c r="C530" s="12" t="n"/>
      <c r="D530" s="12" t="n"/>
      <c r="E530" s="14" t="n"/>
      <c r="F530" s="14" t="n"/>
      <c r="G530" s="14" t="n"/>
      <c r="H530" s="15" t="n"/>
      <c r="I530" s="24">
        <f>IF($A530="","",IF($B530="","YETİM",IF(COUNTIF(tblKartlar[KartId],$B530)=0,"YETİM","")))</f>
        <v/>
      </c>
      <c r="J530" s="24">
        <f>IF(OR($A530="",$C530=""),"",IF(OR($C530&amp;"|"&amp;$D530="",COUNTIF(ListeIzinliGecis,$C530&amp;"|"&amp;$D530)&gt;0),"","GEÇERSİZ GEÇİŞ"))</f>
        <v/>
      </c>
      <c r="K530" s="24">
        <f>IF($A530="","",IF(OR($E530="",$G530=""),"",IF(ABS($G530-$E530)&gt;zincirTolerans,"ZİNCİR KIRIK","OK")))</f>
        <v/>
      </c>
      <c r="L530" s="24">
        <f>IF($A530="","",1)</f>
        <v/>
      </c>
    </row>
    <row r="531">
      <c r="A531" s="12" t="n"/>
      <c r="B531" s="12" t="n"/>
      <c r="C531" s="12" t="n"/>
      <c r="D531" s="12" t="n"/>
      <c r="E531" s="14" t="n"/>
      <c r="F531" s="14" t="n"/>
      <c r="G531" s="14" t="n"/>
      <c r="H531" s="15" t="n"/>
      <c r="I531" s="24">
        <f>IF($A531="","",IF($B531="","YETİM",IF(COUNTIF(tblKartlar[KartId],$B531)=0,"YETİM","")))</f>
        <v/>
      </c>
      <c r="J531" s="24">
        <f>IF(OR($A531="",$C531=""),"",IF(OR($C531&amp;"|"&amp;$D531="",COUNTIF(ListeIzinliGecis,$C531&amp;"|"&amp;$D531)&gt;0),"","GEÇERSİZ GEÇİŞ"))</f>
        <v/>
      </c>
      <c r="K531" s="24">
        <f>IF($A531="","",IF(OR($E531="",$G531=""),"",IF(ABS($G531-$E531)&gt;zincirTolerans,"ZİNCİR KIRIK","OK")))</f>
        <v/>
      </c>
      <c r="L531" s="24">
        <f>IF($A531="","",1)</f>
        <v/>
      </c>
    </row>
    <row r="532">
      <c r="A532" s="12" t="n"/>
      <c r="B532" s="12" t="n"/>
      <c r="C532" s="12" t="n"/>
      <c r="D532" s="12" t="n"/>
      <c r="E532" s="14" t="n"/>
      <c r="F532" s="14" t="n"/>
      <c r="G532" s="14" t="n"/>
      <c r="H532" s="15" t="n"/>
      <c r="I532" s="24">
        <f>IF($A532="","",IF($B532="","YETİM",IF(COUNTIF(tblKartlar[KartId],$B532)=0,"YETİM","")))</f>
        <v/>
      </c>
      <c r="J532" s="24">
        <f>IF(OR($A532="",$C532=""),"",IF(OR($C532&amp;"|"&amp;$D532="",COUNTIF(ListeIzinliGecis,$C532&amp;"|"&amp;$D532)&gt;0),"","GEÇERSİZ GEÇİŞ"))</f>
        <v/>
      </c>
      <c r="K532" s="24">
        <f>IF($A532="","",IF(OR($E532="",$G532=""),"",IF(ABS($G532-$E532)&gt;zincirTolerans,"ZİNCİR KIRIK","OK")))</f>
        <v/>
      </c>
      <c r="L532" s="24">
        <f>IF($A532="","",1)</f>
        <v/>
      </c>
    </row>
    <row r="533">
      <c r="A533" s="12" t="n"/>
      <c r="B533" s="12" t="n"/>
      <c r="C533" s="12" t="n"/>
      <c r="D533" s="12" t="n"/>
      <c r="E533" s="14" t="n"/>
      <c r="F533" s="14" t="n"/>
      <c r="G533" s="14" t="n"/>
      <c r="H533" s="15" t="n"/>
      <c r="I533" s="24">
        <f>IF($A533="","",IF($B533="","YETİM",IF(COUNTIF(tblKartlar[KartId],$B533)=0,"YETİM","")))</f>
        <v/>
      </c>
      <c r="J533" s="24">
        <f>IF(OR($A533="",$C533=""),"",IF(OR($C533&amp;"|"&amp;$D533="",COUNTIF(ListeIzinliGecis,$C533&amp;"|"&amp;$D533)&gt;0),"","GEÇERSİZ GEÇİŞ"))</f>
        <v/>
      </c>
      <c r="K533" s="24">
        <f>IF($A533="","",IF(OR($E533="",$G533=""),"",IF(ABS($G533-$E533)&gt;zincirTolerans,"ZİNCİR KIRIK","OK")))</f>
        <v/>
      </c>
      <c r="L533" s="24">
        <f>IF($A533="","",1)</f>
        <v/>
      </c>
    </row>
    <row r="534">
      <c r="A534" s="12" t="n"/>
      <c r="B534" s="12" t="n"/>
      <c r="C534" s="12" t="n"/>
      <c r="D534" s="12" t="n"/>
      <c r="E534" s="14" t="n"/>
      <c r="F534" s="14" t="n"/>
      <c r="G534" s="14" t="n"/>
      <c r="H534" s="15" t="n"/>
      <c r="I534" s="24">
        <f>IF($A534="","",IF($B534="","YETİM",IF(COUNTIF(tblKartlar[KartId],$B534)=0,"YETİM","")))</f>
        <v/>
      </c>
      <c r="J534" s="24">
        <f>IF(OR($A534="",$C534=""),"",IF(OR($C534&amp;"|"&amp;$D534="",COUNTIF(ListeIzinliGecis,$C534&amp;"|"&amp;$D534)&gt;0),"","GEÇERSİZ GEÇİŞ"))</f>
        <v/>
      </c>
      <c r="K534" s="24">
        <f>IF($A534="","",IF(OR($E534="",$G534=""),"",IF(ABS($G534-$E534)&gt;zincirTolerans,"ZİNCİR KIRIK","OK")))</f>
        <v/>
      </c>
      <c r="L534" s="24">
        <f>IF($A534="","",1)</f>
        <v/>
      </c>
    </row>
    <row r="535">
      <c r="A535" s="12" t="n"/>
      <c r="B535" s="12" t="n"/>
      <c r="C535" s="12" t="n"/>
      <c r="D535" s="12" t="n"/>
      <c r="E535" s="14" t="n"/>
      <c r="F535" s="14" t="n"/>
      <c r="G535" s="14" t="n"/>
      <c r="H535" s="15" t="n"/>
      <c r="I535" s="24">
        <f>IF($A535="","",IF($B535="","YETİM",IF(COUNTIF(tblKartlar[KartId],$B535)=0,"YETİM","")))</f>
        <v/>
      </c>
      <c r="J535" s="24">
        <f>IF(OR($A535="",$C535=""),"",IF(OR($C535&amp;"|"&amp;$D535="",COUNTIF(ListeIzinliGecis,$C535&amp;"|"&amp;$D535)&gt;0),"","GEÇERSİZ GEÇİŞ"))</f>
        <v/>
      </c>
      <c r="K535" s="24">
        <f>IF($A535="","",IF(OR($E535="",$G535=""),"",IF(ABS($G535-$E535)&gt;zincirTolerans,"ZİNCİR KIRIK","OK")))</f>
        <v/>
      </c>
      <c r="L535" s="24">
        <f>IF($A535="","",1)</f>
        <v/>
      </c>
    </row>
    <row r="536">
      <c r="A536" s="12" t="n"/>
      <c r="B536" s="12" t="n"/>
      <c r="C536" s="12" t="n"/>
      <c r="D536" s="12" t="n"/>
      <c r="E536" s="14" t="n"/>
      <c r="F536" s="14" t="n"/>
      <c r="G536" s="14" t="n"/>
      <c r="H536" s="15" t="n"/>
      <c r="I536" s="24">
        <f>IF($A536="","",IF($B536="","YETİM",IF(COUNTIF(tblKartlar[KartId],$B536)=0,"YETİM","")))</f>
        <v/>
      </c>
      <c r="J536" s="24">
        <f>IF(OR($A536="",$C536=""),"",IF(OR($C536&amp;"|"&amp;$D536="",COUNTIF(ListeIzinliGecis,$C536&amp;"|"&amp;$D536)&gt;0),"","GEÇERSİZ GEÇİŞ"))</f>
        <v/>
      </c>
      <c r="K536" s="24">
        <f>IF($A536="","",IF(OR($E536="",$G536=""),"",IF(ABS($G536-$E536)&gt;zincirTolerans,"ZİNCİR KIRIK","OK")))</f>
        <v/>
      </c>
      <c r="L536" s="24">
        <f>IF($A536="","",1)</f>
        <v/>
      </c>
    </row>
    <row r="537">
      <c r="A537" s="12" t="n"/>
      <c r="B537" s="12" t="n"/>
      <c r="C537" s="12" t="n"/>
      <c r="D537" s="12" t="n"/>
      <c r="E537" s="14" t="n"/>
      <c r="F537" s="14" t="n"/>
      <c r="G537" s="14" t="n"/>
      <c r="H537" s="15" t="n"/>
      <c r="I537" s="24">
        <f>IF($A537="","",IF($B537="","YETİM",IF(COUNTIF(tblKartlar[KartId],$B537)=0,"YETİM","")))</f>
        <v/>
      </c>
      <c r="J537" s="24">
        <f>IF(OR($A537="",$C537=""),"",IF(OR($C537&amp;"|"&amp;$D537="",COUNTIF(ListeIzinliGecis,$C537&amp;"|"&amp;$D537)&gt;0),"","GEÇERSİZ GEÇİŞ"))</f>
        <v/>
      </c>
      <c r="K537" s="24">
        <f>IF($A537="","",IF(OR($E537="",$G537=""),"",IF(ABS($G537-$E537)&gt;zincirTolerans,"ZİNCİR KIRIK","OK")))</f>
        <v/>
      </c>
      <c r="L537" s="24">
        <f>IF($A537="","",1)</f>
        <v/>
      </c>
    </row>
    <row r="538">
      <c r="A538" s="12" t="n"/>
      <c r="B538" s="12" t="n"/>
      <c r="C538" s="12" t="n"/>
      <c r="D538" s="12" t="n"/>
      <c r="E538" s="14" t="n"/>
      <c r="F538" s="14" t="n"/>
      <c r="G538" s="14" t="n"/>
      <c r="H538" s="15" t="n"/>
      <c r="I538" s="24">
        <f>IF($A538="","",IF($B538="","YETİM",IF(COUNTIF(tblKartlar[KartId],$B538)=0,"YETİM","")))</f>
        <v/>
      </c>
      <c r="J538" s="24">
        <f>IF(OR($A538="",$C538=""),"",IF(OR($C538&amp;"|"&amp;$D538="",COUNTIF(ListeIzinliGecis,$C538&amp;"|"&amp;$D538)&gt;0),"","GEÇERSİZ GEÇİŞ"))</f>
        <v/>
      </c>
      <c r="K538" s="24">
        <f>IF($A538="","",IF(OR($E538="",$G538=""),"",IF(ABS($G538-$E538)&gt;zincirTolerans,"ZİNCİR KIRIK","OK")))</f>
        <v/>
      </c>
      <c r="L538" s="24">
        <f>IF($A538="","",1)</f>
        <v/>
      </c>
    </row>
    <row r="539">
      <c r="A539" s="12" t="n"/>
      <c r="B539" s="12" t="n"/>
      <c r="C539" s="12" t="n"/>
      <c r="D539" s="12" t="n"/>
      <c r="E539" s="14" t="n"/>
      <c r="F539" s="14" t="n"/>
      <c r="G539" s="14" t="n"/>
      <c r="H539" s="15" t="n"/>
      <c r="I539" s="24">
        <f>IF($A539="","",IF($B539="","YETİM",IF(COUNTIF(tblKartlar[KartId],$B539)=0,"YETİM","")))</f>
        <v/>
      </c>
      <c r="J539" s="24">
        <f>IF(OR($A539="",$C539=""),"",IF(OR($C539&amp;"|"&amp;$D539="",COUNTIF(ListeIzinliGecis,$C539&amp;"|"&amp;$D539)&gt;0),"","GEÇERSİZ GEÇİŞ"))</f>
        <v/>
      </c>
      <c r="K539" s="24">
        <f>IF($A539="","",IF(OR($E539="",$G539=""),"",IF(ABS($G539-$E539)&gt;zincirTolerans,"ZİNCİR KIRIK","OK")))</f>
        <v/>
      </c>
      <c r="L539" s="24">
        <f>IF($A539="","",1)</f>
        <v/>
      </c>
    </row>
    <row r="540">
      <c r="A540" s="12" t="n"/>
      <c r="B540" s="12" t="n"/>
      <c r="C540" s="12" t="n"/>
      <c r="D540" s="12" t="n"/>
      <c r="E540" s="14" t="n"/>
      <c r="F540" s="14" t="n"/>
      <c r="G540" s="14" t="n"/>
      <c r="H540" s="15" t="n"/>
      <c r="I540" s="24">
        <f>IF($A540="","",IF($B540="","YETİM",IF(COUNTIF(tblKartlar[KartId],$B540)=0,"YETİM","")))</f>
        <v/>
      </c>
      <c r="J540" s="24">
        <f>IF(OR($A540="",$C540=""),"",IF(OR($C540&amp;"|"&amp;$D540="",COUNTIF(ListeIzinliGecis,$C540&amp;"|"&amp;$D540)&gt;0),"","GEÇERSİZ GEÇİŞ"))</f>
        <v/>
      </c>
      <c r="K540" s="24">
        <f>IF($A540="","",IF(OR($E540="",$G540=""),"",IF(ABS($G540-$E540)&gt;zincirTolerans,"ZİNCİR KIRIK","OK")))</f>
        <v/>
      </c>
      <c r="L540" s="24">
        <f>IF($A540="","",1)</f>
        <v/>
      </c>
    </row>
    <row r="541">
      <c r="A541" s="12" t="n"/>
      <c r="B541" s="12" t="n"/>
      <c r="C541" s="12" t="n"/>
      <c r="D541" s="12" t="n"/>
      <c r="E541" s="14" t="n"/>
      <c r="F541" s="14" t="n"/>
      <c r="G541" s="14" t="n"/>
      <c r="H541" s="15" t="n"/>
      <c r="I541" s="24">
        <f>IF($A541="","",IF($B541="","YETİM",IF(COUNTIF(tblKartlar[KartId],$B541)=0,"YETİM","")))</f>
        <v/>
      </c>
      <c r="J541" s="24">
        <f>IF(OR($A541="",$C541=""),"",IF(OR($C541&amp;"|"&amp;$D541="",COUNTIF(ListeIzinliGecis,$C541&amp;"|"&amp;$D541)&gt;0),"","GEÇERSİZ GEÇİŞ"))</f>
        <v/>
      </c>
      <c r="K541" s="24">
        <f>IF($A541="","",IF(OR($E541="",$G541=""),"",IF(ABS($G541-$E541)&gt;zincirTolerans,"ZİNCİR KIRIK","OK")))</f>
        <v/>
      </c>
      <c r="L541" s="24">
        <f>IF($A541="","",1)</f>
        <v/>
      </c>
    </row>
    <row r="542">
      <c r="A542" s="12" t="n"/>
      <c r="B542" s="12" t="n"/>
      <c r="C542" s="12" t="n"/>
      <c r="D542" s="12" t="n"/>
      <c r="E542" s="14" t="n"/>
      <c r="F542" s="14" t="n"/>
      <c r="G542" s="14" t="n"/>
      <c r="H542" s="15" t="n"/>
      <c r="I542" s="24">
        <f>IF($A542="","",IF($B542="","YETİM",IF(COUNTIF(tblKartlar[KartId],$B542)=0,"YETİM","")))</f>
        <v/>
      </c>
      <c r="J542" s="24">
        <f>IF(OR($A542="",$C542=""),"",IF(OR($C542&amp;"|"&amp;$D542="",COUNTIF(ListeIzinliGecis,$C542&amp;"|"&amp;$D542)&gt;0),"","GEÇERSİZ GEÇİŞ"))</f>
        <v/>
      </c>
      <c r="K542" s="24">
        <f>IF($A542="","",IF(OR($E542="",$G542=""),"",IF(ABS($G542-$E542)&gt;zincirTolerans,"ZİNCİR KIRIK","OK")))</f>
        <v/>
      </c>
      <c r="L542" s="24">
        <f>IF($A542="","",1)</f>
        <v/>
      </c>
    </row>
    <row r="543">
      <c r="A543" s="12" t="n"/>
      <c r="B543" s="12" t="n"/>
      <c r="C543" s="12" t="n"/>
      <c r="D543" s="12" t="n"/>
      <c r="E543" s="14" t="n"/>
      <c r="F543" s="14" t="n"/>
      <c r="G543" s="14" t="n"/>
      <c r="H543" s="15" t="n"/>
      <c r="I543" s="24">
        <f>IF($A543="","",IF($B543="","YETİM",IF(COUNTIF(tblKartlar[KartId],$B543)=0,"YETİM","")))</f>
        <v/>
      </c>
      <c r="J543" s="24">
        <f>IF(OR($A543="",$C543=""),"",IF(OR($C543&amp;"|"&amp;$D543="",COUNTIF(ListeIzinliGecis,$C543&amp;"|"&amp;$D543)&gt;0),"","GEÇERSİZ GEÇİŞ"))</f>
        <v/>
      </c>
      <c r="K543" s="24">
        <f>IF($A543="","",IF(OR($E543="",$G543=""),"",IF(ABS($G543-$E543)&gt;zincirTolerans,"ZİNCİR KIRIK","OK")))</f>
        <v/>
      </c>
      <c r="L543" s="24">
        <f>IF($A543="","",1)</f>
        <v/>
      </c>
    </row>
    <row r="544">
      <c r="A544" s="12" t="n"/>
      <c r="B544" s="12" t="n"/>
      <c r="C544" s="12" t="n"/>
      <c r="D544" s="12" t="n"/>
      <c r="E544" s="14" t="n"/>
      <c r="F544" s="14" t="n"/>
      <c r="G544" s="14" t="n"/>
      <c r="H544" s="15" t="n"/>
      <c r="I544" s="24">
        <f>IF($A544="","",IF($B544="","YETİM",IF(COUNTIF(tblKartlar[KartId],$B544)=0,"YETİM","")))</f>
        <v/>
      </c>
      <c r="J544" s="24">
        <f>IF(OR($A544="",$C544=""),"",IF(OR($C544&amp;"|"&amp;$D544="",COUNTIF(ListeIzinliGecis,$C544&amp;"|"&amp;$D544)&gt;0),"","GEÇERSİZ GEÇİŞ"))</f>
        <v/>
      </c>
      <c r="K544" s="24">
        <f>IF($A544="","",IF(OR($E544="",$G544=""),"",IF(ABS($G544-$E544)&gt;zincirTolerans,"ZİNCİR KIRIK","OK")))</f>
        <v/>
      </c>
      <c r="L544" s="24">
        <f>IF($A544="","",1)</f>
        <v/>
      </c>
    </row>
    <row r="545">
      <c r="A545" s="12" t="n"/>
      <c r="B545" s="12" t="n"/>
      <c r="C545" s="12" t="n"/>
      <c r="D545" s="12" t="n"/>
      <c r="E545" s="14" t="n"/>
      <c r="F545" s="14" t="n"/>
      <c r="G545" s="14" t="n"/>
      <c r="H545" s="15" t="n"/>
      <c r="I545" s="24">
        <f>IF($A545="","",IF($B545="","YETİM",IF(COUNTIF(tblKartlar[KartId],$B545)=0,"YETİM","")))</f>
        <v/>
      </c>
      <c r="J545" s="24">
        <f>IF(OR($A545="",$C545=""),"",IF(OR($C545&amp;"|"&amp;$D545="",COUNTIF(ListeIzinliGecis,$C545&amp;"|"&amp;$D545)&gt;0),"","GEÇERSİZ GEÇİŞ"))</f>
        <v/>
      </c>
      <c r="K545" s="24">
        <f>IF($A545="","",IF(OR($E545="",$G545=""),"",IF(ABS($G545-$E545)&gt;zincirTolerans,"ZİNCİR KIRIK","OK")))</f>
        <v/>
      </c>
      <c r="L545" s="24">
        <f>IF($A545="","",1)</f>
        <v/>
      </c>
    </row>
    <row r="546">
      <c r="A546" s="12" t="n"/>
      <c r="B546" s="12" t="n"/>
      <c r="C546" s="12" t="n"/>
      <c r="D546" s="12" t="n"/>
      <c r="E546" s="14" t="n"/>
      <c r="F546" s="14" t="n"/>
      <c r="G546" s="14" t="n"/>
      <c r="H546" s="15" t="n"/>
      <c r="I546" s="24">
        <f>IF($A546="","",IF($B546="","YETİM",IF(COUNTIF(tblKartlar[KartId],$B546)=0,"YETİM","")))</f>
        <v/>
      </c>
      <c r="J546" s="24">
        <f>IF(OR($A546="",$C546=""),"",IF(OR($C546&amp;"|"&amp;$D546="",COUNTIF(ListeIzinliGecis,$C546&amp;"|"&amp;$D546)&gt;0),"","GEÇERSİZ GEÇİŞ"))</f>
        <v/>
      </c>
      <c r="K546" s="24">
        <f>IF($A546="","",IF(OR($E546="",$G546=""),"",IF(ABS($G546-$E546)&gt;zincirTolerans,"ZİNCİR KIRIK","OK")))</f>
        <v/>
      </c>
      <c r="L546" s="24">
        <f>IF($A546="","",1)</f>
        <v/>
      </c>
    </row>
    <row r="547">
      <c r="A547" s="12" t="n"/>
      <c r="B547" s="12" t="n"/>
      <c r="C547" s="12" t="n"/>
      <c r="D547" s="12" t="n"/>
      <c r="E547" s="14" t="n"/>
      <c r="F547" s="14" t="n"/>
      <c r="G547" s="14" t="n"/>
      <c r="H547" s="15" t="n"/>
      <c r="I547" s="24">
        <f>IF($A547="","",IF($B547="","YETİM",IF(COUNTIF(tblKartlar[KartId],$B547)=0,"YETİM","")))</f>
        <v/>
      </c>
      <c r="J547" s="24">
        <f>IF(OR($A547="",$C547=""),"",IF(OR($C547&amp;"|"&amp;$D547="",COUNTIF(ListeIzinliGecis,$C547&amp;"|"&amp;$D547)&gt;0),"","GEÇERSİZ GEÇİŞ"))</f>
        <v/>
      </c>
      <c r="K547" s="24">
        <f>IF($A547="","",IF(OR($E547="",$G547=""),"",IF(ABS($G547-$E547)&gt;zincirTolerans,"ZİNCİR KIRIK","OK")))</f>
        <v/>
      </c>
      <c r="L547" s="24">
        <f>IF($A547="","",1)</f>
        <v/>
      </c>
    </row>
    <row r="548">
      <c r="A548" s="12" t="n"/>
      <c r="B548" s="12" t="n"/>
      <c r="C548" s="12" t="n"/>
      <c r="D548" s="12" t="n"/>
      <c r="E548" s="14" t="n"/>
      <c r="F548" s="14" t="n"/>
      <c r="G548" s="14" t="n"/>
      <c r="H548" s="15" t="n"/>
      <c r="I548" s="24">
        <f>IF($A548="","",IF($B548="","YETİM",IF(COUNTIF(tblKartlar[KartId],$B548)=0,"YETİM","")))</f>
        <v/>
      </c>
      <c r="J548" s="24">
        <f>IF(OR($A548="",$C548=""),"",IF(OR($C548&amp;"|"&amp;$D548="",COUNTIF(ListeIzinliGecis,$C548&amp;"|"&amp;$D548)&gt;0),"","GEÇERSİZ GEÇİŞ"))</f>
        <v/>
      </c>
      <c r="K548" s="24">
        <f>IF($A548="","",IF(OR($E548="",$G548=""),"",IF(ABS($G548-$E548)&gt;zincirTolerans,"ZİNCİR KIRIK","OK")))</f>
        <v/>
      </c>
      <c r="L548" s="24">
        <f>IF($A548="","",1)</f>
        <v/>
      </c>
    </row>
    <row r="549">
      <c r="A549" s="12" t="n"/>
      <c r="B549" s="12" t="n"/>
      <c r="C549" s="12" t="n"/>
      <c r="D549" s="12" t="n"/>
      <c r="E549" s="14" t="n"/>
      <c r="F549" s="14" t="n"/>
      <c r="G549" s="14" t="n"/>
      <c r="H549" s="15" t="n"/>
      <c r="I549" s="24">
        <f>IF($A549="","",IF($B549="","YETİM",IF(COUNTIF(tblKartlar[KartId],$B549)=0,"YETİM","")))</f>
        <v/>
      </c>
      <c r="J549" s="24">
        <f>IF(OR($A549="",$C549=""),"",IF(OR($C549&amp;"|"&amp;$D549="",COUNTIF(ListeIzinliGecis,$C549&amp;"|"&amp;$D549)&gt;0),"","GEÇERSİZ GEÇİŞ"))</f>
        <v/>
      </c>
      <c r="K549" s="24">
        <f>IF($A549="","",IF(OR($E549="",$G549=""),"",IF(ABS($G549-$E549)&gt;zincirTolerans,"ZİNCİR KIRIK","OK")))</f>
        <v/>
      </c>
      <c r="L549" s="24">
        <f>IF($A549="","",1)</f>
        <v/>
      </c>
    </row>
    <row r="550">
      <c r="A550" s="12" t="n"/>
      <c r="B550" s="12" t="n"/>
      <c r="C550" s="12" t="n"/>
      <c r="D550" s="12" t="n"/>
      <c r="E550" s="14" t="n"/>
      <c r="F550" s="14" t="n"/>
      <c r="G550" s="14" t="n"/>
      <c r="H550" s="15" t="n"/>
      <c r="I550" s="24">
        <f>IF($A550="","",IF($B550="","YETİM",IF(COUNTIF(tblKartlar[KartId],$B550)=0,"YETİM","")))</f>
        <v/>
      </c>
      <c r="J550" s="24">
        <f>IF(OR($A550="",$C550=""),"",IF(OR($C550&amp;"|"&amp;$D550="",COUNTIF(ListeIzinliGecis,$C550&amp;"|"&amp;$D550)&gt;0),"","GEÇERSİZ GEÇİŞ"))</f>
        <v/>
      </c>
      <c r="K550" s="24">
        <f>IF($A550="","",IF(OR($E550="",$G550=""),"",IF(ABS($G550-$E550)&gt;zincirTolerans,"ZİNCİR KIRIK","OK")))</f>
        <v/>
      </c>
      <c r="L550" s="24">
        <f>IF($A550="","",1)</f>
        <v/>
      </c>
    </row>
    <row r="551">
      <c r="A551" s="12" t="n"/>
      <c r="B551" s="12" t="n"/>
      <c r="C551" s="12" t="n"/>
      <c r="D551" s="12" t="n"/>
      <c r="E551" s="14" t="n"/>
      <c r="F551" s="14" t="n"/>
      <c r="G551" s="14" t="n"/>
      <c r="H551" s="15" t="n"/>
      <c r="I551" s="24">
        <f>IF($A551="","",IF($B551="","YETİM",IF(COUNTIF(tblKartlar[KartId],$B551)=0,"YETİM","")))</f>
        <v/>
      </c>
      <c r="J551" s="24">
        <f>IF(OR($A551="",$C551=""),"",IF(OR($C551&amp;"|"&amp;$D551="",COUNTIF(ListeIzinliGecis,$C551&amp;"|"&amp;$D551)&gt;0),"","GEÇERSİZ GEÇİŞ"))</f>
        <v/>
      </c>
      <c r="K551" s="24">
        <f>IF($A551="","",IF(OR($E551="",$G551=""),"",IF(ABS($G551-$E551)&gt;zincirTolerans,"ZİNCİR KIRIK","OK")))</f>
        <v/>
      </c>
      <c r="L551" s="24">
        <f>IF($A551="","",1)</f>
        <v/>
      </c>
    </row>
    <row r="552">
      <c r="A552" s="12" t="n"/>
      <c r="B552" s="12" t="n"/>
      <c r="C552" s="12" t="n"/>
      <c r="D552" s="12" t="n"/>
      <c r="E552" s="14" t="n"/>
      <c r="F552" s="14" t="n"/>
      <c r="G552" s="14" t="n"/>
      <c r="H552" s="15" t="n"/>
      <c r="I552" s="24">
        <f>IF($A552="","",IF($B552="","YETİM",IF(COUNTIF(tblKartlar[KartId],$B552)=0,"YETİM","")))</f>
        <v/>
      </c>
      <c r="J552" s="24">
        <f>IF(OR($A552="",$C552=""),"",IF(OR($C552&amp;"|"&amp;$D552="",COUNTIF(ListeIzinliGecis,$C552&amp;"|"&amp;$D552)&gt;0),"","GEÇERSİZ GEÇİŞ"))</f>
        <v/>
      </c>
      <c r="K552" s="24">
        <f>IF($A552="","",IF(OR($E552="",$G552=""),"",IF(ABS($G552-$E552)&gt;zincirTolerans,"ZİNCİR KIRIK","OK")))</f>
        <v/>
      </c>
      <c r="L552" s="24">
        <f>IF($A552="","",1)</f>
        <v/>
      </c>
    </row>
    <row r="553">
      <c r="A553" s="12" t="n"/>
      <c r="B553" s="12" t="n"/>
      <c r="C553" s="12" t="n"/>
      <c r="D553" s="12" t="n"/>
      <c r="E553" s="14" t="n"/>
      <c r="F553" s="14" t="n"/>
      <c r="G553" s="14" t="n"/>
      <c r="H553" s="15" t="n"/>
      <c r="I553" s="24">
        <f>IF($A553="","",IF($B553="","YETİM",IF(COUNTIF(tblKartlar[KartId],$B553)=0,"YETİM","")))</f>
        <v/>
      </c>
      <c r="J553" s="24">
        <f>IF(OR($A553="",$C553=""),"",IF(OR($C553&amp;"|"&amp;$D553="",COUNTIF(ListeIzinliGecis,$C553&amp;"|"&amp;$D553)&gt;0),"","GEÇERSİZ GEÇİŞ"))</f>
        <v/>
      </c>
      <c r="K553" s="24">
        <f>IF($A553="","",IF(OR($E553="",$G553=""),"",IF(ABS($G553-$E553)&gt;zincirTolerans,"ZİNCİR KIRIK","OK")))</f>
        <v/>
      </c>
      <c r="L553" s="24">
        <f>IF($A553="","",1)</f>
        <v/>
      </c>
    </row>
    <row r="554">
      <c r="A554" s="12" t="n"/>
      <c r="B554" s="12" t="n"/>
      <c r="C554" s="12" t="n"/>
      <c r="D554" s="12" t="n"/>
      <c r="E554" s="14" t="n"/>
      <c r="F554" s="14" t="n"/>
      <c r="G554" s="14" t="n"/>
      <c r="H554" s="15" t="n"/>
      <c r="I554" s="24">
        <f>IF($A554="","",IF($B554="","YETİM",IF(COUNTIF(tblKartlar[KartId],$B554)=0,"YETİM","")))</f>
        <v/>
      </c>
      <c r="J554" s="24">
        <f>IF(OR($A554="",$C554=""),"",IF(OR($C554&amp;"|"&amp;$D554="",COUNTIF(ListeIzinliGecis,$C554&amp;"|"&amp;$D554)&gt;0),"","GEÇERSİZ GEÇİŞ"))</f>
        <v/>
      </c>
      <c r="K554" s="24">
        <f>IF($A554="","",IF(OR($E554="",$G554=""),"",IF(ABS($G554-$E554)&gt;zincirTolerans,"ZİNCİR KIRIK","OK")))</f>
        <v/>
      </c>
      <c r="L554" s="24">
        <f>IF($A554="","",1)</f>
        <v/>
      </c>
    </row>
    <row r="555">
      <c r="A555" s="12" t="n"/>
      <c r="B555" s="12" t="n"/>
      <c r="C555" s="12" t="n"/>
      <c r="D555" s="12" t="n"/>
      <c r="E555" s="14" t="n"/>
      <c r="F555" s="14" t="n"/>
      <c r="G555" s="14" t="n"/>
      <c r="H555" s="15" t="n"/>
      <c r="I555" s="24">
        <f>IF($A555="","",IF($B555="","YETİM",IF(COUNTIF(tblKartlar[KartId],$B555)=0,"YETİM","")))</f>
        <v/>
      </c>
      <c r="J555" s="24">
        <f>IF(OR($A555="",$C555=""),"",IF(OR($C555&amp;"|"&amp;$D555="",COUNTIF(ListeIzinliGecis,$C555&amp;"|"&amp;$D555)&gt;0),"","GEÇERSİZ GEÇİŞ"))</f>
        <v/>
      </c>
      <c r="K555" s="24">
        <f>IF($A555="","",IF(OR($E555="",$G555=""),"",IF(ABS($G555-$E555)&gt;zincirTolerans,"ZİNCİR KIRIK","OK")))</f>
        <v/>
      </c>
      <c r="L555" s="24">
        <f>IF($A555="","",1)</f>
        <v/>
      </c>
    </row>
    <row r="556">
      <c r="A556" s="12" t="n"/>
      <c r="B556" s="12" t="n"/>
      <c r="C556" s="12" t="n"/>
      <c r="D556" s="12" t="n"/>
      <c r="E556" s="14" t="n"/>
      <c r="F556" s="14" t="n"/>
      <c r="G556" s="14" t="n"/>
      <c r="H556" s="15" t="n"/>
      <c r="I556" s="24">
        <f>IF($A556="","",IF($B556="","YETİM",IF(COUNTIF(tblKartlar[KartId],$B556)=0,"YETİM","")))</f>
        <v/>
      </c>
      <c r="J556" s="24">
        <f>IF(OR($A556="",$C556=""),"",IF(OR($C556&amp;"|"&amp;$D556="",COUNTIF(ListeIzinliGecis,$C556&amp;"|"&amp;$D556)&gt;0),"","GEÇERSİZ GEÇİŞ"))</f>
        <v/>
      </c>
      <c r="K556" s="24">
        <f>IF($A556="","",IF(OR($E556="",$G556=""),"",IF(ABS($G556-$E556)&gt;zincirTolerans,"ZİNCİR KIRIK","OK")))</f>
        <v/>
      </c>
      <c r="L556" s="24">
        <f>IF($A556="","",1)</f>
        <v/>
      </c>
    </row>
    <row r="557">
      <c r="A557" s="12" t="n"/>
      <c r="B557" s="12" t="n"/>
      <c r="C557" s="12" t="n"/>
      <c r="D557" s="12" t="n"/>
      <c r="E557" s="14" t="n"/>
      <c r="F557" s="14" t="n"/>
      <c r="G557" s="14" t="n"/>
      <c r="H557" s="15" t="n"/>
      <c r="I557" s="24">
        <f>IF($A557="","",IF($B557="","YETİM",IF(COUNTIF(tblKartlar[KartId],$B557)=0,"YETİM","")))</f>
        <v/>
      </c>
      <c r="J557" s="24">
        <f>IF(OR($A557="",$C557=""),"",IF(OR($C557&amp;"|"&amp;$D557="",COUNTIF(ListeIzinliGecis,$C557&amp;"|"&amp;$D557)&gt;0),"","GEÇERSİZ GEÇİŞ"))</f>
        <v/>
      </c>
      <c r="K557" s="24">
        <f>IF($A557="","",IF(OR($E557="",$G557=""),"",IF(ABS($G557-$E557)&gt;zincirTolerans,"ZİNCİR KIRIK","OK")))</f>
        <v/>
      </c>
      <c r="L557" s="24">
        <f>IF($A557="","",1)</f>
        <v/>
      </c>
    </row>
    <row r="558">
      <c r="A558" s="12" t="n"/>
      <c r="B558" s="12" t="n"/>
      <c r="C558" s="12" t="n"/>
      <c r="D558" s="12" t="n"/>
      <c r="E558" s="14" t="n"/>
      <c r="F558" s="14" t="n"/>
      <c r="G558" s="14" t="n"/>
      <c r="H558" s="15" t="n"/>
      <c r="I558" s="24">
        <f>IF($A558="","",IF($B558="","YETİM",IF(COUNTIF(tblKartlar[KartId],$B558)=0,"YETİM","")))</f>
        <v/>
      </c>
      <c r="J558" s="24">
        <f>IF(OR($A558="",$C558=""),"",IF(OR($C558&amp;"|"&amp;$D558="",COUNTIF(ListeIzinliGecis,$C558&amp;"|"&amp;$D558)&gt;0),"","GEÇERSİZ GEÇİŞ"))</f>
        <v/>
      </c>
      <c r="K558" s="24">
        <f>IF($A558="","",IF(OR($E558="",$G558=""),"",IF(ABS($G558-$E558)&gt;zincirTolerans,"ZİNCİR KIRIK","OK")))</f>
        <v/>
      </c>
      <c r="L558" s="24">
        <f>IF($A558="","",1)</f>
        <v/>
      </c>
    </row>
    <row r="559">
      <c r="A559" s="12" t="n"/>
      <c r="B559" s="12" t="n"/>
      <c r="C559" s="12" t="n"/>
      <c r="D559" s="12" t="n"/>
      <c r="E559" s="14" t="n"/>
      <c r="F559" s="14" t="n"/>
      <c r="G559" s="14" t="n"/>
      <c r="H559" s="15" t="n"/>
      <c r="I559" s="24">
        <f>IF($A559="","",IF($B559="","YETİM",IF(COUNTIF(tblKartlar[KartId],$B559)=0,"YETİM","")))</f>
        <v/>
      </c>
      <c r="J559" s="24">
        <f>IF(OR($A559="",$C559=""),"",IF(OR($C559&amp;"|"&amp;$D559="",COUNTIF(ListeIzinliGecis,$C559&amp;"|"&amp;$D559)&gt;0),"","GEÇERSİZ GEÇİŞ"))</f>
        <v/>
      </c>
      <c r="K559" s="24">
        <f>IF($A559="","",IF(OR($E559="",$G559=""),"",IF(ABS($G559-$E559)&gt;zincirTolerans,"ZİNCİR KIRIK","OK")))</f>
        <v/>
      </c>
      <c r="L559" s="24">
        <f>IF($A559="","",1)</f>
        <v/>
      </c>
    </row>
    <row r="560">
      <c r="A560" s="12" t="n"/>
      <c r="B560" s="12" t="n"/>
      <c r="C560" s="12" t="n"/>
      <c r="D560" s="12" t="n"/>
      <c r="E560" s="14" t="n"/>
      <c r="F560" s="14" t="n"/>
      <c r="G560" s="14" t="n"/>
      <c r="H560" s="15" t="n"/>
      <c r="I560" s="24">
        <f>IF($A560="","",IF($B560="","YETİM",IF(COUNTIF(tblKartlar[KartId],$B560)=0,"YETİM","")))</f>
        <v/>
      </c>
      <c r="J560" s="24">
        <f>IF(OR($A560="",$C560=""),"",IF(OR($C560&amp;"|"&amp;$D560="",COUNTIF(ListeIzinliGecis,$C560&amp;"|"&amp;$D560)&gt;0),"","GEÇERSİZ GEÇİŞ"))</f>
        <v/>
      </c>
      <c r="K560" s="24">
        <f>IF($A560="","",IF(OR($E560="",$G560=""),"",IF(ABS($G560-$E560)&gt;zincirTolerans,"ZİNCİR KIRIK","OK")))</f>
        <v/>
      </c>
      <c r="L560" s="24">
        <f>IF($A560="","",1)</f>
        <v/>
      </c>
    </row>
    <row r="561">
      <c r="A561" s="12" t="n"/>
      <c r="B561" s="12" t="n"/>
      <c r="C561" s="12" t="n"/>
      <c r="D561" s="12" t="n"/>
      <c r="E561" s="14" t="n"/>
      <c r="F561" s="14" t="n"/>
      <c r="G561" s="14" t="n"/>
      <c r="H561" s="15" t="n"/>
      <c r="I561" s="24">
        <f>IF($A561="","",IF($B561="","YETİM",IF(COUNTIF(tblKartlar[KartId],$B561)=0,"YETİM","")))</f>
        <v/>
      </c>
      <c r="J561" s="24">
        <f>IF(OR($A561="",$C561=""),"",IF(OR($C561&amp;"|"&amp;$D561="",COUNTIF(ListeIzinliGecis,$C561&amp;"|"&amp;$D561)&gt;0),"","GEÇERSİZ GEÇİŞ"))</f>
        <v/>
      </c>
      <c r="K561" s="24">
        <f>IF($A561="","",IF(OR($E561="",$G561=""),"",IF(ABS($G561-$E561)&gt;zincirTolerans,"ZİNCİR KIRIK","OK")))</f>
        <v/>
      </c>
      <c r="L561" s="24">
        <f>IF($A561="","",1)</f>
        <v/>
      </c>
    </row>
    <row r="562">
      <c r="A562" s="12" t="n"/>
      <c r="B562" s="12" t="n"/>
      <c r="C562" s="12" t="n"/>
      <c r="D562" s="12" t="n"/>
      <c r="E562" s="14" t="n"/>
      <c r="F562" s="14" t="n"/>
      <c r="G562" s="14" t="n"/>
      <c r="H562" s="15" t="n"/>
      <c r="I562" s="24">
        <f>IF($A562="","",IF($B562="","YETİM",IF(COUNTIF(tblKartlar[KartId],$B562)=0,"YETİM","")))</f>
        <v/>
      </c>
      <c r="J562" s="24">
        <f>IF(OR($A562="",$C562=""),"",IF(OR($C562&amp;"|"&amp;$D562="",COUNTIF(ListeIzinliGecis,$C562&amp;"|"&amp;$D562)&gt;0),"","GEÇERSİZ GEÇİŞ"))</f>
        <v/>
      </c>
      <c r="K562" s="24">
        <f>IF($A562="","",IF(OR($E562="",$G562=""),"",IF(ABS($G562-$E562)&gt;zincirTolerans,"ZİNCİR KIRIK","OK")))</f>
        <v/>
      </c>
      <c r="L562" s="24">
        <f>IF($A562="","",1)</f>
        <v/>
      </c>
    </row>
    <row r="563">
      <c r="A563" s="12" t="n"/>
      <c r="B563" s="12" t="n"/>
      <c r="C563" s="12" t="n"/>
      <c r="D563" s="12" t="n"/>
      <c r="E563" s="14" t="n"/>
      <c r="F563" s="14" t="n"/>
      <c r="G563" s="14" t="n"/>
      <c r="H563" s="15" t="n"/>
      <c r="I563" s="24">
        <f>IF($A563="","",IF($B563="","YETİM",IF(COUNTIF(tblKartlar[KartId],$B563)=0,"YETİM","")))</f>
        <v/>
      </c>
      <c r="J563" s="24">
        <f>IF(OR($A563="",$C563=""),"",IF(OR($C563&amp;"|"&amp;$D563="",COUNTIF(ListeIzinliGecis,$C563&amp;"|"&amp;$D563)&gt;0),"","GEÇERSİZ GEÇİŞ"))</f>
        <v/>
      </c>
      <c r="K563" s="24">
        <f>IF($A563="","",IF(OR($E563="",$G563=""),"",IF(ABS($G563-$E563)&gt;zincirTolerans,"ZİNCİR KIRIK","OK")))</f>
        <v/>
      </c>
      <c r="L563" s="24">
        <f>IF($A563="","",1)</f>
        <v/>
      </c>
    </row>
    <row r="564">
      <c r="A564" s="12" t="n"/>
      <c r="B564" s="12" t="n"/>
      <c r="C564" s="12" t="n"/>
      <c r="D564" s="12" t="n"/>
      <c r="E564" s="14" t="n"/>
      <c r="F564" s="14" t="n"/>
      <c r="G564" s="14" t="n"/>
      <c r="H564" s="15" t="n"/>
      <c r="I564" s="24">
        <f>IF($A564="","",IF($B564="","YETİM",IF(COUNTIF(tblKartlar[KartId],$B564)=0,"YETİM","")))</f>
        <v/>
      </c>
      <c r="J564" s="24">
        <f>IF(OR($A564="",$C564=""),"",IF(OR($C564&amp;"|"&amp;$D564="",COUNTIF(ListeIzinliGecis,$C564&amp;"|"&amp;$D564)&gt;0),"","GEÇERSİZ GEÇİŞ"))</f>
        <v/>
      </c>
      <c r="K564" s="24">
        <f>IF($A564="","",IF(OR($E564="",$G564=""),"",IF(ABS($G564-$E564)&gt;zincirTolerans,"ZİNCİR KIRIK","OK")))</f>
        <v/>
      </c>
      <c r="L564" s="24">
        <f>IF($A564="","",1)</f>
        <v/>
      </c>
    </row>
    <row r="565">
      <c r="A565" s="12" t="n"/>
      <c r="B565" s="12" t="n"/>
      <c r="C565" s="12" t="n"/>
      <c r="D565" s="12" t="n"/>
      <c r="E565" s="14" t="n"/>
      <c r="F565" s="14" t="n"/>
      <c r="G565" s="14" t="n"/>
      <c r="H565" s="15" t="n"/>
      <c r="I565" s="24">
        <f>IF($A565="","",IF($B565="","YETİM",IF(COUNTIF(tblKartlar[KartId],$B565)=0,"YETİM","")))</f>
        <v/>
      </c>
      <c r="J565" s="24">
        <f>IF(OR($A565="",$C565=""),"",IF(OR($C565&amp;"|"&amp;$D565="",COUNTIF(ListeIzinliGecis,$C565&amp;"|"&amp;$D565)&gt;0),"","GEÇERSİZ GEÇİŞ"))</f>
        <v/>
      </c>
      <c r="K565" s="24">
        <f>IF($A565="","",IF(OR($E565="",$G565=""),"",IF(ABS($G565-$E565)&gt;zincirTolerans,"ZİNCİR KIRIK","OK")))</f>
        <v/>
      </c>
      <c r="L565" s="24">
        <f>IF($A565="","",1)</f>
        <v/>
      </c>
    </row>
    <row r="566">
      <c r="A566" s="12" t="n"/>
      <c r="B566" s="12" t="n"/>
      <c r="C566" s="12" t="n"/>
      <c r="D566" s="12" t="n"/>
      <c r="E566" s="14" t="n"/>
      <c r="F566" s="14" t="n"/>
      <c r="G566" s="14" t="n"/>
      <c r="H566" s="15" t="n"/>
      <c r="I566" s="24">
        <f>IF($A566="","",IF($B566="","YETİM",IF(COUNTIF(tblKartlar[KartId],$B566)=0,"YETİM","")))</f>
        <v/>
      </c>
      <c r="J566" s="24">
        <f>IF(OR($A566="",$C566=""),"",IF(OR($C566&amp;"|"&amp;$D566="",COUNTIF(ListeIzinliGecis,$C566&amp;"|"&amp;$D566)&gt;0),"","GEÇERSİZ GEÇİŞ"))</f>
        <v/>
      </c>
      <c r="K566" s="24">
        <f>IF($A566="","",IF(OR($E566="",$G566=""),"",IF(ABS($G566-$E566)&gt;zincirTolerans,"ZİNCİR KIRIK","OK")))</f>
        <v/>
      </c>
      <c r="L566" s="24">
        <f>IF($A566="","",1)</f>
        <v/>
      </c>
    </row>
    <row r="567">
      <c r="A567" s="12" t="n"/>
      <c r="B567" s="12" t="n"/>
      <c r="C567" s="12" t="n"/>
      <c r="D567" s="12" t="n"/>
      <c r="E567" s="14" t="n"/>
      <c r="F567" s="14" t="n"/>
      <c r="G567" s="14" t="n"/>
      <c r="H567" s="15" t="n"/>
      <c r="I567" s="24">
        <f>IF($A567="","",IF($B567="","YETİM",IF(COUNTIF(tblKartlar[KartId],$B567)=0,"YETİM","")))</f>
        <v/>
      </c>
      <c r="J567" s="24">
        <f>IF(OR($A567="",$C567=""),"",IF(OR($C567&amp;"|"&amp;$D567="",COUNTIF(ListeIzinliGecis,$C567&amp;"|"&amp;$D567)&gt;0),"","GEÇERSİZ GEÇİŞ"))</f>
        <v/>
      </c>
      <c r="K567" s="24">
        <f>IF($A567="","",IF(OR($E567="",$G567=""),"",IF(ABS($G567-$E567)&gt;zincirTolerans,"ZİNCİR KIRIK","OK")))</f>
        <v/>
      </c>
      <c r="L567" s="24">
        <f>IF($A567="","",1)</f>
        <v/>
      </c>
    </row>
    <row r="568">
      <c r="A568" s="12" t="n"/>
      <c r="B568" s="12" t="n"/>
      <c r="C568" s="12" t="n"/>
      <c r="D568" s="12" t="n"/>
      <c r="E568" s="14" t="n"/>
      <c r="F568" s="14" t="n"/>
      <c r="G568" s="14" t="n"/>
      <c r="H568" s="15" t="n"/>
      <c r="I568" s="24">
        <f>IF($A568="","",IF($B568="","YETİM",IF(COUNTIF(tblKartlar[KartId],$B568)=0,"YETİM","")))</f>
        <v/>
      </c>
      <c r="J568" s="24">
        <f>IF(OR($A568="",$C568=""),"",IF(OR($C568&amp;"|"&amp;$D568="",COUNTIF(ListeIzinliGecis,$C568&amp;"|"&amp;$D568)&gt;0),"","GEÇERSİZ GEÇİŞ"))</f>
        <v/>
      </c>
      <c r="K568" s="24">
        <f>IF($A568="","",IF(OR($E568="",$G568=""),"",IF(ABS($G568-$E568)&gt;zincirTolerans,"ZİNCİR KIRIK","OK")))</f>
        <v/>
      </c>
      <c r="L568" s="24">
        <f>IF($A568="","",1)</f>
        <v/>
      </c>
    </row>
    <row r="569">
      <c r="A569" s="12" t="n"/>
      <c r="B569" s="12" t="n"/>
      <c r="C569" s="12" t="n"/>
      <c r="D569" s="12" t="n"/>
      <c r="E569" s="14" t="n"/>
      <c r="F569" s="14" t="n"/>
      <c r="G569" s="14" t="n"/>
      <c r="H569" s="15" t="n"/>
      <c r="I569" s="24">
        <f>IF($A569="","",IF($B569="","YETİM",IF(COUNTIF(tblKartlar[KartId],$B569)=0,"YETİM","")))</f>
        <v/>
      </c>
      <c r="J569" s="24">
        <f>IF(OR($A569="",$C569=""),"",IF(OR($C569&amp;"|"&amp;$D569="",COUNTIF(ListeIzinliGecis,$C569&amp;"|"&amp;$D569)&gt;0),"","GEÇERSİZ GEÇİŞ"))</f>
        <v/>
      </c>
      <c r="K569" s="24">
        <f>IF($A569="","",IF(OR($E569="",$G569=""),"",IF(ABS($G569-$E569)&gt;zincirTolerans,"ZİNCİR KIRIK","OK")))</f>
        <v/>
      </c>
      <c r="L569" s="24">
        <f>IF($A569="","",1)</f>
        <v/>
      </c>
    </row>
    <row r="570">
      <c r="A570" s="12" t="n"/>
      <c r="B570" s="12" t="n"/>
      <c r="C570" s="12" t="n"/>
      <c r="D570" s="12" t="n"/>
      <c r="E570" s="14" t="n"/>
      <c r="F570" s="14" t="n"/>
      <c r="G570" s="14" t="n"/>
      <c r="H570" s="15" t="n"/>
      <c r="I570" s="24">
        <f>IF($A570="","",IF($B570="","YETİM",IF(COUNTIF(tblKartlar[KartId],$B570)=0,"YETİM","")))</f>
        <v/>
      </c>
      <c r="J570" s="24">
        <f>IF(OR($A570="",$C570=""),"",IF(OR($C570&amp;"|"&amp;$D570="",COUNTIF(ListeIzinliGecis,$C570&amp;"|"&amp;$D570)&gt;0),"","GEÇERSİZ GEÇİŞ"))</f>
        <v/>
      </c>
      <c r="K570" s="24">
        <f>IF($A570="","",IF(OR($E570="",$G570=""),"",IF(ABS($G570-$E570)&gt;zincirTolerans,"ZİNCİR KIRIK","OK")))</f>
        <v/>
      </c>
      <c r="L570" s="24">
        <f>IF($A570="","",1)</f>
        <v/>
      </c>
    </row>
    <row r="571">
      <c r="A571" s="12" t="n"/>
      <c r="B571" s="12" t="n"/>
      <c r="C571" s="12" t="n"/>
      <c r="D571" s="12" t="n"/>
      <c r="E571" s="14" t="n"/>
      <c r="F571" s="14" t="n"/>
      <c r="G571" s="14" t="n"/>
      <c r="H571" s="15" t="n"/>
      <c r="I571" s="24">
        <f>IF($A571="","",IF($B571="","YETİM",IF(COUNTIF(tblKartlar[KartId],$B571)=0,"YETİM","")))</f>
        <v/>
      </c>
      <c r="J571" s="24">
        <f>IF(OR($A571="",$C571=""),"",IF(OR($C571&amp;"|"&amp;$D571="",COUNTIF(ListeIzinliGecis,$C571&amp;"|"&amp;$D571)&gt;0),"","GEÇERSİZ GEÇİŞ"))</f>
        <v/>
      </c>
      <c r="K571" s="24">
        <f>IF($A571="","",IF(OR($E571="",$G571=""),"",IF(ABS($G571-$E571)&gt;zincirTolerans,"ZİNCİR KIRIK","OK")))</f>
        <v/>
      </c>
      <c r="L571" s="24">
        <f>IF($A571="","",1)</f>
        <v/>
      </c>
    </row>
    <row r="572">
      <c r="A572" s="12" t="n"/>
      <c r="B572" s="12" t="n"/>
      <c r="C572" s="12" t="n"/>
      <c r="D572" s="12" t="n"/>
      <c r="E572" s="14" t="n"/>
      <c r="F572" s="14" t="n"/>
      <c r="G572" s="14" t="n"/>
      <c r="H572" s="15" t="n"/>
      <c r="I572" s="24">
        <f>IF($A572="","",IF($B572="","YETİM",IF(COUNTIF(tblKartlar[KartId],$B572)=0,"YETİM","")))</f>
        <v/>
      </c>
      <c r="J572" s="24">
        <f>IF(OR($A572="",$C572=""),"",IF(OR($C572&amp;"|"&amp;$D572="",COUNTIF(ListeIzinliGecis,$C572&amp;"|"&amp;$D572)&gt;0),"","GEÇERSİZ GEÇİŞ"))</f>
        <v/>
      </c>
      <c r="K572" s="24">
        <f>IF($A572="","",IF(OR($E572="",$G572=""),"",IF(ABS($G572-$E572)&gt;zincirTolerans,"ZİNCİR KIRIK","OK")))</f>
        <v/>
      </c>
      <c r="L572" s="24">
        <f>IF($A572="","",1)</f>
        <v/>
      </c>
    </row>
    <row r="573">
      <c r="A573" s="12" t="n"/>
      <c r="B573" s="12" t="n"/>
      <c r="C573" s="12" t="n"/>
      <c r="D573" s="12" t="n"/>
      <c r="E573" s="14" t="n"/>
      <c r="F573" s="14" t="n"/>
      <c r="G573" s="14" t="n"/>
      <c r="H573" s="15" t="n"/>
      <c r="I573" s="24">
        <f>IF($A573="","",IF($B573="","YETİM",IF(COUNTIF(tblKartlar[KartId],$B573)=0,"YETİM","")))</f>
        <v/>
      </c>
      <c r="J573" s="24">
        <f>IF(OR($A573="",$C573=""),"",IF(OR($C573&amp;"|"&amp;$D573="",COUNTIF(ListeIzinliGecis,$C573&amp;"|"&amp;$D573)&gt;0),"","GEÇERSİZ GEÇİŞ"))</f>
        <v/>
      </c>
      <c r="K573" s="24">
        <f>IF($A573="","",IF(OR($E573="",$G573=""),"",IF(ABS($G573-$E573)&gt;zincirTolerans,"ZİNCİR KIRIK","OK")))</f>
        <v/>
      </c>
      <c r="L573" s="24">
        <f>IF($A573="","",1)</f>
        <v/>
      </c>
    </row>
    <row r="574">
      <c r="A574" s="12" t="n"/>
      <c r="B574" s="12" t="n"/>
      <c r="C574" s="12" t="n"/>
      <c r="D574" s="12" t="n"/>
      <c r="E574" s="14" t="n"/>
      <c r="F574" s="14" t="n"/>
      <c r="G574" s="14" t="n"/>
      <c r="H574" s="15" t="n"/>
      <c r="I574" s="24">
        <f>IF($A574="","",IF($B574="","YETİM",IF(COUNTIF(tblKartlar[KartId],$B574)=0,"YETİM","")))</f>
        <v/>
      </c>
      <c r="J574" s="24">
        <f>IF(OR($A574="",$C574=""),"",IF(OR($C574&amp;"|"&amp;$D574="",COUNTIF(ListeIzinliGecis,$C574&amp;"|"&amp;$D574)&gt;0),"","GEÇERSİZ GEÇİŞ"))</f>
        <v/>
      </c>
      <c r="K574" s="24">
        <f>IF($A574="","",IF(OR($E574="",$G574=""),"",IF(ABS($G574-$E574)&gt;zincirTolerans,"ZİNCİR KIRIK","OK")))</f>
        <v/>
      </c>
      <c r="L574" s="24">
        <f>IF($A574="","",1)</f>
        <v/>
      </c>
    </row>
    <row r="575">
      <c r="A575" s="12" t="n"/>
      <c r="B575" s="12" t="n"/>
      <c r="C575" s="12" t="n"/>
      <c r="D575" s="12" t="n"/>
      <c r="E575" s="14" t="n"/>
      <c r="F575" s="14" t="n"/>
      <c r="G575" s="14" t="n"/>
      <c r="H575" s="15" t="n"/>
      <c r="I575" s="24">
        <f>IF($A575="","",IF($B575="","YETİM",IF(COUNTIF(tblKartlar[KartId],$B575)=0,"YETİM","")))</f>
        <v/>
      </c>
      <c r="J575" s="24">
        <f>IF(OR($A575="",$C575=""),"",IF(OR($C575&amp;"|"&amp;$D575="",COUNTIF(ListeIzinliGecis,$C575&amp;"|"&amp;$D575)&gt;0),"","GEÇERSİZ GEÇİŞ"))</f>
        <v/>
      </c>
      <c r="K575" s="24">
        <f>IF($A575="","",IF(OR($E575="",$G575=""),"",IF(ABS($G575-$E575)&gt;zincirTolerans,"ZİNCİR KIRIK","OK")))</f>
        <v/>
      </c>
      <c r="L575" s="24">
        <f>IF($A575="","",1)</f>
        <v/>
      </c>
    </row>
    <row r="576">
      <c r="A576" s="12" t="n"/>
      <c r="B576" s="12" t="n"/>
      <c r="C576" s="12" t="n"/>
      <c r="D576" s="12" t="n"/>
      <c r="E576" s="14" t="n"/>
      <c r="F576" s="14" t="n"/>
      <c r="G576" s="14" t="n"/>
      <c r="H576" s="15" t="n"/>
      <c r="I576" s="24">
        <f>IF($A576="","",IF($B576="","YETİM",IF(COUNTIF(tblKartlar[KartId],$B576)=0,"YETİM","")))</f>
        <v/>
      </c>
      <c r="J576" s="24">
        <f>IF(OR($A576="",$C576=""),"",IF(OR($C576&amp;"|"&amp;$D576="",COUNTIF(ListeIzinliGecis,$C576&amp;"|"&amp;$D576)&gt;0),"","GEÇERSİZ GEÇİŞ"))</f>
        <v/>
      </c>
      <c r="K576" s="24">
        <f>IF($A576="","",IF(OR($E576="",$G576=""),"",IF(ABS($G576-$E576)&gt;zincirTolerans,"ZİNCİR KIRIK","OK")))</f>
        <v/>
      </c>
      <c r="L576" s="24">
        <f>IF($A576="","",1)</f>
        <v/>
      </c>
    </row>
    <row r="577">
      <c r="A577" s="12" t="n"/>
      <c r="B577" s="12" t="n"/>
      <c r="C577" s="12" t="n"/>
      <c r="D577" s="12" t="n"/>
      <c r="E577" s="14" t="n"/>
      <c r="F577" s="14" t="n"/>
      <c r="G577" s="14" t="n"/>
      <c r="H577" s="15" t="n"/>
      <c r="I577" s="24">
        <f>IF($A577="","",IF($B577="","YETİM",IF(COUNTIF(tblKartlar[KartId],$B577)=0,"YETİM","")))</f>
        <v/>
      </c>
      <c r="J577" s="24">
        <f>IF(OR($A577="",$C577=""),"",IF(OR($C577&amp;"|"&amp;$D577="",COUNTIF(ListeIzinliGecis,$C577&amp;"|"&amp;$D577)&gt;0),"","GEÇERSİZ GEÇİŞ"))</f>
        <v/>
      </c>
      <c r="K577" s="24">
        <f>IF($A577="","",IF(OR($E577="",$G577=""),"",IF(ABS($G577-$E577)&gt;zincirTolerans,"ZİNCİR KIRIK","OK")))</f>
        <v/>
      </c>
      <c r="L577" s="24">
        <f>IF($A577="","",1)</f>
        <v/>
      </c>
    </row>
    <row r="578">
      <c r="A578" s="12" t="n"/>
      <c r="B578" s="12" t="n"/>
      <c r="C578" s="12" t="n"/>
      <c r="D578" s="12" t="n"/>
      <c r="E578" s="14" t="n"/>
      <c r="F578" s="14" t="n"/>
      <c r="G578" s="14" t="n"/>
      <c r="H578" s="15" t="n"/>
      <c r="I578" s="24">
        <f>IF($A578="","",IF($B578="","YETİM",IF(COUNTIF(tblKartlar[KartId],$B578)=0,"YETİM","")))</f>
        <v/>
      </c>
      <c r="J578" s="24">
        <f>IF(OR($A578="",$C578=""),"",IF(OR($C578&amp;"|"&amp;$D578="",COUNTIF(ListeIzinliGecis,$C578&amp;"|"&amp;$D578)&gt;0),"","GEÇERSİZ GEÇİŞ"))</f>
        <v/>
      </c>
      <c r="K578" s="24">
        <f>IF($A578="","",IF(OR($E578="",$G578=""),"",IF(ABS($G578-$E578)&gt;zincirTolerans,"ZİNCİR KIRIK","OK")))</f>
        <v/>
      </c>
      <c r="L578" s="24">
        <f>IF($A578="","",1)</f>
        <v/>
      </c>
    </row>
    <row r="579">
      <c r="A579" s="12" t="n"/>
      <c r="B579" s="12" t="n"/>
      <c r="C579" s="12" t="n"/>
      <c r="D579" s="12" t="n"/>
      <c r="E579" s="14" t="n"/>
      <c r="F579" s="14" t="n"/>
      <c r="G579" s="14" t="n"/>
      <c r="H579" s="15" t="n"/>
      <c r="I579" s="24">
        <f>IF($A579="","",IF($B579="","YETİM",IF(COUNTIF(tblKartlar[KartId],$B579)=0,"YETİM","")))</f>
        <v/>
      </c>
      <c r="J579" s="24">
        <f>IF(OR($A579="",$C579=""),"",IF(OR($C579&amp;"|"&amp;$D579="",COUNTIF(ListeIzinliGecis,$C579&amp;"|"&amp;$D579)&gt;0),"","GEÇERSİZ GEÇİŞ"))</f>
        <v/>
      </c>
      <c r="K579" s="24">
        <f>IF($A579="","",IF(OR($E579="",$G579=""),"",IF(ABS($G579-$E579)&gt;zincirTolerans,"ZİNCİR KIRIK","OK")))</f>
        <v/>
      </c>
      <c r="L579" s="24">
        <f>IF($A579="","",1)</f>
        <v/>
      </c>
    </row>
    <row r="580">
      <c r="A580" s="12" t="n"/>
      <c r="B580" s="12" t="n"/>
      <c r="C580" s="12" t="n"/>
      <c r="D580" s="12" t="n"/>
      <c r="E580" s="14" t="n"/>
      <c r="F580" s="14" t="n"/>
      <c r="G580" s="14" t="n"/>
      <c r="H580" s="15" t="n"/>
      <c r="I580" s="24">
        <f>IF($A580="","",IF($B580="","YETİM",IF(COUNTIF(tblKartlar[KartId],$B580)=0,"YETİM","")))</f>
        <v/>
      </c>
      <c r="J580" s="24">
        <f>IF(OR($A580="",$C580=""),"",IF(OR($C580&amp;"|"&amp;$D580="",COUNTIF(ListeIzinliGecis,$C580&amp;"|"&amp;$D580)&gt;0),"","GEÇERSİZ GEÇİŞ"))</f>
        <v/>
      </c>
      <c r="K580" s="24">
        <f>IF($A580="","",IF(OR($E580="",$G580=""),"",IF(ABS($G580-$E580)&gt;zincirTolerans,"ZİNCİR KIRIK","OK")))</f>
        <v/>
      </c>
      <c r="L580" s="24">
        <f>IF($A580="","",1)</f>
        <v/>
      </c>
    </row>
    <row r="581">
      <c r="A581" s="12" t="n"/>
      <c r="B581" s="12" t="n"/>
      <c r="C581" s="12" t="n"/>
      <c r="D581" s="12" t="n"/>
      <c r="E581" s="14" t="n"/>
      <c r="F581" s="14" t="n"/>
      <c r="G581" s="14" t="n"/>
      <c r="H581" s="15" t="n"/>
      <c r="I581" s="24">
        <f>IF($A581="","",IF($B581="","YETİM",IF(COUNTIF(tblKartlar[KartId],$B581)=0,"YETİM","")))</f>
        <v/>
      </c>
      <c r="J581" s="24">
        <f>IF(OR($A581="",$C581=""),"",IF(OR($C581&amp;"|"&amp;$D581="",COUNTIF(ListeIzinliGecis,$C581&amp;"|"&amp;$D581)&gt;0),"","GEÇERSİZ GEÇİŞ"))</f>
        <v/>
      </c>
      <c r="K581" s="24">
        <f>IF($A581="","",IF(OR($E581="",$G581=""),"",IF(ABS($G581-$E581)&gt;zincirTolerans,"ZİNCİR KIRIK","OK")))</f>
        <v/>
      </c>
      <c r="L581" s="24">
        <f>IF($A581="","",1)</f>
        <v/>
      </c>
    </row>
    <row r="582">
      <c r="A582" s="12" t="n"/>
      <c r="B582" s="12" t="n"/>
      <c r="C582" s="12" t="n"/>
      <c r="D582" s="12" t="n"/>
      <c r="E582" s="14" t="n"/>
      <c r="F582" s="14" t="n"/>
      <c r="G582" s="14" t="n"/>
      <c r="H582" s="15" t="n"/>
      <c r="I582" s="24">
        <f>IF($A582="","",IF($B582="","YETİM",IF(COUNTIF(tblKartlar[KartId],$B582)=0,"YETİM","")))</f>
        <v/>
      </c>
      <c r="J582" s="24">
        <f>IF(OR($A582="",$C582=""),"",IF(OR($C582&amp;"|"&amp;$D582="",COUNTIF(ListeIzinliGecis,$C582&amp;"|"&amp;$D582)&gt;0),"","GEÇERSİZ GEÇİŞ"))</f>
        <v/>
      </c>
      <c r="K582" s="24">
        <f>IF($A582="","",IF(OR($E582="",$G582=""),"",IF(ABS($G582-$E582)&gt;zincirTolerans,"ZİNCİR KIRIK","OK")))</f>
        <v/>
      </c>
      <c r="L582" s="24">
        <f>IF($A582="","",1)</f>
        <v/>
      </c>
    </row>
    <row r="583">
      <c r="A583" s="12" t="n"/>
      <c r="B583" s="12" t="n"/>
      <c r="C583" s="12" t="n"/>
      <c r="D583" s="12" t="n"/>
      <c r="E583" s="14" t="n"/>
      <c r="F583" s="14" t="n"/>
      <c r="G583" s="14" t="n"/>
      <c r="H583" s="15" t="n"/>
      <c r="I583" s="24">
        <f>IF($A583="","",IF($B583="","YETİM",IF(COUNTIF(tblKartlar[KartId],$B583)=0,"YETİM","")))</f>
        <v/>
      </c>
      <c r="J583" s="24">
        <f>IF(OR($A583="",$C583=""),"",IF(OR($C583&amp;"|"&amp;$D583="",COUNTIF(ListeIzinliGecis,$C583&amp;"|"&amp;$D583)&gt;0),"","GEÇERSİZ GEÇİŞ"))</f>
        <v/>
      </c>
      <c r="K583" s="24">
        <f>IF($A583="","",IF(OR($E583="",$G583=""),"",IF(ABS($G583-$E583)&gt;zincirTolerans,"ZİNCİR KIRIK","OK")))</f>
        <v/>
      </c>
      <c r="L583" s="24">
        <f>IF($A583="","",1)</f>
        <v/>
      </c>
    </row>
    <row r="584">
      <c r="A584" s="12" t="n"/>
      <c r="B584" s="12" t="n"/>
      <c r="C584" s="12" t="n"/>
      <c r="D584" s="12" t="n"/>
      <c r="E584" s="14" t="n"/>
      <c r="F584" s="14" t="n"/>
      <c r="G584" s="14" t="n"/>
      <c r="H584" s="15" t="n"/>
      <c r="I584" s="24">
        <f>IF($A584="","",IF($B584="","YETİM",IF(COUNTIF(tblKartlar[KartId],$B584)=0,"YETİM","")))</f>
        <v/>
      </c>
      <c r="J584" s="24">
        <f>IF(OR($A584="",$C584=""),"",IF(OR($C584&amp;"|"&amp;$D584="",COUNTIF(ListeIzinliGecis,$C584&amp;"|"&amp;$D584)&gt;0),"","GEÇERSİZ GEÇİŞ"))</f>
        <v/>
      </c>
      <c r="K584" s="24">
        <f>IF($A584="","",IF(OR($E584="",$G584=""),"",IF(ABS($G584-$E584)&gt;zincirTolerans,"ZİNCİR KIRIK","OK")))</f>
        <v/>
      </c>
      <c r="L584" s="24">
        <f>IF($A584="","",1)</f>
        <v/>
      </c>
    </row>
    <row r="585">
      <c r="A585" s="12" t="n"/>
      <c r="B585" s="12" t="n"/>
      <c r="C585" s="12" t="n"/>
      <c r="D585" s="12" t="n"/>
      <c r="E585" s="14" t="n"/>
      <c r="F585" s="14" t="n"/>
      <c r="G585" s="14" t="n"/>
      <c r="H585" s="15" t="n"/>
      <c r="I585" s="24">
        <f>IF($A585="","",IF($B585="","YETİM",IF(COUNTIF(tblKartlar[KartId],$B585)=0,"YETİM","")))</f>
        <v/>
      </c>
      <c r="J585" s="24">
        <f>IF(OR($A585="",$C585=""),"",IF(OR($C585&amp;"|"&amp;$D585="",COUNTIF(ListeIzinliGecis,$C585&amp;"|"&amp;$D585)&gt;0),"","GEÇERSİZ GEÇİŞ"))</f>
        <v/>
      </c>
      <c r="K585" s="24">
        <f>IF($A585="","",IF(OR($E585="",$G585=""),"",IF(ABS($G585-$E585)&gt;zincirTolerans,"ZİNCİR KIRIK","OK")))</f>
        <v/>
      </c>
      <c r="L585" s="24">
        <f>IF($A585="","",1)</f>
        <v/>
      </c>
    </row>
    <row r="586">
      <c r="A586" s="12" t="n"/>
      <c r="B586" s="12" t="n"/>
      <c r="C586" s="12" t="n"/>
      <c r="D586" s="12" t="n"/>
      <c r="E586" s="14" t="n"/>
      <c r="F586" s="14" t="n"/>
      <c r="G586" s="14" t="n"/>
      <c r="H586" s="15" t="n"/>
      <c r="I586" s="24">
        <f>IF($A586="","",IF($B586="","YETİM",IF(COUNTIF(tblKartlar[KartId],$B586)=0,"YETİM","")))</f>
        <v/>
      </c>
      <c r="J586" s="24">
        <f>IF(OR($A586="",$C586=""),"",IF(OR($C586&amp;"|"&amp;$D586="",COUNTIF(ListeIzinliGecis,$C586&amp;"|"&amp;$D586)&gt;0),"","GEÇERSİZ GEÇİŞ"))</f>
        <v/>
      </c>
      <c r="K586" s="24">
        <f>IF($A586="","",IF(OR($E586="",$G586=""),"",IF(ABS($G586-$E586)&gt;zincirTolerans,"ZİNCİR KIRIK","OK")))</f>
        <v/>
      </c>
      <c r="L586" s="24">
        <f>IF($A586="","",1)</f>
        <v/>
      </c>
    </row>
    <row r="587">
      <c r="A587" s="12" t="n"/>
      <c r="B587" s="12" t="n"/>
      <c r="C587" s="12" t="n"/>
      <c r="D587" s="12" t="n"/>
      <c r="E587" s="14" t="n"/>
      <c r="F587" s="14" t="n"/>
      <c r="G587" s="14" t="n"/>
      <c r="H587" s="15" t="n"/>
      <c r="I587" s="24">
        <f>IF($A587="","",IF($B587="","YETİM",IF(COUNTIF(tblKartlar[KartId],$B587)=0,"YETİM","")))</f>
        <v/>
      </c>
      <c r="J587" s="24">
        <f>IF(OR($A587="",$C587=""),"",IF(OR($C587&amp;"|"&amp;$D587="",COUNTIF(ListeIzinliGecis,$C587&amp;"|"&amp;$D587)&gt;0),"","GEÇERSİZ GEÇİŞ"))</f>
        <v/>
      </c>
      <c r="K587" s="24">
        <f>IF($A587="","",IF(OR($E587="",$G587=""),"",IF(ABS($G587-$E587)&gt;zincirTolerans,"ZİNCİR KIRIK","OK")))</f>
        <v/>
      </c>
      <c r="L587" s="24">
        <f>IF($A587="","",1)</f>
        <v/>
      </c>
    </row>
    <row r="588">
      <c r="A588" s="12" t="n"/>
      <c r="B588" s="12" t="n"/>
      <c r="C588" s="12" t="n"/>
      <c r="D588" s="12" t="n"/>
      <c r="E588" s="14" t="n"/>
      <c r="F588" s="14" t="n"/>
      <c r="G588" s="14" t="n"/>
      <c r="H588" s="15" t="n"/>
      <c r="I588" s="24">
        <f>IF($A588="","",IF($B588="","YETİM",IF(COUNTIF(tblKartlar[KartId],$B588)=0,"YETİM","")))</f>
        <v/>
      </c>
      <c r="J588" s="24">
        <f>IF(OR($A588="",$C588=""),"",IF(OR($C588&amp;"|"&amp;$D588="",COUNTIF(ListeIzinliGecis,$C588&amp;"|"&amp;$D588)&gt;0),"","GEÇERSİZ GEÇİŞ"))</f>
        <v/>
      </c>
      <c r="K588" s="24">
        <f>IF($A588="","",IF(OR($E588="",$G588=""),"",IF(ABS($G588-$E588)&gt;zincirTolerans,"ZİNCİR KIRIK","OK")))</f>
        <v/>
      </c>
      <c r="L588" s="24">
        <f>IF($A588="","",1)</f>
        <v/>
      </c>
    </row>
    <row r="589">
      <c r="A589" s="12" t="n"/>
      <c r="B589" s="12" t="n"/>
      <c r="C589" s="12" t="n"/>
      <c r="D589" s="12" t="n"/>
      <c r="E589" s="14" t="n"/>
      <c r="F589" s="14" t="n"/>
      <c r="G589" s="14" t="n"/>
      <c r="H589" s="15" t="n"/>
      <c r="I589" s="24">
        <f>IF($A589="","",IF($B589="","YETİM",IF(COUNTIF(tblKartlar[KartId],$B589)=0,"YETİM","")))</f>
        <v/>
      </c>
      <c r="J589" s="24">
        <f>IF(OR($A589="",$C589=""),"",IF(OR($C589&amp;"|"&amp;$D589="",COUNTIF(ListeIzinliGecis,$C589&amp;"|"&amp;$D589)&gt;0),"","GEÇERSİZ GEÇİŞ"))</f>
        <v/>
      </c>
      <c r="K589" s="24">
        <f>IF($A589="","",IF(OR($E589="",$G589=""),"",IF(ABS($G589-$E589)&gt;zincirTolerans,"ZİNCİR KIRIK","OK")))</f>
        <v/>
      </c>
      <c r="L589" s="24">
        <f>IF($A589="","",1)</f>
        <v/>
      </c>
    </row>
    <row r="590">
      <c r="A590" s="12" t="n"/>
      <c r="B590" s="12" t="n"/>
      <c r="C590" s="12" t="n"/>
      <c r="D590" s="12" t="n"/>
      <c r="E590" s="14" t="n"/>
      <c r="F590" s="14" t="n"/>
      <c r="G590" s="14" t="n"/>
      <c r="H590" s="15" t="n"/>
      <c r="I590" s="24">
        <f>IF($A590="","",IF($B590="","YETİM",IF(COUNTIF(tblKartlar[KartId],$B590)=0,"YETİM","")))</f>
        <v/>
      </c>
      <c r="J590" s="24">
        <f>IF(OR($A590="",$C590=""),"",IF(OR($C590&amp;"|"&amp;$D590="",COUNTIF(ListeIzinliGecis,$C590&amp;"|"&amp;$D590)&gt;0),"","GEÇERSİZ GEÇİŞ"))</f>
        <v/>
      </c>
      <c r="K590" s="24">
        <f>IF($A590="","",IF(OR($E590="",$G590=""),"",IF(ABS($G590-$E590)&gt;zincirTolerans,"ZİNCİR KIRIK","OK")))</f>
        <v/>
      </c>
      <c r="L590" s="24">
        <f>IF($A590="","",1)</f>
        <v/>
      </c>
    </row>
    <row r="591">
      <c r="A591" s="12" t="n"/>
      <c r="B591" s="12" t="n"/>
      <c r="C591" s="12" t="n"/>
      <c r="D591" s="12" t="n"/>
      <c r="E591" s="14" t="n"/>
      <c r="F591" s="14" t="n"/>
      <c r="G591" s="14" t="n"/>
      <c r="H591" s="15" t="n"/>
      <c r="I591" s="24">
        <f>IF($A591="","",IF($B591="","YETİM",IF(COUNTIF(tblKartlar[KartId],$B591)=0,"YETİM","")))</f>
        <v/>
      </c>
      <c r="J591" s="24">
        <f>IF(OR($A591="",$C591=""),"",IF(OR($C591&amp;"|"&amp;$D591="",COUNTIF(ListeIzinliGecis,$C591&amp;"|"&amp;$D591)&gt;0),"","GEÇERSİZ GEÇİŞ"))</f>
        <v/>
      </c>
      <c r="K591" s="24">
        <f>IF($A591="","",IF(OR($E591="",$G591=""),"",IF(ABS($G591-$E591)&gt;zincirTolerans,"ZİNCİR KIRIK","OK")))</f>
        <v/>
      </c>
      <c r="L591" s="24">
        <f>IF($A591="","",1)</f>
        <v/>
      </c>
    </row>
    <row r="592">
      <c r="A592" s="12" t="n"/>
      <c r="B592" s="12" t="n"/>
      <c r="C592" s="12" t="n"/>
      <c r="D592" s="12" t="n"/>
      <c r="E592" s="14" t="n"/>
      <c r="F592" s="14" t="n"/>
      <c r="G592" s="14" t="n"/>
      <c r="H592" s="15" t="n"/>
      <c r="I592" s="24">
        <f>IF($A592="","",IF($B592="","YETİM",IF(COUNTIF(tblKartlar[KartId],$B592)=0,"YETİM","")))</f>
        <v/>
      </c>
      <c r="J592" s="24">
        <f>IF(OR($A592="",$C592=""),"",IF(OR($C592&amp;"|"&amp;$D592="",COUNTIF(ListeIzinliGecis,$C592&amp;"|"&amp;$D592)&gt;0),"","GEÇERSİZ GEÇİŞ"))</f>
        <v/>
      </c>
      <c r="K592" s="24">
        <f>IF($A592="","",IF(OR($E592="",$G592=""),"",IF(ABS($G592-$E592)&gt;zincirTolerans,"ZİNCİR KIRIK","OK")))</f>
        <v/>
      </c>
      <c r="L592" s="24">
        <f>IF($A592="","",1)</f>
        <v/>
      </c>
    </row>
    <row r="593">
      <c r="A593" s="12" t="n"/>
      <c r="B593" s="12" t="n"/>
      <c r="C593" s="12" t="n"/>
      <c r="D593" s="12" t="n"/>
      <c r="E593" s="14" t="n"/>
      <c r="F593" s="14" t="n"/>
      <c r="G593" s="14" t="n"/>
      <c r="H593" s="15" t="n"/>
      <c r="I593" s="24">
        <f>IF($A593="","",IF($B593="","YETİM",IF(COUNTIF(tblKartlar[KartId],$B593)=0,"YETİM","")))</f>
        <v/>
      </c>
      <c r="J593" s="24">
        <f>IF(OR($A593="",$C593=""),"",IF(OR($C593&amp;"|"&amp;$D593="",COUNTIF(ListeIzinliGecis,$C593&amp;"|"&amp;$D593)&gt;0),"","GEÇERSİZ GEÇİŞ"))</f>
        <v/>
      </c>
      <c r="K593" s="24">
        <f>IF($A593="","",IF(OR($E593="",$G593=""),"",IF(ABS($G593-$E593)&gt;zincirTolerans,"ZİNCİR KIRIK","OK")))</f>
        <v/>
      </c>
      <c r="L593" s="24">
        <f>IF($A593="","",1)</f>
        <v/>
      </c>
    </row>
    <row r="594">
      <c r="A594" s="12" t="n"/>
      <c r="B594" s="12" t="n"/>
      <c r="C594" s="12" t="n"/>
      <c r="D594" s="12" t="n"/>
      <c r="E594" s="14" t="n"/>
      <c r="F594" s="14" t="n"/>
      <c r="G594" s="14" t="n"/>
      <c r="H594" s="15" t="n"/>
      <c r="I594" s="24">
        <f>IF($A594="","",IF($B594="","YETİM",IF(COUNTIF(tblKartlar[KartId],$B594)=0,"YETİM","")))</f>
        <v/>
      </c>
      <c r="J594" s="24">
        <f>IF(OR($A594="",$C594=""),"",IF(OR($C594&amp;"|"&amp;$D594="",COUNTIF(ListeIzinliGecis,$C594&amp;"|"&amp;$D594)&gt;0),"","GEÇERSİZ GEÇİŞ"))</f>
        <v/>
      </c>
      <c r="K594" s="24">
        <f>IF($A594="","",IF(OR($E594="",$G594=""),"",IF(ABS($G594-$E594)&gt;zincirTolerans,"ZİNCİR KIRIK","OK")))</f>
        <v/>
      </c>
      <c r="L594" s="24">
        <f>IF($A594="","",1)</f>
        <v/>
      </c>
    </row>
    <row r="595">
      <c r="A595" s="12" t="n"/>
      <c r="B595" s="12" t="n"/>
      <c r="C595" s="12" t="n"/>
      <c r="D595" s="12" t="n"/>
      <c r="E595" s="14" t="n"/>
      <c r="F595" s="14" t="n"/>
      <c r="G595" s="14" t="n"/>
      <c r="H595" s="15" t="n"/>
      <c r="I595" s="24">
        <f>IF($A595="","",IF($B595="","YETİM",IF(COUNTIF(tblKartlar[KartId],$B595)=0,"YETİM","")))</f>
        <v/>
      </c>
      <c r="J595" s="24">
        <f>IF(OR($A595="",$C595=""),"",IF(OR($C595&amp;"|"&amp;$D595="",COUNTIF(ListeIzinliGecis,$C595&amp;"|"&amp;$D595)&gt;0),"","GEÇERSİZ GEÇİŞ"))</f>
        <v/>
      </c>
      <c r="K595" s="24">
        <f>IF($A595="","",IF(OR($E595="",$G595=""),"",IF(ABS($G595-$E595)&gt;zincirTolerans,"ZİNCİR KIRIK","OK")))</f>
        <v/>
      </c>
      <c r="L595" s="24">
        <f>IF($A595="","",1)</f>
        <v/>
      </c>
    </row>
    <row r="596">
      <c r="A596" s="12" t="n"/>
      <c r="B596" s="12" t="n"/>
      <c r="C596" s="12" t="n"/>
      <c r="D596" s="12" t="n"/>
      <c r="E596" s="14" t="n"/>
      <c r="F596" s="14" t="n"/>
      <c r="G596" s="14" t="n"/>
      <c r="H596" s="15" t="n"/>
      <c r="I596" s="24">
        <f>IF($A596="","",IF($B596="","YETİM",IF(COUNTIF(tblKartlar[KartId],$B596)=0,"YETİM","")))</f>
        <v/>
      </c>
      <c r="J596" s="24">
        <f>IF(OR($A596="",$C596=""),"",IF(OR($C596&amp;"|"&amp;$D596="",COUNTIF(ListeIzinliGecis,$C596&amp;"|"&amp;$D596)&gt;0),"","GEÇERSİZ GEÇİŞ"))</f>
        <v/>
      </c>
      <c r="K596" s="24">
        <f>IF($A596="","",IF(OR($E596="",$G596=""),"",IF(ABS($G596-$E596)&gt;zincirTolerans,"ZİNCİR KIRIK","OK")))</f>
        <v/>
      </c>
      <c r="L596" s="24">
        <f>IF($A596="","",1)</f>
        <v/>
      </c>
    </row>
    <row r="597">
      <c r="A597" s="12" t="n"/>
      <c r="B597" s="12" t="n"/>
      <c r="C597" s="12" t="n"/>
      <c r="D597" s="12" t="n"/>
      <c r="E597" s="14" t="n"/>
      <c r="F597" s="14" t="n"/>
      <c r="G597" s="14" t="n"/>
      <c r="H597" s="15" t="n"/>
      <c r="I597" s="24">
        <f>IF($A597="","",IF($B597="","YETİM",IF(COUNTIF(tblKartlar[KartId],$B597)=0,"YETİM","")))</f>
        <v/>
      </c>
      <c r="J597" s="24">
        <f>IF(OR($A597="",$C597=""),"",IF(OR($C597&amp;"|"&amp;$D597="",COUNTIF(ListeIzinliGecis,$C597&amp;"|"&amp;$D597)&gt;0),"","GEÇERSİZ GEÇİŞ"))</f>
        <v/>
      </c>
      <c r="K597" s="24">
        <f>IF($A597="","",IF(OR($E597="",$G597=""),"",IF(ABS($G597-$E597)&gt;zincirTolerans,"ZİNCİR KIRIK","OK")))</f>
        <v/>
      </c>
      <c r="L597" s="24">
        <f>IF($A597="","",1)</f>
        <v/>
      </c>
    </row>
    <row r="598">
      <c r="A598" s="12" t="n"/>
      <c r="B598" s="12" t="n"/>
      <c r="C598" s="12" t="n"/>
      <c r="D598" s="12" t="n"/>
      <c r="E598" s="14" t="n"/>
      <c r="F598" s="14" t="n"/>
      <c r="G598" s="14" t="n"/>
      <c r="H598" s="15" t="n"/>
      <c r="I598" s="24">
        <f>IF($A598="","",IF($B598="","YETİM",IF(COUNTIF(tblKartlar[KartId],$B598)=0,"YETİM","")))</f>
        <v/>
      </c>
      <c r="J598" s="24">
        <f>IF(OR($A598="",$C598=""),"",IF(OR($C598&amp;"|"&amp;$D598="",COUNTIF(ListeIzinliGecis,$C598&amp;"|"&amp;$D598)&gt;0),"","GEÇERSİZ GEÇİŞ"))</f>
        <v/>
      </c>
      <c r="K598" s="24">
        <f>IF($A598="","",IF(OR($E598="",$G598=""),"",IF(ABS($G598-$E598)&gt;zincirTolerans,"ZİNCİR KIRIK","OK")))</f>
        <v/>
      </c>
      <c r="L598" s="24">
        <f>IF($A598="","",1)</f>
        <v/>
      </c>
    </row>
    <row r="599">
      <c r="A599" s="12" t="n"/>
      <c r="B599" s="12" t="n"/>
      <c r="C599" s="12" t="n"/>
      <c r="D599" s="12" t="n"/>
      <c r="E599" s="14" t="n"/>
      <c r="F599" s="14" t="n"/>
      <c r="G599" s="14" t="n"/>
      <c r="H599" s="15" t="n"/>
      <c r="I599" s="24">
        <f>IF($A599="","",IF($B599="","YETİM",IF(COUNTIF(tblKartlar[KartId],$B599)=0,"YETİM","")))</f>
        <v/>
      </c>
      <c r="J599" s="24">
        <f>IF(OR($A599="",$C599=""),"",IF(OR($C599&amp;"|"&amp;$D599="",COUNTIF(ListeIzinliGecis,$C599&amp;"|"&amp;$D599)&gt;0),"","GEÇERSİZ GEÇİŞ"))</f>
        <v/>
      </c>
      <c r="K599" s="24">
        <f>IF($A599="","",IF(OR($E599="",$G599=""),"",IF(ABS($G599-$E599)&gt;zincirTolerans,"ZİNCİR KIRIK","OK")))</f>
        <v/>
      </c>
      <c r="L599" s="24">
        <f>IF($A599="","",1)</f>
        <v/>
      </c>
    </row>
    <row r="600">
      <c r="A600" s="12" t="n"/>
      <c r="B600" s="12" t="n"/>
      <c r="C600" s="12" t="n"/>
      <c r="D600" s="12" t="n"/>
      <c r="E600" s="14" t="n"/>
      <c r="F600" s="14" t="n"/>
      <c r="G600" s="14" t="n"/>
      <c r="H600" s="15" t="n"/>
      <c r="I600" s="24">
        <f>IF($A600="","",IF($B600="","YETİM",IF(COUNTIF(tblKartlar[KartId],$B600)=0,"YETİM","")))</f>
        <v/>
      </c>
      <c r="J600" s="24">
        <f>IF(OR($A600="",$C600=""),"",IF(OR($C600&amp;"|"&amp;$D600="",COUNTIF(ListeIzinliGecis,$C600&amp;"|"&amp;$D600)&gt;0),"","GEÇERSİZ GEÇİŞ"))</f>
        <v/>
      </c>
      <c r="K600" s="24">
        <f>IF($A600="","",IF(OR($E600="",$G600=""),"",IF(ABS($G600-$E600)&gt;zincirTolerans,"ZİNCİR KIRIK","OK")))</f>
        <v/>
      </c>
      <c r="L600" s="24">
        <f>IF($A600="","",1)</f>
        <v/>
      </c>
    </row>
    <row r="601">
      <c r="A601" s="12" t="n"/>
      <c r="B601" s="12" t="n"/>
      <c r="C601" s="12" t="n"/>
      <c r="D601" s="12" t="n"/>
      <c r="E601" s="14" t="n"/>
      <c r="F601" s="14" t="n"/>
      <c r="G601" s="14" t="n"/>
      <c r="H601" s="15" t="n"/>
      <c r="I601" s="24">
        <f>IF($A601="","",IF($B601="","YETİM",IF(COUNTIF(tblKartlar[KartId],$B601)=0,"YETİM","")))</f>
        <v/>
      </c>
      <c r="J601" s="24">
        <f>IF(OR($A601="",$C601=""),"",IF(OR($C601&amp;"|"&amp;$D601="",COUNTIF(ListeIzinliGecis,$C601&amp;"|"&amp;$D601)&gt;0),"","GEÇERSİZ GEÇİŞ"))</f>
        <v/>
      </c>
      <c r="K601" s="24">
        <f>IF($A601="","",IF(OR($E601="",$G601=""),"",IF(ABS($G601-$E601)&gt;zincirTolerans,"ZİNCİR KIRIK","OK")))</f>
        <v/>
      </c>
      <c r="L601" s="24">
        <f>IF($A601="","",1)</f>
        <v/>
      </c>
    </row>
    <row r="602">
      <c r="A602" s="12" t="n"/>
      <c r="B602" s="12" t="n"/>
      <c r="C602" s="12" t="n"/>
      <c r="D602" s="12" t="n"/>
      <c r="E602" s="14" t="n"/>
      <c r="F602" s="14" t="n"/>
      <c r="G602" s="14" t="n"/>
      <c r="H602" s="15" t="n"/>
      <c r="I602" s="24">
        <f>IF($A602="","",IF($B602="","YETİM",IF(COUNTIF(tblKartlar[KartId],$B602)=0,"YETİM","")))</f>
        <v/>
      </c>
      <c r="J602" s="24">
        <f>IF(OR($A602="",$C602=""),"",IF(OR($C602&amp;"|"&amp;$D602="",COUNTIF(ListeIzinliGecis,$C602&amp;"|"&amp;$D602)&gt;0),"","GEÇERSİZ GEÇİŞ"))</f>
        <v/>
      </c>
      <c r="K602" s="24">
        <f>IF($A602="","",IF(OR($E602="",$G602=""),"",IF(ABS($G602-$E602)&gt;zincirTolerans,"ZİNCİR KIRIK","OK")))</f>
        <v/>
      </c>
      <c r="L602" s="24">
        <f>IF($A602="","",1)</f>
        <v/>
      </c>
    </row>
    <row r="603">
      <c r="A603" s="12" t="n"/>
      <c r="B603" s="12" t="n"/>
      <c r="C603" s="12" t="n"/>
      <c r="D603" s="12" t="n"/>
      <c r="E603" s="14" t="n"/>
      <c r="F603" s="14" t="n"/>
      <c r="G603" s="14" t="n"/>
      <c r="H603" s="15" t="n"/>
      <c r="I603" s="24">
        <f>IF($A603="","",IF($B603="","YETİM",IF(COUNTIF(tblKartlar[KartId],$B603)=0,"YETİM","")))</f>
        <v/>
      </c>
      <c r="J603" s="24">
        <f>IF(OR($A603="",$C603=""),"",IF(OR($C603&amp;"|"&amp;$D603="",COUNTIF(ListeIzinliGecis,$C603&amp;"|"&amp;$D603)&gt;0),"","GEÇERSİZ GEÇİŞ"))</f>
        <v/>
      </c>
      <c r="K603" s="24">
        <f>IF($A603="","",IF(OR($E603="",$G603=""),"",IF(ABS($G603-$E603)&gt;zincirTolerans,"ZİNCİR KIRIK","OK")))</f>
        <v/>
      </c>
      <c r="L603" s="24">
        <f>IF($A603="","",1)</f>
        <v/>
      </c>
    </row>
    <row r="604">
      <c r="A604" s="12" t="n"/>
      <c r="B604" s="12" t="n"/>
      <c r="C604" s="12" t="n"/>
      <c r="D604" s="12" t="n"/>
      <c r="E604" s="14" t="n"/>
      <c r="F604" s="14" t="n"/>
      <c r="G604" s="14" t="n"/>
      <c r="H604" s="15" t="n"/>
      <c r="I604" s="24">
        <f>IF($A604="","",IF($B604="","YETİM",IF(COUNTIF(tblKartlar[KartId],$B604)=0,"YETİM","")))</f>
        <v/>
      </c>
      <c r="J604" s="24">
        <f>IF(OR($A604="",$C604=""),"",IF(OR($C604&amp;"|"&amp;$D604="",COUNTIF(ListeIzinliGecis,$C604&amp;"|"&amp;$D604)&gt;0),"","GEÇERSİZ GEÇİŞ"))</f>
        <v/>
      </c>
      <c r="K604" s="24">
        <f>IF($A604="","",IF(OR($E604="",$G604=""),"",IF(ABS($G604-$E604)&gt;zincirTolerans,"ZİNCİR KIRIK","OK")))</f>
        <v/>
      </c>
      <c r="L604" s="24">
        <f>IF($A604="","",1)</f>
        <v/>
      </c>
    </row>
    <row r="605">
      <c r="A605" s="12" t="n"/>
      <c r="B605" s="12" t="n"/>
      <c r="C605" s="12" t="n"/>
      <c r="D605" s="12" t="n"/>
      <c r="E605" s="14" t="n"/>
      <c r="F605" s="14" t="n"/>
      <c r="G605" s="14" t="n"/>
      <c r="H605" s="15" t="n"/>
      <c r="I605" s="24">
        <f>IF($A605="","",IF($B605="","YETİM",IF(COUNTIF(tblKartlar[KartId],$B605)=0,"YETİM","")))</f>
        <v/>
      </c>
      <c r="J605" s="24">
        <f>IF(OR($A605="",$C605=""),"",IF(OR($C605&amp;"|"&amp;$D605="",COUNTIF(ListeIzinliGecis,$C605&amp;"|"&amp;$D605)&gt;0),"","GEÇERSİZ GEÇİŞ"))</f>
        <v/>
      </c>
      <c r="K605" s="24">
        <f>IF($A605="","",IF(OR($E605="",$G605=""),"",IF(ABS($G605-$E605)&gt;zincirTolerans,"ZİNCİR KIRIK","OK")))</f>
        <v/>
      </c>
      <c r="L605" s="24">
        <f>IF($A605="","",1)</f>
        <v/>
      </c>
    </row>
    <row r="606">
      <c r="A606" s="12" t="n"/>
      <c r="B606" s="12" t="n"/>
      <c r="C606" s="12" t="n"/>
      <c r="D606" s="12" t="n"/>
      <c r="E606" s="14" t="n"/>
      <c r="F606" s="14" t="n"/>
      <c r="G606" s="14" t="n"/>
      <c r="H606" s="15" t="n"/>
      <c r="I606" s="24">
        <f>IF($A606="","",IF($B606="","YETİM",IF(COUNTIF(tblKartlar[KartId],$B606)=0,"YETİM","")))</f>
        <v/>
      </c>
      <c r="J606" s="24">
        <f>IF(OR($A606="",$C606=""),"",IF(OR($C606&amp;"|"&amp;$D606="",COUNTIF(ListeIzinliGecis,$C606&amp;"|"&amp;$D606)&gt;0),"","GEÇERSİZ GEÇİŞ"))</f>
        <v/>
      </c>
      <c r="K606" s="24">
        <f>IF($A606="","",IF(OR($E606="",$G606=""),"",IF(ABS($G606-$E606)&gt;zincirTolerans,"ZİNCİR KIRIK","OK")))</f>
        <v/>
      </c>
      <c r="L606" s="24">
        <f>IF($A606="","",1)</f>
        <v/>
      </c>
    </row>
    <row r="607">
      <c r="A607" s="12" t="n"/>
      <c r="B607" s="12" t="n"/>
      <c r="C607" s="12" t="n"/>
      <c r="D607" s="12" t="n"/>
      <c r="E607" s="14" t="n"/>
      <c r="F607" s="14" t="n"/>
      <c r="G607" s="14" t="n"/>
      <c r="H607" s="15" t="n"/>
      <c r="I607" s="24">
        <f>IF($A607="","",IF($B607="","YETİM",IF(COUNTIF(tblKartlar[KartId],$B607)=0,"YETİM","")))</f>
        <v/>
      </c>
      <c r="J607" s="24">
        <f>IF(OR($A607="",$C607=""),"",IF(OR($C607&amp;"|"&amp;$D607="",COUNTIF(ListeIzinliGecis,$C607&amp;"|"&amp;$D607)&gt;0),"","GEÇERSİZ GEÇİŞ"))</f>
        <v/>
      </c>
      <c r="K607" s="24">
        <f>IF($A607="","",IF(OR($E607="",$G607=""),"",IF(ABS($G607-$E607)&gt;zincirTolerans,"ZİNCİR KIRIK","OK")))</f>
        <v/>
      </c>
      <c r="L607" s="24">
        <f>IF($A607="","",1)</f>
        <v/>
      </c>
    </row>
    <row r="608">
      <c r="A608" s="12" t="n"/>
      <c r="B608" s="12" t="n"/>
      <c r="C608" s="12" t="n"/>
      <c r="D608" s="12" t="n"/>
      <c r="E608" s="14" t="n"/>
      <c r="F608" s="14" t="n"/>
      <c r="G608" s="14" t="n"/>
      <c r="H608" s="15" t="n"/>
      <c r="I608" s="24">
        <f>IF($A608="","",IF($B608="","YETİM",IF(COUNTIF(tblKartlar[KartId],$B608)=0,"YETİM","")))</f>
        <v/>
      </c>
      <c r="J608" s="24">
        <f>IF(OR($A608="",$C608=""),"",IF(OR($C608&amp;"|"&amp;$D608="",COUNTIF(ListeIzinliGecis,$C608&amp;"|"&amp;$D608)&gt;0),"","GEÇERSİZ GEÇİŞ"))</f>
        <v/>
      </c>
      <c r="K608" s="24">
        <f>IF($A608="","",IF(OR($E608="",$G608=""),"",IF(ABS($G608-$E608)&gt;zincirTolerans,"ZİNCİR KIRIK","OK")))</f>
        <v/>
      </c>
      <c r="L608" s="24">
        <f>IF($A608="","",1)</f>
        <v/>
      </c>
    </row>
    <row r="609">
      <c r="A609" s="12" t="n"/>
      <c r="B609" s="12" t="n"/>
      <c r="C609" s="12" t="n"/>
      <c r="D609" s="12" t="n"/>
      <c r="E609" s="14" t="n"/>
      <c r="F609" s="14" t="n"/>
      <c r="G609" s="14" t="n"/>
      <c r="H609" s="15" t="n"/>
      <c r="I609" s="24">
        <f>IF($A609="","",IF($B609="","YETİM",IF(COUNTIF(tblKartlar[KartId],$B609)=0,"YETİM","")))</f>
        <v/>
      </c>
      <c r="J609" s="24">
        <f>IF(OR($A609="",$C609=""),"",IF(OR($C609&amp;"|"&amp;$D609="",COUNTIF(ListeIzinliGecis,$C609&amp;"|"&amp;$D609)&gt;0),"","GEÇERSİZ GEÇİŞ"))</f>
        <v/>
      </c>
      <c r="K609" s="24">
        <f>IF($A609="","",IF(OR($E609="",$G609=""),"",IF(ABS($G609-$E609)&gt;zincirTolerans,"ZİNCİR KIRIK","OK")))</f>
        <v/>
      </c>
      <c r="L609" s="24">
        <f>IF($A609="","",1)</f>
        <v/>
      </c>
    </row>
    <row r="610">
      <c r="A610" s="12" t="n"/>
      <c r="B610" s="12" t="n"/>
      <c r="C610" s="12" t="n"/>
      <c r="D610" s="12" t="n"/>
      <c r="E610" s="14" t="n"/>
      <c r="F610" s="14" t="n"/>
      <c r="G610" s="14" t="n"/>
      <c r="H610" s="15" t="n"/>
      <c r="I610" s="24">
        <f>IF($A610="","",IF($B610="","YETİM",IF(COUNTIF(tblKartlar[KartId],$B610)=0,"YETİM","")))</f>
        <v/>
      </c>
      <c r="J610" s="24">
        <f>IF(OR($A610="",$C610=""),"",IF(OR($C610&amp;"|"&amp;$D610="",COUNTIF(ListeIzinliGecis,$C610&amp;"|"&amp;$D610)&gt;0),"","GEÇERSİZ GEÇİŞ"))</f>
        <v/>
      </c>
      <c r="K610" s="24">
        <f>IF($A610="","",IF(OR($E610="",$G610=""),"",IF(ABS($G610-$E610)&gt;zincirTolerans,"ZİNCİR KIRIK","OK")))</f>
        <v/>
      </c>
      <c r="L610" s="24">
        <f>IF($A610="","",1)</f>
        <v/>
      </c>
    </row>
    <row r="611">
      <c r="A611" s="12" t="n"/>
      <c r="B611" s="12" t="n"/>
      <c r="C611" s="12" t="n"/>
      <c r="D611" s="12" t="n"/>
      <c r="E611" s="14" t="n"/>
      <c r="F611" s="14" t="n"/>
      <c r="G611" s="14" t="n"/>
      <c r="H611" s="15" t="n"/>
      <c r="I611" s="24">
        <f>IF($A611="","",IF($B611="","YETİM",IF(COUNTIF(tblKartlar[KartId],$B611)=0,"YETİM","")))</f>
        <v/>
      </c>
      <c r="J611" s="24">
        <f>IF(OR($A611="",$C611=""),"",IF(OR($C611&amp;"|"&amp;$D611="",COUNTIF(ListeIzinliGecis,$C611&amp;"|"&amp;$D611)&gt;0),"","GEÇERSİZ GEÇİŞ"))</f>
        <v/>
      </c>
      <c r="K611" s="24">
        <f>IF($A611="","",IF(OR($E611="",$G611=""),"",IF(ABS($G611-$E611)&gt;zincirTolerans,"ZİNCİR KIRIK","OK")))</f>
        <v/>
      </c>
      <c r="L611" s="24">
        <f>IF($A611="","",1)</f>
        <v/>
      </c>
    </row>
    <row r="612">
      <c r="A612" s="12" t="n"/>
      <c r="B612" s="12" t="n"/>
      <c r="C612" s="12" t="n"/>
      <c r="D612" s="12" t="n"/>
      <c r="E612" s="14" t="n"/>
      <c r="F612" s="14" t="n"/>
      <c r="G612" s="14" t="n"/>
      <c r="H612" s="15" t="n"/>
      <c r="I612" s="24">
        <f>IF($A612="","",IF($B612="","YETİM",IF(COUNTIF(tblKartlar[KartId],$B612)=0,"YETİM","")))</f>
        <v/>
      </c>
      <c r="J612" s="24">
        <f>IF(OR($A612="",$C612=""),"",IF(OR($C612&amp;"|"&amp;$D612="",COUNTIF(ListeIzinliGecis,$C612&amp;"|"&amp;$D612)&gt;0),"","GEÇERSİZ GEÇİŞ"))</f>
        <v/>
      </c>
      <c r="K612" s="24">
        <f>IF($A612="","",IF(OR($E612="",$G612=""),"",IF(ABS($G612-$E612)&gt;zincirTolerans,"ZİNCİR KIRIK","OK")))</f>
        <v/>
      </c>
      <c r="L612" s="24">
        <f>IF($A612="","",1)</f>
        <v/>
      </c>
    </row>
    <row r="613">
      <c r="A613" s="12" t="n"/>
      <c r="B613" s="12" t="n"/>
      <c r="C613" s="12" t="n"/>
      <c r="D613" s="12" t="n"/>
      <c r="E613" s="14" t="n"/>
      <c r="F613" s="14" t="n"/>
      <c r="G613" s="14" t="n"/>
      <c r="H613" s="15" t="n"/>
      <c r="I613" s="24">
        <f>IF($A613="","",IF($B613="","YETİM",IF(COUNTIF(tblKartlar[KartId],$B613)=0,"YETİM","")))</f>
        <v/>
      </c>
      <c r="J613" s="24">
        <f>IF(OR($A613="",$C613=""),"",IF(OR($C613&amp;"|"&amp;$D613="",COUNTIF(ListeIzinliGecis,$C613&amp;"|"&amp;$D613)&gt;0),"","GEÇERSİZ GEÇİŞ"))</f>
        <v/>
      </c>
      <c r="K613" s="24">
        <f>IF($A613="","",IF(OR($E613="",$G613=""),"",IF(ABS($G613-$E613)&gt;zincirTolerans,"ZİNCİR KIRIK","OK")))</f>
        <v/>
      </c>
      <c r="L613" s="24">
        <f>IF($A613="","",1)</f>
        <v/>
      </c>
    </row>
    <row r="614">
      <c r="A614" s="12" t="n"/>
      <c r="B614" s="12" t="n"/>
      <c r="C614" s="12" t="n"/>
      <c r="D614" s="12" t="n"/>
      <c r="E614" s="14" t="n"/>
      <c r="F614" s="14" t="n"/>
      <c r="G614" s="14" t="n"/>
      <c r="H614" s="15" t="n"/>
      <c r="I614" s="24">
        <f>IF($A614="","",IF($B614="","YETİM",IF(COUNTIF(tblKartlar[KartId],$B614)=0,"YETİM","")))</f>
        <v/>
      </c>
      <c r="J614" s="24">
        <f>IF(OR($A614="",$C614=""),"",IF(OR($C614&amp;"|"&amp;$D614="",COUNTIF(ListeIzinliGecis,$C614&amp;"|"&amp;$D614)&gt;0),"","GEÇERSİZ GEÇİŞ"))</f>
        <v/>
      </c>
      <c r="K614" s="24">
        <f>IF($A614="","",IF(OR($E614="",$G614=""),"",IF(ABS($G614-$E614)&gt;zincirTolerans,"ZİNCİR KIRIK","OK")))</f>
        <v/>
      </c>
      <c r="L614" s="24">
        <f>IF($A614="","",1)</f>
        <v/>
      </c>
    </row>
    <row r="615">
      <c r="A615" s="12" t="n"/>
      <c r="B615" s="12" t="n"/>
      <c r="C615" s="12" t="n"/>
      <c r="D615" s="12" t="n"/>
      <c r="E615" s="14" t="n"/>
      <c r="F615" s="14" t="n"/>
      <c r="G615" s="14" t="n"/>
      <c r="H615" s="15" t="n"/>
      <c r="I615" s="24">
        <f>IF($A615="","",IF($B615="","YETİM",IF(COUNTIF(tblKartlar[KartId],$B615)=0,"YETİM","")))</f>
        <v/>
      </c>
      <c r="J615" s="24">
        <f>IF(OR($A615="",$C615=""),"",IF(OR($C615&amp;"|"&amp;$D615="",COUNTIF(ListeIzinliGecis,$C615&amp;"|"&amp;$D615)&gt;0),"","GEÇERSİZ GEÇİŞ"))</f>
        <v/>
      </c>
      <c r="K615" s="24">
        <f>IF($A615="","",IF(OR($E615="",$G615=""),"",IF(ABS($G615-$E615)&gt;zincirTolerans,"ZİNCİR KIRIK","OK")))</f>
        <v/>
      </c>
      <c r="L615" s="24">
        <f>IF($A615="","",1)</f>
        <v/>
      </c>
    </row>
    <row r="616">
      <c r="A616" s="12" t="n"/>
      <c r="B616" s="12" t="n"/>
      <c r="C616" s="12" t="n"/>
      <c r="D616" s="12" t="n"/>
      <c r="E616" s="14" t="n"/>
      <c r="F616" s="14" t="n"/>
      <c r="G616" s="14" t="n"/>
      <c r="H616" s="15" t="n"/>
      <c r="I616" s="24">
        <f>IF($A616="","",IF($B616="","YETİM",IF(COUNTIF(tblKartlar[KartId],$B616)=0,"YETİM","")))</f>
        <v/>
      </c>
      <c r="J616" s="24">
        <f>IF(OR($A616="",$C616=""),"",IF(OR($C616&amp;"|"&amp;$D616="",COUNTIF(ListeIzinliGecis,$C616&amp;"|"&amp;$D616)&gt;0),"","GEÇERSİZ GEÇİŞ"))</f>
        <v/>
      </c>
      <c r="K616" s="24">
        <f>IF($A616="","",IF(OR($E616="",$G616=""),"",IF(ABS($G616-$E616)&gt;zincirTolerans,"ZİNCİR KIRIK","OK")))</f>
        <v/>
      </c>
      <c r="L616" s="24">
        <f>IF($A616="","",1)</f>
        <v/>
      </c>
    </row>
    <row r="617">
      <c r="A617" s="12" t="n"/>
      <c r="B617" s="12" t="n"/>
      <c r="C617" s="12" t="n"/>
      <c r="D617" s="12" t="n"/>
      <c r="E617" s="14" t="n"/>
      <c r="F617" s="14" t="n"/>
      <c r="G617" s="14" t="n"/>
      <c r="H617" s="15" t="n"/>
      <c r="I617" s="24">
        <f>IF($A617="","",IF($B617="","YETİM",IF(COUNTIF(tblKartlar[KartId],$B617)=0,"YETİM","")))</f>
        <v/>
      </c>
      <c r="J617" s="24">
        <f>IF(OR($A617="",$C617=""),"",IF(OR($C617&amp;"|"&amp;$D617="",COUNTIF(ListeIzinliGecis,$C617&amp;"|"&amp;$D617)&gt;0),"","GEÇERSİZ GEÇİŞ"))</f>
        <v/>
      </c>
      <c r="K617" s="24">
        <f>IF($A617="","",IF(OR($E617="",$G617=""),"",IF(ABS($G617-$E617)&gt;zincirTolerans,"ZİNCİR KIRIK","OK")))</f>
        <v/>
      </c>
      <c r="L617" s="24">
        <f>IF($A617="","",1)</f>
        <v/>
      </c>
    </row>
    <row r="618">
      <c r="A618" s="12" t="n"/>
      <c r="B618" s="12" t="n"/>
      <c r="C618" s="12" t="n"/>
      <c r="D618" s="12" t="n"/>
      <c r="E618" s="14" t="n"/>
      <c r="F618" s="14" t="n"/>
      <c r="G618" s="14" t="n"/>
      <c r="H618" s="15" t="n"/>
      <c r="I618" s="24">
        <f>IF($A618="","",IF($B618="","YETİM",IF(COUNTIF(tblKartlar[KartId],$B618)=0,"YETİM","")))</f>
        <v/>
      </c>
      <c r="J618" s="24">
        <f>IF(OR($A618="",$C618=""),"",IF(OR($C618&amp;"|"&amp;$D618="",COUNTIF(ListeIzinliGecis,$C618&amp;"|"&amp;$D618)&gt;0),"","GEÇERSİZ GEÇİŞ"))</f>
        <v/>
      </c>
      <c r="K618" s="24">
        <f>IF($A618="","",IF(OR($E618="",$G618=""),"",IF(ABS($G618-$E618)&gt;zincirTolerans,"ZİNCİR KIRIK","OK")))</f>
        <v/>
      </c>
      <c r="L618" s="24">
        <f>IF($A618="","",1)</f>
        <v/>
      </c>
    </row>
    <row r="619">
      <c r="A619" s="12" t="n"/>
      <c r="B619" s="12" t="n"/>
      <c r="C619" s="12" t="n"/>
      <c r="D619" s="12" t="n"/>
      <c r="E619" s="14" t="n"/>
      <c r="F619" s="14" t="n"/>
      <c r="G619" s="14" t="n"/>
      <c r="H619" s="15" t="n"/>
      <c r="I619" s="24">
        <f>IF($A619="","",IF($B619="","YETİM",IF(COUNTIF(tblKartlar[KartId],$B619)=0,"YETİM","")))</f>
        <v/>
      </c>
      <c r="J619" s="24">
        <f>IF(OR($A619="",$C619=""),"",IF(OR($C619&amp;"|"&amp;$D619="",COUNTIF(ListeIzinliGecis,$C619&amp;"|"&amp;$D619)&gt;0),"","GEÇERSİZ GEÇİŞ"))</f>
        <v/>
      </c>
      <c r="K619" s="24">
        <f>IF($A619="","",IF(OR($E619="",$G619=""),"",IF(ABS($G619-$E619)&gt;zincirTolerans,"ZİNCİR KIRIK","OK")))</f>
        <v/>
      </c>
      <c r="L619" s="24">
        <f>IF($A619="","",1)</f>
        <v/>
      </c>
    </row>
    <row r="620">
      <c r="A620" s="12" t="n"/>
      <c r="B620" s="12" t="n"/>
      <c r="C620" s="12" t="n"/>
      <c r="D620" s="12" t="n"/>
      <c r="E620" s="14" t="n"/>
      <c r="F620" s="14" t="n"/>
      <c r="G620" s="14" t="n"/>
      <c r="H620" s="15" t="n"/>
      <c r="I620" s="24">
        <f>IF($A620="","",IF($B620="","YETİM",IF(COUNTIF(tblKartlar[KartId],$B620)=0,"YETİM","")))</f>
        <v/>
      </c>
      <c r="J620" s="24">
        <f>IF(OR($A620="",$C620=""),"",IF(OR($C620&amp;"|"&amp;$D620="",COUNTIF(ListeIzinliGecis,$C620&amp;"|"&amp;$D620)&gt;0),"","GEÇERSİZ GEÇİŞ"))</f>
        <v/>
      </c>
      <c r="K620" s="24">
        <f>IF($A620="","",IF(OR($E620="",$G620=""),"",IF(ABS($G620-$E620)&gt;zincirTolerans,"ZİNCİR KIRIK","OK")))</f>
        <v/>
      </c>
      <c r="L620" s="24">
        <f>IF($A620="","",1)</f>
        <v/>
      </c>
    </row>
    <row r="621">
      <c r="A621" s="12" t="n"/>
      <c r="B621" s="12" t="n"/>
      <c r="C621" s="12" t="n"/>
      <c r="D621" s="12" t="n"/>
      <c r="E621" s="14" t="n"/>
      <c r="F621" s="14" t="n"/>
      <c r="G621" s="14" t="n"/>
      <c r="H621" s="15" t="n"/>
      <c r="I621" s="24">
        <f>IF($A621="","",IF($B621="","YETİM",IF(COUNTIF(tblKartlar[KartId],$B621)=0,"YETİM","")))</f>
        <v/>
      </c>
      <c r="J621" s="24">
        <f>IF(OR($A621="",$C621=""),"",IF(OR($C621&amp;"|"&amp;$D621="",COUNTIF(ListeIzinliGecis,$C621&amp;"|"&amp;$D621)&gt;0),"","GEÇERSİZ GEÇİŞ"))</f>
        <v/>
      </c>
      <c r="K621" s="24">
        <f>IF($A621="","",IF(OR($E621="",$G621=""),"",IF(ABS($G621-$E621)&gt;zincirTolerans,"ZİNCİR KIRIK","OK")))</f>
        <v/>
      </c>
      <c r="L621" s="24">
        <f>IF($A621="","",1)</f>
        <v/>
      </c>
    </row>
    <row r="622">
      <c r="A622" s="12" t="n"/>
      <c r="B622" s="12" t="n"/>
      <c r="C622" s="12" t="n"/>
      <c r="D622" s="12" t="n"/>
      <c r="E622" s="14" t="n"/>
      <c r="F622" s="14" t="n"/>
      <c r="G622" s="14" t="n"/>
      <c r="H622" s="15" t="n"/>
      <c r="I622" s="24">
        <f>IF($A622="","",IF($B622="","YETİM",IF(COUNTIF(tblKartlar[KartId],$B622)=0,"YETİM","")))</f>
        <v/>
      </c>
      <c r="J622" s="24">
        <f>IF(OR($A622="",$C622=""),"",IF(OR($C622&amp;"|"&amp;$D622="",COUNTIF(ListeIzinliGecis,$C622&amp;"|"&amp;$D622)&gt;0),"","GEÇERSİZ GEÇİŞ"))</f>
        <v/>
      </c>
      <c r="K622" s="24">
        <f>IF($A622="","",IF(OR($E622="",$G622=""),"",IF(ABS($G622-$E622)&gt;zincirTolerans,"ZİNCİR KIRIK","OK")))</f>
        <v/>
      </c>
      <c r="L622" s="24">
        <f>IF($A622="","",1)</f>
        <v/>
      </c>
    </row>
    <row r="623">
      <c r="A623" s="12" t="n"/>
      <c r="B623" s="12" t="n"/>
      <c r="C623" s="12" t="n"/>
      <c r="D623" s="12" t="n"/>
      <c r="E623" s="14" t="n"/>
      <c r="F623" s="14" t="n"/>
      <c r="G623" s="14" t="n"/>
      <c r="H623" s="15" t="n"/>
      <c r="I623" s="24">
        <f>IF($A623="","",IF($B623="","YETİM",IF(COUNTIF(tblKartlar[KartId],$B623)=0,"YETİM","")))</f>
        <v/>
      </c>
      <c r="J623" s="24">
        <f>IF(OR($A623="",$C623=""),"",IF(OR($C623&amp;"|"&amp;$D623="",COUNTIF(ListeIzinliGecis,$C623&amp;"|"&amp;$D623)&gt;0),"","GEÇERSİZ GEÇİŞ"))</f>
        <v/>
      </c>
      <c r="K623" s="24">
        <f>IF($A623="","",IF(OR($E623="",$G623=""),"",IF(ABS($G623-$E623)&gt;zincirTolerans,"ZİNCİR KIRIK","OK")))</f>
        <v/>
      </c>
      <c r="L623" s="24">
        <f>IF($A623="","",1)</f>
        <v/>
      </c>
    </row>
    <row r="624">
      <c r="A624" s="12" t="n"/>
      <c r="B624" s="12" t="n"/>
      <c r="C624" s="12" t="n"/>
      <c r="D624" s="12" t="n"/>
      <c r="E624" s="14" t="n"/>
      <c r="F624" s="14" t="n"/>
      <c r="G624" s="14" t="n"/>
      <c r="H624" s="15" t="n"/>
      <c r="I624" s="24">
        <f>IF($A624="","",IF($B624="","YETİM",IF(COUNTIF(tblKartlar[KartId],$B624)=0,"YETİM","")))</f>
        <v/>
      </c>
      <c r="J624" s="24">
        <f>IF(OR($A624="",$C624=""),"",IF(OR($C624&amp;"|"&amp;$D624="",COUNTIF(ListeIzinliGecis,$C624&amp;"|"&amp;$D624)&gt;0),"","GEÇERSİZ GEÇİŞ"))</f>
        <v/>
      </c>
      <c r="K624" s="24">
        <f>IF($A624="","",IF(OR($E624="",$G624=""),"",IF(ABS($G624-$E624)&gt;zincirTolerans,"ZİNCİR KIRIK","OK")))</f>
        <v/>
      </c>
      <c r="L624" s="24">
        <f>IF($A624="","",1)</f>
        <v/>
      </c>
    </row>
    <row r="625">
      <c r="A625" s="12" t="n"/>
      <c r="B625" s="12" t="n"/>
      <c r="C625" s="12" t="n"/>
      <c r="D625" s="12" t="n"/>
      <c r="E625" s="14" t="n"/>
      <c r="F625" s="14" t="n"/>
      <c r="G625" s="14" t="n"/>
      <c r="H625" s="15" t="n"/>
      <c r="I625" s="24">
        <f>IF($A625="","",IF($B625="","YETİM",IF(COUNTIF(tblKartlar[KartId],$B625)=0,"YETİM","")))</f>
        <v/>
      </c>
      <c r="J625" s="24">
        <f>IF(OR($A625="",$C625=""),"",IF(OR($C625&amp;"|"&amp;$D625="",COUNTIF(ListeIzinliGecis,$C625&amp;"|"&amp;$D625)&gt;0),"","GEÇERSİZ GEÇİŞ"))</f>
        <v/>
      </c>
      <c r="K625" s="24">
        <f>IF($A625="","",IF(OR($E625="",$G625=""),"",IF(ABS($G625-$E625)&gt;zincirTolerans,"ZİNCİR KIRIK","OK")))</f>
        <v/>
      </c>
      <c r="L625" s="24">
        <f>IF($A625="","",1)</f>
        <v/>
      </c>
    </row>
    <row r="626">
      <c r="A626" s="12" t="n"/>
      <c r="B626" s="12" t="n"/>
      <c r="C626" s="12" t="n"/>
      <c r="D626" s="12" t="n"/>
      <c r="E626" s="14" t="n"/>
      <c r="F626" s="14" t="n"/>
      <c r="G626" s="14" t="n"/>
      <c r="H626" s="15" t="n"/>
      <c r="I626" s="24">
        <f>IF($A626="","",IF($B626="","YETİM",IF(COUNTIF(tblKartlar[KartId],$B626)=0,"YETİM","")))</f>
        <v/>
      </c>
      <c r="J626" s="24">
        <f>IF(OR($A626="",$C626=""),"",IF(OR($C626&amp;"|"&amp;$D626="",COUNTIF(ListeIzinliGecis,$C626&amp;"|"&amp;$D626)&gt;0),"","GEÇERSİZ GEÇİŞ"))</f>
        <v/>
      </c>
      <c r="K626" s="24">
        <f>IF($A626="","",IF(OR($E626="",$G626=""),"",IF(ABS($G626-$E626)&gt;zincirTolerans,"ZİNCİR KIRIK","OK")))</f>
        <v/>
      </c>
      <c r="L626" s="24">
        <f>IF($A626="","",1)</f>
        <v/>
      </c>
    </row>
    <row r="627">
      <c r="A627" s="12" t="n"/>
      <c r="B627" s="12" t="n"/>
      <c r="C627" s="12" t="n"/>
      <c r="D627" s="12" t="n"/>
      <c r="E627" s="14" t="n"/>
      <c r="F627" s="14" t="n"/>
      <c r="G627" s="14" t="n"/>
      <c r="H627" s="15" t="n"/>
      <c r="I627" s="24">
        <f>IF($A627="","",IF($B627="","YETİM",IF(COUNTIF(tblKartlar[KartId],$B627)=0,"YETİM","")))</f>
        <v/>
      </c>
      <c r="J627" s="24">
        <f>IF(OR($A627="",$C627=""),"",IF(OR($C627&amp;"|"&amp;$D627="",COUNTIF(ListeIzinliGecis,$C627&amp;"|"&amp;$D627)&gt;0),"","GEÇERSİZ GEÇİŞ"))</f>
        <v/>
      </c>
      <c r="K627" s="24">
        <f>IF($A627="","",IF(OR($E627="",$G627=""),"",IF(ABS($G627-$E627)&gt;zincirTolerans,"ZİNCİR KIRIK","OK")))</f>
        <v/>
      </c>
      <c r="L627" s="24">
        <f>IF($A627="","",1)</f>
        <v/>
      </c>
    </row>
    <row r="628">
      <c r="A628" s="12" t="n"/>
      <c r="B628" s="12" t="n"/>
      <c r="C628" s="12" t="n"/>
      <c r="D628" s="12" t="n"/>
      <c r="E628" s="14" t="n"/>
      <c r="F628" s="14" t="n"/>
      <c r="G628" s="14" t="n"/>
      <c r="H628" s="15" t="n"/>
      <c r="I628" s="24">
        <f>IF($A628="","",IF($B628="","YETİM",IF(COUNTIF(tblKartlar[KartId],$B628)=0,"YETİM","")))</f>
        <v/>
      </c>
      <c r="J628" s="24">
        <f>IF(OR($A628="",$C628=""),"",IF(OR($C628&amp;"|"&amp;$D628="",COUNTIF(ListeIzinliGecis,$C628&amp;"|"&amp;$D628)&gt;0),"","GEÇERSİZ GEÇİŞ"))</f>
        <v/>
      </c>
      <c r="K628" s="24">
        <f>IF($A628="","",IF(OR($E628="",$G628=""),"",IF(ABS($G628-$E628)&gt;zincirTolerans,"ZİNCİR KIRIK","OK")))</f>
        <v/>
      </c>
      <c r="L628" s="24">
        <f>IF($A628="","",1)</f>
        <v/>
      </c>
    </row>
    <row r="629">
      <c r="A629" s="12" t="n"/>
      <c r="B629" s="12" t="n"/>
      <c r="C629" s="12" t="n"/>
      <c r="D629" s="12" t="n"/>
      <c r="E629" s="14" t="n"/>
      <c r="F629" s="14" t="n"/>
      <c r="G629" s="14" t="n"/>
      <c r="H629" s="15" t="n"/>
      <c r="I629" s="24">
        <f>IF($A629="","",IF($B629="","YETİM",IF(COUNTIF(tblKartlar[KartId],$B629)=0,"YETİM","")))</f>
        <v/>
      </c>
      <c r="J629" s="24">
        <f>IF(OR($A629="",$C629=""),"",IF(OR($C629&amp;"|"&amp;$D629="",COUNTIF(ListeIzinliGecis,$C629&amp;"|"&amp;$D629)&gt;0),"","GEÇERSİZ GEÇİŞ"))</f>
        <v/>
      </c>
      <c r="K629" s="24">
        <f>IF($A629="","",IF(OR($E629="",$G629=""),"",IF(ABS($G629-$E629)&gt;zincirTolerans,"ZİNCİR KIRIK","OK")))</f>
        <v/>
      </c>
      <c r="L629" s="24">
        <f>IF($A629="","",1)</f>
        <v/>
      </c>
    </row>
    <row r="630">
      <c r="A630" s="12" t="n"/>
      <c r="B630" s="12" t="n"/>
      <c r="C630" s="12" t="n"/>
      <c r="D630" s="12" t="n"/>
      <c r="E630" s="14" t="n"/>
      <c r="F630" s="14" t="n"/>
      <c r="G630" s="14" t="n"/>
      <c r="H630" s="15" t="n"/>
      <c r="I630" s="24">
        <f>IF($A630="","",IF($B630="","YETİM",IF(COUNTIF(tblKartlar[KartId],$B630)=0,"YETİM","")))</f>
        <v/>
      </c>
      <c r="J630" s="24">
        <f>IF(OR($A630="",$C630=""),"",IF(OR($C630&amp;"|"&amp;$D630="",COUNTIF(ListeIzinliGecis,$C630&amp;"|"&amp;$D630)&gt;0),"","GEÇERSİZ GEÇİŞ"))</f>
        <v/>
      </c>
      <c r="K630" s="24">
        <f>IF($A630="","",IF(OR($E630="",$G630=""),"",IF(ABS($G630-$E630)&gt;zincirTolerans,"ZİNCİR KIRIK","OK")))</f>
        <v/>
      </c>
      <c r="L630" s="24">
        <f>IF($A630="","",1)</f>
        <v/>
      </c>
    </row>
    <row r="631">
      <c r="A631" s="12" t="n"/>
      <c r="B631" s="12" t="n"/>
      <c r="C631" s="12" t="n"/>
      <c r="D631" s="12" t="n"/>
      <c r="E631" s="14" t="n"/>
      <c r="F631" s="14" t="n"/>
      <c r="G631" s="14" t="n"/>
      <c r="H631" s="15" t="n"/>
      <c r="I631" s="24">
        <f>IF($A631="","",IF($B631="","YETİM",IF(COUNTIF(tblKartlar[KartId],$B631)=0,"YETİM","")))</f>
        <v/>
      </c>
      <c r="J631" s="24">
        <f>IF(OR($A631="",$C631=""),"",IF(OR($C631&amp;"|"&amp;$D631="",COUNTIF(ListeIzinliGecis,$C631&amp;"|"&amp;$D631)&gt;0),"","GEÇERSİZ GEÇİŞ"))</f>
        <v/>
      </c>
      <c r="K631" s="24">
        <f>IF($A631="","",IF(OR($E631="",$G631=""),"",IF(ABS($G631-$E631)&gt;zincirTolerans,"ZİNCİR KIRIK","OK")))</f>
        <v/>
      </c>
      <c r="L631" s="24">
        <f>IF($A631="","",1)</f>
        <v/>
      </c>
    </row>
    <row r="632">
      <c r="A632" s="12" t="n"/>
      <c r="B632" s="12" t="n"/>
      <c r="C632" s="12" t="n"/>
      <c r="D632" s="12" t="n"/>
      <c r="E632" s="14" t="n"/>
      <c r="F632" s="14" t="n"/>
      <c r="G632" s="14" t="n"/>
      <c r="H632" s="15" t="n"/>
      <c r="I632" s="24">
        <f>IF($A632="","",IF($B632="","YETİM",IF(COUNTIF(tblKartlar[KartId],$B632)=0,"YETİM","")))</f>
        <v/>
      </c>
      <c r="J632" s="24">
        <f>IF(OR($A632="",$C632=""),"",IF(OR($C632&amp;"|"&amp;$D632="",COUNTIF(ListeIzinliGecis,$C632&amp;"|"&amp;$D632)&gt;0),"","GEÇERSİZ GEÇİŞ"))</f>
        <v/>
      </c>
      <c r="K632" s="24">
        <f>IF($A632="","",IF(OR($E632="",$G632=""),"",IF(ABS($G632-$E632)&gt;zincirTolerans,"ZİNCİR KIRIK","OK")))</f>
        <v/>
      </c>
      <c r="L632" s="24">
        <f>IF($A632="","",1)</f>
        <v/>
      </c>
    </row>
    <row r="633">
      <c r="A633" s="12" t="n"/>
      <c r="B633" s="12" t="n"/>
      <c r="C633" s="12" t="n"/>
      <c r="D633" s="12" t="n"/>
      <c r="E633" s="14" t="n"/>
      <c r="F633" s="14" t="n"/>
      <c r="G633" s="14" t="n"/>
      <c r="H633" s="15" t="n"/>
      <c r="I633" s="24">
        <f>IF($A633="","",IF($B633="","YETİM",IF(COUNTIF(tblKartlar[KartId],$B633)=0,"YETİM","")))</f>
        <v/>
      </c>
      <c r="J633" s="24">
        <f>IF(OR($A633="",$C633=""),"",IF(OR($C633&amp;"|"&amp;$D633="",COUNTIF(ListeIzinliGecis,$C633&amp;"|"&amp;$D633)&gt;0),"","GEÇERSİZ GEÇİŞ"))</f>
        <v/>
      </c>
      <c r="K633" s="24">
        <f>IF($A633="","",IF(OR($E633="",$G633=""),"",IF(ABS($G633-$E633)&gt;zincirTolerans,"ZİNCİR KIRIK","OK")))</f>
        <v/>
      </c>
      <c r="L633" s="24">
        <f>IF($A633="","",1)</f>
        <v/>
      </c>
    </row>
    <row r="634">
      <c r="A634" s="12" t="n"/>
      <c r="B634" s="12" t="n"/>
      <c r="C634" s="12" t="n"/>
      <c r="D634" s="12" t="n"/>
      <c r="E634" s="14" t="n"/>
      <c r="F634" s="14" t="n"/>
      <c r="G634" s="14" t="n"/>
      <c r="H634" s="15" t="n"/>
      <c r="I634" s="24">
        <f>IF($A634="","",IF($B634="","YETİM",IF(COUNTIF(tblKartlar[KartId],$B634)=0,"YETİM","")))</f>
        <v/>
      </c>
      <c r="J634" s="24">
        <f>IF(OR($A634="",$C634=""),"",IF(OR($C634&amp;"|"&amp;$D634="",COUNTIF(ListeIzinliGecis,$C634&amp;"|"&amp;$D634)&gt;0),"","GEÇERSİZ GEÇİŞ"))</f>
        <v/>
      </c>
      <c r="K634" s="24">
        <f>IF($A634="","",IF(OR($E634="",$G634=""),"",IF(ABS($G634-$E634)&gt;zincirTolerans,"ZİNCİR KIRIK","OK")))</f>
        <v/>
      </c>
      <c r="L634" s="24">
        <f>IF($A634="","",1)</f>
        <v/>
      </c>
    </row>
    <row r="635">
      <c r="A635" s="12" t="n"/>
      <c r="B635" s="12" t="n"/>
      <c r="C635" s="12" t="n"/>
      <c r="D635" s="12" t="n"/>
      <c r="E635" s="14" t="n"/>
      <c r="F635" s="14" t="n"/>
      <c r="G635" s="14" t="n"/>
      <c r="H635" s="15" t="n"/>
      <c r="I635" s="24">
        <f>IF($A635="","",IF($B635="","YETİM",IF(COUNTIF(tblKartlar[KartId],$B635)=0,"YETİM","")))</f>
        <v/>
      </c>
      <c r="J635" s="24">
        <f>IF(OR($A635="",$C635=""),"",IF(OR($C635&amp;"|"&amp;$D635="",COUNTIF(ListeIzinliGecis,$C635&amp;"|"&amp;$D635)&gt;0),"","GEÇERSİZ GEÇİŞ"))</f>
        <v/>
      </c>
      <c r="K635" s="24">
        <f>IF($A635="","",IF(OR($E635="",$G635=""),"",IF(ABS($G635-$E635)&gt;zincirTolerans,"ZİNCİR KIRIK","OK")))</f>
        <v/>
      </c>
      <c r="L635" s="24">
        <f>IF($A635="","",1)</f>
        <v/>
      </c>
    </row>
    <row r="636">
      <c r="A636" s="12" t="n"/>
      <c r="B636" s="12" t="n"/>
      <c r="C636" s="12" t="n"/>
      <c r="D636" s="12" t="n"/>
      <c r="E636" s="14" t="n"/>
      <c r="F636" s="14" t="n"/>
      <c r="G636" s="14" t="n"/>
      <c r="H636" s="15" t="n"/>
      <c r="I636" s="24">
        <f>IF($A636="","",IF($B636="","YETİM",IF(COUNTIF(tblKartlar[KartId],$B636)=0,"YETİM","")))</f>
        <v/>
      </c>
      <c r="J636" s="24">
        <f>IF(OR($A636="",$C636=""),"",IF(OR($C636&amp;"|"&amp;$D636="",COUNTIF(ListeIzinliGecis,$C636&amp;"|"&amp;$D636)&gt;0),"","GEÇERSİZ GEÇİŞ"))</f>
        <v/>
      </c>
      <c r="K636" s="24">
        <f>IF($A636="","",IF(OR($E636="",$G636=""),"",IF(ABS($G636-$E636)&gt;zincirTolerans,"ZİNCİR KIRIK","OK")))</f>
        <v/>
      </c>
      <c r="L636" s="24">
        <f>IF($A636="","",1)</f>
        <v/>
      </c>
    </row>
    <row r="637">
      <c r="A637" s="12" t="n"/>
      <c r="B637" s="12" t="n"/>
      <c r="C637" s="12" t="n"/>
      <c r="D637" s="12" t="n"/>
      <c r="E637" s="14" t="n"/>
      <c r="F637" s="14" t="n"/>
      <c r="G637" s="14" t="n"/>
      <c r="H637" s="15" t="n"/>
      <c r="I637" s="24">
        <f>IF($A637="","",IF($B637="","YETİM",IF(COUNTIF(tblKartlar[KartId],$B637)=0,"YETİM","")))</f>
        <v/>
      </c>
      <c r="J637" s="24">
        <f>IF(OR($A637="",$C637=""),"",IF(OR($C637&amp;"|"&amp;$D637="",COUNTIF(ListeIzinliGecis,$C637&amp;"|"&amp;$D637)&gt;0),"","GEÇERSİZ GEÇİŞ"))</f>
        <v/>
      </c>
      <c r="K637" s="24">
        <f>IF($A637="","",IF(OR($E637="",$G637=""),"",IF(ABS($G637-$E637)&gt;zincirTolerans,"ZİNCİR KIRIK","OK")))</f>
        <v/>
      </c>
      <c r="L637" s="24">
        <f>IF($A637="","",1)</f>
        <v/>
      </c>
    </row>
    <row r="638">
      <c r="A638" s="12" t="n"/>
      <c r="B638" s="12" t="n"/>
      <c r="C638" s="12" t="n"/>
      <c r="D638" s="12" t="n"/>
      <c r="E638" s="14" t="n"/>
      <c r="F638" s="14" t="n"/>
      <c r="G638" s="14" t="n"/>
      <c r="H638" s="15" t="n"/>
      <c r="I638" s="24">
        <f>IF($A638="","",IF($B638="","YETİM",IF(COUNTIF(tblKartlar[KartId],$B638)=0,"YETİM","")))</f>
        <v/>
      </c>
      <c r="J638" s="24">
        <f>IF(OR($A638="",$C638=""),"",IF(OR($C638&amp;"|"&amp;$D638="",COUNTIF(ListeIzinliGecis,$C638&amp;"|"&amp;$D638)&gt;0),"","GEÇERSİZ GEÇİŞ"))</f>
        <v/>
      </c>
      <c r="K638" s="24">
        <f>IF($A638="","",IF(OR($E638="",$G638=""),"",IF(ABS($G638-$E638)&gt;zincirTolerans,"ZİNCİR KIRIK","OK")))</f>
        <v/>
      </c>
      <c r="L638" s="24">
        <f>IF($A638="","",1)</f>
        <v/>
      </c>
    </row>
    <row r="639">
      <c r="A639" s="12" t="n"/>
      <c r="B639" s="12" t="n"/>
      <c r="C639" s="12" t="n"/>
      <c r="D639" s="12" t="n"/>
      <c r="E639" s="14" t="n"/>
      <c r="F639" s="14" t="n"/>
      <c r="G639" s="14" t="n"/>
      <c r="H639" s="15" t="n"/>
      <c r="I639" s="24">
        <f>IF($A639="","",IF($B639="","YETİM",IF(COUNTIF(tblKartlar[KartId],$B639)=0,"YETİM","")))</f>
        <v/>
      </c>
      <c r="J639" s="24">
        <f>IF(OR($A639="",$C639=""),"",IF(OR($C639&amp;"|"&amp;$D639="",COUNTIF(ListeIzinliGecis,$C639&amp;"|"&amp;$D639)&gt;0),"","GEÇERSİZ GEÇİŞ"))</f>
        <v/>
      </c>
      <c r="K639" s="24">
        <f>IF($A639="","",IF(OR($E639="",$G639=""),"",IF(ABS($G639-$E639)&gt;zincirTolerans,"ZİNCİR KIRIK","OK")))</f>
        <v/>
      </c>
      <c r="L639" s="24">
        <f>IF($A639="","",1)</f>
        <v/>
      </c>
    </row>
    <row r="640">
      <c r="A640" s="12" t="n"/>
      <c r="B640" s="12" t="n"/>
      <c r="C640" s="12" t="n"/>
      <c r="D640" s="12" t="n"/>
      <c r="E640" s="14" t="n"/>
      <c r="F640" s="14" t="n"/>
      <c r="G640" s="14" t="n"/>
      <c r="H640" s="15" t="n"/>
      <c r="I640" s="24">
        <f>IF($A640="","",IF($B640="","YETİM",IF(COUNTIF(tblKartlar[KartId],$B640)=0,"YETİM","")))</f>
        <v/>
      </c>
      <c r="J640" s="24">
        <f>IF(OR($A640="",$C640=""),"",IF(OR($C640&amp;"|"&amp;$D640="",COUNTIF(ListeIzinliGecis,$C640&amp;"|"&amp;$D640)&gt;0),"","GEÇERSİZ GEÇİŞ"))</f>
        <v/>
      </c>
      <c r="K640" s="24">
        <f>IF($A640="","",IF(OR($E640="",$G640=""),"",IF(ABS($G640-$E640)&gt;zincirTolerans,"ZİNCİR KIRIK","OK")))</f>
        <v/>
      </c>
      <c r="L640" s="24">
        <f>IF($A640="","",1)</f>
        <v/>
      </c>
    </row>
    <row r="641">
      <c r="A641" s="12" t="n"/>
      <c r="B641" s="12" t="n"/>
      <c r="C641" s="12" t="n"/>
      <c r="D641" s="12" t="n"/>
      <c r="E641" s="14" t="n"/>
      <c r="F641" s="14" t="n"/>
      <c r="G641" s="14" t="n"/>
      <c r="H641" s="15" t="n"/>
      <c r="I641" s="24">
        <f>IF($A641="","",IF($B641="","YETİM",IF(COUNTIF(tblKartlar[KartId],$B641)=0,"YETİM","")))</f>
        <v/>
      </c>
      <c r="J641" s="24">
        <f>IF(OR($A641="",$C641=""),"",IF(OR($C641&amp;"|"&amp;$D641="",COUNTIF(ListeIzinliGecis,$C641&amp;"|"&amp;$D641)&gt;0),"","GEÇERSİZ GEÇİŞ"))</f>
        <v/>
      </c>
      <c r="K641" s="24">
        <f>IF($A641="","",IF(OR($E641="",$G641=""),"",IF(ABS($G641-$E641)&gt;zincirTolerans,"ZİNCİR KIRIK","OK")))</f>
        <v/>
      </c>
      <c r="L641" s="24">
        <f>IF($A641="","",1)</f>
        <v/>
      </c>
    </row>
    <row r="642">
      <c r="A642" s="12" t="n"/>
      <c r="B642" s="12" t="n"/>
      <c r="C642" s="12" t="n"/>
      <c r="D642" s="12" t="n"/>
      <c r="E642" s="14" t="n"/>
      <c r="F642" s="14" t="n"/>
      <c r="G642" s="14" t="n"/>
      <c r="H642" s="15" t="n"/>
      <c r="I642" s="24">
        <f>IF($A642="","",IF($B642="","YETİM",IF(COUNTIF(tblKartlar[KartId],$B642)=0,"YETİM","")))</f>
        <v/>
      </c>
      <c r="J642" s="24">
        <f>IF(OR($A642="",$C642=""),"",IF(OR($C642&amp;"|"&amp;$D642="",COUNTIF(ListeIzinliGecis,$C642&amp;"|"&amp;$D642)&gt;0),"","GEÇERSİZ GEÇİŞ"))</f>
        <v/>
      </c>
      <c r="K642" s="24">
        <f>IF($A642="","",IF(OR($E642="",$G642=""),"",IF(ABS($G642-$E642)&gt;zincirTolerans,"ZİNCİR KIRIK","OK")))</f>
        <v/>
      </c>
      <c r="L642" s="24">
        <f>IF($A642="","",1)</f>
        <v/>
      </c>
    </row>
    <row r="643">
      <c r="A643" s="12" t="n"/>
      <c r="B643" s="12" t="n"/>
      <c r="C643" s="12" t="n"/>
      <c r="D643" s="12" t="n"/>
      <c r="E643" s="14" t="n"/>
      <c r="F643" s="14" t="n"/>
      <c r="G643" s="14" t="n"/>
      <c r="H643" s="15" t="n"/>
      <c r="I643" s="24">
        <f>IF($A643="","",IF($B643="","YETİM",IF(COUNTIF(tblKartlar[KartId],$B643)=0,"YETİM","")))</f>
        <v/>
      </c>
      <c r="J643" s="24">
        <f>IF(OR($A643="",$C643=""),"",IF(OR($C643&amp;"|"&amp;$D643="",COUNTIF(ListeIzinliGecis,$C643&amp;"|"&amp;$D643)&gt;0),"","GEÇERSİZ GEÇİŞ"))</f>
        <v/>
      </c>
      <c r="K643" s="24">
        <f>IF($A643="","",IF(OR($E643="",$G643=""),"",IF(ABS($G643-$E643)&gt;zincirTolerans,"ZİNCİR KIRIK","OK")))</f>
        <v/>
      </c>
      <c r="L643" s="24">
        <f>IF($A643="","",1)</f>
        <v/>
      </c>
    </row>
    <row r="644">
      <c r="A644" s="12" t="n"/>
      <c r="B644" s="12" t="n"/>
      <c r="C644" s="12" t="n"/>
      <c r="D644" s="12" t="n"/>
      <c r="E644" s="14" t="n"/>
      <c r="F644" s="14" t="n"/>
      <c r="G644" s="14" t="n"/>
      <c r="H644" s="15" t="n"/>
      <c r="I644" s="24">
        <f>IF($A644="","",IF($B644="","YETİM",IF(COUNTIF(tblKartlar[KartId],$B644)=0,"YETİM","")))</f>
        <v/>
      </c>
      <c r="J644" s="24">
        <f>IF(OR($A644="",$C644=""),"",IF(OR($C644&amp;"|"&amp;$D644="",COUNTIF(ListeIzinliGecis,$C644&amp;"|"&amp;$D644)&gt;0),"","GEÇERSİZ GEÇİŞ"))</f>
        <v/>
      </c>
      <c r="K644" s="24">
        <f>IF($A644="","",IF(OR($E644="",$G644=""),"",IF(ABS($G644-$E644)&gt;zincirTolerans,"ZİNCİR KIRIK","OK")))</f>
        <v/>
      </c>
      <c r="L644" s="24">
        <f>IF($A644="","",1)</f>
        <v/>
      </c>
    </row>
    <row r="645">
      <c r="A645" s="12" t="n"/>
      <c r="B645" s="12" t="n"/>
      <c r="C645" s="12" t="n"/>
      <c r="D645" s="12" t="n"/>
      <c r="E645" s="14" t="n"/>
      <c r="F645" s="14" t="n"/>
      <c r="G645" s="14" t="n"/>
      <c r="H645" s="15" t="n"/>
      <c r="I645" s="24">
        <f>IF($A645="","",IF($B645="","YETİM",IF(COUNTIF(tblKartlar[KartId],$B645)=0,"YETİM","")))</f>
        <v/>
      </c>
      <c r="J645" s="24">
        <f>IF(OR($A645="",$C645=""),"",IF(OR($C645&amp;"|"&amp;$D645="",COUNTIF(ListeIzinliGecis,$C645&amp;"|"&amp;$D645)&gt;0),"","GEÇERSİZ GEÇİŞ"))</f>
        <v/>
      </c>
      <c r="K645" s="24">
        <f>IF($A645="","",IF(OR($E645="",$G645=""),"",IF(ABS($G645-$E645)&gt;zincirTolerans,"ZİNCİR KIRIK","OK")))</f>
        <v/>
      </c>
      <c r="L645" s="24">
        <f>IF($A645="","",1)</f>
        <v/>
      </c>
    </row>
    <row r="646">
      <c r="A646" s="12" t="n"/>
      <c r="B646" s="12" t="n"/>
      <c r="C646" s="12" t="n"/>
      <c r="D646" s="12" t="n"/>
      <c r="E646" s="14" t="n"/>
      <c r="F646" s="14" t="n"/>
      <c r="G646" s="14" t="n"/>
      <c r="H646" s="15" t="n"/>
      <c r="I646" s="24">
        <f>IF($A646="","",IF($B646="","YETİM",IF(COUNTIF(tblKartlar[KartId],$B646)=0,"YETİM","")))</f>
        <v/>
      </c>
      <c r="J646" s="24">
        <f>IF(OR($A646="",$C646=""),"",IF(OR($C646&amp;"|"&amp;$D646="",COUNTIF(ListeIzinliGecis,$C646&amp;"|"&amp;$D646)&gt;0),"","GEÇERSİZ GEÇİŞ"))</f>
        <v/>
      </c>
      <c r="K646" s="24">
        <f>IF($A646="","",IF(OR($E646="",$G646=""),"",IF(ABS($G646-$E646)&gt;zincirTolerans,"ZİNCİR KIRIK","OK")))</f>
        <v/>
      </c>
      <c r="L646" s="24">
        <f>IF($A646="","",1)</f>
        <v/>
      </c>
    </row>
    <row r="647">
      <c r="A647" s="12" t="n"/>
      <c r="B647" s="12" t="n"/>
      <c r="C647" s="12" t="n"/>
      <c r="D647" s="12" t="n"/>
      <c r="E647" s="14" t="n"/>
      <c r="F647" s="14" t="n"/>
      <c r="G647" s="14" t="n"/>
      <c r="H647" s="15" t="n"/>
      <c r="I647" s="24">
        <f>IF($A647="","",IF($B647="","YETİM",IF(COUNTIF(tblKartlar[KartId],$B647)=0,"YETİM","")))</f>
        <v/>
      </c>
      <c r="J647" s="24">
        <f>IF(OR($A647="",$C647=""),"",IF(OR($C647&amp;"|"&amp;$D647="",COUNTIF(ListeIzinliGecis,$C647&amp;"|"&amp;$D647)&gt;0),"","GEÇERSİZ GEÇİŞ"))</f>
        <v/>
      </c>
      <c r="K647" s="24">
        <f>IF($A647="","",IF(OR($E647="",$G647=""),"",IF(ABS($G647-$E647)&gt;zincirTolerans,"ZİNCİR KIRIK","OK")))</f>
        <v/>
      </c>
      <c r="L647" s="24">
        <f>IF($A647="","",1)</f>
        <v/>
      </c>
    </row>
    <row r="648">
      <c r="A648" s="12" t="n"/>
      <c r="B648" s="12" t="n"/>
      <c r="C648" s="12" t="n"/>
      <c r="D648" s="12" t="n"/>
      <c r="E648" s="14" t="n"/>
      <c r="F648" s="14" t="n"/>
      <c r="G648" s="14" t="n"/>
      <c r="H648" s="15" t="n"/>
      <c r="I648" s="24">
        <f>IF($A648="","",IF($B648="","YETİM",IF(COUNTIF(tblKartlar[KartId],$B648)=0,"YETİM","")))</f>
        <v/>
      </c>
      <c r="J648" s="24">
        <f>IF(OR($A648="",$C648=""),"",IF(OR($C648&amp;"|"&amp;$D648="",COUNTIF(ListeIzinliGecis,$C648&amp;"|"&amp;$D648)&gt;0),"","GEÇERSİZ GEÇİŞ"))</f>
        <v/>
      </c>
      <c r="K648" s="24">
        <f>IF($A648="","",IF(OR($E648="",$G648=""),"",IF(ABS($G648-$E648)&gt;zincirTolerans,"ZİNCİR KIRIK","OK")))</f>
        <v/>
      </c>
      <c r="L648" s="24">
        <f>IF($A648="","",1)</f>
        <v/>
      </c>
    </row>
    <row r="649">
      <c r="A649" s="12" t="n"/>
      <c r="B649" s="12" t="n"/>
      <c r="C649" s="12" t="n"/>
      <c r="D649" s="12" t="n"/>
      <c r="E649" s="14" t="n"/>
      <c r="F649" s="14" t="n"/>
      <c r="G649" s="14" t="n"/>
      <c r="H649" s="15" t="n"/>
      <c r="I649" s="24">
        <f>IF($A649="","",IF($B649="","YETİM",IF(COUNTIF(tblKartlar[KartId],$B649)=0,"YETİM","")))</f>
        <v/>
      </c>
      <c r="J649" s="24">
        <f>IF(OR($A649="",$C649=""),"",IF(OR($C649&amp;"|"&amp;$D649="",COUNTIF(ListeIzinliGecis,$C649&amp;"|"&amp;$D649)&gt;0),"","GEÇERSİZ GEÇİŞ"))</f>
        <v/>
      </c>
      <c r="K649" s="24">
        <f>IF($A649="","",IF(OR($E649="",$G649=""),"",IF(ABS($G649-$E649)&gt;zincirTolerans,"ZİNCİR KIRIK","OK")))</f>
        <v/>
      </c>
      <c r="L649" s="24">
        <f>IF($A649="","",1)</f>
        <v/>
      </c>
    </row>
    <row r="650">
      <c r="A650" s="12" t="n"/>
      <c r="B650" s="12" t="n"/>
      <c r="C650" s="12" t="n"/>
      <c r="D650" s="12" t="n"/>
      <c r="E650" s="14" t="n"/>
      <c r="F650" s="14" t="n"/>
      <c r="G650" s="14" t="n"/>
      <c r="H650" s="15" t="n"/>
      <c r="I650" s="24">
        <f>IF($A650="","",IF($B650="","YETİM",IF(COUNTIF(tblKartlar[KartId],$B650)=0,"YETİM","")))</f>
        <v/>
      </c>
      <c r="J650" s="24">
        <f>IF(OR($A650="",$C650=""),"",IF(OR($C650&amp;"|"&amp;$D650="",COUNTIF(ListeIzinliGecis,$C650&amp;"|"&amp;$D650)&gt;0),"","GEÇERSİZ GEÇİŞ"))</f>
        <v/>
      </c>
      <c r="K650" s="24">
        <f>IF($A650="","",IF(OR($E650="",$G650=""),"",IF(ABS($G650-$E650)&gt;zincirTolerans,"ZİNCİR KIRIK","OK")))</f>
        <v/>
      </c>
      <c r="L650" s="24">
        <f>IF($A650="","",1)</f>
        <v/>
      </c>
    </row>
    <row r="651">
      <c r="A651" s="12" t="n"/>
      <c r="B651" s="12" t="n"/>
      <c r="C651" s="12" t="n"/>
      <c r="D651" s="12" t="n"/>
      <c r="E651" s="14" t="n"/>
      <c r="F651" s="14" t="n"/>
      <c r="G651" s="14" t="n"/>
      <c r="H651" s="15" t="n"/>
      <c r="I651" s="24">
        <f>IF($A651="","",IF($B651="","YETİM",IF(COUNTIF(tblKartlar[KartId],$B651)=0,"YETİM","")))</f>
        <v/>
      </c>
      <c r="J651" s="24">
        <f>IF(OR($A651="",$C651=""),"",IF(OR($C651&amp;"|"&amp;$D651="",COUNTIF(ListeIzinliGecis,$C651&amp;"|"&amp;$D651)&gt;0),"","GEÇERSİZ GEÇİŞ"))</f>
        <v/>
      </c>
      <c r="K651" s="24">
        <f>IF($A651="","",IF(OR($E651="",$G651=""),"",IF(ABS($G651-$E651)&gt;zincirTolerans,"ZİNCİR KIRIK","OK")))</f>
        <v/>
      </c>
      <c r="L651" s="24">
        <f>IF($A651="","",1)</f>
        <v/>
      </c>
    </row>
    <row r="652">
      <c r="A652" s="12" t="n"/>
      <c r="B652" s="12" t="n"/>
      <c r="C652" s="12" t="n"/>
      <c r="D652" s="12" t="n"/>
      <c r="E652" s="14" t="n"/>
      <c r="F652" s="14" t="n"/>
      <c r="G652" s="14" t="n"/>
      <c r="H652" s="15" t="n"/>
      <c r="I652" s="24">
        <f>IF($A652="","",IF($B652="","YETİM",IF(COUNTIF(tblKartlar[KartId],$B652)=0,"YETİM","")))</f>
        <v/>
      </c>
      <c r="J652" s="24">
        <f>IF(OR($A652="",$C652=""),"",IF(OR($C652&amp;"|"&amp;$D652="",COUNTIF(ListeIzinliGecis,$C652&amp;"|"&amp;$D652)&gt;0),"","GEÇERSİZ GEÇİŞ"))</f>
        <v/>
      </c>
      <c r="K652" s="24">
        <f>IF($A652="","",IF(OR($E652="",$G652=""),"",IF(ABS($G652-$E652)&gt;zincirTolerans,"ZİNCİR KIRIK","OK")))</f>
        <v/>
      </c>
      <c r="L652" s="24">
        <f>IF($A652="","",1)</f>
        <v/>
      </c>
    </row>
    <row r="653">
      <c r="A653" s="12" t="n"/>
      <c r="B653" s="12" t="n"/>
      <c r="C653" s="12" t="n"/>
      <c r="D653" s="12" t="n"/>
      <c r="E653" s="14" t="n"/>
      <c r="F653" s="14" t="n"/>
      <c r="G653" s="14" t="n"/>
      <c r="H653" s="15" t="n"/>
      <c r="I653" s="24">
        <f>IF($A653="","",IF($B653="","YETİM",IF(COUNTIF(tblKartlar[KartId],$B653)=0,"YETİM","")))</f>
        <v/>
      </c>
      <c r="J653" s="24">
        <f>IF(OR($A653="",$C653=""),"",IF(OR($C653&amp;"|"&amp;$D653="",COUNTIF(ListeIzinliGecis,$C653&amp;"|"&amp;$D653)&gt;0),"","GEÇERSİZ GEÇİŞ"))</f>
        <v/>
      </c>
      <c r="K653" s="24">
        <f>IF($A653="","",IF(OR($E653="",$G653=""),"",IF(ABS($G653-$E653)&gt;zincirTolerans,"ZİNCİR KIRIK","OK")))</f>
        <v/>
      </c>
      <c r="L653" s="24">
        <f>IF($A653="","",1)</f>
        <v/>
      </c>
    </row>
    <row r="654">
      <c r="A654" s="12" t="n"/>
      <c r="B654" s="12" t="n"/>
      <c r="C654" s="12" t="n"/>
      <c r="D654" s="12" t="n"/>
      <c r="E654" s="14" t="n"/>
      <c r="F654" s="14" t="n"/>
      <c r="G654" s="14" t="n"/>
      <c r="H654" s="15" t="n"/>
      <c r="I654" s="24">
        <f>IF($A654="","",IF($B654="","YETİM",IF(COUNTIF(tblKartlar[KartId],$B654)=0,"YETİM","")))</f>
        <v/>
      </c>
      <c r="J654" s="24">
        <f>IF(OR($A654="",$C654=""),"",IF(OR($C654&amp;"|"&amp;$D654="",COUNTIF(ListeIzinliGecis,$C654&amp;"|"&amp;$D654)&gt;0),"","GEÇERSİZ GEÇİŞ"))</f>
        <v/>
      </c>
      <c r="K654" s="24">
        <f>IF($A654="","",IF(OR($E654="",$G654=""),"",IF(ABS($G654-$E654)&gt;zincirTolerans,"ZİNCİR KIRIK","OK")))</f>
        <v/>
      </c>
      <c r="L654" s="24">
        <f>IF($A654="","",1)</f>
        <v/>
      </c>
    </row>
    <row r="655">
      <c r="A655" s="12" t="n"/>
      <c r="B655" s="12" t="n"/>
      <c r="C655" s="12" t="n"/>
      <c r="D655" s="12" t="n"/>
      <c r="E655" s="14" t="n"/>
      <c r="F655" s="14" t="n"/>
      <c r="G655" s="14" t="n"/>
      <c r="H655" s="15" t="n"/>
      <c r="I655" s="24">
        <f>IF($A655="","",IF($B655="","YETİM",IF(COUNTIF(tblKartlar[KartId],$B655)=0,"YETİM","")))</f>
        <v/>
      </c>
      <c r="J655" s="24">
        <f>IF(OR($A655="",$C655=""),"",IF(OR($C655&amp;"|"&amp;$D655="",COUNTIF(ListeIzinliGecis,$C655&amp;"|"&amp;$D655)&gt;0),"","GEÇERSİZ GEÇİŞ"))</f>
        <v/>
      </c>
      <c r="K655" s="24">
        <f>IF($A655="","",IF(OR($E655="",$G655=""),"",IF(ABS($G655-$E655)&gt;zincirTolerans,"ZİNCİR KIRIK","OK")))</f>
        <v/>
      </c>
      <c r="L655" s="24">
        <f>IF($A655="","",1)</f>
        <v/>
      </c>
    </row>
    <row r="656">
      <c r="A656" s="12" t="n"/>
      <c r="B656" s="12" t="n"/>
      <c r="C656" s="12" t="n"/>
      <c r="D656" s="12" t="n"/>
      <c r="E656" s="14" t="n"/>
      <c r="F656" s="14" t="n"/>
      <c r="G656" s="14" t="n"/>
      <c r="H656" s="15" t="n"/>
      <c r="I656" s="24">
        <f>IF($A656="","",IF($B656="","YETİM",IF(COUNTIF(tblKartlar[KartId],$B656)=0,"YETİM","")))</f>
        <v/>
      </c>
      <c r="J656" s="24">
        <f>IF(OR($A656="",$C656=""),"",IF(OR($C656&amp;"|"&amp;$D656="",COUNTIF(ListeIzinliGecis,$C656&amp;"|"&amp;$D656)&gt;0),"","GEÇERSİZ GEÇİŞ"))</f>
        <v/>
      </c>
      <c r="K656" s="24">
        <f>IF($A656="","",IF(OR($E656="",$G656=""),"",IF(ABS($G656-$E656)&gt;zincirTolerans,"ZİNCİR KIRIK","OK")))</f>
        <v/>
      </c>
      <c r="L656" s="24">
        <f>IF($A656="","",1)</f>
        <v/>
      </c>
    </row>
    <row r="657">
      <c r="A657" s="12" t="n"/>
      <c r="B657" s="12" t="n"/>
      <c r="C657" s="12" t="n"/>
      <c r="D657" s="12" t="n"/>
      <c r="E657" s="14" t="n"/>
      <c r="F657" s="14" t="n"/>
      <c r="G657" s="14" t="n"/>
      <c r="H657" s="15" t="n"/>
      <c r="I657" s="24">
        <f>IF($A657="","",IF($B657="","YETİM",IF(COUNTIF(tblKartlar[KartId],$B657)=0,"YETİM","")))</f>
        <v/>
      </c>
      <c r="J657" s="24">
        <f>IF(OR($A657="",$C657=""),"",IF(OR($C657&amp;"|"&amp;$D657="",COUNTIF(ListeIzinliGecis,$C657&amp;"|"&amp;$D657)&gt;0),"","GEÇERSİZ GEÇİŞ"))</f>
        <v/>
      </c>
      <c r="K657" s="24">
        <f>IF($A657="","",IF(OR($E657="",$G657=""),"",IF(ABS($G657-$E657)&gt;zincirTolerans,"ZİNCİR KIRIK","OK")))</f>
        <v/>
      </c>
      <c r="L657" s="24">
        <f>IF($A657="","",1)</f>
        <v/>
      </c>
    </row>
    <row r="658">
      <c r="A658" s="12" t="n"/>
      <c r="B658" s="12" t="n"/>
      <c r="C658" s="12" t="n"/>
      <c r="D658" s="12" t="n"/>
      <c r="E658" s="14" t="n"/>
      <c r="F658" s="14" t="n"/>
      <c r="G658" s="14" t="n"/>
      <c r="H658" s="15" t="n"/>
      <c r="I658" s="24">
        <f>IF($A658="","",IF($B658="","YETİM",IF(COUNTIF(tblKartlar[KartId],$B658)=0,"YETİM","")))</f>
        <v/>
      </c>
      <c r="J658" s="24">
        <f>IF(OR($A658="",$C658=""),"",IF(OR($C658&amp;"|"&amp;$D658="",COUNTIF(ListeIzinliGecis,$C658&amp;"|"&amp;$D658)&gt;0),"","GEÇERSİZ GEÇİŞ"))</f>
        <v/>
      </c>
      <c r="K658" s="24">
        <f>IF($A658="","",IF(OR($E658="",$G658=""),"",IF(ABS($G658-$E658)&gt;zincirTolerans,"ZİNCİR KIRIK","OK")))</f>
        <v/>
      </c>
      <c r="L658" s="24">
        <f>IF($A658="","",1)</f>
        <v/>
      </c>
    </row>
    <row r="659">
      <c r="A659" s="12" t="n"/>
      <c r="B659" s="12" t="n"/>
      <c r="C659" s="12" t="n"/>
      <c r="D659" s="12" t="n"/>
      <c r="E659" s="14" t="n"/>
      <c r="F659" s="14" t="n"/>
      <c r="G659" s="14" t="n"/>
      <c r="H659" s="15" t="n"/>
      <c r="I659" s="24">
        <f>IF($A659="","",IF($B659="","YETİM",IF(COUNTIF(tblKartlar[KartId],$B659)=0,"YETİM","")))</f>
        <v/>
      </c>
      <c r="J659" s="24">
        <f>IF(OR($A659="",$C659=""),"",IF(OR($C659&amp;"|"&amp;$D659="",COUNTIF(ListeIzinliGecis,$C659&amp;"|"&amp;$D659)&gt;0),"","GEÇERSİZ GEÇİŞ"))</f>
        <v/>
      </c>
      <c r="K659" s="24">
        <f>IF($A659="","",IF(OR($E659="",$G659=""),"",IF(ABS($G659-$E659)&gt;zincirTolerans,"ZİNCİR KIRIK","OK")))</f>
        <v/>
      </c>
      <c r="L659" s="24">
        <f>IF($A659="","",1)</f>
        <v/>
      </c>
    </row>
    <row r="660">
      <c r="A660" s="12" t="n"/>
      <c r="B660" s="12" t="n"/>
      <c r="C660" s="12" t="n"/>
      <c r="D660" s="12" t="n"/>
      <c r="E660" s="14" t="n"/>
      <c r="F660" s="14" t="n"/>
      <c r="G660" s="14" t="n"/>
      <c r="H660" s="15" t="n"/>
      <c r="I660" s="24">
        <f>IF($A660="","",IF($B660="","YETİM",IF(COUNTIF(tblKartlar[KartId],$B660)=0,"YETİM","")))</f>
        <v/>
      </c>
      <c r="J660" s="24">
        <f>IF(OR($A660="",$C660=""),"",IF(OR($C660&amp;"|"&amp;$D660="",COUNTIF(ListeIzinliGecis,$C660&amp;"|"&amp;$D660)&gt;0),"","GEÇERSİZ GEÇİŞ"))</f>
        <v/>
      </c>
      <c r="K660" s="24">
        <f>IF($A660="","",IF(OR($E660="",$G660=""),"",IF(ABS($G660-$E660)&gt;zincirTolerans,"ZİNCİR KIRIK","OK")))</f>
        <v/>
      </c>
      <c r="L660" s="24">
        <f>IF($A660="","",1)</f>
        <v/>
      </c>
    </row>
    <row r="661">
      <c r="A661" s="12" t="n"/>
      <c r="B661" s="12" t="n"/>
      <c r="C661" s="12" t="n"/>
      <c r="D661" s="12" t="n"/>
      <c r="E661" s="14" t="n"/>
      <c r="F661" s="14" t="n"/>
      <c r="G661" s="14" t="n"/>
      <c r="H661" s="15" t="n"/>
      <c r="I661" s="24">
        <f>IF($A661="","",IF($B661="","YETİM",IF(COUNTIF(tblKartlar[KartId],$B661)=0,"YETİM","")))</f>
        <v/>
      </c>
      <c r="J661" s="24">
        <f>IF(OR($A661="",$C661=""),"",IF(OR($C661&amp;"|"&amp;$D661="",COUNTIF(ListeIzinliGecis,$C661&amp;"|"&amp;$D661)&gt;0),"","GEÇERSİZ GEÇİŞ"))</f>
        <v/>
      </c>
      <c r="K661" s="24">
        <f>IF($A661="","",IF(OR($E661="",$G661=""),"",IF(ABS($G661-$E661)&gt;zincirTolerans,"ZİNCİR KIRIK","OK")))</f>
        <v/>
      </c>
      <c r="L661" s="24">
        <f>IF($A661="","",1)</f>
        <v/>
      </c>
    </row>
    <row r="662">
      <c r="A662" s="12" t="n"/>
      <c r="B662" s="12" t="n"/>
      <c r="C662" s="12" t="n"/>
      <c r="D662" s="12" t="n"/>
      <c r="E662" s="14" t="n"/>
      <c r="F662" s="14" t="n"/>
      <c r="G662" s="14" t="n"/>
      <c r="H662" s="15" t="n"/>
      <c r="I662" s="24">
        <f>IF($A662="","",IF($B662="","YETİM",IF(COUNTIF(tblKartlar[KartId],$B662)=0,"YETİM","")))</f>
        <v/>
      </c>
      <c r="J662" s="24">
        <f>IF(OR($A662="",$C662=""),"",IF(OR($C662&amp;"|"&amp;$D662="",COUNTIF(ListeIzinliGecis,$C662&amp;"|"&amp;$D662)&gt;0),"","GEÇERSİZ GEÇİŞ"))</f>
        <v/>
      </c>
      <c r="K662" s="24">
        <f>IF($A662="","",IF(OR($E662="",$G662=""),"",IF(ABS($G662-$E662)&gt;zincirTolerans,"ZİNCİR KIRIK","OK")))</f>
        <v/>
      </c>
      <c r="L662" s="24">
        <f>IF($A662="","",1)</f>
        <v/>
      </c>
    </row>
    <row r="663">
      <c r="A663" s="12" t="n"/>
      <c r="B663" s="12" t="n"/>
      <c r="C663" s="12" t="n"/>
      <c r="D663" s="12" t="n"/>
      <c r="E663" s="14" t="n"/>
      <c r="F663" s="14" t="n"/>
      <c r="G663" s="14" t="n"/>
      <c r="H663" s="15" t="n"/>
      <c r="I663" s="24">
        <f>IF($A663="","",IF($B663="","YETİM",IF(COUNTIF(tblKartlar[KartId],$B663)=0,"YETİM","")))</f>
        <v/>
      </c>
      <c r="J663" s="24">
        <f>IF(OR($A663="",$C663=""),"",IF(OR($C663&amp;"|"&amp;$D663="",COUNTIF(ListeIzinliGecis,$C663&amp;"|"&amp;$D663)&gt;0),"","GEÇERSİZ GEÇİŞ"))</f>
        <v/>
      </c>
      <c r="K663" s="24">
        <f>IF($A663="","",IF(OR($E663="",$G663=""),"",IF(ABS($G663-$E663)&gt;zincirTolerans,"ZİNCİR KIRIK","OK")))</f>
        <v/>
      </c>
      <c r="L663" s="24">
        <f>IF($A663="","",1)</f>
        <v/>
      </c>
    </row>
    <row r="664">
      <c r="A664" s="12" t="n"/>
      <c r="B664" s="12" t="n"/>
      <c r="C664" s="12" t="n"/>
      <c r="D664" s="12" t="n"/>
      <c r="E664" s="14" t="n"/>
      <c r="F664" s="14" t="n"/>
      <c r="G664" s="14" t="n"/>
      <c r="H664" s="15" t="n"/>
      <c r="I664" s="24">
        <f>IF($A664="","",IF($B664="","YETİM",IF(COUNTIF(tblKartlar[KartId],$B664)=0,"YETİM","")))</f>
        <v/>
      </c>
      <c r="J664" s="24">
        <f>IF(OR($A664="",$C664=""),"",IF(OR($C664&amp;"|"&amp;$D664="",COUNTIF(ListeIzinliGecis,$C664&amp;"|"&amp;$D664)&gt;0),"","GEÇERSİZ GEÇİŞ"))</f>
        <v/>
      </c>
      <c r="K664" s="24">
        <f>IF($A664="","",IF(OR($E664="",$G664=""),"",IF(ABS($G664-$E664)&gt;zincirTolerans,"ZİNCİR KIRIK","OK")))</f>
        <v/>
      </c>
      <c r="L664" s="24">
        <f>IF($A664="","",1)</f>
        <v/>
      </c>
    </row>
    <row r="665">
      <c r="A665" s="12" t="n"/>
      <c r="B665" s="12" t="n"/>
      <c r="C665" s="12" t="n"/>
      <c r="D665" s="12" t="n"/>
      <c r="E665" s="14" t="n"/>
      <c r="F665" s="14" t="n"/>
      <c r="G665" s="14" t="n"/>
      <c r="H665" s="15" t="n"/>
      <c r="I665" s="24">
        <f>IF($A665="","",IF($B665="","YETİM",IF(COUNTIF(tblKartlar[KartId],$B665)=0,"YETİM","")))</f>
        <v/>
      </c>
      <c r="J665" s="24">
        <f>IF(OR($A665="",$C665=""),"",IF(OR($C665&amp;"|"&amp;$D665="",COUNTIF(ListeIzinliGecis,$C665&amp;"|"&amp;$D665)&gt;0),"","GEÇERSİZ GEÇİŞ"))</f>
        <v/>
      </c>
      <c r="K665" s="24">
        <f>IF($A665="","",IF(OR($E665="",$G665=""),"",IF(ABS($G665-$E665)&gt;zincirTolerans,"ZİNCİR KIRIK","OK")))</f>
        <v/>
      </c>
      <c r="L665" s="24">
        <f>IF($A665="","",1)</f>
        <v/>
      </c>
    </row>
    <row r="666">
      <c r="A666" s="12" t="n"/>
      <c r="B666" s="12" t="n"/>
      <c r="C666" s="12" t="n"/>
      <c r="D666" s="12" t="n"/>
      <c r="E666" s="14" t="n"/>
      <c r="F666" s="14" t="n"/>
      <c r="G666" s="14" t="n"/>
      <c r="H666" s="15" t="n"/>
      <c r="I666" s="24">
        <f>IF($A666="","",IF($B666="","YETİM",IF(COUNTIF(tblKartlar[KartId],$B666)=0,"YETİM","")))</f>
        <v/>
      </c>
      <c r="J666" s="24">
        <f>IF(OR($A666="",$C666=""),"",IF(OR($C666&amp;"|"&amp;$D666="",COUNTIF(ListeIzinliGecis,$C666&amp;"|"&amp;$D666)&gt;0),"","GEÇERSİZ GEÇİŞ"))</f>
        <v/>
      </c>
      <c r="K666" s="24">
        <f>IF($A666="","",IF(OR($E666="",$G666=""),"",IF(ABS($G666-$E666)&gt;zincirTolerans,"ZİNCİR KIRIK","OK")))</f>
        <v/>
      </c>
      <c r="L666" s="24">
        <f>IF($A666="","",1)</f>
        <v/>
      </c>
    </row>
    <row r="667">
      <c r="A667" s="12" t="n"/>
      <c r="B667" s="12" t="n"/>
      <c r="C667" s="12" t="n"/>
      <c r="D667" s="12" t="n"/>
      <c r="E667" s="14" t="n"/>
      <c r="F667" s="14" t="n"/>
      <c r="G667" s="14" t="n"/>
      <c r="H667" s="15" t="n"/>
      <c r="I667" s="24">
        <f>IF($A667="","",IF($B667="","YETİM",IF(COUNTIF(tblKartlar[KartId],$B667)=0,"YETİM","")))</f>
        <v/>
      </c>
      <c r="J667" s="24">
        <f>IF(OR($A667="",$C667=""),"",IF(OR($C667&amp;"|"&amp;$D667="",COUNTIF(ListeIzinliGecis,$C667&amp;"|"&amp;$D667)&gt;0),"","GEÇERSİZ GEÇİŞ"))</f>
        <v/>
      </c>
      <c r="K667" s="24">
        <f>IF($A667="","",IF(OR($E667="",$G667=""),"",IF(ABS($G667-$E667)&gt;zincirTolerans,"ZİNCİR KIRIK","OK")))</f>
        <v/>
      </c>
      <c r="L667" s="24">
        <f>IF($A667="","",1)</f>
        <v/>
      </c>
    </row>
    <row r="668">
      <c r="A668" s="12" t="n"/>
      <c r="B668" s="12" t="n"/>
      <c r="C668" s="12" t="n"/>
      <c r="D668" s="12" t="n"/>
      <c r="E668" s="14" t="n"/>
      <c r="F668" s="14" t="n"/>
      <c r="G668" s="14" t="n"/>
      <c r="H668" s="15" t="n"/>
      <c r="I668" s="24">
        <f>IF($A668="","",IF($B668="","YETİM",IF(COUNTIF(tblKartlar[KartId],$B668)=0,"YETİM","")))</f>
        <v/>
      </c>
      <c r="J668" s="24">
        <f>IF(OR($A668="",$C668=""),"",IF(OR($C668&amp;"|"&amp;$D668="",COUNTIF(ListeIzinliGecis,$C668&amp;"|"&amp;$D668)&gt;0),"","GEÇERSİZ GEÇİŞ"))</f>
        <v/>
      </c>
      <c r="K668" s="24">
        <f>IF($A668="","",IF(OR($E668="",$G668=""),"",IF(ABS($G668-$E668)&gt;zincirTolerans,"ZİNCİR KIRIK","OK")))</f>
        <v/>
      </c>
      <c r="L668" s="24">
        <f>IF($A668="","",1)</f>
        <v/>
      </c>
    </row>
    <row r="669">
      <c r="A669" s="12" t="n"/>
      <c r="B669" s="12" t="n"/>
      <c r="C669" s="12" t="n"/>
      <c r="D669" s="12" t="n"/>
      <c r="E669" s="14" t="n"/>
      <c r="F669" s="14" t="n"/>
      <c r="G669" s="14" t="n"/>
      <c r="H669" s="15" t="n"/>
      <c r="I669" s="24">
        <f>IF($A669="","",IF($B669="","YETİM",IF(COUNTIF(tblKartlar[KartId],$B669)=0,"YETİM","")))</f>
        <v/>
      </c>
      <c r="J669" s="24">
        <f>IF(OR($A669="",$C669=""),"",IF(OR($C669&amp;"|"&amp;$D669="",COUNTIF(ListeIzinliGecis,$C669&amp;"|"&amp;$D669)&gt;0),"","GEÇERSİZ GEÇİŞ"))</f>
        <v/>
      </c>
      <c r="K669" s="24">
        <f>IF($A669="","",IF(OR($E669="",$G669=""),"",IF(ABS($G669-$E669)&gt;zincirTolerans,"ZİNCİR KIRIK","OK")))</f>
        <v/>
      </c>
      <c r="L669" s="24">
        <f>IF($A669="","",1)</f>
        <v/>
      </c>
    </row>
    <row r="670">
      <c r="A670" s="12" t="n"/>
      <c r="B670" s="12" t="n"/>
      <c r="C670" s="12" t="n"/>
      <c r="D670" s="12" t="n"/>
      <c r="E670" s="14" t="n"/>
      <c r="F670" s="14" t="n"/>
      <c r="G670" s="14" t="n"/>
      <c r="H670" s="15" t="n"/>
      <c r="I670" s="24">
        <f>IF($A670="","",IF($B670="","YETİM",IF(COUNTIF(tblKartlar[KartId],$B670)=0,"YETİM","")))</f>
        <v/>
      </c>
      <c r="J670" s="24">
        <f>IF(OR($A670="",$C670=""),"",IF(OR($C670&amp;"|"&amp;$D670="",COUNTIF(ListeIzinliGecis,$C670&amp;"|"&amp;$D670)&gt;0),"","GEÇERSİZ GEÇİŞ"))</f>
        <v/>
      </c>
      <c r="K670" s="24">
        <f>IF($A670="","",IF(OR($E670="",$G670=""),"",IF(ABS($G670-$E670)&gt;zincirTolerans,"ZİNCİR KIRIK","OK")))</f>
        <v/>
      </c>
      <c r="L670" s="24">
        <f>IF($A670="","",1)</f>
        <v/>
      </c>
    </row>
    <row r="671">
      <c r="A671" s="12" t="n"/>
      <c r="B671" s="12" t="n"/>
      <c r="C671" s="12" t="n"/>
      <c r="D671" s="12" t="n"/>
      <c r="E671" s="14" t="n"/>
      <c r="F671" s="14" t="n"/>
      <c r="G671" s="14" t="n"/>
      <c r="H671" s="15" t="n"/>
      <c r="I671" s="24">
        <f>IF($A671="","",IF($B671="","YETİM",IF(COUNTIF(tblKartlar[KartId],$B671)=0,"YETİM","")))</f>
        <v/>
      </c>
      <c r="J671" s="24">
        <f>IF(OR($A671="",$C671=""),"",IF(OR($C671&amp;"|"&amp;$D671="",COUNTIF(ListeIzinliGecis,$C671&amp;"|"&amp;$D671)&gt;0),"","GEÇERSİZ GEÇİŞ"))</f>
        <v/>
      </c>
      <c r="K671" s="24">
        <f>IF($A671="","",IF(OR($E671="",$G671=""),"",IF(ABS($G671-$E671)&gt;zincirTolerans,"ZİNCİR KIRIK","OK")))</f>
        <v/>
      </c>
      <c r="L671" s="24">
        <f>IF($A671="","",1)</f>
        <v/>
      </c>
    </row>
    <row r="672">
      <c r="A672" s="12" t="n"/>
      <c r="B672" s="12" t="n"/>
      <c r="C672" s="12" t="n"/>
      <c r="D672" s="12" t="n"/>
      <c r="E672" s="14" t="n"/>
      <c r="F672" s="14" t="n"/>
      <c r="G672" s="14" t="n"/>
      <c r="H672" s="15" t="n"/>
      <c r="I672" s="24">
        <f>IF($A672="","",IF($B672="","YETİM",IF(COUNTIF(tblKartlar[KartId],$B672)=0,"YETİM","")))</f>
        <v/>
      </c>
      <c r="J672" s="24">
        <f>IF(OR($A672="",$C672=""),"",IF(OR($C672&amp;"|"&amp;$D672="",COUNTIF(ListeIzinliGecis,$C672&amp;"|"&amp;$D672)&gt;0),"","GEÇERSİZ GEÇİŞ"))</f>
        <v/>
      </c>
      <c r="K672" s="24">
        <f>IF($A672="","",IF(OR($E672="",$G672=""),"",IF(ABS($G672-$E672)&gt;zincirTolerans,"ZİNCİR KIRIK","OK")))</f>
        <v/>
      </c>
      <c r="L672" s="24">
        <f>IF($A672="","",1)</f>
        <v/>
      </c>
    </row>
    <row r="673">
      <c r="A673" s="12" t="n"/>
      <c r="B673" s="12" t="n"/>
      <c r="C673" s="12" t="n"/>
      <c r="D673" s="12" t="n"/>
      <c r="E673" s="14" t="n"/>
      <c r="F673" s="14" t="n"/>
      <c r="G673" s="14" t="n"/>
      <c r="H673" s="15" t="n"/>
      <c r="I673" s="24">
        <f>IF($A673="","",IF($B673="","YETİM",IF(COUNTIF(tblKartlar[KartId],$B673)=0,"YETİM","")))</f>
        <v/>
      </c>
      <c r="J673" s="24">
        <f>IF(OR($A673="",$C673=""),"",IF(OR($C673&amp;"|"&amp;$D673="",COUNTIF(ListeIzinliGecis,$C673&amp;"|"&amp;$D673)&gt;0),"","GEÇERSİZ GEÇİŞ"))</f>
        <v/>
      </c>
      <c r="K673" s="24">
        <f>IF($A673="","",IF(OR($E673="",$G673=""),"",IF(ABS($G673-$E673)&gt;zincirTolerans,"ZİNCİR KIRIK","OK")))</f>
        <v/>
      </c>
      <c r="L673" s="24">
        <f>IF($A673="","",1)</f>
        <v/>
      </c>
    </row>
    <row r="674">
      <c r="A674" s="12" t="n"/>
      <c r="B674" s="12" t="n"/>
      <c r="C674" s="12" t="n"/>
      <c r="D674" s="12" t="n"/>
      <c r="E674" s="14" t="n"/>
      <c r="F674" s="14" t="n"/>
      <c r="G674" s="14" t="n"/>
      <c r="H674" s="15" t="n"/>
      <c r="I674" s="24">
        <f>IF($A674="","",IF($B674="","YETİM",IF(COUNTIF(tblKartlar[KartId],$B674)=0,"YETİM","")))</f>
        <v/>
      </c>
      <c r="J674" s="24">
        <f>IF(OR($A674="",$C674=""),"",IF(OR($C674&amp;"|"&amp;$D674="",COUNTIF(ListeIzinliGecis,$C674&amp;"|"&amp;$D674)&gt;0),"","GEÇERSİZ GEÇİŞ"))</f>
        <v/>
      </c>
      <c r="K674" s="24">
        <f>IF($A674="","",IF(OR($E674="",$G674=""),"",IF(ABS($G674-$E674)&gt;zincirTolerans,"ZİNCİR KIRIK","OK")))</f>
        <v/>
      </c>
      <c r="L674" s="24">
        <f>IF($A674="","",1)</f>
        <v/>
      </c>
    </row>
    <row r="675">
      <c r="A675" s="12" t="n"/>
      <c r="B675" s="12" t="n"/>
      <c r="C675" s="12" t="n"/>
      <c r="D675" s="12" t="n"/>
      <c r="E675" s="14" t="n"/>
      <c r="F675" s="14" t="n"/>
      <c r="G675" s="14" t="n"/>
      <c r="H675" s="15" t="n"/>
      <c r="I675" s="24">
        <f>IF($A675="","",IF($B675="","YETİM",IF(COUNTIF(tblKartlar[KartId],$B675)=0,"YETİM","")))</f>
        <v/>
      </c>
      <c r="J675" s="24">
        <f>IF(OR($A675="",$C675=""),"",IF(OR($C675&amp;"|"&amp;$D675="",COUNTIF(ListeIzinliGecis,$C675&amp;"|"&amp;$D675)&gt;0),"","GEÇERSİZ GEÇİŞ"))</f>
        <v/>
      </c>
      <c r="K675" s="24">
        <f>IF($A675="","",IF(OR($E675="",$G675=""),"",IF(ABS($G675-$E675)&gt;zincirTolerans,"ZİNCİR KIRIK","OK")))</f>
        <v/>
      </c>
      <c r="L675" s="24">
        <f>IF($A675="","",1)</f>
        <v/>
      </c>
    </row>
    <row r="676">
      <c r="A676" s="12" t="n"/>
      <c r="B676" s="12" t="n"/>
      <c r="C676" s="12" t="n"/>
      <c r="D676" s="12" t="n"/>
      <c r="E676" s="14" t="n"/>
      <c r="F676" s="14" t="n"/>
      <c r="G676" s="14" t="n"/>
      <c r="H676" s="15" t="n"/>
      <c r="I676" s="24">
        <f>IF($A676="","",IF($B676="","YETİM",IF(COUNTIF(tblKartlar[KartId],$B676)=0,"YETİM","")))</f>
        <v/>
      </c>
      <c r="J676" s="24">
        <f>IF(OR($A676="",$C676=""),"",IF(OR($C676&amp;"|"&amp;$D676="",COUNTIF(ListeIzinliGecis,$C676&amp;"|"&amp;$D676)&gt;0),"","GEÇERSİZ GEÇİŞ"))</f>
        <v/>
      </c>
      <c r="K676" s="24">
        <f>IF($A676="","",IF(OR($E676="",$G676=""),"",IF(ABS($G676-$E676)&gt;zincirTolerans,"ZİNCİR KIRIK","OK")))</f>
        <v/>
      </c>
      <c r="L676" s="24">
        <f>IF($A676="","",1)</f>
        <v/>
      </c>
    </row>
    <row r="677">
      <c r="A677" s="12" t="n"/>
      <c r="B677" s="12" t="n"/>
      <c r="C677" s="12" t="n"/>
      <c r="D677" s="12" t="n"/>
      <c r="E677" s="14" t="n"/>
      <c r="F677" s="14" t="n"/>
      <c r="G677" s="14" t="n"/>
      <c r="H677" s="15" t="n"/>
      <c r="I677" s="24">
        <f>IF($A677="","",IF($B677="","YETİM",IF(COUNTIF(tblKartlar[KartId],$B677)=0,"YETİM","")))</f>
        <v/>
      </c>
      <c r="J677" s="24">
        <f>IF(OR($A677="",$C677=""),"",IF(OR($C677&amp;"|"&amp;$D677="",COUNTIF(ListeIzinliGecis,$C677&amp;"|"&amp;$D677)&gt;0),"","GEÇERSİZ GEÇİŞ"))</f>
        <v/>
      </c>
      <c r="K677" s="24">
        <f>IF($A677="","",IF(OR($E677="",$G677=""),"",IF(ABS($G677-$E677)&gt;zincirTolerans,"ZİNCİR KIRIK","OK")))</f>
        <v/>
      </c>
      <c r="L677" s="24">
        <f>IF($A677="","",1)</f>
        <v/>
      </c>
    </row>
    <row r="678">
      <c r="A678" s="12" t="n"/>
      <c r="B678" s="12" t="n"/>
      <c r="C678" s="12" t="n"/>
      <c r="D678" s="12" t="n"/>
      <c r="E678" s="14" t="n"/>
      <c r="F678" s="14" t="n"/>
      <c r="G678" s="14" t="n"/>
      <c r="H678" s="15" t="n"/>
      <c r="I678" s="24">
        <f>IF($A678="","",IF($B678="","YETİM",IF(COUNTIF(tblKartlar[KartId],$B678)=0,"YETİM","")))</f>
        <v/>
      </c>
      <c r="J678" s="24">
        <f>IF(OR($A678="",$C678=""),"",IF(OR($C678&amp;"|"&amp;$D678="",COUNTIF(ListeIzinliGecis,$C678&amp;"|"&amp;$D678)&gt;0),"","GEÇERSİZ GEÇİŞ"))</f>
        <v/>
      </c>
      <c r="K678" s="24">
        <f>IF($A678="","",IF(OR($E678="",$G678=""),"",IF(ABS($G678-$E678)&gt;zincirTolerans,"ZİNCİR KIRIK","OK")))</f>
        <v/>
      </c>
      <c r="L678" s="24">
        <f>IF($A678="","",1)</f>
        <v/>
      </c>
    </row>
    <row r="679">
      <c r="A679" s="12" t="n"/>
      <c r="B679" s="12" t="n"/>
      <c r="C679" s="12" t="n"/>
      <c r="D679" s="12" t="n"/>
      <c r="E679" s="14" t="n"/>
      <c r="F679" s="14" t="n"/>
      <c r="G679" s="14" t="n"/>
      <c r="H679" s="15" t="n"/>
      <c r="I679" s="24">
        <f>IF($A679="","",IF($B679="","YETİM",IF(COUNTIF(tblKartlar[KartId],$B679)=0,"YETİM","")))</f>
        <v/>
      </c>
      <c r="J679" s="24">
        <f>IF(OR($A679="",$C679=""),"",IF(OR($C679&amp;"|"&amp;$D679="",COUNTIF(ListeIzinliGecis,$C679&amp;"|"&amp;$D679)&gt;0),"","GEÇERSİZ GEÇİŞ"))</f>
        <v/>
      </c>
      <c r="K679" s="24">
        <f>IF($A679="","",IF(OR($E679="",$G679=""),"",IF(ABS($G679-$E679)&gt;zincirTolerans,"ZİNCİR KIRIK","OK")))</f>
        <v/>
      </c>
      <c r="L679" s="24">
        <f>IF($A679="","",1)</f>
        <v/>
      </c>
    </row>
    <row r="680">
      <c r="A680" s="12" t="n"/>
      <c r="B680" s="12" t="n"/>
      <c r="C680" s="12" t="n"/>
      <c r="D680" s="12" t="n"/>
      <c r="E680" s="14" t="n"/>
      <c r="F680" s="14" t="n"/>
      <c r="G680" s="14" t="n"/>
      <c r="H680" s="15" t="n"/>
      <c r="I680" s="24">
        <f>IF($A680="","",IF($B680="","YETİM",IF(COUNTIF(tblKartlar[KartId],$B680)=0,"YETİM","")))</f>
        <v/>
      </c>
      <c r="J680" s="24">
        <f>IF(OR($A680="",$C680=""),"",IF(OR($C680&amp;"|"&amp;$D680="",COUNTIF(ListeIzinliGecis,$C680&amp;"|"&amp;$D680)&gt;0),"","GEÇERSİZ GEÇİŞ"))</f>
        <v/>
      </c>
      <c r="K680" s="24">
        <f>IF($A680="","",IF(OR($E680="",$G680=""),"",IF(ABS($G680-$E680)&gt;zincirTolerans,"ZİNCİR KIRIK","OK")))</f>
        <v/>
      </c>
      <c r="L680" s="24">
        <f>IF($A680="","",1)</f>
        <v/>
      </c>
    </row>
    <row r="681">
      <c r="A681" s="12" t="n"/>
      <c r="B681" s="12" t="n"/>
      <c r="C681" s="12" t="n"/>
      <c r="D681" s="12" t="n"/>
      <c r="E681" s="14" t="n"/>
      <c r="F681" s="14" t="n"/>
      <c r="G681" s="14" t="n"/>
      <c r="H681" s="15" t="n"/>
      <c r="I681" s="24">
        <f>IF($A681="","",IF($B681="","YETİM",IF(COUNTIF(tblKartlar[KartId],$B681)=0,"YETİM","")))</f>
        <v/>
      </c>
      <c r="J681" s="24">
        <f>IF(OR($A681="",$C681=""),"",IF(OR($C681&amp;"|"&amp;$D681="",COUNTIF(ListeIzinliGecis,$C681&amp;"|"&amp;$D681)&gt;0),"","GEÇERSİZ GEÇİŞ"))</f>
        <v/>
      </c>
      <c r="K681" s="24">
        <f>IF($A681="","",IF(OR($E681="",$G681=""),"",IF(ABS($G681-$E681)&gt;zincirTolerans,"ZİNCİR KIRIK","OK")))</f>
        <v/>
      </c>
      <c r="L681" s="24">
        <f>IF($A681="","",1)</f>
        <v/>
      </c>
    </row>
    <row r="682">
      <c r="A682" s="12" t="n"/>
      <c r="B682" s="12" t="n"/>
      <c r="C682" s="12" t="n"/>
      <c r="D682" s="12" t="n"/>
      <c r="E682" s="14" t="n"/>
      <c r="F682" s="14" t="n"/>
      <c r="G682" s="14" t="n"/>
      <c r="H682" s="15" t="n"/>
      <c r="I682" s="24">
        <f>IF($A682="","",IF($B682="","YETİM",IF(COUNTIF(tblKartlar[KartId],$B682)=0,"YETİM","")))</f>
        <v/>
      </c>
      <c r="J682" s="24">
        <f>IF(OR($A682="",$C682=""),"",IF(OR($C682&amp;"|"&amp;$D682="",COUNTIF(ListeIzinliGecis,$C682&amp;"|"&amp;$D682)&gt;0),"","GEÇERSİZ GEÇİŞ"))</f>
        <v/>
      </c>
      <c r="K682" s="24">
        <f>IF($A682="","",IF(OR($E682="",$G682=""),"",IF(ABS($G682-$E682)&gt;zincirTolerans,"ZİNCİR KIRIK","OK")))</f>
        <v/>
      </c>
      <c r="L682" s="24">
        <f>IF($A682="","",1)</f>
        <v/>
      </c>
    </row>
    <row r="683">
      <c r="A683" s="12" t="n"/>
      <c r="B683" s="12" t="n"/>
      <c r="C683" s="12" t="n"/>
      <c r="D683" s="12" t="n"/>
      <c r="E683" s="14" t="n"/>
      <c r="F683" s="14" t="n"/>
      <c r="G683" s="14" t="n"/>
      <c r="H683" s="15" t="n"/>
      <c r="I683" s="24">
        <f>IF($A683="","",IF($B683="","YETİM",IF(COUNTIF(tblKartlar[KartId],$B683)=0,"YETİM","")))</f>
        <v/>
      </c>
      <c r="J683" s="24">
        <f>IF(OR($A683="",$C683=""),"",IF(OR($C683&amp;"|"&amp;$D683="",COUNTIF(ListeIzinliGecis,$C683&amp;"|"&amp;$D683)&gt;0),"","GEÇERSİZ GEÇİŞ"))</f>
        <v/>
      </c>
      <c r="K683" s="24">
        <f>IF($A683="","",IF(OR($E683="",$G683=""),"",IF(ABS($G683-$E683)&gt;zincirTolerans,"ZİNCİR KIRIK","OK")))</f>
        <v/>
      </c>
      <c r="L683" s="24">
        <f>IF($A683="","",1)</f>
        <v/>
      </c>
    </row>
    <row r="684">
      <c r="A684" s="12" t="n"/>
      <c r="B684" s="12" t="n"/>
      <c r="C684" s="12" t="n"/>
      <c r="D684" s="12" t="n"/>
      <c r="E684" s="14" t="n"/>
      <c r="F684" s="14" t="n"/>
      <c r="G684" s="14" t="n"/>
      <c r="H684" s="15" t="n"/>
      <c r="I684" s="24">
        <f>IF($A684="","",IF($B684="","YETİM",IF(COUNTIF(tblKartlar[KartId],$B684)=0,"YETİM","")))</f>
        <v/>
      </c>
      <c r="J684" s="24">
        <f>IF(OR($A684="",$C684=""),"",IF(OR($C684&amp;"|"&amp;$D684="",COUNTIF(ListeIzinliGecis,$C684&amp;"|"&amp;$D684)&gt;0),"","GEÇERSİZ GEÇİŞ"))</f>
        <v/>
      </c>
      <c r="K684" s="24">
        <f>IF($A684="","",IF(OR($E684="",$G684=""),"",IF(ABS($G684-$E684)&gt;zincirTolerans,"ZİNCİR KIRIK","OK")))</f>
        <v/>
      </c>
      <c r="L684" s="24">
        <f>IF($A684="","",1)</f>
        <v/>
      </c>
    </row>
    <row r="685">
      <c r="A685" s="12" t="n"/>
      <c r="B685" s="12" t="n"/>
      <c r="C685" s="12" t="n"/>
      <c r="D685" s="12" t="n"/>
      <c r="E685" s="14" t="n"/>
      <c r="F685" s="14" t="n"/>
      <c r="G685" s="14" t="n"/>
      <c r="H685" s="15" t="n"/>
      <c r="I685" s="24">
        <f>IF($A685="","",IF($B685="","YETİM",IF(COUNTIF(tblKartlar[KartId],$B685)=0,"YETİM","")))</f>
        <v/>
      </c>
      <c r="J685" s="24">
        <f>IF(OR($A685="",$C685=""),"",IF(OR($C685&amp;"|"&amp;$D685="",COUNTIF(ListeIzinliGecis,$C685&amp;"|"&amp;$D685)&gt;0),"","GEÇERSİZ GEÇİŞ"))</f>
        <v/>
      </c>
      <c r="K685" s="24">
        <f>IF($A685="","",IF(OR($E685="",$G685=""),"",IF(ABS($G685-$E685)&gt;zincirTolerans,"ZİNCİR KIRIK","OK")))</f>
        <v/>
      </c>
      <c r="L685" s="24">
        <f>IF($A685="","",1)</f>
        <v/>
      </c>
    </row>
    <row r="686">
      <c r="A686" s="12" t="n"/>
      <c r="B686" s="12" t="n"/>
      <c r="C686" s="12" t="n"/>
      <c r="D686" s="12" t="n"/>
      <c r="E686" s="14" t="n"/>
      <c r="F686" s="14" t="n"/>
      <c r="G686" s="14" t="n"/>
      <c r="H686" s="15" t="n"/>
      <c r="I686" s="24">
        <f>IF($A686="","",IF($B686="","YETİM",IF(COUNTIF(tblKartlar[KartId],$B686)=0,"YETİM","")))</f>
        <v/>
      </c>
      <c r="J686" s="24">
        <f>IF(OR($A686="",$C686=""),"",IF(OR($C686&amp;"|"&amp;$D686="",COUNTIF(ListeIzinliGecis,$C686&amp;"|"&amp;$D686)&gt;0),"","GEÇERSİZ GEÇİŞ"))</f>
        <v/>
      </c>
      <c r="K686" s="24">
        <f>IF($A686="","",IF(OR($E686="",$G686=""),"",IF(ABS($G686-$E686)&gt;zincirTolerans,"ZİNCİR KIRIK","OK")))</f>
        <v/>
      </c>
      <c r="L686" s="24">
        <f>IF($A686="","",1)</f>
        <v/>
      </c>
    </row>
    <row r="687">
      <c r="A687" s="12" t="n"/>
      <c r="B687" s="12" t="n"/>
      <c r="C687" s="12" t="n"/>
      <c r="D687" s="12" t="n"/>
      <c r="E687" s="14" t="n"/>
      <c r="F687" s="14" t="n"/>
      <c r="G687" s="14" t="n"/>
      <c r="H687" s="15" t="n"/>
      <c r="I687" s="24">
        <f>IF($A687="","",IF($B687="","YETİM",IF(COUNTIF(tblKartlar[KartId],$B687)=0,"YETİM","")))</f>
        <v/>
      </c>
      <c r="J687" s="24">
        <f>IF(OR($A687="",$C687=""),"",IF(OR($C687&amp;"|"&amp;$D687="",COUNTIF(ListeIzinliGecis,$C687&amp;"|"&amp;$D687)&gt;0),"","GEÇERSİZ GEÇİŞ"))</f>
        <v/>
      </c>
      <c r="K687" s="24">
        <f>IF($A687="","",IF(OR($E687="",$G687=""),"",IF(ABS($G687-$E687)&gt;zincirTolerans,"ZİNCİR KIRIK","OK")))</f>
        <v/>
      </c>
      <c r="L687" s="24">
        <f>IF($A687="","",1)</f>
        <v/>
      </c>
    </row>
    <row r="688">
      <c r="A688" s="12" t="n"/>
      <c r="B688" s="12" t="n"/>
      <c r="C688" s="12" t="n"/>
      <c r="D688" s="12" t="n"/>
      <c r="E688" s="14" t="n"/>
      <c r="F688" s="14" t="n"/>
      <c r="G688" s="14" t="n"/>
      <c r="H688" s="15" t="n"/>
      <c r="I688" s="24">
        <f>IF($A688="","",IF($B688="","YETİM",IF(COUNTIF(tblKartlar[KartId],$B688)=0,"YETİM","")))</f>
        <v/>
      </c>
      <c r="J688" s="24">
        <f>IF(OR($A688="",$C688=""),"",IF(OR($C688&amp;"|"&amp;$D688="",COUNTIF(ListeIzinliGecis,$C688&amp;"|"&amp;$D688)&gt;0),"","GEÇERSİZ GEÇİŞ"))</f>
        <v/>
      </c>
      <c r="K688" s="24">
        <f>IF($A688="","",IF(OR($E688="",$G688=""),"",IF(ABS($G688-$E688)&gt;zincirTolerans,"ZİNCİR KIRIK","OK")))</f>
        <v/>
      </c>
      <c r="L688" s="24">
        <f>IF($A688="","",1)</f>
        <v/>
      </c>
    </row>
    <row r="689">
      <c r="A689" s="12" t="n"/>
      <c r="B689" s="12" t="n"/>
      <c r="C689" s="12" t="n"/>
      <c r="D689" s="12" t="n"/>
      <c r="E689" s="14" t="n"/>
      <c r="F689" s="14" t="n"/>
      <c r="G689" s="14" t="n"/>
      <c r="H689" s="15" t="n"/>
      <c r="I689" s="24">
        <f>IF($A689="","",IF($B689="","YETİM",IF(COUNTIF(tblKartlar[KartId],$B689)=0,"YETİM","")))</f>
        <v/>
      </c>
      <c r="J689" s="24">
        <f>IF(OR($A689="",$C689=""),"",IF(OR($C689&amp;"|"&amp;$D689="",COUNTIF(ListeIzinliGecis,$C689&amp;"|"&amp;$D689)&gt;0),"","GEÇERSİZ GEÇİŞ"))</f>
        <v/>
      </c>
      <c r="K689" s="24">
        <f>IF($A689="","",IF(OR($E689="",$G689=""),"",IF(ABS($G689-$E689)&gt;zincirTolerans,"ZİNCİR KIRIK","OK")))</f>
        <v/>
      </c>
      <c r="L689" s="24">
        <f>IF($A689="","",1)</f>
        <v/>
      </c>
    </row>
    <row r="690">
      <c r="A690" s="12" t="n"/>
      <c r="B690" s="12" t="n"/>
      <c r="C690" s="12" t="n"/>
      <c r="D690" s="12" t="n"/>
      <c r="E690" s="14" t="n"/>
      <c r="F690" s="14" t="n"/>
      <c r="G690" s="14" t="n"/>
      <c r="H690" s="15" t="n"/>
      <c r="I690" s="24">
        <f>IF($A690="","",IF($B690="","YETİM",IF(COUNTIF(tblKartlar[KartId],$B690)=0,"YETİM","")))</f>
        <v/>
      </c>
      <c r="J690" s="24">
        <f>IF(OR($A690="",$C690=""),"",IF(OR($C690&amp;"|"&amp;$D690="",COUNTIF(ListeIzinliGecis,$C690&amp;"|"&amp;$D690)&gt;0),"","GEÇERSİZ GEÇİŞ"))</f>
        <v/>
      </c>
      <c r="K690" s="24">
        <f>IF($A690="","",IF(OR($E690="",$G690=""),"",IF(ABS($G690-$E690)&gt;zincirTolerans,"ZİNCİR KIRIK","OK")))</f>
        <v/>
      </c>
      <c r="L690" s="24">
        <f>IF($A690="","",1)</f>
        <v/>
      </c>
    </row>
    <row r="691">
      <c r="A691" s="12" t="n"/>
      <c r="B691" s="12" t="n"/>
      <c r="C691" s="12" t="n"/>
      <c r="D691" s="12" t="n"/>
      <c r="E691" s="14" t="n"/>
      <c r="F691" s="14" t="n"/>
      <c r="G691" s="14" t="n"/>
      <c r="H691" s="15" t="n"/>
      <c r="I691" s="24">
        <f>IF($A691="","",IF($B691="","YETİM",IF(COUNTIF(tblKartlar[KartId],$B691)=0,"YETİM","")))</f>
        <v/>
      </c>
      <c r="J691" s="24">
        <f>IF(OR($A691="",$C691=""),"",IF(OR($C691&amp;"|"&amp;$D691="",COUNTIF(ListeIzinliGecis,$C691&amp;"|"&amp;$D691)&gt;0),"","GEÇERSİZ GEÇİŞ"))</f>
        <v/>
      </c>
      <c r="K691" s="24">
        <f>IF($A691="","",IF(OR($E691="",$G691=""),"",IF(ABS($G691-$E691)&gt;zincirTolerans,"ZİNCİR KIRIK","OK")))</f>
        <v/>
      </c>
      <c r="L691" s="24">
        <f>IF($A691="","",1)</f>
        <v/>
      </c>
    </row>
    <row r="692">
      <c r="A692" s="12" t="n"/>
      <c r="B692" s="12" t="n"/>
      <c r="C692" s="12" t="n"/>
      <c r="D692" s="12" t="n"/>
      <c r="E692" s="14" t="n"/>
      <c r="F692" s="14" t="n"/>
      <c r="G692" s="14" t="n"/>
      <c r="H692" s="15" t="n"/>
      <c r="I692" s="24">
        <f>IF($A692="","",IF($B692="","YETİM",IF(COUNTIF(tblKartlar[KartId],$B692)=0,"YETİM","")))</f>
        <v/>
      </c>
      <c r="J692" s="24">
        <f>IF(OR($A692="",$C692=""),"",IF(OR($C692&amp;"|"&amp;$D692="",COUNTIF(ListeIzinliGecis,$C692&amp;"|"&amp;$D692)&gt;0),"","GEÇERSİZ GEÇİŞ"))</f>
        <v/>
      </c>
      <c r="K692" s="24">
        <f>IF($A692="","",IF(OR($E692="",$G692=""),"",IF(ABS($G692-$E692)&gt;zincirTolerans,"ZİNCİR KIRIK","OK")))</f>
        <v/>
      </c>
      <c r="L692" s="24">
        <f>IF($A692="","",1)</f>
        <v/>
      </c>
    </row>
    <row r="693">
      <c r="A693" s="12" t="n"/>
      <c r="B693" s="12" t="n"/>
      <c r="C693" s="12" t="n"/>
      <c r="D693" s="12" t="n"/>
      <c r="E693" s="14" t="n"/>
      <c r="F693" s="14" t="n"/>
      <c r="G693" s="14" t="n"/>
      <c r="H693" s="15" t="n"/>
      <c r="I693" s="24">
        <f>IF($A693="","",IF($B693="","YETİM",IF(COUNTIF(tblKartlar[KartId],$B693)=0,"YETİM","")))</f>
        <v/>
      </c>
      <c r="J693" s="24">
        <f>IF(OR($A693="",$C693=""),"",IF(OR($C693&amp;"|"&amp;$D693="",COUNTIF(ListeIzinliGecis,$C693&amp;"|"&amp;$D693)&gt;0),"","GEÇERSİZ GEÇİŞ"))</f>
        <v/>
      </c>
      <c r="K693" s="24">
        <f>IF($A693="","",IF(OR($E693="",$G693=""),"",IF(ABS($G693-$E693)&gt;zincirTolerans,"ZİNCİR KIRIK","OK")))</f>
        <v/>
      </c>
      <c r="L693" s="24">
        <f>IF($A693="","",1)</f>
        <v/>
      </c>
    </row>
    <row r="694">
      <c r="A694" s="12" t="n"/>
      <c r="B694" s="12" t="n"/>
      <c r="C694" s="12" t="n"/>
      <c r="D694" s="12" t="n"/>
      <c r="E694" s="14" t="n"/>
      <c r="F694" s="14" t="n"/>
      <c r="G694" s="14" t="n"/>
      <c r="H694" s="15" t="n"/>
      <c r="I694" s="24">
        <f>IF($A694="","",IF($B694="","YETİM",IF(COUNTIF(tblKartlar[KartId],$B694)=0,"YETİM","")))</f>
        <v/>
      </c>
      <c r="J694" s="24">
        <f>IF(OR($A694="",$C694=""),"",IF(OR($C694&amp;"|"&amp;$D694="",COUNTIF(ListeIzinliGecis,$C694&amp;"|"&amp;$D694)&gt;0),"","GEÇERSİZ GEÇİŞ"))</f>
        <v/>
      </c>
      <c r="K694" s="24">
        <f>IF($A694="","",IF(OR($E694="",$G694=""),"",IF(ABS($G694-$E694)&gt;zincirTolerans,"ZİNCİR KIRIK","OK")))</f>
        <v/>
      </c>
      <c r="L694" s="24">
        <f>IF($A694="","",1)</f>
        <v/>
      </c>
    </row>
    <row r="695">
      <c r="A695" s="12" t="n"/>
      <c r="B695" s="12" t="n"/>
      <c r="C695" s="12" t="n"/>
      <c r="D695" s="12" t="n"/>
      <c r="E695" s="14" t="n"/>
      <c r="F695" s="14" t="n"/>
      <c r="G695" s="14" t="n"/>
      <c r="H695" s="15" t="n"/>
      <c r="I695" s="24">
        <f>IF($A695="","",IF($B695="","YETİM",IF(COUNTIF(tblKartlar[KartId],$B695)=0,"YETİM","")))</f>
        <v/>
      </c>
      <c r="J695" s="24">
        <f>IF(OR($A695="",$C695=""),"",IF(OR($C695&amp;"|"&amp;$D695="",COUNTIF(ListeIzinliGecis,$C695&amp;"|"&amp;$D695)&gt;0),"","GEÇERSİZ GEÇİŞ"))</f>
        <v/>
      </c>
      <c r="K695" s="24">
        <f>IF($A695="","",IF(OR($E695="",$G695=""),"",IF(ABS($G695-$E695)&gt;zincirTolerans,"ZİNCİR KIRIK","OK")))</f>
        <v/>
      </c>
      <c r="L695" s="24">
        <f>IF($A695="","",1)</f>
        <v/>
      </c>
    </row>
    <row r="696">
      <c r="A696" s="12" t="n"/>
      <c r="B696" s="12" t="n"/>
      <c r="C696" s="12" t="n"/>
      <c r="D696" s="12" t="n"/>
      <c r="E696" s="14" t="n"/>
      <c r="F696" s="14" t="n"/>
      <c r="G696" s="14" t="n"/>
      <c r="H696" s="15" t="n"/>
      <c r="I696" s="24">
        <f>IF($A696="","",IF($B696="","YETİM",IF(COUNTIF(tblKartlar[KartId],$B696)=0,"YETİM","")))</f>
        <v/>
      </c>
      <c r="J696" s="24">
        <f>IF(OR($A696="",$C696=""),"",IF(OR($C696&amp;"|"&amp;$D696="",COUNTIF(ListeIzinliGecis,$C696&amp;"|"&amp;$D696)&gt;0),"","GEÇERSİZ GEÇİŞ"))</f>
        <v/>
      </c>
      <c r="K696" s="24">
        <f>IF($A696="","",IF(OR($E696="",$G696=""),"",IF(ABS($G696-$E696)&gt;zincirTolerans,"ZİNCİR KIRIK","OK")))</f>
        <v/>
      </c>
      <c r="L696" s="24">
        <f>IF($A696="","",1)</f>
        <v/>
      </c>
    </row>
    <row r="697">
      <c r="A697" s="12" t="n"/>
      <c r="B697" s="12" t="n"/>
      <c r="C697" s="12" t="n"/>
      <c r="D697" s="12" t="n"/>
      <c r="E697" s="14" t="n"/>
      <c r="F697" s="14" t="n"/>
      <c r="G697" s="14" t="n"/>
      <c r="H697" s="15" t="n"/>
      <c r="I697" s="24">
        <f>IF($A697="","",IF($B697="","YETİM",IF(COUNTIF(tblKartlar[KartId],$B697)=0,"YETİM","")))</f>
        <v/>
      </c>
      <c r="J697" s="24">
        <f>IF(OR($A697="",$C697=""),"",IF(OR($C697&amp;"|"&amp;$D697="",COUNTIF(ListeIzinliGecis,$C697&amp;"|"&amp;$D697)&gt;0),"","GEÇERSİZ GEÇİŞ"))</f>
        <v/>
      </c>
      <c r="K697" s="24">
        <f>IF($A697="","",IF(OR($E697="",$G697=""),"",IF(ABS($G697-$E697)&gt;zincirTolerans,"ZİNCİR KIRIK","OK")))</f>
        <v/>
      </c>
      <c r="L697" s="24">
        <f>IF($A697="","",1)</f>
        <v/>
      </c>
    </row>
    <row r="698">
      <c r="A698" s="12" t="n"/>
      <c r="B698" s="12" t="n"/>
      <c r="C698" s="12" t="n"/>
      <c r="D698" s="12" t="n"/>
      <c r="E698" s="14" t="n"/>
      <c r="F698" s="14" t="n"/>
      <c r="G698" s="14" t="n"/>
      <c r="H698" s="15" t="n"/>
      <c r="I698" s="24">
        <f>IF($A698="","",IF($B698="","YETİM",IF(COUNTIF(tblKartlar[KartId],$B698)=0,"YETİM","")))</f>
        <v/>
      </c>
      <c r="J698" s="24">
        <f>IF(OR($A698="",$C698=""),"",IF(OR($C698&amp;"|"&amp;$D698="",COUNTIF(ListeIzinliGecis,$C698&amp;"|"&amp;$D698)&gt;0),"","GEÇERSİZ GEÇİŞ"))</f>
        <v/>
      </c>
      <c r="K698" s="24">
        <f>IF($A698="","",IF(OR($E698="",$G698=""),"",IF(ABS($G698-$E698)&gt;zincirTolerans,"ZİNCİR KIRIK","OK")))</f>
        <v/>
      </c>
      <c r="L698" s="24">
        <f>IF($A698="","",1)</f>
        <v/>
      </c>
    </row>
    <row r="699">
      <c r="A699" s="12" t="n"/>
      <c r="B699" s="12" t="n"/>
      <c r="C699" s="12" t="n"/>
      <c r="D699" s="12" t="n"/>
      <c r="E699" s="14" t="n"/>
      <c r="F699" s="14" t="n"/>
      <c r="G699" s="14" t="n"/>
      <c r="H699" s="15" t="n"/>
      <c r="I699" s="24">
        <f>IF($A699="","",IF($B699="","YETİM",IF(COUNTIF(tblKartlar[KartId],$B699)=0,"YETİM","")))</f>
        <v/>
      </c>
      <c r="J699" s="24">
        <f>IF(OR($A699="",$C699=""),"",IF(OR($C699&amp;"|"&amp;$D699="",COUNTIF(ListeIzinliGecis,$C699&amp;"|"&amp;$D699)&gt;0),"","GEÇERSİZ GEÇİŞ"))</f>
        <v/>
      </c>
      <c r="K699" s="24">
        <f>IF($A699="","",IF(OR($E699="",$G699=""),"",IF(ABS($G699-$E699)&gt;zincirTolerans,"ZİNCİR KIRIK","OK")))</f>
        <v/>
      </c>
      <c r="L699" s="24">
        <f>IF($A699="","",1)</f>
        <v/>
      </c>
    </row>
    <row r="700">
      <c r="A700" s="12" t="n"/>
      <c r="B700" s="12" t="n"/>
      <c r="C700" s="12" t="n"/>
      <c r="D700" s="12" t="n"/>
      <c r="E700" s="14" t="n"/>
      <c r="F700" s="14" t="n"/>
      <c r="G700" s="14" t="n"/>
      <c r="H700" s="15" t="n"/>
      <c r="I700" s="24">
        <f>IF($A700="","",IF($B700="","YETİM",IF(COUNTIF(tblKartlar[KartId],$B700)=0,"YETİM","")))</f>
        <v/>
      </c>
      <c r="J700" s="24">
        <f>IF(OR($A700="",$C700=""),"",IF(OR($C700&amp;"|"&amp;$D700="",COUNTIF(ListeIzinliGecis,$C700&amp;"|"&amp;$D700)&gt;0),"","GEÇERSİZ GEÇİŞ"))</f>
        <v/>
      </c>
      <c r="K700" s="24">
        <f>IF($A700="","",IF(OR($E700="",$G700=""),"",IF(ABS($G700-$E700)&gt;zincirTolerans,"ZİNCİR KIRIK","OK")))</f>
        <v/>
      </c>
      <c r="L700" s="24">
        <f>IF($A700="","",1)</f>
        <v/>
      </c>
    </row>
    <row r="701">
      <c r="A701" s="12" t="n"/>
      <c r="B701" s="12" t="n"/>
      <c r="C701" s="12" t="n"/>
      <c r="D701" s="12" t="n"/>
      <c r="E701" s="14" t="n"/>
      <c r="F701" s="14" t="n"/>
      <c r="G701" s="14" t="n"/>
      <c r="H701" s="15" t="n"/>
      <c r="I701" s="24">
        <f>IF($A701="","",IF($B701="","YETİM",IF(COUNTIF(tblKartlar[KartId],$B701)=0,"YETİM","")))</f>
        <v/>
      </c>
      <c r="J701" s="24">
        <f>IF(OR($A701="",$C701=""),"",IF(OR($C701&amp;"|"&amp;$D701="",COUNTIF(ListeIzinliGecis,$C701&amp;"|"&amp;$D701)&gt;0),"","GEÇERSİZ GEÇİŞ"))</f>
        <v/>
      </c>
      <c r="K701" s="24">
        <f>IF($A701="","",IF(OR($E701="",$G701=""),"",IF(ABS($G701-$E701)&gt;zincirTolerans,"ZİNCİR KIRIK","OK")))</f>
        <v/>
      </c>
      <c r="L701" s="24">
        <f>IF($A701="","",1)</f>
        <v/>
      </c>
    </row>
    <row r="702">
      <c r="A702" s="12" t="n"/>
      <c r="B702" s="12" t="n"/>
      <c r="C702" s="12" t="n"/>
      <c r="D702" s="12" t="n"/>
      <c r="E702" s="14" t="n"/>
      <c r="F702" s="14" t="n"/>
      <c r="G702" s="14" t="n"/>
      <c r="H702" s="15" t="n"/>
      <c r="I702" s="24">
        <f>IF($A702="","",IF($B702="","YETİM",IF(COUNTIF(tblKartlar[KartId],$B702)=0,"YETİM","")))</f>
        <v/>
      </c>
      <c r="J702" s="24">
        <f>IF(OR($A702="",$C702=""),"",IF(OR($C702&amp;"|"&amp;$D702="",COUNTIF(ListeIzinliGecis,$C702&amp;"|"&amp;$D702)&gt;0),"","GEÇERSİZ GEÇİŞ"))</f>
        <v/>
      </c>
      <c r="K702" s="24">
        <f>IF($A702="","",IF(OR($E702="",$G702=""),"",IF(ABS($G702-$E702)&gt;zincirTolerans,"ZİNCİR KIRIK","OK")))</f>
        <v/>
      </c>
      <c r="L702" s="24">
        <f>IF($A702="","",1)</f>
        <v/>
      </c>
    </row>
    <row r="703">
      <c r="A703" s="12" t="n"/>
      <c r="B703" s="12" t="n"/>
      <c r="C703" s="12" t="n"/>
      <c r="D703" s="12" t="n"/>
      <c r="E703" s="14" t="n"/>
      <c r="F703" s="14" t="n"/>
      <c r="G703" s="14" t="n"/>
      <c r="H703" s="15" t="n"/>
      <c r="I703" s="24">
        <f>IF($A703="","",IF($B703="","YETİM",IF(COUNTIF(tblKartlar[KartId],$B703)=0,"YETİM","")))</f>
        <v/>
      </c>
      <c r="J703" s="24">
        <f>IF(OR($A703="",$C703=""),"",IF(OR($C703&amp;"|"&amp;$D703="",COUNTIF(ListeIzinliGecis,$C703&amp;"|"&amp;$D703)&gt;0),"","GEÇERSİZ GEÇİŞ"))</f>
        <v/>
      </c>
      <c r="K703" s="24">
        <f>IF($A703="","",IF(OR($E703="",$G703=""),"",IF(ABS($G703-$E703)&gt;zincirTolerans,"ZİNCİR KIRIK","OK")))</f>
        <v/>
      </c>
      <c r="L703" s="24">
        <f>IF($A703="","",1)</f>
        <v/>
      </c>
    </row>
    <row r="704">
      <c r="A704" s="12" t="n"/>
      <c r="B704" s="12" t="n"/>
      <c r="C704" s="12" t="n"/>
      <c r="D704" s="12" t="n"/>
      <c r="E704" s="14" t="n"/>
      <c r="F704" s="14" t="n"/>
      <c r="G704" s="14" t="n"/>
      <c r="H704" s="15" t="n"/>
      <c r="I704" s="24">
        <f>IF($A704="","",IF($B704="","YETİM",IF(COUNTIF(tblKartlar[KartId],$B704)=0,"YETİM","")))</f>
        <v/>
      </c>
      <c r="J704" s="24">
        <f>IF(OR($A704="",$C704=""),"",IF(OR($C704&amp;"|"&amp;$D704="",COUNTIF(ListeIzinliGecis,$C704&amp;"|"&amp;$D704)&gt;0),"","GEÇERSİZ GEÇİŞ"))</f>
        <v/>
      </c>
      <c r="K704" s="24">
        <f>IF($A704="","",IF(OR($E704="",$G704=""),"",IF(ABS($G704-$E704)&gt;zincirTolerans,"ZİNCİR KIRIK","OK")))</f>
        <v/>
      </c>
      <c r="L704" s="24">
        <f>IF($A704="","",1)</f>
        <v/>
      </c>
    </row>
    <row r="705">
      <c r="A705" s="12" t="n"/>
      <c r="B705" s="12" t="n"/>
      <c r="C705" s="12" t="n"/>
      <c r="D705" s="12" t="n"/>
      <c r="E705" s="14" t="n"/>
      <c r="F705" s="14" t="n"/>
      <c r="G705" s="14" t="n"/>
      <c r="H705" s="15" t="n"/>
      <c r="I705" s="24">
        <f>IF($A705="","",IF($B705="","YETİM",IF(COUNTIF(tblKartlar[KartId],$B705)=0,"YETİM","")))</f>
        <v/>
      </c>
      <c r="J705" s="24">
        <f>IF(OR($A705="",$C705=""),"",IF(OR($C705&amp;"|"&amp;$D705="",COUNTIF(ListeIzinliGecis,$C705&amp;"|"&amp;$D705)&gt;0),"","GEÇERSİZ GEÇİŞ"))</f>
        <v/>
      </c>
      <c r="K705" s="24">
        <f>IF($A705="","",IF(OR($E705="",$G705=""),"",IF(ABS($G705-$E705)&gt;zincirTolerans,"ZİNCİR KIRIK","OK")))</f>
        <v/>
      </c>
      <c r="L705" s="24">
        <f>IF($A705="","",1)</f>
        <v/>
      </c>
    </row>
    <row r="706">
      <c r="A706" s="12" t="n"/>
      <c r="B706" s="12" t="n"/>
      <c r="C706" s="12" t="n"/>
      <c r="D706" s="12" t="n"/>
      <c r="E706" s="14" t="n"/>
      <c r="F706" s="14" t="n"/>
      <c r="G706" s="14" t="n"/>
      <c r="H706" s="15" t="n"/>
      <c r="I706" s="24">
        <f>IF($A706="","",IF($B706="","YETİM",IF(COUNTIF(tblKartlar[KartId],$B706)=0,"YETİM","")))</f>
        <v/>
      </c>
      <c r="J706" s="24">
        <f>IF(OR($A706="",$C706=""),"",IF(OR($C706&amp;"|"&amp;$D706="",COUNTIF(ListeIzinliGecis,$C706&amp;"|"&amp;$D706)&gt;0),"","GEÇERSİZ GEÇİŞ"))</f>
        <v/>
      </c>
      <c r="K706" s="24">
        <f>IF($A706="","",IF(OR($E706="",$G706=""),"",IF(ABS($G706-$E706)&gt;zincirTolerans,"ZİNCİR KIRIK","OK")))</f>
        <v/>
      </c>
      <c r="L706" s="24">
        <f>IF($A706="","",1)</f>
        <v/>
      </c>
    </row>
    <row r="707">
      <c r="A707" s="12" t="n"/>
      <c r="B707" s="12" t="n"/>
      <c r="C707" s="12" t="n"/>
      <c r="D707" s="12" t="n"/>
      <c r="E707" s="14" t="n"/>
      <c r="F707" s="14" t="n"/>
      <c r="G707" s="14" t="n"/>
      <c r="H707" s="15" t="n"/>
      <c r="I707" s="24">
        <f>IF($A707="","",IF($B707="","YETİM",IF(COUNTIF(tblKartlar[KartId],$B707)=0,"YETİM","")))</f>
        <v/>
      </c>
      <c r="J707" s="24">
        <f>IF(OR($A707="",$C707=""),"",IF(OR($C707&amp;"|"&amp;$D707="",COUNTIF(ListeIzinliGecis,$C707&amp;"|"&amp;$D707)&gt;0),"","GEÇERSİZ GEÇİŞ"))</f>
        <v/>
      </c>
      <c r="K707" s="24">
        <f>IF($A707="","",IF(OR($E707="",$G707=""),"",IF(ABS($G707-$E707)&gt;zincirTolerans,"ZİNCİR KIRIK","OK")))</f>
        <v/>
      </c>
      <c r="L707" s="24">
        <f>IF($A707="","",1)</f>
        <v/>
      </c>
    </row>
    <row r="708">
      <c r="A708" s="12" t="n"/>
      <c r="B708" s="12" t="n"/>
      <c r="C708" s="12" t="n"/>
      <c r="D708" s="12" t="n"/>
      <c r="E708" s="14" t="n"/>
      <c r="F708" s="14" t="n"/>
      <c r="G708" s="14" t="n"/>
      <c r="H708" s="15" t="n"/>
      <c r="I708" s="24">
        <f>IF($A708="","",IF($B708="","YETİM",IF(COUNTIF(tblKartlar[KartId],$B708)=0,"YETİM","")))</f>
        <v/>
      </c>
      <c r="J708" s="24">
        <f>IF(OR($A708="",$C708=""),"",IF(OR($C708&amp;"|"&amp;$D708="",COUNTIF(ListeIzinliGecis,$C708&amp;"|"&amp;$D708)&gt;0),"","GEÇERSİZ GEÇİŞ"))</f>
        <v/>
      </c>
      <c r="K708" s="24">
        <f>IF($A708="","",IF(OR($E708="",$G708=""),"",IF(ABS($G708-$E708)&gt;zincirTolerans,"ZİNCİR KIRIK","OK")))</f>
        <v/>
      </c>
      <c r="L708" s="24">
        <f>IF($A708="","",1)</f>
        <v/>
      </c>
    </row>
    <row r="709">
      <c r="A709" s="12" t="n"/>
      <c r="B709" s="12" t="n"/>
      <c r="C709" s="12" t="n"/>
      <c r="D709" s="12" t="n"/>
      <c r="E709" s="14" t="n"/>
      <c r="F709" s="14" t="n"/>
      <c r="G709" s="14" t="n"/>
      <c r="H709" s="15" t="n"/>
      <c r="I709" s="24">
        <f>IF($A709="","",IF($B709="","YETİM",IF(COUNTIF(tblKartlar[KartId],$B709)=0,"YETİM","")))</f>
        <v/>
      </c>
      <c r="J709" s="24">
        <f>IF(OR($A709="",$C709=""),"",IF(OR($C709&amp;"|"&amp;$D709="",COUNTIF(ListeIzinliGecis,$C709&amp;"|"&amp;$D709)&gt;0),"","GEÇERSİZ GEÇİŞ"))</f>
        <v/>
      </c>
      <c r="K709" s="24">
        <f>IF($A709="","",IF(OR($E709="",$G709=""),"",IF(ABS($G709-$E709)&gt;zincirTolerans,"ZİNCİR KIRIK","OK")))</f>
        <v/>
      </c>
      <c r="L709" s="24">
        <f>IF($A709="","",1)</f>
        <v/>
      </c>
    </row>
    <row r="710">
      <c r="A710" s="12" t="n"/>
      <c r="B710" s="12" t="n"/>
      <c r="C710" s="12" t="n"/>
      <c r="D710" s="12" t="n"/>
      <c r="E710" s="14" t="n"/>
      <c r="F710" s="14" t="n"/>
      <c r="G710" s="14" t="n"/>
      <c r="H710" s="15" t="n"/>
      <c r="I710" s="24">
        <f>IF($A710="","",IF($B710="","YETİM",IF(COUNTIF(tblKartlar[KartId],$B710)=0,"YETİM","")))</f>
        <v/>
      </c>
      <c r="J710" s="24">
        <f>IF(OR($A710="",$C710=""),"",IF(OR($C710&amp;"|"&amp;$D710="",COUNTIF(ListeIzinliGecis,$C710&amp;"|"&amp;$D710)&gt;0),"","GEÇERSİZ GEÇİŞ"))</f>
        <v/>
      </c>
      <c r="K710" s="24">
        <f>IF($A710="","",IF(OR($E710="",$G710=""),"",IF(ABS($G710-$E710)&gt;zincirTolerans,"ZİNCİR KIRIK","OK")))</f>
        <v/>
      </c>
      <c r="L710" s="24">
        <f>IF($A710="","",1)</f>
        <v/>
      </c>
    </row>
    <row r="711">
      <c r="A711" s="12" t="n"/>
      <c r="B711" s="12" t="n"/>
      <c r="C711" s="12" t="n"/>
      <c r="D711" s="12" t="n"/>
      <c r="E711" s="14" t="n"/>
      <c r="F711" s="14" t="n"/>
      <c r="G711" s="14" t="n"/>
      <c r="H711" s="15" t="n"/>
      <c r="I711" s="24">
        <f>IF($A711="","",IF($B711="","YETİM",IF(COUNTIF(tblKartlar[KartId],$B711)=0,"YETİM","")))</f>
        <v/>
      </c>
      <c r="J711" s="24">
        <f>IF(OR($A711="",$C711=""),"",IF(OR($C711&amp;"|"&amp;$D711="",COUNTIF(ListeIzinliGecis,$C711&amp;"|"&amp;$D711)&gt;0),"","GEÇERSİZ GEÇİŞ"))</f>
        <v/>
      </c>
      <c r="K711" s="24">
        <f>IF($A711="","",IF(OR($E711="",$G711=""),"",IF(ABS($G711-$E711)&gt;zincirTolerans,"ZİNCİR KIRIK","OK")))</f>
        <v/>
      </c>
      <c r="L711" s="24">
        <f>IF($A711="","",1)</f>
        <v/>
      </c>
    </row>
    <row r="712">
      <c r="A712" s="12" t="n"/>
      <c r="B712" s="12" t="n"/>
      <c r="C712" s="12" t="n"/>
      <c r="D712" s="12" t="n"/>
      <c r="E712" s="14" t="n"/>
      <c r="F712" s="14" t="n"/>
      <c r="G712" s="14" t="n"/>
      <c r="H712" s="15" t="n"/>
      <c r="I712" s="24">
        <f>IF($A712="","",IF($B712="","YETİM",IF(COUNTIF(tblKartlar[KartId],$B712)=0,"YETİM","")))</f>
        <v/>
      </c>
      <c r="J712" s="24">
        <f>IF(OR($A712="",$C712=""),"",IF(OR($C712&amp;"|"&amp;$D712="",COUNTIF(ListeIzinliGecis,$C712&amp;"|"&amp;$D712)&gt;0),"","GEÇERSİZ GEÇİŞ"))</f>
        <v/>
      </c>
      <c r="K712" s="24">
        <f>IF($A712="","",IF(OR($E712="",$G712=""),"",IF(ABS($G712-$E712)&gt;zincirTolerans,"ZİNCİR KIRIK","OK")))</f>
        <v/>
      </c>
      <c r="L712" s="24">
        <f>IF($A712="","",1)</f>
        <v/>
      </c>
    </row>
    <row r="713">
      <c r="A713" s="12" t="n"/>
      <c r="B713" s="12" t="n"/>
      <c r="C713" s="12" t="n"/>
      <c r="D713" s="12" t="n"/>
      <c r="E713" s="14" t="n"/>
      <c r="F713" s="14" t="n"/>
      <c r="G713" s="14" t="n"/>
      <c r="H713" s="15" t="n"/>
      <c r="I713" s="24">
        <f>IF($A713="","",IF($B713="","YETİM",IF(COUNTIF(tblKartlar[KartId],$B713)=0,"YETİM","")))</f>
        <v/>
      </c>
      <c r="J713" s="24">
        <f>IF(OR($A713="",$C713=""),"",IF(OR($C713&amp;"|"&amp;$D713="",COUNTIF(ListeIzinliGecis,$C713&amp;"|"&amp;$D713)&gt;0),"","GEÇERSİZ GEÇİŞ"))</f>
        <v/>
      </c>
      <c r="K713" s="24">
        <f>IF($A713="","",IF(OR($E713="",$G713=""),"",IF(ABS($G713-$E713)&gt;zincirTolerans,"ZİNCİR KIRIK","OK")))</f>
        <v/>
      </c>
      <c r="L713" s="24">
        <f>IF($A713="","",1)</f>
        <v/>
      </c>
    </row>
    <row r="714">
      <c r="A714" s="12" t="n"/>
      <c r="B714" s="12" t="n"/>
      <c r="C714" s="12" t="n"/>
      <c r="D714" s="12" t="n"/>
      <c r="E714" s="14" t="n"/>
      <c r="F714" s="14" t="n"/>
      <c r="G714" s="14" t="n"/>
      <c r="H714" s="15" t="n"/>
      <c r="I714" s="24">
        <f>IF($A714="","",IF($B714="","YETİM",IF(COUNTIF(tblKartlar[KartId],$B714)=0,"YETİM","")))</f>
        <v/>
      </c>
      <c r="J714" s="24">
        <f>IF(OR($A714="",$C714=""),"",IF(OR($C714&amp;"|"&amp;$D714="",COUNTIF(ListeIzinliGecis,$C714&amp;"|"&amp;$D714)&gt;0),"","GEÇERSİZ GEÇİŞ"))</f>
        <v/>
      </c>
      <c r="K714" s="24">
        <f>IF($A714="","",IF(OR($E714="",$G714=""),"",IF(ABS($G714-$E714)&gt;zincirTolerans,"ZİNCİR KIRIK","OK")))</f>
        <v/>
      </c>
      <c r="L714" s="24">
        <f>IF($A714="","",1)</f>
        <v/>
      </c>
    </row>
    <row r="715">
      <c r="A715" s="12" t="n"/>
      <c r="B715" s="12" t="n"/>
      <c r="C715" s="12" t="n"/>
      <c r="D715" s="12" t="n"/>
      <c r="E715" s="14" t="n"/>
      <c r="F715" s="14" t="n"/>
      <c r="G715" s="14" t="n"/>
      <c r="H715" s="15" t="n"/>
      <c r="I715" s="24">
        <f>IF($A715="","",IF($B715="","YETİM",IF(COUNTIF(tblKartlar[KartId],$B715)=0,"YETİM","")))</f>
        <v/>
      </c>
      <c r="J715" s="24">
        <f>IF(OR($A715="",$C715=""),"",IF(OR($C715&amp;"|"&amp;$D715="",COUNTIF(ListeIzinliGecis,$C715&amp;"|"&amp;$D715)&gt;0),"","GEÇERSİZ GEÇİŞ"))</f>
        <v/>
      </c>
      <c r="K715" s="24">
        <f>IF($A715="","",IF(OR($E715="",$G715=""),"",IF(ABS($G715-$E715)&gt;zincirTolerans,"ZİNCİR KIRIK","OK")))</f>
        <v/>
      </c>
      <c r="L715" s="24">
        <f>IF($A715="","",1)</f>
        <v/>
      </c>
    </row>
    <row r="716">
      <c r="A716" s="12" t="n"/>
      <c r="B716" s="12" t="n"/>
      <c r="C716" s="12" t="n"/>
      <c r="D716" s="12" t="n"/>
      <c r="E716" s="14" t="n"/>
      <c r="F716" s="14" t="n"/>
      <c r="G716" s="14" t="n"/>
      <c r="H716" s="15" t="n"/>
      <c r="I716" s="24">
        <f>IF($A716="","",IF($B716="","YETİM",IF(COUNTIF(tblKartlar[KartId],$B716)=0,"YETİM","")))</f>
        <v/>
      </c>
      <c r="J716" s="24">
        <f>IF(OR($A716="",$C716=""),"",IF(OR($C716&amp;"|"&amp;$D716="",COUNTIF(ListeIzinliGecis,$C716&amp;"|"&amp;$D716)&gt;0),"","GEÇERSİZ GEÇİŞ"))</f>
        <v/>
      </c>
      <c r="K716" s="24">
        <f>IF($A716="","",IF(OR($E716="",$G716=""),"",IF(ABS($G716-$E716)&gt;zincirTolerans,"ZİNCİR KIRIK","OK")))</f>
        <v/>
      </c>
      <c r="L716" s="24">
        <f>IF($A716="","",1)</f>
        <v/>
      </c>
    </row>
    <row r="717">
      <c r="A717" s="12" t="n"/>
      <c r="B717" s="12" t="n"/>
      <c r="C717" s="12" t="n"/>
      <c r="D717" s="12" t="n"/>
      <c r="E717" s="14" t="n"/>
      <c r="F717" s="14" t="n"/>
      <c r="G717" s="14" t="n"/>
      <c r="H717" s="15" t="n"/>
      <c r="I717" s="24">
        <f>IF($A717="","",IF($B717="","YETİM",IF(COUNTIF(tblKartlar[KartId],$B717)=0,"YETİM","")))</f>
        <v/>
      </c>
      <c r="J717" s="24">
        <f>IF(OR($A717="",$C717=""),"",IF(OR($C717&amp;"|"&amp;$D717="",COUNTIF(ListeIzinliGecis,$C717&amp;"|"&amp;$D717)&gt;0),"","GEÇERSİZ GEÇİŞ"))</f>
        <v/>
      </c>
      <c r="K717" s="24">
        <f>IF($A717="","",IF(OR($E717="",$G717=""),"",IF(ABS($G717-$E717)&gt;zincirTolerans,"ZİNCİR KIRIK","OK")))</f>
        <v/>
      </c>
      <c r="L717" s="24">
        <f>IF($A717="","",1)</f>
        <v/>
      </c>
    </row>
    <row r="718">
      <c r="A718" s="12" t="n"/>
      <c r="B718" s="12" t="n"/>
      <c r="C718" s="12" t="n"/>
      <c r="D718" s="12" t="n"/>
      <c r="E718" s="14" t="n"/>
      <c r="F718" s="14" t="n"/>
      <c r="G718" s="14" t="n"/>
      <c r="H718" s="15" t="n"/>
      <c r="I718" s="24">
        <f>IF($A718="","",IF($B718="","YETİM",IF(COUNTIF(tblKartlar[KartId],$B718)=0,"YETİM","")))</f>
        <v/>
      </c>
      <c r="J718" s="24">
        <f>IF(OR($A718="",$C718=""),"",IF(OR($C718&amp;"|"&amp;$D718="",COUNTIF(ListeIzinliGecis,$C718&amp;"|"&amp;$D718)&gt;0),"","GEÇERSİZ GEÇİŞ"))</f>
        <v/>
      </c>
      <c r="K718" s="24">
        <f>IF($A718="","",IF(OR($E718="",$G718=""),"",IF(ABS($G718-$E718)&gt;zincirTolerans,"ZİNCİR KIRIK","OK")))</f>
        <v/>
      </c>
      <c r="L718" s="24">
        <f>IF($A718="","",1)</f>
        <v/>
      </c>
    </row>
    <row r="719">
      <c r="A719" s="12" t="n"/>
      <c r="B719" s="12" t="n"/>
      <c r="C719" s="12" t="n"/>
      <c r="D719" s="12" t="n"/>
      <c r="E719" s="14" t="n"/>
      <c r="F719" s="14" t="n"/>
      <c r="G719" s="14" t="n"/>
      <c r="H719" s="15" t="n"/>
      <c r="I719" s="24">
        <f>IF($A719="","",IF($B719="","YETİM",IF(COUNTIF(tblKartlar[KartId],$B719)=0,"YETİM","")))</f>
        <v/>
      </c>
      <c r="J719" s="24">
        <f>IF(OR($A719="",$C719=""),"",IF(OR($C719&amp;"|"&amp;$D719="",COUNTIF(ListeIzinliGecis,$C719&amp;"|"&amp;$D719)&gt;0),"","GEÇERSİZ GEÇİŞ"))</f>
        <v/>
      </c>
      <c r="K719" s="24">
        <f>IF($A719="","",IF(OR($E719="",$G719=""),"",IF(ABS($G719-$E719)&gt;zincirTolerans,"ZİNCİR KIRIK","OK")))</f>
        <v/>
      </c>
      <c r="L719" s="24">
        <f>IF($A719="","",1)</f>
        <v/>
      </c>
    </row>
    <row r="720">
      <c r="A720" s="12" t="n"/>
      <c r="B720" s="12" t="n"/>
      <c r="C720" s="12" t="n"/>
      <c r="D720" s="12" t="n"/>
      <c r="E720" s="14" t="n"/>
      <c r="F720" s="14" t="n"/>
      <c r="G720" s="14" t="n"/>
      <c r="H720" s="15" t="n"/>
      <c r="I720" s="24">
        <f>IF($A720="","",IF($B720="","YETİM",IF(COUNTIF(tblKartlar[KartId],$B720)=0,"YETİM","")))</f>
        <v/>
      </c>
      <c r="J720" s="24">
        <f>IF(OR($A720="",$C720=""),"",IF(OR($C720&amp;"|"&amp;$D720="",COUNTIF(ListeIzinliGecis,$C720&amp;"|"&amp;$D720)&gt;0),"","GEÇERSİZ GEÇİŞ"))</f>
        <v/>
      </c>
      <c r="K720" s="24">
        <f>IF($A720="","",IF(OR($E720="",$G720=""),"",IF(ABS($G720-$E720)&gt;zincirTolerans,"ZİNCİR KIRIK","OK")))</f>
        <v/>
      </c>
      <c r="L720" s="24">
        <f>IF($A720="","",1)</f>
        <v/>
      </c>
    </row>
    <row r="721">
      <c r="A721" s="12" t="n"/>
      <c r="B721" s="12" t="n"/>
      <c r="C721" s="12" t="n"/>
      <c r="D721" s="12" t="n"/>
      <c r="E721" s="14" t="n"/>
      <c r="F721" s="14" t="n"/>
      <c r="G721" s="14" t="n"/>
      <c r="H721" s="15" t="n"/>
      <c r="I721" s="24">
        <f>IF($A721="","",IF($B721="","YETİM",IF(COUNTIF(tblKartlar[KartId],$B721)=0,"YETİM","")))</f>
        <v/>
      </c>
      <c r="J721" s="24">
        <f>IF(OR($A721="",$C721=""),"",IF(OR($C721&amp;"|"&amp;$D721="",COUNTIF(ListeIzinliGecis,$C721&amp;"|"&amp;$D721)&gt;0),"","GEÇERSİZ GEÇİŞ"))</f>
        <v/>
      </c>
      <c r="K721" s="24">
        <f>IF($A721="","",IF(OR($E721="",$G721=""),"",IF(ABS($G721-$E721)&gt;zincirTolerans,"ZİNCİR KIRIK","OK")))</f>
        <v/>
      </c>
      <c r="L721" s="24">
        <f>IF($A721="","",1)</f>
        <v/>
      </c>
    </row>
    <row r="722">
      <c r="A722" s="12" t="n"/>
      <c r="B722" s="12" t="n"/>
      <c r="C722" s="12" t="n"/>
      <c r="D722" s="12" t="n"/>
      <c r="E722" s="14" t="n"/>
      <c r="F722" s="14" t="n"/>
      <c r="G722" s="14" t="n"/>
      <c r="H722" s="15" t="n"/>
      <c r="I722" s="24">
        <f>IF($A722="","",IF($B722="","YETİM",IF(COUNTIF(tblKartlar[KartId],$B722)=0,"YETİM","")))</f>
        <v/>
      </c>
      <c r="J722" s="24">
        <f>IF(OR($A722="",$C722=""),"",IF(OR($C722&amp;"|"&amp;$D722="",COUNTIF(ListeIzinliGecis,$C722&amp;"|"&amp;$D722)&gt;0),"","GEÇERSİZ GEÇİŞ"))</f>
        <v/>
      </c>
      <c r="K722" s="24">
        <f>IF($A722="","",IF(OR($E722="",$G722=""),"",IF(ABS($G722-$E722)&gt;zincirTolerans,"ZİNCİR KIRIK","OK")))</f>
        <v/>
      </c>
      <c r="L722" s="24">
        <f>IF($A722="","",1)</f>
        <v/>
      </c>
    </row>
    <row r="723">
      <c r="A723" s="12" t="n"/>
      <c r="B723" s="12" t="n"/>
      <c r="C723" s="12" t="n"/>
      <c r="D723" s="12" t="n"/>
      <c r="E723" s="14" t="n"/>
      <c r="F723" s="14" t="n"/>
      <c r="G723" s="14" t="n"/>
      <c r="H723" s="15" t="n"/>
      <c r="I723" s="24">
        <f>IF($A723="","",IF($B723="","YETİM",IF(COUNTIF(tblKartlar[KartId],$B723)=0,"YETİM","")))</f>
        <v/>
      </c>
      <c r="J723" s="24">
        <f>IF(OR($A723="",$C723=""),"",IF(OR($C723&amp;"|"&amp;$D723="",COUNTIF(ListeIzinliGecis,$C723&amp;"|"&amp;$D723)&gt;0),"","GEÇERSİZ GEÇİŞ"))</f>
        <v/>
      </c>
      <c r="K723" s="24">
        <f>IF($A723="","",IF(OR($E723="",$G723=""),"",IF(ABS($G723-$E723)&gt;zincirTolerans,"ZİNCİR KIRIK","OK")))</f>
        <v/>
      </c>
      <c r="L723" s="24">
        <f>IF($A723="","",1)</f>
        <v/>
      </c>
    </row>
    <row r="724">
      <c r="A724" s="12" t="n"/>
      <c r="B724" s="12" t="n"/>
      <c r="C724" s="12" t="n"/>
      <c r="D724" s="12" t="n"/>
      <c r="E724" s="14" t="n"/>
      <c r="F724" s="14" t="n"/>
      <c r="G724" s="14" t="n"/>
      <c r="H724" s="15" t="n"/>
      <c r="I724" s="24">
        <f>IF($A724="","",IF($B724="","YETİM",IF(COUNTIF(tblKartlar[KartId],$B724)=0,"YETİM","")))</f>
        <v/>
      </c>
      <c r="J724" s="24">
        <f>IF(OR($A724="",$C724=""),"",IF(OR($C724&amp;"|"&amp;$D724="",COUNTIF(ListeIzinliGecis,$C724&amp;"|"&amp;$D724)&gt;0),"","GEÇERSİZ GEÇİŞ"))</f>
        <v/>
      </c>
      <c r="K724" s="24">
        <f>IF($A724="","",IF(OR($E724="",$G724=""),"",IF(ABS($G724-$E724)&gt;zincirTolerans,"ZİNCİR KIRIK","OK")))</f>
        <v/>
      </c>
      <c r="L724" s="24">
        <f>IF($A724="","",1)</f>
        <v/>
      </c>
    </row>
    <row r="725">
      <c r="A725" s="12" t="n"/>
      <c r="B725" s="12" t="n"/>
      <c r="C725" s="12" t="n"/>
      <c r="D725" s="12" t="n"/>
      <c r="E725" s="14" t="n"/>
      <c r="F725" s="14" t="n"/>
      <c r="G725" s="14" t="n"/>
      <c r="H725" s="15" t="n"/>
      <c r="I725" s="24">
        <f>IF($A725="","",IF($B725="","YETİM",IF(COUNTIF(tblKartlar[KartId],$B725)=0,"YETİM","")))</f>
        <v/>
      </c>
      <c r="J725" s="24">
        <f>IF(OR($A725="",$C725=""),"",IF(OR($C725&amp;"|"&amp;$D725="",COUNTIF(ListeIzinliGecis,$C725&amp;"|"&amp;$D725)&gt;0),"","GEÇERSİZ GEÇİŞ"))</f>
        <v/>
      </c>
      <c r="K725" s="24">
        <f>IF($A725="","",IF(OR($E725="",$G725=""),"",IF(ABS($G725-$E725)&gt;zincirTolerans,"ZİNCİR KIRIK","OK")))</f>
        <v/>
      </c>
      <c r="L725" s="24">
        <f>IF($A725="","",1)</f>
        <v/>
      </c>
    </row>
    <row r="726">
      <c r="A726" s="12" t="n"/>
      <c r="B726" s="12" t="n"/>
      <c r="C726" s="12" t="n"/>
      <c r="D726" s="12" t="n"/>
      <c r="E726" s="14" t="n"/>
      <c r="F726" s="14" t="n"/>
      <c r="G726" s="14" t="n"/>
      <c r="H726" s="15" t="n"/>
      <c r="I726" s="24">
        <f>IF($A726="","",IF($B726="","YETİM",IF(COUNTIF(tblKartlar[KartId],$B726)=0,"YETİM","")))</f>
        <v/>
      </c>
      <c r="J726" s="24">
        <f>IF(OR($A726="",$C726=""),"",IF(OR($C726&amp;"|"&amp;$D726="",COUNTIF(ListeIzinliGecis,$C726&amp;"|"&amp;$D726)&gt;0),"","GEÇERSİZ GEÇİŞ"))</f>
        <v/>
      </c>
      <c r="K726" s="24">
        <f>IF($A726="","",IF(OR($E726="",$G726=""),"",IF(ABS($G726-$E726)&gt;zincirTolerans,"ZİNCİR KIRIK","OK")))</f>
        <v/>
      </c>
      <c r="L726" s="24">
        <f>IF($A726="","",1)</f>
        <v/>
      </c>
    </row>
    <row r="727">
      <c r="A727" s="12" t="n"/>
      <c r="B727" s="12" t="n"/>
      <c r="C727" s="12" t="n"/>
      <c r="D727" s="12" t="n"/>
      <c r="E727" s="14" t="n"/>
      <c r="F727" s="14" t="n"/>
      <c r="G727" s="14" t="n"/>
      <c r="H727" s="15" t="n"/>
      <c r="I727" s="24">
        <f>IF($A727="","",IF($B727="","YETİM",IF(COUNTIF(tblKartlar[KartId],$B727)=0,"YETİM","")))</f>
        <v/>
      </c>
      <c r="J727" s="24">
        <f>IF(OR($A727="",$C727=""),"",IF(OR($C727&amp;"|"&amp;$D727="",COUNTIF(ListeIzinliGecis,$C727&amp;"|"&amp;$D727)&gt;0),"","GEÇERSİZ GEÇİŞ"))</f>
        <v/>
      </c>
      <c r="K727" s="24">
        <f>IF($A727="","",IF(OR($E727="",$G727=""),"",IF(ABS($G727-$E727)&gt;zincirTolerans,"ZİNCİR KIRIK","OK")))</f>
        <v/>
      </c>
      <c r="L727" s="24">
        <f>IF($A727="","",1)</f>
        <v/>
      </c>
    </row>
    <row r="728">
      <c r="A728" s="12" t="n"/>
      <c r="B728" s="12" t="n"/>
      <c r="C728" s="12" t="n"/>
      <c r="D728" s="12" t="n"/>
      <c r="E728" s="14" t="n"/>
      <c r="F728" s="14" t="n"/>
      <c r="G728" s="14" t="n"/>
      <c r="H728" s="15" t="n"/>
      <c r="I728" s="24">
        <f>IF($A728="","",IF($B728="","YETİM",IF(COUNTIF(tblKartlar[KartId],$B728)=0,"YETİM","")))</f>
        <v/>
      </c>
      <c r="J728" s="24">
        <f>IF(OR($A728="",$C728=""),"",IF(OR($C728&amp;"|"&amp;$D728="",COUNTIF(ListeIzinliGecis,$C728&amp;"|"&amp;$D728)&gt;0),"","GEÇERSİZ GEÇİŞ"))</f>
        <v/>
      </c>
      <c r="K728" s="24">
        <f>IF($A728="","",IF(OR($E728="",$G728=""),"",IF(ABS($G728-$E728)&gt;zincirTolerans,"ZİNCİR KIRIK","OK")))</f>
        <v/>
      </c>
      <c r="L728" s="24">
        <f>IF($A728="","",1)</f>
        <v/>
      </c>
    </row>
    <row r="729">
      <c r="A729" s="12" t="n"/>
      <c r="B729" s="12" t="n"/>
      <c r="C729" s="12" t="n"/>
      <c r="D729" s="12" t="n"/>
      <c r="E729" s="14" t="n"/>
      <c r="F729" s="14" t="n"/>
      <c r="G729" s="14" t="n"/>
      <c r="H729" s="15" t="n"/>
      <c r="I729" s="24">
        <f>IF($A729="","",IF($B729="","YETİM",IF(COUNTIF(tblKartlar[KartId],$B729)=0,"YETİM","")))</f>
        <v/>
      </c>
      <c r="J729" s="24">
        <f>IF(OR($A729="",$C729=""),"",IF(OR($C729&amp;"|"&amp;$D729="",COUNTIF(ListeIzinliGecis,$C729&amp;"|"&amp;$D729)&gt;0),"","GEÇERSİZ GEÇİŞ"))</f>
        <v/>
      </c>
      <c r="K729" s="24">
        <f>IF($A729="","",IF(OR($E729="",$G729=""),"",IF(ABS($G729-$E729)&gt;zincirTolerans,"ZİNCİR KIRIK","OK")))</f>
        <v/>
      </c>
      <c r="L729" s="24">
        <f>IF($A729="","",1)</f>
        <v/>
      </c>
    </row>
    <row r="730">
      <c r="A730" s="12" t="n"/>
      <c r="B730" s="12" t="n"/>
      <c r="C730" s="12" t="n"/>
      <c r="D730" s="12" t="n"/>
      <c r="E730" s="14" t="n"/>
      <c r="F730" s="14" t="n"/>
      <c r="G730" s="14" t="n"/>
      <c r="H730" s="15" t="n"/>
      <c r="I730" s="24">
        <f>IF($A730="","",IF($B730="","YETİM",IF(COUNTIF(tblKartlar[KartId],$B730)=0,"YETİM","")))</f>
        <v/>
      </c>
      <c r="J730" s="24">
        <f>IF(OR($A730="",$C730=""),"",IF(OR($C730&amp;"|"&amp;$D730="",COUNTIF(ListeIzinliGecis,$C730&amp;"|"&amp;$D730)&gt;0),"","GEÇERSİZ GEÇİŞ"))</f>
        <v/>
      </c>
      <c r="K730" s="24">
        <f>IF($A730="","",IF(OR($E730="",$G730=""),"",IF(ABS($G730-$E730)&gt;zincirTolerans,"ZİNCİR KIRIK","OK")))</f>
        <v/>
      </c>
      <c r="L730" s="24">
        <f>IF($A730="","",1)</f>
        <v/>
      </c>
    </row>
    <row r="731">
      <c r="A731" s="12" t="n"/>
      <c r="B731" s="12" t="n"/>
      <c r="C731" s="12" t="n"/>
      <c r="D731" s="12" t="n"/>
      <c r="E731" s="14" t="n"/>
      <c r="F731" s="14" t="n"/>
      <c r="G731" s="14" t="n"/>
      <c r="H731" s="15" t="n"/>
      <c r="I731" s="24">
        <f>IF($A731="","",IF($B731="","YETİM",IF(COUNTIF(tblKartlar[KartId],$B731)=0,"YETİM","")))</f>
        <v/>
      </c>
      <c r="J731" s="24">
        <f>IF(OR($A731="",$C731=""),"",IF(OR($C731&amp;"|"&amp;$D731="",COUNTIF(ListeIzinliGecis,$C731&amp;"|"&amp;$D731)&gt;0),"","GEÇERSİZ GEÇİŞ"))</f>
        <v/>
      </c>
      <c r="K731" s="24">
        <f>IF($A731="","",IF(OR($E731="",$G731=""),"",IF(ABS($G731-$E731)&gt;zincirTolerans,"ZİNCİR KIRIK","OK")))</f>
        <v/>
      </c>
      <c r="L731" s="24">
        <f>IF($A731="","",1)</f>
        <v/>
      </c>
    </row>
    <row r="732">
      <c r="A732" s="12" t="n"/>
      <c r="B732" s="12" t="n"/>
      <c r="C732" s="12" t="n"/>
      <c r="D732" s="12" t="n"/>
      <c r="E732" s="14" t="n"/>
      <c r="F732" s="14" t="n"/>
      <c r="G732" s="14" t="n"/>
      <c r="H732" s="15" t="n"/>
      <c r="I732" s="24">
        <f>IF($A732="","",IF($B732="","YETİM",IF(COUNTIF(tblKartlar[KartId],$B732)=0,"YETİM","")))</f>
        <v/>
      </c>
      <c r="J732" s="24">
        <f>IF(OR($A732="",$C732=""),"",IF(OR($C732&amp;"|"&amp;$D732="",COUNTIF(ListeIzinliGecis,$C732&amp;"|"&amp;$D732)&gt;0),"","GEÇERSİZ GEÇİŞ"))</f>
        <v/>
      </c>
      <c r="K732" s="24">
        <f>IF($A732="","",IF(OR($E732="",$G732=""),"",IF(ABS($G732-$E732)&gt;zincirTolerans,"ZİNCİR KIRIK","OK")))</f>
        <v/>
      </c>
      <c r="L732" s="24">
        <f>IF($A732="","",1)</f>
        <v/>
      </c>
    </row>
    <row r="733">
      <c r="A733" s="12" t="n"/>
      <c r="B733" s="12" t="n"/>
      <c r="C733" s="12" t="n"/>
      <c r="D733" s="12" t="n"/>
      <c r="E733" s="14" t="n"/>
      <c r="F733" s="14" t="n"/>
      <c r="G733" s="14" t="n"/>
      <c r="H733" s="15" t="n"/>
      <c r="I733" s="24">
        <f>IF($A733="","",IF($B733="","YETİM",IF(COUNTIF(tblKartlar[KartId],$B733)=0,"YETİM","")))</f>
        <v/>
      </c>
      <c r="J733" s="24">
        <f>IF(OR($A733="",$C733=""),"",IF(OR($C733&amp;"|"&amp;$D733="",COUNTIF(ListeIzinliGecis,$C733&amp;"|"&amp;$D733)&gt;0),"","GEÇERSİZ GEÇİŞ"))</f>
        <v/>
      </c>
      <c r="K733" s="24">
        <f>IF($A733="","",IF(OR($E733="",$G733=""),"",IF(ABS($G733-$E733)&gt;zincirTolerans,"ZİNCİR KIRIK","OK")))</f>
        <v/>
      </c>
      <c r="L733" s="24">
        <f>IF($A733="","",1)</f>
        <v/>
      </c>
    </row>
    <row r="734">
      <c r="A734" s="12" t="n"/>
      <c r="B734" s="12" t="n"/>
      <c r="C734" s="12" t="n"/>
      <c r="D734" s="12" t="n"/>
      <c r="E734" s="14" t="n"/>
      <c r="F734" s="14" t="n"/>
      <c r="G734" s="14" t="n"/>
      <c r="H734" s="15" t="n"/>
      <c r="I734" s="24">
        <f>IF($A734="","",IF($B734="","YETİM",IF(COUNTIF(tblKartlar[KartId],$B734)=0,"YETİM","")))</f>
        <v/>
      </c>
      <c r="J734" s="24">
        <f>IF(OR($A734="",$C734=""),"",IF(OR($C734&amp;"|"&amp;$D734="",COUNTIF(ListeIzinliGecis,$C734&amp;"|"&amp;$D734)&gt;0),"","GEÇERSİZ GEÇİŞ"))</f>
        <v/>
      </c>
      <c r="K734" s="24">
        <f>IF($A734="","",IF(OR($E734="",$G734=""),"",IF(ABS($G734-$E734)&gt;zincirTolerans,"ZİNCİR KIRIK","OK")))</f>
        <v/>
      </c>
      <c r="L734" s="24">
        <f>IF($A734="","",1)</f>
        <v/>
      </c>
    </row>
    <row r="735">
      <c r="A735" s="12" t="n"/>
      <c r="B735" s="12" t="n"/>
      <c r="C735" s="12" t="n"/>
      <c r="D735" s="12" t="n"/>
      <c r="E735" s="14" t="n"/>
      <c r="F735" s="14" t="n"/>
      <c r="G735" s="14" t="n"/>
      <c r="H735" s="15" t="n"/>
      <c r="I735" s="24">
        <f>IF($A735="","",IF($B735="","YETİM",IF(COUNTIF(tblKartlar[KartId],$B735)=0,"YETİM","")))</f>
        <v/>
      </c>
      <c r="J735" s="24">
        <f>IF(OR($A735="",$C735=""),"",IF(OR($C735&amp;"|"&amp;$D735="",COUNTIF(ListeIzinliGecis,$C735&amp;"|"&amp;$D735)&gt;0),"","GEÇERSİZ GEÇİŞ"))</f>
        <v/>
      </c>
      <c r="K735" s="24">
        <f>IF($A735="","",IF(OR($E735="",$G735=""),"",IF(ABS($G735-$E735)&gt;zincirTolerans,"ZİNCİR KIRIK","OK")))</f>
        <v/>
      </c>
      <c r="L735" s="24">
        <f>IF($A735="","",1)</f>
        <v/>
      </c>
    </row>
    <row r="736">
      <c r="A736" s="12" t="n"/>
      <c r="B736" s="12" t="n"/>
      <c r="C736" s="12" t="n"/>
      <c r="D736" s="12" t="n"/>
      <c r="E736" s="14" t="n"/>
      <c r="F736" s="14" t="n"/>
      <c r="G736" s="14" t="n"/>
      <c r="H736" s="15" t="n"/>
      <c r="I736" s="24">
        <f>IF($A736="","",IF($B736="","YETİM",IF(COUNTIF(tblKartlar[KartId],$B736)=0,"YETİM","")))</f>
        <v/>
      </c>
      <c r="J736" s="24">
        <f>IF(OR($A736="",$C736=""),"",IF(OR($C736&amp;"|"&amp;$D736="",COUNTIF(ListeIzinliGecis,$C736&amp;"|"&amp;$D736)&gt;0),"","GEÇERSİZ GEÇİŞ"))</f>
        <v/>
      </c>
      <c r="K736" s="24">
        <f>IF($A736="","",IF(OR($E736="",$G736=""),"",IF(ABS($G736-$E736)&gt;zincirTolerans,"ZİNCİR KIRIK","OK")))</f>
        <v/>
      </c>
      <c r="L736" s="24">
        <f>IF($A736="","",1)</f>
        <v/>
      </c>
    </row>
    <row r="737">
      <c r="A737" s="12" t="n"/>
      <c r="B737" s="12" t="n"/>
      <c r="C737" s="12" t="n"/>
      <c r="D737" s="12" t="n"/>
      <c r="E737" s="14" t="n"/>
      <c r="F737" s="14" t="n"/>
      <c r="G737" s="14" t="n"/>
      <c r="H737" s="15" t="n"/>
      <c r="I737" s="24">
        <f>IF($A737="","",IF($B737="","YETİM",IF(COUNTIF(tblKartlar[KartId],$B737)=0,"YETİM","")))</f>
        <v/>
      </c>
      <c r="J737" s="24">
        <f>IF(OR($A737="",$C737=""),"",IF(OR($C737&amp;"|"&amp;$D737="",COUNTIF(ListeIzinliGecis,$C737&amp;"|"&amp;$D737)&gt;0),"","GEÇERSİZ GEÇİŞ"))</f>
        <v/>
      </c>
      <c r="K737" s="24">
        <f>IF($A737="","",IF(OR($E737="",$G737=""),"",IF(ABS($G737-$E737)&gt;zincirTolerans,"ZİNCİR KIRIK","OK")))</f>
        <v/>
      </c>
      <c r="L737" s="24">
        <f>IF($A737="","",1)</f>
        <v/>
      </c>
    </row>
    <row r="738">
      <c r="A738" s="12" t="n"/>
      <c r="B738" s="12" t="n"/>
      <c r="C738" s="12" t="n"/>
      <c r="D738" s="12" t="n"/>
      <c r="E738" s="14" t="n"/>
      <c r="F738" s="14" t="n"/>
      <c r="G738" s="14" t="n"/>
      <c r="H738" s="15" t="n"/>
      <c r="I738" s="24">
        <f>IF($A738="","",IF($B738="","YETİM",IF(COUNTIF(tblKartlar[KartId],$B738)=0,"YETİM","")))</f>
        <v/>
      </c>
      <c r="J738" s="24">
        <f>IF(OR($A738="",$C738=""),"",IF(OR($C738&amp;"|"&amp;$D738="",COUNTIF(ListeIzinliGecis,$C738&amp;"|"&amp;$D738)&gt;0),"","GEÇERSİZ GEÇİŞ"))</f>
        <v/>
      </c>
      <c r="K738" s="24">
        <f>IF($A738="","",IF(OR($E738="",$G738=""),"",IF(ABS($G738-$E738)&gt;zincirTolerans,"ZİNCİR KIRIK","OK")))</f>
        <v/>
      </c>
      <c r="L738" s="24">
        <f>IF($A738="","",1)</f>
        <v/>
      </c>
    </row>
    <row r="739">
      <c r="A739" s="12" t="n"/>
      <c r="B739" s="12" t="n"/>
      <c r="C739" s="12" t="n"/>
      <c r="D739" s="12" t="n"/>
      <c r="E739" s="14" t="n"/>
      <c r="F739" s="14" t="n"/>
      <c r="G739" s="14" t="n"/>
      <c r="H739" s="15" t="n"/>
      <c r="I739" s="24">
        <f>IF($A739="","",IF($B739="","YETİM",IF(COUNTIF(tblKartlar[KartId],$B739)=0,"YETİM","")))</f>
        <v/>
      </c>
      <c r="J739" s="24">
        <f>IF(OR($A739="",$C739=""),"",IF(OR($C739&amp;"|"&amp;$D739="",COUNTIF(ListeIzinliGecis,$C739&amp;"|"&amp;$D739)&gt;0),"","GEÇERSİZ GEÇİŞ"))</f>
        <v/>
      </c>
      <c r="K739" s="24">
        <f>IF($A739="","",IF(OR($E739="",$G739=""),"",IF(ABS($G739-$E739)&gt;zincirTolerans,"ZİNCİR KIRIK","OK")))</f>
        <v/>
      </c>
      <c r="L739" s="24">
        <f>IF($A739="","",1)</f>
        <v/>
      </c>
    </row>
    <row r="740">
      <c r="A740" s="12" t="n"/>
      <c r="B740" s="12" t="n"/>
      <c r="C740" s="12" t="n"/>
      <c r="D740" s="12" t="n"/>
      <c r="E740" s="14" t="n"/>
      <c r="F740" s="14" t="n"/>
      <c r="G740" s="14" t="n"/>
      <c r="H740" s="15" t="n"/>
      <c r="I740" s="24">
        <f>IF($A740="","",IF($B740="","YETİM",IF(COUNTIF(tblKartlar[KartId],$B740)=0,"YETİM","")))</f>
        <v/>
      </c>
      <c r="J740" s="24">
        <f>IF(OR($A740="",$C740=""),"",IF(OR($C740&amp;"|"&amp;$D740="",COUNTIF(ListeIzinliGecis,$C740&amp;"|"&amp;$D740)&gt;0),"","GEÇERSİZ GEÇİŞ"))</f>
        <v/>
      </c>
      <c r="K740" s="24">
        <f>IF($A740="","",IF(OR($E740="",$G740=""),"",IF(ABS($G740-$E740)&gt;zincirTolerans,"ZİNCİR KIRIK","OK")))</f>
        <v/>
      </c>
      <c r="L740" s="24">
        <f>IF($A740="","",1)</f>
        <v/>
      </c>
    </row>
    <row r="741">
      <c r="A741" s="12" t="n"/>
      <c r="B741" s="12" t="n"/>
      <c r="C741" s="12" t="n"/>
      <c r="D741" s="12" t="n"/>
      <c r="E741" s="14" t="n"/>
      <c r="F741" s="14" t="n"/>
      <c r="G741" s="14" t="n"/>
      <c r="H741" s="15" t="n"/>
      <c r="I741" s="24">
        <f>IF($A741="","",IF($B741="","YETİM",IF(COUNTIF(tblKartlar[KartId],$B741)=0,"YETİM","")))</f>
        <v/>
      </c>
      <c r="J741" s="24">
        <f>IF(OR($A741="",$C741=""),"",IF(OR($C741&amp;"|"&amp;$D741="",COUNTIF(ListeIzinliGecis,$C741&amp;"|"&amp;$D741)&gt;0),"","GEÇERSİZ GEÇİŞ"))</f>
        <v/>
      </c>
      <c r="K741" s="24">
        <f>IF($A741="","",IF(OR($E741="",$G741=""),"",IF(ABS($G741-$E741)&gt;zincirTolerans,"ZİNCİR KIRIK","OK")))</f>
        <v/>
      </c>
      <c r="L741" s="24">
        <f>IF($A741="","",1)</f>
        <v/>
      </c>
    </row>
    <row r="742">
      <c r="A742" s="12" t="n"/>
      <c r="B742" s="12" t="n"/>
      <c r="C742" s="12" t="n"/>
      <c r="D742" s="12" t="n"/>
      <c r="E742" s="14" t="n"/>
      <c r="F742" s="14" t="n"/>
      <c r="G742" s="14" t="n"/>
      <c r="H742" s="15" t="n"/>
      <c r="I742" s="24">
        <f>IF($A742="","",IF($B742="","YETİM",IF(COUNTIF(tblKartlar[KartId],$B742)=0,"YETİM","")))</f>
        <v/>
      </c>
      <c r="J742" s="24">
        <f>IF(OR($A742="",$C742=""),"",IF(OR($C742&amp;"|"&amp;$D742="",COUNTIF(ListeIzinliGecis,$C742&amp;"|"&amp;$D742)&gt;0),"","GEÇERSİZ GEÇİŞ"))</f>
        <v/>
      </c>
      <c r="K742" s="24">
        <f>IF($A742="","",IF(OR($E742="",$G742=""),"",IF(ABS($G742-$E742)&gt;zincirTolerans,"ZİNCİR KIRIK","OK")))</f>
        <v/>
      </c>
      <c r="L742" s="24">
        <f>IF($A742="","",1)</f>
        <v/>
      </c>
    </row>
    <row r="743">
      <c r="A743" s="12" t="n"/>
      <c r="B743" s="12" t="n"/>
      <c r="C743" s="12" t="n"/>
      <c r="D743" s="12" t="n"/>
      <c r="E743" s="14" t="n"/>
      <c r="F743" s="14" t="n"/>
      <c r="G743" s="14" t="n"/>
      <c r="H743" s="15" t="n"/>
      <c r="I743" s="24">
        <f>IF($A743="","",IF($B743="","YETİM",IF(COUNTIF(tblKartlar[KartId],$B743)=0,"YETİM","")))</f>
        <v/>
      </c>
      <c r="J743" s="24">
        <f>IF(OR($A743="",$C743=""),"",IF(OR($C743&amp;"|"&amp;$D743="",COUNTIF(ListeIzinliGecis,$C743&amp;"|"&amp;$D743)&gt;0),"","GEÇERSİZ GEÇİŞ"))</f>
        <v/>
      </c>
      <c r="K743" s="24">
        <f>IF($A743="","",IF(OR($E743="",$G743=""),"",IF(ABS($G743-$E743)&gt;zincirTolerans,"ZİNCİR KIRIK","OK")))</f>
        <v/>
      </c>
      <c r="L743" s="24">
        <f>IF($A743="","",1)</f>
        <v/>
      </c>
    </row>
    <row r="744">
      <c r="A744" s="12" t="n"/>
      <c r="B744" s="12" t="n"/>
      <c r="C744" s="12" t="n"/>
      <c r="D744" s="12" t="n"/>
      <c r="E744" s="14" t="n"/>
      <c r="F744" s="14" t="n"/>
      <c r="G744" s="14" t="n"/>
      <c r="H744" s="15" t="n"/>
      <c r="I744" s="24">
        <f>IF($A744="","",IF($B744="","YETİM",IF(COUNTIF(tblKartlar[KartId],$B744)=0,"YETİM","")))</f>
        <v/>
      </c>
      <c r="J744" s="24">
        <f>IF(OR($A744="",$C744=""),"",IF(OR($C744&amp;"|"&amp;$D744="",COUNTIF(ListeIzinliGecis,$C744&amp;"|"&amp;$D744)&gt;0),"","GEÇERSİZ GEÇİŞ"))</f>
        <v/>
      </c>
      <c r="K744" s="24">
        <f>IF($A744="","",IF(OR($E744="",$G744=""),"",IF(ABS($G744-$E744)&gt;zincirTolerans,"ZİNCİR KIRIK","OK")))</f>
        <v/>
      </c>
      <c r="L744" s="24">
        <f>IF($A744="","",1)</f>
        <v/>
      </c>
    </row>
    <row r="745">
      <c r="A745" s="12" t="n"/>
      <c r="B745" s="12" t="n"/>
      <c r="C745" s="12" t="n"/>
      <c r="D745" s="12" t="n"/>
      <c r="E745" s="14" t="n"/>
      <c r="F745" s="14" t="n"/>
      <c r="G745" s="14" t="n"/>
      <c r="H745" s="15" t="n"/>
      <c r="I745" s="24">
        <f>IF($A745="","",IF($B745="","YETİM",IF(COUNTIF(tblKartlar[KartId],$B745)=0,"YETİM","")))</f>
        <v/>
      </c>
      <c r="J745" s="24">
        <f>IF(OR($A745="",$C745=""),"",IF(OR($C745&amp;"|"&amp;$D745="",COUNTIF(ListeIzinliGecis,$C745&amp;"|"&amp;$D745)&gt;0),"","GEÇERSİZ GEÇİŞ"))</f>
        <v/>
      </c>
      <c r="K745" s="24">
        <f>IF($A745="","",IF(OR($E745="",$G745=""),"",IF(ABS($G745-$E745)&gt;zincirTolerans,"ZİNCİR KIRIK","OK")))</f>
        <v/>
      </c>
      <c r="L745" s="24">
        <f>IF($A745="","",1)</f>
        <v/>
      </c>
    </row>
    <row r="746">
      <c r="A746" s="12" t="n"/>
      <c r="B746" s="12" t="n"/>
      <c r="C746" s="12" t="n"/>
      <c r="D746" s="12" t="n"/>
      <c r="E746" s="14" t="n"/>
      <c r="F746" s="14" t="n"/>
      <c r="G746" s="14" t="n"/>
      <c r="H746" s="15" t="n"/>
      <c r="I746" s="24">
        <f>IF($A746="","",IF($B746="","YETİM",IF(COUNTIF(tblKartlar[KartId],$B746)=0,"YETİM","")))</f>
        <v/>
      </c>
      <c r="J746" s="24">
        <f>IF(OR($A746="",$C746=""),"",IF(OR($C746&amp;"|"&amp;$D746="",COUNTIF(ListeIzinliGecis,$C746&amp;"|"&amp;$D746)&gt;0),"","GEÇERSİZ GEÇİŞ"))</f>
        <v/>
      </c>
      <c r="K746" s="24">
        <f>IF($A746="","",IF(OR($E746="",$G746=""),"",IF(ABS($G746-$E746)&gt;zincirTolerans,"ZİNCİR KIRIK","OK")))</f>
        <v/>
      </c>
      <c r="L746" s="24">
        <f>IF($A746="","",1)</f>
        <v/>
      </c>
    </row>
    <row r="747">
      <c r="A747" s="12" t="n"/>
      <c r="B747" s="12" t="n"/>
      <c r="C747" s="12" t="n"/>
      <c r="D747" s="12" t="n"/>
      <c r="E747" s="14" t="n"/>
      <c r="F747" s="14" t="n"/>
      <c r="G747" s="14" t="n"/>
      <c r="H747" s="15" t="n"/>
      <c r="I747" s="24">
        <f>IF($A747="","",IF($B747="","YETİM",IF(COUNTIF(tblKartlar[KartId],$B747)=0,"YETİM","")))</f>
        <v/>
      </c>
      <c r="J747" s="24">
        <f>IF(OR($A747="",$C747=""),"",IF(OR($C747&amp;"|"&amp;$D747="",COUNTIF(ListeIzinliGecis,$C747&amp;"|"&amp;$D747)&gt;0),"","GEÇERSİZ GEÇİŞ"))</f>
        <v/>
      </c>
      <c r="K747" s="24">
        <f>IF($A747="","",IF(OR($E747="",$G747=""),"",IF(ABS($G747-$E747)&gt;zincirTolerans,"ZİNCİR KIRIK","OK")))</f>
        <v/>
      </c>
      <c r="L747" s="24">
        <f>IF($A747="","",1)</f>
        <v/>
      </c>
    </row>
    <row r="748">
      <c r="A748" s="12" t="n"/>
      <c r="B748" s="12" t="n"/>
      <c r="C748" s="12" t="n"/>
      <c r="D748" s="12" t="n"/>
      <c r="E748" s="14" t="n"/>
      <c r="F748" s="14" t="n"/>
      <c r="G748" s="14" t="n"/>
      <c r="H748" s="15" t="n"/>
      <c r="I748" s="24">
        <f>IF($A748="","",IF($B748="","YETİM",IF(COUNTIF(tblKartlar[KartId],$B748)=0,"YETİM","")))</f>
        <v/>
      </c>
      <c r="J748" s="24">
        <f>IF(OR($A748="",$C748=""),"",IF(OR($C748&amp;"|"&amp;$D748="",COUNTIF(ListeIzinliGecis,$C748&amp;"|"&amp;$D748)&gt;0),"","GEÇERSİZ GEÇİŞ"))</f>
        <v/>
      </c>
      <c r="K748" s="24">
        <f>IF($A748="","",IF(OR($E748="",$G748=""),"",IF(ABS($G748-$E748)&gt;zincirTolerans,"ZİNCİR KIRIK","OK")))</f>
        <v/>
      </c>
      <c r="L748" s="24">
        <f>IF($A748="","",1)</f>
        <v/>
      </c>
    </row>
    <row r="749">
      <c r="A749" s="12" t="n"/>
      <c r="B749" s="12" t="n"/>
      <c r="C749" s="12" t="n"/>
      <c r="D749" s="12" t="n"/>
      <c r="E749" s="14" t="n"/>
      <c r="F749" s="14" t="n"/>
      <c r="G749" s="14" t="n"/>
      <c r="H749" s="15" t="n"/>
      <c r="I749" s="24">
        <f>IF($A749="","",IF($B749="","YETİM",IF(COUNTIF(tblKartlar[KartId],$B749)=0,"YETİM","")))</f>
        <v/>
      </c>
      <c r="J749" s="24">
        <f>IF(OR($A749="",$C749=""),"",IF(OR($C749&amp;"|"&amp;$D749="",COUNTIF(ListeIzinliGecis,$C749&amp;"|"&amp;$D749)&gt;0),"","GEÇERSİZ GEÇİŞ"))</f>
        <v/>
      </c>
      <c r="K749" s="24">
        <f>IF($A749="","",IF(OR($E749="",$G749=""),"",IF(ABS($G749-$E749)&gt;zincirTolerans,"ZİNCİR KIRIK","OK")))</f>
        <v/>
      </c>
      <c r="L749" s="24">
        <f>IF($A749="","",1)</f>
        <v/>
      </c>
    </row>
    <row r="750">
      <c r="A750" s="12" t="n"/>
      <c r="B750" s="12" t="n"/>
      <c r="C750" s="12" t="n"/>
      <c r="D750" s="12" t="n"/>
      <c r="E750" s="14" t="n"/>
      <c r="F750" s="14" t="n"/>
      <c r="G750" s="14" t="n"/>
      <c r="H750" s="15" t="n"/>
      <c r="I750" s="24">
        <f>IF($A750="","",IF($B750="","YETİM",IF(COUNTIF(tblKartlar[KartId],$B750)=0,"YETİM","")))</f>
        <v/>
      </c>
      <c r="J750" s="24">
        <f>IF(OR($A750="",$C750=""),"",IF(OR($C750&amp;"|"&amp;$D750="",COUNTIF(ListeIzinliGecis,$C750&amp;"|"&amp;$D750)&gt;0),"","GEÇERSİZ GEÇİŞ"))</f>
        <v/>
      </c>
      <c r="K750" s="24">
        <f>IF($A750="","",IF(OR($E750="",$G750=""),"",IF(ABS($G750-$E750)&gt;zincirTolerans,"ZİNCİR KIRIK","OK")))</f>
        <v/>
      </c>
      <c r="L750" s="24">
        <f>IF($A750="","",1)</f>
        <v/>
      </c>
    </row>
    <row r="751">
      <c r="A751" s="12" t="n"/>
      <c r="B751" s="12" t="n"/>
      <c r="C751" s="12" t="n"/>
      <c r="D751" s="12" t="n"/>
      <c r="E751" s="14" t="n"/>
      <c r="F751" s="14" t="n"/>
      <c r="G751" s="14" t="n"/>
      <c r="H751" s="15" t="n"/>
      <c r="I751" s="24">
        <f>IF($A751="","",IF($B751="","YETİM",IF(COUNTIF(tblKartlar[KartId],$B751)=0,"YETİM","")))</f>
        <v/>
      </c>
      <c r="J751" s="24">
        <f>IF(OR($A751="",$C751=""),"",IF(OR($C751&amp;"|"&amp;$D751="",COUNTIF(ListeIzinliGecis,$C751&amp;"|"&amp;$D751)&gt;0),"","GEÇERSİZ GEÇİŞ"))</f>
        <v/>
      </c>
      <c r="K751" s="24">
        <f>IF($A751="","",IF(OR($E751="",$G751=""),"",IF(ABS($G751-$E751)&gt;zincirTolerans,"ZİNCİR KIRIK","OK")))</f>
        <v/>
      </c>
      <c r="L751" s="24">
        <f>IF($A751="","",1)</f>
        <v/>
      </c>
    </row>
    <row r="752">
      <c r="A752" s="12" t="n"/>
      <c r="B752" s="12" t="n"/>
      <c r="C752" s="12" t="n"/>
      <c r="D752" s="12" t="n"/>
      <c r="E752" s="14" t="n"/>
      <c r="F752" s="14" t="n"/>
      <c r="G752" s="14" t="n"/>
      <c r="H752" s="15" t="n"/>
      <c r="I752" s="24">
        <f>IF($A752="","",IF($B752="","YETİM",IF(COUNTIF(tblKartlar[KartId],$B752)=0,"YETİM","")))</f>
        <v/>
      </c>
      <c r="J752" s="24">
        <f>IF(OR($A752="",$C752=""),"",IF(OR($C752&amp;"|"&amp;$D752="",COUNTIF(ListeIzinliGecis,$C752&amp;"|"&amp;$D752)&gt;0),"","GEÇERSİZ GEÇİŞ"))</f>
        <v/>
      </c>
      <c r="K752" s="24">
        <f>IF($A752="","",IF(OR($E752="",$G752=""),"",IF(ABS($G752-$E752)&gt;zincirTolerans,"ZİNCİR KIRIK","OK")))</f>
        <v/>
      </c>
      <c r="L752" s="24">
        <f>IF($A752="","",1)</f>
        <v/>
      </c>
    </row>
    <row r="753">
      <c r="A753" s="12" t="n"/>
      <c r="B753" s="12" t="n"/>
      <c r="C753" s="12" t="n"/>
      <c r="D753" s="12" t="n"/>
      <c r="E753" s="14" t="n"/>
      <c r="F753" s="14" t="n"/>
      <c r="G753" s="14" t="n"/>
      <c r="H753" s="15" t="n"/>
      <c r="I753" s="24">
        <f>IF($A753="","",IF($B753="","YETİM",IF(COUNTIF(tblKartlar[KartId],$B753)=0,"YETİM","")))</f>
        <v/>
      </c>
      <c r="J753" s="24">
        <f>IF(OR($A753="",$C753=""),"",IF(OR($C753&amp;"|"&amp;$D753="",COUNTIF(ListeIzinliGecis,$C753&amp;"|"&amp;$D753)&gt;0),"","GEÇERSİZ GEÇİŞ"))</f>
        <v/>
      </c>
      <c r="K753" s="24">
        <f>IF($A753="","",IF(OR($E753="",$G753=""),"",IF(ABS($G753-$E753)&gt;zincirTolerans,"ZİNCİR KIRIK","OK")))</f>
        <v/>
      </c>
      <c r="L753" s="24">
        <f>IF($A753="","",1)</f>
        <v/>
      </c>
    </row>
    <row r="754">
      <c r="A754" s="12" t="n"/>
      <c r="B754" s="12" t="n"/>
      <c r="C754" s="12" t="n"/>
      <c r="D754" s="12" t="n"/>
      <c r="E754" s="14" t="n"/>
      <c r="F754" s="14" t="n"/>
      <c r="G754" s="14" t="n"/>
      <c r="H754" s="15" t="n"/>
      <c r="I754" s="24">
        <f>IF($A754="","",IF($B754="","YETİM",IF(COUNTIF(tblKartlar[KartId],$B754)=0,"YETİM","")))</f>
        <v/>
      </c>
      <c r="J754" s="24">
        <f>IF(OR($A754="",$C754=""),"",IF(OR($C754&amp;"|"&amp;$D754="",COUNTIF(ListeIzinliGecis,$C754&amp;"|"&amp;$D754)&gt;0),"","GEÇERSİZ GEÇİŞ"))</f>
        <v/>
      </c>
      <c r="K754" s="24">
        <f>IF($A754="","",IF(OR($E754="",$G754=""),"",IF(ABS($G754-$E754)&gt;zincirTolerans,"ZİNCİR KIRIK","OK")))</f>
        <v/>
      </c>
      <c r="L754" s="24">
        <f>IF($A754="","",1)</f>
        <v/>
      </c>
    </row>
    <row r="755">
      <c r="A755" s="12" t="n"/>
      <c r="B755" s="12" t="n"/>
      <c r="C755" s="12" t="n"/>
      <c r="D755" s="12" t="n"/>
      <c r="E755" s="14" t="n"/>
      <c r="F755" s="14" t="n"/>
      <c r="G755" s="14" t="n"/>
      <c r="H755" s="15" t="n"/>
      <c r="I755" s="24">
        <f>IF($A755="","",IF($B755="","YETİM",IF(COUNTIF(tblKartlar[KartId],$B755)=0,"YETİM","")))</f>
        <v/>
      </c>
      <c r="J755" s="24">
        <f>IF(OR($A755="",$C755=""),"",IF(OR($C755&amp;"|"&amp;$D755="",COUNTIF(ListeIzinliGecis,$C755&amp;"|"&amp;$D755)&gt;0),"","GEÇERSİZ GEÇİŞ"))</f>
        <v/>
      </c>
      <c r="K755" s="24">
        <f>IF($A755="","",IF(OR($E755="",$G755=""),"",IF(ABS($G755-$E755)&gt;zincirTolerans,"ZİNCİR KIRIK","OK")))</f>
        <v/>
      </c>
      <c r="L755" s="24">
        <f>IF($A755="","",1)</f>
        <v/>
      </c>
    </row>
    <row r="756">
      <c r="A756" s="12" t="n"/>
      <c r="B756" s="12" t="n"/>
      <c r="C756" s="12" t="n"/>
      <c r="D756" s="12" t="n"/>
      <c r="E756" s="14" t="n"/>
      <c r="F756" s="14" t="n"/>
      <c r="G756" s="14" t="n"/>
      <c r="H756" s="15" t="n"/>
      <c r="I756" s="24">
        <f>IF($A756="","",IF($B756="","YETİM",IF(COUNTIF(tblKartlar[KartId],$B756)=0,"YETİM","")))</f>
        <v/>
      </c>
      <c r="J756" s="24">
        <f>IF(OR($A756="",$C756=""),"",IF(OR($C756&amp;"|"&amp;$D756="",COUNTIF(ListeIzinliGecis,$C756&amp;"|"&amp;$D756)&gt;0),"","GEÇERSİZ GEÇİŞ"))</f>
        <v/>
      </c>
      <c r="K756" s="24">
        <f>IF($A756="","",IF(OR($E756="",$G756=""),"",IF(ABS($G756-$E756)&gt;zincirTolerans,"ZİNCİR KIRIK","OK")))</f>
        <v/>
      </c>
      <c r="L756" s="24">
        <f>IF($A756="","",1)</f>
        <v/>
      </c>
    </row>
    <row r="757">
      <c r="A757" s="12" t="n"/>
      <c r="B757" s="12" t="n"/>
      <c r="C757" s="12" t="n"/>
      <c r="D757" s="12" t="n"/>
      <c r="E757" s="14" t="n"/>
      <c r="F757" s="14" t="n"/>
      <c r="G757" s="14" t="n"/>
      <c r="H757" s="15" t="n"/>
      <c r="I757" s="24">
        <f>IF($A757="","",IF($B757="","YETİM",IF(COUNTIF(tblKartlar[KartId],$B757)=0,"YETİM","")))</f>
        <v/>
      </c>
      <c r="J757" s="24">
        <f>IF(OR($A757="",$C757=""),"",IF(OR($C757&amp;"|"&amp;$D757="",COUNTIF(ListeIzinliGecis,$C757&amp;"|"&amp;$D757)&gt;0),"","GEÇERSİZ GEÇİŞ"))</f>
        <v/>
      </c>
      <c r="K757" s="24">
        <f>IF($A757="","",IF(OR($E757="",$G757=""),"",IF(ABS($G757-$E757)&gt;zincirTolerans,"ZİNCİR KIRIK","OK")))</f>
        <v/>
      </c>
      <c r="L757" s="24">
        <f>IF($A757="","",1)</f>
        <v/>
      </c>
    </row>
    <row r="758">
      <c r="A758" s="12" t="n"/>
      <c r="B758" s="12" t="n"/>
      <c r="C758" s="12" t="n"/>
      <c r="D758" s="12" t="n"/>
      <c r="E758" s="14" t="n"/>
      <c r="F758" s="14" t="n"/>
      <c r="G758" s="14" t="n"/>
      <c r="H758" s="15" t="n"/>
      <c r="I758" s="24">
        <f>IF($A758="","",IF($B758="","YETİM",IF(COUNTIF(tblKartlar[KartId],$B758)=0,"YETİM","")))</f>
        <v/>
      </c>
      <c r="J758" s="24">
        <f>IF(OR($A758="",$C758=""),"",IF(OR($C758&amp;"|"&amp;$D758="",COUNTIF(ListeIzinliGecis,$C758&amp;"|"&amp;$D758)&gt;0),"","GEÇERSİZ GEÇİŞ"))</f>
        <v/>
      </c>
      <c r="K758" s="24">
        <f>IF($A758="","",IF(OR($E758="",$G758=""),"",IF(ABS($G758-$E758)&gt;zincirTolerans,"ZİNCİR KIRIK","OK")))</f>
        <v/>
      </c>
      <c r="L758" s="24">
        <f>IF($A758="","",1)</f>
        <v/>
      </c>
    </row>
    <row r="759">
      <c r="A759" s="12" t="n"/>
      <c r="B759" s="12" t="n"/>
      <c r="C759" s="12" t="n"/>
      <c r="D759" s="12" t="n"/>
      <c r="E759" s="14" t="n"/>
      <c r="F759" s="14" t="n"/>
      <c r="G759" s="14" t="n"/>
      <c r="H759" s="15" t="n"/>
      <c r="I759" s="24">
        <f>IF($A759="","",IF($B759="","YETİM",IF(COUNTIF(tblKartlar[KartId],$B759)=0,"YETİM","")))</f>
        <v/>
      </c>
      <c r="J759" s="24">
        <f>IF(OR($A759="",$C759=""),"",IF(OR($C759&amp;"|"&amp;$D759="",COUNTIF(ListeIzinliGecis,$C759&amp;"|"&amp;$D759)&gt;0),"","GEÇERSİZ GEÇİŞ"))</f>
        <v/>
      </c>
      <c r="K759" s="24">
        <f>IF($A759="","",IF(OR($E759="",$G759=""),"",IF(ABS($G759-$E759)&gt;zincirTolerans,"ZİNCİR KIRIK","OK")))</f>
        <v/>
      </c>
      <c r="L759" s="24">
        <f>IF($A759="","",1)</f>
        <v/>
      </c>
    </row>
    <row r="760">
      <c r="A760" s="12" t="n"/>
      <c r="B760" s="12" t="n"/>
      <c r="C760" s="12" t="n"/>
      <c r="D760" s="12" t="n"/>
      <c r="E760" s="14" t="n"/>
      <c r="F760" s="14" t="n"/>
      <c r="G760" s="14" t="n"/>
      <c r="H760" s="15" t="n"/>
      <c r="I760" s="24">
        <f>IF($A760="","",IF($B760="","YETİM",IF(COUNTIF(tblKartlar[KartId],$B760)=0,"YETİM","")))</f>
        <v/>
      </c>
      <c r="J760" s="24">
        <f>IF(OR($A760="",$C760=""),"",IF(OR($C760&amp;"|"&amp;$D760="",COUNTIF(ListeIzinliGecis,$C760&amp;"|"&amp;$D760)&gt;0),"","GEÇERSİZ GEÇİŞ"))</f>
        <v/>
      </c>
      <c r="K760" s="24">
        <f>IF($A760="","",IF(OR($E760="",$G760=""),"",IF(ABS($G760-$E760)&gt;zincirTolerans,"ZİNCİR KIRIK","OK")))</f>
        <v/>
      </c>
      <c r="L760" s="24">
        <f>IF($A760="","",1)</f>
        <v/>
      </c>
    </row>
    <row r="761">
      <c r="A761" s="12" t="n"/>
      <c r="B761" s="12" t="n"/>
      <c r="C761" s="12" t="n"/>
      <c r="D761" s="12" t="n"/>
      <c r="E761" s="14" t="n"/>
      <c r="F761" s="14" t="n"/>
      <c r="G761" s="14" t="n"/>
      <c r="H761" s="15" t="n"/>
      <c r="I761" s="24">
        <f>IF($A761="","",IF($B761="","YETİM",IF(COUNTIF(tblKartlar[KartId],$B761)=0,"YETİM","")))</f>
        <v/>
      </c>
      <c r="J761" s="24">
        <f>IF(OR($A761="",$C761=""),"",IF(OR($C761&amp;"|"&amp;$D761="",COUNTIF(ListeIzinliGecis,$C761&amp;"|"&amp;$D761)&gt;0),"","GEÇERSİZ GEÇİŞ"))</f>
        <v/>
      </c>
      <c r="K761" s="24">
        <f>IF($A761="","",IF(OR($E761="",$G761=""),"",IF(ABS($G761-$E761)&gt;zincirTolerans,"ZİNCİR KIRIK","OK")))</f>
        <v/>
      </c>
      <c r="L761" s="24">
        <f>IF($A761="","",1)</f>
        <v/>
      </c>
    </row>
    <row r="762">
      <c r="A762" s="12" t="n"/>
      <c r="B762" s="12" t="n"/>
      <c r="C762" s="12" t="n"/>
      <c r="D762" s="12" t="n"/>
      <c r="E762" s="14" t="n"/>
      <c r="F762" s="14" t="n"/>
      <c r="G762" s="14" t="n"/>
      <c r="H762" s="15" t="n"/>
      <c r="I762" s="24">
        <f>IF($A762="","",IF($B762="","YETİM",IF(COUNTIF(tblKartlar[KartId],$B762)=0,"YETİM","")))</f>
        <v/>
      </c>
      <c r="J762" s="24">
        <f>IF(OR($A762="",$C762=""),"",IF(OR($C762&amp;"|"&amp;$D762="",COUNTIF(ListeIzinliGecis,$C762&amp;"|"&amp;$D762)&gt;0),"","GEÇERSİZ GEÇİŞ"))</f>
        <v/>
      </c>
      <c r="K762" s="24">
        <f>IF($A762="","",IF(OR($E762="",$G762=""),"",IF(ABS($G762-$E762)&gt;zincirTolerans,"ZİNCİR KIRIK","OK")))</f>
        <v/>
      </c>
      <c r="L762" s="24">
        <f>IF($A762="","",1)</f>
        <v/>
      </c>
    </row>
    <row r="763">
      <c r="A763" s="12" t="n"/>
      <c r="B763" s="12" t="n"/>
      <c r="C763" s="12" t="n"/>
      <c r="D763" s="12" t="n"/>
      <c r="E763" s="14" t="n"/>
      <c r="F763" s="14" t="n"/>
      <c r="G763" s="14" t="n"/>
      <c r="H763" s="15" t="n"/>
      <c r="I763" s="24">
        <f>IF($A763="","",IF($B763="","YETİM",IF(COUNTIF(tblKartlar[KartId],$B763)=0,"YETİM","")))</f>
        <v/>
      </c>
      <c r="J763" s="24">
        <f>IF(OR($A763="",$C763=""),"",IF(OR($C763&amp;"|"&amp;$D763="",COUNTIF(ListeIzinliGecis,$C763&amp;"|"&amp;$D763)&gt;0),"","GEÇERSİZ GEÇİŞ"))</f>
        <v/>
      </c>
      <c r="K763" s="24">
        <f>IF($A763="","",IF(OR($E763="",$G763=""),"",IF(ABS($G763-$E763)&gt;zincirTolerans,"ZİNCİR KIRIK","OK")))</f>
        <v/>
      </c>
      <c r="L763" s="24">
        <f>IF($A763="","",1)</f>
        <v/>
      </c>
    </row>
    <row r="764">
      <c r="A764" s="12" t="n"/>
      <c r="B764" s="12" t="n"/>
      <c r="C764" s="12" t="n"/>
      <c r="D764" s="12" t="n"/>
      <c r="E764" s="14" t="n"/>
      <c r="F764" s="14" t="n"/>
      <c r="G764" s="14" t="n"/>
      <c r="H764" s="15" t="n"/>
      <c r="I764" s="24">
        <f>IF($A764="","",IF($B764="","YETİM",IF(COUNTIF(tblKartlar[KartId],$B764)=0,"YETİM","")))</f>
        <v/>
      </c>
      <c r="J764" s="24">
        <f>IF(OR($A764="",$C764=""),"",IF(OR($C764&amp;"|"&amp;$D764="",COUNTIF(ListeIzinliGecis,$C764&amp;"|"&amp;$D764)&gt;0),"","GEÇERSİZ GEÇİŞ"))</f>
        <v/>
      </c>
      <c r="K764" s="24">
        <f>IF($A764="","",IF(OR($E764="",$G764=""),"",IF(ABS($G764-$E764)&gt;zincirTolerans,"ZİNCİR KIRIK","OK")))</f>
        <v/>
      </c>
      <c r="L764" s="24">
        <f>IF($A764="","",1)</f>
        <v/>
      </c>
    </row>
    <row r="765">
      <c r="A765" s="12" t="n"/>
      <c r="B765" s="12" t="n"/>
      <c r="C765" s="12" t="n"/>
      <c r="D765" s="12" t="n"/>
      <c r="E765" s="14" t="n"/>
      <c r="F765" s="14" t="n"/>
      <c r="G765" s="14" t="n"/>
      <c r="H765" s="15" t="n"/>
      <c r="I765" s="24">
        <f>IF($A765="","",IF($B765="","YETİM",IF(COUNTIF(tblKartlar[KartId],$B765)=0,"YETİM","")))</f>
        <v/>
      </c>
      <c r="J765" s="24">
        <f>IF(OR($A765="",$C765=""),"",IF(OR($C765&amp;"|"&amp;$D765="",COUNTIF(ListeIzinliGecis,$C765&amp;"|"&amp;$D765)&gt;0),"","GEÇERSİZ GEÇİŞ"))</f>
        <v/>
      </c>
      <c r="K765" s="24">
        <f>IF($A765="","",IF(OR($E765="",$G765=""),"",IF(ABS($G765-$E765)&gt;zincirTolerans,"ZİNCİR KIRIK","OK")))</f>
        <v/>
      </c>
      <c r="L765" s="24">
        <f>IF($A765="","",1)</f>
        <v/>
      </c>
    </row>
    <row r="766">
      <c r="A766" s="12" t="n"/>
      <c r="B766" s="12" t="n"/>
      <c r="C766" s="12" t="n"/>
      <c r="D766" s="12" t="n"/>
      <c r="E766" s="14" t="n"/>
      <c r="F766" s="14" t="n"/>
      <c r="G766" s="14" t="n"/>
      <c r="H766" s="15" t="n"/>
      <c r="I766" s="24">
        <f>IF($A766="","",IF($B766="","YETİM",IF(COUNTIF(tblKartlar[KartId],$B766)=0,"YETİM","")))</f>
        <v/>
      </c>
      <c r="J766" s="24">
        <f>IF(OR($A766="",$C766=""),"",IF(OR($C766&amp;"|"&amp;$D766="",COUNTIF(ListeIzinliGecis,$C766&amp;"|"&amp;$D766)&gt;0),"","GEÇERSİZ GEÇİŞ"))</f>
        <v/>
      </c>
      <c r="K766" s="24">
        <f>IF($A766="","",IF(OR($E766="",$G766=""),"",IF(ABS($G766-$E766)&gt;zincirTolerans,"ZİNCİR KIRIK","OK")))</f>
        <v/>
      </c>
      <c r="L766" s="24">
        <f>IF($A766="","",1)</f>
        <v/>
      </c>
    </row>
    <row r="767">
      <c r="A767" s="12" t="n"/>
      <c r="B767" s="12" t="n"/>
      <c r="C767" s="12" t="n"/>
      <c r="D767" s="12" t="n"/>
      <c r="E767" s="14" t="n"/>
      <c r="F767" s="14" t="n"/>
      <c r="G767" s="14" t="n"/>
      <c r="H767" s="15" t="n"/>
      <c r="I767" s="24">
        <f>IF($A767="","",IF($B767="","YETİM",IF(COUNTIF(tblKartlar[KartId],$B767)=0,"YETİM","")))</f>
        <v/>
      </c>
      <c r="J767" s="24">
        <f>IF(OR($A767="",$C767=""),"",IF(OR($C767&amp;"|"&amp;$D767="",COUNTIF(ListeIzinliGecis,$C767&amp;"|"&amp;$D767)&gt;0),"","GEÇERSİZ GEÇİŞ"))</f>
        <v/>
      </c>
      <c r="K767" s="24">
        <f>IF($A767="","",IF(OR($E767="",$G767=""),"",IF(ABS($G767-$E767)&gt;zincirTolerans,"ZİNCİR KIRIK","OK")))</f>
        <v/>
      </c>
      <c r="L767" s="24">
        <f>IF($A767="","",1)</f>
        <v/>
      </c>
    </row>
    <row r="768">
      <c r="A768" s="12" t="n"/>
      <c r="B768" s="12" t="n"/>
      <c r="C768" s="12" t="n"/>
      <c r="D768" s="12" t="n"/>
      <c r="E768" s="14" t="n"/>
      <c r="F768" s="14" t="n"/>
      <c r="G768" s="14" t="n"/>
      <c r="H768" s="15" t="n"/>
      <c r="I768" s="24">
        <f>IF($A768="","",IF($B768="","YETİM",IF(COUNTIF(tblKartlar[KartId],$B768)=0,"YETİM","")))</f>
        <v/>
      </c>
      <c r="J768" s="24">
        <f>IF(OR($A768="",$C768=""),"",IF(OR($C768&amp;"|"&amp;$D768="",COUNTIF(ListeIzinliGecis,$C768&amp;"|"&amp;$D768)&gt;0),"","GEÇERSİZ GEÇİŞ"))</f>
        <v/>
      </c>
      <c r="K768" s="24">
        <f>IF($A768="","",IF(OR($E768="",$G768=""),"",IF(ABS($G768-$E768)&gt;zincirTolerans,"ZİNCİR KIRIK","OK")))</f>
        <v/>
      </c>
      <c r="L768" s="24">
        <f>IF($A768="","",1)</f>
        <v/>
      </c>
    </row>
    <row r="769">
      <c r="A769" s="12" t="n"/>
      <c r="B769" s="12" t="n"/>
      <c r="C769" s="12" t="n"/>
      <c r="D769" s="12" t="n"/>
      <c r="E769" s="14" t="n"/>
      <c r="F769" s="14" t="n"/>
      <c r="G769" s="14" t="n"/>
      <c r="H769" s="15" t="n"/>
      <c r="I769" s="24">
        <f>IF($A769="","",IF($B769="","YETİM",IF(COUNTIF(tblKartlar[KartId],$B769)=0,"YETİM","")))</f>
        <v/>
      </c>
      <c r="J769" s="24">
        <f>IF(OR($A769="",$C769=""),"",IF(OR($C769&amp;"|"&amp;$D769="",COUNTIF(ListeIzinliGecis,$C769&amp;"|"&amp;$D769)&gt;0),"","GEÇERSİZ GEÇİŞ"))</f>
        <v/>
      </c>
      <c r="K769" s="24">
        <f>IF($A769="","",IF(OR($E769="",$G769=""),"",IF(ABS($G769-$E769)&gt;zincirTolerans,"ZİNCİR KIRIK","OK")))</f>
        <v/>
      </c>
      <c r="L769" s="24">
        <f>IF($A769="","",1)</f>
        <v/>
      </c>
    </row>
    <row r="770">
      <c r="A770" s="12" t="n"/>
      <c r="B770" s="12" t="n"/>
      <c r="C770" s="12" t="n"/>
      <c r="D770" s="12" t="n"/>
      <c r="E770" s="14" t="n"/>
      <c r="F770" s="14" t="n"/>
      <c r="G770" s="14" t="n"/>
      <c r="H770" s="15" t="n"/>
      <c r="I770" s="24">
        <f>IF($A770="","",IF($B770="","YETİM",IF(COUNTIF(tblKartlar[KartId],$B770)=0,"YETİM","")))</f>
        <v/>
      </c>
      <c r="J770" s="24">
        <f>IF(OR($A770="",$C770=""),"",IF(OR($C770&amp;"|"&amp;$D770="",COUNTIF(ListeIzinliGecis,$C770&amp;"|"&amp;$D770)&gt;0),"","GEÇERSİZ GEÇİŞ"))</f>
        <v/>
      </c>
      <c r="K770" s="24">
        <f>IF($A770="","",IF(OR($E770="",$G770=""),"",IF(ABS($G770-$E770)&gt;zincirTolerans,"ZİNCİR KIRIK","OK")))</f>
        <v/>
      </c>
      <c r="L770" s="24">
        <f>IF($A770="","",1)</f>
        <v/>
      </c>
    </row>
    <row r="771">
      <c r="A771" s="12" t="n"/>
      <c r="B771" s="12" t="n"/>
      <c r="C771" s="12" t="n"/>
      <c r="D771" s="12" t="n"/>
      <c r="E771" s="14" t="n"/>
      <c r="F771" s="14" t="n"/>
      <c r="G771" s="14" t="n"/>
      <c r="H771" s="15" t="n"/>
      <c r="I771" s="24">
        <f>IF($A771="","",IF($B771="","YETİM",IF(COUNTIF(tblKartlar[KartId],$B771)=0,"YETİM","")))</f>
        <v/>
      </c>
      <c r="J771" s="24">
        <f>IF(OR($A771="",$C771=""),"",IF(OR($C771&amp;"|"&amp;$D771="",COUNTIF(ListeIzinliGecis,$C771&amp;"|"&amp;$D771)&gt;0),"","GEÇERSİZ GEÇİŞ"))</f>
        <v/>
      </c>
      <c r="K771" s="24">
        <f>IF($A771="","",IF(OR($E771="",$G771=""),"",IF(ABS($G771-$E771)&gt;zincirTolerans,"ZİNCİR KIRIK","OK")))</f>
        <v/>
      </c>
      <c r="L771" s="24">
        <f>IF($A771="","",1)</f>
        <v/>
      </c>
    </row>
    <row r="772">
      <c r="A772" s="12" t="n"/>
      <c r="B772" s="12" t="n"/>
      <c r="C772" s="12" t="n"/>
      <c r="D772" s="12" t="n"/>
      <c r="E772" s="14" t="n"/>
      <c r="F772" s="14" t="n"/>
      <c r="G772" s="14" t="n"/>
      <c r="H772" s="15" t="n"/>
      <c r="I772" s="24">
        <f>IF($A772="","",IF($B772="","YETİM",IF(COUNTIF(tblKartlar[KartId],$B772)=0,"YETİM","")))</f>
        <v/>
      </c>
      <c r="J772" s="24">
        <f>IF(OR($A772="",$C772=""),"",IF(OR($C772&amp;"|"&amp;$D772="",COUNTIF(ListeIzinliGecis,$C772&amp;"|"&amp;$D772)&gt;0),"","GEÇERSİZ GEÇİŞ"))</f>
        <v/>
      </c>
      <c r="K772" s="24">
        <f>IF($A772="","",IF(OR($E772="",$G772=""),"",IF(ABS($G772-$E772)&gt;zincirTolerans,"ZİNCİR KIRIK","OK")))</f>
        <v/>
      </c>
      <c r="L772" s="24">
        <f>IF($A772="","",1)</f>
        <v/>
      </c>
    </row>
    <row r="773">
      <c r="A773" s="12" t="n"/>
      <c r="B773" s="12" t="n"/>
      <c r="C773" s="12" t="n"/>
      <c r="D773" s="12" t="n"/>
      <c r="E773" s="14" t="n"/>
      <c r="F773" s="14" t="n"/>
      <c r="G773" s="14" t="n"/>
      <c r="H773" s="15" t="n"/>
      <c r="I773" s="24">
        <f>IF($A773="","",IF($B773="","YETİM",IF(COUNTIF(tblKartlar[KartId],$B773)=0,"YETİM","")))</f>
        <v/>
      </c>
      <c r="J773" s="24">
        <f>IF(OR($A773="",$C773=""),"",IF(OR($C773&amp;"|"&amp;$D773="",COUNTIF(ListeIzinliGecis,$C773&amp;"|"&amp;$D773)&gt;0),"","GEÇERSİZ GEÇİŞ"))</f>
        <v/>
      </c>
      <c r="K773" s="24">
        <f>IF($A773="","",IF(OR($E773="",$G773=""),"",IF(ABS($G773-$E773)&gt;zincirTolerans,"ZİNCİR KIRIK","OK")))</f>
        <v/>
      </c>
      <c r="L773" s="24">
        <f>IF($A773="","",1)</f>
        <v/>
      </c>
    </row>
    <row r="774">
      <c r="A774" s="12" t="n"/>
      <c r="B774" s="12" t="n"/>
      <c r="C774" s="12" t="n"/>
      <c r="D774" s="12" t="n"/>
      <c r="E774" s="14" t="n"/>
      <c r="F774" s="14" t="n"/>
      <c r="G774" s="14" t="n"/>
      <c r="H774" s="15" t="n"/>
      <c r="I774" s="24">
        <f>IF($A774="","",IF($B774="","YETİM",IF(COUNTIF(tblKartlar[KartId],$B774)=0,"YETİM","")))</f>
        <v/>
      </c>
      <c r="J774" s="24">
        <f>IF(OR($A774="",$C774=""),"",IF(OR($C774&amp;"|"&amp;$D774="",COUNTIF(ListeIzinliGecis,$C774&amp;"|"&amp;$D774)&gt;0),"","GEÇERSİZ GEÇİŞ"))</f>
        <v/>
      </c>
      <c r="K774" s="24">
        <f>IF($A774="","",IF(OR($E774="",$G774=""),"",IF(ABS($G774-$E774)&gt;zincirTolerans,"ZİNCİR KIRIK","OK")))</f>
        <v/>
      </c>
      <c r="L774" s="24">
        <f>IF($A774="","",1)</f>
        <v/>
      </c>
    </row>
    <row r="775">
      <c r="A775" s="12" t="n"/>
      <c r="B775" s="12" t="n"/>
      <c r="C775" s="12" t="n"/>
      <c r="D775" s="12" t="n"/>
      <c r="E775" s="14" t="n"/>
      <c r="F775" s="14" t="n"/>
      <c r="G775" s="14" t="n"/>
      <c r="H775" s="15" t="n"/>
      <c r="I775" s="24">
        <f>IF($A775="","",IF($B775="","YETİM",IF(COUNTIF(tblKartlar[KartId],$B775)=0,"YETİM","")))</f>
        <v/>
      </c>
      <c r="J775" s="24">
        <f>IF(OR($A775="",$C775=""),"",IF(OR($C775&amp;"|"&amp;$D775="",COUNTIF(ListeIzinliGecis,$C775&amp;"|"&amp;$D775)&gt;0),"","GEÇERSİZ GEÇİŞ"))</f>
        <v/>
      </c>
      <c r="K775" s="24">
        <f>IF($A775="","",IF(OR($E775="",$G775=""),"",IF(ABS($G775-$E775)&gt;zincirTolerans,"ZİNCİR KIRIK","OK")))</f>
        <v/>
      </c>
      <c r="L775" s="24">
        <f>IF($A775="","",1)</f>
        <v/>
      </c>
    </row>
    <row r="776">
      <c r="A776" s="12" t="n"/>
      <c r="B776" s="12" t="n"/>
      <c r="C776" s="12" t="n"/>
      <c r="D776" s="12" t="n"/>
      <c r="E776" s="14" t="n"/>
      <c r="F776" s="14" t="n"/>
      <c r="G776" s="14" t="n"/>
      <c r="H776" s="15" t="n"/>
      <c r="I776" s="24">
        <f>IF($A776="","",IF($B776="","YETİM",IF(COUNTIF(tblKartlar[KartId],$B776)=0,"YETİM","")))</f>
        <v/>
      </c>
      <c r="J776" s="24">
        <f>IF(OR($A776="",$C776=""),"",IF(OR($C776&amp;"|"&amp;$D776="",COUNTIF(ListeIzinliGecis,$C776&amp;"|"&amp;$D776)&gt;0),"","GEÇERSİZ GEÇİŞ"))</f>
        <v/>
      </c>
      <c r="K776" s="24">
        <f>IF($A776="","",IF(OR($E776="",$G776=""),"",IF(ABS($G776-$E776)&gt;zincirTolerans,"ZİNCİR KIRIK","OK")))</f>
        <v/>
      </c>
      <c r="L776" s="24">
        <f>IF($A776="","",1)</f>
        <v/>
      </c>
    </row>
    <row r="777">
      <c r="A777" s="12" t="n"/>
      <c r="B777" s="12" t="n"/>
      <c r="C777" s="12" t="n"/>
      <c r="D777" s="12" t="n"/>
      <c r="E777" s="14" t="n"/>
      <c r="F777" s="14" t="n"/>
      <c r="G777" s="14" t="n"/>
      <c r="H777" s="15" t="n"/>
      <c r="I777" s="24">
        <f>IF($A777="","",IF($B777="","YETİM",IF(COUNTIF(tblKartlar[KartId],$B777)=0,"YETİM","")))</f>
        <v/>
      </c>
      <c r="J777" s="24">
        <f>IF(OR($A777="",$C777=""),"",IF(OR($C777&amp;"|"&amp;$D777="",COUNTIF(ListeIzinliGecis,$C777&amp;"|"&amp;$D777)&gt;0),"","GEÇERSİZ GEÇİŞ"))</f>
        <v/>
      </c>
      <c r="K777" s="24">
        <f>IF($A777="","",IF(OR($E777="",$G777=""),"",IF(ABS($G777-$E777)&gt;zincirTolerans,"ZİNCİR KIRIK","OK")))</f>
        <v/>
      </c>
      <c r="L777" s="24">
        <f>IF($A777="","",1)</f>
        <v/>
      </c>
    </row>
    <row r="778">
      <c r="A778" s="12" t="n"/>
      <c r="B778" s="12" t="n"/>
      <c r="C778" s="12" t="n"/>
      <c r="D778" s="12" t="n"/>
      <c r="E778" s="14" t="n"/>
      <c r="F778" s="14" t="n"/>
      <c r="G778" s="14" t="n"/>
      <c r="H778" s="15" t="n"/>
      <c r="I778" s="24">
        <f>IF($A778="","",IF($B778="","YETİM",IF(COUNTIF(tblKartlar[KartId],$B778)=0,"YETİM","")))</f>
        <v/>
      </c>
      <c r="J778" s="24">
        <f>IF(OR($A778="",$C778=""),"",IF(OR($C778&amp;"|"&amp;$D778="",COUNTIF(ListeIzinliGecis,$C778&amp;"|"&amp;$D778)&gt;0),"","GEÇERSİZ GEÇİŞ"))</f>
        <v/>
      </c>
      <c r="K778" s="24">
        <f>IF($A778="","",IF(OR($E778="",$G778=""),"",IF(ABS($G778-$E778)&gt;zincirTolerans,"ZİNCİR KIRIK","OK")))</f>
        <v/>
      </c>
      <c r="L778" s="24">
        <f>IF($A778="","",1)</f>
        <v/>
      </c>
    </row>
    <row r="779">
      <c r="A779" s="12" t="n"/>
      <c r="B779" s="12" t="n"/>
      <c r="C779" s="12" t="n"/>
      <c r="D779" s="12" t="n"/>
      <c r="E779" s="14" t="n"/>
      <c r="F779" s="14" t="n"/>
      <c r="G779" s="14" t="n"/>
      <c r="H779" s="15" t="n"/>
      <c r="I779" s="24">
        <f>IF($A779="","",IF($B779="","YETİM",IF(COUNTIF(tblKartlar[KartId],$B779)=0,"YETİM","")))</f>
        <v/>
      </c>
      <c r="J779" s="24">
        <f>IF(OR($A779="",$C779=""),"",IF(OR($C779&amp;"|"&amp;$D779="",COUNTIF(ListeIzinliGecis,$C779&amp;"|"&amp;$D779)&gt;0),"","GEÇERSİZ GEÇİŞ"))</f>
        <v/>
      </c>
      <c r="K779" s="24">
        <f>IF($A779="","",IF(OR($E779="",$G779=""),"",IF(ABS($G779-$E779)&gt;zincirTolerans,"ZİNCİR KIRIK","OK")))</f>
        <v/>
      </c>
      <c r="L779" s="24">
        <f>IF($A779="","",1)</f>
        <v/>
      </c>
    </row>
    <row r="780">
      <c r="A780" s="12" t="n"/>
      <c r="B780" s="12" t="n"/>
      <c r="C780" s="12" t="n"/>
      <c r="D780" s="12" t="n"/>
      <c r="E780" s="14" t="n"/>
      <c r="F780" s="14" t="n"/>
      <c r="G780" s="14" t="n"/>
      <c r="H780" s="15" t="n"/>
      <c r="I780" s="24">
        <f>IF($A780="","",IF($B780="","YETİM",IF(COUNTIF(tblKartlar[KartId],$B780)=0,"YETİM","")))</f>
        <v/>
      </c>
      <c r="J780" s="24">
        <f>IF(OR($A780="",$C780=""),"",IF(OR($C780&amp;"|"&amp;$D780="",COUNTIF(ListeIzinliGecis,$C780&amp;"|"&amp;$D780)&gt;0),"","GEÇERSİZ GEÇİŞ"))</f>
        <v/>
      </c>
      <c r="K780" s="24">
        <f>IF($A780="","",IF(OR($E780="",$G780=""),"",IF(ABS($G780-$E780)&gt;zincirTolerans,"ZİNCİR KIRIK","OK")))</f>
        <v/>
      </c>
      <c r="L780" s="24">
        <f>IF($A780="","",1)</f>
        <v/>
      </c>
    </row>
    <row r="781">
      <c r="A781" s="12" t="n"/>
      <c r="B781" s="12" t="n"/>
      <c r="C781" s="12" t="n"/>
      <c r="D781" s="12" t="n"/>
      <c r="E781" s="14" t="n"/>
      <c r="F781" s="14" t="n"/>
      <c r="G781" s="14" t="n"/>
      <c r="H781" s="15" t="n"/>
      <c r="I781" s="24">
        <f>IF($A781="","",IF($B781="","YETİM",IF(COUNTIF(tblKartlar[KartId],$B781)=0,"YETİM","")))</f>
        <v/>
      </c>
      <c r="J781" s="24">
        <f>IF(OR($A781="",$C781=""),"",IF(OR($C781&amp;"|"&amp;$D781="",COUNTIF(ListeIzinliGecis,$C781&amp;"|"&amp;$D781)&gt;0),"","GEÇERSİZ GEÇİŞ"))</f>
        <v/>
      </c>
      <c r="K781" s="24">
        <f>IF($A781="","",IF(OR($E781="",$G781=""),"",IF(ABS($G781-$E781)&gt;zincirTolerans,"ZİNCİR KIRIK","OK")))</f>
        <v/>
      </c>
      <c r="L781" s="24">
        <f>IF($A781="","",1)</f>
        <v/>
      </c>
    </row>
    <row r="782">
      <c r="A782" s="12" t="n"/>
      <c r="B782" s="12" t="n"/>
      <c r="C782" s="12" t="n"/>
      <c r="D782" s="12" t="n"/>
      <c r="E782" s="14" t="n"/>
      <c r="F782" s="14" t="n"/>
      <c r="G782" s="14" t="n"/>
      <c r="H782" s="15" t="n"/>
      <c r="I782" s="24">
        <f>IF($A782="","",IF($B782="","YETİM",IF(COUNTIF(tblKartlar[KartId],$B782)=0,"YETİM","")))</f>
        <v/>
      </c>
      <c r="J782" s="24">
        <f>IF(OR($A782="",$C782=""),"",IF(OR($C782&amp;"|"&amp;$D782="",COUNTIF(ListeIzinliGecis,$C782&amp;"|"&amp;$D782)&gt;0),"","GEÇERSİZ GEÇİŞ"))</f>
        <v/>
      </c>
      <c r="K782" s="24">
        <f>IF($A782="","",IF(OR($E782="",$G782=""),"",IF(ABS($G782-$E782)&gt;zincirTolerans,"ZİNCİR KIRIK","OK")))</f>
        <v/>
      </c>
      <c r="L782" s="24">
        <f>IF($A782="","",1)</f>
        <v/>
      </c>
    </row>
    <row r="783">
      <c r="A783" s="12" t="n"/>
      <c r="B783" s="12" t="n"/>
      <c r="C783" s="12" t="n"/>
      <c r="D783" s="12" t="n"/>
      <c r="E783" s="14" t="n"/>
      <c r="F783" s="14" t="n"/>
      <c r="G783" s="14" t="n"/>
      <c r="H783" s="15" t="n"/>
      <c r="I783" s="24">
        <f>IF($A783="","",IF($B783="","YETİM",IF(COUNTIF(tblKartlar[KartId],$B783)=0,"YETİM","")))</f>
        <v/>
      </c>
      <c r="J783" s="24">
        <f>IF(OR($A783="",$C783=""),"",IF(OR($C783&amp;"|"&amp;$D783="",COUNTIF(ListeIzinliGecis,$C783&amp;"|"&amp;$D783)&gt;0),"","GEÇERSİZ GEÇİŞ"))</f>
        <v/>
      </c>
      <c r="K783" s="24">
        <f>IF($A783="","",IF(OR($E783="",$G783=""),"",IF(ABS($G783-$E783)&gt;zincirTolerans,"ZİNCİR KIRIK","OK")))</f>
        <v/>
      </c>
      <c r="L783" s="24">
        <f>IF($A783="","",1)</f>
        <v/>
      </c>
    </row>
    <row r="784">
      <c r="A784" s="12" t="n"/>
      <c r="B784" s="12" t="n"/>
      <c r="C784" s="12" t="n"/>
      <c r="D784" s="12" t="n"/>
      <c r="E784" s="14" t="n"/>
      <c r="F784" s="14" t="n"/>
      <c r="G784" s="14" t="n"/>
      <c r="H784" s="15" t="n"/>
      <c r="I784" s="24">
        <f>IF($A784="","",IF($B784="","YETİM",IF(COUNTIF(tblKartlar[KartId],$B784)=0,"YETİM","")))</f>
        <v/>
      </c>
      <c r="J784" s="24">
        <f>IF(OR($A784="",$C784=""),"",IF(OR($C784&amp;"|"&amp;$D784="",COUNTIF(ListeIzinliGecis,$C784&amp;"|"&amp;$D784)&gt;0),"","GEÇERSİZ GEÇİŞ"))</f>
        <v/>
      </c>
      <c r="K784" s="24">
        <f>IF($A784="","",IF(OR($E784="",$G784=""),"",IF(ABS($G784-$E784)&gt;zincirTolerans,"ZİNCİR KIRIK","OK")))</f>
        <v/>
      </c>
      <c r="L784" s="24">
        <f>IF($A784="","",1)</f>
        <v/>
      </c>
    </row>
    <row r="785">
      <c r="A785" s="12" t="n"/>
      <c r="B785" s="12" t="n"/>
      <c r="C785" s="12" t="n"/>
      <c r="D785" s="12" t="n"/>
      <c r="E785" s="14" t="n"/>
      <c r="F785" s="14" t="n"/>
      <c r="G785" s="14" t="n"/>
      <c r="H785" s="15" t="n"/>
      <c r="I785" s="24">
        <f>IF($A785="","",IF($B785="","YETİM",IF(COUNTIF(tblKartlar[KartId],$B785)=0,"YETİM","")))</f>
        <v/>
      </c>
      <c r="J785" s="24">
        <f>IF(OR($A785="",$C785=""),"",IF(OR($C785&amp;"|"&amp;$D785="",COUNTIF(ListeIzinliGecis,$C785&amp;"|"&amp;$D785)&gt;0),"","GEÇERSİZ GEÇİŞ"))</f>
        <v/>
      </c>
      <c r="K785" s="24">
        <f>IF($A785="","",IF(OR($E785="",$G785=""),"",IF(ABS($G785-$E785)&gt;zincirTolerans,"ZİNCİR KIRIK","OK")))</f>
        <v/>
      </c>
      <c r="L785" s="24">
        <f>IF($A785="","",1)</f>
        <v/>
      </c>
    </row>
    <row r="786">
      <c r="A786" s="12" t="n"/>
      <c r="B786" s="12" t="n"/>
      <c r="C786" s="12" t="n"/>
      <c r="D786" s="12" t="n"/>
      <c r="E786" s="14" t="n"/>
      <c r="F786" s="14" t="n"/>
      <c r="G786" s="14" t="n"/>
      <c r="H786" s="15" t="n"/>
      <c r="I786" s="24">
        <f>IF($A786="","",IF($B786="","YETİM",IF(COUNTIF(tblKartlar[KartId],$B786)=0,"YETİM","")))</f>
        <v/>
      </c>
      <c r="J786" s="24">
        <f>IF(OR($A786="",$C786=""),"",IF(OR($C786&amp;"|"&amp;$D786="",COUNTIF(ListeIzinliGecis,$C786&amp;"|"&amp;$D786)&gt;0),"","GEÇERSİZ GEÇİŞ"))</f>
        <v/>
      </c>
      <c r="K786" s="24">
        <f>IF($A786="","",IF(OR($E786="",$G786=""),"",IF(ABS($G786-$E786)&gt;zincirTolerans,"ZİNCİR KIRIK","OK")))</f>
        <v/>
      </c>
      <c r="L786" s="24">
        <f>IF($A786="","",1)</f>
        <v/>
      </c>
    </row>
    <row r="787">
      <c r="A787" s="12" t="n"/>
      <c r="B787" s="12" t="n"/>
      <c r="C787" s="12" t="n"/>
      <c r="D787" s="12" t="n"/>
      <c r="E787" s="14" t="n"/>
      <c r="F787" s="14" t="n"/>
      <c r="G787" s="14" t="n"/>
      <c r="H787" s="15" t="n"/>
      <c r="I787" s="24">
        <f>IF($A787="","",IF($B787="","YETİM",IF(COUNTIF(tblKartlar[KartId],$B787)=0,"YETİM","")))</f>
        <v/>
      </c>
      <c r="J787" s="24">
        <f>IF(OR($A787="",$C787=""),"",IF(OR($C787&amp;"|"&amp;$D787="",COUNTIF(ListeIzinliGecis,$C787&amp;"|"&amp;$D787)&gt;0),"","GEÇERSİZ GEÇİŞ"))</f>
        <v/>
      </c>
      <c r="K787" s="24">
        <f>IF($A787="","",IF(OR($E787="",$G787=""),"",IF(ABS($G787-$E787)&gt;zincirTolerans,"ZİNCİR KIRIK","OK")))</f>
        <v/>
      </c>
      <c r="L787" s="24">
        <f>IF($A787="","",1)</f>
        <v/>
      </c>
    </row>
    <row r="788">
      <c r="A788" s="12" t="n"/>
      <c r="B788" s="12" t="n"/>
      <c r="C788" s="12" t="n"/>
      <c r="D788" s="12" t="n"/>
      <c r="E788" s="14" t="n"/>
      <c r="F788" s="14" t="n"/>
      <c r="G788" s="14" t="n"/>
      <c r="H788" s="15" t="n"/>
      <c r="I788" s="24">
        <f>IF($A788="","",IF($B788="","YETİM",IF(COUNTIF(tblKartlar[KartId],$B788)=0,"YETİM","")))</f>
        <v/>
      </c>
      <c r="J788" s="24">
        <f>IF(OR($A788="",$C788=""),"",IF(OR($C788&amp;"|"&amp;$D788="",COUNTIF(ListeIzinliGecis,$C788&amp;"|"&amp;$D788)&gt;0),"","GEÇERSİZ GEÇİŞ"))</f>
        <v/>
      </c>
      <c r="K788" s="24">
        <f>IF($A788="","",IF(OR($E788="",$G788=""),"",IF(ABS($G788-$E788)&gt;zincirTolerans,"ZİNCİR KIRIK","OK")))</f>
        <v/>
      </c>
      <c r="L788" s="24">
        <f>IF($A788="","",1)</f>
        <v/>
      </c>
    </row>
    <row r="789">
      <c r="A789" s="12" t="n"/>
      <c r="B789" s="12" t="n"/>
      <c r="C789" s="12" t="n"/>
      <c r="D789" s="12" t="n"/>
      <c r="E789" s="14" t="n"/>
      <c r="F789" s="14" t="n"/>
      <c r="G789" s="14" t="n"/>
      <c r="H789" s="15" t="n"/>
      <c r="I789" s="24">
        <f>IF($A789="","",IF($B789="","YETİM",IF(COUNTIF(tblKartlar[KartId],$B789)=0,"YETİM","")))</f>
        <v/>
      </c>
      <c r="J789" s="24">
        <f>IF(OR($A789="",$C789=""),"",IF(OR($C789&amp;"|"&amp;$D789="",COUNTIF(ListeIzinliGecis,$C789&amp;"|"&amp;$D789)&gt;0),"","GEÇERSİZ GEÇİŞ"))</f>
        <v/>
      </c>
      <c r="K789" s="24">
        <f>IF($A789="","",IF(OR($E789="",$G789=""),"",IF(ABS($G789-$E789)&gt;zincirTolerans,"ZİNCİR KIRIK","OK")))</f>
        <v/>
      </c>
      <c r="L789" s="24">
        <f>IF($A789="","",1)</f>
        <v/>
      </c>
    </row>
    <row r="790">
      <c r="A790" s="12" t="n"/>
      <c r="B790" s="12" t="n"/>
      <c r="C790" s="12" t="n"/>
      <c r="D790" s="12" t="n"/>
      <c r="E790" s="14" t="n"/>
      <c r="F790" s="14" t="n"/>
      <c r="G790" s="14" t="n"/>
      <c r="H790" s="15" t="n"/>
      <c r="I790" s="24">
        <f>IF($A790="","",IF($B790="","YETİM",IF(COUNTIF(tblKartlar[KartId],$B790)=0,"YETİM","")))</f>
        <v/>
      </c>
      <c r="J790" s="24">
        <f>IF(OR($A790="",$C790=""),"",IF(OR($C790&amp;"|"&amp;$D790="",COUNTIF(ListeIzinliGecis,$C790&amp;"|"&amp;$D790)&gt;0),"","GEÇERSİZ GEÇİŞ"))</f>
        <v/>
      </c>
      <c r="K790" s="24">
        <f>IF($A790="","",IF(OR($E790="",$G790=""),"",IF(ABS($G790-$E790)&gt;zincirTolerans,"ZİNCİR KIRIK","OK")))</f>
        <v/>
      </c>
      <c r="L790" s="24">
        <f>IF($A790="","",1)</f>
        <v/>
      </c>
    </row>
    <row r="791">
      <c r="A791" s="12" t="n"/>
      <c r="B791" s="12" t="n"/>
      <c r="C791" s="12" t="n"/>
      <c r="D791" s="12" t="n"/>
      <c r="E791" s="14" t="n"/>
      <c r="F791" s="14" t="n"/>
      <c r="G791" s="14" t="n"/>
      <c r="H791" s="15" t="n"/>
      <c r="I791" s="24">
        <f>IF($A791="","",IF($B791="","YETİM",IF(COUNTIF(tblKartlar[KartId],$B791)=0,"YETİM","")))</f>
        <v/>
      </c>
      <c r="J791" s="24">
        <f>IF(OR($A791="",$C791=""),"",IF(OR($C791&amp;"|"&amp;$D791="",COUNTIF(ListeIzinliGecis,$C791&amp;"|"&amp;$D791)&gt;0),"","GEÇERSİZ GEÇİŞ"))</f>
        <v/>
      </c>
      <c r="K791" s="24">
        <f>IF($A791="","",IF(OR($E791="",$G791=""),"",IF(ABS($G791-$E791)&gt;zincirTolerans,"ZİNCİR KIRIK","OK")))</f>
        <v/>
      </c>
      <c r="L791" s="24">
        <f>IF($A791="","",1)</f>
        <v/>
      </c>
    </row>
    <row r="792">
      <c r="A792" s="12" t="n"/>
      <c r="B792" s="12" t="n"/>
      <c r="C792" s="12" t="n"/>
      <c r="D792" s="12" t="n"/>
      <c r="E792" s="14" t="n"/>
      <c r="F792" s="14" t="n"/>
      <c r="G792" s="14" t="n"/>
      <c r="H792" s="15" t="n"/>
      <c r="I792" s="24">
        <f>IF($A792="","",IF($B792="","YETİM",IF(COUNTIF(tblKartlar[KartId],$B792)=0,"YETİM","")))</f>
        <v/>
      </c>
      <c r="J792" s="24">
        <f>IF(OR($A792="",$C792=""),"",IF(OR($C792&amp;"|"&amp;$D792="",COUNTIF(ListeIzinliGecis,$C792&amp;"|"&amp;$D792)&gt;0),"","GEÇERSİZ GEÇİŞ"))</f>
        <v/>
      </c>
      <c r="K792" s="24">
        <f>IF($A792="","",IF(OR($E792="",$G792=""),"",IF(ABS($G792-$E792)&gt;zincirTolerans,"ZİNCİR KIRIK","OK")))</f>
        <v/>
      </c>
      <c r="L792" s="24">
        <f>IF($A792="","",1)</f>
        <v/>
      </c>
    </row>
    <row r="793">
      <c r="A793" s="12" t="n"/>
      <c r="B793" s="12" t="n"/>
      <c r="C793" s="12" t="n"/>
      <c r="D793" s="12" t="n"/>
      <c r="E793" s="14" t="n"/>
      <c r="F793" s="14" t="n"/>
      <c r="G793" s="14" t="n"/>
      <c r="H793" s="15" t="n"/>
      <c r="I793" s="24">
        <f>IF($A793="","",IF($B793="","YETİM",IF(COUNTIF(tblKartlar[KartId],$B793)=0,"YETİM","")))</f>
        <v/>
      </c>
      <c r="J793" s="24">
        <f>IF(OR($A793="",$C793=""),"",IF(OR($C793&amp;"|"&amp;$D793="",COUNTIF(ListeIzinliGecis,$C793&amp;"|"&amp;$D793)&gt;0),"","GEÇERSİZ GEÇİŞ"))</f>
        <v/>
      </c>
      <c r="K793" s="24">
        <f>IF($A793="","",IF(OR($E793="",$G793=""),"",IF(ABS($G793-$E793)&gt;zincirTolerans,"ZİNCİR KIRIK","OK")))</f>
        <v/>
      </c>
      <c r="L793" s="24">
        <f>IF($A793="","",1)</f>
        <v/>
      </c>
    </row>
    <row r="794">
      <c r="A794" s="12" t="n"/>
      <c r="B794" s="12" t="n"/>
      <c r="C794" s="12" t="n"/>
      <c r="D794" s="12" t="n"/>
      <c r="E794" s="14" t="n"/>
      <c r="F794" s="14" t="n"/>
      <c r="G794" s="14" t="n"/>
      <c r="H794" s="15" t="n"/>
      <c r="I794" s="24">
        <f>IF($A794="","",IF($B794="","YETİM",IF(COUNTIF(tblKartlar[KartId],$B794)=0,"YETİM","")))</f>
        <v/>
      </c>
      <c r="J794" s="24">
        <f>IF(OR($A794="",$C794=""),"",IF(OR($C794&amp;"|"&amp;$D794="",COUNTIF(ListeIzinliGecis,$C794&amp;"|"&amp;$D794)&gt;0),"","GEÇERSİZ GEÇİŞ"))</f>
        <v/>
      </c>
      <c r="K794" s="24">
        <f>IF($A794="","",IF(OR($E794="",$G794=""),"",IF(ABS($G794-$E794)&gt;zincirTolerans,"ZİNCİR KIRIK","OK")))</f>
        <v/>
      </c>
      <c r="L794" s="24">
        <f>IF($A794="","",1)</f>
        <v/>
      </c>
    </row>
    <row r="795">
      <c r="A795" s="12" t="n"/>
      <c r="B795" s="12" t="n"/>
      <c r="C795" s="12" t="n"/>
      <c r="D795" s="12" t="n"/>
      <c r="E795" s="14" t="n"/>
      <c r="F795" s="14" t="n"/>
      <c r="G795" s="14" t="n"/>
      <c r="H795" s="15" t="n"/>
      <c r="I795" s="24">
        <f>IF($A795="","",IF($B795="","YETİM",IF(COUNTIF(tblKartlar[KartId],$B795)=0,"YETİM","")))</f>
        <v/>
      </c>
      <c r="J795" s="24">
        <f>IF(OR($A795="",$C795=""),"",IF(OR($C795&amp;"|"&amp;$D795="",COUNTIF(ListeIzinliGecis,$C795&amp;"|"&amp;$D795)&gt;0),"","GEÇERSİZ GEÇİŞ"))</f>
        <v/>
      </c>
      <c r="K795" s="24">
        <f>IF($A795="","",IF(OR($E795="",$G795=""),"",IF(ABS($G795-$E795)&gt;zincirTolerans,"ZİNCİR KIRIK","OK")))</f>
        <v/>
      </c>
      <c r="L795" s="24">
        <f>IF($A795="","",1)</f>
        <v/>
      </c>
    </row>
    <row r="796">
      <c r="A796" s="12" t="n"/>
      <c r="B796" s="12" t="n"/>
      <c r="C796" s="12" t="n"/>
      <c r="D796" s="12" t="n"/>
      <c r="E796" s="14" t="n"/>
      <c r="F796" s="14" t="n"/>
      <c r="G796" s="14" t="n"/>
      <c r="H796" s="15" t="n"/>
      <c r="I796" s="24">
        <f>IF($A796="","",IF($B796="","YETİM",IF(COUNTIF(tblKartlar[KartId],$B796)=0,"YETİM","")))</f>
        <v/>
      </c>
      <c r="J796" s="24">
        <f>IF(OR($A796="",$C796=""),"",IF(OR($C796&amp;"|"&amp;$D796="",COUNTIF(ListeIzinliGecis,$C796&amp;"|"&amp;$D796)&gt;0),"","GEÇERSİZ GEÇİŞ"))</f>
        <v/>
      </c>
      <c r="K796" s="24">
        <f>IF($A796="","",IF(OR($E796="",$G796=""),"",IF(ABS($G796-$E796)&gt;zincirTolerans,"ZİNCİR KIRIK","OK")))</f>
        <v/>
      </c>
      <c r="L796" s="24">
        <f>IF($A796="","",1)</f>
        <v/>
      </c>
    </row>
    <row r="797">
      <c r="A797" s="12" t="n"/>
      <c r="B797" s="12" t="n"/>
      <c r="C797" s="12" t="n"/>
      <c r="D797" s="12" t="n"/>
      <c r="E797" s="14" t="n"/>
      <c r="F797" s="14" t="n"/>
      <c r="G797" s="14" t="n"/>
      <c r="H797" s="15" t="n"/>
      <c r="I797" s="24">
        <f>IF($A797="","",IF($B797="","YETİM",IF(COUNTIF(tblKartlar[KartId],$B797)=0,"YETİM","")))</f>
        <v/>
      </c>
      <c r="J797" s="24">
        <f>IF(OR($A797="",$C797=""),"",IF(OR($C797&amp;"|"&amp;$D797="",COUNTIF(ListeIzinliGecis,$C797&amp;"|"&amp;$D797)&gt;0),"","GEÇERSİZ GEÇİŞ"))</f>
        <v/>
      </c>
      <c r="K797" s="24">
        <f>IF($A797="","",IF(OR($E797="",$G797=""),"",IF(ABS($G797-$E797)&gt;zincirTolerans,"ZİNCİR KIRIK","OK")))</f>
        <v/>
      </c>
      <c r="L797" s="24">
        <f>IF($A797="","",1)</f>
        <v/>
      </c>
    </row>
    <row r="798">
      <c r="A798" s="12" t="n"/>
      <c r="B798" s="12" t="n"/>
      <c r="C798" s="12" t="n"/>
      <c r="D798" s="12" t="n"/>
      <c r="E798" s="14" t="n"/>
      <c r="F798" s="14" t="n"/>
      <c r="G798" s="14" t="n"/>
      <c r="H798" s="15" t="n"/>
      <c r="I798" s="24">
        <f>IF($A798="","",IF($B798="","YETİM",IF(COUNTIF(tblKartlar[KartId],$B798)=0,"YETİM","")))</f>
        <v/>
      </c>
      <c r="J798" s="24">
        <f>IF(OR($A798="",$C798=""),"",IF(OR($C798&amp;"|"&amp;$D798="",COUNTIF(ListeIzinliGecis,$C798&amp;"|"&amp;$D798)&gt;0),"","GEÇERSİZ GEÇİŞ"))</f>
        <v/>
      </c>
      <c r="K798" s="24">
        <f>IF($A798="","",IF(OR($E798="",$G798=""),"",IF(ABS($G798-$E798)&gt;zincirTolerans,"ZİNCİR KIRIK","OK")))</f>
        <v/>
      </c>
      <c r="L798" s="24">
        <f>IF($A798="","",1)</f>
        <v/>
      </c>
    </row>
    <row r="799">
      <c r="A799" s="12" t="n"/>
      <c r="B799" s="12" t="n"/>
      <c r="C799" s="12" t="n"/>
      <c r="D799" s="12" t="n"/>
      <c r="E799" s="14" t="n"/>
      <c r="F799" s="14" t="n"/>
      <c r="G799" s="14" t="n"/>
      <c r="H799" s="15" t="n"/>
      <c r="I799" s="24">
        <f>IF($A799="","",IF($B799="","YETİM",IF(COUNTIF(tblKartlar[KartId],$B799)=0,"YETİM","")))</f>
        <v/>
      </c>
      <c r="J799" s="24">
        <f>IF(OR($A799="",$C799=""),"",IF(OR($C799&amp;"|"&amp;$D799="",COUNTIF(ListeIzinliGecis,$C799&amp;"|"&amp;$D799)&gt;0),"","GEÇERSİZ GEÇİŞ"))</f>
        <v/>
      </c>
      <c r="K799" s="24">
        <f>IF($A799="","",IF(OR($E799="",$G799=""),"",IF(ABS($G799-$E799)&gt;zincirTolerans,"ZİNCİR KIRIK","OK")))</f>
        <v/>
      </c>
      <c r="L799" s="24">
        <f>IF($A799="","",1)</f>
        <v/>
      </c>
    </row>
    <row r="800">
      <c r="A800" s="12" t="n"/>
      <c r="B800" s="12" t="n"/>
      <c r="C800" s="12" t="n"/>
      <c r="D800" s="12" t="n"/>
      <c r="E800" s="14" t="n"/>
      <c r="F800" s="14" t="n"/>
      <c r="G800" s="14" t="n"/>
      <c r="H800" s="15" t="n"/>
      <c r="I800" s="24">
        <f>IF($A800="","",IF($B800="","YETİM",IF(COUNTIF(tblKartlar[KartId],$B800)=0,"YETİM","")))</f>
        <v/>
      </c>
      <c r="J800" s="24">
        <f>IF(OR($A800="",$C800=""),"",IF(OR($C800&amp;"|"&amp;$D800="",COUNTIF(ListeIzinliGecis,$C800&amp;"|"&amp;$D800)&gt;0),"","GEÇERSİZ GEÇİŞ"))</f>
        <v/>
      </c>
      <c r="K800" s="24">
        <f>IF($A800="","",IF(OR($E800="",$G800=""),"",IF(ABS($G800-$E800)&gt;zincirTolerans,"ZİNCİR KIRIK","OK")))</f>
        <v/>
      </c>
      <c r="L800" s="24">
        <f>IF($A800="","",1)</f>
        <v/>
      </c>
    </row>
    <row r="801">
      <c r="A801" s="12" t="n"/>
      <c r="B801" s="12" t="n"/>
      <c r="C801" s="12" t="n"/>
      <c r="D801" s="12" t="n"/>
      <c r="E801" s="14" t="n"/>
      <c r="F801" s="14" t="n"/>
      <c r="G801" s="14" t="n"/>
      <c r="H801" s="15" t="n"/>
      <c r="I801" s="24">
        <f>IF($A801="","",IF($B801="","YETİM",IF(COUNTIF(tblKartlar[KartId],$B801)=0,"YETİM","")))</f>
        <v/>
      </c>
      <c r="J801" s="24">
        <f>IF(OR($A801="",$C801=""),"",IF(OR($C801&amp;"|"&amp;$D801="",COUNTIF(ListeIzinliGecis,$C801&amp;"|"&amp;$D801)&gt;0),"","GEÇERSİZ GEÇİŞ"))</f>
        <v/>
      </c>
      <c r="K801" s="24">
        <f>IF($A801="","",IF(OR($E801="",$G801=""),"",IF(ABS($G801-$E801)&gt;zincirTolerans,"ZİNCİR KIRIK","OK")))</f>
        <v/>
      </c>
      <c r="L801" s="24">
        <f>IF($A801="","",1)</f>
        <v/>
      </c>
    </row>
    <row r="802">
      <c r="A802" s="12" t="n"/>
      <c r="B802" s="12" t="n"/>
      <c r="C802" s="12" t="n"/>
      <c r="D802" s="12" t="n"/>
      <c r="E802" s="14" t="n"/>
      <c r="F802" s="14" t="n"/>
      <c r="G802" s="14" t="n"/>
      <c r="H802" s="15" t="n"/>
      <c r="I802" s="24">
        <f>IF($A802="","",IF($B802="","YETİM",IF(COUNTIF(tblKartlar[KartId],$B802)=0,"YETİM","")))</f>
        <v/>
      </c>
      <c r="J802" s="24">
        <f>IF(OR($A802="",$C802=""),"",IF(OR($C802&amp;"|"&amp;$D802="",COUNTIF(ListeIzinliGecis,$C802&amp;"|"&amp;$D802)&gt;0),"","GEÇERSİZ GEÇİŞ"))</f>
        <v/>
      </c>
      <c r="K802" s="24">
        <f>IF($A802="","",IF(OR($E802="",$G802=""),"",IF(ABS($G802-$E802)&gt;zincirTolerans,"ZİNCİR KIRIK","OK")))</f>
        <v/>
      </c>
      <c r="L802" s="24">
        <f>IF($A802="","",1)</f>
        <v/>
      </c>
    </row>
    <row r="803">
      <c r="A803" s="12" t="n"/>
      <c r="B803" s="12" t="n"/>
      <c r="C803" s="12" t="n"/>
      <c r="D803" s="12" t="n"/>
      <c r="E803" s="14" t="n"/>
      <c r="F803" s="14" t="n"/>
      <c r="G803" s="14" t="n"/>
      <c r="H803" s="15" t="n"/>
      <c r="I803" s="24">
        <f>IF($A803="","",IF($B803="","YETİM",IF(COUNTIF(tblKartlar[KartId],$B803)=0,"YETİM","")))</f>
        <v/>
      </c>
      <c r="J803" s="24">
        <f>IF(OR($A803="",$C803=""),"",IF(OR($C803&amp;"|"&amp;$D803="",COUNTIF(ListeIzinliGecis,$C803&amp;"|"&amp;$D803)&gt;0),"","GEÇERSİZ GEÇİŞ"))</f>
        <v/>
      </c>
      <c r="K803" s="24">
        <f>IF($A803="","",IF(OR($E803="",$G803=""),"",IF(ABS($G803-$E803)&gt;zincirTolerans,"ZİNCİR KIRIK","OK")))</f>
        <v/>
      </c>
      <c r="L803" s="24">
        <f>IF($A803="","",1)</f>
        <v/>
      </c>
    </row>
    <row r="804">
      <c r="A804" s="12" t="n"/>
      <c r="B804" s="12" t="n"/>
      <c r="C804" s="12" t="n"/>
      <c r="D804" s="12" t="n"/>
      <c r="E804" s="14" t="n"/>
      <c r="F804" s="14" t="n"/>
      <c r="G804" s="14" t="n"/>
      <c r="H804" s="15" t="n"/>
      <c r="I804" s="24">
        <f>IF($A804="","",IF($B804="","YETİM",IF(COUNTIF(tblKartlar[KartId],$B804)=0,"YETİM","")))</f>
        <v/>
      </c>
      <c r="J804" s="24">
        <f>IF(OR($A804="",$C804=""),"",IF(OR($C804&amp;"|"&amp;$D804="",COUNTIF(ListeIzinliGecis,$C804&amp;"|"&amp;$D804)&gt;0),"","GEÇERSİZ GEÇİŞ"))</f>
        <v/>
      </c>
      <c r="K804" s="24">
        <f>IF($A804="","",IF(OR($E804="",$G804=""),"",IF(ABS($G804-$E804)&gt;zincirTolerans,"ZİNCİR KIRIK","OK")))</f>
        <v/>
      </c>
      <c r="L804" s="24">
        <f>IF($A804="","",1)</f>
        <v/>
      </c>
    </row>
    <row r="805">
      <c r="A805" s="12" t="n"/>
      <c r="B805" s="12" t="n"/>
      <c r="C805" s="12" t="n"/>
      <c r="D805" s="12" t="n"/>
      <c r="E805" s="14" t="n"/>
      <c r="F805" s="14" t="n"/>
      <c r="G805" s="14" t="n"/>
      <c r="H805" s="15" t="n"/>
      <c r="I805" s="24">
        <f>IF($A805="","",IF($B805="","YETİM",IF(COUNTIF(tblKartlar[KartId],$B805)=0,"YETİM","")))</f>
        <v/>
      </c>
      <c r="J805" s="24">
        <f>IF(OR($A805="",$C805=""),"",IF(OR($C805&amp;"|"&amp;$D805="",COUNTIF(ListeIzinliGecis,$C805&amp;"|"&amp;$D805)&gt;0),"","GEÇERSİZ GEÇİŞ"))</f>
        <v/>
      </c>
      <c r="K805" s="24">
        <f>IF($A805="","",IF(OR($E805="",$G805=""),"",IF(ABS($G805-$E805)&gt;zincirTolerans,"ZİNCİR KIRIK","OK")))</f>
        <v/>
      </c>
      <c r="L805" s="24">
        <f>IF($A805="","",1)</f>
        <v/>
      </c>
    </row>
    <row r="806">
      <c r="A806" s="12" t="n"/>
      <c r="B806" s="12" t="n"/>
      <c r="C806" s="12" t="n"/>
      <c r="D806" s="12" t="n"/>
      <c r="E806" s="14" t="n"/>
      <c r="F806" s="14" t="n"/>
      <c r="G806" s="14" t="n"/>
      <c r="H806" s="15" t="n"/>
      <c r="I806" s="24">
        <f>IF($A806="","",IF($B806="","YETİM",IF(COUNTIF(tblKartlar[KartId],$B806)=0,"YETİM","")))</f>
        <v/>
      </c>
      <c r="J806" s="24">
        <f>IF(OR($A806="",$C806=""),"",IF(OR($C806&amp;"|"&amp;$D806="",COUNTIF(ListeIzinliGecis,$C806&amp;"|"&amp;$D806)&gt;0),"","GEÇERSİZ GEÇİŞ"))</f>
        <v/>
      </c>
      <c r="K806" s="24">
        <f>IF($A806="","",IF(OR($E806="",$G806=""),"",IF(ABS($G806-$E806)&gt;zincirTolerans,"ZİNCİR KIRIK","OK")))</f>
        <v/>
      </c>
      <c r="L806" s="24">
        <f>IF($A806="","",1)</f>
        <v/>
      </c>
    </row>
    <row r="807">
      <c r="A807" s="12" t="n"/>
      <c r="B807" s="12" t="n"/>
      <c r="C807" s="12" t="n"/>
      <c r="D807" s="12" t="n"/>
      <c r="E807" s="14" t="n"/>
      <c r="F807" s="14" t="n"/>
      <c r="G807" s="14" t="n"/>
      <c r="H807" s="15" t="n"/>
      <c r="I807" s="24">
        <f>IF($A807="","",IF($B807="","YETİM",IF(COUNTIF(tblKartlar[KartId],$B807)=0,"YETİM","")))</f>
        <v/>
      </c>
      <c r="J807" s="24">
        <f>IF(OR($A807="",$C807=""),"",IF(OR($C807&amp;"|"&amp;$D807="",COUNTIF(ListeIzinliGecis,$C807&amp;"|"&amp;$D807)&gt;0),"","GEÇERSİZ GEÇİŞ"))</f>
        <v/>
      </c>
      <c r="K807" s="24">
        <f>IF($A807="","",IF(OR($E807="",$G807=""),"",IF(ABS($G807-$E807)&gt;zincirTolerans,"ZİNCİR KIRIK","OK")))</f>
        <v/>
      </c>
      <c r="L807" s="24">
        <f>IF($A807="","",1)</f>
        <v/>
      </c>
    </row>
    <row r="808">
      <c r="A808" s="12" t="n"/>
      <c r="B808" s="12" t="n"/>
      <c r="C808" s="12" t="n"/>
      <c r="D808" s="12" t="n"/>
      <c r="E808" s="14" t="n"/>
      <c r="F808" s="14" t="n"/>
      <c r="G808" s="14" t="n"/>
      <c r="H808" s="15" t="n"/>
      <c r="I808" s="24">
        <f>IF($A808="","",IF($B808="","YETİM",IF(COUNTIF(tblKartlar[KartId],$B808)=0,"YETİM","")))</f>
        <v/>
      </c>
      <c r="J808" s="24">
        <f>IF(OR($A808="",$C808=""),"",IF(OR($C808&amp;"|"&amp;$D808="",COUNTIF(ListeIzinliGecis,$C808&amp;"|"&amp;$D808)&gt;0),"","GEÇERSİZ GEÇİŞ"))</f>
        <v/>
      </c>
      <c r="K808" s="24">
        <f>IF($A808="","",IF(OR($E808="",$G808=""),"",IF(ABS($G808-$E808)&gt;zincirTolerans,"ZİNCİR KIRIK","OK")))</f>
        <v/>
      </c>
      <c r="L808" s="24">
        <f>IF($A808="","",1)</f>
        <v/>
      </c>
    </row>
    <row r="809">
      <c r="A809" s="12" t="n"/>
      <c r="B809" s="12" t="n"/>
      <c r="C809" s="12" t="n"/>
      <c r="D809" s="12" t="n"/>
      <c r="E809" s="14" t="n"/>
      <c r="F809" s="14" t="n"/>
      <c r="G809" s="14" t="n"/>
      <c r="H809" s="15" t="n"/>
      <c r="I809" s="24">
        <f>IF($A809="","",IF($B809="","YETİM",IF(COUNTIF(tblKartlar[KartId],$B809)=0,"YETİM","")))</f>
        <v/>
      </c>
      <c r="J809" s="24">
        <f>IF(OR($A809="",$C809=""),"",IF(OR($C809&amp;"|"&amp;$D809="",COUNTIF(ListeIzinliGecis,$C809&amp;"|"&amp;$D809)&gt;0),"","GEÇERSİZ GEÇİŞ"))</f>
        <v/>
      </c>
      <c r="K809" s="24">
        <f>IF($A809="","",IF(OR($E809="",$G809=""),"",IF(ABS($G809-$E809)&gt;zincirTolerans,"ZİNCİR KIRIK","OK")))</f>
        <v/>
      </c>
      <c r="L809" s="24">
        <f>IF($A809="","",1)</f>
        <v/>
      </c>
    </row>
    <row r="810">
      <c r="A810" s="12" t="n"/>
      <c r="B810" s="12" t="n"/>
      <c r="C810" s="12" t="n"/>
      <c r="D810" s="12" t="n"/>
      <c r="E810" s="14" t="n"/>
      <c r="F810" s="14" t="n"/>
      <c r="G810" s="14" t="n"/>
      <c r="H810" s="15" t="n"/>
      <c r="I810" s="24">
        <f>IF($A810="","",IF($B810="","YETİM",IF(COUNTIF(tblKartlar[KartId],$B810)=0,"YETİM","")))</f>
        <v/>
      </c>
      <c r="J810" s="24">
        <f>IF(OR($A810="",$C810=""),"",IF(OR($C810&amp;"|"&amp;$D810="",COUNTIF(ListeIzinliGecis,$C810&amp;"|"&amp;$D810)&gt;0),"","GEÇERSİZ GEÇİŞ"))</f>
        <v/>
      </c>
      <c r="K810" s="24">
        <f>IF($A810="","",IF(OR($E810="",$G810=""),"",IF(ABS($G810-$E810)&gt;zincirTolerans,"ZİNCİR KIRIK","OK")))</f>
        <v/>
      </c>
      <c r="L810" s="24">
        <f>IF($A810="","",1)</f>
        <v/>
      </c>
    </row>
    <row r="811">
      <c r="A811" s="12" t="n"/>
      <c r="B811" s="12" t="n"/>
      <c r="C811" s="12" t="n"/>
      <c r="D811" s="12" t="n"/>
      <c r="E811" s="14" t="n"/>
      <c r="F811" s="14" t="n"/>
      <c r="G811" s="14" t="n"/>
      <c r="H811" s="15" t="n"/>
      <c r="I811" s="24">
        <f>IF($A811="","",IF($B811="","YETİM",IF(COUNTIF(tblKartlar[KartId],$B811)=0,"YETİM","")))</f>
        <v/>
      </c>
      <c r="J811" s="24">
        <f>IF(OR($A811="",$C811=""),"",IF(OR($C811&amp;"|"&amp;$D811="",COUNTIF(ListeIzinliGecis,$C811&amp;"|"&amp;$D811)&gt;0),"","GEÇERSİZ GEÇİŞ"))</f>
        <v/>
      </c>
      <c r="K811" s="24">
        <f>IF($A811="","",IF(OR($E811="",$G811=""),"",IF(ABS($G811-$E811)&gt;zincirTolerans,"ZİNCİR KIRIK","OK")))</f>
        <v/>
      </c>
      <c r="L811" s="24">
        <f>IF($A811="","",1)</f>
        <v/>
      </c>
    </row>
    <row r="812">
      <c r="A812" s="12" t="n"/>
      <c r="B812" s="12" t="n"/>
      <c r="C812" s="12" t="n"/>
      <c r="D812" s="12" t="n"/>
      <c r="E812" s="14" t="n"/>
      <c r="F812" s="14" t="n"/>
      <c r="G812" s="14" t="n"/>
      <c r="H812" s="15" t="n"/>
      <c r="I812" s="24">
        <f>IF($A812="","",IF($B812="","YETİM",IF(COUNTIF(tblKartlar[KartId],$B812)=0,"YETİM","")))</f>
        <v/>
      </c>
      <c r="J812" s="24">
        <f>IF(OR($A812="",$C812=""),"",IF(OR($C812&amp;"|"&amp;$D812="",COUNTIF(ListeIzinliGecis,$C812&amp;"|"&amp;$D812)&gt;0),"","GEÇERSİZ GEÇİŞ"))</f>
        <v/>
      </c>
      <c r="K812" s="24">
        <f>IF($A812="","",IF(OR($E812="",$G812=""),"",IF(ABS($G812-$E812)&gt;zincirTolerans,"ZİNCİR KIRIK","OK")))</f>
        <v/>
      </c>
      <c r="L812" s="24">
        <f>IF($A812="","",1)</f>
        <v/>
      </c>
    </row>
    <row r="813">
      <c r="A813" s="12" t="n"/>
      <c r="B813" s="12" t="n"/>
      <c r="C813" s="12" t="n"/>
      <c r="D813" s="12" t="n"/>
      <c r="E813" s="14" t="n"/>
      <c r="F813" s="14" t="n"/>
      <c r="G813" s="14" t="n"/>
      <c r="H813" s="15" t="n"/>
      <c r="I813" s="24">
        <f>IF($A813="","",IF($B813="","YETİM",IF(COUNTIF(tblKartlar[KartId],$B813)=0,"YETİM","")))</f>
        <v/>
      </c>
      <c r="J813" s="24">
        <f>IF(OR($A813="",$C813=""),"",IF(OR($C813&amp;"|"&amp;$D813="",COUNTIF(ListeIzinliGecis,$C813&amp;"|"&amp;$D813)&gt;0),"","GEÇERSİZ GEÇİŞ"))</f>
        <v/>
      </c>
      <c r="K813" s="24">
        <f>IF($A813="","",IF(OR($E813="",$G813=""),"",IF(ABS($G813-$E813)&gt;zincirTolerans,"ZİNCİR KIRIK","OK")))</f>
        <v/>
      </c>
      <c r="L813" s="24">
        <f>IF($A813="","",1)</f>
        <v/>
      </c>
    </row>
    <row r="814">
      <c r="A814" s="12" t="n"/>
      <c r="B814" s="12" t="n"/>
      <c r="C814" s="12" t="n"/>
      <c r="D814" s="12" t="n"/>
      <c r="E814" s="14" t="n"/>
      <c r="F814" s="14" t="n"/>
      <c r="G814" s="14" t="n"/>
      <c r="H814" s="15" t="n"/>
      <c r="I814" s="24">
        <f>IF($A814="","",IF($B814="","YETİM",IF(COUNTIF(tblKartlar[KartId],$B814)=0,"YETİM","")))</f>
        <v/>
      </c>
      <c r="J814" s="24">
        <f>IF(OR($A814="",$C814=""),"",IF(OR($C814&amp;"|"&amp;$D814="",COUNTIF(ListeIzinliGecis,$C814&amp;"|"&amp;$D814)&gt;0),"","GEÇERSİZ GEÇİŞ"))</f>
        <v/>
      </c>
      <c r="K814" s="24">
        <f>IF($A814="","",IF(OR($E814="",$G814=""),"",IF(ABS($G814-$E814)&gt;zincirTolerans,"ZİNCİR KIRIK","OK")))</f>
        <v/>
      </c>
      <c r="L814" s="24">
        <f>IF($A814="","",1)</f>
        <v/>
      </c>
    </row>
    <row r="815">
      <c r="A815" s="12" t="n"/>
      <c r="B815" s="12" t="n"/>
      <c r="C815" s="12" t="n"/>
      <c r="D815" s="12" t="n"/>
      <c r="E815" s="14" t="n"/>
      <c r="F815" s="14" t="n"/>
      <c r="G815" s="14" t="n"/>
      <c r="H815" s="15" t="n"/>
      <c r="I815" s="24">
        <f>IF($A815="","",IF($B815="","YETİM",IF(COUNTIF(tblKartlar[KartId],$B815)=0,"YETİM","")))</f>
        <v/>
      </c>
      <c r="J815" s="24">
        <f>IF(OR($A815="",$C815=""),"",IF(OR($C815&amp;"|"&amp;$D815="",COUNTIF(ListeIzinliGecis,$C815&amp;"|"&amp;$D815)&gt;0),"","GEÇERSİZ GEÇİŞ"))</f>
        <v/>
      </c>
      <c r="K815" s="24">
        <f>IF($A815="","",IF(OR($E815="",$G815=""),"",IF(ABS($G815-$E815)&gt;zincirTolerans,"ZİNCİR KIRIK","OK")))</f>
        <v/>
      </c>
      <c r="L815" s="24">
        <f>IF($A815="","",1)</f>
        <v/>
      </c>
    </row>
    <row r="816">
      <c r="A816" s="12" t="n"/>
      <c r="B816" s="12" t="n"/>
      <c r="C816" s="12" t="n"/>
      <c r="D816" s="12" t="n"/>
      <c r="E816" s="14" t="n"/>
      <c r="F816" s="14" t="n"/>
      <c r="G816" s="14" t="n"/>
      <c r="H816" s="15" t="n"/>
      <c r="I816" s="24">
        <f>IF($A816="","",IF($B816="","YETİM",IF(COUNTIF(tblKartlar[KartId],$B816)=0,"YETİM","")))</f>
        <v/>
      </c>
      <c r="J816" s="24">
        <f>IF(OR($A816="",$C816=""),"",IF(OR($C816&amp;"|"&amp;$D816="",COUNTIF(ListeIzinliGecis,$C816&amp;"|"&amp;$D816)&gt;0),"","GEÇERSİZ GEÇİŞ"))</f>
        <v/>
      </c>
      <c r="K816" s="24">
        <f>IF($A816="","",IF(OR($E816="",$G816=""),"",IF(ABS($G816-$E816)&gt;zincirTolerans,"ZİNCİR KIRIK","OK")))</f>
        <v/>
      </c>
      <c r="L816" s="24">
        <f>IF($A816="","",1)</f>
        <v/>
      </c>
    </row>
    <row r="817">
      <c r="A817" s="12" t="n"/>
      <c r="B817" s="12" t="n"/>
      <c r="C817" s="12" t="n"/>
      <c r="D817" s="12" t="n"/>
      <c r="E817" s="14" t="n"/>
      <c r="F817" s="14" t="n"/>
      <c r="G817" s="14" t="n"/>
      <c r="H817" s="15" t="n"/>
      <c r="I817" s="24">
        <f>IF($A817="","",IF($B817="","YETİM",IF(COUNTIF(tblKartlar[KartId],$B817)=0,"YETİM","")))</f>
        <v/>
      </c>
      <c r="J817" s="24">
        <f>IF(OR($A817="",$C817=""),"",IF(OR($C817&amp;"|"&amp;$D817="",COUNTIF(ListeIzinliGecis,$C817&amp;"|"&amp;$D817)&gt;0),"","GEÇERSİZ GEÇİŞ"))</f>
        <v/>
      </c>
      <c r="K817" s="24">
        <f>IF($A817="","",IF(OR($E817="",$G817=""),"",IF(ABS($G817-$E817)&gt;zincirTolerans,"ZİNCİR KIRIK","OK")))</f>
        <v/>
      </c>
      <c r="L817" s="24">
        <f>IF($A817="","",1)</f>
        <v/>
      </c>
    </row>
    <row r="818">
      <c r="A818" s="12" t="n"/>
      <c r="B818" s="12" t="n"/>
      <c r="C818" s="12" t="n"/>
      <c r="D818" s="12" t="n"/>
      <c r="E818" s="14" t="n"/>
      <c r="F818" s="14" t="n"/>
      <c r="G818" s="14" t="n"/>
      <c r="H818" s="15" t="n"/>
      <c r="I818" s="24">
        <f>IF($A818="","",IF($B818="","YETİM",IF(COUNTIF(tblKartlar[KartId],$B818)=0,"YETİM","")))</f>
        <v/>
      </c>
      <c r="J818" s="24">
        <f>IF(OR($A818="",$C818=""),"",IF(OR($C818&amp;"|"&amp;$D818="",COUNTIF(ListeIzinliGecis,$C818&amp;"|"&amp;$D818)&gt;0),"","GEÇERSİZ GEÇİŞ"))</f>
        <v/>
      </c>
      <c r="K818" s="24">
        <f>IF($A818="","",IF(OR($E818="",$G818=""),"",IF(ABS($G818-$E818)&gt;zincirTolerans,"ZİNCİR KIRIK","OK")))</f>
        <v/>
      </c>
      <c r="L818" s="24">
        <f>IF($A818="","",1)</f>
        <v/>
      </c>
    </row>
    <row r="819">
      <c r="A819" s="12" t="n"/>
      <c r="B819" s="12" t="n"/>
      <c r="C819" s="12" t="n"/>
      <c r="D819" s="12" t="n"/>
      <c r="E819" s="14" t="n"/>
      <c r="F819" s="14" t="n"/>
      <c r="G819" s="14" t="n"/>
      <c r="H819" s="15" t="n"/>
      <c r="I819" s="24">
        <f>IF($A819="","",IF($B819="","YETİM",IF(COUNTIF(tblKartlar[KartId],$B819)=0,"YETİM","")))</f>
        <v/>
      </c>
      <c r="J819" s="24">
        <f>IF(OR($A819="",$C819=""),"",IF(OR($C819&amp;"|"&amp;$D819="",COUNTIF(ListeIzinliGecis,$C819&amp;"|"&amp;$D819)&gt;0),"","GEÇERSİZ GEÇİŞ"))</f>
        <v/>
      </c>
      <c r="K819" s="24">
        <f>IF($A819="","",IF(OR($E819="",$G819=""),"",IF(ABS($G819-$E819)&gt;zincirTolerans,"ZİNCİR KIRIK","OK")))</f>
        <v/>
      </c>
      <c r="L819" s="24">
        <f>IF($A819="","",1)</f>
        <v/>
      </c>
    </row>
    <row r="820">
      <c r="A820" s="12" t="n"/>
      <c r="B820" s="12" t="n"/>
      <c r="C820" s="12" t="n"/>
      <c r="D820" s="12" t="n"/>
      <c r="E820" s="14" t="n"/>
      <c r="F820" s="14" t="n"/>
      <c r="G820" s="14" t="n"/>
      <c r="H820" s="15" t="n"/>
      <c r="I820" s="24">
        <f>IF($A820="","",IF($B820="","YETİM",IF(COUNTIF(tblKartlar[KartId],$B820)=0,"YETİM","")))</f>
        <v/>
      </c>
      <c r="J820" s="24">
        <f>IF(OR($A820="",$C820=""),"",IF(OR($C820&amp;"|"&amp;$D820="",COUNTIF(ListeIzinliGecis,$C820&amp;"|"&amp;$D820)&gt;0),"","GEÇERSİZ GEÇİŞ"))</f>
        <v/>
      </c>
      <c r="K820" s="24">
        <f>IF($A820="","",IF(OR($E820="",$G820=""),"",IF(ABS($G820-$E820)&gt;zincirTolerans,"ZİNCİR KIRIK","OK")))</f>
        <v/>
      </c>
      <c r="L820" s="24">
        <f>IF($A820="","",1)</f>
        <v/>
      </c>
    </row>
    <row r="821">
      <c r="A821" s="12" t="n"/>
      <c r="B821" s="12" t="n"/>
      <c r="C821" s="12" t="n"/>
      <c r="D821" s="12" t="n"/>
      <c r="E821" s="14" t="n"/>
      <c r="F821" s="14" t="n"/>
      <c r="G821" s="14" t="n"/>
      <c r="H821" s="15" t="n"/>
      <c r="I821" s="24">
        <f>IF($A821="","",IF($B821="","YETİM",IF(COUNTIF(tblKartlar[KartId],$B821)=0,"YETİM","")))</f>
        <v/>
      </c>
      <c r="J821" s="24">
        <f>IF(OR($A821="",$C821=""),"",IF(OR($C821&amp;"|"&amp;$D821="",COUNTIF(ListeIzinliGecis,$C821&amp;"|"&amp;$D821)&gt;0),"","GEÇERSİZ GEÇİŞ"))</f>
        <v/>
      </c>
      <c r="K821" s="24">
        <f>IF($A821="","",IF(OR($E821="",$G821=""),"",IF(ABS($G821-$E821)&gt;zincirTolerans,"ZİNCİR KIRIK","OK")))</f>
        <v/>
      </c>
      <c r="L821" s="24">
        <f>IF($A821="","",1)</f>
        <v/>
      </c>
    </row>
    <row r="822">
      <c r="A822" s="12" t="n"/>
      <c r="B822" s="12" t="n"/>
      <c r="C822" s="12" t="n"/>
      <c r="D822" s="12" t="n"/>
      <c r="E822" s="14" t="n"/>
      <c r="F822" s="14" t="n"/>
      <c r="G822" s="14" t="n"/>
      <c r="H822" s="15" t="n"/>
      <c r="I822" s="24">
        <f>IF($A822="","",IF($B822="","YETİM",IF(COUNTIF(tblKartlar[KartId],$B822)=0,"YETİM","")))</f>
        <v/>
      </c>
      <c r="J822" s="24">
        <f>IF(OR($A822="",$C822=""),"",IF(OR($C822&amp;"|"&amp;$D822="",COUNTIF(ListeIzinliGecis,$C822&amp;"|"&amp;$D822)&gt;0),"","GEÇERSİZ GEÇİŞ"))</f>
        <v/>
      </c>
      <c r="K822" s="24">
        <f>IF($A822="","",IF(OR($E822="",$G822=""),"",IF(ABS($G822-$E822)&gt;zincirTolerans,"ZİNCİR KIRIK","OK")))</f>
        <v/>
      </c>
      <c r="L822" s="24">
        <f>IF($A822="","",1)</f>
        <v/>
      </c>
    </row>
    <row r="823">
      <c r="A823" s="12" t="n"/>
      <c r="B823" s="12" t="n"/>
      <c r="C823" s="12" t="n"/>
      <c r="D823" s="12" t="n"/>
      <c r="E823" s="14" t="n"/>
      <c r="F823" s="14" t="n"/>
      <c r="G823" s="14" t="n"/>
      <c r="H823" s="15" t="n"/>
      <c r="I823" s="24">
        <f>IF($A823="","",IF($B823="","YETİM",IF(COUNTIF(tblKartlar[KartId],$B823)=0,"YETİM","")))</f>
        <v/>
      </c>
      <c r="J823" s="24">
        <f>IF(OR($A823="",$C823=""),"",IF(OR($C823&amp;"|"&amp;$D823="",COUNTIF(ListeIzinliGecis,$C823&amp;"|"&amp;$D823)&gt;0),"","GEÇERSİZ GEÇİŞ"))</f>
        <v/>
      </c>
      <c r="K823" s="24">
        <f>IF($A823="","",IF(OR($E823="",$G823=""),"",IF(ABS($G823-$E823)&gt;zincirTolerans,"ZİNCİR KIRIK","OK")))</f>
        <v/>
      </c>
      <c r="L823" s="24">
        <f>IF($A823="","",1)</f>
        <v/>
      </c>
    </row>
    <row r="824">
      <c r="A824" s="12" t="n"/>
      <c r="B824" s="12" t="n"/>
      <c r="C824" s="12" t="n"/>
      <c r="D824" s="12" t="n"/>
      <c r="E824" s="14" t="n"/>
      <c r="F824" s="14" t="n"/>
      <c r="G824" s="14" t="n"/>
      <c r="H824" s="15" t="n"/>
      <c r="I824" s="24">
        <f>IF($A824="","",IF($B824="","YETİM",IF(COUNTIF(tblKartlar[KartId],$B824)=0,"YETİM","")))</f>
        <v/>
      </c>
      <c r="J824" s="24">
        <f>IF(OR($A824="",$C824=""),"",IF(OR($C824&amp;"|"&amp;$D824="",COUNTIF(ListeIzinliGecis,$C824&amp;"|"&amp;$D824)&gt;0),"","GEÇERSİZ GEÇİŞ"))</f>
        <v/>
      </c>
      <c r="K824" s="24">
        <f>IF($A824="","",IF(OR($E824="",$G824=""),"",IF(ABS($G824-$E824)&gt;zincirTolerans,"ZİNCİR KIRIK","OK")))</f>
        <v/>
      </c>
      <c r="L824" s="24">
        <f>IF($A824="","",1)</f>
        <v/>
      </c>
    </row>
    <row r="825">
      <c r="A825" s="12" t="n"/>
      <c r="B825" s="12" t="n"/>
      <c r="C825" s="12" t="n"/>
      <c r="D825" s="12" t="n"/>
      <c r="E825" s="14" t="n"/>
      <c r="F825" s="14" t="n"/>
      <c r="G825" s="14" t="n"/>
      <c r="H825" s="15" t="n"/>
      <c r="I825" s="24">
        <f>IF($A825="","",IF($B825="","YETİM",IF(COUNTIF(tblKartlar[KartId],$B825)=0,"YETİM","")))</f>
        <v/>
      </c>
      <c r="J825" s="24">
        <f>IF(OR($A825="",$C825=""),"",IF(OR($C825&amp;"|"&amp;$D825="",COUNTIF(ListeIzinliGecis,$C825&amp;"|"&amp;$D825)&gt;0),"","GEÇERSİZ GEÇİŞ"))</f>
        <v/>
      </c>
      <c r="K825" s="24">
        <f>IF($A825="","",IF(OR($E825="",$G825=""),"",IF(ABS($G825-$E825)&gt;zincirTolerans,"ZİNCİR KIRIK","OK")))</f>
        <v/>
      </c>
      <c r="L825" s="24">
        <f>IF($A825="","",1)</f>
        <v/>
      </c>
    </row>
    <row r="826">
      <c r="A826" s="12" t="n"/>
      <c r="B826" s="12" t="n"/>
      <c r="C826" s="12" t="n"/>
      <c r="D826" s="12" t="n"/>
      <c r="E826" s="14" t="n"/>
      <c r="F826" s="14" t="n"/>
      <c r="G826" s="14" t="n"/>
      <c r="H826" s="15" t="n"/>
      <c r="I826" s="24">
        <f>IF($A826="","",IF($B826="","YETİM",IF(COUNTIF(tblKartlar[KartId],$B826)=0,"YETİM","")))</f>
        <v/>
      </c>
      <c r="J826" s="24">
        <f>IF(OR($A826="",$C826=""),"",IF(OR($C826&amp;"|"&amp;$D826="",COUNTIF(ListeIzinliGecis,$C826&amp;"|"&amp;$D826)&gt;0),"","GEÇERSİZ GEÇİŞ"))</f>
        <v/>
      </c>
      <c r="K826" s="24">
        <f>IF($A826="","",IF(OR($E826="",$G826=""),"",IF(ABS($G826-$E826)&gt;zincirTolerans,"ZİNCİR KIRIK","OK")))</f>
        <v/>
      </c>
      <c r="L826" s="24">
        <f>IF($A826="","",1)</f>
        <v/>
      </c>
    </row>
    <row r="827">
      <c r="A827" s="12" t="n"/>
      <c r="B827" s="12" t="n"/>
      <c r="C827" s="12" t="n"/>
      <c r="D827" s="12" t="n"/>
      <c r="E827" s="14" t="n"/>
      <c r="F827" s="14" t="n"/>
      <c r="G827" s="14" t="n"/>
      <c r="H827" s="15" t="n"/>
      <c r="I827" s="24">
        <f>IF($A827="","",IF($B827="","YETİM",IF(COUNTIF(tblKartlar[KartId],$B827)=0,"YETİM","")))</f>
        <v/>
      </c>
      <c r="J827" s="24">
        <f>IF(OR($A827="",$C827=""),"",IF(OR($C827&amp;"|"&amp;$D827="",COUNTIF(ListeIzinliGecis,$C827&amp;"|"&amp;$D827)&gt;0),"","GEÇERSİZ GEÇİŞ"))</f>
        <v/>
      </c>
      <c r="K827" s="24">
        <f>IF($A827="","",IF(OR($E827="",$G827=""),"",IF(ABS($G827-$E827)&gt;zincirTolerans,"ZİNCİR KIRIK","OK")))</f>
        <v/>
      </c>
      <c r="L827" s="24">
        <f>IF($A827="","",1)</f>
        <v/>
      </c>
    </row>
    <row r="828">
      <c r="A828" s="12" t="n"/>
      <c r="B828" s="12" t="n"/>
      <c r="C828" s="12" t="n"/>
      <c r="D828" s="12" t="n"/>
      <c r="E828" s="14" t="n"/>
      <c r="F828" s="14" t="n"/>
      <c r="G828" s="14" t="n"/>
      <c r="H828" s="15" t="n"/>
      <c r="I828" s="24">
        <f>IF($A828="","",IF($B828="","YETİM",IF(COUNTIF(tblKartlar[KartId],$B828)=0,"YETİM","")))</f>
        <v/>
      </c>
      <c r="J828" s="24">
        <f>IF(OR($A828="",$C828=""),"",IF(OR($C828&amp;"|"&amp;$D828="",COUNTIF(ListeIzinliGecis,$C828&amp;"|"&amp;$D828)&gt;0),"","GEÇERSİZ GEÇİŞ"))</f>
        <v/>
      </c>
      <c r="K828" s="24">
        <f>IF($A828="","",IF(OR($E828="",$G828=""),"",IF(ABS($G828-$E828)&gt;zincirTolerans,"ZİNCİR KIRIK","OK")))</f>
        <v/>
      </c>
      <c r="L828" s="24">
        <f>IF($A828="","",1)</f>
        <v/>
      </c>
    </row>
    <row r="829">
      <c r="A829" s="12" t="n"/>
      <c r="B829" s="12" t="n"/>
      <c r="C829" s="12" t="n"/>
      <c r="D829" s="12" t="n"/>
      <c r="E829" s="14" t="n"/>
      <c r="F829" s="14" t="n"/>
      <c r="G829" s="14" t="n"/>
      <c r="H829" s="15" t="n"/>
      <c r="I829" s="24">
        <f>IF($A829="","",IF($B829="","YETİM",IF(COUNTIF(tblKartlar[KartId],$B829)=0,"YETİM","")))</f>
        <v/>
      </c>
      <c r="J829" s="24">
        <f>IF(OR($A829="",$C829=""),"",IF(OR($C829&amp;"|"&amp;$D829="",COUNTIF(ListeIzinliGecis,$C829&amp;"|"&amp;$D829)&gt;0),"","GEÇERSİZ GEÇİŞ"))</f>
        <v/>
      </c>
      <c r="K829" s="24">
        <f>IF($A829="","",IF(OR($E829="",$G829=""),"",IF(ABS($G829-$E829)&gt;zincirTolerans,"ZİNCİR KIRIK","OK")))</f>
        <v/>
      </c>
      <c r="L829" s="24">
        <f>IF($A829="","",1)</f>
        <v/>
      </c>
    </row>
    <row r="830">
      <c r="A830" s="12" t="n"/>
      <c r="B830" s="12" t="n"/>
      <c r="C830" s="12" t="n"/>
      <c r="D830" s="12" t="n"/>
      <c r="E830" s="14" t="n"/>
      <c r="F830" s="14" t="n"/>
      <c r="G830" s="14" t="n"/>
      <c r="H830" s="15" t="n"/>
      <c r="I830" s="24">
        <f>IF($A830="","",IF($B830="","YETİM",IF(COUNTIF(tblKartlar[KartId],$B830)=0,"YETİM","")))</f>
        <v/>
      </c>
      <c r="J830" s="24">
        <f>IF(OR($A830="",$C830=""),"",IF(OR($C830&amp;"|"&amp;$D830="",COUNTIF(ListeIzinliGecis,$C830&amp;"|"&amp;$D830)&gt;0),"","GEÇERSİZ GEÇİŞ"))</f>
        <v/>
      </c>
      <c r="K830" s="24">
        <f>IF($A830="","",IF(OR($E830="",$G830=""),"",IF(ABS($G830-$E830)&gt;zincirTolerans,"ZİNCİR KIRIK","OK")))</f>
        <v/>
      </c>
      <c r="L830" s="24">
        <f>IF($A830="","",1)</f>
        <v/>
      </c>
    </row>
    <row r="831">
      <c r="A831" s="12" t="n"/>
      <c r="B831" s="12" t="n"/>
      <c r="C831" s="12" t="n"/>
      <c r="D831" s="12" t="n"/>
      <c r="E831" s="14" t="n"/>
      <c r="F831" s="14" t="n"/>
      <c r="G831" s="14" t="n"/>
      <c r="H831" s="15" t="n"/>
      <c r="I831" s="24">
        <f>IF($A831="","",IF($B831="","YETİM",IF(COUNTIF(tblKartlar[KartId],$B831)=0,"YETİM","")))</f>
        <v/>
      </c>
      <c r="J831" s="24">
        <f>IF(OR($A831="",$C831=""),"",IF(OR($C831&amp;"|"&amp;$D831="",COUNTIF(ListeIzinliGecis,$C831&amp;"|"&amp;$D831)&gt;0),"","GEÇERSİZ GEÇİŞ"))</f>
        <v/>
      </c>
      <c r="K831" s="24">
        <f>IF($A831="","",IF(OR($E831="",$G831=""),"",IF(ABS($G831-$E831)&gt;zincirTolerans,"ZİNCİR KIRIK","OK")))</f>
        <v/>
      </c>
      <c r="L831" s="24">
        <f>IF($A831="","",1)</f>
        <v/>
      </c>
    </row>
    <row r="832">
      <c r="A832" s="12" t="n"/>
      <c r="B832" s="12" t="n"/>
      <c r="C832" s="12" t="n"/>
      <c r="D832" s="12" t="n"/>
      <c r="E832" s="14" t="n"/>
      <c r="F832" s="14" t="n"/>
      <c r="G832" s="14" t="n"/>
      <c r="H832" s="15" t="n"/>
      <c r="I832" s="24">
        <f>IF($A832="","",IF($B832="","YETİM",IF(COUNTIF(tblKartlar[KartId],$B832)=0,"YETİM","")))</f>
        <v/>
      </c>
      <c r="J832" s="24">
        <f>IF(OR($A832="",$C832=""),"",IF(OR($C832&amp;"|"&amp;$D832="",COUNTIF(ListeIzinliGecis,$C832&amp;"|"&amp;$D832)&gt;0),"","GEÇERSİZ GEÇİŞ"))</f>
        <v/>
      </c>
      <c r="K832" s="24">
        <f>IF($A832="","",IF(OR($E832="",$G832=""),"",IF(ABS($G832-$E832)&gt;zincirTolerans,"ZİNCİR KIRIK","OK")))</f>
        <v/>
      </c>
      <c r="L832" s="24">
        <f>IF($A832="","",1)</f>
        <v/>
      </c>
    </row>
    <row r="833">
      <c r="A833" s="12" t="n"/>
      <c r="B833" s="12" t="n"/>
      <c r="C833" s="12" t="n"/>
      <c r="D833" s="12" t="n"/>
      <c r="E833" s="14" t="n"/>
      <c r="F833" s="14" t="n"/>
      <c r="G833" s="14" t="n"/>
      <c r="H833" s="15" t="n"/>
      <c r="I833" s="24">
        <f>IF($A833="","",IF($B833="","YETİM",IF(COUNTIF(tblKartlar[KartId],$B833)=0,"YETİM","")))</f>
        <v/>
      </c>
      <c r="J833" s="24">
        <f>IF(OR($A833="",$C833=""),"",IF(OR($C833&amp;"|"&amp;$D833="",COUNTIF(ListeIzinliGecis,$C833&amp;"|"&amp;$D833)&gt;0),"","GEÇERSİZ GEÇİŞ"))</f>
        <v/>
      </c>
      <c r="K833" s="24">
        <f>IF($A833="","",IF(OR($E833="",$G833=""),"",IF(ABS($G833-$E833)&gt;zincirTolerans,"ZİNCİR KIRIK","OK")))</f>
        <v/>
      </c>
      <c r="L833" s="24">
        <f>IF($A833="","",1)</f>
        <v/>
      </c>
    </row>
    <row r="834">
      <c r="A834" s="12" t="n"/>
      <c r="B834" s="12" t="n"/>
      <c r="C834" s="12" t="n"/>
      <c r="D834" s="12" t="n"/>
      <c r="E834" s="14" t="n"/>
      <c r="F834" s="14" t="n"/>
      <c r="G834" s="14" t="n"/>
      <c r="H834" s="15" t="n"/>
      <c r="I834" s="24">
        <f>IF($A834="","",IF($B834="","YETİM",IF(COUNTIF(tblKartlar[KartId],$B834)=0,"YETİM","")))</f>
        <v/>
      </c>
      <c r="J834" s="24">
        <f>IF(OR($A834="",$C834=""),"",IF(OR($C834&amp;"|"&amp;$D834="",COUNTIF(ListeIzinliGecis,$C834&amp;"|"&amp;$D834)&gt;0),"","GEÇERSİZ GEÇİŞ"))</f>
        <v/>
      </c>
      <c r="K834" s="24">
        <f>IF($A834="","",IF(OR($E834="",$G834=""),"",IF(ABS($G834-$E834)&gt;zincirTolerans,"ZİNCİR KIRIK","OK")))</f>
        <v/>
      </c>
      <c r="L834" s="24">
        <f>IF($A834="","",1)</f>
        <v/>
      </c>
    </row>
    <row r="835">
      <c r="A835" s="12" t="n"/>
      <c r="B835" s="12" t="n"/>
      <c r="C835" s="12" t="n"/>
      <c r="D835" s="12" t="n"/>
      <c r="E835" s="14" t="n"/>
      <c r="F835" s="14" t="n"/>
      <c r="G835" s="14" t="n"/>
      <c r="H835" s="15" t="n"/>
      <c r="I835" s="24">
        <f>IF($A835="","",IF($B835="","YETİM",IF(COUNTIF(tblKartlar[KartId],$B835)=0,"YETİM","")))</f>
        <v/>
      </c>
      <c r="J835" s="24">
        <f>IF(OR($A835="",$C835=""),"",IF(OR($C835&amp;"|"&amp;$D835="",COUNTIF(ListeIzinliGecis,$C835&amp;"|"&amp;$D835)&gt;0),"","GEÇERSİZ GEÇİŞ"))</f>
        <v/>
      </c>
      <c r="K835" s="24">
        <f>IF($A835="","",IF(OR($E835="",$G835=""),"",IF(ABS($G835-$E835)&gt;zincirTolerans,"ZİNCİR KIRIK","OK")))</f>
        <v/>
      </c>
      <c r="L835" s="24">
        <f>IF($A835="","",1)</f>
        <v/>
      </c>
    </row>
    <row r="836">
      <c r="A836" s="12" t="n"/>
      <c r="B836" s="12" t="n"/>
      <c r="C836" s="12" t="n"/>
      <c r="D836" s="12" t="n"/>
      <c r="E836" s="14" t="n"/>
      <c r="F836" s="14" t="n"/>
      <c r="G836" s="14" t="n"/>
      <c r="H836" s="15" t="n"/>
      <c r="I836" s="24">
        <f>IF($A836="","",IF($B836="","YETİM",IF(COUNTIF(tblKartlar[KartId],$B836)=0,"YETİM","")))</f>
        <v/>
      </c>
      <c r="J836" s="24">
        <f>IF(OR($A836="",$C836=""),"",IF(OR($C836&amp;"|"&amp;$D836="",COUNTIF(ListeIzinliGecis,$C836&amp;"|"&amp;$D836)&gt;0),"","GEÇERSİZ GEÇİŞ"))</f>
        <v/>
      </c>
      <c r="K836" s="24">
        <f>IF($A836="","",IF(OR($E836="",$G836=""),"",IF(ABS($G836-$E836)&gt;zincirTolerans,"ZİNCİR KIRIK","OK")))</f>
        <v/>
      </c>
      <c r="L836" s="24">
        <f>IF($A836="","",1)</f>
        <v/>
      </c>
    </row>
    <row r="837">
      <c r="A837" s="12" t="n"/>
      <c r="B837" s="12" t="n"/>
      <c r="C837" s="12" t="n"/>
      <c r="D837" s="12" t="n"/>
      <c r="E837" s="14" t="n"/>
      <c r="F837" s="14" t="n"/>
      <c r="G837" s="14" t="n"/>
      <c r="H837" s="15" t="n"/>
      <c r="I837" s="24">
        <f>IF($A837="","",IF($B837="","YETİM",IF(COUNTIF(tblKartlar[KartId],$B837)=0,"YETİM","")))</f>
        <v/>
      </c>
      <c r="J837" s="24">
        <f>IF(OR($A837="",$C837=""),"",IF(OR($C837&amp;"|"&amp;$D837="",COUNTIF(ListeIzinliGecis,$C837&amp;"|"&amp;$D837)&gt;0),"","GEÇERSİZ GEÇİŞ"))</f>
        <v/>
      </c>
      <c r="K837" s="24">
        <f>IF($A837="","",IF(OR($E837="",$G837=""),"",IF(ABS($G837-$E837)&gt;zincirTolerans,"ZİNCİR KIRIK","OK")))</f>
        <v/>
      </c>
      <c r="L837" s="24">
        <f>IF($A837="","",1)</f>
        <v/>
      </c>
    </row>
    <row r="838">
      <c r="A838" s="12" t="n"/>
      <c r="B838" s="12" t="n"/>
      <c r="C838" s="12" t="n"/>
      <c r="D838" s="12" t="n"/>
      <c r="E838" s="14" t="n"/>
      <c r="F838" s="14" t="n"/>
      <c r="G838" s="14" t="n"/>
      <c r="H838" s="15" t="n"/>
      <c r="I838" s="24">
        <f>IF($A838="","",IF($B838="","YETİM",IF(COUNTIF(tblKartlar[KartId],$B838)=0,"YETİM","")))</f>
        <v/>
      </c>
      <c r="J838" s="24">
        <f>IF(OR($A838="",$C838=""),"",IF(OR($C838&amp;"|"&amp;$D838="",COUNTIF(ListeIzinliGecis,$C838&amp;"|"&amp;$D838)&gt;0),"","GEÇERSİZ GEÇİŞ"))</f>
        <v/>
      </c>
      <c r="K838" s="24">
        <f>IF($A838="","",IF(OR($E838="",$G838=""),"",IF(ABS($G838-$E838)&gt;zincirTolerans,"ZİNCİR KIRIK","OK")))</f>
        <v/>
      </c>
      <c r="L838" s="24">
        <f>IF($A838="","",1)</f>
        <v/>
      </c>
    </row>
    <row r="839">
      <c r="A839" s="12" t="n"/>
      <c r="B839" s="12" t="n"/>
      <c r="C839" s="12" t="n"/>
      <c r="D839" s="12" t="n"/>
      <c r="E839" s="14" t="n"/>
      <c r="F839" s="14" t="n"/>
      <c r="G839" s="14" t="n"/>
      <c r="H839" s="15" t="n"/>
      <c r="I839" s="24">
        <f>IF($A839="","",IF($B839="","YETİM",IF(COUNTIF(tblKartlar[KartId],$B839)=0,"YETİM","")))</f>
        <v/>
      </c>
      <c r="J839" s="24">
        <f>IF(OR($A839="",$C839=""),"",IF(OR($C839&amp;"|"&amp;$D839="",COUNTIF(ListeIzinliGecis,$C839&amp;"|"&amp;$D839)&gt;0),"","GEÇERSİZ GEÇİŞ"))</f>
        <v/>
      </c>
      <c r="K839" s="24">
        <f>IF($A839="","",IF(OR($E839="",$G839=""),"",IF(ABS($G839-$E839)&gt;zincirTolerans,"ZİNCİR KIRIK","OK")))</f>
        <v/>
      </c>
      <c r="L839" s="24">
        <f>IF($A839="","",1)</f>
        <v/>
      </c>
    </row>
    <row r="840">
      <c r="A840" s="12" t="n"/>
      <c r="B840" s="12" t="n"/>
      <c r="C840" s="12" t="n"/>
      <c r="D840" s="12" t="n"/>
      <c r="E840" s="14" t="n"/>
      <c r="F840" s="14" t="n"/>
      <c r="G840" s="14" t="n"/>
      <c r="H840" s="15" t="n"/>
      <c r="I840" s="24">
        <f>IF($A840="","",IF($B840="","YETİM",IF(COUNTIF(tblKartlar[KartId],$B840)=0,"YETİM","")))</f>
        <v/>
      </c>
      <c r="J840" s="24">
        <f>IF(OR($A840="",$C840=""),"",IF(OR($C840&amp;"|"&amp;$D840="",COUNTIF(ListeIzinliGecis,$C840&amp;"|"&amp;$D840)&gt;0),"","GEÇERSİZ GEÇİŞ"))</f>
        <v/>
      </c>
      <c r="K840" s="24">
        <f>IF($A840="","",IF(OR($E840="",$G840=""),"",IF(ABS($G840-$E840)&gt;zincirTolerans,"ZİNCİR KIRIK","OK")))</f>
        <v/>
      </c>
      <c r="L840" s="24">
        <f>IF($A840="","",1)</f>
        <v/>
      </c>
    </row>
    <row r="841">
      <c r="A841" s="12" t="n"/>
      <c r="B841" s="12" t="n"/>
      <c r="C841" s="12" t="n"/>
      <c r="D841" s="12" t="n"/>
      <c r="E841" s="14" t="n"/>
      <c r="F841" s="14" t="n"/>
      <c r="G841" s="14" t="n"/>
      <c r="H841" s="15" t="n"/>
      <c r="I841" s="24">
        <f>IF($A841="","",IF($B841="","YETİM",IF(COUNTIF(tblKartlar[KartId],$B841)=0,"YETİM","")))</f>
        <v/>
      </c>
      <c r="J841" s="24">
        <f>IF(OR($A841="",$C841=""),"",IF(OR($C841&amp;"|"&amp;$D841="",COUNTIF(ListeIzinliGecis,$C841&amp;"|"&amp;$D841)&gt;0),"","GEÇERSİZ GEÇİŞ"))</f>
        <v/>
      </c>
      <c r="K841" s="24">
        <f>IF($A841="","",IF(OR($E841="",$G841=""),"",IF(ABS($G841-$E841)&gt;zincirTolerans,"ZİNCİR KIRIK","OK")))</f>
        <v/>
      </c>
      <c r="L841" s="24">
        <f>IF($A841="","",1)</f>
        <v/>
      </c>
    </row>
    <row r="842">
      <c r="A842" s="12" t="n"/>
      <c r="B842" s="12" t="n"/>
      <c r="C842" s="12" t="n"/>
      <c r="D842" s="12" t="n"/>
      <c r="E842" s="14" t="n"/>
      <c r="F842" s="14" t="n"/>
      <c r="G842" s="14" t="n"/>
      <c r="H842" s="15" t="n"/>
      <c r="I842" s="24">
        <f>IF($A842="","",IF($B842="","YETİM",IF(COUNTIF(tblKartlar[KartId],$B842)=0,"YETİM","")))</f>
        <v/>
      </c>
      <c r="J842" s="24">
        <f>IF(OR($A842="",$C842=""),"",IF(OR($C842&amp;"|"&amp;$D842="",COUNTIF(ListeIzinliGecis,$C842&amp;"|"&amp;$D842)&gt;0),"","GEÇERSİZ GEÇİŞ"))</f>
        <v/>
      </c>
      <c r="K842" s="24">
        <f>IF($A842="","",IF(OR($E842="",$G842=""),"",IF(ABS($G842-$E842)&gt;zincirTolerans,"ZİNCİR KIRIK","OK")))</f>
        <v/>
      </c>
      <c r="L842" s="24">
        <f>IF($A842="","",1)</f>
        <v/>
      </c>
    </row>
    <row r="843">
      <c r="A843" s="12" t="n"/>
      <c r="B843" s="12" t="n"/>
      <c r="C843" s="12" t="n"/>
      <c r="D843" s="12" t="n"/>
      <c r="E843" s="14" t="n"/>
      <c r="F843" s="14" t="n"/>
      <c r="G843" s="14" t="n"/>
      <c r="H843" s="15" t="n"/>
      <c r="I843" s="24">
        <f>IF($A843="","",IF($B843="","YETİM",IF(COUNTIF(tblKartlar[KartId],$B843)=0,"YETİM","")))</f>
        <v/>
      </c>
      <c r="J843" s="24">
        <f>IF(OR($A843="",$C843=""),"",IF(OR($C843&amp;"|"&amp;$D843="",COUNTIF(ListeIzinliGecis,$C843&amp;"|"&amp;$D843)&gt;0),"","GEÇERSİZ GEÇİŞ"))</f>
        <v/>
      </c>
      <c r="K843" s="24">
        <f>IF($A843="","",IF(OR($E843="",$G843=""),"",IF(ABS($G843-$E843)&gt;zincirTolerans,"ZİNCİR KIRIK","OK")))</f>
        <v/>
      </c>
      <c r="L843" s="24">
        <f>IF($A843="","",1)</f>
        <v/>
      </c>
    </row>
    <row r="844">
      <c r="A844" s="12" t="n"/>
      <c r="B844" s="12" t="n"/>
      <c r="C844" s="12" t="n"/>
      <c r="D844" s="12" t="n"/>
      <c r="E844" s="14" t="n"/>
      <c r="F844" s="14" t="n"/>
      <c r="G844" s="14" t="n"/>
      <c r="H844" s="15" t="n"/>
      <c r="I844" s="24">
        <f>IF($A844="","",IF($B844="","YETİM",IF(COUNTIF(tblKartlar[KartId],$B844)=0,"YETİM","")))</f>
        <v/>
      </c>
      <c r="J844" s="24">
        <f>IF(OR($A844="",$C844=""),"",IF(OR($C844&amp;"|"&amp;$D844="",COUNTIF(ListeIzinliGecis,$C844&amp;"|"&amp;$D844)&gt;0),"","GEÇERSİZ GEÇİŞ"))</f>
        <v/>
      </c>
      <c r="K844" s="24">
        <f>IF($A844="","",IF(OR($E844="",$G844=""),"",IF(ABS($G844-$E844)&gt;zincirTolerans,"ZİNCİR KIRIK","OK")))</f>
        <v/>
      </c>
      <c r="L844" s="24">
        <f>IF($A844="","",1)</f>
        <v/>
      </c>
    </row>
    <row r="845">
      <c r="A845" s="12" t="n"/>
      <c r="B845" s="12" t="n"/>
      <c r="C845" s="12" t="n"/>
      <c r="D845" s="12" t="n"/>
      <c r="E845" s="14" t="n"/>
      <c r="F845" s="14" t="n"/>
      <c r="G845" s="14" t="n"/>
      <c r="H845" s="15" t="n"/>
      <c r="I845" s="24">
        <f>IF($A845="","",IF($B845="","YETİM",IF(COUNTIF(tblKartlar[KartId],$B845)=0,"YETİM","")))</f>
        <v/>
      </c>
      <c r="J845" s="24">
        <f>IF(OR($A845="",$C845=""),"",IF(OR($C845&amp;"|"&amp;$D845="",COUNTIF(ListeIzinliGecis,$C845&amp;"|"&amp;$D845)&gt;0),"","GEÇERSİZ GEÇİŞ"))</f>
        <v/>
      </c>
      <c r="K845" s="24">
        <f>IF($A845="","",IF(OR($E845="",$G845=""),"",IF(ABS($G845-$E845)&gt;zincirTolerans,"ZİNCİR KIRIK","OK")))</f>
        <v/>
      </c>
      <c r="L845" s="24">
        <f>IF($A845="","",1)</f>
        <v/>
      </c>
    </row>
    <row r="846">
      <c r="A846" s="12" t="n"/>
      <c r="B846" s="12" t="n"/>
      <c r="C846" s="12" t="n"/>
      <c r="D846" s="12" t="n"/>
      <c r="E846" s="14" t="n"/>
      <c r="F846" s="14" t="n"/>
      <c r="G846" s="14" t="n"/>
      <c r="H846" s="15" t="n"/>
      <c r="I846" s="24">
        <f>IF($A846="","",IF($B846="","YETİM",IF(COUNTIF(tblKartlar[KartId],$B846)=0,"YETİM","")))</f>
        <v/>
      </c>
      <c r="J846" s="24">
        <f>IF(OR($A846="",$C846=""),"",IF(OR($C846&amp;"|"&amp;$D846="",COUNTIF(ListeIzinliGecis,$C846&amp;"|"&amp;$D846)&gt;0),"","GEÇERSİZ GEÇİŞ"))</f>
        <v/>
      </c>
      <c r="K846" s="24">
        <f>IF($A846="","",IF(OR($E846="",$G846=""),"",IF(ABS($G846-$E846)&gt;zincirTolerans,"ZİNCİR KIRIK","OK")))</f>
        <v/>
      </c>
      <c r="L846" s="24">
        <f>IF($A846="","",1)</f>
        <v/>
      </c>
    </row>
    <row r="847">
      <c r="A847" s="12" t="n"/>
      <c r="B847" s="12" t="n"/>
      <c r="C847" s="12" t="n"/>
      <c r="D847" s="12" t="n"/>
      <c r="E847" s="14" t="n"/>
      <c r="F847" s="14" t="n"/>
      <c r="G847" s="14" t="n"/>
      <c r="H847" s="15" t="n"/>
      <c r="I847" s="24">
        <f>IF($A847="","",IF($B847="","YETİM",IF(COUNTIF(tblKartlar[KartId],$B847)=0,"YETİM","")))</f>
        <v/>
      </c>
      <c r="J847" s="24">
        <f>IF(OR($A847="",$C847=""),"",IF(OR($C847&amp;"|"&amp;$D847="",COUNTIF(ListeIzinliGecis,$C847&amp;"|"&amp;$D847)&gt;0),"","GEÇERSİZ GEÇİŞ"))</f>
        <v/>
      </c>
      <c r="K847" s="24">
        <f>IF($A847="","",IF(OR($E847="",$G847=""),"",IF(ABS($G847-$E847)&gt;zincirTolerans,"ZİNCİR KIRIK","OK")))</f>
        <v/>
      </c>
      <c r="L847" s="24">
        <f>IF($A847="","",1)</f>
        <v/>
      </c>
    </row>
    <row r="848">
      <c r="A848" s="12" t="n"/>
      <c r="B848" s="12" t="n"/>
      <c r="C848" s="12" t="n"/>
      <c r="D848" s="12" t="n"/>
      <c r="E848" s="14" t="n"/>
      <c r="F848" s="14" t="n"/>
      <c r="G848" s="14" t="n"/>
      <c r="H848" s="15" t="n"/>
      <c r="I848" s="24">
        <f>IF($A848="","",IF($B848="","YETİM",IF(COUNTIF(tblKartlar[KartId],$B848)=0,"YETİM","")))</f>
        <v/>
      </c>
      <c r="J848" s="24">
        <f>IF(OR($A848="",$C848=""),"",IF(OR($C848&amp;"|"&amp;$D848="",COUNTIF(ListeIzinliGecis,$C848&amp;"|"&amp;$D848)&gt;0),"","GEÇERSİZ GEÇİŞ"))</f>
        <v/>
      </c>
      <c r="K848" s="24">
        <f>IF($A848="","",IF(OR($E848="",$G848=""),"",IF(ABS($G848-$E848)&gt;zincirTolerans,"ZİNCİR KIRIK","OK")))</f>
        <v/>
      </c>
      <c r="L848" s="24">
        <f>IF($A848="","",1)</f>
        <v/>
      </c>
    </row>
    <row r="849">
      <c r="A849" s="12" t="n"/>
      <c r="B849" s="12" t="n"/>
      <c r="C849" s="12" t="n"/>
      <c r="D849" s="12" t="n"/>
      <c r="E849" s="14" t="n"/>
      <c r="F849" s="14" t="n"/>
      <c r="G849" s="14" t="n"/>
      <c r="H849" s="15" t="n"/>
      <c r="I849" s="24">
        <f>IF($A849="","",IF($B849="","YETİM",IF(COUNTIF(tblKartlar[KartId],$B849)=0,"YETİM","")))</f>
        <v/>
      </c>
      <c r="J849" s="24">
        <f>IF(OR($A849="",$C849=""),"",IF(OR($C849&amp;"|"&amp;$D849="",COUNTIF(ListeIzinliGecis,$C849&amp;"|"&amp;$D849)&gt;0),"","GEÇERSİZ GEÇİŞ"))</f>
        <v/>
      </c>
      <c r="K849" s="24">
        <f>IF($A849="","",IF(OR($E849="",$G849=""),"",IF(ABS($G849-$E849)&gt;zincirTolerans,"ZİNCİR KIRIK","OK")))</f>
        <v/>
      </c>
      <c r="L849" s="24">
        <f>IF($A849="","",1)</f>
        <v/>
      </c>
    </row>
    <row r="850">
      <c r="A850" s="12" t="n"/>
      <c r="B850" s="12" t="n"/>
      <c r="C850" s="12" t="n"/>
      <c r="D850" s="12" t="n"/>
      <c r="E850" s="14" t="n"/>
      <c r="F850" s="14" t="n"/>
      <c r="G850" s="14" t="n"/>
      <c r="H850" s="15" t="n"/>
      <c r="I850" s="24">
        <f>IF($A850="","",IF($B850="","YETİM",IF(COUNTIF(tblKartlar[KartId],$B850)=0,"YETİM","")))</f>
        <v/>
      </c>
      <c r="J850" s="24">
        <f>IF(OR($A850="",$C850=""),"",IF(OR($C850&amp;"|"&amp;$D850="",COUNTIF(ListeIzinliGecis,$C850&amp;"|"&amp;$D850)&gt;0),"","GEÇERSİZ GEÇİŞ"))</f>
        <v/>
      </c>
      <c r="K850" s="24">
        <f>IF($A850="","",IF(OR($E850="",$G850=""),"",IF(ABS($G850-$E850)&gt;zincirTolerans,"ZİNCİR KIRIK","OK")))</f>
        <v/>
      </c>
      <c r="L850" s="24">
        <f>IF($A850="","",1)</f>
        <v/>
      </c>
    </row>
    <row r="851">
      <c r="A851" s="12" t="n"/>
      <c r="B851" s="12" t="n"/>
      <c r="C851" s="12" t="n"/>
      <c r="D851" s="12" t="n"/>
      <c r="E851" s="14" t="n"/>
      <c r="F851" s="14" t="n"/>
      <c r="G851" s="14" t="n"/>
      <c r="H851" s="15" t="n"/>
      <c r="I851" s="24">
        <f>IF($A851="","",IF($B851="","YETİM",IF(COUNTIF(tblKartlar[KartId],$B851)=0,"YETİM","")))</f>
        <v/>
      </c>
      <c r="J851" s="24">
        <f>IF(OR($A851="",$C851=""),"",IF(OR($C851&amp;"|"&amp;$D851="",COUNTIF(ListeIzinliGecis,$C851&amp;"|"&amp;$D851)&gt;0),"","GEÇERSİZ GEÇİŞ"))</f>
        <v/>
      </c>
      <c r="K851" s="24">
        <f>IF($A851="","",IF(OR($E851="",$G851=""),"",IF(ABS($G851-$E851)&gt;zincirTolerans,"ZİNCİR KIRIK","OK")))</f>
        <v/>
      </c>
      <c r="L851" s="24">
        <f>IF($A851="","",1)</f>
        <v/>
      </c>
    </row>
    <row r="852">
      <c r="A852" s="12" t="n"/>
      <c r="B852" s="12" t="n"/>
      <c r="C852" s="12" t="n"/>
      <c r="D852" s="12" t="n"/>
      <c r="E852" s="14" t="n"/>
      <c r="F852" s="14" t="n"/>
      <c r="G852" s="14" t="n"/>
      <c r="H852" s="15" t="n"/>
      <c r="I852" s="24">
        <f>IF($A852="","",IF($B852="","YETİM",IF(COUNTIF(tblKartlar[KartId],$B852)=0,"YETİM","")))</f>
        <v/>
      </c>
      <c r="J852" s="24">
        <f>IF(OR($A852="",$C852=""),"",IF(OR($C852&amp;"|"&amp;$D852="",COUNTIF(ListeIzinliGecis,$C852&amp;"|"&amp;$D852)&gt;0),"","GEÇERSİZ GEÇİŞ"))</f>
        <v/>
      </c>
      <c r="K852" s="24">
        <f>IF($A852="","",IF(OR($E852="",$G852=""),"",IF(ABS($G852-$E852)&gt;zincirTolerans,"ZİNCİR KIRIK","OK")))</f>
        <v/>
      </c>
      <c r="L852" s="24">
        <f>IF($A852="","",1)</f>
        <v/>
      </c>
    </row>
    <row r="853">
      <c r="A853" s="12" t="n"/>
      <c r="B853" s="12" t="n"/>
      <c r="C853" s="12" t="n"/>
      <c r="D853" s="12" t="n"/>
      <c r="E853" s="14" t="n"/>
      <c r="F853" s="14" t="n"/>
      <c r="G853" s="14" t="n"/>
      <c r="H853" s="15" t="n"/>
      <c r="I853" s="24">
        <f>IF($A853="","",IF($B853="","YETİM",IF(COUNTIF(tblKartlar[KartId],$B853)=0,"YETİM","")))</f>
        <v/>
      </c>
      <c r="J853" s="24">
        <f>IF(OR($A853="",$C853=""),"",IF(OR($C853&amp;"|"&amp;$D853="",COUNTIF(ListeIzinliGecis,$C853&amp;"|"&amp;$D853)&gt;0),"","GEÇERSİZ GEÇİŞ"))</f>
        <v/>
      </c>
      <c r="K853" s="24">
        <f>IF($A853="","",IF(OR($E853="",$G853=""),"",IF(ABS($G853-$E853)&gt;zincirTolerans,"ZİNCİR KIRIK","OK")))</f>
        <v/>
      </c>
      <c r="L853" s="24">
        <f>IF($A853="","",1)</f>
        <v/>
      </c>
    </row>
    <row r="854">
      <c r="A854" s="12" t="n"/>
      <c r="B854" s="12" t="n"/>
      <c r="C854" s="12" t="n"/>
      <c r="D854" s="12" t="n"/>
      <c r="E854" s="14" t="n"/>
      <c r="F854" s="14" t="n"/>
      <c r="G854" s="14" t="n"/>
      <c r="H854" s="15" t="n"/>
      <c r="I854" s="24">
        <f>IF($A854="","",IF($B854="","YETİM",IF(COUNTIF(tblKartlar[KartId],$B854)=0,"YETİM","")))</f>
        <v/>
      </c>
      <c r="J854" s="24">
        <f>IF(OR($A854="",$C854=""),"",IF(OR($C854&amp;"|"&amp;$D854="",COUNTIF(ListeIzinliGecis,$C854&amp;"|"&amp;$D854)&gt;0),"","GEÇERSİZ GEÇİŞ"))</f>
        <v/>
      </c>
      <c r="K854" s="24">
        <f>IF($A854="","",IF(OR($E854="",$G854=""),"",IF(ABS($G854-$E854)&gt;zincirTolerans,"ZİNCİR KIRIK","OK")))</f>
        <v/>
      </c>
      <c r="L854" s="24">
        <f>IF($A854="","",1)</f>
        <v/>
      </c>
    </row>
    <row r="855">
      <c r="A855" s="12" t="n"/>
      <c r="B855" s="12" t="n"/>
      <c r="C855" s="12" t="n"/>
      <c r="D855" s="12" t="n"/>
      <c r="E855" s="14" t="n"/>
      <c r="F855" s="14" t="n"/>
      <c r="G855" s="14" t="n"/>
      <c r="H855" s="15" t="n"/>
      <c r="I855" s="24">
        <f>IF($A855="","",IF($B855="","YETİM",IF(COUNTIF(tblKartlar[KartId],$B855)=0,"YETİM","")))</f>
        <v/>
      </c>
      <c r="J855" s="24">
        <f>IF(OR($A855="",$C855=""),"",IF(OR($C855&amp;"|"&amp;$D855="",COUNTIF(ListeIzinliGecis,$C855&amp;"|"&amp;$D855)&gt;0),"","GEÇERSİZ GEÇİŞ"))</f>
        <v/>
      </c>
      <c r="K855" s="24">
        <f>IF($A855="","",IF(OR($E855="",$G855=""),"",IF(ABS($G855-$E855)&gt;zincirTolerans,"ZİNCİR KIRIK","OK")))</f>
        <v/>
      </c>
      <c r="L855" s="24">
        <f>IF($A855="","",1)</f>
        <v/>
      </c>
    </row>
    <row r="856">
      <c r="A856" s="12" t="n"/>
      <c r="B856" s="12" t="n"/>
      <c r="C856" s="12" t="n"/>
      <c r="D856" s="12" t="n"/>
      <c r="E856" s="14" t="n"/>
      <c r="F856" s="14" t="n"/>
      <c r="G856" s="14" t="n"/>
      <c r="H856" s="15" t="n"/>
      <c r="I856" s="24">
        <f>IF($A856="","",IF($B856="","YETİM",IF(COUNTIF(tblKartlar[KartId],$B856)=0,"YETİM","")))</f>
        <v/>
      </c>
      <c r="J856" s="24">
        <f>IF(OR($A856="",$C856=""),"",IF(OR($C856&amp;"|"&amp;$D856="",COUNTIF(ListeIzinliGecis,$C856&amp;"|"&amp;$D856)&gt;0),"","GEÇERSİZ GEÇİŞ"))</f>
        <v/>
      </c>
      <c r="K856" s="24">
        <f>IF($A856="","",IF(OR($E856="",$G856=""),"",IF(ABS($G856-$E856)&gt;zincirTolerans,"ZİNCİR KIRIK","OK")))</f>
        <v/>
      </c>
      <c r="L856" s="24">
        <f>IF($A856="","",1)</f>
        <v/>
      </c>
    </row>
    <row r="857">
      <c r="A857" s="12" t="n"/>
      <c r="B857" s="12" t="n"/>
      <c r="C857" s="12" t="n"/>
      <c r="D857" s="12" t="n"/>
      <c r="E857" s="14" t="n"/>
      <c r="F857" s="14" t="n"/>
      <c r="G857" s="14" t="n"/>
      <c r="H857" s="15" t="n"/>
      <c r="I857" s="24">
        <f>IF($A857="","",IF($B857="","YETİM",IF(COUNTIF(tblKartlar[KartId],$B857)=0,"YETİM","")))</f>
        <v/>
      </c>
      <c r="J857" s="24">
        <f>IF(OR($A857="",$C857=""),"",IF(OR($C857&amp;"|"&amp;$D857="",COUNTIF(ListeIzinliGecis,$C857&amp;"|"&amp;$D857)&gt;0),"","GEÇERSİZ GEÇİŞ"))</f>
        <v/>
      </c>
      <c r="K857" s="24">
        <f>IF($A857="","",IF(OR($E857="",$G857=""),"",IF(ABS($G857-$E857)&gt;zincirTolerans,"ZİNCİR KIRIK","OK")))</f>
        <v/>
      </c>
      <c r="L857" s="24">
        <f>IF($A857="","",1)</f>
        <v/>
      </c>
    </row>
    <row r="858">
      <c r="A858" s="12" t="n"/>
      <c r="B858" s="12" t="n"/>
      <c r="C858" s="12" t="n"/>
      <c r="D858" s="12" t="n"/>
      <c r="E858" s="14" t="n"/>
      <c r="F858" s="14" t="n"/>
      <c r="G858" s="14" t="n"/>
      <c r="H858" s="15" t="n"/>
      <c r="I858" s="24">
        <f>IF($A858="","",IF($B858="","YETİM",IF(COUNTIF(tblKartlar[KartId],$B858)=0,"YETİM","")))</f>
        <v/>
      </c>
      <c r="J858" s="24">
        <f>IF(OR($A858="",$C858=""),"",IF(OR($C858&amp;"|"&amp;$D858="",COUNTIF(ListeIzinliGecis,$C858&amp;"|"&amp;$D858)&gt;0),"","GEÇERSİZ GEÇİŞ"))</f>
        <v/>
      </c>
      <c r="K858" s="24">
        <f>IF($A858="","",IF(OR($E858="",$G858=""),"",IF(ABS($G858-$E858)&gt;zincirTolerans,"ZİNCİR KIRIK","OK")))</f>
        <v/>
      </c>
      <c r="L858" s="24">
        <f>IF($A858="","",1)</f>
        <v/>
      </c>
    </row>
    <row r="859">
      <c r="A859" s="12" t="n"/>
      <c r="B859" s="12" t="n"/>
      <c r="C859" s="12" t="n"/>
      <c r="D859" s="12" t="n"/>
      <c r="E859" s="14" t="n"/>
      <c r="F859" s="14" t="n"/>
      <c r="G859" s="14" t="n"/>
      <c r="H859" s="15" t="n"/>
      <c r="I859" s="24">
        <f>IF($A859="","",IF($B859="","YETİM",IF(COUNTIF(tblKartlar[KartId],$B859)=0,"YETİM","")))</f>
        <v/>
      </c>
      <c r="J859" s="24">
        <f>IF(OR($A859="",$C859=""),"",IF(OR($C859&amp;"|"&amp;$D859="",COUNTIF(ListeIzinliGecis,$C859&amp;"|"&amp;$D859)&gt;0),"","GEÇERSİZ GEÇİŞ"))</f>
        <v/>
      </c>
      <c r="K859" s="24">
        <f>IF($A859="","",IF(OR($E859="",$G859=""),"",IF(ABS($G859-$E859)&gt;zincirTolerans,"ZİNCİR KIRIK","OK")))</f>
        <v/>
      </c>
      <c r="L859" s="24">
        <f>IF($A859="","",1)</f>
        <v/>
      </c>
    </row>
    <row r="860">
      <c r="A860" s="12" t="n"/>
      <c r="B860" s="12" t="n"/>
      <c r="C860" s="12" t="n"/>
      <c r="D860" s="12" t="n"/>
      <c r="E860" s="14" t="n"/>
      <c r="F860" s="14" t="n"/>
      <c r="G860" s="14" t="n"/>
      <c r="H860" s="15" t="n"/>
      <c r="I860" s="24">
        <f>IF($A860="","",IF($B860="","YETİM",IF(COUNTIF(tblKartlar[KartId],$B860)=0,"YETİM","")))</f>
        <v/>
      </c>
      <c r="J860" s="24">
        <f>IF(OR($A860="",$C860=""),"",IF(OR($C860&amp;"|"&amp;$D860="",COUNTIF(ListeIzinliGecis,$C860&amp;"|"&amp;$D860)&gt;0),"","GEÇERSİZ GEÇİŞ"))</f>
        <v/>
      </c>
      <c r="K860" s="24">
        <f>IF($A860="","",IF(OR($E860="",$G860=""),"",IF(ABS($G860-$E860)&gt;zincirTolerans,"ZİNCİR KIRIK","OK")))</f>
        <v/>
      </c>
      <c r="L860" s="24">
        <f>IF($A860="","",1)</f>
        <v/>
      </c>
    </row>
    <row r="861">
      <c r="A861" s="12" t="n"/>
      <c r="B861" s="12" t="n"/>
      <c r="C861" s="12" t="n"/>
      <c r="D861" s="12" t="n"/>
      <c r="E861" s="14" t="n"/>
      <c r="F861" s="14" t="n"/>
      <c r="G861" s="14" t="n"/>
      <c r="H861" s="15" t="n"/>
      <c r="I861" s="24">
        <f>IF($A861="","",IF($B861="","YETİM",IF(COUNTIF(tblKartlar[KartId],$B861)=0,"YETİM","")))</f>
        <v/>
      </c>
      <c r="J861" s="24">
        <f>IF(OR($A861="",$C861=""),"",IF(OR($C861&amp;"|"&amp;$D861="",COUNTIF(ListeIzinliGecis,$C861&amp;"|"&amp;$D861)&gt;0),"","GEÇERSİZ GEÇİŞ"))</f>
        <v/>
      </c>
      <c r="K861" s="24">
        <f>IF($A861="","",IF(OR($E861="",$G861=""),"",IF(ABS($G861-$E861)&gt;zincirTolerans,"ZİNCİR KIRIK","OK")))</f>
        <v/>
      </c>
      <c r="L861" s="24">
        <f>IF($A861="","",1)</f>
        <v/>
      </c>
    </row>
    <row r="862">
      <c r="A862" s="12" t="n"/>
      <c r="B862" s="12" t="n"/>
      <c r="C862" s="12" t="n"/>
      <c r="D862" s="12" t="n"/>
      <c r="E862" s="14" t="n"/>
      <c r="F862" s="14" t="n"/>
      <c r="G862" s="14" t="n"/>
      <c r="H862" s="15" t="n"/>
      <c r="I862" s="24">
        <f>IF($A862="","",IF($B862="","YETİM",IF(COUNTIF(tblKartlar[KartId],$B862)=0,"YETİM","")))</f>
        <v/>
      </c>
      <c r="J862" s="24">
        <f>IF(OR($A862="",$C862=""),"",IF(OR($C862&amp;"|"&amp;$D862="",COUNTIF(ListeIzinliGecis,$C862&amp;"|"&amp;$D862)&gt;0),"","GEÇERSİZ GEÇİŞ"))</f>
        <v/>
      </c>
      <c r="K862" s="24">
        <f>IF($A862="","",IF(OR($E862="",$G862=""),"",IF(ABS($G862-$E862)&gt;zincirTolerans,"ZİNCİR KIRIK","OK")))</f>
        <v/>
      </c>
      <c r="L862" s="24">
        <f>IF($A862="","",1)</f>
        <v/>
      </c>
    </row>
    <row r="863">
      <c r="A863" s="12" t="n"/>
      <c r="B863" s="12" t="n"/>
      <c r="C863" s="12" t="n"/>
      <c r="D863" s="12" t="n"/>
      <c r="E863" s="14" t="n"/>
      <c r="F863" s="14" t="n"/>
      <c r="G863" s="14" t="n"/>
      <c r="H863" s="15" t="n"/>
      <c r="I863" s="24">
        <f>IF($A863="","",IF($B863="","YETİM",IF(COUNTIF(tblKartlar[KartId],$B863)=0,"YETİM","")))</f>
        <v/>
      </c>
      <c r="J863" s="24">
        <f>IF(OR($A863="",$C863=""),"",IF(OR($C863&amp;"|"&amp;$D863="",COUNTIF(ListeIzinliGecis,$C863&amp;"|"&amp;$D863)&gt;0),"","GEÇERSİZ GEÇİŞ"))</f>
        <v/>
      </c>
      <c r="K863" s="24">
        <f>IF($A863="","",IF(OR($E863="",$G863=""),"",IF(ABS($G863-$E863)&gt;zincirTolerans,"ZİNCİR KIRIK","OK")))</f>
        <v/>
      </c>
      <c r="L863" s="24">
        <f>IF($A863="","",1)</f>
        <v/>
      </c>
    </row>
    <row r="864">
      <c r="A864" s="12" t="n"/>
      <c r="B864" s="12" t="n"/>
      <c r="C864" s="12" t="n"/>
      <c r="D864" s="12" t="n"/>
      <c r="E864" s="14" t="n"/>
      <c r="F864" s="14" t="n"/>
      <c r="G864" s="14" t="n"/>
      <c r="H864" s="15" t="n"/>
      <c r="I864" s="24">
        <f>IF($A864="","",IF($B864="","YETİM",IF(COUNTIF(tblKartlar[KartId],$B864)=0,"YETİM","")))</f>
        <v/>
      </c>
      <c r="J864" s="24">
        <f>IF(OR($A864="",$C864=""),"",IF(OR($C864&amp;"|"&amp;$D864="",COUNTIF(ListeIzinliGecis,$C864&amp;"|"&amp;$D864)&gt;0),"","GEÇERSİZ GEÇİŞ"))</f>
        <v/>
      </c>
      <c r="K864" s="24">
        <f>IF($A864="","",IF(OR($E864="",$G864=""),"",IF(ABS($G864-$E864)&gt;zincirTolerans,"ZİNCİR KIRIK","OK")))</f>
        <v/>
      </c>
      <c r="L864" s="24">
        <f>IF($A864="","",1)</f>
        <v/>
      </c>
    </row>
    <row r="865">
      <c r="A865" s="12" t="n"/>
      <c r="B865" s="12" t="n"/>
      <c r="C865" s="12" t="n"/>
      <c r="D865" s="12" t="n"/>
      <c r="E865" s="14" t="n"/>
      <c r="F865" s="14" t="n"/>
      <c r="G865" s="14" t="n"/>
      <c r="H865" s="15" t="n"/>
      <c r="I865" s="24">
        <f>IF($A865="","",IF($B865="","YETİM",IF(COUNTIF(tblKartlar[KartId],$B865)=0,"YETİM","")))</f>
        <v/>
      </c>
      <c r="J865" s="24">
        <f>IF(OR($A865="",$C865=""),"",IF(OR($C865&amp;"|"&amp;$D865="",COUNTIF(ListeIzinliGecis,$C865&amp;"|"&amp;$D865)&gt;0),"","GEÇERSİZ GEÇİŞ"))</f>
        <v/>
      </c>
      <c r="K865" s="24">
        <f>IF($A865="","",IF(OR($E865="",$G865=""),"",IF(ABS($G865-$E865)&gt;zincirTolerans,"ZİNCİR KIRIK","OK")))</f>
        <v/>
      </c>
      <c r="L865" s="24">
        <f>IF($A865="","",1)</f>
        <v/>
      </c>
    </row>
    <row r="866">
      <c r="A866" s="12" t="n"/>
      <c r="B866" s="12" t="n"/>
      <c r="C866" s="12" t="n"/>
      <c r="D866" s="12" t="n"/>
      <c r="E866" s="14" t="n"/>
      <c r="F866" s="14" t="n"/>
      <c r="G866" s="14" t="n"/>
      <c r="H866" s="15" t="n"/>
      <c r="I866" s="24">
        <f>IF($A866="","",IF($B866="","YETİM",IF(COUNTIF(tblKartlar[KartId],$B866)=0,"YETİM","")))</f>
        <v/>
      </c>
      <c r="J866" s="24">
        <f>IF(OR($A866="",$C866=""),"",IF(OR($C866&amp;"|"&amp;$D866="",COUNTIF(ListeIzinliGecis,$C866&amp;"|"&amp;$D866)&gt;0),"","GEÇERSİZ GEÇİŞ"))</f>
        <v/>
      </c>
      <c r="K866" s="24">
        <f>IF($A866="","",IF(OR($E866="",$G866=""),"",IF(ABS($G866-$E866)&gt;zincirTolerans,"ZİNCİR KIRIK","OK")))</f>
        <v/>
      </c>
      <c r="L866" s="24">
        <f>IF($A866="","",1)</f>
        <v/>
      </c>
    </row>
    <row r="867">
      <c r="A867" s="12" t="n"/>
      <c r="B867" s="12" t="n"/>
      <c r="C867" s="12" t="n"/>
      <c r="D867" s="12" t="n"/>
      <c r="E867" s="14" t="n"/>
      <c r="F867" s="14" t="n"/>
      <c r="G867" s="14" t="n"/>
      <c r="H867" s="15" t="n"/>
      <c r="I867" s="24">
        <f>IF($A867="","",IF($B867="","YETİM",IF(COUNTIF(tblKartlar[KartId],$B867)=0,"YETİM","")))</f>
        <v/>
      </c>
      <c r="J867" s="24">
        <f>IF(OR($A867="",$C867=""),"",IF(OR($C867&amp;"|"&amp;$D867="",COUNTIF(ListeIzinliGecis,$C867&amp;"|"&amp;$D867)&gt;0),"","GEÇERSİZ GEÇİŞ"))</f>
        <v/>
      </c>
      <c r="K867" s="24">
        <f>IF($A867="","",IF(OR($E867="",$G867=""),"",IF(ABS($G867-$E867)&gt;zincirTolerans,"ZİNCİR KIRIK","OK")))</f>
        <v/>
      </c>
      <c r="L867" s="24">
        <f>IF($A867="","",1)</f>
        <v/>
      </c>
    </row>
    <row r="868">
      <c r="A868" s="12" t="n"/>
      <c r="B868" s="12" t="n"/>
      <c r="C868" s="12" t="n"/>
      <c r="D868" s="12" t="n"/>
      <c r="E868" s="14" t="n"/>
      <c r="F868" s="14" t="n"/>
      <c r="G868" s="14" t="n"/>
      <c r="H868" s="15" t="n"/>
      <c r="I868" s="24">
        <f>IF($A868="","",IF($B868="","YETİM",IF(COUNTIF(tblKartlar[KartId],$B868)=0,"YETİM","")))</f>
        <v/>
      </c>
      <c r="J868" s="24">
        <f>IF(OR($A868="",$C868=""),"",IF(OR($C868&amp;"|"&amp;$D868="",COUNTIF(ListeIzinliGecis,$C868&amp;"|"&amp;$D868)&gt;0),"","GEÇERSİZ GEÇİŞ"))</f>
        <v/>
      </c>
      <c r="K868" s="24">
        <f>IF($A868="","",IF(OR($E868="",$G868=""),"",IF(ABS($G868-$E868)&gt;zincirTolerans,"ZİNCİR KIRIK","OK")))</f>
        <v/>
      </c>
      <c r="L868" s="24">
        <f>IF($A868="","",1)</f>
        <v/>
      </c>
    </row>
    <row r="869">
      <c r="A869" s="12" t="n"/>
      <c r="B869" s="12" t="n"/>
      <c r="C869" s="12" t="n"/>
      <c r="D869" s="12" t="n"/>
      <c r="E869" s="14" t="n"/>
      <c r="F869" s="14" t="n"/>
      <c r="G869" s="14" t="n"/>
      <c r="H869" s="15" t="n"/>
      <c r="I869" s="24">
        <f>IF($A869="","",IF($B869="","YETİM",IF(COUNTIF(tblKartlar[KartId],$B869)=0,"YETİM","")))</f>
        <v/>
      </c>
      <c r="J869" s="24">
        <f>IF(OR($A869="",$C869=""),"",IF(OR($C869&amp;"|"&amp;$D869="",COUNTIF(ListeIzinliGecis,$C869&amp;"|"&amp;$D869)&gt;0),"","GEÇERSİZ GEÇİŞ"))</f>
        <v/>
      </c>
      <c r="K869" s="24">
        <f>IF($A869="","",IF(OR($E869="",$G869=""),"",IF(ABS($G869-$E869)&gt;zincirTolerans,"ZİNCİR KIRIK","OK")))</f>
        <v/>
      </c>
      <c r="L869" s="24">
        <f>IF($A869="","",1)</f>
        <v/>
      </c>
    </row>
    <row r="870">
      <c r="A870" s="12" t="n"/>
      <c r="B870" s="12" t="n"/>
      <c r="C870" s="12" t="n"/>
      <c r="D870" s="12" t="n"/>
      <c r="E870" s="14" t="n"/>
      <c r="F870" s="14" t="n"/>
      <c r="G870" s="14" t="n"/>
      <c r="H870" s="15" t="n"/>
      <c r="I870" s="24">
        <f>IF($A870="","",IF($B870="","YETİM",IF(COUNTIF(tblKartlar[KartId],$B870)=0,"YETİM","")))</f>
        <v/>
      </c>
      <c r="J870" s="24">
        <f>IF(OR($A870="",$C870=""),"",IF(OR($C870&amp;"|"&amp;$D870="",COUNTIF(ListeIzinliGecis,$C870&amp;"|"&amp;$D870)&gt;0),"","GEÇERSİZ GEÇİŞ"))</f>
        <v/>
      </c>
      <c r="K870" s="24">
        <f>IF($A870="","",IF(OR($E870="",$G870=""),"",IF(ABS($G870-$E870)&gt;zincirTolerans,"ZİNCİR KIRIK","OK")))</f>
        <v/>
      </c>
      <c r="L870" s="24">
        <f>IF($A870="","",1)</f>
        <v/>
      </c>
    </row>
    <row r="871">
      <c r="A871" s="12" t="n"/>
      <c r="B871" s="12" t="n"/>
      <c r="C871" s="12" t="n"/>
      <c r="D871" s="12" t="n"/>
      <c r="E871" s="14" t="n"/>
      <c r="F871" s="14" t="n"/>
      <c r="G871" s="14" t="n"/>
      <c r="H871" s="15" t="n"/>
      <c r="I871" s="24">
        <f>IF($A871="","",IF($B871="","YETİM",IF(COUNTIF(tblKartlar[KartId],$B871)=0,"YETİM","")))</f>
        <v/>
      </c>
      <c r="J871" s="24">
        <f>IF(OR($A871="",$C871=""),"",IF(OR($C871&amp;"|"&amp;$D871="",COUNTIF(ListeIzinliGecis,$C871&amp;"|"&amp;$D871)&gt;0),"","GEÇERSİZ GEÇİŞ"))</f>
        <v/>
      </c>
      <c r="K871" s="24">
        <f>IF($A871="","",IF(OR($E871="",$G871=""),"",IF(ABS($G871-$E871)&gt;zincirTolerans,"ZİNCİR KIRIK","OK")))</f>
        <v/>
      </c>
      <c r="L871" s="24">
        <f>IF($A871="","",1)</f>
        <v/>
      </c>
    </row>
    <row r="872">
      <c r="A872" s="12" t="n"/>
      <c r="B872" s="12" t="n"/>
      <c r="C872" s="12" t="n"/>
      <c r="D872" s="12" t="n"/>
      <c r="E872" s="14" t="n"/>
      <c r="F872" s="14" t="n"/>
      <c r="G872" s="14" t="n"/>
      <c r="H872" s="15" t="n"/>
      <c r="I872" s="24">
        <f>IF($A872="","",IF($B872="","YETİM",IF(COUNTIF(tblKartlar[KartId],$B872)=0,"YETİM","")))</f>
        <v/>
      </c>
      <c r="J872" s="24">
        <f>IF(OR($A872="",$C872=""),"",IF(OR($C872&amp;"|"&amp;$D872="",COUNTIF(ListeIzinliGecis,$C872&amp;"|"&amp;$D872)&gt;0),"","GEÇERSİZ GEÇİŞ"))</f>
        <v/>
      </c>
      <c r="K872" s="24">
        <f>IF($A872="","",IF(OR($E872="",$G872=""),"",IF(ABS($G872-$E872)&gt;zincirTolerans,"ZİNCİR KIRIK","OK")))</f>
        <v/>
      </c>
      <c r="L872" s="24">
        <f>IF($A872="","",1)</f>
        <v/>
      </c>
    </row>
    <row r="873">
      <c r="A873" s="12" t="n"/>
      <c r="B873" s="12" t="n"/>
      <c r="C873" s="12" t="n"/>
      <c r="D873" s="12" t="n"/>
      <c r="E873" s="14" t="n"/>
      <c r="F873" s="14" t="n"/>
      <c r="G873" s="14" t="n"/>
      <c r="H873" s="15" t="n"/>
      <c r="I873" s="24">
        <f>IF($A873="","",IF($B873="","YETİM",IF(COUNTIF(tblKartlar[KartId],$B873)=0,"YETİM","")))</f>
        <v/>
      </c>
      <c r="J873" s="24">
        <f>IF(OR($A873="",$C873=""),"",IF(OR($C873&amp;"|"&amp;$D873="",COUNTIF(ListeIzinliGecis,$C873&amp;"|"&amp;$D873)&gt;0),"","GEÇERSİZ GEÇİŞ"))</f>
        <v/>
      </c>
      <c r="K873" s="24">
        <f>IF($A873="","",IF(OR($E873="",$G873=""),"",IF(ABS($G873-$E873)&gt;zincirTolerans,"ZİNCİR KIRIK","OK")))</f>
        <v/>
      </c>
      <c r="L873" s="24">
        <f>IF($A873="","",1)</f>
        <v/>
      </c>
    </row>
    <row r="874">
      <c r="A874" s="12" t="n"/>
      <c r="B874" s="12" t="n"/>
      <c r="C874" s="12" t="n"/>
      <c r="D874" s="12" t="n"/>
      <c r="E874" s="14" t="n"/>
      <c r="F874" s="14" t="n"/>
      <c r="G874" s="14" t="n"/>
      <c r="H874" s="15" t="n"/>
      <c r="I874" s="24">
        <f>IF($A874="","",IF($B874="","YETİM",IF(COUNTIF(tblKartlar[KartId],$B874)=0,"YETİM","")))</f>
        <v/>
      </c>
      <c r="J874" s="24">
        <f>IF(OR($A874="",$C874=""),"",IF(OR($C874&amp;"|"&amp;$D874="",COUNTIF(ListeIzinliGecis,$C874&amp;"|"&amp;$D874)&gt;0),"","GEÇERSİZ GEÇİŞ"))</f>
        <v/>
      </c>
      <c r="K874" s="24">
        <f>IF($A874="","",IF(OR($E874="",$G874=""),"",IF(ABS($G874-$E874)&gt;zincirTolerans,"ZİNCİR KIRIK","OK")))</f>
        <v/>
      </c>
      <c r="L874" s="24">
        <f>IF($A874="","",1)</f>
        <v/>
      </c>
    </row>
    <row r="875">
      <c r="A875" s="12" t="n"/>
      <c r="B875" s="12" t="n"/>
      <c r="C875" s="12" t="n"/>
      <c r="D875" s="12" t="n"/>
      <c r="E875" s="14" t="n"/>
      <c r="F875" s="14" t="n"/>
      <c r="G875" s="14" t="n"/>
      <c r="H875" s="15" t="n"/>
      <c r="I875" s="24">
        <f>IF($A875="","",IF($B875="","YETİM",IF(COUNTIF(tblKartlar[KartId],$B875)=0,"YETİM","")))</f>
        <v/>
      </c>
      <c r="J875" s="24">
        <f>IF(OR($A875="",$C875=""),"",IF(OR($C875&amp;"|"&amp;$D875="",COUNTIF(ListeIzinliGecis,$C875&amp;"|"&amp;$D875)&gt;0),"","GEÇERSİZ GEÇİŞ"))</f>
        <v/>
      </c>
      <c r="K875" s="24">
        <f>IF($A875="","",IF(OR($E875="",$G875=""),"",IF(ABS($G875-$E875)&gt;zincirTolerans,"ZİNCİR KIRIK","OK")))</f>
        <v/>
      </c>
      <c r="L875" s="24">
        <f>IF($A875="","",1)</f>
        <v/>
      </c>
    </row>
    <row r="876">
      <c r="A876" s="12" t="n"/>
      <c r="B876" s="12" t="n"/>
      <c r="C876" s="12" t="n"/>
      <c r="D876" s="12" t="n"/>
      <c r="E876" s="14" t="n"/>
      <c r="F876" s="14" t="n"/>
      <c r="G876" s="14" t="n"/>
      <c r="H876" s="15" t="n"/>
      <c r="I876" s="24">
        <f>IF($A876="","",IF($B876="","YETİM",IF(COUNTIF(tblKartlar[KartId],$B876)=0,"YETİM","")))</f>
        <v/>
      </c>
      <c r="J876" s="24">
        <f>IF(OR($A876="",$C876=""),"",IF(OR($C876&amp;"|"&amp;$D876="",COUNTIF(ListeIzinliGecis,$C876&amp;"|"&amp;$D876)&gt;0),"","GEÇERSİZ GEÇİŞ"))</f>
        <v/>
      </c>
      <c r="K876" s="24">
        <f>IF($A876="","",IF(OR($E876="",$G876=""),"",IF(ABS($G876-$E876)&gt;zincirTolerans,"ZİNCİR KIRIK","OK")))</f>
        <v/>
      </c>
      <c r="L876" s="24">
        <f>IF($A876="","",1)</f>
        <v/>
      </c>
    </row>
    <row r="877">
      <c r="A877" s="12" t="n"/>
      <c r="B877" s="12" t="n"/>
      <c r="C877" s="12" t="n"/>
      <c r="D877" s="12" t="n"/>
      <c r="E877" s="14" t="n"/>
      <c r="F877" s="14" t="n"/>
      <c r="G877" s="14" t="n"/>
      <c r="H877" s="15" t="n"/>
      <c r="I877" s="24">
        <f>IF($A877="","",IF($B877="","YETİM",IF(COUNTIF(tblKartlar[KartId],$B877)=0,"YETİM","")))</f>
        <v/>
      </c>
      <c r="J877" s="24">
        <f>IF(OR($A877="",$C877=""),"",IF(OR($C877&amp;"|"&amp;$D877="",COUNTIF(ListeIzinliGecis,$C877&amp;"|"&amp;$D877)&gt;0),"","GEÇERSİZ GEÇİŞ"))</f>
        <v/>
      </c>
      <c r="K877" s="24">
        <f>IF($A877="","",IF(OR($E877="",$G877=""),"",IF(ABS($G877-$E877)&gt;zincirTolerans,"ZİNCİR KIRIK","OK")))</f>
        <v/>
      </c>
      <c r="L877" s="24">
        <f>IF($A877="","",1)</f>
        <v/>
      </c>
    </row>
    <row r="878">
      <c r="A878" s="12" t="n"/>
      <c r="B878" s="12" t="n"/>
      <c r="C878" s="12" t="n"/>
      <c r="D878" s="12" t="n"/>
      <c r="E878" s="14" t="n"/>
      <c r="F878" s="14" t="n"/>
      <c r="G878" s="14" t="n"/>
      <c r="H878" s="15" t="n"/>
      <c r="I878" s="24">
        <f>IF($A878="","",IF($B878="","YETİM",IF(COUNTIF(tblKartlar[KartId],$B878)=0,"YETİM","")))</f>
        <v/>
      </c>
      <c r="J878" s="24">
        <f>IF(OR($A878="",$C878=""),"",IF(OR($C878&amp;"|"&amp;$D878="",COUNTIF(ListeIzinliGecis,$C878&amp;"|"&amp;$D878)&gt;0),"","GEÇERSİZ GEÇİŞ"))</f>
        <v/>
      </c>
      <c r="K878" s="24">
        <f>IF($A878="","",IF(OR($E878="",$G878=""),"",IF(ABS($G878-$E878)&gt;zincirTolerans,"ZİNCİR KIRIK","OK")))</f>
        <v/>
      </c>
      <c r="L878" s="24">
        <f>IF($A878="","",1)</f>
        <v/>
      </c>
    </row>
    <row r="879">
      <c r="A879" s="12" t="n"/>
      <c r="B879" s="12" t="n"/>
      <c r="C879" s="12" t="n"/>
      <c r="D879" s="12" t="n"/>
      <c r="E879" s="14" t="n"/>
      <c r="F879" s="14" t="n"/>
      <c r="G879" s="14" t="n"/>
      <c r="H879" s="15" t="n"/>
      <c r="I879" s="24">
        <f>IF($A879="","",IF($B879="","YETİM",IF(COUNTIF(tblKartlar[KartId],$B879)=0,"YETİM","")))</f>
        <v/>
      </c>
      <c r="J879" s="24">
        <f>IF(OR($A879="",$C879=""),"",IF(OR($C879&amp;"|"&amp;$D879="",COUNTIF(ListeIzinliGecis,$C879&amp;"|"&amp;$D879)&gt;0),"","GEÇERSİZ GEÇİŞ"))</f>
        <v/>
      </c>
      <c r="K879" s="24">
        <f>IF($A879="","",IF(OR($E879="",$G879=""),"",IF(ABS($G879-$E879)&gt;zincirTolerans,"ZİNCİR KIRIK","OK")))</f>
        <v/>
      </c>
      <c r="L879" s="24">
        <f>IF($A879="","",1)</f>
        <v/>
      </c>
    </row>
    <row r="880">
      <c r="A880" s="12" t="n"/>
      <c r="B880" s="12" t="n"/>
      <c r="C880" s="12" t="n"/>
      <c r="D880" s="12" t="n"/>
      <c r="E880" s="14" t="n"/>
      <c r="F880" s="14" t="n"/>
      <c r="G880" s="14" t="n"/>
      <c r="H880" s="15" t="n"/>
      <c r="I880" s="24">
        <f>IF($A880="","",IF($B880="","YETİM",IF(COUNTIF(tblKartlar[KartId],$B880)=0,"YETİM","")))</f>
        <v/>
      </c>
      <c r="J880" s="24">
        <f>IF(OR($A880="",$C880=""),"",IF(OR($C880&amp;"|"&amp;$D880="",COUNTIF(ListeIzinliGecis,$C880&amp;"|"&amp;$D880)&gt;0),"","GEÇERSİZ GEÇİŞ"))</f>
        <v/>
      </c>
      <c r="K880" s="24">
        <f>IF($A880="","",IF(OR($E880="",$G880=""),"",IF(ABS($G880-$E880)&gt;zincirTolerans,"ZİNCİR KIRIK","OK")))</f>
        <v/>
      </c>
      <c r="L880" s="24">
        <f>IF($A880="","",1)</f>
        <v/>
      </c>
    </row>
    <row r="881">
      <c r="A881" s="12" t="n"/>
      <c r="B881" s="12" t="n"/>
      <c r="C881" s="12" t="n"/>
      <c r="D881" s="12" t="n"/>
      <c r="E881" s="14" t="n"/>
      <c r="F881" s="14" t="n"/>
      <c r="G881" s="14" t="n"/>
      <c r="H881" s="15" t="n"/>
      <c r="I881" s="24">
        <f>IF($A881="","",IF($B881="","YETİM",IF(COUNTIF(tblKartlar[KartId],$B881)=0,"YETİM","")))</f>
        <v/>
      </c>
      <c r="J881" s="24">
        <f>IF(OR($A881="",$C881=""),"",IF(OR($C881&amp;"|"&amp;$D881="",COUNTIF(ListeIzinliGecis,$C881&amp;"|"&amp;$D881)&gt;0),"","GEÇERSİZ GEÇİŞ"))</f>
        <v/>
      </c>
      <c r="K881" s="24">
        <f>IF($A881="","",IF(OR($E881="",$G881=""),"",IF(ABS($G881-$E881)&gt;zincirTolerans,"ZİNCİR KIRIK","OK")))</f>
        <v/>
      </c>
      <c r="L881" s="24">
        <f>IF($A881="","",1)</f>
        <v/>
      </c>
    </row>
    <row r="882">
      <c r="A882" s="12" t="n"/>
      <c r="B882" s="12" t="n"/>
      <c r="C882" s="12" t="n"/>
      <c r="D882" s="12" t="n"/>
      <c r="E882" s="14" t="n"/>
      <c r="F882" s="14" t="n"/>
      <c r="G882" s="14" t="n"/>
      <c r="H882" s="15" t="n"/>
      <c r="I882" s="24">
        <f>IF($A882="","",IF($B882="","YETİM",IF(COUNTIF(tblKartlar[KartId],$B882)=0,"YETİM","")))</f>
        <v/>
      </c>
      <c r="J882" s="24">
        <f>IF(OR($A882="",$C882=""),"",IF(OR($C882&amp;"|"&amp;$D882="",COUNTIF(ListeIzinliGecis,$C882&amp;"|"&amp;$D882)&gt;0),"","GEÇERSİZ GEÇİŞ"))</f>
        <v/>
      </c>
      <c r="K882" s="24">
        <f>IF($A882="","",IF(OR($E882="",$G882=""),"",IF(ABS($G882-$E882)&gt;zincirTolerans,"ZİNCİR KIRIK","OK")))</f>
        <v/>
      </c>
      <c r="L882" s="24">
        <f>IF($A882="","",1)</f>
        <v/>
      </c>
    </row>
    <row r="883">
      <c r="A883" s="12" t="n"/>
      <c r="B883" s="12" t="n"/>
      <c r="C883" s="12" t="n"/>
      <c r="D883" s="12" t="n"/>
      <c r="E883" s="14" t="n"/>
      <c r="F883" s="14" t="n"/>
      <c r="G883" s="14" t="n"/>
      <c r="H883" s="15" t="n"/>
      <c r="I883" s="24">
        <f>IF($A883="","",IF($B883="","YETİM",IF(COUNTIF(tblKartlar[KartId],$B883)=0,"YETİM","")))</f>
        <v/>
      </c>
      <c r="J883" s="24">
        <f>IF(OR($A883="",$C883=""),"",IF(OR($C883&amp;"|"&amp;$D883="",COUNTIF(ListeIzinliGecis,$C883&amp;"|"&amp;$D883)&gt;0),"","GEÇERSİZ GEÇİŞ"))</f>
        <v/>
      </c>
      <c r="K883" s="24">
        <f>IF($A883="","",IF(OR($E883="",$G883=""),"",IF(ABS($G883-$E883)&gt;zincirTolerans,"ZİNCİR KIRIK","OK")))</f>
        <v/>
      </c>
      <c r="L883" s="24">
        <f>IF($A883="","",1)</f>
        <v/>
      </c>
    </row>
    <row r="884">
      <c r="A884" s="12" t="n"/>
      <c r="B884" s="12" t="n"/>
      <c r="C884" s="12" t="n"/>
      <c r="D884" s="12" t="n"/>
      <c r="E884" s="14" t="n"/>
      <c r="F884" s="14" t="n"/>
      <c r="G884" s="14" t="n"/>
      <c r="H884" s="15" t="n"/>
      <c r="I884" s="24">
        <f>IF($A884="","",IF($B884="","YETİM",IF(COUNTIF(tblKartlar[KartId],$B884)=0,"YETİM","")))</f>
        <v/>
      </c>
      <c r="J884" s="24">
        <f>IF(OR($A884="",$C884=""),"",IF(OR($C884&amp;"|"&amp;$D884="",COUNTIF(ListeIzinliGecis,$C884&amp;"|"&amp;$D884)&gt;0),"","GEÇERSİZ GEÇİŞ"))</f>
        <v/>
      </c>
      <c r="K884" s="24">
        <f>IF($A884="","",IF(OR($E884="",$G884=""),"",IF(ABS($G884-$E884)&gt;zincirTolerans,"ZİNCİR KIRIK","OK")))</f>
        <v/>
      </c>
      <c r="L884" s="24">
        <f>IF($A884="","",1)</f>
        <v/>
      </c>
    </row>
    <row r="885">
      <c r="A885" s="12" t="n"/>
      <c r="B885" s="12" t="n"/>
      <c r="C885" s="12" t="n"/>
      <c r="D885" s="12" t="n"/>
      <c r="E885" s="14" t="n"/>
      <c r="F885" s="14" t="n"/>
      <c r="G885" s="14" t="n"/>
      <c r="H885" s="15" t="n"/>
      <c r="I885" s="24">
        <f>IF($A885="","",IF($B885="","YETİM",IF(COUNTIF(tblKartlar[KartId],$B885)=0,"YETİM","")))</f>
        <v/>
      </c>
      <c r="J885" s="24">
        <f>IF(OR($A885="",$C885=""),"",IF(OR($C885&amp;"|"&amp;$D885="",COUNTIF(ListeIzinliGecis,$C885&amp;"|"&amp;$D885)&gt;0),"","GEÇERSİZ GEÇİŞ"))</f>
        <v/>
      </c>
      <c r="K885" s="24">
        <f>IF($A885="","",IF(OR($E885="",$G885=""),"",IF(ABS($G885-$E885)&gt;zincirTolerans,"ZİNCİR KIRIK","OK")))</f>
        <v/>
      </c>
      <c r="L885" s="24">
        <f>IF($A885="","",1)</f>
        <v/>
      </c>
    </row>
    <row r="886">
      <c r="A886" s="12" t="n"/>
      <c r="B886" s="12" t="n"/>
      <c r="C886" s="12" t="n"/>
      <c r="D886" s="12" t="n"/>
      <c r="E886" s="14" t="n"/>
      <c r="F886" s="14" t="n"/>
      <c r="G886" s="14" t="n"/>
      <c r="H886" s="15" t="n"/>
      <c r="I886" s="24">
        <f>IF($A886="","",IF($B886="","YETİM",IF(COUNTIF(tblKartlar[KartId],$B886)=0,"YETİM","")))</f>
        <v/>
      </c>
      <c r="J886" s="24">
        <f>IF(OR($A886="",$C886=""),"",IF(OR($C886&amp;"|"&amp;$D886="",COUNTIF(ListeIzinliGecis,$C886&amp;"|"&amp;$D886)&gt;0),"","GEÇERSİZ GEÇİŞ"))</f>
        <v/>
      </c>
      <c r="K886" s="24">
        <f>IF($A886="","",IF(OR($E886="",$G886=""),"",IF(ABS($G886-$E886)&gt;zincirTolerans,"ZİNCİR KIRIK","OK")))</f>
        <v/>
      </c>
      <c r="L886" s="24">
        <f>IF($A886="","",1)</f>
        <v/>
      </c>
    </row>
    <row r="887">
      <c r="A887" s="12" t="n"/>
      <c r="B887" s="12" t="n"/>
      <c r="C887" s="12" t="n"/>
      <c r="D887" s="12" t="n"/>
      <c r="E887" s="14" t="n"/>
      <c r="F887" s="14" t="n"/>
      <c r="G887" s="14" t="n"/>
      <c r="H887" s="15" t="n"/>
      <c r="I887" s="24">
        <f>IF($A887="","",IF($B887="","YETİM",IF(COUNTIF(tblKartlar[KartId],$B887)=0,"YETİM","")))</f>
        <v/>
      </c>
      <c r="J887" s="24">
        <f>IF(OR($A887="",$C887=""),"",IF(OR($C887&amp;"|"&amp;$D887="",COUNTIF(ListeIzinliGecis,$C887&amp;"|"&amp;$D887)&gt;0),"","GEÇERSİZ GEÇİŞ"))</f>
        <v/>
      </c>
      <c r="K887" s="24">
        <f>IF($A887="","",IF(OR($E887="",$G887=""),"",IF(ABS($G887-$E887)&gt;zincirTolerans,"ZİNCİR KIRIK","OK")))</f>
        <v/>
      </c>
      <c r="L887" s="24">
        <f>IF($A887="","",1)</f>
        <v/>
      </c>
    </row>
    <row r="888">
      <c r="A888" s="12" t="n"/>
      <c r="B888" s="12" t="n"/>
      <c r="C888" s="12" t="n"/>
      <c r="D888" s="12" t="n"/>
      <c r="E888" s="14" t="n"/>
      <c r="F888" s="14" t="n"/>
      <c r="G888" s="14" t="n"/>
      <c r="H888" s="15" t="n"/>
      <c r="I888" s="24">
        <f>IF($A888="","",IF($B888="","YETİM",IF(COUNTIF(tblKartlar[KartId],$B888)=0,"YETİM","")))</f>
        <v/>
      </c>
      <c r="J888" s="24">
        <f>IF(OR($A888="",$C888=""),"",IF(OR($C888&amp;"|"&amp;$D888="",COUNTIF(ListeIzinliGecis,$C888&amp;"|"&amp;$D888)&gt;0),"","GEÇERSİZ GEÇİŞ"))</f>
        <v/>
      </c>
      <c r="K888" s="24">
        <f>IF($A888="","",IF(OR($E888="",$G888=""),"",IF(ABS($G888-$E888)&gt;zincirTolerans,"ZİNCİR KIRIK","OK")))</f>
        <v/>
      </c>
      <c r="L888" s="24">
        <f>IF($A888="","",1)</f>
        <v/>
      </c>
    </row>
    <row r="889">
      <c r="A889" s="12" t="n"/>
      <c r="B889" s="12" t="n"/>
      <c r="C889" s="12" t="n"/>
      <c r="D889" s="12" t="n"/>
      <c r="E889" s="14" t="n"/>
      <c r="F889" s="14" t="n"/>
      <c r="G889" s="14" t="n"/>
      <c r="H889" s="15" t="n"/>
      <c r="I889" s="24">
        <f>IF($A889="","",IF($B889="","YETİM",IF(COUNTIF(tblKartlar[KartId],$B889)=0,"YETİM","")))</f>
        <v/>
      </c>
      <c r="J889" s="24">
        <f>IF(OR($A889="",$C889=""),"",IF(OR($C889&amp;"|"&amp;$D889="",COUNTIF(ListeIzinliGecis,$C889&amp;"|"&amp;$D889)&gt;0),"","GEÇERSİZ GEÇİŞ"))</f>
        <v/>
      </c>
      <c r="K889" s="24">
        <f>IF($A889="","",IF(OR($E889="",$G889=""),"",IF(ABS($G889-$E889)&gt;zincirTolerans,"ZİNCİR KIRIK","OK")))</f>
        <v/>
      </c>
      <c r="L889" s="24">
        <f>IF($A889="","",1)</f>
        <v/>
      </c>
    </row>
    <row r="890">
      <c r="A890" s="12" t="n"/>
      <c r="B890" s="12" t="n"/>
      <c r="C890" s="12" t="n"/>
      <c r="D890" s="12" t="n"/>
      <c r="E890" s="14" t="n"/>
      <c r="F890" s="14" t="n"/>
      <c r="G890" s="14" t="n"/>
      <c r="H890" s="15" t="n"/>
      <c r="I890" s="24">
        <f>IF($A890="","",IF($B890="","YETİM",IF(COUNTIF(tblKartlar[KartId],$B890)=0,"YETİM","")))</f>
        <v/>
      </c>
      <c r="J890" s="24">
        <f>IF(OR($A890="",$C890=""),"",IF(OR($C890&amp;"|"&amp;$D890="",COUNTIF(ListeIzinliGecis,$C890&amp;"|"&amp;$D890)&gt;0),"","GEÇERSİZ GEÇİŞ"))</f>
        <v/>
      </c>
      <c r="K890" s="24">
        <f>IF($A890="","",IF(OR($E890="",$G890=""),"",IF(ABS($G890-$E890)&gt;zincirTolerans,"ZİNCİR KIRIK","OK")))</f>
        <v/>
      </c>
      <c r="L890" s="24">
        <f>IF($A890="","",1)</f>
        <v/>
      </c>
    </row>
    <row r="891">
      <c r="A891" s="12" t="n"/>
      <c r="B891" s="12" t="n"/>
      <c r="C891" s="12" t="n"/>
      <c r="D891" s="12" t="n"/>
      <c r="E891" s="14" t="n"/>
      <c r="F891" s="14" t="n"/>
      <c r="G891" s="14" t="n"/>
      <c r="H891" s="15" t="n"/>
      <c r="I891" s="24">
        <f>IF($A891="","",IF($B891="","YETİM",IF(COUNTIF(tblKartlar[KartId],$B891)=0,"YETİM","")))</f>
        <v/>
      </c>
      <c r="J891" s="24">
        <f>IF(OR($A891="",$C891=""),"",IF(OR($C891&amp;"|"&amp;$D891="",COUNTIF(ListeIzinliGecis,$C891&amp;"|"&amp;$D891)&gt;0),"","GEÇERSİZ GEÇİŞ"))</f>
        <v/>
      </c>
      <c r="K891" s="24">
        <f>IF($A891="","",IF(OR($E891="",$G891=""),"",IF(ABS($G891-$E891)&gt;zincirTolerans,"ZİNCİR KIRIK","OK")))</f>
        <v/>
      </c>
      <c r="L891" s="24">
        <f>IF($A891="","",1)</f>
        <v/>
      </c>
    </row>
    <row r="892">
      <c r="A892" s="12" t="n"/>
      <c r="B892" s="12" t="n"/>
      <c r="C892" s="12" t="n"/>
      <c r="D892" s="12" t="n"/>
      <c r="E892" s="14" t="n"/>
      <c r="F892" s="14" t="n"/>
      <c r="G892" s="14" t="n"/>
      <c r="H892" s="15" t="n"/>
      <c r="I892" s="24">
        <f>IF($A892="","",IF($B892="","YETİM",IF(COUNTIF(tblKartlar[KartId],$B892)=0,"YETİM","")))</f>
        <v/>
      </c>
      <c r="J892" s="24">
        <f>IF(OR($A892="",$C892=""),"",IF(OR($C892&amp;"|"&amp;$D892="",COUNTIF(ListeIzinliGecis,$C892&amp;"|"&amp;$D892)&gt;0),"","GEÇERSİZ GEÇİŞ"))</f>
        <v/>
      </c>
      <c r="K892" s="24">
        <f>IF($A892="","",IF(OR($E892="",$G892=""),"",IF(ABS($G892-$E892)&gt;zincirTolerans,"ZİNCİR KIRIK","OK")))</f>
        <v/>
      </c>
      <c r="L892" s="24">
        <f>IF($A892="","",1)</f>
        <v/>
      </c>
    </row>
    <row r="893">
      <c r="A893" s="12" t="n"/>
      <c r="B893" s="12" t="n"/>
      <c r="C893" s="12" t="n"/>
      <c r="D893" s="12" t="n"/>
      <c r="E893" s="14" t="n"/>
      <c r="F893" s="14" t="n"/>
      <c r="G893" s="14" t="n"/>
      <c r="H893" s="15" t="n"/>
      <c r="I893" s="24">
        <f>IF($A893="","",IF($B893="","YETİM",IF(COUNTIF(tblKartlar[KartId],$B893)=0,"YETİM","")))</f>
        <v/>
      </c>
      <c r="J893" s="24">
        <f>IF(OR($A893="",$C893=""),"",IF(OR($C893&amp;"|"&amp;$D893="",COUNTIF(ListeIzinliGecis,$C893&amp;"|"&amp;$D893)&gt;0),"","GEÇERSİZ GEÇİŞ"))</f>
        <v/>
      </c>
      <c r="K893" s="24">
        <f>IF($A893="","",IF(OR($E893="",$G893=""),"",IF(ABS($G893-$E893)&gt;zincirTolerans,"ZİNCİR KIRIK","OK")))</f>
        <v/>
      </c>
      <c r="L893" s="24">
        <f>IF($A893="","",1)</f>
        <v/>
      </c>
    </row>
    <row r="894">
      <c r="A894" s="12" t="n"/>
      <c r="B894" s="12" t="n"/>
      <c r="C894" s="12" t="n"/>
      <c r="D894" s="12" t="n"/>
      <c r="E894" s="14" t="n"/>
      <c r="F894" s="14" t="n"/>
      <c r="G894" s="14" t="n"/>
      <c r="H894" s="15" t="n"/>
      <c r="I894" s="24">
        <f>IF($A894="","",IF($B894="","YETİM",IF(COUNTIF(tblKartlar[KartId],$B894)=0,"YETİM","")))</f>
        <v/>
      </c>
      <c r="J894" s="24">
        <f>IF(OR($A894="",$C894=""),"",IF(OR($C894&amp;"|"&amp;$D894="",COUNTIF(ListeIzinliGecis,$C894&amp;"|"&amp;$D894)&gt;0),"","GEÇERSİZ GEÇİŞ"))</f>
        <v/>
      </c>
      <c r="K894" s="24">
        <f>IF($A894="","",IF(OR($E894="",$G894=""),"",IF(ABS($G894-$E894)&gt;zincirTolerans,"ZİNCİR KIRIK","OK")))</f>
        <v/>
      </c>
      <c r="L894" s="24">
        <f>IF($A894="","",1)</f>
        <v/>
      </c>
    </row>
    <row r="895">
      <c r="A895" s="12" t="n"/>
      <c r="B895" s="12" t="n"/>
      <c r="C895" s="12" t="n"/>
      <c r="D895" s="12" t="n"/>
      <c r="E895" s="14" t="n"/>
      <c r="F895" s="14" t="n"/>
      <c r="G895" s="14" t="n"/>
      <c r="H895" s="15" t="n"/>
      <c r="I895" s="24">
        <f>IF($A895="","",IF($B895="","YETİM",IF(COUNTIF(tblKartlar[KartId],$B895)=0,"YETİM","")))</f>
        <v/>
      </c>
      <c r="J895" s="24">
        <f>IF(OR($A895="",$C895=""),"",IF(OR($C895&amp;"|"&amp;$D895="",COUNTIF(ListeIzinliGecis,$C895&amp;"|"&amp;$D895)&gt;0),"","GEÇERSİZ GEÇİŞ"))</f>
        <v/>
      </c>
      <c r="K895" s="24">
        <f>IF($A895="","",IF(OR($E895="",$G895=""),"",IF(ABS($G895-$E895)&gt;zincirTolerans,"ZİNCİR KIRIK","OK")))</f>
        <v/>
      </c>
      <c r="L895" s="24">
        <f>IF($A895="","",1)</f>
        <v/>
      </c>
    </row>
    <row r="896">
      <c r="A896" s="12" t="n"/>
      <c r="B896" s="12" t="n"/>
      <c r="C896" s="12" t="n"/>
      <c r="D896" s="12" t="n"/>
      <c r="E896" s="14" t="n"/>
      <c r="F896" s="14" t="n"/>
      <c r="G896" s="14" t="n"/>
      <c r="H896" s="15" t="n"/>
      <c r="I896" s="24">
        <f>IF($A896="","",IF($B896="","YETİM",IF(COUNTIF(tblKartlar[KartId],$B896)=0,"YETİM","")))</f>
        <v/>
      </c>
      <c r="J896" s="24">
        <f>IF(OR($A896="",$C896=""),"",IF(OR($C896&amp;"|"&amp;$D896="",COUNTIF(ListeIzinliGecis,$C896&amp;"|"&amp;$D896)&gt;0),"","GEÇERSİZ GEÇİŞ"))</f>
        <v/>
      </c>
      <c r="K896" s="24">
        <f>IF($A896="","",IF(OR($E896="",$G896=""),"",IF(ABS($G896-$E896)&gt;zincirTolerans,"ZİNCİR KIRIK","OK")))</f>
        <v/>
      </c>
      <c r="L896" s="24">
        <f>IF($A896="","",1)</f>
        <v/>
      </c>
    </row>
    <row r="897">
      <c r="A897" s="12" t="n"/>
      <c r="B897" s="12" t="n"/>
      <c r="C897" s="12" t="n"/>
      <c r="D897" s="12" t="n"/>
      <c r="E897" s="14" t="n"/>
      <c r="F897" s="14" t="n"/>
      <c r="G897" s="14" t="n"/>
      <c r="H897" s="15" t="n"/>
      <c r="I897" s="24">
        <f>IF($A897="","",IF($B897="","YETİM",IF(COUNTIF(tblKartlar[KartId],$B897)=0,"YETİM","")))</f>
        <v/>
      </c>
      <c r="J897" s="24">
        <f>IF(OR($A897="",$C897=""),"",IF(OR($C897&amp;"|"&amp;$D897="",COUNTIF(ListeIzinliGecis,$C897&amp;"|"&amp;$D897)&gt;0),"","GEÇERSİZ GEÇİŞ"))</f>
        <v/>
      </c>
      <c r="K897" s="24">
        <f>IF($A897="","",IF(OR($E897="",$G897=""),"",IF(ABS($G897-$E897)&gt;zincirTolerans,"ZİNCİR KIRIK","OK")))</f>
        <v/>
      </c>
      <c r="L897" s="24">
        <f>IF($A897="","",1)</f>
        <v/>
      </c>
    </row>
    <row r="898">
      <c r="A898" s="12" t="n"/>
      <c r="B898" s="12" t="n"/>
      <c r="C898" s="12" t="n"/>
      <c r="D898" s="12" t="n"/>
      <c r="E898" s="14" t="n"/>
      <c r="F898" s="14" t="n"/>
      <c r="G898" s="14" t="n"/>
      <c r="H898" s="15" t="n"/>
      <c r="I898" s="24">
        <f>IF($A898="","",IF($B898="","YETİM",IF(COUNTIF(tblKartlar[KartId],$B898)=0,"YETİM","")))</f>
        <v/>
      </c>
      <c r="J898" s="24">
        <f>IF(OR($A898="",$C898=""),"",IF(OR($C898&amp;"|"&amp;$D898="",COUNTIF(ListeIzinliGecis,$C898&amp;"|"&amp;$D898)&gt;0),"","GEÇERSİZ GEÇİŞ"))</f>
        <v/>
      </c>
      <c r="K898" s="24">
        <f>IF($A898="","",IF(OR($E898="",$G898=""),"",IF(ABS($G898-$E898)&gt;zincirTolerans,"ZİNCİR KIRIK","OK")))</f>
        <v/>
      </c>
      <c r="L898" s="24">
        <f>IF($A898="","",1)</f>
        <v/>
      </c>
    </row>
    <row r="899">
      <c r="A899" s="12" t="n"/>
      <c r="B899" s="12" t="n"/>
      <c r="C899" s="12" t="n"/>
      <c r="D899" s="12" t="n"/>
      <c r="E899" s="14" t="n"/>
      <c r="F899" s="14" t="n"/>
      <c r="G899" s="14" t="n"/>
      <c r="H899" s="15" t="n"/>
      <c r="I899" s="24">
        <f>IF($A899="","",IF($B899="","YETİM",IF(COUNTIF(tblKartlar[KartId],$B899)=0,"YETİM","")))</f>
        <v/>
      </c>
      <c r="J899" s="24">
        <f>IF(OR($A899="",$C899=""),"",IF(OR($C899&amp;"|"&amp;$D899="",COUNTIF(ListeIzinliGecis,$C899&amp;"|"&amp;$D899)&gt;0),"","GEÇERSİZ GEÇİŞ"))</f>
        <v/>
      </c>
      <c r="K899" s="24">
        <f>IF($A899="","",IF(OR($E899="",$G899=""),"",IF(ABS($G899-$E899)&gt;zincirTolerans,"ZİNCİR KIRIK","OK")))</f>
        <v/>
      </c>
      <c r="L899" s="24">
        <f>IF($A899="","",1)</f>
        <v/>
      </c>
    </row>
    <row r="900">
      <c r="A900" s="12" t="n"/>
      <c r="B900" s="12" t="n"/>
      <c r="C900" s="12" t="n"/>
      <c r="D900" s="12" t="n"/>
      <c r="E900" s="14" t="n"/>
      <c r="F900" s="14" t="n"/>
      <c r="G900" s="14" t="n"/>
      <c r="H900" s="15" t="n"/>
      <c r="I900" s="24">
        <f>IF($A900="","",IF($B900="","YETİM",IF(COUNTIF(tblKartlar[KartId],$B900)=0,"YETİM","")))</f>
        <v/>
      </c>
      <c r="J900" s="24">
        <f>IF(OR($A900="",$C900=""),"",IF(OR($C900&amp;"|"&amp;$D900="",COUNTIF(ListeIzinliGecis,$C900&amp;"|"&amp;$D900)&gt;0),"","GEÇERSİZ GEÇİŞ"))</f>
        <v/>
      </c>
      <c r="K900" s="24">
        <f>IF($A900="","",IF(OR($E900="",$G900=""),"",IF(ABS($G900-$E900)&gt;zincirTolerans,"ZİNCİR KIRIK","OK")))</f>
        <v/>
      </c>
      <c r="L900" s="24">
        <f>IF($A900="","",1)</f>
        <v/>
      </c>
    </row>
    <row r="901">
      <c r="A901" s="12" t="n"/>
      <c r="B901" s="12" t="n"/>
      <c r="C901" s="12" t="n"/>
      <c r="D901" s="12" t="n"/>
      <c r="E901" s="14" t="n"/>
      <c r="F901" s="14" t="n"/>
      <c r="G901" s="14" t="n"/>
      <c r="H901" s="15" t="n"/>
      <c r="I901" s="24">
        <f>IF($A901="","",IF($B901="","YETİM",IF(COUNTIF(tblKartlar[KartId],$B901)=0,"YETİM","")))</f>
        <v/>
      </c>
      <c r="J901" s="24">
        <f>IF(OR($A901="",$C901=""),"",IF(OR($C901&amp;"|"&amp;$D901="",COUNTIF(ListeIzinliGecis,$C901&amp;"|"&amp;$D901)&gt;0),"","GEÇERSİZ GEÇİŞ"))</f>
        <v/>
      </c>
      <c r="K901" s="24">
        <f>IF($A901="","",IF(OR($E901="",$G901=""),"",IF(ABS($G901-$E901)&gt;zincirTolerans,"ZİNCİR KIRIK","OK")))</f>
        <v/>
      </c>
      <c r="L901" s="24">
        <f>IF($A901="","",1)</f>
        <v/>
      </c>
    </row>
    <row r="902">
      <c r="A902" s="12" t="n"/>
      <c r="B902" s="12" t="n"/>
      <c r="C902" s="12" t="n"/>
      <c r="D902" s="12" t="n"/>
      <c r="E902" s="14" t="n"/>
      <c r="F902" s="14" t="n"/>
      <c r="G902" s="14" t="n"/>
      <c r="H902" s="15" t="n"/>
      <c r="I902" s="24">
        <f>IF($A902="","",IF($B902="","YETİM",IF(COUNTIF(tblKartlar[KartId],$B902)=0,"YETİM","")))</f>
        <v/>
      </c>
      <c r="J902" s="24">
        <f>IF(OR($A902="",$C902=""),"",IF(OR($C902&amp;"|"&amp;$D902="",COUNTIF(ListeIzinliGecis,$C902&amp;"|"&amp;$D902)&gt;0),"","GEÇERSİZ GEÇİŞ"))</f>
        <v/>
      </c>
      <c r="K902" s="24">
        <f>IF($A902="","",IF(OR($E902="",$G902=""),"",IF(ABS($G902-$E902)&gt;zincirTolerans,"ZİNCİR KIRIK","OK")))</f>
        <v/>
      </c>
      <c r="L902" s="24">
        <f>IF($A902="","",1)</f>
        <v/>
      </c>
    </row>
    <row r="903">
      <c r="A903" s="12" t="n"/>
      <c r="B903" s="12" t="n"/>
      <c r="C903" s="12" t="n"/>
      <c r="D903" s="12" t="n"/>
      <c r="E903" s="14" t="n"/>
      <c r="F903" s="14" t="n"/>
      <c r="G903" s="14" t="n"/>
      <c r="H903" s="15" t="n"/>
      <c r="I903" s="24">
        <f>IF($A903="","",IF($B903="","YETİM",IF(COUNTIF(tblKartlar[KartId],$B903)=0,"YETİM","")))</f>
        <v/>
      </c>
      <c r="J903" s="24">
        <f>IF(OR($A903="",$C903=""),"",IF(OR($C903&amp;"|"&amp;$D903="",COUNTIF(ListeIzinliGecis,$C903&amp;"|"&amp;$D903)&gt;0),"","GEÇERSİZ GEÇİŞ"))</f>
        <v/>
      </c>
      <c r="K903" s="24">
        <f>IF($A903="","",IF(OR($E903="",$G903=""),"",IF(ABS($G903-$E903)&gt;zincirTolerans,"ZİNCİR KIRIK","OK")))</f>
        <v/>
      </c>
      <c r="L903" s="24">
        <f>IF($A903="","",1)</f>
        <v/>
      </c>
    </row>
    <row r="904">
      <c r="A904" s="12" t="n"/>
      <c r="B904" s="12" t="n"/>
      <c r="C904" s="12" t="n"/>
      <c r="D904" s="12" t="n"/>
      <c r="E904" s="14" t="n"/>
      <c r="F904" s="14" t="n"/>
      <c r="G904" s="14" t="n"/>
      <c r="H904" s="15" t="n"/>
      <c r="I904" s="24">
        <f>IF($A904="","",IF($B904="","YETİM",IF(COUNTIF(tblKartlar[KartId],$B904)=0,"YETİM","")))</f>
        <v/>
      </c>
      <c r="J904" s="24">
        <f>IF(OR($A904="",$C904=""),"",IF(OR($C904&amp;"|"&amp;$D904="",COUNTIF(ListeIzinliGecis,$C904&amp;"|"&amp;$D904)&gt;0),"","GEÇERSİZ GEÇİŞ"))</f>
        <v/>
      </c>
      <c r="K904" s="24">
        <f>IF($A904="","",IF(OR($E904="",$G904=""),"",IF(ABS($G904-$E904)&gt;zincirTolerans,"ZİNCİR KIRIK","OK")))</f>
        <v/>
      </c>
      <c r="L904" s="24">
        <f>IF($A904="","",1)</f>
        <v/>
      </c>
    </row>
    <row r="905">
      <c r="A905" s="12" t="n"/>
      <c r="B905" s="12" t="n"/>
      <c r="C905" s="12" t="n"/>
      <c r="D905" s="12" t="n"/>
      <c r="E905" s="14" t="n"/>
      <c r="F905" s="14" t="n"/>
      <c r="G905" s="14" t="n"/>
      <c r="H905" s="15" t="n"/>
      <c r="I905" s="24">
        <f>IF($A905="","",IF($B905="","YETİM",IF(COUNTIF(tblKartlar[KartId],$B905)=0,"YETİM","")))</f>
        <v/>
      </c>
      <c r="J905" s="24">
        <f>IF(OR($A905="",$C905=""),"",IF(OR($C905&amp;"|"&amp;$D905="",COUNTIF(ListeIzinliGecis,$C905&amp;"|"&amp;$D905)&gt;0),"","GEÇERSİZ GEÇİŞ"))</f>
        <v/>
      </c>
      <c r="K905" s="24">
        <f>IF($A905="","",IF(OR($E905="",$G905=""),"",IF(ABS($G905-$E905)&gt;zincirTolerans,"ZİNCİR KIRIK","OK")))</f>
        <v/>
      </c>
      <c r="L905" s="24">
        <f>IF($A905="","",1)</f>
        <v/>
      </c>
    </row>
    <row r="906">
      <c r="A906" s="12" t="n"/>
      <c r="B906" s="12" t="n"/>
      <c r="C906" s="12" t="n"/>
      <c r="D906" s="12" t="n"/>
      <c r="E906" s="14" t="n"/>
      <c r="F906" s="14" t="n"/>
      <c r="G906" s="14" t="n"/>
      <c r="H906" s="15" t="n"/>
      <c r="I906" s="24">
        <f>IF($A906="","",IF($B906="","YETİM",IF(COUNTIF(tblKartlar[KartId],$B906)=0,"YETİM","")))</f>
        <v/>
      </c>
      <c r="J906" s="24">
        <f>IF(OR($A906="",$C906=""),"",IF(OR($C906&amp;"|"&amp;$D906="",COUNTIF(ListeIzinliGecis,$C906&amp;"|"&amp;$D906)&gt;0),"","GEÇERSİZ GEÇİŞ"))</f>
        <v/>
      </c>
      <c r="K906" s="24">
        <f>IF($A906="","",IF(OR($E906="",$G906=""),"",IF(ABS($G906-$E906)&gt;zincirTolerans,"ZİNCİR KIRIK","OK")))</f>
        <v/>
      </c>
      <c r="L906" s="24">
        <f>IF($A906="","",1)</f>
        <v/>
      </c>
    </row>
    <row r="907">
      <c r="A907" s="12" t="n"/>
      <c r="B907" s="12" t="n"/>
      <c r="C907" s="12" t="n"/>
      <c r="D907" s="12" t="n"/>
      <c r="E907" s="14" t="n"/>
      <c r="F907" s="14" t="n"/>
      <c r="G907" s="14" t="n"/>
      <c r="H907" s="15" t="n"/>
      <c r="I907" s="24">
        <f>IF($A907="","",IF($B907="","YETİM",IF(COUNTIF(tblKartlar[KartId],$B907)=0,"YETİM","")))</f>
        <v/>
      </c>
      <c r="J907" s="24">
        <f>IF(OR($A907="",$C907=""),"",IF(OR($C907&amp;"|"&amp;$D907="",COUNTIF(ListeIzinliGecis,$C907&amp;"|"&amp;$D907)&gt;0),"","GEÇERSİZ GEÇİŞ"))</f>
        <v/>
      </c>
      <c r="K907" s="24">
        <f>IF($A907="","",IF(OR($E907="",$G907=""),"",IF(ABS($G907-$E907)&gt;zincirTolerans,"ZİNCİR KIRIK","OK")))</f>
        <v/>
      </c>
      <c r="L907" s="24">
        <f>IF($A907="","",1)</f>
        <v/>
      </c>
    </row>
    <row r="908">
      <c r="A908" s="12" t="n"/>
      <c r="B908" s="12" t="n"/>
      <c r="C908" s="12" t="n"/>
      <c r="D908" s="12" t="n"/>
      <c r="E908" s="14" t="n"/>
      <c r="F908" s="14" t="n"/>
      <c r="G908" s="14" t="n"/>
      <c r="H908" s="15" t="n"/>
      <c r="I908" s="24">
        <f>IF($A908="","",IF($B908="","YETİM",IF(COUNTIF(tblKartlar[KartId],$B908)=0,"YETİM","")))</f>
        <v/>
      </c>
      <c r="J908" s="24">
        <f>IF(OR($A908="",$C908=""),"",IF(OR($C908&amp;"|"&amp;$D908="",COUNTIF(ListeIzinliGecis,$C908&amp;"|"&amp;$D908)&gt;0),"","GEÇERSİZ GEÇİŞ"))</f>
        <v/>
      </c>
      <c r="K908" s="24">
        <f>IF($A908="","",IF(OR($E908="",$G908=""),"",IF(ABS($G908-$E908)&gt;zincirTolerans,"ZİNCİR KIRIK","OK")))</f>
        <v/>
      </c>
      <c r="L908" s="24">
        <f>IF($A908="","",1)</f>
        <v/>
      </c>
    </row>
    <row r="909">
      <c r="A909" s="12" t="n"/>
      <c r="B909" s="12" t="n"/>
      <c r="C909" s="12" t="n"/>
      <c r="D909" s="12" t="n"/>
      <c r="E909" s="14" t="n"/>
      <c r="F909" s="14" t="n"/>
      <c r="G909" s="14" t="n"/>
      <c r="H909" s="15" t="n"/>
      <c r="I909" s="24">
        <f>IF($A909="","",IF($B909="","YETİM",IF(COUNTIF(tblKartlar[KartId],$B909)=0,"YETİM","")))</f>
        <v/>
      </c>
      <c r="J909" s="24">
        <f>IF(OR($A909="",$C909=""),"",IF(OR($C909&amp;"|"&amp;$D909="",COUNTIF(ListeIzinliGecis,$C909&amp;"|"&amp;$D909)&gt;0),"","GEÇERSİZ GEÇİŞ"))</f>
        <v/>
      </c>
      <c r="K909" s="24">
        <f>IF($A909="","",IF(OR($E909="",$G909=""),"",IF(ABS($G909-$E909)&gt;zincirTolerans,"ZİNCİR KIRIK","OK")))</f>
        <v/>
      </c>
      <c r="L909" s="24">
        <f>IF($A909="","",1)</f>
        <v/>
      </c>
    </row>
    <row r="910">
      <c r="A910" s="12" t="n"/>
      <c r="B910" s="12" t="n"/>
      <c r="C910" s="12" t="n"/>
      <c r="D910" s="12" t="n"/>
      <c r="E910" s="14" t="n"/>
      <c r="F910" s="14" t="n"/>
      <c r="G910" s="14" t="n"/>
      <c r="H910" s="15" t="n"/>
      <c r="I910" s="24">
        <f>IF($A910="","",IF($B910="","YETİM",IF(COUNTIF(tblKartlar[KartId],$B910)=0,"YETİM","")))</f>
        <v/>
      </c>
      <c r="J910" s="24">
        <f>IF(OR($A910="",$C910=""),"",IF(OR($C910&amp;"|"&amp;$D910="",COUNTIF(ListeIzinliGecis,$C910&amp;"|"&amp;$D910)&gt;0),"","GEÇERSİZ GEÇİŞ"))</f>
        <v/>
      </c>
      <c r="K910" s="24">
        <f>IF($A910="","",IF(OR($E910="",$G910=""),"",IF(ABS($G910-$E910)&gt;zincirTolerans,"ZİNCİR KIRIK","OK")))</f>
        <v/>
      </c>
      <c r="L910" s="24">
        <f>IF($A910="","",1)</f>
        <v/>
      </c>
    </row>
    <row r="911">
      <c r="A911" s="12" t="n"/>
      <c r="B911" s="12" t="n"/>
      <c r="C911" s="12" t="n"/>
      <c r="D911" s="12" t="n"/>
      <c r="E911" s="14" t="n"/>
      <c r="F911" s="14" t="n"/>
      <c r="G911" s="14" t="n"/>
      <c r="H911" s="15" t="n"/>
      <c r="I911" s="24">
        <f>IF($A911="","",IF($B911="","YETİM",IF(COUNTIF(tblKartlar[KartId],$B911)=0,"YETİM","")))</f>
        <v/>
      </c>
      <c r="J911" s="24">
        <f>IF(OR($A911="",$C911=""),"",IF(OR($C911&amp;"|"&amp;$D911="",COUNTIF(ListeIzinliGecis,$C911&amp;"|"&amp;$D911)&gt;0),"","GEÇERSİZ GEÇİŞ"))</f>
        <v/>
      </c>
      <c r="K911" s="24">
        <f>IF($A911="","",IF(OR($E911="",$G911=""),"",IF(ABS($G911-$E911)&gt;zincirTolerans,"ZİNCİR KIRIK","OK")))</f>
        <v/>
      </c>
      <c r="L911" s="24">
        <f>IF($A911="","",1)</f>
        <v/>
      </c>
    </row>
    <row r="912">
      <c r="A912" s="12" t="n"/>
      <c r="B912" s="12" t="n"/>
      <c r="C912" s="12" t="n"/>
      <c r="D912" s="12" t="n"/>
      <c r="E912" s="14" t="n"/>
      <c r="F912" s="14" t="n"/>
      <c r="G912" s="14" t="n"/>
      <c r="H912" s="15" t="n"/>
      <c r="I912" s="24">
        <f>IF($A912="","",IF($B912="","YETİM",IF(COUNTIF(tblKartlar[KartId],$B912)=0,"YETİM","")))</f>
        <v/>
      </c>
      <c r="J912" s="24">
        <f>IF(OR($A912="",$C912=""),"",IF(OR($C912&amp;"|"&amp;$D912="",COUNTIF(ListeIzinliGecis,$C912&amp;"|"&amp;$D912)&gt;0),"","GEÇERSİZ GEÇİŞ"))</f>
        <v/>
      </c>
      <c r="K912" s="24">
        <f>IF($A912="","",IF(OR($E912="",$G912=""),"",IF(ABS($G912-$E912)&gt;zincirTolerans,"ZİNCİR KIRIK","OK")))</f>
        <v/>
      </c>
      <c r="L912" s="24">
        <f>IF($A912="","",1)</f>
        <v/>
      </c>
    </row>
    <row r="913">
      <c r="A913" s="12" t="n"/>
      <c r="B913" s="12" t="n"/>
      <c r="C913" s="12" t="n"/>
      <c r="D913" s="12" t="n"/>
      <c r="E913" s="14" t="n"/>
      <c r="F913" s="14" t="n"/>
      <c r="G913" s="14" t="n"/>
      <c r="H913" s="15" t="n"/>
      <c r="I913" s="24">
        <f>IF($A913="","",IF($B913="","YETİM",IF(COUNTIF(tblKartlar[KartId],$B913)=0,"YETİM","")))</f>
        <v/>
      </c>
      <c r="J913" s="24">
        <f>IF(OR($A913="",$C913=""),"",IF(OR($C913&amp;"|"&amp;$D913="",COUNTIF(ListeIzinliGecis,$C913&amp;"|"&amp;$D913)&gt;0),"","GEÇERSİZ GEÇİŞ"))</f>
        <v/>
      </c>
      <c r="K913" s="24">
        <f>IF($A913="","",IF(OR($E913="",$G913=""),"",IF(ABS($G913-$E913)&gt;zincirTolerans,"ZİNCİR KIRIK","OK")))</f>
        <v/>
      </c>
      <c r="L913" s="24">
        <f>IF($A913="","",1)</f>
        <v/>
      </c>
    </row>
    <row r="914">
      <c r="A914" s="12" t="n"/>
      <c r="B914" s="12" t="n"/>
      <c r="C914" s="12" t="n"/>
      <c r="D914" s="12" t="n"/>
      <c r="E914" s="14" t="n"/>
      <c r="F914" s="14" t="n"/>
      <c r="G914" s="14" t="n"/>
      <c r="H914" s="15" t="n"/>
      <c r="I914" s="24">
        <f>IF($A914="","",IF($B914="","YETİM",IF(COUNTIF(tblKartlar[KartId],$B914)=0,"YETİM","")))</f>
        <v/>
      </c>
      <c r="J914" s="24">
        <f>IF(OR($A914="",$C914=""),"",IF(OR($C914&amp;"|"&amp;$D914="",COUNTIF(ListeIzinliGecis,$C914&amp;"|"&amp;$D914)&gt;0),"","GEÇERSİZ GEÇİŞ"))</f>
        <v/>
      </c>
      <c r="K914" s="24">
        <f>IF($A914="","",IF(OR($E914="",$G914=""),"",IF(ABS($G914-$E914)&gt;zincirTolerans,"ZİNCİR KIRIK","OK")))</f>
        <v/>
      </c>
      <c r="L914" s="24">
        <f>IF($A914="","",1)</f>
        <v/>
      </c>
    </row>
    <row r="915">
      <c r="A915" s="12" t="n"/>
      <c r="B915" s="12" t="n"/>
      <c r="C915" s="12" t="n"/>
      <c r="D915" s="12" t="n"/>
      <c r="E915" s="14" t="n"/>
      <c r="F915" s="14" t="n"/>
      <c r="G915" s="14" t="n"/>
      <c r="H915" s="15" t="n"/>
      <c r="I915" s="24">
        <f>IF($A915="","",IF($B915="","YETİM",IF(COUNTIF(tblKartlar[KartId],$B915)=0,"YETİM","")))</f>
        <v/>
      </c>
      <c r="J915" s="24">
        <f>IF(OR($A915="",$C915=""),"",IF(OR($C915&amp;"|"&amp;$D915="",COUNTIF(ListeIzinliGecis,$C915&amp;"|"&amp;$D915)&gt;0),"","GEÇERSİZ GEÇİŞ"))</f>
        <v/>
      </c>
      <c r="K915" s="24">
        <f>IF($A915="","",IF(OR($E915="",$G915=""),"",IF(ABS($G915-$E915)&gt;zincirTolerans,"ZİNCİR KIRIK","OK")))</f>
        <v/>
      </c>
      <c r="L915" s="24">
        <f>IF($A915="","",1)</f>
        <v/>
      </c>
    </row>
    <row r="916">
      <c r="A916" s="12" t="n"/>
      <c r="B916" s="12" t="n"/>
      <c r="C916" s="12" t="n"/>
      <c r="D916" s="12" t="n"/>
      <c r="E916" s="14" t="n"/>
      <c r="F916" s="14" t="n"/>
      <c r="G916" s="14" t="n"/>
      <c r="H916" s="15" t="n"/>
      <c r="I916" s="24">
        <f>IF($A916="","",IF($B916="","YETİM",IF(COUNTIF(tblKartlar[KartId],$B916)=0,"YETİM","")))</f>
        <v/>
      </c>
      <c r="J916" s="24">
        <f>IF(OR($A916="",$C916=""),"",IF(OR($C916&amp;"|"&amp;$D916="",COUNTIF(ListeIzinliGecis,$C916&amp;"|"&amp;$D916)&gt;0),"","GEÇERSİZ GEÇİŞ"))</f>
        <v/>
      </c>
      <c r="K916" s="24">
        <f>IF($A916="","",IF(OR($E916="",$G916=""),"",IF(ABS($G916-$E916)&gt;zincirTolerans,"ZİNCİR KIRIK","OK")))</f>
        <v/>
      </c>
      <c r="L916" s="24">
        <f>IF($A916="","",1)</f>
        <v/>
      </c>
    </row>
    <row r="917">
      <c r="A917" s="12" t="n"/>
      <c r="B917" s="12" t="n"/>
      <c r="C917" s="12" t="n"/>
      <c r="D917" s="12" t="n"/>
      <c r="E917" s="14" t="n"/>
      <c r="F917" s="14" t="n"/>
      <c r="G917" s="14" t="n"/>
      <c r="H917" s="15" t="n"/>
      <c r="I917" s="24">
        <f>IF($A917="","",IF($B917="","YETİM",IF(COUNTIF(tblKartlar[KartId],$B917)=0,"YETİM","")))</f>
        <v/>
      </c>
      <c r="J917" s="24">
        <f>IF(OR($A917="",$C917=""),"",IF(OR($C917&amp;"|"&amp;$D917="",COUNTIF(ListeIzinliGecis,$C917&amp;"|"&amp;$D917)&gt;0),"","GEÇERSİZ GEÇİŞ"))</f>
        <v/>
      </c>
      <c r="K917" s="24">
        <f>IF($A917="","",IF(OR($E917="",$G917=""),"",IF(ABS($G917-$E917)&gt;zincirTolerans,"ZİNCİR KIRIK","OK")))</f>
        <v/>
      </c>
      <c r="L917" s="24">
        <f>IF($A917="","",1)</f>
        <v/>
      </c>
    </row>
    <row r="918">
      <c r="A918" s="12" t="n"/>
      <c r="B918" s="12" t="n"/>
      <c r="C918" s="12" t="n"/>
      <c r="D918" s="12" t="n"/>
      <c r="E918" s="14" t="n"/>
      <c r="F918" s="14" t="n"/>
      <c r="G918" s="14" t="n"/>
      <c r="H918" s="15" t="n"/>
      <c r="I918" s="24">
        <f>IF($A918="","",IF($B918="","YETİM",IF(COUNTIF(tblKartlar[KartId],$B918)=0,"YETİM","")))</f>
        <v/>
      </c>
      <c r="J918" s="24">
        <f>IF(OR($A918="",$C918=""),"",IF(OR($C918&amp;"|"&amp;$D918="",COUNTIF(ListeIzinliGecis,$C918&amp;"|"&amp;$D918)&gt;0),"","GEÇERSİZ GEÇİŞ"))</f>
        <v/>
      </c>
      <c r="K918" s="24">
        <f>IF($A918="","",IF(OR($E918="",$G918=""),"",IF(ABS($G918-$E918)&gt;zincirTolerans,"ZİNCİR KIRIK","OK")))</f>
        <v/>
      </c>
      <c r="L918" s="24">
        <f>IF($A918="","",1)</f>
        <v/>
      </c>
    </row>
    <row r="919">
      <c r="A919" s="12" t="n"/>
      <c r="B919" s="12" t="n"/>
      <c r="C919" s="12" t="n"/>
      <c r="D919" s="12" t="n"/>
      <c r="E919" s="14" t="n"/>
      <c r="F919" s="14" t="n"/>
      <c r="G919" s="14" t="n"/>
      <c r="H919" s="15" t="n"/>
      <c r="I919" s="24">
        <f>IF($A919="","",IF($B919="","YETİM",IF(COUNTIF(tblKartlar[KartId],$B919)=0,"YETİM","")))</f>
        <v/>
      </c>
      <c r="J919" s="24">
        <f>IF(OR($A919="",$C919=""),"",IF(OR($C919&amp;"|"&amp;$D919="",COUNTIF(ListeIzinliGecis,$C919&amp;"|"&amp;$D919)&gt;0),"","GEÇERSİZ GEÇİŞ"))</f>
        <v/>
      </c>
      <c r="K919" s="24">
        <f>IF($A919="","",IF(OR($E919="",$G919=""),"",IF(ABS($G919-$E919)&gt;zincirTolerans,"ZİNCİR KIRIK","OK")))</f>
        <v/>
      </c>
      <c r="L919" s="24">
        <f>IF($A919="","",1)</f>
        <v/>
      </c>
    </row>
    <row r="920">
      <c r="A920" s="12" t="n"/>
      <c r="B920" s="12" t="n"/>
      <c r="C920" s="12" t="n"/>
      <c r="D920" s="12" t="n"/>
      <c r="E920" s="14" t="n"/>
      <c r="F920" s="14" t="n"/>
      <c r="G920" s="14" t="n"/>
      <c r="H920" s="15" t="n"/>
      <c r="I920" s="24">
        <f>IF($A920="","",IF($B920="","YETİM",IF(COUNTIF(tblKartlar[KartId],$B920)=0,"YETİM","")))</f>
        <v/>
      </c>
      <c r="J920" s="24">
        <f>IF(OR($A920="",$C920=""),"",IF(OR($C920&amp;"|"&amp;$D920="",COUNTIF(ListeIzinliGecis,$C920&amp;"|"&amp;$D920)&gt;0),"","GEÇERSİZ GEÇİŞ"))</f>
        <v/>
      </c>
      <c r="K920" s="24">
        <f>IF($A920="","",IF(OR($E920="",$G920=""),"",IF(ABS($G920-$E920)&gt;zincirTolerans,"ZİNCİR KIRIK","OK")))</f>
        <v/>
      </c>
      <c r="L920" s="24">
        <f>IF($A920="","",1)</f>
        <v/>
      </c>
    </row>
    <row r="921">
      <c r="A921" s="12" t="n"/>
      <c r="B921" s="12" t="n"/>
      <c r="C921" s="12" t="n"/>
      <c r="D921" s="12" t="n"/>
      <c r="E921" s="14" t="n"/>
      <c r="F921" s="14" t="n"/>
      <c r="G921" s="14" t="n"/>
      <c r="H921" s="15" t="n"/>
      <c r="I921" s="24">
        <f>IF($A921="","",IF($B921="","YETİM",IF(COUNTIF(tblKartlar[KartId],$B921)=0,"YETİM","")))</f>
        <v/>
      </c>
      <c r="J921" s="24">
        <f>IF(OR($A921="",$C921=""),"",IF(OR($C921&amp;"|"&amp;$D921="",COUNTIF(ListeIzinliGecis,$C921&amp;"|"&amp;$D921)&gt;0),"","GEÇERSİZ GEÇİŞ"))</f>
        <v/>
      </c>
      <c r="K921" s="24">
        <f>IF($A921="","",IF(OR($E921="",$G921=""),"",IF(ABS($G921-$E921)&gt;zincirTolerans,"ZİNCİR KIRIK","OK")))</f>
        <v/>
      </c>
      <c r="L921" s="24">
        <f>IF($A921="","",1)</f>
        <v/>
      </c>
    </row>
    <row r="922">
      <c r="A922" s="12" t="n"/>
      <c r="B922" s="12" t="n"/>
      <c r="C922" s="12" t="n"/>
      <c r="D922" s="12" t="n"/>
      <c r="E922" s="14" t="n"/>
      <c r="F922" s="14" t="n"/>
      <c r="G922" s="14" t="n"/>
      <c r="H922" s="15" t="n"/>
      <c r="I922" s="24">
        <f>IF($A922="","",IF($B922="","YETİM",IF(COUNTIF(tblKartlar[KartId],$B922)=0,"YETİM","")))</f>
        <v/>
      </c>
      <c r="J922" s="24">
        <f>IF(OR($A922="",$C922=""),"",IF(OR($C922&amp;"|"&amp;$D922="",COUNTIF(ListeIzinliGecis,$C922&amp;"|"&amp;$D922)&gt;0),"","GEÇERSİZ GEÇİŞ"))</f>
        <v/>
      </c>
      <c r="K922" s="24">
        <f>IF($A922="","",IF(OR($E922="",$G922=""),"",IF(ABS($G922-$E922)&gt;zincirTolerans,"ZİNCİR KIRIK","OK")))</f>
        <v/>
      </c>
      <c r="L922" s="24">
        <f>IF($A922="","",1)</f>
        <v/>
      </c>
    </row>
    <row r="923">
      <c r="A923" s="12" t="n"/>
      <c r="B923" s="12" t="n"/>
      <c r="C923" s="12" t="n"/>
      <c r="D923" s="12" t="n"/>
      <c r="E923" s="14" t="n"/>
      <c r="F923" s="14" t="n"/>
      <c r="G923" s="14" t="n"/>
      <c r="H923" s="15" t="n"/>
      <c r="I923" s="24">
        <f>IF($A923="","",IF($B923="","YETİM",IF(COUNTIF(tblKartlar[KartId],$B923)=0,"YETİM","")))</f>
        <v/>
      </c>
      <c r="J923" s="24">
        <f>IF(OR($A923="",$C923=""),"",IF(OR($C923&amp;"|"&amp;$D923="",COUNTIF(ListeIzinliGecis,$C923&amp;"|"&amp;$D923)&gt;0),"","GEÇERSİZ GEÇİŞ"))</f>
        <v/>
      </c>
      <c r="K923" s="24">
        <f>IF($A923="","",IF(OR($E923="",$G923=""),"",IF(ABS($G923-$E923)&gt;zincirTolerans,"ZİNCİR KIRIK","OK")))</f>
        <v/>
      </c>
      <c r="L923" s="24">
        <f>IF($A923="","",1)</f>
        <v/>
      </c>
    </row>
    <row r="924">
      <c r="A924" s="12" t="n"/>
      <c r="B924" s="12" t="n"/>
      <c r="C924" s="12" t="n"/>
      <c r="D924" s="12" t="n"/>
      <c r="E924" s="14" t="n"/>
      <c r="F924" s="14" t="n"/>
      <c r="G924" s="14" t="n"/>
      <c r="H924" s="15" t="n"/>
      <c r="I924" s="24">
        <f>IF($A924="","",IF($B924="","YETİM",IF(COUNTIF(tblKartlar[KartId],$B924)=0,"YETİM","")))</f>
        <v/>
      </c>
      <c r="J924" s="24">
        <f>IF(OR($A924="",$C924=""),"",IF(OR($C924&amp;"|"&amp;$D924="",COUNTIF(ListeIzinliGecis,$C924&amp;"|"&amp;$D924)&gt;0),"","GEÇERSİZ GEÇİŞ"))</f>
        <v/>
      </c>
      <c r="K924" s="24">
        <f>IF($A924="","",IF(OR($E924="",$G924=""),"",IF(ABS($G924-$E924)&gt;zincirTolerans,"ZİNCİR KIRIK","OK")))</f>
        <v/>
      </c>
      <c r="L924" s="24">
        <f>IF($A924="","",1)</f>
        <v/>
      </c>
    </row>
    <row r="925">
      <c r="A925" s="12" t="n"/>
      <c r="B925" s="12" t="n"/>
      <c r="C925" s="12" t="n"/>
      <c r="D925" s="12" t="n"/>
      <c r="E925" s="14" t="n"/>
      <c r="F925" s="14" t="n"/>
      <c r="G925" s="14" t="n"/>
      <c r="H925" s="15" t="n"/>
      <c r="I925" s="24">
        <f>IF($A925="","",IF($B925="","YETİM",IF(COUNTIF(tblKartlar[KartId],$B925)=0,"YETİM","")))</f>
        <v/>
      </c>
      <c r="J925" s="24">
        <f>IF(OR($A925="",$C925=""),"",IF(OR($C925&amp;"|"&amp;$D925="",COUNTIF(ListeIzinliGecis,$C925&amp;"|"&amp;$D925)&gt;0),"","GEÇERSİZ GEÇİŞ"))</f>
        <v/>
      </c>
      <c r="K925" s="24">
        <f>IF($A925="","",IF(OR($E925="",$G925=""),"",IF(ABS($G925-$E925)&gt;zincirTolerans,"ZİNCİR KIRIK","OK")))</f>
        <v/>
      </c>
      <c r="L925" s="24">
        <f>IF($A925="","",1)</f>
        <v/>
      </c>
    </row>
    <row r="926">
      <c r="A926" s="12" t="n"/>
      <c r="B926" s="12" t="n"/>
      <c r="C926" s="12" t="n"/>
      <c r="D926" s="12" t="n"/>
      <c r="E926" s="14" t="n"/>
      <c r="F926" s="14" t="n"/>
      <c r="G926" s="14" t="n"/>
      <c r="H926" s="15" t="n"/>
      <c r="I926" s="24">
        <f>IF($A926="","",IF($B926="","YETİM",IF(COUNTIF(tblKartlar[KartId],$B926)=0,"YETİM","")))</f>
        <v/>
      </c>
      <c r="J926" s="24">
        <f>IF(OR($A926="",$C926=""),"",IF(OR($C926&amp;"|"&amp;$D926="",COUNTIF(ListeIzinliGecis,$C926&amp;"|"&amp;$D926)&gt;0),"","GEÇERSİZ GEÇİŞ"))</f>
        <v/>
      </c>
      <c r="K926" s="24">
        <f>IF($A926="","",IF(OR($E926="",$G926=""),"",IF(ABS($G926-$E926)&gt;zincirTolerans,"ZİNCİR KIRIK","OK")))</f>
        <v/>
      </c>
      <c r="L926" s="24">
        <f>IF($A926="","",1)</f>
        <v/>
      </c>
    </row>
    <row r="927">
      <c r="A927" s="12" t="n"/>
      <c r="B927" s="12" t="n"/>
      <c r="C927" s="12" t="n"/>
      <c r="D927" s="12" t="n"/>
      <c r="E927" s="14" t="n"/>
      <c r="F927" s="14" t="n"/>
      <c r="G927" s="14" t="n"/>
      <c r="H927" s="15" t="n"/>
      <c r="I927" s="24">
        <f>IF($A927="","",IF($B927="","YETİM",IF(COUNTIF(tblKartlar[KartId],$B927)=0,"YETİM","")))</f>
        <v/>
      </c>
      <c r="J927" s="24">
        <f>IF(OR($A927="",$C927=""),"",IF(OR($C927&amp;"|"&amp;$D927="",COUNTIF(ListeIzinliGecis,$C927&amp;"|"&amp;$D927)&gt;0),"","GEÇERSİZ GEÇİŞ"))</f>
        <v/>
      </c>
      <c r="K927" s="24">
        <f>IF($A927="","",IF(OR($E927="",$G927=""),"",IF(ABS($G927-$E927)&gt;zincirTolerans,"ZİNCİR KIRIK","OK")))</f>
        <v/>
      </c>
      <c r="L927" s="24">
        <f>IF($A927="","",1)</f>
        <v/>
      </c>
    </row>
    <row r="928">
      <c r="A928" s="12" t="n"/>
      <c r="B928" s="12" t="n"/>
      <c r="C928" s="12" t="n"/>
      <c r="D928" s="12" t="n"/>
      <c r="E928" s="14" t="n"/>
      <c r="F928" s="14" t="n"/>
      <c r="G928" s="14" t="n"/>
      <c r="H928" s="15" t="n"/>
      <c r="I928" s="24">
        <f>IF($A928="","",IF($B928="","YETİM",IF(COUNTIF(tblKartlar[KartId],$B928)=0,"YETİM","")))</f>
        <v/>
      </c>
      <c r="J928" s="24">
        <f>IF(OR($A928="",$C928=""),"",IF(OR($C928&amp;"|"&amp;$D928="",COUNTIF(ListeIzinliGecis,$C928&amp;"|"&amp;$D928)&gt;0),"","GEÇERSİZ GEÇİŞ"))</f>
        <v/>
      </c>
      <c r="K928" s="24">
        <f>IF($A928="","",IF(OR($E928="",$G928=""),"",IF(ABS($G928-$E928)&gt;zincirTolerans,"ZİNCİR KIRIK","OK")))</f>
        <v/>
      </c>
      <c r="L928" s="24">
        <f>IF($A928="","",1)</f>
        <v/>
      </c>
    </row>
    <row r="929">
      <c r="A929" s="12" t="n"/>
      <c r="B929" s="12" t="n"/>
      <c r="C929" s="12" t="n"/>
      <c r="D929" s="12" t="n"/>
      <c r="E929" s="14" t="n"/>
      <c r="F929" s="14" t="n"/>
      <c r="G929" s="14" t="n"/>
      <c r="H929" s="15" t="n"/>
      <c r="I929" s="24">
        <f>IF($A929="","",IF($B929="","YETİM",IF(COUNTIF(tblKartlar[KartId],$B929)=0,"YETİM","")))</f>
        <v/>
      </c>
      <c r="J929" s="24">
        <f>IF(OR($A929="",$C929=""),"",IF(OR($C929&amp;"|"&amp;$D929="",COUNTIF(ListeIzinliGecis,$C929&amp;"|"&amp;$D929)&gt;0),"","GEÇERSİZ GEÇİŞ"))</f>
        <v/>
      </c>
      <c r="K929" s="24">
        <f>IF($A929="","",IF(OR($E929="",$G929=""),"",IF(ABS($G929-$E929)&gt;zincirTolerans,"ZİNCİR KIRIK","OK")))</f>
        <v/>
      </c>
      <c r="L929" s="24">
        <f>IF($A929="","",1)</f>
        <v/>
      </c>
    </row>
    <row r="930">
      <c r="A930" s="12" t="n"/>
      <c r="B930" s="12" t="n"/>
      <c r="C930" s="12" t="n"/>
      <c r="D930" s="12" t="n"/>
      <c r="E930" s="14" t="n"/>
      <c r="F930" s="14" t="n"/>
      <c r="G930" s="14" t="n"/>
      <c r="H930" s="15" t="n"/>
      <c r="I930" s="24">
        <f>IF($A930="","",IF($B930="","YETİM",IF(COUNTIF(tblKartlar[KartId],$B930)=0,"YETİM","")))</f>
        <v/>
      </c>
      <c r="J930" s="24">
        <f>IF(OR($A930="",$C930=""),"",IF(OR($C930&amp;"|"&amp;$D930="",COUNTIF(ListeIzinliGecis,$C930&amp;"|"&amp;$D930)&gt;0),"","GEÇERSİZ GEÇİŞ"))</f>
        <v/>
      </c>
      <c r="K930" s="24">
        <f>IF($A930="","",IF(OR($E930="",$G930=""),"",IF(ABS($G930-$E930)&gt;zincirTolerans,"ZİNCİR KIRIK","OK")))</f>
        <v/>
      </c>
      <c r="L930" s="24">
        <f>IF($A930="","",1)</f>
        <v/>
      </c>
    </row>
    <row r="931">
      <c r="A931" s="12" t="n"/>
      <c r="B931" s="12" t="n"/>
      <c r="C931" s="12" t="n"/>
      <c r="D931" s="12" t="n"/>
      <c r="E931" s="14" t="n"/>
      <c r="F931" s="14" t="n"/>
      <c r="G931" s="14" t="n"/>
      <c r="H931" s="15" t="n"/>
      <c r="I931" s="24">
        <f>IF($A931="","",IF($B931="","YETİM",IF(COUNTIF(tblKartlar[KartId],$B931)=0,"YETİM","")))</f>
        <v/>
      </c>
      <c r="J931" s="24">
        <f>IF(OR($A931="",$C931=""),"",IF(OR($C931&amp;"|"&amp;$D931="",COUNTIF(ListeIzinliGecis,$C931&amp;"|"&amp;$D931)&gt;0),"","GEÇERSİZ GEÇİŞ"))</f>
        <v/>
      </c>
      <c r="K931" s="24">
        <f>IF($A931="","",IF(OR($E931="",$G931=""),"",IF(ABS($G931-$E931)&gt;zincirTolerans,"ZİNCİR KIRIK","OK")))</f>
        <v/>
      </c>
      <c r="L931" s="24">
        <f>IF($A931="","",1)</f>
        <v/>
      </c>
    </row>
    <row r="932">
      <c r="A932" s="12" t="n"/>
      <c r="B932" s="12" t="n"/>
      <c r="C932" s="12" t="n"/>
      <c r="D932" s="12" t="n"/>
      <c r="E932" s="14" t="n"/>
      <c r="F932" s="14" t="n"/>
      <c r="G932" s="14" t="n"/>
      <c r="H932" s="15" t="n"/>
      <c r="I932" s="24">
        <f>IF($A932="","",IF($B932="","YETİM",IF(COUNTIF(tblKartlar[KartId],$B932)=0,"YETİM","")))</f>
        <v/>
      </c>
      <c r="J932" s="24">
        <f>IF(OR($A932="",$C932=""),"",IF(OR($C932&amp;"|"&amp;$D932="",COUNTIF(ListeIzinliGecis,$C932&amp;"|"&amp;$D932)&gt;0),"","GEÇERSİZ GEÇİŞ"))</f>
        <v/>
      </c>
      <c r="K932" s="24">
        <f>IF($A932="","",IF(OR($E932="",$G932=""),"",IF(ABS($G932-$E932)&gt;zincirTolerans,"ZİNCİR KIRIK","OK")))</f>
        <v/>
      </c>
      <c r="L932" s="24">
        <f>IF($A932="","",1)</f>
        <v/>
      </c>
    </row>
    <row r="933">
      <c r="A933" s="12" t="n"/>
      <c r="B933" s="12" t="n"/>
      <c r="C933" s="12" t="n"/>
      <c r="D933" s="12" t="n"/>
      <c r="E933" s="14" t="n"/>
      <c r="F933" s="14" t="n"/>
      <c r="G933" s="14" t="n"/>
      <c r="H933" s="15" t="n"/>
      <c r="I933" s="24">
        <f>IF($A933="","",IF($B933="","YETİM",IF(COUNTIF(tblKartlar[KartId],$B933)=0,"YETİM","")))</f>
        <v/>
      </c>
      <c r="J933" s="24">
        <f>IF(OR($A933="",$C933=""),"",IF(OR($C933&amp;"|"&amp;$D933="",COUNTIF(ListeIzinliGecis,$C933&amp;"|"&amp;$D933)&gt;0),"","GEÇERSİZ GEÇİŞ"))</f>
        <v/>
      </c>
      <c r="K933" s="24">
        <f>IF($A933="","",IF(OR($E933="",$G933=""),"",IF(ABS($G933-$E933)&gt;zincirTolerans,"ZİNCİR KIRIK","OK")))</f>
        <v/>
      </c>
      <c r="L933" s="24">
        <f>IF($A933="","",1)</f>
        <v/>
      </c>
    </row>
    <row r="934">
      <c r="A934" s="12" t="n"/>
      <c r="B934" s="12" t="n"/>
      <c r="C934" s="12" t="n"/>
      <c r="D934" s="12" t="n"/>
      <c r="E934" s="14" t="n"/>
      <c r="F934" s="14" t="n"/>
      <c r="G934" s="14" t="n"/>
      <c r="H934" s="15" t="n"/>
      <c r="I934" s="24">
        <f>IF($A934="","",IF($B934="","YETİM",IF(COUNTIF(tblKartlar[KartId],$B934)=0,"YETİM","")))</f>
        <v/>
      </c>
      <c r="J934" s="24">
        <f>IF(OR($A934="",$C934=""),"",IF(OR($C934&amp;"|"&amp;$D934="",COUNTIF(ListeIzinliGecis,$C934&amp;"|"&amp;$D934)&gt;0),"","GEÇERSİZ GEÇİŞ"))</f>
        <v/>
      </c>
      <c r="K934" s="24">
        <f>IF($A934="","",IF(OR($E934="",$G934=""),"",IF(ABS($G934-$E934)&gt;zincirTolerans,"ZİNCİR KIRIK","OK")))</f>
        <v/>
      </c>
      <c r="L934" s="24">
        <f>IF($A934="","",1)</f>
        <v/>
      </c>
    </row>
    <row r="935">
      <c r="A935" s="12" t="n"/>
      <c r="B935" s="12" t="n"/>
      <c r="C935" s="12" t="n"/>
      <c r="D935" s="12" t="n"/>
      <c r="E935" s="14" t="n"/>
      <c r="F935" s="14" t="n"/>
      <c r="G935" s="14" t="n"/>
      <c r="H935" s="15" t="n"/>
      <c r="I935" s="24">
        <f>IF($A935="","",IF($B935="","YETİM",IF(COUNTIF(tblKartlar[KartId],$B935)=0,"YETİM","")))</f>
        <v/>
      </c>
      <c r="J935" s="24">
        <f>IF(OR($A935="",$C935=""),"",IF(OR($C935&amp;"|"&amp;$D935="",COUNTIF(ListeIzinliGecis,$C935&amp;"|"&amp;$D935)&gt;0),"","GEÇERSİZ GEÇİŞ"))</f>
        <v/>
      </c>
      <c r="K935" s="24">
        <f>IF($A935="","",IF(OR($E935="",$G935=""),"",IF(ABS($G935-$E935)&gt;zincirTolerans,"ZİNCİR KIRIK","OK")))</f>
        <v/>
      </c>
      <c r="L935" s="24">
        <f>IF($A935="","",1)</f>
        <v/>
      </c>
    </row>
    <row r="936">
      <c r="A936" s="12" t="n"/>
      <c r="B936" s="12" t="n"/>
      <c r="C936" s="12" t="n"/>
      <c r="D936" s="12" t="n"/>
      <c r="E936" s="14" t="n"/>
      <c r="F936" s="14" t="n"/>
      <c r="G936" s="14" t="n"/>
      <c r="H936" s="15" t="n"/>
      <c r="I936" s="24">
        <f>IF($A936="","",IF($B936="","YETİM",IF(COUNTIF(tblKartlar[KartId],$B936)=0,"YETİM","")))</f>
        <v/>
      </c>
      <c r="J936" s="24">
        <f>IF(OR($A936="",$C936=""),"",IF(OR($C936&amp;"|"&amp;$D936="",COUNTIF(ListeIzinliGecis,$C936&amp;"|"&amp;$D936)&gt;0),"","GEÇERSİZ GEÇİŞ"))</f>
        <v/>
      </c>
      <c r="K936" s="24">
        <f>IF($A936="","",IF(OR($E936="",$G936=""),"",IF(ABS($G936-$E936)&gt;zincirTolerans,"ZİNCİR KIRIK","OK")))</f>
        <v/>
      </c>
      <c r="L936" s="24">
        <f>IF($A936="","",1)</f>
        <v/>
      </c>
    </row>
    <row r="937">
      <c r="A937" s="12" t="n"/>
      <c r="B937" s="12" t="n"/>
      <c r="C937" s="12" t="n"/>
      <c r="D937" s="12" t="n"/>
      <c r="E937" s="14" t="n"/>
      <c r="F937" s="14" t="n"/>
      <c r="G937" s="14" t="n"/>
      <c r="H937" s="15" t="n"/>
      <c r="I937" s="24">
        <f>IF($A937="","",IF($B937="","YETİM",IF(COUNTIF(tblKartlar[KartId],$B937)=0,"YETİM","")))</f>
        <v/>
      </c>
      <c r="J937" s="24">
        <f>IF(OR($A937="",$C937=""),"",IF(OR($C937&amp;"|"&amp;$D937="",COUNTIF(ListeIzinliGecis,$C937&amp;"|"&amp;$D937)&gt;0),"","GEÇERSİZ GEÇİŞ"))</f>
        <v/>
      </c>
      <c r="K937" s="24">
        <f>IF($A937="","",IF(OR($E937="",$G937=""),"",IF(ABS($G937-$E937)&gt;zincirTolerans,"ZİNCİR KIRIK","OK")))</f>
        <v/>
      </c>
      <c r="L937" s="24">
        <f>IF($A937="","",1)</f>
        <v/>
      </c>
    </row>
    <row r="938">
      <c r="A938" s="12" t="n"/>
      <c r="B938" s="12" t="n"/>
      <c r="C938" s="12" t="n"/>
      <c r="D938" s="12" t="n"/>
      <c r="E938" s="14" t="n"/>
      <c r="F938" s="14" t="n"/>
      <c r="G938" s="14" t="n"/>
      <c r="H938" s="15" t="n"/>
      <c r="I938" s="24">
        <f>IF($A938="","",IF($B938="","YETİM",IF(COUNTIF(tblKartlar[KartId],$B938)=0,"YETİM","")))</f>
        <v/>
      </c>
      <c r="J938" s="24">
        <f>IF(OR($A938="",$C938=""),"",IF(OR($C938&amp;"|"&amp;$D938="",COUNTIF(ListeIzinliGecis,$C938&amp;"|"&amp;$D938)&gt;0),"","GEÇERSİZ GEÇİŞ"))</f>
        <v/>
      </c>
      <c r="K938" s="24">
        <f>IF($A938="","",IF(OR($E938="",$G938=""),"",IF(ABS($G938-$E938)&gt;zincirTolerans,"ZİNCİR KIRIK","OK")))</f>
        <v/>
      </c>
      <c r="L938" s="24">
        <f>IF($A938="","",1)</f>
        <v/>
      </c>
    </row>
    <row r="939">
      <c r="A939" s="12" t="n"/>
      <c r="B939" s="12" t="n"/>
      <c r="C939" s="12" t="n"/>
      <c r="D939" s="12" t="n"/>
      <c r="E939" s="14" t="n"/>
      <c r="F939" s="14" t="n"/>
      <c r="G939" s="14" t="n"/>
      <c r="H939" s="15" t="n"/>
      <c r="I939" s="24">
        <f>IF($A939="","",IF($B939="","YETİM",IF(COUNTIF(tblKartlar[KartId],$B939)=0,"YETİM","")))</f>
        <v/>
      </c>
      <c r="J939" s="24">
        <f>IF(OR($A939="",$C939=""),"",IF(OR($C939&amp;"|"&amp;$D939="",COUNTIF(ListeIzinliGecis,$C939&amp;"|"&amp;$D939)&gt;0),"","GEÇERSİZ GEÇİŞ"))</f>
        <v/>
      </c>
      <c r="K939" s="24">
        <f>IF($A939="","",IF(OR($E939="",$G939=""),"",IF(ABS($G939-$E939)&gt;zincirTolerans,"ZİNCİR KIRIK","OK")))</f>
        <v/>
      </c>
      <c r="L939" s="24">
        <f>IF($A939="","",1)</f>
        <v/>
      </c>
    </row>
    <row r="940">
      <c r="A940" s="12" t="n"/>
      <c r="B940" s="12" t="n"/>
      <c r="C940" s="12" t="n"/>
      <c r="D940" s="12" t="n"/>
      <c r="E940" s="14" t="n"/>
      <c r="F940" s="14" t="n"/>
      <c r="G940" s="14" t="n"/>
      <c r="H940" s="15" t="n"/>
      <c r="I940" s="24">
        <f>IF($A940="","",IF($B940="","YETİM",IF(COUNTIF(tblKartlar[KartId],$B940)=0,"YETİM","")))</f>
        <v/>
      </c>
      <c r="J940" s="24">
        <f>IF(OR($A940="",$C940=""),"",IF(OR($C940&amp;"|"&amp;$D940="",COUNTIF(ListeIzinliGecis,$C940&amp;"|"&amp;$D940)&gt;0),"","GEÇERSİZ GEÇİŞ"))</f>
        <v/>
      </c>
      <c r="K940" s="24">
        <f>IF($A940="","",IF(OR($E940="",$G940=""),"",IF(ABS($G940-$E940)&gt;zincirTolerans,"ZİNCİR KIRIK","OK")))</f>
        <v/>
      </c>
      <c r="L940" s="24">
        <f>IF($A940="","",1)</f>
        <v/>
      </c>
    </row>
    <row r="941">
      <c r="A941" s="12" t="n"/>
      <c r="B941" s="12" t="n"/>
      <c r="C941" s="12" t="n"/>
      <c r="D941" s="12" t="n"/>
      <c r="E941" s="14" t="n"/>
      <c r="F941" s="14" t="n"/>
      <c r="G941" s="14" t="n"/>
      <c r="H941" s="15" t="n"/>
      <c r="I941" s="24">
        <f>IF($A941="","",IF($B941="","YETİM",IF(COUNTIF(tblKartlar[KartId],$B941)=0,"YETİM","")))</f>
        <v/>
      </c>
      <c r="J941" s="24">
        <f>IF(OR($A941="",$C941=""),"",IF(OR($C941&amp;"|"&amp;$D941="",COUNTIF(ListeIzinliGecis,$C941&amp;"|"&amp;$D941)&gt;0),"","GEÇERSİZ GEÇİŞ"))</f>
        <v/>
      </c>
      <c r="K941" s="24">
        <f>IF($A941="","",IF(OR($E941="",$G941=""),"",IF(ABS($G941-$E941)&gt;zincirTolerans,"ZİNCİR KIRIK","OK")))</f>
        <v/>
      </c>
      <c r="L941" s="24">
        <f>IF($A941="","",1)</f>
        <v/>
      </c>
    </row>
    <row r="942">
      <c r="A942" s="12" t="n"/>
      <c r="B942" s="12" t="n"/>
      <c r="C942" s="12" t="n"/>
      <c r="D942" s="12" t="n"/>
      <c r="E942" s="14" t="n"/>
      <c r="F942" s="14" t="n"/>
      <c r="G942" s="14" t="n"/>
      <c r="H942" s="15" t="n"/>
      <c r="I942" s="24">
        <f>IF($A942="","",IF($B942="","YETİM",IF(COUNTIF(tblKartlar[KartId],$B942)=0,"YETİM","")))</f>
        <v/>
      </c>
      <c r="J942" s="24">
        <f>IF(OR($A942="",$C942=""),"",IF(OR($C942&amp;"|"&amp;$D942="",COUNTIF(ListeIzinliGecis,$C942&amp;"|"&amp;$D942)&gt;0),"","GEÇERSİZ GEÇİŞ"))</f>
        <v/>
      </c>
      <c r="K942" s="24">
        <f>IF($A942="","",IF(OR($E942="",$G942=""),"",IF(ABS($G942-$E942)&gt;zincirTolerans,"ZİNCİR KIRIK","OK")))</f>
        <v/>
      </c>
      <c r="L942" s="24">
        <f>IF($A942="","",1)</f>
        <v/>
      </c>
    </row>
    <row r="943">
      <c r="A943" s="12" t="n"/>
      <c r="B943" s="12" t="n"/>
      <c r="C943" s="12" t="n"/>
      <c r="D943" s="12" t="n"/>
      <c r="E943" s="14" t="n"/>
      <c r="F943" s="14" t="n"/>
      <c r="G943" s="14" t="n"/>
      <c r="H943" s="15" t="n"/>
      <c r="I943" s="24">
        <f>IF($A943="","",IF($B943="","YETİM",IF(COUNTIF(tblKartlar[KartId],$B943)=0,"YETİM","")))</f>
        <v/>
      </c>
      <c r="J943" s="24">
        <f>IF(OR($A943="",$C943=""),"",IF(OR($C943&amp;"|"&amp;$D943="",COUNTIF(ListeIzinliGecis,$C943&amp;"|"&amp;$D943)&gt;0),"","GEÇERSİZ GEÇİŞ"))</f>
        <v/>
      </c>
      <c r="K943" s="24">
        <f>IF($A943="","",IF(OR($E943="",$G943=""),"",IF(ABS($G943-$E943)&gt;zincirTolerans,"ZİNCİR KIRIK","OK")))</f>
        <v/>
      </c>
      <c r="L943" s="24">
        <f>IF($A943="","",1)</f>
        <v/>
      </c>
    </row>
    <row r="944">
      <c r="A944" s="12" t="n"/>
      <c r="B944" s="12" t="n"/>
      <c r="C944" s="12" t="n"/>
      <c r="D944" s="12" t="n"/>
      <c r="E944" s="14" t="n"/>
      <c r="F944" s="14" t="n"/>
      <c r="G944" s="14" t="n"/>
      <c r="H944" s="15" t="n"/>
      <c r="I944" s="24">
        <f>IF($A944="","",IF($B944="","YETİM",IF(COUNTIF(tblKartlar[KartId],$B944)=0,"YETİM","")))</f>
        <v/>
      </c>
      <c r="J944" s="24">
        <f>IF(OR($A944="",$C944=""),"",IF(OR($C944&amp;"|"&amp;$D944="",COUNTIF(ListeIzinliGecis,$C944&amp;"|"&amp;$D944)&gt;0),"","GEÇERSİZ GEÇİŞ"))</f>
        <v/>
      </c>
      <c r="K944" s="24">
        <f>IF($A944="","",IF(OR($E944="",$G944=""),"",IF(ABS($G944-$E944)&gt;zincirTolerans,"ZİNCİR KIRIK","OK")))</f>
        <v/>
      </c>
      <c r="L944" s="24">
        <f>IF($A944="","",1)</f>
        <v/>
      </c>
    </row>
    <row r="945">
      <c r="A945" s="12" t="n"/>
      <c r="B945" s="12" t="n"/>
      <c r="C945" s="12" t="n"/>
      <c r="D945" s="12" t="n"/>
      <c r="E945" s="14" t="n"/>
      <c r="F945" s="14" t="n"/>
      <c r="G945" s="14" t="n"/>
      <c r="H945" s="15" t="n"/>
      <c r="I945" s="24">
        <f>IF($A945="","",IF($B945="","YETİM",IF(COUNTIF(tblKartlar[KartId],$B945)=0,"YETİM","")))</f>
        <v/>
      </c>
      <c r="J945" s="24">
        <f>IF(OR($A945="",$C945=""),"",IF(OR($C945&amp;"|"&amp;$D945="",COUNTIF(ListeIzinliGecis,$C945&amp;"|"&amp;$D945)&gt;0),"","GEÇERSİZ GEÇİŞ"))</f>
        <v/>
      </c>
      <c r="K945" s="24">
        <f>IF($A945="","",IF(OR($E945="",$G945=""),"",IF(ABS($G945-$E945)&gt;zincirTolerans,"ZİNCİR KIRIK","OK")))</f>
        <v/>
      </c>
      <c r="L945" s="24">
        <f>IF($A945="","",1)</f>
        <v/>
      </c>
    </row>
    <row r="946">
      <c r="A946" s="12" t="n"/>
      <c r="B946" s="12" t="n"/>
      <c r="C946" s="12" t="n"/>
      <c r="D946" s="12" t="n"/>
      <c r="E946" s="14" t="n"/>
      <c r="F946" s="14" t="n"/>
      <c r="G946" s="14" t="n"/>
      <c r="H946" s="15" t="n"/>
      <c r="I946" s="24">
        <f>IF($A946="","",IF($B946="","YETİM",IF(COUNTIF(tblKartlar[KartId],$B946)=0,"YETİM","")))</f>
        <v/>
      </c>
      <c r="J946" s="24">
        <f>IF(OR($A946="",$C946=""),"",IF(OR($C946&amp;"|"&amp;$D946="",COUNTIF(ListeIzinliGecis,$C946&amp;"|"&amp;$D946)&gt;0),"","GEÇERSİZ GEÇİŞ"))</f>
        <v/>
      </c>
      <c r="K946" s="24">
        <f>IF($A946="","",IF(OR($E946="",$G946=""),"",IF(ABS($G946-$E946)&gt;zincirTolerans,"ZİNCİR KIRIK","OK")))</f>
        <v/>
      </c>
      <c r="L946" s="24">
        <f>IF($A946="","",1)</f>
        <v/>
      </c>
    </row>
    <row r="947">
      <c r="A947" s="12" t="n"/>
      <c r="B947" s="12" t="n"/>
      <c r="C947" s="12" t="n"/>
      <c r="D947" s="12" t="n"/>
      <c r="E947" s="14" t="n"/>
      <c r="F947" s="14" t="n"/>
      <c r="G947" s="14" t="n"/>
      <c r="H947" s="15" t="n"/>
      <c r="I947" s="24">
        <f>IF($A947="","",IF($B947="","YETİM",IF(COUNTIF(tblKartlar[KartId],$B947)=0,"YETİM","")))</f>
        <v/>
      </c>
      <c r="J947" s="24">
        <f>IF(OR($A947="",$C947=""),"",IF(OR($C947&amp;"|"&amp;$D947="",COUNTIF(ListeIzinliGecis,$C947&amp;"|"&amp;$D947)&gt;0),"","GEÇERSİZ GEÇİŞ"))</f>
        <v/>
      </c>
      <c r="K947" s="24">
        <f>IF($A947="","",IF(OR($E947="",$G947=""),"",IF(ABS($G947-$E947)&gt;zincirTolerans,"ZİNCİR KIRIK","OK")))</f>
        <v/>
      </c>
      <c r="L947" s="24">
        <f>IF($A947="","",1)</f>
        <v/>
      </c>
    </row>
    <row r="948">
      <c r="A948" s="12" t="n"/>
      <c r="B948" s="12" t="n"/>
      <c r="C948" s="12" t="n"/>
      <c r="D948" s="12" t="n"/>
      <c r="E948" s="14" t="n"/>
      <c r="F948" s="14" t="n"/>
      <c r="G948" s="14" t="n"/>
      <c r="H948" s="15" t="n"/>
      <c r="I948" s="24">
        <f>IF($A948="","",IF($B948="","YETİM",IF(COUNTIF(tblKartlar[KartId],$B948)=0,"YETİM","")))</f>
        <v/>
      </c>
      <c r="J948" s="24">
        <f>IF(OR($A948="",$C948=""),"",IF(OR($C948&amp;"|"&amp;$D948="",COUNTIF(ListeIzinliGecis,$C948&amp;"|"&amp;$D948)&gt;0),"","GEÇERSİZ GEÇİŞ"))</f>
        <v/>
      </c>
      <c r="K948" s="24">
        <f>IF($A948="","",IF(OR($E948="",$G948=""),"",IF(ABS($G948-$E948)&gt;zincirTolerans,"ZİNCİR KIRIK","OK")))</f>
        <v/>
      </c>
      <c r="L948" s="24">
        <f>IF($A948="","",1)</f>
        <v/>
      </c>
    </row>
    <row r="949">
      <c r="A949" s="12" t="n"/>
      <c r="B949" s="12" t="n"/>
      <c r="C949" s="12" t="n"/>
      <c r="D949" s="12" t="n"/>
      <c r="E949" s="14" t="n"/>
      <c r="F949" s="14" t="n"/>
      <c r="G949" s="14" t="n"/>
      <c r="H949" s="15" t="n"/>
      <c r="I949" s="24">
        <f>IF($A949="","",IF($B949="","YETİM",IF(COUNTIF(tblKartlar[KartId],$B949)=0,"YETİM","")))</f>
        <v/>
      </c>
      <c r="J949" s="24">
        <f>IF(OR($A949="",$C949=""),"",IF(OR($C949&amp;"|"&amp;$D949="",COUNTIF(ListeIzinliGecis,$C949&amp;"|"&amp;$D949)&gt;0),"","GEÇERSİZ GEÇİŞ"))</f>
        <v/>
      </c>
      <c r="K949" s="24">
        <f>IF($A949="","",IF(OR($E949="",$G949=""),"",IF(ABS($G949-$E949)&gt;zincirTolerans,"ZİNCİR KIRIK","OK")))</f>
        <v/>
      </c>
      <c r="L949" s="24">
        <f>IF($A949="","",1)</f>
        <v/>
      </c>
    </row>
    <row r="950">
      <c r="A950" s="12" t="n"/>
      <c r="B950" s="12" t="n"/>
      <c r="C950" s="12" t="n"/>
      <c r="D950" s="12" t="n"/>
      <c r="E950" s="14" t="n"/>
      <c r="F950" s="14" t="n"/>
      <c r="G950" s="14" t="n"/>
      <c r="H950" s="15" t="n"/>
      <c r="I950" s="24">
        <f>IF($A950="","",IF($B950="","YETİM",IF(COUNTIF(tblKartlar[KartId],$B950)=0,"YETİM","")))</f>
        <v/>
      </c>
      <c r="J950" s="24">
        <f>IF(OR($A950="",$C950=""),"",IF(OR($C950&amp;"|"&amp;$D950="",COUNTIF(ListeIzinliGecis,$C950&amp;"|"&amp;$D950)&gt;0),"","GEÇERSİZ GEÇİŞ"))</f>
        <v/>
      </c>
      <c r="K950" s="24">
        <f>IF($A950="","",IF(OR($E950="",$G950=""),"",IF(ABS($G950-$E950)&gt;zincirTolerans,"ZİNCİR KIRIK","OK")))</f>
        <v/>
      </c>
      <c r="L950" s="24">
        <f>IF($A950="","",1)</f>
        <v/>
      </c>
    </row>
    <row r="951">
      <c r="A951" s="12" t="n"/>
      <c r="B951" s="12" t="n"/>
      <c r="C951" s="12" t="n"/>
      <c r="D951" s="12" t="n"/>
      <c r="E951" s="14" t="n"/>
      <c r="F951" s="14" t="n"/>
      <c r="G951" s="14" t="n"/>
      <c r="H951" s="15" t="n"/>
      <c r="I951" s="24">
        <f>IF($A951="","",IF($B951="","YETİM",IF(COUNTIF(tblKartlar[KartId],$B951)=0,"YETİM","")))</f>
        <v/>
      </c>
      <c r="J951" s="24">
        <f>IF(OR($A951="",$C951=""),"",IF(OR($C951&amp;"|"&amp;$D951="",COUNTIF(ListeIzinliGecis,$C951&amp;"|"&amp;$D951)&gt;0),"","GEÇERSİZ GEÇİŞ"))</f>
        <v/>
      </c>
      <c r="K951" s="24">
        <f>IF($A951="","",IF(OR($E951="",$G951=""),"",IF(ABS($G951-$E951)&gt;zincirTolerans,"ZİNCİR KIRIK","OK")))</f>
        <v/>
      </c>
      <c r="L951" s="24">
        <f>IF($A951="","",1)</f>
        <v/>
      </c>
    </row>
    <row r="952">
      <c r="A952" s="12" t="n"/>
      <c r="B952" s="12" t="n"/>
      <c r="C952" s="12" t="n"/>
      <c r="D952" s="12" t="n"/>
      <c r="E952" s="14" t="n"/>
      <c r="F952" s="14" t="n"/>
      <c r="G952" s="14" t="n"/>
      <c r="H952" s="15" t="n"/>
      <c r="I952" s="24">
        <f>IF($A952="","",IF($B952="","YETİM",IF(COUNTIF(tblKartlar[KartId],$B952)=0,"YETİM","")))</f>
        <v/>
      </c>
      <c r="J952" s="24">
        <f>IF(OR($A952="",$C952=""),"",IF(OR($C952&amp;"|"&amp;$D952="",COUNTIF(ListeIzinliGecis,$C952&amp;"|"&amp;$D952)&gt;0),"","GEÇERSİZ GEÇİŞ"))</f>
        <v/>
      </c>
      <c r="K952" s="24">
        <f>IF($A952="","",IF(OR($E952="",$G952=""),"",IF(ABS($G952-$E952)&gt;zincirTolerans,"ZİNCİR KIRIK","OK")))</f>
        <v/>
      </c>
      <c r="L952" s="24">
        <f>IF($A952="","",1)</f>
        <v/>
      </c>
    </row>
    <row r="953">
      <c r="A953" s="12" t="n"/>
      <c r="B953" s="12" t="n"/>
      <c r="C953" s="12" t="n"/>
      <c r="D953" s="12" t="n"/>
      <c r="E953" s="14" t="n"/>
      <c r="F953" s="14" t="n"/>
      <c r="G953" s="14" t="n"/>
      <c r="H953" s="15" t="n"/>
      <c r="I953" s="24">
        <f>IF($A953="","",IF($B953="","YETİM",IF(COUNTIF(tblKartlar[KartId],$B953)=0,"YETİM","")))</f>
        <v/>
      </c>
      <c r="J953" s="24">
        <f>IF(OR($A953="",$C953=""),"",IF(OR($C953&amp;"|"&amp;$D953="",COUNTIF(ListeIzinliGecis,$C953&amp;"|"&amp;$D953)&gt;0),"","GEÇERSİZ GEÇİŞ"))</f>
        <v/>
      </c>
      <c r="K953" s="24">
        <f>IF($A953="","",IF(OR($E953="",$G953=""),"",IF(ABS($G953-$E953)&gt;zincirTolerans,"ZİNCİR KIRIK","OK")))</f>
        <v/>
      </c>
      <c r="L953" s="24">
        <f>IF($A953="","",1)</f>
        <v/>
      </c>
    </row>
    <row r="954">
      <c r="A954" s="12" t="n"/>
      <c r="B954" s="12" t="n"/>
      <c r="C954" s="12" t="n"/>
      <c r="D954" s="12" t="n"/>
      <c r="E954" s="14" t="n"/>
      <c r="F954" s="14" t="n"/>
      <c r="G954" s="14" t="n"/>
      <c r="H954" s="15" t="n"/>
      <c r="I954" s="24">
        <f>IF($A954="","",IF($B954="","YETİM",IF(COUNTIF(tblKartlar[KartId],$B954)=0,"YETİM","")))</f>
        <v/>
      </c>
      <c r="J954" s="24">
        <f>IF(OR($A954="",$C954=""),"",IF(OR($C954&amp;"|"&amp;$D954="",COUNTIF(ListeIzinliGecis,$C954&amp;"|"&amp;$D954)&gt;0),"","GEÇERSİZ GEÇİŞ"))</f>
        <v/>
      </c>
      <c r="K954" s="24">
        <f>IF($A954="","",IF(OR($E954="",$G954=""),"",IF(ABS($G954-$E954)&gt;zincirTolerans,"ZİNCİR KIRIK","OK")))</f>
        <v/>
      </c>
      <c r="L954" s="24">
        <f>IF($A954="","",1)</f>
        <v/>
      </c>
    </row>
    <row r="955">
      <c r="A955" s="12" t="n"/>
      <c r="B955" s="12" t="n"/>
      <c r="C955" s="12" t="n"/>
      <c r="D955" s="12" t="n"/>
      <c r="E955" s="14" t="n"/>
      <c r="F955" s="14" t="n"/>
      <c r="G955" s="14" t="n"/>
      <c r="H955" s="15" t="n"/>
      <c r="I955" s="24">
        <f>IF($A955="","",IF($B955="","YETİM",IF(COUNTIF(tblKartlar[KartId],$B955)=0,"YETİM","")))</f>
        <v/>
      </c>
      <c r="J955" s="24">
        <f>IF(OR($A955="",$C955=""),"",IF(OR($C955&amp;"|"&amp;$D955="",COUNTIF(ListeIzinliGecis,$C955&amp;"|"&amp;$D955)&gt;0),"","GEÇERSİZ GEÇİŞ"))</f>
        <v/>
      </c>
      <c r="K955" s="24">
        <f>IF($A955="","",IF(OR($E955="",$G955=""),"",IF(ABS($G955-$E955)&gt;zincirTolerans,"ZİNCİR KIRIK","OK")))</f>
        <v/>
      </c>
      <c r="L955" s="24">
        <f>IF($A955="","",1)</f>
        <v/>
      </c>
    </row>
    <row r="956">
      <c r="A956" s="12" t="n"/>
      <c r="B956" s="12" t="n"/>
      <c r="C956" s="12" t="n"/>
      <c r="D956" s="12" t="n"/>
      <c r="E956" s="14" t="n"/>
      <c r="F956" s="14" t="n"/>
      <c r="G956" s="14" t="n"/>
      <c r="H956" s="15" t="n"/>
      <c r="I956" s="24">
        <f>IF($A956="","",IF($B956="","YETİM",IF(COUNTIF(tblKartlar[KartId],$B956)=0,"YETİM","")))</f>
        <v/>
      </c>
      <c r="J956" s="24">
        <f>IF(OR($A956="",$C956=""),"",IF(OR($C956&amp;"|"&amp;$D956="",COUNTIF(ListeIzinliGecis,$C956&amp;"|"&amp;$D956)&gt;0),"","GEÇERSİZ GEÇİŞ"))</f>
        <v/>
      </c>
      <c r="K956" s="24">
        <f>IF($A956="","",IF(OR($E956="",$G956=""),"",IF(ABS($G956-$E956)&gt;zincirTolerans,"ZİNCİR KIRIK","OK")))</f>
        <v/>
      </c>
      <c r="L956" s="24">
        <f>IF($A956="","",1)</f>
        <v/>
      </c>
    </row>
    <row r="957">
      <c r="A957" s="12" t="n"/>
      <c r="B957" s="12" t="n"/>
      <c r="C957" s="12" t="n"/>
      <c r="D957" s="12" t="n"/>
      <c r="E957" s="14" t="n"/>
      <c r="F957" s="14" t="n"/>
      <c r="G957" s="14" t="n"/>
      <c r="H957" s="15" t="n"/>
      <c r="I957" s="24">
        <f>IF($A957="","",IF($B957="","YETİM",IF(COUNTIF(tblKartlar[KartId],$B957)=0,"YETİM","")))</f>
        <v/>
      </c>
      <c r="J957" s="24">
        <f>IF(OR($A957="",$C957=""),"",IF(OR($C957&amp;"|"&amp;$D957="",COUNTIF(ListeIzinliGecis,$C957&amp;"|"&amp;$D957)&gt;0),"","GEÇERSİZ GEÇİŞ"))</f>
        <v/>
      </c>
      <c r="K957" s="24">
        <f>IF($A957="","",IF(OR($E957="",$G957=""),"",IF(ABS($G957-$E957)&gt;zincirTolerans,"ZİNCİR KIRIK","OK")))</f>
        <v/>
      </c>
      <c r="L957" s="24">
        <f>IF($A957="","",1)</f>
        <v/>
      </c>
    </row>
    <row r="958">
      <c r="A958" s="12" t="n"/>
      <c r="B958" s="12" t="n"/>
      <c r="C958" s="12" t="n"/>
      <c r="D958" s="12" t="n"/>
      <c r="E958" s="14" t="n"/>
      <c r="F958" s="14" t="n"/>
      <c r="G958" s="14" t="n"/>
      <c r="H958" s="15" t="n"/>
      <c r="I958" s="24">
        <f>IF($A958="","",IF($B958="","YETİM",IF(COUNTIF(tblKartlar[KartId],$B958)=0,"YETİM","")))</f>
        <v/>
      </c>
      <c r="J958" s="24">
        <f>IF(OR($A958="",$C958=""),"",IF(OR($C958&amp;"|"&amp;$D958="",COUNTIF(ListeIzinliGecis,$C958&amp;"|"&amp;$D958)&gt;0),"","GEÇERSİZ GEÇİŞ"))</f>
        <v/>
      </c>
      <c r="K958" s="24">
        <f>IF($A958="","",IF(OR($E958="",$G958=""),"",IF(ABS($G958-$E958)&gt;zincirTolerans,"ZİNCİR KIRIK","OK")))</f>
        <v/>
      </c>
      <c r="L958" s="24">
        <f>IF($A958="","",1)</f>
        <v/>
      </c>
    </row>
    <row r="959">
      <c r="A959" s="12" t="n"/>
      <c r="B959" s="12" t="n"/>
      <c r="C959" s="12" t="n"/>
      <c r="D959" s="12" t="n"/>
      <c r="E959" s="14" t="n"/>
      <c r="F959" s="14" t="n"/>
      <c r="G959" s="14" t="n"/>
      <c r="H959" s="15" t="n"/>
      <c r="I959" s="24">
        <f>IF($A959="","",IF($B959="","YETİM",IF(COUNTIF(tblKartlar[KartId],$B959)=0,"YETİM","")))</f>
        <v/>
      </c>
      <c r="J959" s="24">
        <f>IF(OR($A959="",$C959=""),"",IF(OR($C959&amp;"|"&amp;$D959="",COUNTIF(ListeIzinliGecis,$C959&amp;"|"&amp;$D959)&gt;0),"","GEÇERSİZ GEÇİŞ"))</f>
        <v/>
      </c>
      <c r="K959" s="24">
        <f>IF($A959="","",IF(OR($E959="",$G959=""),"",IF(ABS($G959-$E959)&gt;zincirTolerans,"ZİNCİR KIRIK","OK")))</f>
        <v/>
      </c>
      <c r="L959" s="24">
        <f>IF($A959="","",1)</f>
        <v/>
      </c>
    </row>
    <row r="960">
      <c r="A960" s="12" t="n"/>
      <c r="B960" s="12" t="n"/>
      <c r="C960" s="12" t="n"/>
      <c r="D960" s="12" t="n"/>
      <c r="E960" s="14" t="n"/>
      <c r="F960" s="14" t="n"/>
      <c r="G960" s="14" t="n"/>
      <c r="H960" s="15" t="n"/>
      <c r="I960" s="24">
        <f>IF($A960="","",IF($B960="","YETİM",IF(COUNTIF(tblKartlar[KartId],$B960)=0,"YETİM","")))</f>
        <v/>
      </c>
      <c r="J960" s="24">
        <f>IF(OR($A960="",$C960=""),"",IF(OR($C960&amp;"|"&amp;$D960="",COUNTIF(ListeIzinliGecis,$C960&amp;"|"&amp;$D960)&gt;0),"","GEÇERSİZ GEÇİŞ"))</f>
        <v/>
      </c>
      <c r="K960" s="24">
        <f>IF($A960="","",IF(OR($E960="",$G960=""),"",IF(ABS($G960-$E960)&gt;zincirTolerans,"ZİNCİR KIRIK","OK")))</f>
        <v/>
      </c>
      <c r="L960" s="24">
        <f>IF($A960="","",1)</f>
        <v/>
      </c>
    </row>
    <row r="961">
      <c r="A961" s="12" t="n"/>
      <c r="B961" s="12" t="n"/>
      <c r="C961" s="12" t="n"/>
      <c r="D961" s="12" t="n"/>
      <c r="E961" s="14" t="n"/>
      <c r="F961" s="14" t="n"/>
      <c r="G961" s="14" t="n"/>
      <c r="H961" s="15" t="n"/>
      <c r="I961" s="24">
        <f>IF($A961="","",IF($B961="","YETİM",IF(COUNTIF(tblKartlar[KartId],$B961)=0,"YETİM","")))</f>
        <v/>
      </c>
      <c r="J961" s="24">
        <f>IF(OR($A961="",$C961=""),"",IF(OR($C961&amp;"|"&amp;$D961="",COUNTIF(ListeIzinliGecis,$C961&amp;"|"&amp;$D961)&gt;0),"","GEÇERSİZ GEÇİŞ"))</f>
        <v/>
      </c>
      <c r="K961" s="24">
        <f>IF($A961="","",IF(OR($E961="",$G961=""),"",IF(ABS($G961-$E961)&gt;zincirTolerans,"ZİNCİR KIRIK","OK")))</f>
        <v/>
      </c>
      <c r="L961" s="24">
        <f>IF($A961="","",1)</f>
        <v/>
      </c>
    </row>
    <row r="962">
      <c r="A962" s="12" t="n"/>
      <c r="B962" s="12" t="n"/>
      <c r="C962" s="12" t="n"/>
      <c r="D962" s="12" t="n"/>
      <c r="E962" s="14" t="n"/>
      <c r="F962" s="14" t="n"/>
      <c r="G962" s="14" t="n"/>
      <c r="H962" s="15" t="n"/>
      <c r="I962" s="24">
        <f>IF($A962="","",IF($B962="","YETİM",IF(COUNTIF(tblKartlar[KartId],$B962)=0,"YETİM","")))</f>
        <v/>
      </c>
      <c r="J962" s="24">
        <f>IF(OR($A962="",$C962=""),"",IF(OR($C962&amp;"|"&amp;$D962="",COUNTIF(ListeIzinliGecis,$C962&amp;"|"&amp;$D962)&gt;0),"","GEÇERSİZ GEÇİŞ"))</f>
        <v/>
      </c>
      <c r="K962" s="24">
        <f>IF($A962="","",IF(OR($E962="",$G962=""),"",IF(ABS($G962-$E962)&gt;zincirTolerans,"ZİNCİR KIRIK","OK")))</f>
        <v/>
      </c>
      <c r="L962" s="24">
        <f>IF($A962="","",1)</f>
        <v/>
      </c>
    </row>
    <row r="963">
      <c r="A963" s="12" t="n"/>
      <c r="B963" s="12" t="n"/>
      <c r="C963" s="12" t="n"/>
      <c r="D963" s="12" t="n"/>
      <c r="E963" s="14" t="n"/>
      <c r="F963" s="14" t="n"/>
      <c r="G963" s="14" t="n"/>
      <c r="H963" s="15" t="n"/>
      <c r="I963" s="24">
        <f>IF($A963="","",IF($B963="","YETİM",IF(COUNTIF(tblKartlar[KartId],$B963)=0,"YETİM","")))</f>
        <v/>
      </c>
      <c r="J963" s="24">
        <f>IF(OR($A963="",$C963=""),"",IF(OR($C963&amp;"|"&amp;$D963="",COUNTIF(ListeIzinliGecis,$C963&amp;"|"&amp;$D963)&gt;0),"","GEÇERSİZ GEÇİŞ"))</f>
        <v/>
      </c>
      <c r="K963" s="24">
        <f>IF($A963="","",IF(OR($E963="",$G963=""),"",IF(ABS($G963-$E963)&gt;zincirTolerans,"ZİNCİR KIRIK","OK")))</f>
        <v/>
      </c>
      <c r="L963" s="24">
        <f>IF($A963="","",1)</f>
        <v/>
      </c>
    </row>
    <row r="964">
      <c r="A964" s="12" t="n"/>
      <c r="B964" s="12" t="n"/>
      <c r="C964" s="12" t="n"/>
      <c r="D964" s="12" t="n"/>
      <c r="E964" s="14" t="n"/>
      <c r="F964" s="14" t="n"/>
      <c r="G964" s="14" t="n"/>
      <c r="H964" s="15" t="n"/>
      <c r="I964" s="24">
        <f>IF($A964="","",IF($B964="","YETİM",IF(COUNTIF(tblKartlar[KartId],$B964)=0,"YETİM","")))</f>
        <v/>
      </c>
      <c r="J964" s="24">
        <f>IF(OR($A964="",$C964=""),"",IF(OR($C964&amp;"|"&amp;$D964="",COUNTIF(ListeIzinliGecis,$C964&amp;"|"&amp;$D964)&gt;0),"","GEÇERSİZ GEÇİŞ"))</f>
        <v/>
      </c>
      <c r="K964" s="24">
        <f>IF($A964="","",IF(OR($E964="",$G964=""),"",IF(ABS($G964-$E964)&gt;zincirTolerans,"ZİNCİR KIRIK","OK")))</f>
        <v/>
      </c>
      <c r="L964" s="24">
        <f>IF($A964="","",1)</f>
        <v/>
      </c>
    </row>
    <row r="965">
      <c r="A965" s="12" t="n"/>
      <c r="B965" s="12" t="n"/>
      <c r="C965" s="12" t="n"/>
      <c r="D965" s="12" t="n"/>
      <c r="E965" s="14" t="n"/>
      <c r="F965" s="14" t="n"/>
      <c r="G965" s="14" t="n"/>
      <c r="H965" s="15" t="n"/>
      <c r="I965" s="24">
        <f>IF($A965="","",IF($B965="","YETİM",IF(COUNTIF(tblKartlar[KartId],$B965)=0,"YETİM","")))</f>
        <v/>
      </c>
      <c r="J965" s="24">
        <f>IF(OR($A965="",$C965=""),"",IF(OR($C965&amp;"|"&amp;$D965="",COUNTIF(ListeIzinliGecis,$C965&amp;"|"&amp;$D965)&gt;0),"","GEÇERSİZ GEÇİŞ"))</f>
        <v/>
      </c>
      <c r="K965" s="24">
        <f>IF($A965="","",IF(OR($E965="",$G965=""),"",IF(ABS($G965-$E965)&gt;zincirTolerans,"ZİNCİR KIRIK","OK")))</f>
        <v/>
      </c>
      <c r="L965" s="24">
        <f>IF($A965="","",1)</f>
        <v/>
      </c>
    </row>
    <row r="966">
      <c r="A966" s="12" t="n"/>
      <c r="B966" s="12" t="n"/>
      <c r="C966" s="12" t="n"/>
      <c r="D966" s="12" t="n"/>
      <c r="E966" s="14" t="n"/>
      <c r="F966" s="14" t="n"/>
      <c r="G966" s="14" t="n"/>
      <c r="H966" s="15" t="n"/>
      <c r="I966" s="24">
        <f>IF($A966="","",IF($B966="","YETİM",IF(COUNTIF(tblKartlar[KartId],$B966)=0,"YETİM","")))</f>
        <v/>
      </c>
      <c r="J966" s="24">
        <f>IF(OR($A966="",$C966=""),"",IF(OR($C966&amp;"|"&amp;$D966="",COUNTIF(ListeIzinliGecis,$C966&amp;"|"&amp;$D966)&gt;0),"","GEÇERSİZ GEÇİŞ"))</f>
        <v/>
      </c>
      <c r="K966" s="24">
        <f>IF($A966="","",IF(OR($E966="",$G966=""),"",IF(ABS($G966-$E966)&gt;zincirTolerans,"ZİNCİR KIRIK","OK")))</f>
        <v/>
      </c>
      <c r="L966" s="24">
        <f>IF($A966="","",1)</f>
        <v/>
      </c>
    </row>
    <row r="967">
      <c r="A967" s="12" t="n"/>
      <c r="B967" s="12" t="n"/>
      <c r="C967" s="12" t="n"/>
      <c r="D967" s="12" t="n"/>
      <c r="E967" s="14" t="n"/>
      <c r="F967" s="14" t="n"/>
      <c r="G967" s="14" t="n"/>
      <c r="H967" s="15" t="n"/>
      <c r="I967" s="24">
        <f>IF($A967="","",IF($B967="","YETİM",IF(COUNTIF(tblKartlar[KartId],$B967)=0,"YETİM","")))</f>
        <v/>
      </c>
      <c r="J967" s="24">
        <f>IF(OR($A967="",$C967=""),"",IF(OR($C967&amp;"|"&amp;$D967="",COUNTIF(ListeIzinliGecis,$C967&amp;"|"&amp;$D967)&gt;0),"","GEÇERSİZ GEÇİŞ"))</f>
        <v/>
      </c>
      <c r="K967" s="24">
        <f>IF($A967="","",IF(OR($E967="",$G967=""),"",IF(ABS($G967-$E967)&gt;zincirTolerans,"ZİNCİR KIRIK","OK")))</f>
        <v/>
      </c>
      <c r="L967" s="24">
        <f>IF($A967="","",1)</f>
        <v/>
      </c>
    </row>
    <row r="968">
      <c r="A968" s="12" t="n"/>
      <c r="B968" s="12" t="n"/>
      <c r="C968" s="12" t="n"/>
      <c r="D968" s="12" t="n"/>
      <c r="E968" s="14" t="n"/>
      <c r="F968" s="14" t="n"/>
      <c r="G968" s="14" t="n"/>
      <c r="H968" s="15" t="n"/>
      <c r="I968" s="24">
        <f>IF($A968="","",IF($B968="","YETİM",IF(COUNTIF(tblKartlar[KartId],$B968)=0,"YETİM","")))</f>
        <v/>
      </c>
      <c r="J968" s="24">
        <f>IF(OR($A968="",$C968=""),"",IF(OR($C968&amp;"|"&amp;$D968="",COUNTIF(ListeIzinliGecis,$C968&amp;"|"&amp;$D968)&gt;0),"","GEÇERSİZ GEÇİŞ"))</f>
        <v/>
      </c>
      <c r="K968" s="24">
        <f>IF($A968="","",IF(OR($E968="",$G968=""),"",IF(ABS($G968-$E968)&gt;zincirTolerans,"ZİNCİR KIRIK","OK")))</f>
        <v/>
      </c>
      <c r="L968" s="24">
        <f>IF($A968="","",1)</f>
        <v/>
      </c>
    </row>
    <row r="969">
      <c r="A969" s="12" t="n"/>
      <c r="B969" s="12" t="n"/>
      <c r="C969" s="12" t="n"/>
      <c r="D969" s="12" t="n"/>
      <c r="E969" s="14" t="n"/>
      <c r="F969" s="14" t="n"/>
      <c r="G969" s="14" t="n"/>
      <c r="H969" s="15" t="n"/>
      <c r="I969" s="24">
        <f>IF($A969="","",IF($B969="","YETİM",IF(COUNTIF(tblKartlar[KartId],$B969)=0,"YETİM","")))</f>
        <v/>
      </c>
      <c r="J969" s="24">
        <f>IF(OR($A969="",$C969=""),"",IF(OR($C969&amp;"|"&amp;$D969="",COUNTIF(ListeIzinliGecis,$C969&amp;"|"&amp;$D969)&gt;0),"","GEÇERSİZ GEÇİŞ"))</f>
        <v/>
      </c>
      <c r="K969" s="24">
        <f>IF($A969="","",IF(OR($E969="",$G969=""),"",IF(ABS($G969-$E969)&gt;zincirTolerans,"ZİNCİR KIRIK","OK")))</f>
        <v/>
      </c>
      <c r="L969" s="24">
        <f>IF($A969="","",1)</f>
        <v/>
      </c>
    </row>
    <row r="970">
      <c r="A970" s="12" t="n"/>
      <c r="B970" s="12" t="n"/>
      <c r="C970" s="12" t="n"/>
      <c r="D970" s="12" t="n"/>
      <c r="E970" s="14" t="n"/>
      <c r="F970" s="14" t="n"/>
      <c r="G970" s="14" t="n"/>
      <c r="H970" s="15" t="n"/>
      <c r="I970" s="24">
        <f>IF($A970="","",IF($B970="","YETİM",IF(COUNTIF(tblKartlar[KartId],$B970)=0,"YETİM","")))</f>
        <v/>
      </c>
      <c r="J970" s="24">
        <f>IF(OR($A970="",$C970=""),"",IF(OR($C970&amp;"|"&amp;$D970="",COUNTIF(ListeIzinliGecis,$C970&amp;"|"&amp;$D970)&gt;0),"","GEÇERSİZ GEÇİŞ"))</f>
        <v/>
      </c>
      <c r="K970" s="24">
        <f>IF($A970="","",IF(OR($E970="",$G970=""),"",IF(ABS($G970-$E970)&gt;zincirTolerans,"ZİNCİR KIRIK","OK")))</f>
        <v/>
      </c>
      <c r="L970" s="24">
        <f>IF($A970="","",1)</f>
        <v/>
      </c>
    </row>
    <row r="971">
      <c r="A971" s="12" t="n"/>
      <c r="B971" s="12" t="n"/>
      <c r="C971" s="12" t="n"/>
      <c r="D971" s="12" t="n"/>
      <c r="E971" s="14" t="n"/>
      <c r="F971" s="14" t="n"/>
      <c r="G971" s="14" t="n"/>
      <c r="H971" s="15" t="n"/>
      <c r="I971" s="24">
        <f>IF($A971="","",IF($B971="","YETİM",IF(COUNTIF(tblKartlar[KartId],$B971)=0,"YETİM","")))</f>
        <v/>
      </c>
      <c r="J971" s="24">
        <f>IF(OR($A971="",$C971=""),"",IF(OR($C971&amp;"|"&amp;$D971="",COUNTIF(ListeIzinliGecis,$C971&amp;"|"&amp;$D971)&gt;0),"","GEÇERSİZ GEÇİŞ"))</f>
        <v/>
      </c>
      <c r="K971" s="24">
        <f>IF($A971="","",IF(OR($E971="",$G971=""),"",IF(ABS($G971-$E971)&gt;zincirTolerans,"ZİNCİR KIRIK","OK")))</f>
        <v/>
      </c>
      <c r="L971" s="24">
        <f>IF($A971="","",1)</f>
        <v/>
      </c>
    </row>
    <row r="972">
      <c r="A972" s="12" t="n"/>
      <c r="B972" s="12" t="n"/>
      <c r="C972" s="12" t="n"/>
      <c r="D972" s="12" t="n"/>
      <c r="E972" s="14" t="n"/>
      <c r="F972" s="14" t="n"/>
      <c r="G972" s="14" t="n"/>
      <c r="H972" s="15" t="n"/>
      <c r="I972" s="24">
        <f>IF($A972="","",IF($B972="","YETİM",IF(COUNTIF(tblKartlar[KartId],$B972)=0,"YETİM","")))</f>
        <v/>
      </c>
      <c r="J972" s="24">
        <f>IF(OR($A972="",$C972=""),"",IF(OR($C972&amp;"|"&amp;$D972="",COUNTIF(ListeIzinliGecis,$C972&amp;"|"&amp;$D972)&gt;0),"","GEÇERSİZ GEÇİŞ"))</f>
        <v/>
      </c>
      <c r="K972" s="24">
        <f>IF($A972="","",IF(OR($E972="",$G972=""),"",IF(ABS($G972-$E972)&gt;zincirTolerans,"ZİNCİR KIRIK","OK")))</f>
        <v/>
      </c>
      <c r="L972" s="24">
        <f>IF($A972="","",1)</f>
        <v/>
      </c>
    </row>
    <row r="973">
      <c r="A973" s="12" t="n"/>
      <c r="B973" s="12" t="n"/>
      <c r="C973" s="12" t="n"/>
      <c r="D973" s="12" t="n"/>
      <c r="E973" s="14" t="n"/>
      <c r="F973" s="14" t="n"/>
      <c r="G973" s="14" t="n"/>
      <c r="H973" s="15" t="n"/>
      <c r="I973" s="24">
        <f>IF($A973="","",IF($B973="","YETİM",IF(COUNTIF(tblKartlar[KartId],$B973)=0,"YETİM","")))</f>
        <v/>
      </c>
      <c r="J973" s="24">
        <f>IF(OR($A973="",$C973=""),"",IF(OR($C973&amp;"|"&amp;$D973="",COUNTIF(ListeIzinliGecis,$C973&amp;"|"&amp;$D973)&gt;0),"","GEÇERSİZ GEÇİŞ"))</f>
        <v/>
      </c>
      <c r="K973" s="24">
        <f>IF($A973="","",IF(OR($E973="",$G973=""),"",IF(ABS($G973-$E973)&gt;zincirTolerans,"ZİNCİR KIRIK","OK")))</f>
        <v/>
      </c>
      <c r="L973" s="24">
        <f>IF($A973="","",1)</f>
        <v/>
      </c>
    </row>
    <row r="974">
      <c r="A974" s="12" t="n"/>
      <c r="B974" s="12" t="n"/>
      <c r="C974" s="12" t="n"/>
      <c r="D974" s="12" t="n"/>
      <c r="E974" s="14" t="n"/>
      <c r="F974" s="14" t="n"/>
      <c r="G974" s="14" t="n"/>
      <c r="H974" s="15" t="n"/>
      <c r="I974" s="24">
        <f>IF($A974="","",IF($B974="","YETİM",IF(COUNTIF(tblKartlar[KartId],$B974)=0,"YETİM","")))</f>
        <v/>
      </c>
      <c r="J974" s="24">
        <f>IF(OR($A974="",$C974=""),"",IF(OR($C974&amp;"|"&amp;$D974="",COUNTIF(ListeIzinliGecis,$C974&amp;"|"&amp;$D974)&gt;0),"","GEÇERSİZ GEÇİŞ"))</f>
        <v/>
      </c>
      <c r="K974" s="24">
        <f>IF($A974="","",IF(OR($E974="",$G974=""),"",IF(ABS($G974-$E974)&gt;zincirTolerans,"ZİNCİR KIRIK","OK")))</f>
        <v/>
      </c>
      <c r="L974" s="24">
        <f>IF($A974="","",1)</f>
        <v/>
      </c>
    </row>
    <row r="975">
      <c r="A975" s="12" t="n"/>
      <c r="B975" s="12" t="n"/>
      <c r="C975" s="12" t="n"/>
      <c r="D975" s="12" t="n"/>
      <c r="E975" s="14" t="n"/>
      <c r="F975" s="14" t="n"/>
      <c r="G975" s="14" t="n"/>
      <c r="H975" s="15" t="n"/>
      <c r="I975" s="24">
        <f>IF($A975="","",IF($B975="","YETİM",IF(COUNTIF(tblKartlar[KartId],$B975)=0,"YETİM","")))</f>
        <v/>
      </c>
      <c r="J975" s="24">
        <f>IF(OR($A975="",$C975=""),"",IF(OR($C975&amp;"|"&amp;$D975="",COUNTIF(ListeIzinliGecis,$C975&amp;"|"&amp;$D975)&gt;0),"","GEÇERSİZ GEÇİŞ"))</f>
        <v/>
      </c>
      <c r="K975" s="24">
        <f>IF($A975="","",IF(OR($E975="",$G975=""),"",IF(ABS($G975-$E975)&gt;zincirTolerans,"ZİNCİR KIRIK","OK")))</f>
        <v/>
      </c>
      <c r="L975" s="24">
        <f>IF($A975="","",1)</f>
        <v/>
      </c>
    </row>
    <row r="976">
      <c r="A976" s="12" t="n"/>
      <c r="B976" s="12" t="n"/>
      <c r="C976" s="12" t="n"/>
      <c r="D976" s="12" t="n"/>
      <c r="E976" s="14" t="n"/>
      <c r="F976" s="14" t="n"/>
      <c r="G976" s="14" t="n"/>
      <c r="H976" s="15" t="n"/>
      <c r="I976" s="24">
        <f>IF($A976="","",IF($B976="","YETİM",IF(COUNTIF(tblKartlar[KartId],$B976)=0,"YETİM","")))</f>
        <v/>
      </c>
      <c r="J976" s="24">
        <f>IF(OR($A976="",$C976=""),"",IF(OR($C976&amp;"|"&amp;$D976="",COUNTIF(ListeIzinliGecis,$C976&amp;"|"&amp;$D976)&gt;0),"","GEÇERSİZ GEÇİŞ"))</f>
        <v/>
      </c>
      <c r="K976" s="24">
        <f>IF($A976="","",IF(OR($E976="",$G976=""),"",IF(ABS($G976-$E976)&gt;zincirTolerans,"ZİNCİR KIRIK","OK")))</f>
        <v/>
      </c>
      <c r="L976" s="24">
        <f>IF($A976="","",1)</f>
        <v/>
      </c>
    </row>
    <row r="977">
      <c r="A977" s="12" t="n"/>
      <c r="B977" s="12" t="n"/>
      <c r="C977" s="12" t="n"/>
      <c r="D977" s="12" t="n"/>
      <c r="E977" s="14" t="n"/>
      <c r="F977" s="14" t="n"/>
      <c r="G977" s="14" t="n"/>
      <c r="H977" s="15" t="n"/>
      <c r="I977" s="24">
        <f>IF($A977="","",IF($B977="","YETİM",IF(COUNTIF(tblKartlar[KartId],$B977)=0,"YETİM","")))</f>
        <v/>
      </c>
      <c r="J977" s="24">
        <f>IF(OR($A977="",$C977=""),"",IF(OR($C977&amp;"|"&amp;$D977="",COUNTIF(ListeIzinliGecis,$C977&amp;"|"&amp;$D977)&gt;0),"","GEÇERSİZ GEÇİŞ"))</f>
        <v/>
      </c>
      <c r="K977" s="24">
        <f>IF($A977="","",IF(OR($E977="",$G977=""),"",IF(ABS($G977-$E977)&gt;zincirTolerans,"ZİNCİR KIRIK","OK")))</f>
        <v/>
      </c>
      <c r="L977" s="24">
        <f>IF($A977="","",1)</f>
        <v/>
      </c>
    </row>
    <row r="978">
      <c r="A978" s="12" t="n"/>
      <c r="B978" s="12" t="n"/>
      <c r="C978" s="12" t="n"/>
      <c r="D978" s="12" t="n"/>
      <c r="E978" s="14" t="n"/>
      <c r="F978" s="14" t="n"/>
      <c r="G978" s="14" t="n"/>
      <c r="H978" s="15" t="n"/>
      <c r="I978" s="24">
        <f>IF($A978="","",IF($B978="","YETİM",IF(COUNTIF(tblKartlar[KartId],$B978)=0,"YETİM","")))</f>
        <v/>
      </c>
      <c r="J978" s="24">
        <f>IF(OR($A978="",$C978=""),"",IF(OR($C978&amp;"|"&amp;$D978="",COUNTIF(ListeIzinliGecis,$C978&amp;"|"&amp;$D978)&gt;0),"","GEÇERSİZ GEÇİŞ"))</f>
        <v/>
      </c>
      <c r="K978" s="24">
        <f>IF($A978="","",IF(OR($E978="",$G978=""),"",IF(ABS($G978-$E978)&gt;zincirTolerans,"ZİNCİR KIRIK","OK")))</f>
        <v/>
      </c>
      <c r="L978" s="24">
        <f>IF($A978="","",1)</f>
        <v/>
      </c>
    </row>
    <row r="979">
      <c r="A979" s="12" t="n"/>
      <c r="B979" s="12" t="n"/>
      <c r="C979" s="12" t="n"/>
      <c r="D979" s="12" t="n"/>
      <c r="E979" s="14" t="n"/>
      <c r="F979" s="14" t="n"/>
      <c r="G979" s="14" t="n"/>
      <c r="H979" s="15" t="n"/>
      <c r="I979" s="24">
        <f>IF($A979="","",IF($B979="","YETİM",IF(COUNTIF(tblKartlar[KartId],$B979)=0,"YETİM","")))</f>
        <v/>
      </c>
      <c r="J979" s="24">
        <f>IF(OR($A979="",$C979=""),"",IF(OR($C979&amp;"|"&amp;$D979="",COUNTIF(ListeIzinliGecis,$C979&amp;"|"&amp;$D979)&gt;0),"","GEÇERSİZ GEÇİŞ"))</f>
        <v/>
      </c>
      <c r="K979" s="24">
        <f>IF($A979="","",IF(OR($E979="",$G979=""),"",IF(ABS($G979-$E979)&gt;zincirTolerans,"ZİNCİR KIRIK","OK")))</f>
        <v/>
      </c>
      <c r="L979" s="24">
        <f>IF($A979="","",1)</f>
        <v/>
      </c>
    </row>
    <row r="980">
      <c r="A980" s="12" t="n"/>
      <c r="B980" s="12" t="n"/>
      <c r="C980" s="12" t="n"/>
      <c r="D980" s="12" t="n"/>
      <c r="E980" s="14" t="n"/>
      <c r="F980" s="14" t="n"/>
      <c r="G980" s="14" t="n"/>
      <c r="H980" s="15" t="n"/>
      <c r="I980" s="24">
        <f>IF($A980="","",IF($B980="","YETİM",IF(COUNTIF(tblKartlar[KartId],$B980)=0,"YETİM","")))</f>
        <v/>
      </c>
      <c r="J980" s="24">
        <f>IF(OR($A980="",$C980=""),"",IF(OR($C980&amp;"|"&amp;$D980="",COUNTIF(ListeIzinliGecis,$C980&amp;"|"&amp;$D980)&gt;0),"","GEÇERSİZ GEÇİŞ"))</f>
        <v/>
      </c>
      <c r="K980" s="24">
        <f>IF($A980="","",IF(OR($E980="",$G980=""),"",IF(ABS($G980-$E980)&gt;zincirTolerans,"ZİNCİR KIRIK","OK")))</f>
        <v/>
      </c>
      <c r="L980" s="24">
        <f>IF($A980="","",1)</f>
        <v/>
      </c>
    </row>
    <row r="981">
      <c r="A981" s="12" t="n"/>
      <c r="B981" s="12" t="n"/>
      <c r="C981" s="12" t="n"/>
      <c r="D981" s="12" t="n"/>
      <c r="E981" s="14" t="n"/>
      <c r="F981" s="14" t="n"/>
      <c r="G981" s="14" t="n"/>
      <c r="H981" s="15" t="n"/>
      <c r="I981" s="24">
        <f>IF($A981="","",IF($B981="","YETİM",IF(COUNTIF(tblKartlar[KartId],$B981)=0,"YETİM","")))</f>
        <v/>
      </c>
      <c r="J981" s="24">
        <f>IF(OR($A981="",$C981=""),"",IF(OR($C981&amp;"|"&amp;$D981="",COUNTIF(ListeIzinliGecis,$C981&amp;"|"&amp;$D981)&gt;0),"","GEÇERSİZ GEÇİŞ"))</f>
        <v/>
      </c>
      <c r="K981" s="24">
        <f>IF($A981="","",IF(OR($E981="",$G981=""),"",IF(ABS($G981-$E981)&gt;zincirTolerans,"ZİNCİR KIRIK","OK")))</f>
        <v/>
      </c>
      <c r="L981" s="24">
        <f>IF($A981="","",1)</f>
        <v/>
      </c>
    </row>
    <row r="982">
      <c r="A982" s="12" t="n"/>
      <c r="B982" s="12" t="n"/>
      <c r="C982" s="12" t="n"/>
      <c r="D982" s="12" t="n"/>
      <c r="E982" s="14" t="n"/>
      <c r="F982" s="14" t="n"/>
      <c r="G982" s="14" t="n"/>
      <c r="H982" s="15" t="n"/>
      <c r="I982" s="24">
        <f>IF($A982="","",IF($B982="","YETİM",IF(COUNTIF(tblKartlar[KartId],$B982)=0,"YETİM","")))</f>
        <v/>
      </c>
      <c r="J982" s="24">
        <f>IF(OR($A982="",$C982=""),"",IF(OR($C982&amp;"|"&amp;$D982="",COUNTIF(ListeIzinliGecis,$C982&amp;"|"&amp;$D982)&gt;0),"","GEÇERSİZ GEÇİŞ"))</f>
        <v/>
      </c>
      <c r="K982" s="24">
        <f>IF($A982="","",IF(OR($E982="",$G982=""),"",IF(ABS($G982-$E982)&gt;zincirTolerans,"ZİNCİR KIRIK","OK")))</f>
        <v/>
      </c>
      <c r="L982" s="24">
        <f>IF($A982="","",1)</f>
        <v/>
      </c>
    </row>
    <row r="983">
      <c r="A983" s="12" t="n"/>
      <c r="B983" s="12" t="n"/>
      <c r="C983" s="12" t="n"/>
      <c r="D983" s="12" t="n"/>
      <c r="E983" s="14" t="n"/>
      <c r="F983" s="14" t="n"/>
      <c r="G983" s="14" t="n"/>
      <c r="H983" s="15" t="n"/>
      <c r="I983" s="24">
        <f>IF($A983="","",IF($B983="","YETİM",IF(COUNTIF(tblKartlar[KartId],$B983)=0,"YETİM","")))</f>
        <v/>
      </c>
      <c r="J983" s="24">
        <f>IF(OR($A983="",$C983=""),"",IF(OR($C983&amp;"|"&amp;$D983="",COUNTIF(ListeIzinliGecis,$C983&amp;"|"&amp;$D983)&gt;0),"","GEÇERSİZ GEÇİŞ"))</f>
        <v/>
      </c>
      <c r="K983" s="24">
        <f>IF($A983="","",IF(OR($E983="",$G983=""),"",IF(ABS($G983-$E983)&gt;zincirTolerans,"ZİNCİR KIRIK","OK")))</f>
        <v/>
      </c>
      <c r="L983" s="24">
        <f>IF($A983="","",1)</f>
        <v/>
      </c>
    </row>
    <row r="984">
      <c r="A984" s="12" t="n"/>
      <c r="B984" s="12" t="n"/>
      <c r="C984" s="12" t="n"/>
      <c r="D984" s="12" t="n"/>
      <c r="E984" s="14" t="n"/>
      <c r="F984" s="14" t="n"/>
      <c r="G984" s="14" t="n"/>
      <c r="H984" s="15" t="n"/>
      <c r="I984" s="24">
        <f>IF($A984="","",IF($B984="","YETİM",IF(COUNTIF(tblKartlar[KartId],$B984)=0,"YETİM","")))</f>
        <v/>
      </c>
      <c r="J984" s="24">
        <f>IF(OR($A984="",$C984=""),"",IF(OR($C984&amp;"|"&amp;$D984="",COUNTIF(ListeIzinliGecis,$C984&amp;"|"&amp;$D984)&gt;0),"","GEÇERSİZ GEÇİŞ"))</f>
        <v/>
      </c>
      <c r="K984" s="24">
        <f>IF($A984="","",IF(OR($E984="",$G984=""),"",IF(ABS($G984-$E984)&gt;zincirTolerans,"ZİNCİR KIRIK","OK")))</f>
        <v/>
      </c>
      <c r="L984" s="24">
        <f>IF($A984="","",1)</f>
        <v/>
      </c>
    </row>
    <row r="985">
      <c r="A985" s="12" t="n"/>
      <c r="B985" s="12" t="n"/>
      <c r="C985" s="12" t="n"/>
      <c r="D985" s="12" t="n"/>
      <c r="E985" s="14" t="n"/>
      <c r="F985" s="14" t="n"/>
      <c r="G985" s="14" t="n"/>
      <c r="H985" s="15" t="n"/>
      <c r="I985" s="24">
        <f>IF($A985="","",IF($B985="","YETİM",IF(COUNTIF(tblKartlar[KartId],$B985)=0,"YETİM","")))</f>
        <v/>
      </c>
      <c r="J985" s="24">
        <f>IF(OR($A985="",$C985=""),"",IF(OR($C985&amp;"|"&amp;$D985="",COUNTIF(ListeIzinliGecis,$C985&amp;"|"&amp;$D985)&gt;0),"","GEÇERSİZ GEÇİŞ"))</f>
        <v/>
      </c>
      <c r="K985" s="24">
        <f>IF($A985="","",IF(OR($E985="",$G985=""),"",IF(ABS($G985-$E985)&gt;zincirTolerans,"ZİNCİR KIRIK","OK")))</f>
        <v/>
      </c>
      <c r="L985" s="24">
        <f>IF($A985="","",1)</f>
        <v/>
      </c>
    </row>
    <row r="986">
      <c r="A986" s="12" t="n"/>
      <c r="B986" s="12" t="n"/>
      <c r="C986" s="12" t="n"/>
      <c r="D986" s="12" t="n"/>
      <c r="E986" s="14" t="n"/>
      <c r="F986" s="14" t="n"/>
      <c r="G986" s="14" t="n"/>
      <c r="H986" s="15" t="n"/>
      <c r="I986" s="24">
        <f>IF($A986="","",IF($B986="","YETİM",IF(COUNTIF(tblKartlar[KartId],$B986)=0,"YETİM","")))</f>
        <v/>
      </c>
      <c r="J986" s="24">
        <f>IF(OR($A986="",$C986=""),"",IF(OR($C986&amp;"|"&amp;$D986="",COUNTIF(ListeIzinliGecis,$C986&amp;"|"&amp;$D986)&gt;0),"","GEÇERSİZ GEÇİŞ"))</f>
        <v/>
      </c>
      <c r="K986" s="24">
        <f>IF($A986="","",IF(OR($E986="",$G986=""),"",IF(ABS($G986-$E986)&gt;zincirTolerans,"ZİNCİR KIRIK","OK")))</f>
        <v/>
      </c>
      <c r="L986" s="24">
        <f>IF($A986="","",1)</f>
        <v/>
      </c>
    </row>
    <row r="987">
      <c r="A987" s="12" t="n"/>
      <c r="B987" s="12" t="n"/>
      <c r="C987" s="12" t="n"/>
      <c r="D987" s="12" t="n"/>
      <c r="E987" s="14" t="n"/>
      <c r="F987" s="14" t="n"/>
      <c r="G987" s="14" t="n"/>
      <c r="H987" s="15" t="n"/>
      <c r="I987" s="24">
        <f>IF($A987="","",IF($B987="","YETİM",IF(COUNTIF(tblKartlar[KartId],$B987)=0,"YETİM","")))</f>
        <v/>
      </c>
      <c r="J987" s="24">
        <f>IF(OR($A987="",$C987=""),"",IF(OR($C987&amp;"|"&amp;$D987="",COUNTIF(ListeIzinliGecis,$C987&amp;"|"&amp;$D987)&gt;0),"","GEÇERSİZ GEÇİŞ"))</f>
        <v/>
      </c>
      <c r="K987" s="24">
        <f>IF($A987="","",IF(OR($E987="",$G987=""),"",IF(ABS($G987-$E987)&gt;zincirTolerans,"ZİNCİR KIRIK","OK")))</f>
        <v/>
      </c>
      <c r="L987" s="24">
        <f>IF($A987="","",1)</f>
        <v/>
      </c>
    </row>
    <row r="988">
      <c r="A988" s="12" t="n"/>
      <c r="B988" s="12" t="n"/>
      <c r="C988" s="12" t="n"/>
      <c r="D988" s="12" t="n"/>
      <c r="E988" s="14" t="n"/>
      <c r="F988" s="14" t="n"/>
      <c r="G988" s="14" t="n"/>
      <c r="H988" s="15" t="n"/>
      <c r="I988" s="24">
        <f>IF($A988="","",IF($B988="","YETİM",IF(COUNTIF(tblKartlar[KartId],$B988)=0,"YETİM","")))</f>
        <v/>
      </c>
      <c r="J988" s="24">
        <f>IF(OR($A988="",$C988=""),"",IF(OR($C988&amp;"|"&amp;$D988="",COUNTIF(ListeIzinliGecis,$C988&amp;"|"&amp;$D988)&gt;0),"","GEÇERSİZ GEÇİŞ"))</f>
        <v/>
      </c>
      <c r="K988" s="24">
        <f>IF($A988="","",IF(OR($E988="",$G988=""),"",IF(ABS($G988-$E988)&gt;zincirTolerans,"ZİNCİR KIRIK","OK")))</f>
        <v/>
      </c>
      <c r="L988" s="24">
        <f>IF($A988="","",1)</f>
        <v/>
      </c>
    </row>
    <row r="989">
      <c r="A989" s="12" t="n"/>
      <c r="B989" s="12" t="n"/>
      <c r="C989" s="12" t="n"/>
      <c r="D989" s="12" t="n"/>
      <c r="E989" s="14" t="n"/>
      <c r="F989" s="14" t="n"/>
      <c r="G989" s="14" t="n"/>
      <c r="H989" s="15" t="n"/>
      <c r="I989" s="24">
        <f>IF($A989="","",IF($B989="","YETİM",IF(COUNTIF(tblKartlar[KartId],$B989)=0,"YETİM","")))</f>
        <v/>
      </c>
      <c r="J989" s="24">
        <f>IF(OR($A989="",$C989=""),"",IF(OR($C989&amp;"|"&amp;$D989="",COUNTIF(ListeIzinliGecis,$C989&amp;"|"&amp;$D989)&gt;0),"","GEÇERSİZ GEÇİŞ"))</f>
        <v/>
      </c>
      <c r="K989" s="24">
        <f>IF($A989="","",IF(OR($E989="",$G989=""),"",IF(ABS($G989-$E989)&gt;zincirTolerans,"ZİNCİR KIRIK","OK")))</f>
        <v/>
      </c>
      <c r="L989" s="24">
        <f>IF($A989="","",1)</f>
        <v/>
      </c>
    </row>
    <row r="990">
      <c r="A990" s="12" t="n"/>
      <c r="B990" s="12" t="n"/>
      <c r="C990" s="12" t="n"/>
      <c r="D990" s="12" t="n"/>
      <c r="E990" s="14" t="n"/>
      <c r="F990" s="14" t="n"/>
      <c r="G990" s="14" t="n"/>
      <c r="H990" s="15" t="n"/>
      <c r="I990" s="24">
        <f>IF($A990="","",IF($B990="","YETİM",IF(COUNTIF(tblKartlar[KartId],$B990)=0,"YETİM","")))</f>
        <v/>
      </c>
      <c r="J990" s="24">
        <f>IF(OR($A990="",$C990=""),"",IF(OR($C990&amp;"|"&amp;$D990="",COUNTIF(ListeIzinliGecis,$C990&amp;"|"&amp;$D990)&gt;0),"","GEÇERSİZ GEÇİŞ"))</f>
        <v/>
      </c>
      <c r="K990" s="24">
        <f>IF($A990="","",IF(OR($E990="",$G990=""),"",IF(ABS($G990-$E990)&gt;zincirTolerans,"ZİNCİR KIRIK","OK")))</f>
        <v/>
      </c>
      <c r="L990" s="24">
        <f>IF($A990="","",1)</f>
        <v/>
      </c>
    </row>
    <row r="991">
      <c r="A991" s="12" t="n"/>
      <c r="B991" s="12" t="n"/>
      <c r="C991" s="12" t="n"/>
      <c r="D991" s="12" t="n"/>
      <c r="E991" s="14" t="n"/>
      <c r="F991" s="14" t="n"/>
      <c r="G991" s="14" t="n"/>
      <c r="H991" s="15" t="n"/>
      <c r="I991" s="24">
        <f>IF($A991="","",IF($B991="","YETİM",IF(COUNTIF(tblKartlar[KartId],$B991)=0,"YETİM","")))</f>
        <v/>
      </c>
      <c r="J991" s="24">
        <f>IF(OR($A991="",$C991=""),"",IF(OR($C991&amp;"|"&amp;$D991="",COUNTIF(ListeIzinliGecis,$C991&amp;"|"&amp;$D991)&gt;0),"","GEÇERSİZ GEÇİŞ"))</f>
        <v/>
      </c>
      <c r="K991" s="24">
        <f>IF($A991="","",IF(OR($E991="",$G991=""),"",IF(ABS($G991-$E991)&gt;zincirTolerans,"ZİNCİR KIRIK","OK")))</f>
        <v/>
      </c>
      <c r="L991" s="24">
        <f>IF($A991="","",1)</f>
        <v/>
      </c>
    </row>
    <row r="992">
      <c r="A992" s="12" t="n"/>
      <c r="B992" s="12" t="n"/>
      <c r="C992" s="12" t="n"/>
      <c r="D992" s="12" t="n"/>
      <c r="E992" s="14" t="n"/>
      <c r="F992" s="14" t="n"/>
      <c r="G992" s="14" t="n"/>
      <c r="H992" s="15" t="n"/>
      <c r="I992" s="24">
        <f>IF($A992="","",IF($B992="","YETİM",IF(COUNTIF(tblKartlar[KartId],$B992)=0,"YETİM","")))</f>
        <v/>
      </c>
      <c r="J992" s="24">
        <f>IF(OR($A992="",$C992=""),"",IF(OR($C992&amp;"|"&amp;$D992="",COUNTIF(ListeIzinliGecis,$C992&amp;"|"&amp;$D992)&gt;0),"","GEÇERSİZ GEÇİŞ"))</f>
        <v/>
      </c>
      <c r="K992" s="24">
        <f>IF($A992="","",IF(OR($E992="",$G992=""),"",IF(ABS($G992-$E992)&gt;zincirTolerans,"ZİNCİR KIRIK","OK")))</f>
        <v/>
      </c>
      <c r="L992" s="24">
        <f>IF($A992="","",1)</f>
        <v/>
      </c>
    </row>
    <row r="993">
      <c r="A993" s="12" t="n"/>
      <c r="B993" s="12" t="n"/>
      <c r="C993" s="12" t="n"/>
      <c r="D993" s="12" t="n"/>
      <c r="E993" s="14" t="n"/>
      <c r="F993" s="14" t="n"/>
      <c r="G993" s="14" t="n"/>
      <c r="H993" s="15" t="n"/>
      <c r="I993" s="24">
        <f>IF($A993="","",IF($B993="","YETİM",IF(COUNTIF(tblKartlar[KartId],$B993)=0,"YETİM","")))</f>
        <v/>
      </c>
      <c r="J993" s="24">
        <f>IF(OR($A993="",$C993=""),"",IF(OR($C993&amp;"|"&amp;$D993="",COUNTIF(ListeIzinliGecis,$C993&amp;"|"&amp;$D993)&gt;0),"","GEÇERSİZ GEÇİŞ"))</f>
        <v/>
      </c>
      <c r="K993" s="24">
        <f>IF($A993="","",IF(OR($E993="",$G993=""),"",IF(ABS($G993-$E993)&gt;zincirTolerans,"ZİNCİR KIRIK","OK")))</f>
        <v/>
      </c>
      <c r="L993" s="24">
        <f>IF($A993="","",1)</f>
        <v/>
      </c>
    </row>
    <row r="994">
      <c r="A994" s="12" t="n"/>
      <c r="B994" s="12" t="n"/>
      <c r="C994" s="12" t="n"/>
      <c r="D994" s="12" t="n"/>
      <c r="E994" s="14" t="n"/>
      <c r="F994" s="14" t="n"/>
      <c r="G994" s="14" t="n"/>
      <c r="H994" s="15" t="n"/>
      <c r="I994" s="24">
        <f>IF($A994="","",IF($B994="","YETİM",IF(COUNTIF(tblKartlar[KartId],$B994)=0,"YETİM","")))</f>
        <v/>
      </c>
      <c r="J994" s="24">
        <f>IF(OR($A994="",$C994=""),"",IF(OR($C994&amp;"|"&amp;$D994="",COUNTIF(ListeIzinliGecis,$C994&amp;"|"&amp;$D994)&gt;0),"","GEÇERSİZ GEÇİŞ"))</f>
        <v/>
      </c>
      <c r="K994" s="24">
        <f>IF($A994="","",IF(OR($E994="",$G994=""),"",IF(ABS($G994-$E994)&gt;zincirTolerans,"ZİNCİR KIRIK","OK")))</f>
        <v/>
      </c>
      <c r="L994" s="24">
        <f>IF($A994="","",1)</f>
        <v/>
      </c>
    </row>
    <row r="995">
      <c r="A995" s="12" t="n"/>
      <c r="B995" s="12" t="n"/>
      <c r="C995" s="12" t="n"/>
      <c r="D995" s="12" t="n"/>
      <c r="E995" s="14" t="n"/>
      <c r="F995" s="14" t="n"/>
      <c r="G995" s="14" t="n"/>
      <c r="H995" s="15" t="n"/>
      <c r="I995" s="24">
        <f>IF($A995="","",IF($B995="","YETİM",IF(COUNTIF(tblKartlar[KartId],$B995)=0,"YETİM","")))</f>
        <v/>
      </c>
      <c r="J995" s="24">
        <f>IF(OR($A995="",$C995=""),"",IF(OR($C995&amp;"|"&amp;$D995="",COUNTIF(ListeIzinliGecis,$C995&amp;"|"&amp;$D995)&gt;0),"","GEÇERSİZ GEÇİŞ"))</f>
        <v/>
      </c>
      <c r="K995" s="24">
        <f>IF($A995="","",IF(OR($E995="",$G995=""),"",IF(ABS($G995-$E995)&gt;zincirTolerans,"ZİNCİR KIRIK","OK")))</f>
        <v/>
      </c>
      <c r="L995" s="24">
        <f>IF($A995="","",1)</f>
        <v/>
      </c>
    </row>
    <row r="996">
      <c r="A996" s="12" t="n"/>
      <c r="B996" s="12" t="n"/>
      <c r="C996" s="12" t="n"/>
      <c r="D996" s="12" t="n"/>
      <c r="E996" s="14" t="n"/>
      <c r="F996" s="14" t="n"/>
      <c r="G996" s="14" t="n"/>
      <c r="H996" s="15" t="n"/>
      <c r="I996" s="24">
        <f>IF($A996="","",IF($B996="","YETİM",IF(COUNTIF(tblKartlar[KartId],$B996)=0,"YETİM","")))</f>
        <v/>
      </c>
      <c r="J996" s="24">
        <f>IF(OR($A996="",$C996=""),"",IF(OR($C996&amp;"|"&amp;$D996="",COUNTIF(ListeIzinliGecis,$C996&amp;"|"&amp;$D996)&gt;0),"","GEÇERSİZ GEÇİŞ"))</f>
        <v/>
      </c>
      <c r="K996" s="24">
        <f>IF($A996="","",IF(OR($E996="",$G996=""),"",IF(ABS($G996-$E996)&gt;zincirTolerans,"ZİNCİR KIRIK","OK")))</f>
        <v/>
      </c>
      <c r="L996" s="24">
        <f>IF($A996="","",1)</f>
        <v/>
      </c>
    </row>
    <row r="997">
      <c r="A997" s="12" t="n"/>
      <c r="B997" s="12" t="n"/>
      <c r="C997" s="12" t="n"/>
      <c r="D997" s="12" t="n"/>
      <c r="E997" s="14" t="n"/>
      <c r="F997" s="14" t="n"/>
      <c r="G997" s="14" t="n"/>
      <c r="H997" s="15" t="n"/>
      <c r="I997" s="24">
        <f>IF($A997="","",IF($B997="","YETİM",IF(COUNTIF(tblKartlar[KartId],$B997)=0,"YETİM","")))</f>
        <v/>
      </c>
      <c r="J997" s="24">
        <f>IF(OR($A997="",$C997=""),"",IF(OR($C997&amp;"|"&amp;$D997="",COUNTIF(ListeIzinliGecis,$C997&amp;"|"&amp;$D997)&gt;0),"","GEÇERSİZ GEÇİŞ"))</f>
        <v/>
      </c>
      <c r="K997" s="24">
        <f>IF($A997="","",IF(OR($E997="",$G997=""),"",IF(ABS($G997-$E997)&gt;zincirTolerans,"ZİNCİR KIRIK","OK")))</f>
        <v/>
      </c>
      <c r="L997" s="24">
        <f>IF($A997="","",1)</f>
        <v/>
      </c>
    </row>
    <row r="998">
      <c r="A998" s="12" t="n"/>
      <c r="B998" s="12" t="n"/>
      <c r="C998" s="12" t="n"/>
      <c r="D998" s="12" t="n"/>
      <c r="E998" s="14" t="n"/>
      <c r="F998" s="14" t="n"/>
      <c r="G998" s="14" t="n"/>
      <c r="H998" s="15" t="n"/>
      <c r="I998" s="24">
        <f>IF($A998="","",IF($B998="","YETİM",IF(COUNTIF(tblKartlar[KartId],$B998)=0,"YETİM","")))</f>
        <v/>
      </c>
      <c r="J998" s="24">
        <f>IF(OR($A998="",$C998=""),"",IF(OR($C998&amp;"|"&amp;$D998="",COUNTIF(ListeIzinliGecis,$C998&amp;"|"&amp;$D998)&gt;0),"","GEÇERSİZ GEÇİŞ"))</f>
        <v/>
      </c>
      <c r="K998" s="24">
        <f>IF($A998="","",IF(OR($E998="",$G998=""),"",IF(ABS($G998-$E998)&gt;zincirTolerans,"ZİNCİR KIRIK","OK")))</f>
        <v/>
      </c>
      <c r="L998" s="24">
        <f>IF($A998="","",1)</f>
        <v/>
      </c>
    </row>
    <row r="999">
      <c r="A999" s="12" t="n"/>
      <c r="B999" s="12" t="n"/>
      <c r="C999" s="12" t="n"/>
      <c r="D999" s="12" t="n"/>
      <c r="E999" s="14" t="n"/>
      <c r="F999" s="14" t="n"/>
      <c r="G999" s="14" t="n"/>
      <c r="H999" s="15" t="n"/>
      <c r="I999" s="24">
        <f>IF($A999="","",IF($B999="","YETİM",IF(COUNTIF(tblKartlar[KartId],$B999)=0,"YETİM","")))</f>
        <v/>
      </c>
      <c r="J999" s="24">
        <f>IF(OR($A999="",$C999=""),"",IF(OR($C999&amp;"|"&amp;$D999="",COUNTIF(ListeIzinliGecis,$C999&amp;"|"&amp;$D999)&gt;0),"","GEÇERSİZ GEÇİŞ"))</f>
        <v/>
      </c>
      <c r="K999" s="24">
        <f>IF($A999="","",IF(OR($E999="",$G999=""),"",IF(ABS($G999-$E999)&gt;zincirTolerans,"ZİNCİR KIRIK","OK")))</f>
        <v/>
      </c>
      <c r="L999" s="24">
        <f>IF($A999="","",1)</f>
        <v/>
      </c>
    </row>
    <row r="1000">
      <c r="A1000" s="12" t="n"/>
      <c r="B1000" s="12" t="n"/>
      <c r="C1000" s="12" t="n"/>
      <c r="D1000" s="12" t="n"/>
      <c r="E1000" s="14" t="n"/>
      <c r="F1000" s="14" t="n"/>
      <c r="G1000" s="14" t="n"/>
      <c r="H1000" s="15" t="n"/>
      <c r="I1000" s="24">
        <f>IF($A1000="","",IF($B1000="","YETİM",IF(COUNTIF(tblKartlar[KartId],$B1000)=0,"YETİM","")))</f>
        <v/>
      </c>
      <c r="J1000" s="24">
        <f>IF(OR($A1000="",$C1000=""),"",IF(OR($C1000&amp;"|"&amp;$D1000="",COUNTIF(ListeIzinliGecis,$C1000&amp;"|"&amp;$D1000)&gt;0),"","GEÇERSİZ GEÇİŞ"))</f>
        <v/>
      </c>
      <c r="K1000" s="24">
        <f>IF($A1000="","",IF(OR($E1000="",$G1000=""),"",IF(ABS($G1000-$E1000)&gt;zincirTolerans,"ZİNCİR KIRIK","OK")))</f>
        <v/>
      </c>
      <c r="L1000" s="24">
        <f>IF($A1000="","",1)</f>
        <v/>
      </c>
    </row>
    <row r="1001">
      <c r="A1001" s="12" t="n"/>
      <c r="B1001" s="12" t="n"/>
      <c r="C1001" s="12" t="n"/>
      <c r="D1001" s="12" t="n"/>
      <c r="E1001" s="14" t="n"/>
      <c r="F1001" s="14" t="n"/>
      <c r="G1001" s="14" t="n"/>
      <c r="H1001" s="15" t="n"/>
      <c r="I1001" s="24">
        <f>IF($A1001="","",IF($B1001="","YETİM",IF(COUNTIF(tblKartlar[KartId],$B1001)=0,"YETİM","")))</f>
        <v/>
      </c>
      <c r="J1001" s="24">
        <f>IF(OR($A1001="",$C1001=""),"",IF(OR($C1001&amp;"|"&amp;$D1001="",COUNTIF(ListeIzinliGecis,$C1001&amp;"|"&amp;$D1001)&gt;0),"","GEÇERSİZ GEÇİŞ"))</f>
        <v/>
      </c>
      <c r="K1001" s="24">
        <f>IF($A1001="","",IF(OR($E1001="",$G1001=""),"",IF(ABS($G1001-$E1001)&gt;zincirTolerans,"ZİNCİR KIRIK","OK")))</f>
        <v/>
      </c>
      <c r="L1001" s="24">
        <f>IF($A1001="","",1)</f>
        <v/>
      </c>
    </row>
    <row r="1002">
      <c r="A1002" s="12" t="n"/>
      <c r="B1002" s="12" t="n"/>
      <c r="C1002" s="12" t="n"/>
      <c r="D1002" s="12" t="n"/>
      <c r="E1002" s="14" t="n"/>
      <c r="F1002" s="14" t="n"/>
      <c r="G1002" s="14" t="n"/>
      <c r="H1002" s="15" t="n"/>
      <c r="I1002" s="24">
        <f>IF($A1002="","",IF($B1002="","YETİM",IF(COUNTIF(tblKartlar[KartId],$B1002)=0,"YETİM","")))</f>
        <v/>
      </c>
      <c r="J1002" s="24">
        <f>IF(OR($A1002="",$C1002=""),"",IF(OR($C1002&amp;"|"&amp;$D1002="",COUNTIF(ListeIzinliGecis,$C1002&amp;"|"&amp;$D1002)&gt;0),"","GEÇERSİZ GEÇİŞ"))</f>
        <v/>
      </c>
      <c r="K1002" s="24">
        <f>IF($A1002="","",IF(OR($E1002="",$G1002=""),"",IF(ABS($G1002-$E1002)&gt;zincirTolerans,"ZİNCİR KIRIK","OK")))</f>
        <v/>
      </c>
      <c r="L1002" s="24">
        <f>IF($A1002="","",1)</f>
        <v/>
      </c>
    </row>
    <row r="1003">
      <c r="A1003" s="12" t="n"/>
      <c r="B1003" s="12" t="n"/>
      <c r="C1003" s="12" t="n"/>
      <c r="D1003" s="12" t="n"/>
      <c r="E1003" s="14" t="n"/>
      <c r="F1003" s="14" t="n"/>
      <c r="G1003" s="14" t="n"/>
      <c r="H1003" s="15" t="n"/>
      <c r="I1003" s="24">
        <f>IF($A1003="","",IF($B1003="","YETİM",IF(COUNTIF(tblKartlar[KartId],$B1003)=0,"YETİM","")))</f>
        <v/>
      </c>
      <c r="J1003" s="24">
        <f>IF(OR($A1003="",$C1003=""),"",IF(OR($C1003&amp;"|"&amp;$D1003="",COUNTIF(ListeIzinliGecis,$C1003&amp;"|"&amp;$D1003)&gt;0),"","GEÇERSİZ GEÇİŞ"))</f>
        <v/>
      </c>
      <c r="K1003" s="24">
        <f>IF($A1003="","",IF(OR($E1003="",$G1003=""),"",IF(ABS($G1003-$E1003)&gt;zincirTolerans,"ZİNCİR KIRIK","OK")))</f>
        <v/>
      </c>
      <c r="L1003" s="24">
        <f>IF($A1003="","",1)</f>
        <v/>
      </c>
    </row>
    <row r="1004">
      <c r="A1004" s="12" t="n"/>
      <c r="B1004" s="12" t="n"/>
      <c r="C1004" s="12" t="n"/>
      <c r="D1004" s="12" t="n"/>
      <c r="E1004" s="14" t="n"/>
      <c r="F1004" s="14" t="n"/>
      <c r="G1004" s="14" t="n"/>
      <c r="H1004" s="15" t="n"/>
      <c r="I1004" s="24">
        <f>IF($A1004="","",IF($B1004="","YETİM",IF(COUNTIF(tblKartlar[KartId],$B1004)=0,"YETİM","")))</f>
        <v/>
      </c>
      <c r="J1004" s="24">
        <f>IF(OR($A1004="",$C1004=""),"",IF(OR($C1004&amp;"|"&amp;$D1004="",COUNTIF(ListeIzinliGecis,$C1004&amp;"|"&amp;$D1004)&gt;0),"","GEÇERSİZ GEÇİŞ"))</f>
        <v/>
      </c>
      <c r="K1004" s="24">
        <f>IF($A1004="","",IF(OR($E1004="",$G1004=""),"",IF(ABS($G1004-$E1004)&gt;zincirTolerans,"ZİNCİR KIRIK","OK")))</f>
        <v/>
      </c>
      <c r="L1004" s="24">
        <f>IF($A1004="","",1)</f>
        <v/>
      </c>
    </row>
    <row r="1005">
      <c r="A1005" s="12" t="n"/>
      <c r="B1005" s="12" t="n"/>
      <c r="C1005" s="12" t="n"/>
      <c r="D1005" s="12" t="n"/>
      <c r="E1005" s="14" t="n"/>
      <c r="F1005" s="14" t="n"/>
      <c r="G1005" s="14" t="n"/>
      <c r="H1005" s="15" t="n"/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T3"/>
    <mergeCell ref="A1:X1"/>
  </mergeCells>
  <conditionalFormatting sqref="I6:I1005">
    <cfRule type="expression" priority="1" dxfId="0">
      <formula>I6="YETİM"</formula>
    </cfRule>
  </conditionalFormatting>
  <conditionalFormatting sqref="J6:J1005">
    <cfRule type="expression" priority="2" dxfId="0">
      <formula>J6="GEÇERSİZ GEÇİŞ"</formula>
    </cfRule>
  </conditionalFormatting>
  <conditionalFormatting sqref="K6:K1005">
    <cfRule type="expression" priority="3" dxfId="0">
      <formula>K6="ZİNCİR KIRIK"</formula>
    </cfRule>
  </conditionalFormatting>
  <conditionalFormatting sqref="D6:D1005">
    <cfRule type="expression" priority="4" dxfId="2">
      <formula>OR(D6="KAPALI",D6="IPTAL")</formula>
    </cfRule>
    <cfRule type="expression" priority="5" dxfId="3">
      <formula>OR(D6="ONAY",D6="TAHSILAT")</formula>
    </cfRule>
  </conditionalFormatting>
  <dataValidations count="5">
    <dataValidation sqref="C6:C1005" showDropDown="0" showInputMessage="1" showErrorMessage="1" allowBlank="1" errorTitle="Liste" error="Listeden seçin" promptTitle="Önceki Durum" prompt="Durum haritasından seçin" type="list" errorStyle="stop">
      <formula1>ListeDurumlar</formula1>
    </dataValidation>
    <dataValidation sqref="D6:D1005" showDropDown="0" showInputMessage="1" showErrorMessage="1" allowBlank="1" errorTitle="Liste" error="Listeden seçin" promptTitle="Durum" prompt="Durum haritasından seçin" type="list" errorStyle="stop">
      <formula1>ListeDurumlar</formula1>
    </dataValidation>
    <dataValidation sqref="E6:E1005" showDropDown="0" showInputMessage="1" showErrorMessage="1" allowBlank="1" errorTitle="FOB" error="0 veya üzeri" promptTitle="FOB" prompt="FOB ≥ 0" type="decimal" errorStyle="stop" operator="greaterThanOrEqual">
      <formula1>0</formula1>
    </dataValidation>
    <dataValidation sqref="F6:F1005" showDropDown="0" showInputMessage="1" showErrorMessage="1" allowBlank="1" errorTitle="Maliyet" error="0 veya üzeri" promptTitle="Maliyet" prompt="Maliyet ≥ 0" type="decimal" errorStyle="stop" operator="greaterThanOrEqual">
      <formula1>0</formula1>
    </dataValidation>
    <dataValidation sqref="G6:G1005" showDropDown="0" showInputMessage="1" showErrorMessage="1" allowBlank="1" errorTitle="Tutar" error="0 veya üzeri" promptTitle="Tutar" prompt="Tutar ≥ 0" type="decimal" errorStyle="stop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C65911"/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</cols>
  <sheetData>
    <row r="1" ht="26" customHeight="1">
      <c r="A1" s="1" t="inlineStr">
        <is>
          <t>KUYRUKLAR — İhracat Sipariş Kârlılık &amp; Kur Riski Komutası</t>
        </is>
      </c>
    </row>
    <row r="3" ht="20" customHeight="1">
      <c r="A3" s="29" t="inlineStr">
        <is>
          <t>Durum bazlı canlı kuyruk — kapalı kayıtlar düşer</t>
        </is>
      </c>
    </row>
    <row r="5">
      <c r="A5" s="31" t="inlineStr">
        <is>
          <t>Kuyruk</t>
        </is>
      </c>
      <c r="B5" s="31" t="inlineStr">
        <is>
          <t>Adet</t>
        </is>
      </c>
      <c r="C5" s="31" t="inlineStr">
        <is>
          <t>Tutar</t>
        </is>
      </c>
    </row>
    <row r="6">
      <c r="A6" s="32" t="inlineStr">
        <is>
          <t>Kuyruk TEKLIF</t>
        </is>
      </c>
      <c r="B6" s="21">
        <f>COUNTIFS(tblAkis[Durum],"TEKLIF",tblAkis[Tutar],"&gt;0")</f>
        <v/>
      </c>
      <c r="C6" s="21">
        <f>SUMIFS(tblAkis[Tutar],tblAkis[Durum],"TEKLIF")</f>
        <v/>
      </c>
    </row>
    <row r="7">
      <c r="A7" s="32" t="inlineStr">
        <is>
          <t>Kuyruk ONAY</t>
        </is>
      </c>
      <c r="B7" s="21">
        <f>COUNTIFS(tblAkis[Durum],"ONAY",tblAkis[Tutar],"&gt;0")</f>
        <v/>
      </c>
      <c r="C7" s="21">
        <f>SUMIFS(tblAkis[Tutar],tblAkis[Durum],"ONAY")</f>
        <v/>
      </c>
    </row>
    <row r="8">
      <c r="A8" s="32" t="inlineStr">
        <is>
          <t>Kuyruk URETIM</t>
        </is>
      </c>
      <c r="B8" s="21">
        <f>COUNTIFS(tblAkis[Durum],"URETIM",tblAkis[Tutar],"&gt;0")</f>
        <v/>
      </c>
      <c r="C8" s="21">
        <f>SUMIFS(tblAkis[Tutar],tblAkis[Durum],"URETIM")</f>
        <v/>
      </c>
    </row>
    <row r="9">
      <c r="A9" s="32" t="inlineStr">
        <is>
          <t>Kuyruk SEVK</t>
        </is>
      </c>
      <c r="B9" s="21">
        <f>COUNTIFS(tblAkis[Durum],"SEVK",tblAkis[Tutar],"&gt;0")</f>
        <v/>
      </c>
      <c r="C9" s="21">
        <f>SUMIFS(tblAkis[Tutar],tblAkis[Durum],"SEVK")</f>
        <v/>
      </c>
    </row>
    <row r="10">
      <c r="A10" s="32" t="inlineStr">
        <is>
          <t>Kuyruk TAHSILAT</t>
        </is>
      </c>
      <c r="B10" s="21">
        <f>COUNTIFS(tblAkis[Durum],"TAHSILAT",tblAkis[Tutar],"&gt;0")</f>
        <v/>
      </c>
      <c r="C10" s="21">
        <f>SUMIFS(tblAkis[Tutar],tblAkis[Durum],"TAHSILAT")</f>
        <v/>
      </c>
    </row>
    <row r="12">
      <c r="A12" s="32" t="inlineStr">
        <is>
          <t>Açık toplam (kapalı düşer)</t>
        </is>
      </c>
      <c r="B12" s="21">
        <f>COUNTIFS(tblAkis[Durum],"&lt;&gt;KAPALI",tblAkis[Durum],"&lt;&gt;IPTAL",tblAkis[Tutar],"&gt;0")</f>
        <v/>
      </c>
      <c r="C12" s="21">
        <f>SUMIFS(tblAkis[Tutar],tblAkis[Durum],"&lt;&gt;KAPALI")-SUMIFS(tblAkis[Tutar],tblAkis[Durum],"IPTAL")</f>
        <v/>
      </c>
    </row>
    <row r="13">
      <c r="A13" s="32" t="inlineStr">
        <is>
          <t>Kapalı / iptal adet</t>
        </is>
      </c>
      <c r="B13" s="21">
        <f>COUNTIF(tblAkis[Durum],"KAPALI")+COUNTIF(tblAkis[Durum],"IPTAL")</f>
        <v/>
      </c>
    </row>
    <row r="14">
      <c r="A14" s="32" t="inlineStr">
        <is>
          <t>Yetim adet</t>
        </is>
      </c>
      <c r="B14" s="21">
        <f>COUNTIF(tblAkis[YetimBayrak],"YETİM")</f>
        <v/>
      </c>
    </row>
    <row r="15">
      <c r="A15" s="32" t="inlineStr">
        <is>
          <t>Geçersiz geçiş</t>
        </is>
      </c>
      <c r="B15" s="21">
        <f>COUNTIF(tblAkis[GecisUyarisi],"GEÇERSİZ GEÇİŞ")</f>
        <v/>
      </c>
    </row>
    <row r="16">
      <c r="A16" s="32" t="inlineStr">
        <is>
          <t>ZİNCİR KIRIK</t>
        </is>
      </c>
      <c r="B16" s="21">
        <f>COUNTIF(tblAkis[ZincirBayrak],"ZİNCİR KIRIK")</f>
        <v/>
      </c>
    </row>
    <row r="18">
      <c r="A18" s="10" t="inlineStr">
        <is>
          <t>Kuyruk özeti</t>
        </is>
      </c>
      <c r="B18" s="33">
        <f>_xlfn.TEXTJOIN(" | ",TRUE,"Açık",B12,"Yetim",B14,"Geçiş",B15,"Zincir",B16)</f>
        <v/>
      </c>
    </row>
    <row r="20">
      <c r="A20" s="34" t="inlineStr">
        <is>
          <t>KuyrukDemo</t>
        </is>
      </c>
    </row>
    <row r="21">
      <c r="A21" s="32" t="inlineStr">
        <is>
          <t>ONAY</t>
        </is>
      </c>
      <c r="B21" s="35" t="n">
        <v>1</v>
      </c>
    </row>
    <row r="22">
      <c r="A22" s="32" t="inlineStr">
        <is>
          <t>URETIM</t>
        </is>
      </c>
      <c r="B22" s="35" t="n">
        <v>1</v>
      </c>
    </row>
    <row r="23">
      <c r="A23" s="32" t="inlineStr">
        <is>
          <t>TAHSILAT</t>
        </is>
      </c>
      <c r="B23" s="35" t="n">
        <v>1</v>
      </c>
    </row>
    <row r="24">
      <c r="A24" s="32" t="inlineStr">
        <is>
          <t>TEKLIF</t>
        </is>
      </c>
      <c r="B24" s="35" t="n">
        <v>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B6">
    <cfRule type="cellIs" priority="1" operator="greaterThan" dxfId="4">
      <formula>0</formula>
    </cfRule>
  </conditionalFormatting>
  <conditionalFormatting sqref="C6">
    <cfRule type="cellIs" priority="2" operator="greaterThan" dxfId="5">
      <formula>0</formula>
    </cfRule>
  </conditionalFormatting>
  <conditionalFormatting sqref="B7">
    <cfRule type="cellIs" priority="3" operator="greaterThan" dxfId="4">
      <formula>0</formula>
    </cfRule>
  </conditionalFormatting>
  <conditionalFormatting sqref="C7">
    <cfRule type="cellIs" priority="4" operator="greaterThan" dxfId="5">
      <formula>0</formula>
    </cfRule>
  </conditionalFormatting>
  <conditionalFormatting sqref="B8">
    <cfRule type="cellIs" priority="5" operator="greaterThan" dxfId="4">
      <formula>0</formula>
    </cfRule>
  </conditionalFormatting>
  <conditionalFormatting sqref="C8">
    <cfRule type="cellIs" priority="6" operator="greaterThan" dxfId="5">
      <formula>0</formula>
    </cfRule>
  </conditionalFormatting>
  <conditionalFormatting sqref="B9">
    <cfRule type="cellIs" priority="7" operator="greaterThan" dxfId="4">
      <formula>0</formula>
    </cfRule>
  </conditionalFormatting>
  <conditionalFormatting sqref="C9">
    <cfRule type="cellIs" priority="8" operator="greaterThan" dxfId="5">
      <formula>0</formula>
    </cfRule>
  </conditionalFormatting>
  <conditionalFormatting sqref="B10">
    <cfRule type="cellIs" priority="9" operator="greaterThan" dxfId="4">
      <formula>0</formula>
    </cfRule>
  </conditionalFormatting>
  <conditionalFormatting sqref="C10">
    <cfRule type="cellIs" priority="10" operator="greaterThan" dxfId="5">
      <formula>0</formula>
    </cfRule>
  </conditionalFormatting>
  <conditionalFormatting sqref="B11">
    <cfRule type="cellIs" priority="11" operator="greaterThan" dxfId="4">
      <formula>0</formula>
    </cfRule>
  </conditionalFormatting>
  <conditionalFormatting sqref="C11">
    <cfRule type="cellIs" priority="12" operator="greaterThan" dxfId="5">
      <formula>0</formula>
    </cfRule>
  </conditionalFormatting>
  <conditionalFormatting sqref="B12">
    <cfRule type="cellIs" priority="13" operator="greaterThan" dxfId="4">
      <formula>0</formula>
    </cfRule>
  </conditionalFormatting>
  <conditionalFormatting sqref="C12">
    <cfRule type="cellIs" priority="14" operator="greaterThan" dxfId="5">
      <formula>0</formula>
    </cfRule>
  </conditionalFormatting>
  <conditionalFormatting sqref="B13">
    <cfRule type="cellIs" priority="15" operator="greaterThan" dxfId="4">
      <formula>0</formula>
    </cfRule>
  </conditionalFormatting>
  <conditionalFormatting sqref="C13">
    <cfRule type="cellIs" priority="16" operator="greaterThan" dxfId="5">
      <formula>0</formula>
    </cfRule>
  </conditionalFormatting>
  <conditionalFormatting sqref="B14">
    <cfRule type="cellIs" priority="17" operator="greaterThan" dxfId="4">
      <formula>0</formula>
    </cfRule>
  </conditionalFormatting>
  <conditionalFormatting sqref="C14">
    <cfRule type="cellIs" priority="18" operator="greaterThan" dxfId="5">
      <formula>0</formula>
    </cfRule>
  </conditionalFormatting>
  <conditionalFormatting sqref="B15">
    <cfRule type="cellIs" priority="19" operator="greaterThan" dxfId="4">
      <formula>0</formula>
    </cfRule>
  </conditionalFormatting>
  <conditionalFormatting sqref="C15">
    <cfRule type="cellIs" priority="20" operator="greaterThan" dxfId="5">
      <formula>0</formula>
    </cfRule>
  </conditionalFormatting>
  <conditionalFormatting sqref="B16">
    <cfRule type="cellIs" priority="21" operator="greaterThan" dxfId="4">
      <formula>0</formula>
    </cfRule>
  </conditionalFormatting>
  <conditionalFormatting sqref="C16">
    <cfRule type="cellIs" priority="22" operator="greaterThan" dxfId="5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7030A0"/>
    <outlinePr summaryBelow="1" summaryRight="1"/>
    <pageSetUpPr/>
  </sheetPr>
  <dimension ref="A1:AD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4" customWidth="1" min="3" max="3"/>
    <col width="10" customWidth="1" min="4" max="4"/>
    <col width="22" customWidth="1" min="5" max="5"/>
    <col width="12" customWidth="1" min="6" max="6"/>
    <col width="10" customWidth="1" min="7" max="7"/>
    <col width="10" customWidth="1" min="8" max="8"/>
  </cols>
  <sheetData>
    <row r="1" ht="26" customHeight="1">
      <c r="A1" s="1" t="inlineStr">
        <is>
          <t>VARSAYIMLAR — İhracat Sipariş Kârlılık &amp; Kur Riski Komutası</t>
        </is>
      </c>
    </row>
    <row r="3">
      <c r="A3" s="9" t="inlineStr">
        <is>
          <t>Varsayımlar — kaynak + güven (F02)</t>
        </is>
      </c>
    </row>
    <row r="5" ht="30" customHeight="1">
      <c r="A5" s="22" t="inlineStr">
        <is>
          <t>varsayim_id</t>
        </is>
      </c>
      <c r="B5" s="22" t="inlineStr">
        <is>
          <t>ad</t>
        </is>
      </c>
      <c r="C5" s="22" t="inlineStr">
        <is>
          <t>deger</t>
        </is>
      </c>
      <c r="D5" s="22" t="inlineStr">
        <is>
          <t>birim</t>
        </is>
      </c>
      <c r="E5" s="22" t="inlineStr">
        <is>
          <t>kaynak</t>
        </is>
      </c>
      <c r="F5" s="22" t="inlineStr">
        <is>
          <t>guven</t>
        </is>
      </c>
      <c r="G5" s="22" t="inlineStr">
        <is>
          <t>tornado</t>
        </is>
      </c>
      <c r="H5" s="22" t="inlineStr">
        <is>
          <t>kontrol</t>
        </is>
      </c>
    </row>
    <row r="6">
      <c r="A6" s="7" t="inlineStr">
        <is>
          <t>V01</t>
        </is>
      </c>
      <c r="B6" s="7" t="inlineStr">
        <is>
          <t>Rezervasyon kuru</t>
        </is>
      </c>
      <c r="C6" s="36" t="n">
        <v>34</v>
      </c>
      <c r="D6" s="7" t="inlineStr">
        <is>
          <t>kur</t>
        </is>
      </c>
      <c r="E6" s="37" t="inlineStr">
        <is>
          <t>TCMB / kur tablosu</t>
        </is>
      </c>
      <c r="F6" s="37" t="inlineStr">
        <is>
          <t>sert</t>
        </is>
      </c>
      <c r="G6" s="37" t="inlineStr">
        <is>
          <t>Evet</t>
        </is>
      </c>
      <c r="H6" s="24">
        <f>IF($A6="","",IF(OR($E6="",$F6=""),"EKSİK","TAM"))</f>
        <v/>
      </c>
    </row>
    <row r="7">
      <c r="A7" s="7" t="inlineStr">
        <is>
          <t>V02</t>
        </is>
      </c>
      <c r="B7" s="7" t="inlineStr">
        <is>
          <t>Tahsilat kuru</t>
        </is>
      </c>
      <c r="C7" s="36" t="n">
        <v>32</v>
      </c>
      <c r="D7" s="7" t="inlineStr">
        <is>
          <t>kur</t>
        </is>
      </c>
      <c r="E7" s="37" t="inlineStr">
        <is>
          <t>Hazine tahmini</t>
        </is>
      </c>
      <c r="F7" s="37" t="inlineStr">
        <is>
          <t>yumuşak</t>
        </is>
      </c>
      <c r="G7" s="37" t="inlineStr">
        <is>
          <t>Evet</t>
        </is>
      </c>
      <c r="H7" s="24">
        <f>IF($A7="","",IF(OR($E7="",$F7=""),"EKSİK","TAM"))</f>
        <v/>
      </c>
    </row>
    <row r="8">
      <c r="A8" s="7" t="inlineStr">
        <is>
          <t>V03</t>
        </is>
      </c>
      <c r="B8" s="7" t="inlineStr">
        <is>
          <t>Hedge oranı</t>
        </is>
      </c>
      <c r="C8" s="38" t="n">
        <v>0.6</v>
      </c>
      <c r="D8" s="7" t="inlineStr">
        <is>
          <t>oran</t>
        </is>
      </c>
      <c r="E8" s="37" t="inlineStr">
        <is>
          <t>Hazine politikası</t>
        </is>
      </c>
      <c r="F8" s="37" t="inlineStr">
        <is>
          <t>sert</t>
        </is>
      </c>
      <c r="G8" s="37" t="inlineStr">
        <is>
          <t>Evet</t>
        </is>
      </c>
      <c r="H8" s="24">
        <f>IF($A8="","",IF(OR($E8="",$F8=""),"EKSİK","TAM"))</f>
        <v/>
      </c>
    </row>
    <row r="9">
      <c r="A9" s="7" t="inlineStr">
        <is>
          <t>V04</t>
        </is>
      </c>
      <c r="B9" s="7" t="inlineStr">
        <is>
          <t>Asgari hedge</t>
        </is>
      </c>
      <c r="C9" s="38" t="n">
        <v>0.8</v>
      </c>
      <c r="D9" s="7" t="inlineStr">
        <is>
          <t>oran</t>
        </is>
      </c>
      <c r="E9" s="37" t="inlineStr">
        <is>
          <t>ISK-001</t>
        </is>
      </c>
      <c r="F9" s="37" t="inlineStr">
        <is>
          <t>sert</t>
        </is>
      </c>
      <c r="G9" s="37" t="inlineStr">
        <is>
          <t>Hayır</t>
        </is>
      </c>
      <c r="H9" s="24">
        <f>IF($A9="","",IF(OR($E9="",$F9=""),"EKSİK","TAM"))</f>
        <v/>
      </c>
    </row>
    <row r="10">
      <c r="A10" s="7" t="inlineStr">
        <is>
          <t>V05</t>
        </is>
      </c>
      <c r="B10" s="7" t="inlineStr">
        <is>
          <t>Komisyon</t>
        </is>
      </c>
      <c r="C10" s="38" t="n">
        <v>0.03</v>
      </c>
      <c r="D10" s="7" t="inlineStr">
        <is>
          <t>oran</t>
        </is>
      </c>
      <c r="E10" s="37" t="inlineStr">
        <is>
          <t>ISK-004</t>
        </is>
      </c>
      <c r="F10" s="37" t="inlineStr">
        <is>
          <t>sert</t>
        </is>
      </c>
      <c r="G10" s="37" t="inlineStr">
        <is>
          <t>Hayır</t>
        </is>
      </c>
      <c r="H10" s="24">
        <f>IF($A10="","",IF(OR($E10="",$F10=""),"EKSİK","TAM"))</f>
        <v/>
      </c>
    </row>
    <row r="11">
      <c r="A11" s="7" t="inlineStr">
        <is>
          <t>V06</t>
        </is>
      </c>
      <c r="B11" s="7" t="inlineStr">
        <is>
          <t>Kur şoku</t>
        </is>
      </c>
      <c r="C11" s="38" t="n">
        <v>0.1</v>
      </c>
      <c r="D11" s="7" t="inlineStr">
        <is>
          <t>oran</t>
        </is>
      </c>
      <c r="E11" s="37" t="inlineStr">
        <is>
          <t>ISK-003</t>
        </is>
      </c>
      <c r="F11" s="37" t="inlineStr">
        <is>
          <t>yumuşak</t>
        </is>
      </c>
      <c r="G11" s="37" t="inlineStr">
        <is>
          <t>Evet</t>
        </is>
      </c>
      <c r="H11" s="24">
        <f>IF($A11="","",IF(OR($E11="",$F11=""),"EKSİK","TAM"))</f>
        <v/>
      </c>
    </row>
    <row r="12">
      <c r="A12" s="7" t="inlineStr">
        <is>
          <t>V07</t>
        </is>
      </c>
      <c r="B12" s="7" t="inlineStr">
        <is>
          <t>WACC</t>
        </is>
      </c>
      <c r="C12" s="38" t="n">
        <v>0.2</v>
      </c>
      <c r="D12" s="7" t="inlineStr">
        <is>
          <t>oran</t>
        </is>
      </c>
      <c r="E12" s="37" t="inlineStr">
        <is>
          <t>CFO varsayımı</t>
        </is>
      </c>
      <c r="F12" s="37" t="inlineStr">
        <is>
          <t>yumuşak</t>
        </is>
      </c>
      <c r="G12" s="37" t="inlineStr">
        <is>
          <t>Hayır</t>
        </is>
      </c>
      <c r="H12" s="24">
        <f>IF($A12="","",IF(OR($E12="",$F12=""),"EKSİK","TAM"))</f>
        <v/>
      </c>
    </row>
    <row r="13">
      <c r="A13" s="7" t="inlineStr">
        <is>
          <t>V08</t>
        </is>
      </c>
      <c r="B13" s="7" t="inlineStr">
        <is>
          <t>İşletme sermayesi CAPEX</t>
        </is>
      </c>
      <c r="C13" s="39" t="n">
        <v>600000</v>
      </c>
      <c r="D13" s="7" t="inlineStr">
        <is>
          <t>TL</t>
        </is>
      </c>
      <c r="E13" s="37" t="inlineStr">
        <is>
          <t>Nakit planı</t>
        </is>
      </c>
      <c r="F13" s="37" t="inlineStr">
        <is>
          <t>yumuşak</t>
        </is>
      </c>
      <c r="G13" s="37" t="inlineStr">
        <is>
          <t>Hayır</t>
        </is>
      </c>
      <c r="H13" s="24">
        <f>IF($A13="","",IF(OR($E13="",$F13=""),"EKSİK","TAM"))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H6:H13">
    <cfRule type="expression" priority="1" dxfId="0">
      <formula>H6="EKSİK"</formula>
    </cfRule>
    <cfRule type="expression" priority="2" dxfId="6">
      <formula>H6="TAM"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4E79"/>
    <outlinePr summaryBelow="1" summaryRight="1"/>
    <pageSetUpPr/>
  </sheetPr>
  <dimension ref="A1:AD1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4" customWidth="1" min="3" max="3"/>
    <col width="3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  <col width="10" customWidth="1" min="11" max="11"/>
  </cols>
  <sheetData>
    <row r="1" ht="26" customHeight="1">
      <c r="A1" s="1" t="inlineStr">
        <is>
          <t>KURALLAR — İhracat Sipariş Kârlılık &amp; Kur Riski Komutası</t>
        </is>
      </c>
    </row>
    <row r="3">
      <c r="A3" s="9" t="inlineStr">
        <is>
          <t>Kural motoru — ISK-001…005 (yıl yan yana)</t>
        </is>
      </c>
    </row>
    <row r="5" ht="30" customHeight="1">
      <c r="A5" s="22" t="inlineStr">
        <is>
          <t>kural_id</t>
        </is>
      </c>
      <c r="B5" s="22" t="inlineStr">
        <is>
          <t>madde</t>
        </is>
      </c>
      <c r="C5" s="22" t="inlineStr">
        <is>
          <t>kural_adi</t>
        </is>
      </c>
      <c r="D5" s="22" t="inlineStr">
        <is>
          <t>kosul_metni</t>
        </is>
      </c>
      <c r="E5" s="22" t="inlineStr">
        <is>
          <t>parametre_adi</t>
        </is>
      </c>
      <c r="F5" s="22" t="inlineStr">
        <is>
          <t>deger_2025</t>
        </is>
      </c>
      <c r="G5" s="22" t="inlineStr">
        <is>
          <t>deger_2026</t>
        </is>
      </c>
      <c r="H5" s="22" t="inlineStr">
        <is>
          <t>deger_2027</t>
        </is>
      </c>
      <c r="I5" s="22" t="inlineStr">
        <is>
          <t>yururluk</t>
        </is>
      </c>
      <c r="J5" s="22" t="inlineStr">
        <is>
          <t>kaynak</t>
        </is>
      </c>
      <c r="K5" s="40" t="inlineStr">
        <is>
          <t>kontrol</t>
        </is>
      </c>
    </row>
    <row r="6">
      <c r="A6" s="7" t="inlineStr">
        <is>
          <t>ISK-001</t>
        </is>
      </c>
      <c r="B6" s="7" t="inlineStr">
        <is>
          <t>Hazine politikası</t>
        </is>
      </c>
      <c r="C6" s="7" t="inlineStr">
        <is>
          <t>Asgari hedge oranı</t>
        </is>
      </c>
      <c r="D6" s="7" t="inlineStr">
        <is>
          <t>Açık döviz pozisyonu için asgari kapsama</t>
        </is>
      </c>
      <c r="E6" s="7" t="inlineStr">
        <is>
          <t>asgari_hedge</t>
        </is>
      </c>
      <c r="F6" s="38" t="n">
        <v>0.75</v>
      </c>
      <c r="G6" s="38" t="n">
        <v>0.8</v>
      </c>
      <c r="H6" s="38" t="n">
        <v>0.8</v>
      </c>
      <c r="I6" s="7" t="inlineStr">
        <is>
          <t>01.01.2025</t>
        </is>
      </c>
      <c r="J6" s="7" t="inlineStr">
        <is>
          <t>İç hazine politikası</t>
        </is>
      </c>
      <c r="K6" s="24">
        <f>IF($A6="","",IF($J6="","EKSİK","TAM"))</f>
        <v/>
      </c>
    </row>
    <row r="7">
      <c r="A7" s="7" t="inlineStr">
        <is>
          <t>ISK-002</t>
        </is>
      </c>
      <c r="B7" s="7" t="inlineStr">
        <is>
          <t>Satış politikası</t>
        </is>
      </c>
      <c r="C7" s="7" t="inlineStr">
        <is>
          <t>Hedef ihracat marjı</t>
        </is>
      </c>
      <c r="D7" s="7" t="inlineStr">
        <is>
          <t>Net kâr / gelir alt sınırı</t>
        </is>
      </c>
      <c r="E7" s="7" t="inlineStr">
        <is>
          <t>hedef_marj</t>
        </is>
      </c>
      <c r="F7" s="38" t="n">
        <v>0.18</v>
      </c>
      <c r="G7" s="38" t="n">
        <v>0.18</v>
      </c>
      <c r="H7" s="38" t="n">
        <v>0.18</v>
      </c>
      <c r="I7" s="7" t="inlineStr">
        <is>
          <t>01.01.2025</t>
        </is>
      </c>
      <c r="J7" s="7" t="inlineStr">
        <is>
          <t>CFO marj politikası</t>
        </is>
      </c>
      <c r="K7" s="24">
        <f>IF($A7="","",IF($J7="","EKSİK","TAM"))</f>
        <v/>
      </c>
    </row>
    <row r="8">
      <c r="A8" s="7" t="inlineStr">
        <is>
          <t>ISK-003</t>
        </is>
      </c>
      <c r="B8" s="7" t="inlineStr">
        <is>
          <t>Kur stres</t>
        </is>
      </c>
      <c r="C8" s="7" t="inlineStr">
        <is>
          <t>Kur şoku oranı</t>
        </is>
      </c>
      <c r="D8" s="7" t="inlineStr">
        <is>
          <t>Kötümser kur düşüşü</t>
        </is>
      </c>
      <c r="E8" s="7" t="inlineStr">
        <is>
          <t>kur_soku</t>
        </is>
      </c>
      <c r="F8" s="38" t="n">
        <v>0.08</v>
      </c>
      <c r="G8" s="38" t="n">
        <v>0.1</v>
      </c>
      <c r="H8" s="38" t="n">
        <v>0.12</v>
      </c>
      <c r="I8" s="7" t="inlineStr">
        <is>
          <t>01.01.2025</t>
        </is>
      </c>
      <c r="J8" s="7" t="inlineStr">
        <is>
          <t>Hazine stres testi</t>
        </is>
      </c>
      <c r="K8" s="24">
        <f>IF($A8="","",IF($J8="","EKSİK","TAM"))</f>
        <v/>
      </c>
    </row>
    <row r="9">
      <c r="A9" s="7" t="inlineStr">
        <is>
          <t>ISK-004</t>
        </is>
      </c>
      <c r="B9" s="7" t="inlineStr">
        <is>
          <t>Komisyon</t>
        </is>
      </c>
      <c r="C9" s="7" t="inlineStr">
        <is>
          <t>Satış komisyonu oranı</t>
        </is>
      </c>
      <c r="D9" s="7" t="inlineStr">
        <is>
          <t>FOB üzerinden komisyon</t>
        </is>
      </c>
      <c r="E9" s="7" t="inlineStr">
        <is>
          <t>komisyon</t>
        </is>
      </c>
      <c r="F9" s="38" t="n">
        <v>0.025</v>
      </c>
      <c r="G9" s="38" t="n">
        <v>0.03</v>
      </c>
      <c r="H9" s="38" t="n">
        <v>0.03</v>
      </c>
      <c r="I9" s="7" t="inlineStr">
        <is>
          <t>01.01.2025</t>
        </is>
      </c>
      <c r="J9" s="7" t="inlineStr">
        <is>
          <t>Satış sözleşmesi</t>
        </is>
      </c>
      <c r="K9" s="24">
        <f>IF($A9="","",IF($J9="","EKSİK","TAM"))</f>
        <v/>
      </c>
    </row>
    <row r="10">
      <c r="A10" s="7" t="inlineStr">
        <is>
          <t>ISK-005</t>
        </is>
      </c>
      <c r="B10" s="7" t="inlineStr">
        <is>
          <t>Yuvarlama</t>
        </is>
      </c>
      <c r="C10" s="7" t="inlineStr">
        <is>
          <t>Yuvarlama basamağı</t>
        </is>
      </c>
      <c r="D10" s="7" t="inlineStr">
        <is>
          <t>TL yuvarlama ondalığı</t>
        </is>
      </c>
      <c r="E10" s="7" t="inlineStr">
        <is>
          <t>yuvarlama</t>
        </is>
      </c>
      <c r="F10" s="41" t="n">
        <v>0</v>
      </c>
      <c r="G10" s="41" t="n">
        <v>0</v>
      </c>
      <c r="H10" s="41" t="n">
        <v>0</v>
      </c>
      <c r="I10" s="7" t="inlineStr">
        <is>
          <t>01.01.2025</t>
        </is>
      </c>
      <c r="J10" s="7" t="inlineStr">
        <is>
          <t>Ürün mimarisi</t>
        </is>
      </c>
      <c r="K10" s="24">
        <f>IF($A10="","",IF($J10="","EKSİK","TAM"))</f>
        <v/>
      </c>
    </row>
    <row r="12">
      <c r="A12" s="4" t="inlineStr">
        <is>
          <t>Belirsizlik: hedge etkinlik yorumu — kullanıcı kendi banka teyidini girmelidir.</t>
        </is>
      </c>
    </row>
    <row r="14">
      <c r="A14" s="10" t="inlineStr">
        <is>
          <t>Yıl matrisi özeti</t>
        </is>
      </c>
      <c r="B14" s="33">
        <f>IFERROR(_xlfn.TEXTJOIN(" | ",TRUE,"ISK-001",IFERROR(INDEX(tblKurallar[deger_2026],MATCH("ISK-001",tblKurallar[kural_id],0)),0),"ISK-002",IFERROR(INDEX(tblKurallar[deger_2026],MATCH("ISK-002",tblKurallar[kural_id],0)),0)),"-")</f>
        <v/>
      </c>
    </row>
    <row r="17">
      <c r="A17" s="10" t="inlineStr">
        <is>
          <t>Kural yıl matrisi (ad tanımı)</t>
        </is>
      </c>
      <c r="B17" s="42">
        <f>IFERROR(B14,"-")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4:H14"/>
    <mergeCell ref="A1:AD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8064A2"/>
    <outlinePr summaryBelow="1" summaryRight="1"/>
    <pageSetUpPr/>
  </sheetPr>
  <dimension ref="A1:AD6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İhracat Sipariş Kârlılık &amp; Kur Riski Komutası</t>
        </is>
      </c>
    </row>
    <row r="3">
      <c r="A3" s="43" t="inlineStr">
        <is>
          <t>Hesap zinciri — sipariş kârı + kur riski + NPV</t>
        </is>
      </c>
    </row>
    <row r="4">
      <c r="A4" s="4" t="inlineStr">
        <is>
          <t>Oranlar tblKurallar'dan; kur tblKur'dan çekilir.</t>
        </is>
      </c>
    </row>
    <row r="6" ht="30" customHeight="1">
      <c r="A6" s="22" t="inlineStr">
        <is>
          <t>adim</t>
        </is>
      </c>
      <c r="B6" s="22" t="inlineStr">
        <is>
          <t>ad</t>
        </is>
      </c>
      <c r="C6" s="22" t="inlineStr">
        <is>
          <t>formul</t>
        </is>
      </c>
      <c r="D6" s="22" t="inlineStr">
        <is>
          <t>birim</t>
        </is>
      </c>
      <c r="E6" s="22" t="inlineStr">
        <is>
          <t>ne_ise_yarar</t>
        </is>
      </c>
      <c r="F6" s="22" t="inlineStr">
        <is>
          <t>kural_id</t>
        </is>
      </c>
      <c r="G6" s="22" t="inlineStr">
        <is>
          <t>deger</t>
        </is>
      </c>
    </row>
    <row r="7">
      <c r="A7" s="44" t="n">
        <v>1</v>
      </c>
      <c r="B7" s="45" t="inlineStr">
        <is>
          <t>Hesap yılı oku</t>
        </is>
      </c>
      <c r="C7" s="46">
        <f>IFERROR(hesapYili,0)</f>
        <v/>
      </c>
      <c r="D7" s="47" t="inlineStr">
        <is>
          <t>yıl</t>
        </is>
      </c>
      <c r="E7" s="6" t="inlineStr">
        <is>
          <t>Aktif kural yılı</t>
        </is>
      </c>
      <c r="F7" s="48" t="inlineStr">
        <is>
          <t>ISK-005</t>
        </is>
      </c>
      <c r="G7" s="21">
        <f>IFERROR(hesapYili,0)</f>
        <v/>
      </c>
    </row>
    <row r="8">
      <c r="A8" s="44" t="n">
        <v>2</v>
      </c>
      <c r="B8" s="45" t="inlineStr">
        <is>
          <t>Asgari hedge</t>
        </is>
      </c>
      <c r="C8" s="49">
        <f>IFERROR(INDEX(CHOOSE(MAX(1,MIN(3,IF(OR(hesapYili="",hesapYili=0),1,hesapYili-isk_yilTaban))),tblKurallar[deger_2025],tblKurallar[deger_2026],tblKurallar[deger_2027]),MATCH("ISK-001",tblKurallar[kural_id],0)),0)</f>
        <v/>
      </c>
      <c r="D8" s="47" t="inlineStr">
        <is>
          <t>oran</t>
        </is>
      </c>
      <c r="E8" s="6" t="inlineStr">
        <is>
          <t>Asgari hedge oranı</t>
        </is>
      </c>
      <c r="F8" s="48" t="inlineStr">
        <is>
          <t>ISK-001</t>
        </is>
      </c>
      <c r="G8" s="19">
        <f>IFERROR(INDEX(CHOOSE(MAX(1,MIN(3,IF(OR(hesapYili="",hesapYili=0),1,hesapYili-isk_yilTaban))),tblKurallar[deger_2025],tblKurallar[deger_2026],tblKurallar[deger_2027]),MATCH("ISK-001",tblKurallar[kural_id],0)),0)</f>
        <v/>
      </c>
    </row>
    <row r="9">
      <c r="A9" s="44" t="n">
        <v>3</v>
      </c>
      <c r="B9" s="45" t="inlineStr">
        <is>
          <t>Hedef marj kural</t>
        </is>
      </c>
      <c r="C9" s="49">
        <f>IFERROR(INDEX(CHOOSE(MAX(1,MIN(3,IF(OR(hesapYili="",hesapYili=0),1,hesapYili-isk_yilTaban))),tblKurallar[deger_2025],tblKurallar[deger_2026],tblKurallar[deger_2027]),MATCH("ISK-002",tblKurallar[kural_id],0)),0)</f>
        <v/>
      </c>
      <c r="D9" s="47" t="inlineStr">
        <is>
          <t>oran</t>
        </is>
      </c>
      <c r="E9" s="6" t="inlineStr">
        <is>
          <t>Hedef net marj</t>
        </is>
      </c>
      <c r="F9" s="48" t="inlineStr">
        <is>
          <t>ISK-002</t>
        </is>
      </c>
      <c r="G9" s="19">
        <f>IFERROR(INDEX(CHOOSE(MAX(1,MIN(3,IF(OR(hesapYili="",hesapYili=0),1,hesapYili-isk_yilTaban))),tblKurallar[deger_2025],tblKurallar[deger_2026],tblKurallar[deger_2027]),MATCH("ISK-002",tblKurallar[kural_id],0)),0)</f>
        <v/>
      </c>
    </row>
    <row r="10">
      <c r="A10" s="44" t="n">
        <v>4</v>
      </c>
      <c r="B10" s="45" t="inlineStr">
        <is>
          <t>Kur şoku oranı</t>
        </is>
      </c>
      <c r="C10" s="49">
        <f>IFERROR(INDEX(CHOOSE(MAX(1,MIN(3,IF(OR(hesapYili="",hesapYili=0),1,hesapYili-isk_yilTaban))),tblKurallar[deger_2025],tblKurallar[deger_2026],tblKurallar[deger_2027]),MATCH("ISK-003",tblKurallar[kural_id],0)),0)</f>
        <v/>
      </c>
      <c r="D10" s="47" t="inlineStr">
        <is>
          <t>oran</t>
        </is>
      </c>
      <c r="E10" s="6" t="inlineStr">
        <is>
          <t>Kötümser kur şoku</t>
        </is>
      </c>
      <c r="F10" s="48" t="inlineStr">
        <is>
          <t>ISK-003</t>
        </is>
      </c>
      <c r="G10" s="19">
        <f>IFERROR(INDEX(CHOOSE(MAX(1,MIN(3,IF(OR(hesapYili="",hesapYili=0),1,hesapYili-isk_yilTaban))),tblKurallar[deger_2025],tblKurallar[deger_2026],tblKurallar[deger_2027]),MATCH("ISK-003",tblKurallar[kural_id],0)),0)</f>
        <v/>
      </c>
    </row>
    <row r="11">
      <c r="A11" s="44" t="n">
        <v>5</v>
      </c>
      <c r="B11" s="45" t="inlineStr">
        <is>
          <t>Komisyon kural</t>
        </is>
      </c>
      <c r="C11" s="49">
        <f>IFERROR(INDEX(CHOOSE(MAX(1,MIN(3,IF(OR(hesapYili="",hesapYili=0),1,hesapYili-isk_yilTaban))),tblKurallar[deger_2025],tblKurallar[deger_2026],tblKurallar[deger_2027]),MATCH("ISK-004",tblKurallar[kural_id],0)),0)</f>
        <v/>
      </c>
      <c r="D11" s="47" t="inlineStr">
        <is>
          <t>oran</t>
        </is>
      </c>
      <c r="E11" s="6" t="inlineStr">
        <is>
          <t>Komisyon oranı</t>
        </is>
      </c>
      <c r="F11" s="48" t="inlineStr">
        <is>
          <t>ISK-004</t>
        </is>
      </c>
      <c r="G11" s="19">
        <f>IFERROR(INDEX(CHOOSE(MAX(1,MIN(3,IF(OR(hesapYili="",hesapYili=0),1,hesapYili-isk_yilTaban))),tblKurallar[deger_2025],tblKurallar[deger_2026],tblKurallar[deger_2027]),MATCH("ISK-004",tblKurallar[kural_id],0)),0)</f>
        <v/>
      </c>
    </row>
    <row r="12">
      <c r="A12" s="44" t="n">
        <v>6</v>
      </c>
      <c r="B12" s="45" t="inlineStr">
        <is>
          <t>Yuvarlama ondalık</t>
        </is>
      </c>
      <c r="C12" s="46">
        <f>IFERROR(INDEX(CHOOSE(MAX(1,MIN(3,IF(OR(hesapYili="",hesapYili=0),1,hesapYili-isk_yilTaban))),tblKurallar[deger_2025],tblKurallar[deger_2026],tblKurallar[deger_2027]),MATCH("ISK-005",tblKurallar[kural_id],0)),0)</f>
        <v/>
      </c>
      <c r="D12" s="47" t="inlineStr">
        <is>
          <t>adet</t>
        </is>
      </c>
      <c r="E12" s="6" t="inlineStr">
        <is>
          <t>Yuvarlama basamağı</t>
        </is>
      </c>
      <c r="F12" s="48" t="inlineStr">
        <is>
          <t>ISK-005</t>
        </is>
      </c>
      <c r="G12" s="21">
        <f>IFERROR(INDEX(CHOOSE(MAX(1,MIN(3,IF(OR(hesapYili="",hesapYili=0),1,hesapYili-isk_yilTaban))),tblKurallar[deger_2025],tblKurallar[deger_2026],tblKurallar[deger_2027]),MATCH("ISK-005",tblKurallar[kural_id],0)),0)</f>
        <v/>
      </c>
    </row>
    <row r="13">
      <c r="A13" s="44" t="n">
        <v>7</v>
      </c>
      <c r="B13" s="45" t="inlineStr">
        <is>
          <t>Aktif / rezervasyon kur</t>
        </is>
      </c>
      <c r="C13" s="50">
        <f>IFERROR(isk_aktifKur,0)</f>
        <v/>
      </c>
      <c r="D13" s="47" t="inlineStr">
        <is>
          <t>kur</t>
        </is>
      </c>
      <c r="E13" s="6" t="inlineStr">
        <is>
          <t>Kur tablosu aktif kur</t>
        </is>
      </c>
      <c r="F13" s="48" t="inlineStr">
        <is>
          <t>ISK-005</t>
        </is>
      </c>
      <c r="G13" s="51">
        <f>IFERROR(isk_aktifKur,0)</f>
        <v/>
      </c>
    </row>
    <row r="14">
      <c r="A14" s="44" t="n">
        <v>8</v>
      </c>
      <c r="B14" s="45" t="inlineStr">
        <is>
          <t>FOB döviz</t>
        </is>
      </c>
      <c r="C14" s="46">
        <f>IFERROR(GIRDI!B10,0)</f>
        <v/>
      </c>
      <c r="D14" s="47" t="inlineStr">
        <is>
          <t>döviz</t>
        </is>
      </c>
      <c r="E14" s="6" t="inlineStr">
        <is>
          <t>FOB tutarı</t>
        </is>
      </c>
      <c r="F14" s="48" t="inlineStr">
        <is>
          <t>ISK-002</t>
        </is>
      </c>
      <c r="G14" s="21">
        <f>IFERROR(GIRDI!B10,0)</f>
        <v/>
      </c>
    </row>
    <row r="15">
      <c r="A15" s="44" t="n">
        <v>9</v>
      </c>
      <c r="B15" s="45" t="inlineStr">
        <is>
          <t>Miktar</t>
        </is>
      </c>
      <c r="C15" s="46">
        <f>IFERROR(GIRDI!B11,0)</f>
        <v/>
      </c>
      <c r="D15" s="47" t="inlineStr">
        <is>
          <t>adet</t>
        </is>
      </c>
      <c r="E15" s="6" t="inlineStr">
        <is>
          <t>Sipariş miktarı</t>
        </is>
      </c>
      <c r="F15" s="48" t="inlineStr">
        <is>
          <t>ISK-005</t>
        </is>
      </c>
      <c r="G15" s="21">
        <f>IFERROR(GIRDI!B11,0)</f>
        <v/>
      </c>
    </row>
    <row r="16">
      <c r="A16" s="44" t="n">
        <v>10</v>
      </c>
      <c r="B16" s="45" t="inlineStr">
        <is>
          <t>Üretim maliyet döviz</t>
        </is>
      </c>
      <c r="C16" s="46">
        <f>IFERROR(GIRDI!B12,0)</f>
        <v/>
      </c>
      <c r="D16" s="47" t="inlineStr">
        <is>
          <t>döviz</t>
        </is>
      </c>
      <c r="E16" s="6" t="inlineStr">
        <is>
          <t>Üretim maliyeti</t>
        </is>
      </c>
      <c r="F16" s="48" t="inlineStr">
        <is>
          <t>ISK-002</t>
        </is>
      </c>
      <c r="G16" s="21">
        <f>IFERROR(GIRDI!B12,0)</f>
        <v/>
      </c>
    </row>
    <row r="17">
      <c r="A17" s="44" t="n">
        <v>11</v>
      </c>
      <c r="B17" s="45" t="inlineStr">
        <is>
          <t>Navlun çıkış döviz</t>
        </is>
      </c>
      <c r="C17" s="46">
        <f>IFERROR(GIRDI!B13,0)</f>
        <v/>
      </c>
      <c r="D17" s="47" t="inlineStr">
        <is>
          <t>döviz</t>
        </is>
      </c>
      <c r="E17" s="6" t="inlineStr">
        <is>
          <t>Çıkış navlunu</t>
        </is>
      </c>
      <c r="F17" s="48" t="inlineStr">
        <is>
          <t>ISK-002</t>
        </is>
      </c>
      <c r="G17" s="21">
        <f>IFERROR(GIRDI!B13,0)</f>
        <v/>
      </c>
    </row>
    <row r="18">
      <c r="A18" s="44" t="n">
        <v>12</v>
      </c>
      <c r="B18" s="45" t="inlineStr">
        <is>
          <t>Komisyon giriş</t>
        </is>
      </c>
      <c r="C18" s="49">
        <f>IFERROR(GIRDI!B14,0)</f>
        <v/>
      </c>
      <c r="D18" s="47" t="inlineStr">
        <is>
          <t>oran</t>
        </is>
      </c>
      <c r="E18" s="6" t="inlineStr">
        <is>
          <t>Komisyon (giriş)</t>
        </is>
      </c>
      <c r="F18" s="48" t="inlineStr">
        <is>
          <t>ISK-004</t>
        </is>
      </c>
      <c r="G18" s="19">
        <f>IFERROR(GIRDI!B14,0)</f>
        <v/>
      </c>
    </row>
    <row r="19">
      <c r="A19" s="44" t="n">
        <v>13</v>
      </c>
      <c r="B19" s="45" t="inlineStr">
        <is>
          <t>Hedge oranı</t>
        </is>
      </c>
      <c r="C19" s="49">
        <f>IFERROR(GIRDI!B15,0)</f>
        <v/>
      </c>
      <c r="D19" s="47" t="inlineStr">
        <is>
          <t>oran</t>
        </is>
      </c>
      <c r="E19" s="6" t="inlineStr">
        <is>
          <t>Kapsanan oran</t>
        </is>
      </c>
      <c r="F19" s="48" t="inlineStr">
        <is>
          <t>ISK-001</t>
        </is>
      </c>
      <c r="G19" s="19">
        <f>IFERROR(GIRDI!B15,0)</f>
        <v/>
      </c>
    </row>
    <row r="20">
      <c r="A20" s="44" t="n">
        <v>14</v>
      </c>
      <c r="B20" s="45" t="inlineStr">
        <is>
          <t>Tahsilat kuru</t>
        </is>
      </c>
      <c r="C20" s="50">
        <f>IFERROR(GIRDI!B16,0)</f>
        <v/>
      </c>
      <c r="D20" s="47" t="inlineStr">
        <is>
          <t>kur</t>
        </is>
      </c>
      <c r="E20" s="6" t="inlineStr">
        <is>
          <t>Tahsilat kuru</t>
        </is>
      </c>
      <c r="F20" s="48" t="inlineStr">
        <is>
          <t>ISK-003</t>
        </is>
      </c>
      <c r="G20" s="51">
        <f>IFERROR(GIRDI!B16,0)</f>
        <v/>
      </c>
    </row>
    <row r="21">
      <c r="A21" s="44" t="n">
        <v>15</v>
      </c>
      <c r="B21" s="45" t="inlineStr">
        <is>
          <t>Hedef marj giriş</t>
        </is>
      </c>
      <c r="C21" s="49">
        <f>IFERROR(GIRDI!B17,0)</f>
        <v/>
      </c>
      <c r="D21" s="47" t="inlineStr">
        <is>
          <t>oran</t>
        </is>
      </c>
      <c r="E21" s="6" t="inlineStr">
        <is>
          <t>Hedef marj (giriş)</t>
        </is>
      </c>
      <c r="F21" s="48" t="inlineStr">
        <is>
          <t>ISK-002</t>
        </is>
      </c>
      <c r="G21" s="19">
        <f>IFERROR(GIRDI!B17,0)</f>
        <v/>
      </c>
    </row>
    <row r="22">
      <c r="A22" s="44" t="n">
        <v>16</v>
      </c>
      <c r="B22" s="45" t="inlineStr">
        <is>
          <t>Yıllık tekrar</t>
        </is>
      </c>
      <c r="C22" s="46">
        <f>IFERROR(GIRDI!B18,0)</f>
        <v/>
      </c>
      <c r="D22" s="47" t="inlineStr">
        <is>
          <t>adet</t>
        </is>
      </c>
      <c r="E22" s="6" t="inlineStr">
        <is>
          <t>Yıllık sipariş adedi</t>
        </is>
      </c>
      <c r="F22" s="48" t="inlineStr">
        <is>
          <t>ISK-005</t>
        </is>
      </c>
      <c r="G22" s="21">
        <f>IFERROR(GIRDI!B18,0)</f>
        <v/>
      </c>
    </row>
    <row r="23">
      <c r="A23" s="44" t="n">
        <v>17</v>
      </c>
      <c r="B23" s="45" t="inlineStr">
        <is>
          <t>CAPEX / YATIRIM</t>
        </is>
      </c>
      <c r="C23" s="52">
        <f>IFERROR(GIRDI!B19,0)</f>
        <v/>
      </c>
      <c r="D23" s="47" t="inlineStr">
        <is>
          <t>TL</t>
        </is>
      </c>
      <c r="E23" s="6" t="inlineStr">
        <is>
          <t>İşletme sermayesi</t>
        </is>
      </c>
      <c r="F23" s="48" t="inlineStr">
        <is>
          <t>ISK-005</t>
        </is>
      </c>
      <c r="G23" s="53">
        <f>IFERROR(GIRDI!B19,0)</f>
        <v/>
      </c>
    </row>
    <row r="24">
      <c r="A24" s="44" t="n">
        <v>18</v>
      </c>
      <c r="B24" s="45" t="inlineStr">
        <is>
          <t>WACC</t>
        </is>
      </c>
      <c r="C24" s="49">
        <f>IFERROR(GIRDI!B20,0)</f>
        <v/>
      </c>
      <c r="D24" s="47" t="inlineStr">
        <is>
          <t>oran</t>
        </is>
      </c>
      <c r="E24" s="6" t="inlineStr">
        <is>
          <t>İskonto oranı</t>
        </is>
      </c>
      <c r="F24" s="48" t="inlineStr">
        <is>
          <t>ISK-005</t>
        </is>
      </c>
      <c r="G24" s="19">
        <f>IFERROR(GIRDI!B20,0)</f>
        <v/>
      </c>
    </row>
    <row r="25">
      <c r="A25" s="44" t="n">
        <v>19</v>
      </c>
      <c r="B25" s="45" t="inlineStr">
        <is>
          <t>NPV dönem</t>
        </is>
      </c>
      <c r="C25" s="46">
        <f>IFERROR(GIRDI!B21,0)</f>
        <v/>
      </c>
      <c r="D25" s="47" t="inlineStr">
        <is>
          <t>adet</t>
        </is>
      </c>
      <c r="E25" s="6" t="inlineStr">
        <is>
          <t>Nakit akışı yılı</t>
        </is>
      </c>
      <c r="F25" s="48" t="inlineStr">
        <is>
          <t>ISK-005</t>
        </is>
      </c>
      <c r="G25" s="21">
        <f>IFERROR(GIRDI!B21,0)</f>
        <v/>
      </c>
    </row>
    <row r="26">
      <c r="A26" s="44" t="n">
        <v>20</v>
      </c>
      <c r="B26" s="45" t="inlineStr">
        <is>
          <t>Kredi faiz</t>
        </is>
      </c>
      <c r="C26" s="49">
        <f>IFERROR(GIRDI!B22,0)</f>
        <v/>
      </c>
      <c r="D26" s="47" t="inlineStr">
        <is>
          <t>oran</t>
        </is>
      </c>
      <c r="E26" s="6" t="inlineStr">
        <is>
          <t>Kredi senaryosu</t>
        </is>
      </c>
      <c r="F26" s="48" t="inlineStr">
        <is>
          <t>ISK-005</t>
        </is>
      </c>
      <c r="G26" s="19">
        <f>IFERROR(GIRDI!B22,0)</f>
        <v/>
      </c>
    </row>
    <row r="27">
      <c r="A27" s="44" t="n">
        <v>21</v>
      </c>
      <c r="B27" s="45" t="inlineStr">
        <is>
          <t>Öz kaynak oranı</t>
        </is>
      </c>
      <c r="C27" s="49">
        <f>IFERROR(GIRDI!B23,0)</f>
        <v/>
      </c>
      <c r="D27" s="47" t="inlineStr">
        <is>
          <t>oran</t>
        </is>
      </c>
      <c r="E27" s="6" t="inlineStr">
        <is>
          <t>Öz kaynak payı</t>
        </is>
      </c>
      <c r="F27" s="48" t="inlineStr">
        <is>
          <t>ISK-005</t>
        </is>
      </c>
      <c r="G27" s="19">
        <f>IFERROR(GIRDI!B23,0)</f>
        <v/>
      </c>
    </row>
    <row r="28">
      <c r="A28" s="44" t="n">
        <v>22</v>
      </c>
      <c r="B28" s="45" t="inlineStr">
        <is>
          <t>Gelir TL (tahsilat)</t>
        </is>
      </c>
      <c r="C28" s="52">
        <f>IFERROR(ROUND(G14*G20,MAX(0,MIN(isk_yuvarMax,IFERROR(N(G12),0)))),0)</f>
        <v/>
      </c>
      <c r="D28" s="47" t="inlineStr">
        <is>
          <t>TL</t>
        </is>
      </c>
      <c r="E28" s="6" t="inlineStr">
        <is>
          <t>FOB×tahsilat kur</t>
        </is>
      </c>
      <c r="F28" s="48" t="inlineStr">
        <is>
          <t>ISK-002</t>
        </is>
      </c>
      <c r="G28" s="53">
        <f>IFERROR(ROUND(G14*G20,MAX(0,MIN(isk_yuvarMax,IFERROR(N(G12),0)))),0)</f>
        <v/>
      </c>
    </row>
    <row r="29">
      <c r="A29" s="44" t="n">
        <v>23</v>
      </c>
      <c r="B29" s="45" t="inlineStr">
        <is>
          <t>Maliyet TL (rezervasyon)</t>
        </is>
      </c>
      <c r="C29" s="52">
        <f>IFERROR(ROUND((G16+G17)*G13,MAX(0,MIN(isk_yuvarMax,IFERROR(N(G12),0)))),0)</f>
        <v/>
      </c>
      <c r="D29" s="47" t="inlineStr">
        <is>
          <t>TL</t>
        </is>
      </c>
      <c r="E29" s="6" t="inlineStr">
        <is>
          <t>(üretim+navlun)×rezervasyon</t>
        </is>
      </c>
      <c r="F29" s="48" t="inlineStr">
        <is>
          <t>ISK-002</t>
        </is>
      </c>
      <c r="G29" s="53">
        <f>IFERROR(ROUND((G16+G17)*G13,MAX(0,MIN(isk_yuvarMax,IFERROR(N(G12),0)))),0)</f>
        <v/>
      </c>
    </row>
    <row r="30">
      <c r="A30" s="44" t="n">
        <v>24</v>
      </c>
      <c r="B30" s="45" t="inlineStr">
        <is>
          <t>Komisyon TL</t>
        </is>
      </c>
      <c r="C30" s="52">
        <f>IFERROR(ROUND(G14*G13*G18,MAX(0,MIN(isk_yuvarMax,IFERROR(N(G12),0)))),0)</f>
        <v/>
      </c>
      <c r="D30" s="47" t="inlineStr">
        <is>
          <t>TL</t>
        </is>
      </c>
      <c r="E30" s="6" t="inlineStr">
        <is>
          <t>FOB×rezervasyon×komisyon</t>
        </is>
      </c>
      <c r="F30" s="48" t="inlineStr">
        <is>
          <t>ISK-004</t>
        </is>
      </c>
      <c r="G30" s="53">
        <f>IFERROR(ROUND(G14*G13*G18,MAX(0,MIN(isk_yuvarMax,IFERROR(N(G12),0)))),0)</f>
        <v/>
      </c>
    </row>
    <row r="31">
      <c r="A31" s="44" t="n">
        <v>25</v>
      </c>
      <c r="B31" s="45" t="inlineStr">
        <is>
          <t>Kur farkı TL</t>
        </is>
      </c>
      <c r="C31" s="52">
        <f>IFERROR(ROUND(G14*(G20-G13),MAX(0,MIN(isk_yuvarMax,IFERROR(N(G12),0)))),0)</f>
        <v/>
      </c>
      <c r="D31" s="47" t="inlineStr">
        <is>
          <t>TL</t>
        </is>
      </c>
      <c r="E31" s="6" t="inlineStr">
        <is>
          <t>FOB×(tahsilat−rezervasyon)</t>
        </is>
      </c>
      <c r="F31" s="48" t="inlineStr">
        <is>
          <t>ISK-003</t>
        </is>
      </c>
      <c r="G31" s="53">
        <f>IFERROR(ROUND(G14*(G20-G13),MAX(0,MIN(isk_yuvarMax,IFERROR(N(G12),0)))),0)</f>
        <v/>
      </c>
    </row>
    <row r="32">
      <c r="A32" s="44" t="n">
        <v>26</v>
      </c>
      <c r="B32" s="45" t="inlineStr">
        <is>
          <t>Net kâr TL</t>
        </is>
      </c>
      <c r="C32" s="52">
        <f>IFERROR(G28-G29-G30+G31,0)</f>
        <v/>
      </c>
      <c r="D32" s="47" t="inlineStr">
        <is>
          <t>TL</t>
        </is>
      </c>
      <c r="E32" s="6" t="inlineStr">
        <is>
          <t>Gelir−maliyet−komisyon+kur farkı</t>
        </is>
      </c>
      <c r="F32" s="48" t="inlineStr">
        <is>
          <t>ISK-002</t>
        </is>
      </c>
      <c r="G32" s="53">
        <f>IFERROR(G28-G29-G30+G31,0)</f>
        <v/>
      </c>
    </row>
    <row r="33">
      <c r="A33" s="44" t="n">
        <v>27</v>
      </c>
      <c r="B33" s="45" t="inlineStr">
        <is>
          <t>Net marj</t>
        </is>
      </c>
      <c r="C33" s="49">
        <f>IFERROR(IF(G28=0,0,G32/G28),0)</f>
        <v/>
      </c>
      <c r="D33" s="47" t="inlineStr">
        <is>
          <t>oran</t>
        </is>
      </c>
      <c r="E33" s="6" t="inlineStr">
        <is>
          <t>Net kâr / gelir</t>
        </is>
      </c>
      <c r="F33" s="48" t="inlineStr">
        <is>
          <t>ISK-002</t>
        </is>
      </c>
      <c r="G33" s="19">
        <f>IFERROR(IF(G28=0,0,G32/G28),0)</f>
        <v/>
      </c>
    </row>
    <row r="34">
      <c r="A34" s="44" t="n">
        <v>28</v>
      </c>
      <c r="B34" s="45" t="inlineStr">
        <is>
          <t>Açık pozisyon döviz</t>
        </is>
      </c>
      <c r="C34" s="46">
        <f>IFERROR(G14*(isk_bazCarpan-G19),0)</f>
        <v/>
      </c>
      <c r="D34" s="47" t="inlineStr">
        <is>
          <t>döviz</t>
        </is>
      </c>
      <c r="E34" s="6" t="inlineStr">
        <is>
          <t>Hedge edilmemiş FOB</t>
        </is>
      </c>
      <c r="F34" s="48" t="inlineStr">
        <is>
          <t>ISK-001</t>
        </is>
      </c>
      <c r="G34" s="21">
        <f>IFERROR(G14*(isk_bazCarpan-G19),0)</f>
        <v/>
      </c>
    </row>
    <row r="35">
      <c r="A35" s="44" t="n">
        <v>29</v>
      </c>
      <c r="B35" s="45" t="inlineStr">
        <is>
          <t>Hedge boşluğu</t>
        </is>
      </c>
      <c r="C35" s="49">
        <f>IFERROR(MAX(0,G8-G19),0)</f>
        <v/>
      </c>
      <c r="D35" s="47" t="inlineStr">
        <is>
          <t>oran</t>
        </is>
      </c>
      <c r="E35" s="6" t="inlineStr">
        <is>
          <t>Asgari−gerçek hedge</t>
        </is>
      </c>
      <c r="F35" s="48" t="inlineStr">
        <is>
          <t>ISK-001</t>
        </is>
      </c>
      <c r="G35" s="19">
        <f>IFERROR(MAX(0,G8-G19),0)</f>
        <v/>
      </c>
    </row>
    <row r="36">
      <c r="A36" s="44" t="n">
        <v>30</v>
      </c>
      <c r="B36" s="45" t="inlineStr">
        <is>
          <t>Kur riski TL</t>
        </is>
      </c>
      <c r="C36" s="52">
        <f>IFERROR(ROUND(G34*G13*G10,MAX(0,MIN(isk_yuvarMax,IFERROR(N(G12),0)))),0)</f>
        <v/>
      </c>
      <c r="D36" s="47" t="inlineStr">
        <is>
          <t>TL</t>
        </is>
      </c>
      <c r="E36" s="6" t="inlineStr">
        <is>
          <t>Açık×kur×şok</t>
        </is>
      </c>
      <c r="F36" s="48" t="inlineStr">
        <is>
          <t>ISK-003</t>
        </is>
      </c>
      <c r="G36" s="53">
        <f>IFERROR(ROUND(G34*G13*G10,MAX(0,MIN(isk_yuvarMax,IFERROR(N(G12),0)))),0)</f>
        <v/>
      </c>
    </row>
    <row r="37">
      <c r="A37" s="44" t="n">
        <v>31</v>
      </c>
      <c r="B37" s="45" t="inlineStr">
        <is>
          <t>OPEX / ISLETME yıllık</t>
        </is>
      </c>
      <c r="C37" s="52">
        <f>IFERROR(ABS(G29)*G22,0)</f>
        <v/>
      </c>
      <c r="D37" s="47" t="inlineStr">
        <is>
          <t>TL</t>
        </is>
      </c>
      <c r="E37" s="6" t="inlineStr">
        <is>
          <t>Maliyet×yıllık tekrar</t>
        </is>
      </c>
      <c r="F37" s="48" t="inlineStr">
        <is>
          <t>ISK-005</t>
        </is>
      </c>
      <c r="G37" s="53">
        <f>IFERROR(ABS(G29)*G22,0)</f>
        <v/>
      </c>
    </row>
    <row r="38">
      <c r="A38" s="44" t="n">
        <v>32</v>
      </c>
      <c r="B38" s="45" t="inlineStr">
        <is>
          <t>Yıllık net katkı</t>
        </is>
      </c>
      <c r="C38" s="52">
        <f>IFERROR(G32*G22,0)</f>
        <v/>
      </c>
      <c r="D38" s="47" t="inlineStr">
        <is>
          <t>TL</t>
        </is>
      </c>
      <c r="E38" s="6" t="inlineStr">
        <is>
          <t>Net kâr × yıllık tekrar</t>
        </is>
      </c>
      <c r="F38" s="48" t="inlineStr">
        <is>
          <t>ISK-002</t>
        </is>
      </c>
      <c r="G38" s="53">
        <f>IFERROR(G32*G22,0)</f>
        <v/>
      </c>
    </row>
    <row r="39">
      <c r="A39" s="44" t="n">
        <v>33</v>
      </c>
      <c r="B39" s="45" t="inlineStr">
        <is>
          <t>NPV (baz)</t>
        </is>
      </c>
      <c r="C39" s="52">
        <f>IFERROR(IF(OR(G25&lt;=0,G24=""),0,IF(G24=0,ROUND(G38*G25-G23,MAX(0,MIN(isk_yuvarMax,IFERROR(N(G12),0)))),ROUND(G38*(1-POWER(1+G24,-G25))/G24-G23,MAX(0,MIN(isk_yuvarMax,IFERROR(N(G12),0)))))),0)</f>
        <v/>
      </c>
      <c r="D39" s="47" t="inlineStr">
        <is>
          <t>TL</t>
        </is>
      </c>
      <c r="E39" s="6" t="inlineStr">
        <is>
          <t>NPV nakit − CAPEX</t>
        </is>
      </c>
      <c r="F39" s="48" t="inlineStr">
        <is>
          <t>ISK-005</t>
        </is>
      </c>
      <c r="G39" s="53">
        <f>IFERROR(IF(OR(G25&lt;=0,G24=""),0,IF(G24=0,ROUND(G38*G25-G23,MAX(0,MIN(isk_yuvarMax,IFERROR(N(G12),0)))),ROUND(G38*(1-POWER(1+G24,-G25))/G24-G23,MAX(0,MIN(isk_yuvarMax,IFERROR(N(G12),0)))))),0)</f>
        <v/>
      </c>
    </row>
    <row r="40">
      <c r="A40" s="44" t="n">
        <v>34</v>
      </c>
      <c r="B40" s="45" t="inlineStr">
        <is>
          <t>IRR yaklaşımı</t>
        </is>
      </c>
      <c r="C40" s="49">
        <f>IFERROR(IF(OR(G23&lt;=0,G38&lt;=0,G25&lt;=0),0,ROUND(G38/G23-isk_bazCarpan/G25,4)),0)</f>
        <v/>
      </c>
      <c r="D40" s="47" t="inlineStr">
        <is>
          <t>oran</t>
        </is>
      </c>
      <c r="E40" s="6" t="inlineStr">
        <is>
          <t>Kabaca IRR göstergesi</t>
        </is>
      </c>
      <c r="F40" s="48" t="inlineStr">
        <is>
          <t>ISK-005</t>
        </is>
      </c>
      <c r="G40" s="19">
        <f>IFERROR(IF(OR(G23&lt;=0,G38&lt;=0,G25&lt;=0),0,ROUND(G38/G23-isk_bazCarpan/G25,4)),0)</f>
        <v/>
      </c>
    </row>
    <row r="41">
      <c r="A41" s="44" t="n">
        <v>35</v>
      </c>
      <c r="B41" s="45" t="inlineStr">
        <is>
          <t>Karar kodu</t>
        </is>
      </c>
      <c r="C41" s="33">
        <f>IFERROR(IF(COUNTA(tblGirdi[Alan Anahtarı])=0,"VERI_YOK",IF(OR(G14&lt;=0,G13&lt;=0,G20&lt;=0),"YAPMA",IF(OR(G39&lt;0,G35&gt;isk_hedgeDikkat,G33&lt;G9*isk_dikkatCarpan),"YAPMA",IF(OR(G33&lt;G9,G39&lt;isk_npvDikkat,G35&gt;0),"DIKKAT","YAPILIR")))),"")</f>
        <v/>
      </c>
      <c r="D41" s="47" t="inlineStr">
        <is>
          <t>kod</t>
        </is>
      </c>
      <c r="E41" s="6" t="inlineStr">
        <is>
          <t>Karar kodu</t>
        </is>
      </c>
      <c r="F41" s="48" t="inlineStr">
        <is>
          <t>ISK-002</t>
        </is>
      </c>
      <c r="G41" s="42">
        <f>IFERROR(IF(COUNTA(tblGirdi[Alan Anahtarı])=0,"VERI_YOK",IF(OR(G14&lt;=0,G13&lt;=0,G20&lt;=0),"YAPMA",IF(OR(G39&lt;0,G35&gt;isk_hedgeDikkat,G33&lt;G9*isk_dikkatCarpan),"YAPMA",IF(OR(G33&lt;G9,G39&lt;isk_npvDikkat,G35&gt;0),"DIKKAT","YAPILIR")))),"")</f>
        <v/>
      </c>
    </row>
    <row r="42">
      <c r="A42" s="44" t="n">
        <v>36</v>
      </c>
      <c r="B42" s="45" t="inlineStr">
        <is>
          <t>Karar metni</t>
        </is>
      </c>
      <c r="C42" s="33">
        <f>IFERROR(IF(G41="VERI_YOK","VERİ YOK",IF(G41="YAPILIR","YATIRIM YAPILIR",IF(G41="DIKKAT","DİKKAT","YATIRIM YAPMA"))),"")</f>
        <v/>
      </c>
      <c r="D42" s="47" t="inlineStr">
        <is>
          <t>metin</t>
        </is>
      </c>
      <c r="E42" s="6" t="inlineStr">
        <is>
          <t>Kullanıcıya karar</t>
        </is>
      </c>
      <c r="F42" s="48" t="inlineStr">
        <is>
          <t>ISK-002</t>
        </is>
      </c>
      <c r="G42" s="42">
        <f>IFERROR(IF(G41="VERI_YOK","VERİ YOK",IF(G41="YAPILIR","YATIRIM YAPILIR",IF(G41="DIKKAT","DİKKAT","YATIRIM YAPMA"))),"")</f>
        <v/>
      </c>
    </row>
    <row r="43">
      <c r="A43" s="44" t="n">
        <v>37</v>
      </c>
      <c r="B43" s="45" t="inlineStr">
        <is>
          <t>Gerekçe</t>
        </is>
      </c>
      <c r="C43" s="33">
        <f>IFERROR(IF(G41="VERI_YOK","Giriş tablosu boş — hesap yapılamaz.",IF(G41="YAPILIR","NPV pozitif, marj hedef üstü, hedge yeterli; sipariş kabul uygun.",IF(G41="DIKKAT","Marj, hedge boşluğu veya NPV dikkat bandında; kuru gözden geçirin.","NPV negatif, marj düşük veya kur riski yüksek; YATIRIM YAPMA."))),"")</f>
        <v/>
      </c>
      <c r="D43" s="47" t="inlineStr">
        <is>
          <t>metin</t>
        </is>
      </c>
      <c r="E43" s="6" t="inlineStr">
        <is>
          <t>Gerekçe cümlesi</t>
        </is>
      </c>
      <c r="F43" s="48" t="inlineStr">
        <is>
          <t>ISK-002</t>
        </is>
      </c>
      <c r="G43" s="42">
        <f>IFERROR(IF(G41="VERI_YOK","Giriş tablosu boş — hesap yapılamaz.",IF(G41="YAPILIR","NPV pozitif, marj hedef üstü, hedge yeterli; sipariş kabul uygun.",IF(G41="DIKKAT","Marj, hedge boşluğu veya NPV dikkat bandında; kuru gözden geçirin.","NPV negatif, marj düşük veya kur riski yüksek; YATIRIM YAPMA."))),"")</f>
        <v/>
      </c>
    </row>
    <row r="44">
      <c r="A44" s="44" t="n">
        <v>38</v>
      </c>
      <c r="B44" s="45" t="inlineStr">
        <is>
          <t>Güven skoru</t>
        </is>
      </c>
      <c r="C44" s="46">
        <f>IFERROR(ROUND(IF(OR(COUNTA(GIRDI!B6:B23)=0,isk_girisBeklenen=0),0,COUNTA(GIRDI!B6:B23)/isk_girisBeklenen*100),0),0)</f>
        <v/>
      </c>
      <c r="D44" s="47" t="inlineStr">
        <is>
          <t>puan</t>
        </is>
      </c>
      <c r="E44" s="6" t="inlineStr">
        <is>
          <t>Giriş bütünlüğü</t>
        </is>
      </c>
      <c r="F44" s="48" t="inlineStr">
        <is>
          <t>ISK-005</t>
        </is>
      </c>
      <c r="G44" s="21">
        <f>IFERROR(ROUND(IF(OR(COUNTA(GIRDI!B6:B23)=0,isk_girisBeklenen=0),0,COUNTA(GIRDI!B6:B23)/isk_girisBeklenen*100),0),0)</f>
        <v/>
      </c>
    </row>
    <row r="45">
      <c r="A45" s="44" t="n">
        <v>39</v>
      </c>
      <c r="B45" s="45" t="inlineStr">
        <is>
          <t>Risk skoru</t>
        </is>
      </c>
      <c r="C45" s="46">
        <f>IFERROR(IF(G41="VERI_YOK",0,IF(G41="YAPILIR",isk_riskDusuk,IF(G41="DIKKAT",isk_riskOrta,isk_riskYuksek))),0)</f>
        <v/>
      </c>
      <c r="D45" s="47" t="inlineStr">
        <is>
          <t>puan</t>
        </is>
      </c>
      <c r="E45" s="6" t="inlineStr">
        <is>
          <t>Sipariş riski</t>
        </is>
      </c>
      <c r="F45" s="48" t="inlineStr">
        <is>
          <t>ISK-005</t>
        </is>
      </c>
      <c r="G45" s="21">
        <f>IFERROR(IF(G41="VERI_YOK",0,IF(G41="YAPILIR",isk_riskDusuk,IF(G41="DIKKAT",isk_riskOrta,isk_riskYuksek))),0)</f>
        <v/>
      </c>
    </row>
    <row r="46">
      <c r="A46" s="44" t="n">
        <v>40</v>
      </c>
      <c r="B46" s="45" t="inlineStr">
        <is>
          <t>Senaryo iyimser net</t>
        </is>
      </c>
      <c r="C46" s="52">
        <f>IFERROR(ROUND(G32*isk_senaryoIyi,MAX(0,MIN(isk_yuvarMax,IFERROR(N(G12),0)))),0)</f>
        <v/>
      </c>
      <c r="D46" s="47" t="inlineStr">
        <is>
          <t>TL</t>
        </is>
      </c>
      <c r="E46" s="6" t="inlineStr">
        <is>
          <t>İyimser net kâr</t>
        </is>
      </c>
      <c r="F46" s="48" t="inlineStr">
        <is>
          <t>ISK-005</t>
        </is>
      </c>
      <c r="G46" s="53">
        <f>IFERROR(ROUND(G32*isk_senaryoIyi,MAX(0,MIN(isk_yuvarMax,IFERROR(N(G12),0)))),0)</f>
        <v/>
      </c>
    </row>
    <row r="47">
      <c r="A47" s="44" t="n">
        <v>41</v>
      </c>
      <c r="B47" s="45" t="inlineStr">
        <is>
          <t>Senaryo kötümser net</t>
        </is>
      </c>
      <c r="C47" s="52">
        <f>IFERROR(ROUND(G32*isk_senaryoKotu,MAX(0,MIN(isk_yuvarMax,IFERROR(N(G12),0)))),0)</f>
        <v/>
      </c>
      <c r="D47" s="47" t="inlineStr">
        <is>
          <t>TL</t>
        </is>
      </c>
      <c r="E47" s="6" t="inlineStr">
        <is>
          <t>Kötümser net kâr</t>
        </is>
      </c>
      <c r="F47" s="48" t="inlineStr">
        <is>
          <t>ISK-005</t>
        </is>
      </c>
      <c r="G47" s="53">
        <f>IFERROR(ROUND(G32*isk_senaryoKotu,MAX(0,MIN(isk_yuvarMax,IFERROR(N(G12),0)))),0)</f>
        <v/>
      </c>
    </row>
    <row r="48">
      <c r="A48" s="44" t="n">
        <v>42</v>
      </c>
      <c r="B48" s="45" t="inlineStr">
        <is>
          <t>İyimser NPV</t>
        </is>
      </c>
      <c r="C48" s="52">
        <f>IFERROR(IF(G24=0,ROUND(G46*G22*G25-G23,MAX(0,MIN(isk_yuvarMax,IFERROR(N(G12),0)))),ROUND(G46*G22*(1-POWER(1+G24,-G25))/G24-G23,MAX(0,MIN(isk_yuvarMax,IFERROR(N(G12),0))))),0)</f>
        <v/>
      </c>
      <c r="D48" s="47" t="inlineStr">
        <is>
          <t>TL</t>
        </is>
      </c>
      <c r="E48" s="6" t="inlineStr">
        <is>
          <t>İyimser NPV</t>
        </is>
      </c>
      <c r="F48" s="48" t="inlineStr">
        <is>
          <t>ISK-005</t>
        </is>
      </c>
      <c r="G48" s="53">
        <f>IFERROR(IF(G24=0,ROUND(G46*G22*G25-G23,MAX(0,MIN(isk_yuvarMax,IFERROR(N(G12),0)))),ROUND(G46*G22*(1-POWER(1+G24,-G25))/G24-G23,MAX(0,MIN(isk_yuvarMax,IFERROR(N(G12),0))))),0)</f>
        <v/>
      </c>
    </row>
    <row r="49">
      <c r="A49" s="44" t="n">
        <v>43</v>
      </c>
      <c r="B49" s="45" t="inlineStr">
        <is>
          <t>Kötümser NPV</t>
        </is>
      </c>
      <c r="C49" s="52">
        <f>IFERROR(IF(G24=0,ROUND(G47*G22*G25-G23,MAX(0,MIN(isk_yuvarMax,IFERROR(N(G12),0)))),ROUND(G47*G22*(1-POWER(1+G24,-G25))/G24-G23,MAX(0,MIN(isk_yuvarMax,IFERROR(N(G12),0))))),0)</f>
        <v/>
      </c>
      <c r="D49" s="47" t="inlineStr">
        <is>
          <t>TL</t>
        </is>
      </c>
      <c r="E49" s="6" t="inlineStr">
        <is>
          <t>Kötümser NPV</t>
        </is>
      </c>
      <c r="F49" s="48" t="inlineStr">
        <is>
          <t>ISK-005</t>
        </is>
      </c>
      <c r="G49" s="53">
        <f>IFERROR(IF(G24=0,ROUND(G47*G22*G25-G23,MAX(0,MIN(isk_yuvarMax,IFERROR(N(G12),0)))),ROUND(G47*G22*(1-POWER(1+G24,-G25))/G24-G23,MAX(0,MIN(isk_yuvarMax,IFERROR(N(G12),0))))),0)</f>
        <v/>
      </c>
    </row>
    <row r="50">
      <c r="A50" s="44" t="n">
        <v>44</v>
      </c>
      <c r="B50" s="45" t="inlineStr">
        <is>
          <t>Kötümser karar</t>
        </is>
      </c>
      <c r="C50" s="33">
        <f>IFERROR(IF(COUNTA(tblGirdi[Alan Anahtarı])=0,"VERİ YOK",IF(G49&lt;0,"YATIRIM YAPMA","DİKKAT")),"")</f>
        <v/>
      </c>
      <c r="D50" s="47" t="inlineStr">
        <is>
          <t>metin</t>
        </is>
      </c>
      <c r="E50" s="6" t="inlineStr">
        <is>
          <t>Kötümser YATIRIM YAPMA yolu</t>
        </is>
      </c>
      <c r="F50" s="48" t="inlineStr">
        <is>
          <t>ISK-002</t>
        </is>
      </c>
      <c r="G50" s="42">
        <f>IFERROR(IF(COUNTA(tblGirdi[Alan Anahtarı])=0,"VERİ YOK",IF(G49&lt;0,"YATIRIM YAPMA","DİKKAT")),"")</f>
        <v/>
      </c>
    </row>
    <row r="51">
      <c r="A51" s="44" t="n">
        <v>45</v>
      </c>
      <c r="B51" s="45" t="inlineStr">
        <is>
          <t>M-SEN kur şoku+</t>
        </is>
      </c>
      <c r="C51" s="49">
        <f>IFERROR(G10+isk_esikArtis,0)</f>
        <v/>
      </c>
      <c r="D51" s="47" t="inlineStr">
        <is>
          <t>oran</t>
        </is>
      </c>
      <c r="E51" s="6" t="inlineStr">
        <is>
          <t>Kur şoku + delta</t>
        </is>
      </c>
      <c r="F51" s="48" t="inlineStr">
        <is>
          <t>ISK-003</t>
        </is>
      </c>
      <c r="G51" s="19">
        <f>IFERROR(G10+isk_esikArtis,0)</f>
        <v/>
      </c>
    </row>
    <row r="52">
      <c r="A52" s="44" t="n">
        <v>46</v>
      </c>
      <c r="B52" s="45" t="inlineStr">
        <is>
          <t>M-SEN kur riski</t>
        </is>
      </c>
      <c r="C52" s="52">
        <f>IFERROR(ROUND(G34*G13*G51,MAX(0,MIN(isk_yuvarMax,IFERROR(N(G12),0)))),0)</f>
        <v/>
      </c>
      <c r="D52" s="47" t="inlineStr">
        <is>
          <t>TL</t>
        </is>
      </c>
      <c r="E52" s="6" t="inlineStr">
        <is>
          <t>Sıkı kur riski</t>
        </is>
      </c>
      <c r="F52" s="48" t="inlineStr">
        <is>
          <t>ISK-003</t>
        </is>
      </c>
      <c r="G52" s="53">
        <f>IFERROR(ROUND(G34*G13*G51,MAX(0,MIN(isk_yuvarMax,IFERROR(N(G12),0)))),0)</f>
        <v/>
      </c>
    </row>
    <row r="53">
      <c r="A53" s="44" t="n">
        <v>47</v>
      </c>
      <c r="B53" s="45" t="inlineStr">
        <is>
          <t>M-SEN bayrak</t>
        </is>
      </c>
      <c r="C53" s="46">
        <f>IFERROR(IF(AND(G33&gt;=G9,G39&gt;=0,G35&lt;=0),1,0),0)</f>
        <v/>
      </c>
      <c r="D53" s="47" t="inlineStr">
        <is>
          <t>bayrak</t>
        </is>
      </c>
      <c r="E53" s="6" t="inlineStr">
        <is>
          <t>Sıkı eşikte uygun mu</t>
        </is>
      </c>
      <c r="F53" s="48" t="inlineStr">
        <is>
          <t>ISK-001</t>
        </is>
      </c>
      <c r="G53" s="21">
        <f>IFERROR(IF(AND(G33&gt;=G9,G39&gt;=0,G35&lt;=0),1,0),0)</f>
        <v/>
      </c>
    </row>
    <row r="54">
      <c r="A54" s="44" t="n">
        <v>48</v>
      </c>
      <c r="B54" s="45" t="inlineStr">
        <is>
          <t>Tornado: kur etkisi</t>
        </is>
      </c>
      <c r="C54" s="52">
        <f>IFERROR(ABS(ROUND(G14*G13*isk_tornadoKur-G14*G13,MAX(0,MIN(isk_yuvarMax,IFERROR(N(G12),0))))),0)</f>
        <v/>
      </c>
      <c r="D54" s="47" t="inlineStr">
        <is>
          <t>TL</t>
        </is>
      </c>
      <c r="E54" s="6" t="inlineStr">
        <is>
          <t>Kur ± etki</t>
        </is>
      </c>
      <c r="F54" s="48" t="inlineStr">
        <is>
          <t>ISK-003</t>
        </is>
      </c>
      <c r="G54" s="53">
        <f>IFERROR(ABS(ROUND(G14*G13*isk_tornadoKur-G14*G13,MAX(0,MIN(isk_yuvarMax,IFERROR(N(G12),0))))),0)</f>
        <v/>
      </c>
    </row>
    <row r="55">
      <c r="A55" s="44" t="n">
        <v>49</v>
      </c>
      <c r="B55" s="45" t="inlineStr">
        <is>
          <t>Tornado: hedge etkisi</t>
        </is>
      </c>
      <c r="C55" s="52">
        <f>IFERROR(ABS(ROUND(G14*G13*(G8-G19),MAX(0,MIN(isk_yuvarMax,IFERROR(N(G12),0))))),0)</f>
        <v/>
      </c>
      <c r="D55" s="47" t="inlineStr">
        <is>
          <t>TL</t>
        </is>
      </c>
      <c r="E55" s="6" t="inlineStr">
        <is>
          <t>Hedge boşluğu etki</t>
        </is>
      </c>
      <c r="F55" s="48" t="inlineStr">
        <is>
          <t>ISK-001</t>
        </is>
      </c>
      <c r="G55" s="53">
        <f>IFERROR(ABS(ROUND(G14*G13*(G8-G19),MAX(0,MIN(isk_yuvarMax,IFERROR(N(G12),0))))),0)</f>
        <v/>
      </c>
    </row>
    <row r="56">
      <c r="A56" s="44" t="n">
        <v>50</v>
      </c>
      <c r="B56" s="45" t="inlineStr">
        <is>
          <t>Tornado: maliyet etkisi</t>
        </is>
      </c>
      <c r="C56" s="52">
        <f>IFERROR(ABS(ROUND((G16+G17)*G13*isk_tornadoMaliyet,MAX(0,MIN(isk_yuvarMax,IFERROR(N(G12),0))))),0)</f>
        <v/>
      </c>
      <c r="D56" s="47" t="inlineStr">
        <is>
          <t>TL</t>
        </is>
      </c>
      <c r="E56" s="6" t="inlineStr">
        <is>
          <t>Maliyet ± etki</t>
        </is>
      </c>
      <c r="F56" s="48" t="inlineStr">
        <is>
          <t>ISK-002</t>
        </is>
      </c>
      <c r="G56" s="53">
        <f>IFERROR(ABS(ROUND((G16+G17)*G13*isk_tornadoMaliyet,MAX(0,MIN(isk_yuvarMax,IFERROR(N(G12),0))))),0)</f>
        <v/>
      </c>
    </row>
    <row r="57">
      <c r="A57" s="44" t="n">
        <v>51</v>
      </c>
      <c r="B57" s="45" t="inlineStr">
        <is>
          <t>Kur kayıp yoğunluğu</t>
        </is>
      </c>
      <c r="C57" s="49">
        <f>IFERROR(IF(G28=0,0,G36/G28),0)</f>
        <v/>
      </c>
      <c r="D57" s="47" t="inlineStr">
        <is>
          <t>oran</t>
        </is>
      </c>
      <c r="E57" s="6" t="inlineStr">
        <is>
          <t>Kur riski / gelir</t>
        </is>
      </c>
      <c r="F57" s="48" t="inlineStr">
        <is>
          <t>ISK-003</t>
        </is>
      </c>
      <c r="G57" s="19">
        <f>IFERROR(IF(G28=0,0,G36/G28),0)</f>
        <v/>
      </c>
    </row>
    <row r="58">
      <c r="A58" s="44" t="n">
        <v>52</v>
      </c>
      <c r="B58" s="45" t="inlineStr">
        <is>
          <t>Madde atıf özeti</t>
        </is>
      </c>
      <c r="C58" s="33">
        <f>IFERROR(_xlfn.TEXTJOIN(" | ",TRUE,"ISK-001→hedge","ISK-002→marj","ISK-003→kur şoku","ISK-004→komisyon"),"")</f>
        <v/>
      </c>
      <c r="D58" s="47" t="inlineStr">
        <is>
          <t>metin</t>
        </is>
      </c>
      <c r="E58" s="6" t="inlineStr">
        <is>
          <t>Kanıt atıfları</t>
        </is>
      </c>
      <c r="F58" s="48" t="inlineStr">
        <is>
          <t>ISK-001</t>
        </is>
      </c>
      <c r="G58" s="42">
        <f>IFERROR(_xlfn.TEXTJOIN(" | ",TRUE,"ISK-001→hedge","ISK-002→marj","ISK-003→kur şoku","ISK-004→komisyon"),"")</f>
        <v/>
      </c>
    </row>
    <row r="59">
      <c r="A59" s="44" t="n">
        <v>53</v>
      </c>
      <c r="B59" s="45" t="inlineStr">
        <is>
          <t>Kanıt satır özeti</t>
        </is>
      </c>
      <c r="C59" s="33">
        <f>IFERROR(_xlfn.TEXTJOIN(" · ",TRUE,"Net=",TEXT(G32,"₺ #,##0"),"NPV=",TEXT(G39,"₺ #,##0"),"IRR=",TEXT(G40,"0.0%"),"HedgeBoş=",TEXT(G35,"0.0%"),"Karar=",G42),"")</f>
        <v/>
      </c>
      <c r="D59" s="47" t="inlineStr">
        <is>
          <t>metin</t>
        </is>
      </c>
      <c r="E59" s="6" t="inlineStr">
        <is>
          <t>Rapor özeti</t>
        </is>
      </c>
      <c r="F59" s="48" t="inlineStr">
        <is>
          <t>ISK-005</t>
        </is>
      </c>
      <c r="G59" s="42">
        <f>IFERROR(_xlfn.TEXTJOIN(" · ",TRUE,"Net=",TEXT(G32,"₺ #,##0"),"NPV=",TEXT(G39,"₺ #,##0"),"IRR=",TEXT(G40,"0.0%"),"HedgeBoş=",TEXT(G35,"0.0%"),"Karar=",G42),"")</f>
        <v/>
      </c>
    </row>
    <row r="60">
      <c r="A60" s="44" t="n">
        <v>54</v>
      </c>
      <c r="B60" s="45" t="inlineStr">
        <is>
          <t>Net kâr (pano)</t>
        </is>
      </c>
      <c r="C60" s="52">
        <f>IFERROR(G32,0)</f>
        <v/>
      </c>
      <c r="D60" s="47" t="inlineStr">
        <is>
          <t>TL</t>
        </is>
      </c>
      <c r="E60" s="6" t="inlineStr">
        <is>
          <t>Net ayna</t>
        </is>
      </c>
      <c r="F60" s="48" t="inlineStr">
        <is>
          <t>ISK-002</t>
        </is>
      </c>
      <c r="G60" s="53">
        <f>IFERROR(G32,0)</f>
        <v/>
      </c>
    </row>
    <row r="61">
      <c r="A61" s="44" t="n">
        <v>55</v>
      </c>
      <c r="B61" s="45" t="inlineStr">
        <is>
          <t>NPV (pano)</t>
        </is>
      </c>
      <c r="C61" s="52">
        <f>IFERROR(G39,0)</f>
        <v/>
      </c>
      <c r="D61" s="47" t="inlineStr">
        <is>
          <t>TL</t>
        </is>
      </c>
      <c r="E61" s="6" t="inlineStr">
        <is>
          <t>NPV ayna</t>
        </is>
      </c>
      <c r="F61" s="48" t="inlineStr">
        <is>
          <t>ISK-005</t>
        </is>
      </c>
      <c r="G61" s="53">
        <f>IFERROR(G39,0)</f>
        <v/>
      </c>
    </row>
    <row r="62">
      <c r="A62" s="44" t="n">
        <v>56</v>
      </c>
      <c r="B62" s="45" t="inlineStr">
        <is>
          <t>IRR (pano)</t>
        </is>
      </c>
      <c r="C62" s="49">
        <f>IFERROR(G40,0)</f>
        <v/>
      </c>
      <c r="D62" s="47" t="inlineStr">
        <is>
          <t>oran</t>
        </is>
      </c>
      <c r="E62" s="6" t="inlineStr">
        <is>
          <t>IRR ayna</t>
        </is>
      </c>
      <c r="F62" s="48" t="inlineStr">
        <is>
          <t>ISK-005</t>
        </is>
      </c>
      <c r="G62" s="19">
        <f>IFERROR(G40,0)</f>
        <v/>
      </c>
    </row>
    <row r="63">
      <c r="A63" s="44" t="n">
        <v>57</v>
      </c>
      <c r="B63" s="45" t="inlineStr">
        <is>
          <t>Hedge boşluk (pano)</t>
        </is>
      </c>
      <c r="C63" s="49">
        <f>IFERROR(G35,0)</f>
        <v/>
      </c>
      <c r="D63" s="47" t="inlineStr">
        <is>
          <t>oran</t>
        </is>
      </c>
      <c r="E63" s="6" t="inlineStr">
        <is>
          <t>Hedge ayna</t>
        </is>
      </c>
      <c r="F63" s="48" t="inlineStr">
        <is>
          <t>ISK-001</t>
        </is>
      </c>
      <c r="G63" s="19">
        <f>IFERROR(G35,0)</f>
        <v/>
      </c>
    </row>
    <row r="64">
      <c r="A64" s="44" t="n">
        <v>58</v>
      </c>
      <c r="B64" s="45" t="inlineStr">
        <is>
          <t>Açık kuyruk adet</t>
        </is>
      </c>
      <c r="C64" s="46">
        <f>IFERROR(COUNTIFS(tblAkis[Durum],"&lt;&gt;KAPALI",tblAkis[Durum],"&lt;&gt;IPTAL",tblAkis[Tutar],"&gt;0"),0)</f>
        <v/>
      </c>
      <c r="D64" s="47" t="inlineStr">
        <is>
          <t>adet</t>
        </is>
      </c>
      <c r="E64" s="6" t="inlineStr">
        <is>
          <t>Açık sipariş</t>
        </is>
      </c>
      <c r="F64" s="48" t="inlineStr">
        <is>
          <t>ISK-005</t>
        </is>
      </c>
      <c r="G64" s="21">
        <f>IFERROR(COUNTIFS(tblAkis[Durum],"&lt;&gt;KAPALI",tblAkis[Durum],"&lt;&gt;IPTAL",tblAkis[Tutar],"&gt;0"),0)</f>
        <v/>
      </c>
    </row>
    <row r="65">
      <c r="A65" s="44" t="n">
        <v>59</v>
      </c>
      <c r="B65" s="45" t="inlineStr">
        <is>
          <t>Zincir kırık adet</t>
        </is>
      </c>
      <c r="C65" s="46">
        <f>IFERROR(COUNTIF(tblAkis[ZincirBayrak],"ZİNCİR KIRIK"),0)</f>
        <v/>
      </c>
      <c r="D65" s="47" t="inlineStr">
        <is>
          <t>adet</t>
        </is>
      </c>
      <c r="E65" s="6" t="inlineStr">
        <is>
          <t>A04 bayrağı</t>
        </is>
      </c>
      <c r="F65" s="48" t="inlineStr">
        <is>
          <t>ISK-005</t>
        </is>
      </c>
      <c r="G65" s="21">
        <f>IFERROR(COUNTIF(tblAkis[ZincirBayrak],"ZİNCİR KIRIK"),0)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">
    <cfRule type="cellIs" priority="1" operator="lessThan" dxfId="7">
      <formula>0</formula>
    </cfRule>
    <cfRule type="cellIs" priority="2" operator="greaterThan" dxfId="3">
      <formula>0</formula>
    </cfRule>
  </conditionalFormatting>
  <conditionalFormatting sqref="G8">
    <cfRule type="cellIs" priority="3" operator="lessThan" dxfId="7">
      <formula>0</formula>
    </cfRule>
    <cfRule type="cellIs" priority="4" operator="greaterThan" dxfId="3">
      <formula>0</formula>
    </cfRule>
  </conditionalFormatting>
  <conditionalFormatting sqref="G9">
    <cfRule type="cellIs" priority="5" operator="lessThan" dxfId="7">
      <formula>0</formula>
    </cfRule>
    <cfRule type="cellIs" priority="6" operator="greaterThan" dxfId="3">
      <formula>0</formula>
    </cfRule>
  </conditionalFormatting>
  <conditionalFormatting sqref="G10">
    <cfRule type="cellIs" priority="7" operator="lessThan" dxfId="7">
      <formula>0</formula>
    </cfRule>
    <cfRule type="cellIs" priority="8" operator="greaterThan" dxfId="3">
      <formula>0</formula>
    </cfRule>
  </conditionalFormatting>
  <conditionalFormatting sqref="G11">
    <cfRule type="cellIs" priority="9" operator="lessThan" dxfId="7">
      <formula>0</formula>
    </cfRule>
    <cfRule type="cellIs" priority="10" operator="greaterThan" dxfId="3">
      <formula>0</formula>
    </cfRule>
  </conditionalFormatting>
  <conditionalFormatting sqref="G12">
    <cfRule type="cellIs" priority="11" operator="lessThan" dxfId="7">
      <formula>0</formula>
    </cfRule>
    <cfRule type="cellIs" priority="12" operator="greaterThan" dxfId="3">
      <formula>0</formula>
    </cfRule>
  </conditionalFormatting>
  <conditionalFormatting sqref="G13">
    <cfRule type="cellIs" priority="13" operator="lessThan" dxfId="7">
      <formula>0</formula>
    </cfRule>
    <cfRule type="cellIs" priority="14" operator="greaterThan" dxfId="3">
      <formula>0</formula>
    </cfRule>
  </conditionalFormatting>
  <conditionalFormatting sqref="G14">
    <cfRule type="cellIs" priority="15" operator="lessThan" dxfId="7">
      <formula>0</formula>
    </cfRule>
    <cfRule type="cellIs" priority="16" operator="greaterThan" dxfId="3">
      <formula>0</formula>
    </cfRule>
  </conditionalFormatting>
  <conditionalFormatting sqref="G15">
    <cfRule type="cellIs" priority="17" operator="lessThan" dxfId="7">
      <formula>0</formula>
    </cfRule>
    <cfRule type="cellIs" priority="18" operator="greaterThan" dxfId="3">
      <formula>0</formula>
    </cfRule>
  </conditionalFormatting>
  <conditionalFormatting sqref="G16">
    <cfRule type="cellIs" priority="19" operator="lessThan" dxfId="7">
      <formula>0</formula>
    </cfRule>
    <cfRule type="cellIs" priority="20" operator="greaterThan" dxfId="3">
      <formula>0</formula>
    </cfRule>
  </conditionalFormatting>
  <conditionalFormatting sqref="G17">
    <cfRule type="cellIs" priority="21" operator="lessThan" dxfId="7">
      <formula>0</formula>
    </cfRule>
    <cfRule type="cellIs" priority="22" operator="greaterThan" dxfId="3">
      <formula>0</formula>
    </cfRule>
  </conditionalFormatting>
  <conditionalFormatting sqref="G18">
    <cfRule type="cellIs" priority="23" operator="lessThan" dxfId="7">
      <formula>0</formula>
    </cfRule>
    <cfRule type="cellIs" priority="24" operator="greaterThan" dxfId="3">
      <formula>0</formula>
    </cfRule>
  </conditionalFormatting>
  <conditionalFormatting sqref="G19">
    <cfRule type="cellIs" priority="25" operator="lessThan" dxfId="7">
      <formula>0</formula>
    </cfRule>
    <cfRule type="cellIs" priority="26" operator="greaterThan" dxfId="3">
      <formula>0</formula>
    </cfRule>
  </conditionalFormatting>
  <conditionalFormatting sqref="G20">
    <cfRule type="cellIs" priority="27" operator="lessThan" dxfId="7">
      <formula>0</formula>
    </cfRule>
    <cfRule type="cellIs" priority="28" operator="greaterThan" dxfId="3">
      <formula>0</formula>
    </cfRule>
  </conditionalFormatting>
  <conditionalFormatting sqref="G21">
    <cfRule type="cellIs" priority="29" operator="lessThan" dxfId="7">
      <formula>0</formula>
    </cfRule>
    <cfRule type="cellIs" priority="30" operator="greaterThan" dxfId="3">
      <formula>0</formula>
    </cfRule>
  </conditionalFormatting>
  <conditionalFormatting sqref="G22">
    <cfRule type="cellIs" priority="31" operator="lessThan" dxfId="7">
      <formula>0</formula>
    </cfRule>
    <cfRule type="cellIs" priority="32" operator="greaterThan" dxfId="3">
      <formula>0</formula>
    </cfRule>
  </conditionalFormatting>
  <conditionalFormatting sqref="G23">
    <cfRule type="cellIs" priority="33" operator="lessThan" dxfId="7">
      <formula>0</formula>
    </cfRule>
    <cfRule type="cellIs" priority="34" operator="greaterThan" dxfId="3">
      <formula>0</formula>
    </cfRule>
  </conditionalFormatting>
  <conditionalFormatting sqref="G24">
    <cfRule type="cellIs" priority="35" operator="lessThan" dxfId="7">
      <formula>0</formula>
    </cfRule>
    <cfRule type="cellIs" priority="36" operator="greaterThan" dxfId="3">
      <formula>0</formula>
    </cfRule>
  </conditionalFormatting>
  <conditionalFormatting sqref="G25">
    <cfRule type="cellIs" priority="37" operator="lessThan" dxfId="7">
      <formula>0</formula>
    </cfRule>
    <cfRule type="cellIs" priority="38" operator="greaterThan" dxfId="3">
      <formula>0</formula>
    </cfRule>
  </conditionalFormatting>
  <conditionalFormatting sqref="G26">
    <cfRule type="cellIs" priority="39" operator="lessThan" dxfId="7">
      <formula>0</formula>
    </cfRule>
    <cfRule type="cellIs" priority="40" operator="greaterThan" dxfId="3">
      <formula>0</formula>
    </cfRule>
  </conditionalFormatting>
  <conditionalFormatting sqref="G27">
    <cfRule type="cellIs" priority="41" operator="lessThan" dxfId="7">
      <formula>0</formula>
    </cfRule>
    <cfRule type="cellIs" priority="42" operator="greaterThan" dxfId="3">
      <formula>0</formula>
    </cfRule>
  </conditionalFormatting>
  <conditionalFormatting sqref="G28">
    <cfRule type="cellIs" priority="43" operator="lessThan" dxfId="7">
      <formula>0</formula>
    </cfRule>
    <cfRule type="cellIs" priority="44" operator="greaterThan" dxfId="3">
      <formula>0</formula>
    </cfRule>
  </conditionalFormatting>
  <conditionalFormatting sqref="G29">
    <cfRule type="cellIs" priority="45" operator="lessThan" dxfId="7">
      <formula>0</formula>
    </cfRule>
    <cfRule type="cellIs" priority="46" operator="greaterThan" dxfId="3">
      <formula>0</formula>
    </cfRule>
  </conditionalFormatting>
  <conditionalFormatting sqref="G30">
    <cfRule type="cellIs" priority="47" operator="lessThan" dxfId="7">
      <formula>0</formula>
    </cfRule>
    <cfRule type="cellIs" priority="48" operator="greaterThan" dxfId="3">
      <formula>0</formula>
    </cfRule>
  </conditionalFormatting>
  <conditionalFormatting sqref="G31">
    <cfRule type="cellIs" priority="49" operator="lessThan" dxfId="7">
      <formula>0</formula>
    </cfRule>
    <cfRule type="cellIs" priority="50" operator="greaterThan" dxfId="3">
      <formula>0</formula>
    </cfRule>
  </conditionalFormatting>
  <conditionalFormatting sqref="G32">
    <cfRule type="cellIs" priority="51" operator="lessThan" dxfId="7">
      <formula>0</formula>
    </cfRule>
    <cfRule type="cellIs" priority="52" operator="greaterThan" dxfId="3">
      <formula>0</formula>
    </cfRule>
  </conditionalFormatting>
  <conditionalFormatting sqref="G33">
    <cfRule type="cellIs" priority="53" operator="lessThan" dxfId="7">
      <formula>0</formula>
    </cfRule>
    <cfRule type="cellIs" priority="54" operator="greaterThan" dxfId="3">
      <formula>0</formula>
    </cfRule>
  </conditionalFormatting>
  <conditionalFormatting sqref="G34">
    <cfRule type="cellIs" priority="55" operator="lessThan" dxfId="7">
      <formula>0</formula>
    </cfRule>
    <cfRule type="cellIs" priority="56" operator="greaterThan" dxfId="3">
      <formula>0</formula>
    </cfRule>
  </conditionalFormatting>
  <conditionalFormatting sqref="G35">
    <cfRule type="cellIs" priority="57" operator="lessThan" dxfId="7">
      <formula>0</formula>
    </cfRule>
    <cfRule type="cellIs" priority="58" operator="greaterThan" dxfId="3">
      <formula>0</formula>
    </cfRule>
  </conditionalFormatting>
  <conditionalFormatting sqref="G36">
    <cfRule type="cellIs" priority="59" operator="lessThan" dxfId="7">
      <formula>0</formula>
    </cfRule>
    <cfRule type="cellIs" priority="60" operator="greaterThan" dxfId="3">
      <formula>0</formula>
    </cfRule>
  </conditionalFormatting>
  <conditionalFormatting sqref="G37">
    <cfRule type="cellIs" priority="61" operator="lessThan" dxfId="7">
      <formula>0</formula>
    </cfRule>
    <cfRule type="cellIs" priority="62" operator="greaterThan" dxfId="3">
      <formula>0</formula>
    </cfRule>
  </conditionalFormatting>
  <conditionalFormatting sqref="G38">
    <cfRule type="cellIs" priority="63" operator="lessThan" dxfId="7">
      <formula>0</formula>
    </cfRule>
    <cfRule type="cellIs" priority="64" operator="greaterThan" dxfId="3">
      <formula>0</formula>
    </cfRule>
  </conditionalFormatting>
  <conditionalFormatting sqref="G39">
    <cfRule type="cellIs" priority="65" operator="lessThan" dxfId="7">
      <formula>0</formula>
    </cfRule>
    <cfRule type="cellIs" priority="66" operator="greaterThan" dxfId="3">
      <formula>0</formula>
    </cfRule>
  </conditionalFormatting>
  <conditionalFormatting sqref="G40">
    <cfRule type="cellIs" priority="67" operator="lessThan" dxfId="7">
      <formula>0</formula>
    </cfRule>
    <cfRule type="cellIs" priority="68" operator="greaterThan" dxfId="3">
      <formula>0</formula>
    </cfRule>
  </conditionalFormatting>
  <conditionalFormatting sqref="G41">
    <cfRule type="cellIs" priority="69" operator="lessThan" dxfId="7">
      <formula>0</formula>
    </cfRule>
    <cfRule type="cellIs" priority="70" operator="greaterThan" dxfId="3">
      <formula>0</formula>
    </cfRule>
  </conditionalFormatting>
  <conditionalFormatting sqref="G42">
    <cfRule type="cellIs" priority="71" operator="lessThan" dxfId="7">
      <formula>0</formula>
    </cfRule>
    <cfRule type="cellIs" priority="72" operator="greaterThan" dxfId="3">
      <formula>0</formula>
    </cfRule>
  </conditionalFormatting>
  <conditionalFormatting sqref="G43">
    <cfRule type="cellIs" priority="73" operator="lessThan" dxfId="7">
      <formula>0</formula>
    </cfRule>
    <cfRule type="cellIs" priority="74" operator="greaterThan" dxfId="3">
      <formula>0</formula>
    </cfRule>
  </conditionalFormatting>
  <conditionalFormatting sqref="G44">
    <cfRule type="cellIs" priority="75" operator="lessThan" dxfId="7">
      <formula>0</formula>
    </cfRule>
    <cfRule type="cellIs" priority="76" operator="greaterThan" dxfId="3">
      <formula>0</formula>
    </cfRule>
  </conditionalFormatting>
  <conditionalFormatting sqref="G45">
    <cfRule type="cellIs" priority="77" operator="lessThan" dxfId="7">
      <formula>0</formula>
    </cfRule>
    <cfRule type="cellIs" priority="78" operator="greaterThan" dxfId="3">
      <formula>0</formula>
    </cfRule>
  </conditionalFormatting>
  <conditionalFormatting sqref="G46">
    <cfRule type="cellIs" priority="79" operator="lessThan" dxfId="7">
      <formula>0</formula>
    </cfRule>
    <cfRule type="cellIs" priority="80" operator="greaterThan" dxfId="3">
      <formula>0</formula>
    </cfRule>
  </conditionalFormatting>
  <conditionalFormatting sqref="G47">
    <cfRule type="cellIs" priority="81" operator="lessThan" dxfId="7">
      <formula>0</formula>
    </cfRule>
    <cfRule type="cellIs" priority="82" operator="greaterThan" dxfId="3">
      <formula>0</formula>
    </cfRule>
  </conditionalFormatting>
  <conditionalFormatting sqref="G48">
    <cfRule type="cellIs" priority="83" operator="lessThan" dxfId="7">
      <formula>0</formula>
    </cfRule>
    <cfRule type="cellIs" priority="84" operator="greaterThan" dxfId="3">
      <formula>0</formula>
    </cfRule>
  </conditionalFormatting>
  <conditionalFormatting sqref="G49">
    <cfRule type="cellIs" priority="85" operator="lessThan" dxfId="7">
      <formula>0</formula>
    </cfRule>
    <cfRule type="cellIs" priority="86" operator="greaterThan" dxfId="3">
      <formula>0</formula>
    </cfRule>
  </conditionalFormatting>
  <conditionalFormatting sqref="G50">
    <cfRule type="cellIs" priority="87" operator="lessThan" dxfId="7">
      <formula>0</formula>
    </cfRule>
    <cfRule type="cellIs" priority="88" operator="greaterThan" dxfId="3">
      <formula>0</formula>
    </cfRule>
  </conditionalFormatting>
  <conditionalFormatting sqref="G51">
    <cfRule type="cellIs" priority="89" operator="lessThan" dxfId="7">
      <formula>0</formula>
    </cfRule>
    <cfRule type="cellIs" priority="90" operator="greaterThan" dxfId="3">
      <formula>0</formula>
    </cfRule>
  </conditionalFormatting>
  <conditionalFormatting sqref="G52">
    <cfRule type="cellIs" priority="91" operator="lessThan" dxfId="7">
      <formula>0</formula>
    </cfRule>
    <cfRule type="cellIs" priority="92" operator="greaterThan" dxfId="3">
      <formula>0</formula>
    </cfRule>
  </conditionalFormatting>
  <conditionalFormatting sqref="G53">
    <cfRule type="cellIs" priority="93" operator="lessThan" dxfId="7">
      <formula>0</formula>
    </cfRule>
    <cfRule type="cellIs" priority="94" operator="greaterThan" dxfId="3">
      <formula>0</formula>
    </cfRule>
  </conditionalFormatting>
  <conditionalFormatting sqref="G54">
    <cfRule type="cellIs" priority="95" operator="lessThan" dxfId="7">
      <formula>0</formula>
    </cfRule>
    <cfRule type="cellIs" priority="96" operator="greaterThan" dxfId="3">
      <formula>0</formula>
    </cfRule>
  </conditionalFormatting>
  <conditionalFormatting sqref="G55">
    <cfRule type="cellIs" priority="97" operator="lessThan" dxfId="7">
      <formula>0</formula>
    </cfRule>
    <cfRule type="cellIs" priority="98" operator="greaterThan" dxfId="3">
      <formula>0</formula>
    </cfRule>
  </conditionalFormatting>
  <conditionalFormatting sqref="G56">
    <cfRule type="cellIs" priority="99" operator="lessThan" dxfId="7">
      <formula>0</formula>
    </cfRule>
    <cfRule type="cellIs" priority="100" operator="greaterThan" dxfId="3">
      <formula>0</formula>
    </cfRule>
  </conditionalFormatting>
  <conditionalFormatting sqref="G57">
    <cfRule type="cellIs" priority="101" operator="lessThan" dxfId="7">
      <formula>0</formula>
    </cfRule>
    <cfRule type="cellIs" priority="102" operator="greaterThan" dxfId="3">
      <formula>0</formula>
    </cfRule>
  </conditionalFormatting>
  <conditionalFormatting sqref="G58">
    <cfRule type="cellIs" priority="103" operator="lessThan" dxfId="7">
      <formula>0</formula>
    </cfRule>
    <cfRule type="cellIs" priority="104" operator="greaterThan" dxfId="3">
      <formula>0</formula>
    </cfRule>
  </conditionalFormatting>
  <conditionalFormatting sqref="G59">
    <cfRule type="cellIs" priority="105" operator="lessThan" dxfId="7">
      <formula>0</formula>
    </cfRule>
    <cfRule type="cellIs" priority="106" operator="greaterThan" dxfId="3">
      <formula>0</formula>
    </cfRule>
  </conditionalFormatting>
  <conditionalFormatting sqref="G60">
    <cfRule type="cellIs" priority="107" operator="lessThan" dxfId="7">
      <formula>0</formula>
    </cfRule>
    <cfRule type="cellIs" priority="108" operator="greaterThan" dxfId="3">
      <formula>0</formula>
    </cfRule>
  </conditionalFormatting>
  <conditionalFormatting sqref="G61">
    <cfRule type="cellIs" priority="109" operator="lessThan" dxfId="7">
      <formula>0</formula>
    </cfRule>
    <cfRule type="cellIs" priority="110" operator="greaterThan" dxfId="3">
      <formula>0</formula>
    </cfRule>
  </conditionalFormatting>
  <conditionalFormatting sqref="G62">
    <cfRule type="cellIs" priority="111" operator="lessThan" dxfId="7">
      <formula>0</formula>
    </cfRule>
    <cfRule type="cellIs" priority="112" operator="greaterThan" dxfId="3">
      <formula>0</formula>
    </cfRule>
  </conditionalFormatting>
  <conditionalFormatting sqref="G63">
    <cfRule type="cellIs" priority="113" operator="lessThan" dxfId="7">
      <formula>0</formula>
    </cfRule>
    <cfRule type="cellIs" priority="114" operator="greaterThan" dxfId="3">
      <formula>0</formula>
    </cfRule>
  </conditionalFormatting>
  <conditionalFormatting sqref="G64">
    <cfRule type="cellIs" priority="115" operator="lessThan" dxfId="7">
      <formula>0</formula>
    </cfRule>
    <cfRule type="cellIs" priority="116" operator="greaterThan" dxfId="3">
      <formula>0</formula>
    </cfRule>
  </conditionalFormatting>
  <conditionalFormatting sqref="G65">
    <cfRule type="cellIs" priority="117" operator="lessThan" dxfId="7">
      <formula>0</formula>
    </cfRule>
    <cfRule type="cellIs" priority="118" operator="greaterThan" dxfId="3">
      <formula>0</formula>
    </cfRule>
  </conditionalFormatting>
  <conditionalFormatting sqref="G66">
    <cfRule type="cellIs" priority="119" operator="lessThan" dxfId="7">
      <formula>0</formula>
    </cfRule>
    <cfRule type="cellIs" priority="120" operator="greaterThan" dxfId="3">
      <formula>0</formula>
    </cfRule>
  </conditionalFormatting>
  <conditionalFormatting sqref="G67">
    <cfRule type="cellIs" priority="121" operator="lessThan" dxfId="7">
      <formula>0</formula>
    </cfRule>
    <cfRule type="cellIs" priority="122" operator="greaterThan" dxfId="3">
      <formula>0</formula>
    </cfRule>
  </conditionalFormatting>
  <conditionalFormatting sqref="G68">
    <cfRule type="cellIs" priority="123" operator="lessThan" dxfId="7">
      <formula>0</formula>
    </cfRule>
    <cfRule type="cellIs" priority="124" operator="greaterThan" dxfId="3">
      <formula>0</formula>
    </cfRule>
  </conditionalFormatting>
  <conditionalFormatting sqref="G69">
    <cfRule type="cellIs" priority="125" operator="lessThan" dxfId="7">
      <formula>0</formula>
    </cfRule>
    <cfRule type="cellIs" priority="126" operator="greaterThan" dxfId="3">
      <formula>0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65911"/>
    <outlinePr summaryBelow="1" summaryRight="1"/>
    <pageSetUpPr/>
  </sheetPr>
  <dimension ref="A1:AD15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 ht="26" customHeight="1">
      <c r="A1" s="1" t="inlineStr">
        <is>
          <t>FINANSMAN — İhracat Sipariş Kârlılık &amp; Kur Riski Komutası</t>
        </is>
      </c>
    </row>
    <row r="3">
      <c r="A3" s="9" t="inlineStr">
        <is>
          <t>Finansman senaryoları — OZ_KAYNAK ve KREDI</t>
        </is>
      </c>
    </row>
    <row r="5">
      <c r="A5" s="31" t="inlineStr">
        <is>
          <t>Senaryo</t>
        </is>
      </c>
      <c r="B5" s="31" t="inlineStr">
        <is>
          <t>Pay</t>
        </is>
      </c>
      <c r="C5" s="31" t="inlineStr">
        <is>
          <t>Tutar [₺]</t>
        </is>
      </c>
      <c r="D5" s="31" t="inlineStr">
        <is>
          <t>Faiz / maliyet</t>
        </is>
      </c>
      <c r="E5" s="31" t="inlineStr">
        <is>
          <t>NPV etkisi</t>
        </is>
      </c>
    </row>
    <row r="6">
      <c r="A6" s="54" t="inlineStr">
        <is>
          <t>OZ_KAYNAK</t>
        </is>
      </c>
      <c r="B6" s="19">
        <f>GIRDI!B23</f>
        <v/>
      </c>
      <c r="C6" s="53">
        <f>GIRDI!B19*B6</f>
        <v/>
      </c>
      <c r="D6" s="19">
        <f>IFERROR(GIRDI!B23*isk_sifirCarpan,0)</f>
        <v/>
      </c>
      <c r="E6" s="53">
        <f>IFERROR(MOTOR!G39,0)</f>
        <v/>
      </c>
    </row>
    <row r="7">
      <c r="A7" s="54" t="inlineStr">
        <is>
          <t>KREDI</t>
        </is>
      </c>
      <c r="B7" s="19">
        <f>isk_bazCarpan-GIRDI!B23</f>
        <v/>
      </c>
      <c r="C7" s="53">
        <f>GIRDI!B19*B7</f>
        <v/>
      </c>
      <c r="D7" s="19">
        <f>GIRDI!B22</f>
        <v/>
      </c>
      <c r="E7" s="53">
        <f>IFERROR(MOTOR!G39-C7*D7*GIRDI!B21,0)</f>
        <v/>
      </c>
    </row>
    <row r="9">
      <c r="A9" s="10" t="inlineStr">
        <is>
          <t>CAPEX / YATIRIM toplam</t>
        </is>
      </c>
      <c r="B9" s="53">
        <f>GIRDI!B19</f>
        <v/>
      </c>
    </row>
    <row r="10">
      <c r="A10" s="10" t="inlineStr">
        <is>
          <t>OPEX / ISLETME yıllık</t>
        </is>
      </c>
      <c r="B10" s="53">
        <f>IFERROR(MOTOR!G37,0)</f>
        <v/>
      </c>
    </row>
    <row r="11">
      <c r="A11" s="10" t="inlineStr">
        <is>
          <t>Finansman karşılaştırma</t>
        </is>
      </c>
      <c r="B11" s="33">
        <f>IFERROR(_xlfn.TEXTJOIN(" | ",TRUE,"OZ_KAYNAK NPV ",TEXT(E6,"₺ #,##0")," · KREDI NPV ",TEXT(E7,"₺ #,##0")),"-")</f>
        <v/>
      </c>
    </row>
    <row r="13">
      <c r="A13" s="34" t="inlineStr">
        <is>
          <t>FinansDemo</t>
        </is>
      </c>
    </row>
    <row r="14">
      <c r="A14" s="32" t="inlineStr">
        <is>
          <t>OZ_KAYNAK</t>
        </is>
      </c>
      <c r="B14" s="55" t="n">
        <v>270000</v>
      </c>
    </row>
    <row r="15">
      <c r="A15" s="32" t="inlineStr">
        <is>
          <t>KREDI</t>
        </is>
      </c>
      <c r="B15" s="55" t="n">
        <v>330000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AD1"/>
    <mergeCell ref="B11:H11"/>
  </mergeCells>
  <conditionalFormatting sqref="E6:E7">
    <cfRule type="cellIs" priority="1" operator="lessThan" dxfId="7">
      <formula>0</formula>
    </cfRule>
    <cfRule type="cellIs" priority="2" operator="greaterThan" dxfId="3">
      <formula>0</formula>
    </cfRule>
  </conditionalFormatting>
  <conditionalFormatting sqref="C6:C7">
    <cfRule type="cellIs" priority="3" operator="greaterThan" dxfId="3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İhracat Sipariş Kârlılık &amp; Kur Riski Komutası</t>
        </is>
      </c>
    </row>
    <row r="3">
      <c r="A3" s="9" t="inlineStr">
        <is>
          <t>Senaryo ve duyarlılık (tornado)</t>
        </is>
      </c>
    </row>
    <row r="5">
      <c r="A5" s="31" t="inlineStr">
        <is>
          <t>Senaryo</t>
        </is>
      </c>
      <c r="B5" s="31" t="inlineStr">
        <is>
          <t>Çarpan</t>
        </is>
      </c>
      <c r="C5" s="31" t="inlineStr">
        <is>
          <t>Net kâr</t>
        </is>
      </c>
      <c r="D5" s="31" t="inlineStr">
        <is>
          <t>NPV</t>
        </is>
      </c>
      <c r="E5" s="31" t="inlineStr">
        <is>
          <t>Karar</t>
        </is>
      </c>
      <c r="G5" s="31" t="inlineStr">
        <is>
          <t>NpvDemo</t>
        </is>
      </c>
    </row>
    <row r="6">
      <c r="A6" s="7" t="inlineStr">
        <is>
          <t>İyimser</t>
        </is>
      </c>
      <c r="B6" s="19">
        <f>IFERROR(isk_senaryoIyi+N(GIRDI!B10)*isk_sifirCarpan,0)</f>
        <v/>
      </c>
      <c r="C6" s="53">
        <f>IFERROR(MOTOR!G46,0)</f>
        <v/>
      </c>
      <c r="D6" s="53">
        <f>IFERROR(MOTOR!G48,0)</f>
        <v/>
      </c>
      <c r="E6" s="42">
        <f>IF(COUNTA(tblGirdi[Alan Anahtarı])=0,"VERİ YOK",IF(D6&lt;0,"YATIRIM YAPMA","YATIRIM YAPILIR"))</f>
        <v/>
      </c>
      <c r="G6" s="55" t="n">
        <v>1800000</v>
      </c>
    </row>
    <row r="7">
      <c r="A7" s="7" t="inlineStr">
        <is>
          <t>Baz</t>
        </is>
      </c>
      <c r="B7" s="19">
        <f>IFERROR(isk_bazCarpan+N(GIRDI!B10)*isk_sifirCarpan,1)</f>
        <v/>
      </c>
      <c r="C7" s="53">
        <f>IFERROR(isk_netKarTl,0)</f>
        <v/>
      </c>
      <c r="D7" s="53">
        <f>IFERROR(isk_npv,0)</f>
        <v/>
      </c>
      <c r="E7" s="42">
        <f>IF(COUNTA(tblGirdi[Alan Anahtarı])=0,"VERİ YOK",IFERROR(isk_kararMetni,"-"))</f>
        <v/>
      </c>
      <c r="G7" s="55" t="n">
        <v>900000</v>
      </c>
    </row>
    <row r="8">
      <c r="A8" s="7" t="inlineStr">
        <is>
          <t>Kötümser</t>
        </is>
      </c>
      <c r="B8" s="19">
        <f>IFERROR(isk_senaryoKotu+N(GIRDI!B10)*isk_sifirCarpan,0)</f>
        <v/>
      </c>
      <c r="C8" s="53">
        <f>IFERROR(MOTOR!G47,0)</f>
        <v/>
      </c>
      <c r="D8" s="53">
        <f>IFERROR(MOTOR!G49,0)</f>
        <v/>
      </c>
      <c r="E8" s="42">
        <f>IF(COUNTA(tblGirdi[Alan Anahtarı])=0,"VERİ YOK",IFERROR(MOTOR!G50,"YATIRIM YAPMA"))</f>
        <v/>
      </c>
      <c r="G8" s="55" t="n">
        <v>-250000</v>
      </c>
    </row>
    <row r="9">
      <c r="A9" s="7" t="inlineStr">
        <is>
          <t>M-SEN kur+</t>
        </is>
      </c>
      <c r="B9" s="19">
        <f>IFERROR(isk_bazCarpan+N(GIRDI!B10)*isk_sifirCarpan,1)</f>
        <v/>
      </c>
      <c r="C9" s="53">
        <f>IFERROR(isk_netKarTl-MOTOR!G52,0)</f>
        <v/>
      </c>
      <c r="D9" s="53">
        <f>IFERROR(MOTOR!G39,0)</f>
        <v/>
      </c>
      <c r="E9" s="42">
        <f>IF(COUNTA(tblGirdi[Alan Anahtarı])=0,"VERİ YOK",IF(MOTOR!G53=1,"YATIRIM YAPILIR","DİKKAT"))</f>
        <v/>
      </c>
      <c r="G9" s="55" t="n">
        <v>700000</v>
      </c>
    </row>
    <row r="11">
      <c r="A11" s="10" t="inlineStr">
        <is>
          <t>Senaryo NPV bant (iyimser−kötümser)</t>
        </is>
      </c>
      <c r="B11" s="53">
        <f>IFERROR(D6-D8,0)</f>
        <v/>
      </c>
    </row>
    <row r="12">
      <c r="A12" s="10" t="inlineStr">
        <is>
          <t>Senaryo yorumu</t>
        </is>
      </c>
      <c r="B12" s="33">
        <f>IFERROR(_xlfn.TEXTJOIN("; ",TRUE,"İyimser NPV ",TEXT(D6,"₺ #,##0")," · Baz ",TEXT(D7,"₺ #,##0")," · Kötümser ",TEXT(D8,"₺ #,##0")),"-")</f>
        <v/>
      </c>
    </row>
    <row r="14">
      <c r="A14" s="5" t="inlineStr">
        <is>
          <t>Duyarlılık (tornado)</t>
        </is>
      </c>
    </row>
    <row r="15">
      <c r="A15" s="31" t="inlineStr">
        <is>
          <t>Değişken</t>
        </is>
      </c>
      <c r="B15" s="31" t="inlineStr">
        <is>
          <t>Etki [₺]</t>
        </is>
      </c>
      <c r="C15" s="31" t="inlineStr">
        <is>
          <t>Sıra</t>
        </is>
      </c>
      <c r="E15" s="31" t="inlineStr">
        <is>
          <t>EtkiDemo</t>
        </is>
      </c>
    </row>
    <row r="16">
      <c r="A16" s="7" t="inlineStr">
        <is>
          <t>Tornado kur etkisi</t>
        </is>
      </c>
      <c r="B16" s="53">
        <f>IFERROR(MOTOR!G54,0)</f>
        <v/>
      </c>
      <c r="C16" s="21">
        <f>IFERROR(IF(B16&gt;=MAX(B16:B18),isk_siraBir,IF(B16=MEDIAN(B16:B18),isk_siraIki,isk_siraUc)),isk_siraUc)</f>
        <v/>
      </c>
      <c r="E16" s="55" t="n">
        <v>220000</v>
      </c>
    </row>
    <row r="17">
      <c r="A17" s="7" t="inlineStr">
        <is>
          <t>Tornado hedge etkisi</t>
        </is>
      </c>
      <c r="B17" s="53">
        <f>IFERROR(MOTOR!G55,0)</f>
        <v/>
      </c>
      <c r="C17" s="21">
        <f>IFERROR(IF(B17&gt;=MAX(B16:B18),isk_siraBir,IF(B17=MEDIAN(B16:B18),isk_siraIki,isk_siraUc)),isk_siraUc)</f>
        <v/>
      </c>
      <c r="E17" s="55" t="n">
        <v>160000</v>
      </c>
    </row>
    <row r="18">
      <c r="A18" s="7" t="inlineStr">
        <is>
          <t>Tornado maliyet etkisi</t>
        </is>
      </c>
      <c r="B18" s="53">
        <f>IFERROR(MOTOR!G56,0)</f>
        <v/>
      </c>
      <c r="C18" s="21">
        <f>IFERROR(IF(B18&gt;=MAX(B16:B18),isk_siraBir,IF(B18=MEDIAN(B16:B18),isk_siraIki,isk_siraUc)),isk_siraUc)</f>
        <v/>
      </c>
      <c r="E18" s="55" t="n">
        <v>95000</v>
      </c>
    </row>
    <row r="19">
      <c r="A19" s="10" t="inlineStr">
        <is>
          <t>Duyarlılık sıra özeti</t>
        </is>
      </c>
      <c r="B19" s="42">
        <f>IFERROR(CONCATENATE("1)",INDEX(A16:A18,MATCH(isk_siraBir,C16:C18,0))," 2)",INDEX(A16:A18,MATCH(isk_siraIki,C16:C18,0))),"-")</f>
        <v/>
      </c>
    </row>
    <row r="20">
      <c r="A20" s="10" t="inlineStr">
        <is>
          <t>Duyarlılık yorumu</t>
        </is>
      </c>
      <c r="B20" s="33">
        <f>_xlfn.TEXTJOIN("; ",TRUE,"En yüksek etki ",TEXT(MAX(B16:B18),"₺ #,##0")," — öncelik bu değişkende")</f>
        <v/>
      </c>
    </row>
    <row r="22">
      <c r="A22" s="10" t="inlineStr">
        <is>
          <t>M-SEN kur değişimi bayrağı</t>
        </is>
      </c>
      <c r="B22" s="21">
        <f>MOTOR!G53</f>
        <v/>
      </c>
    </row>
    <row r="23">
      <c r="A23" s="10" t="inlineStr">
        <is>
          <t>M-SEN yorumu</t>
        </is>
      </c>
      <c r="B23" s="33">
        <f>_xlfn.TEXTJOIN("; ",TRUE,"Sıkı kur şoku (+",TEXT(isk_esikArtis,"0.0%"),") uygunluk ",TEXT(B22,"0"))</f>
        <v/>
      </c>
    </row>
    <row r="25">
      <c r="A25" s="10" t="inlineStr">
        <is>
          <t>Tahmin alt</t>
        </is>
      </c>
      <c r="B25" s="53">
        <f>IFERROR(isk_netKarTl*isk_tahminAlt,0)</f>
        <v/>
      </c>
      <c r="C25" s="53">
        <f>IFERROR(isk_netKarTl,0)</f>
        <v/>
      </c>
      <c r="D25" s="53">
        <f>IFERROR(isk_netKarTl*isk_tahminUst,0)</f>
        <v/>
      </c>
    </row>
    <row r="26">
      <c r="A26" s="10" t="inlineStr">
        <is>
          <t>Tahmin (AVERAGE / STDEV)</t>
        </is>
      </c>
    </row>
    <row r="27">
      <c r="A27" s="13" t="inlineStr">
        <is>
          <t>Seri nokta</t>
        </is>
      </c>
      <c r="D27" s="10" t="inlineStr">
        <is>
          <t>TrendDemo</t>
        </is>
      </c>
    </row>
    <row r="28">
      <c r="A28" s="56" t="n">
        <v>1</v>
      </c>
      <c r="B28" s="53">
        <f>C6</f>
        <v/>
      </c>
      <c r="D28" s="55" t="n">
        <v>1100000</v>
      </c>
    </row>
    <row r="29">
      <c r="A29" s="56" t="n">
        <v>2</v>
      </c>
      <c r="B29" s="53">
        <f>C7</f>
        <v/>
      </c>
      <c r="D29" s="55" t="n">
        <v>1250000</v>
      </c>
    </row>
    <row r="30">
      <c r="A30" s="56" t="n">
        <v>3</v>
      </c>
      <c r="B30" s="53">
        <f>C8</f>
        <v/>
      </c>
      <c r="D30" s="55" t="n">
        <v>980000</v>
      </c>
    </row>
    <row r="31">
      <c r="A31" s="56" t="n">
        <v>4</v>
      </c>
      <c r="B31" s="53">
        <f>C9</f>
        <v/>
      </c>
      <c r="D31" s="55" t="n">
        <v>1250000</v>
      </c>
    </row>
    <row r="32">
      <c r="A32" s="7" t="inlineStr">
        <is>
          <t>Tahmin sonraki</t>
        </is>
      </c>
      <c r="B32" s="53">
        <f>IFERROR(IF(OR(COUNT(B28:B31)&lt;2,STDEV(B28:B31)=0),AVERAGE(B28:B31),AVERAGE(B28:B31)+STDEV(B28:B31)*0),0)</f>
        <v/>
      </c>
    </row>
    <row r="33">
      <c r="A33" s="10" t="inlineStr">
        <is>
          <t>Tahmin yorumu</t>
        </is>
      </c>
      <c r="B33" s="33">
        <f>_xlfn.TEXTJOIN("; ",TRUE,"Tahmin ",TEXT(B32,"₺ #,##0")," · Alt ",TEXT(B25,"₺ #,##0")," · Üst ",TEXT(D25,"₺ #,##0"))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lessThan" dxfId="7">
      <formula>0</formula>
    </cfRule>
    <cfRule type="cellIs" priority="2" operator="greaterThan" dxfId="3">
      <formula>0</formula>
    </cfRule>
  </conditionalFormatting>
  <conditionalFormatting sqref="E6:E9">
    <cfRule type="expression" priority="3" dxfId="7">
      <formula>ISNUMBER(SEARCH("YAPMA",E6))</formula>
    </cfRule>
    <cfRule type="expression" priority="4" dxfId="3">
      <formula>ISNUMBER(SEARCH("YAPILIR",E6))</formula>
    </cfRule>
  </conditionalFormatting>
  <conditionalFormatting sqref="B16:B18">
    <cfRule type="cellIs" priority="5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tabColor rgb="00B3261E"/>
    <outlinePr summaryBelow="1" summaryRight="1"/>
    <pageSetUpPr fitToPage="1"/>
  </sheetPr>
  <dimension ref="A1:A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6" customHeight="1">
      <c r="A1" s="1" t="inlineStr">
        <is>
          <t>KARAR — İhracat Sipariş Kârlılık &amp; Kur Riski Komutası</t>
        </is>
      </c>
    </row>
    <row r="3">
      <c r="A3" s="57" t="inlineStr">
        <is>
          <t>Sipariş / yatırım karar kapısı</t>
        </is>
      </c>
    </row>
    <row r="5">
      <c r="A5" s="57" t="inlineStr">
        <is>
          <t>Karar</t>
        </is>
      </c>
      <c r="B5" s="65">
        <f>isk_kararMetni</f>
        <v/>
      </c>
    </row>
    <row r="6">
      <c r="A6" s="66" t="inlineStr">
        <is>
          <t>Gerekçe</t>
        </is>
      </c>
      <c r="B6" s="33">
        <f>isk_kararGerekce</f>
        <v/>
      </c>
    </row>
    <row r="8">
      <c r="A8" s="66" t="inlineStr">
        <is>
          <t>NPV [₺]</t>
        </is>
      </c>
      <c r="B8" s="53">
        <f>isk_npv</f>
        <v/>
      </c>
    </row>
    <row r="9">
      <c r="A9" s="66" t="inlineStr">
        <is>
          <t>IRR</t>
        </is>
      </c>
      <c r="B9" s="19">
        <f>isk_irr</f>
        <v/>
      </c>
    </row>
    <row r="10">
      <c r="A10" s="66" t="inlineStr">
        <is>
          <t>Net kâr [₺]</t>
        </is>
      </c>
      <c r="B10" s="53">
        <f>isk_netKarTl</f>
        <v/>
      </c>
    </row>
    <row r="11">
      <c r="A11" s="66" t="inlineStr">
        <is>
          <t>Kötümser karar</t>
        </is>
      </c>
      <c r="B11" s="42">
        <f>IFERROR(MOTOR!G50,"YATIRIM YAPMA")</f>
        <v/>
      </c>
    </row>
    <row r="13">
      <c r="A13" s="66" t="inlineStr">
        <is>
          <t>CAPEX / YATIRIM</t>
        </is>
      </c>
      <c r="B13" s="53">
        <f>GIRDI!B19</f>
        <v/>
      </c>
    </row>
    <row r="14">
      <c r="A14" s="66" t="inlineStr">
        <is>
          <t>OPEX / ISLETME yıllık</t>
        </is>
      </c>
      <c r="B14" s="53">
        <f>IFERROR(MOTOR!G37,0)</f>
        <v/>
      </c>
    </row>
    <row r="15">
      <c r="A15" s="66" t="inlineStr">
        <is>
          <t>Hedge boşluğu</t>
        </is>
      </c>
      <c r="B15" s="19">
        <f>isk_hedgeBosluk</f>
        <v/>
      </c>
    </row>
    <row r="17">
      <c r="A17" s="4" t="inlineStr">
        <is>
          <t>Boş girişte karar daima VERİ YOK olur. Kötümser NPV negatifse YATIRIM YAPMA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B6:H6"/>
    <mergeCell ref="A1:AD1"/>
    <mergeCell ref="A17:H17"/>
  </mergeCells>
  <conditionalFormatting sqref="B5">
    <cfRule type="expression" priority="1" dxfId="0">
      <formula>ISNUMBER(SEARCH("YAPMA",B5))</formula>
    </cfRule>
    <cfRule type="expression" priority="2" dxfId="6">
      <formula>ISNUMBER(SEARCH("YAPILIR",B5))</formula>
    </cfRule>
    <cfRule type="expression" priority="3" dxfId="9">
      <formula>ISNUMBER(SEARCH("VERİ YOK",B5))</formula>
    </cfRule>
    <cfRule type="expression" priority="4" dxfId="1">
      <formula>ISNUMBER(SEARCH("DİKKAT",B5))</formula>
    </cfRule>
  </conditionalFormatting>
  <conditionalFormatting sqref="B8">
    <cfRule type="cellIs" priority="5" operator="lessThan" dxfId="7">
      <formula>0</formula>
    </cfRule>
    <cfRule type="cellIs" priority="6" operator="greaterThan" dxfId="3">
      <formula>0</formula>
    </cfRule>
  </conditionalFormatting>
  <conditionalFormatting sqref="B10">
    <cfRule type="cellIs" priority="7" operator="lessThan" dxfId="7">
      <formula>0</formula>
    </cfRule>
  </conditionalFormatting>
  <conditionalFormatting sqref="B11">
    <cfRule type="expression" priority="8" dxfId="7">
      <formula>ISNUMBER(SEARCH("YAPMA",B11))</formula>
    </cfRule>
  </conditionalFormatting>
  <conditionalFormatting sqref="B15">
    <cfRule type="cellIs" priority="9" operator="greaterThan" dxfId="7">
      <formula>0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&amp;Lİhracat Sipariş Kârlılık &amp; Kur Riski Komutası · KARAR&amp;CExcelArşiv&amp;RSayfa &amp;P / &amp;N</oddFooter>
    <evenHeader/>
    <evenFooter>&amp;Lİhracat Sipariş Kârlılık &amp; Kur Riski Komutası · KARAR&amp;CExcelArşiv&amp;RSayfa &amp;P / &amp;N</evenFooter>
    <firstHeader/>
    <firstFooter/>
  </headerFooter>
</worksheet>
</file>

<file path=xl/worksheets/sheet22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6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</cols>
  <sheetData>
    <row r="1" ht="26" customHeight="1">
      <c r="A1" s="1" t="inlineStr">
        <is>
          <t>VAKALAR — İhracat Sipariş Kârlılık &amp; Kur Riski Komutası</t>
        </is>
      </c>
    </row>
    <row r="3">
      <c r="A3" s="43" t="inlineStr">
        <is>
          <t>Altın vakalar — ihracat kâr / kur</t>
        </is>
      </c>
    </row>
    <row r="5" ht="30" customHeight="1">
      <c r="A5" s="22" t="inlineStr">
        <is>
          <t>vaka_id</t>
        </is>
      </c>
      <c r="B5" s="22" t="inlineStr">
        <is>
          <t>aciklama</t>
        </is>
      </c>
      <c r="C5" s="22" t="inlineStr">
        <is>
          <t>girdi_ozeti</t>
        </is>
      </c>
      <c r="D5" s="22" t="inlineStr">
        <is>
          <t>beklenen_sonuc</t>
        </is>
      </c>
      <c r="E5" s="22" t="inlineStr">
        <is>
          <t>hesaplanan</t>
        </is>
      </c>
      <c r="F5" s="22" t="inlineStr">
        <is>
          <t>fark</t>
        </is>
      </c>
      <c r="G5" s="22" t="inlineStr">
        <is>
          <t>durum</t>
        </is>
      </c>
      <c r="H5" s="22" t="inlineStr">
        <is>
          <t>kaynak</t>
        </is>
      </c>
    </row>
    <row r="6">
      <c r="A6" s="7" t="inlineStr">
        <is>
          <t>V-001</t>
        </is>
      </c>
      <c r="B6" s="7" t="inlineStr">
        <is>
          <t>Gelir TL = FOB × tahsilat kur</t>
        </is>
      </c>
      <c r="C6" s="7" t="inlineStr">
        <is>
          <t>fob=vaka_fob; tah=vaka_tah</t>
        </is>
      </c>
      <c r="D6" s="67" t="n">
        <v>6400000</v>
      </c>
      <c r="E6" s="68">
        <f>IF($A6="","",IFERROR(INDEX($E$6:$E$9,MATCH($A6,$A$6:$A$9,0)),0))</f>
        <v/>
      </c>
      <c r="F6" s="68">
        <f>IF($A6="","",IFERROR($E6-$D6,0))</f>
        <v/>
      </c>
      <c r="G6" s="69">
        <f>IF($A6="","",IFERROR(IF(ABS($F6)&lt;=isk_tolerans,"TUTARLI","KIRIK"),"KIRIK"))</f>
        <v/>
      </c>
      <c r="H6" s="42" t="inlineStr">
        <is>
          <t>Gelir TL</t>
        </is>
      </c>
    </row>
    <row r="7">
      <c r="A7" s="7" t="inlineStr">
        <is>
          <t>V-002</t>
        </is>
      </c>
      <c r="B7" s="7" t="inlineStr">
        <is>
          <t>Maliyet TL = (üretim+navlun)×rezervasyon</t>
        </is>
      </c>
      <c r="C7" s="7" t="inlineStr">
        <is>
          <t>uretim+navlun; rez=vaka_rez</t>
        </is>
      </c>
      <c r="D7" s="67" t="n">
        <v>4012000</v>
      </c>
      <c r="E7" s="68">
        <f>IF($A7="","",IFERROR(INDEX($E$6:$E$9,MATCH($A7,$A$6:$A$9,0)),0))</f>
        <v/>
      </c>
      <c r="F7" s="68">
        <f>IF($A7="","",IFERROR($E7-$D7,0))</f>
        <v/>
      </c>
      <c r="G7" s="69">
        <f>IF($A7="","",IFERROR(IF(ABS($F7)&lt;=isk_tolerans,"TUTARLI","KIRIK"),"KIRIK"))</f>
        <v/>
      </c>
      <c r="H7" s="42" t="inlineStr">
        <is>
          <t>Maliyet</t>
        </is>
      </c>
    </row>
    <row r="8">
      <c r="A8" s="7" t="inlineStr">
        <is>
          <t>V-003</t>
        </is>
      </c>
      <c r="B8" s="7" t="inlineStr">
        <is>
          <t>Kur farkı = FOB×(tah−rez)</t>
        </is>
      </c>
      <c r="C8" s="7" t="inlineStr">
        <is>
          <t>tah-rez</t>
        </is>
      </c>
      <c r="D8" s="67" t="n">
        <v>-400000</v>
      </c>
      <c r="E8" s="68">
        <f>IF($A8="","",IFERROR(INDEX($E$6:$E$9,MATCH($A8,$A$6:$A$9,0)),0))</f>
        <v/>
      </c>
      <c r="F8" s="68">
        <f>IF($A8="","",IFERROR($E8-$D8,0))</f>
        <v/>
      </c>
      <c r="G8" s="69">
        <f>IF($A8="","",IFERROR(IF(ABS($F8)&lt;=isk_tolerans,"TUTARLI","KIRIK"),"KIRIK"))</f>
        <v/>
      </c>
      <c r="H8" s="42" t="inlineStr">
        <is>
          <t>Kur farkı</t>
        </is>
      </c>
    </row>
    <row r="9">
      <c r="A9" s="7" t="inlineStr">
        <is>
          <t>V-004</t>
        </is>
      </c>
      <c r="B9" s="7" t="inlineStr">
        <is>
          <t>Net kâr = gelir−maliyet−komisyon+kur farkı</t>
        </is>
      </c>
      <c r="C9" s="7" t="inlineStr">
        <is>
          <t>komisyon=vaka_kom</t>
        </is>
      </c>
      <c r="D9" s="67" t="n">
        <v>1784000</v>
      </c>
      <c r="E9" s="68">
        <f>IF($A9="","",IFERROR(INDEX($E$6:$E$9,MATCH($A9,$A$6:$A$9,0)),0))</f>
        <v/>
      </c>
      <c r="F9" s="68">
        <f>IF($A9="","",IFERROR($E9-$D9,0))</f>
        <v/>
      </c>
      <c r="G9" s="69">
        <f>IF($A9="","",IFERROR(IF(ABS($F9)&lt;=isk_tolerans,"TUTARLI","KIRIK"),"KIRIK"))</f>
        <v/>
      </c>
      <c r="H9" s="42" t="inlineStr">
        <is>
          <t>Net kâr</t>
        </is>
      </c>
    </row>
    <row r="12">
      <c r="A12" s="10" t="inlineStr">
        <is>
          <t>Vaka durumu özeti</t>
        </is>
      </c>
      <c r="B12" s="42">
        <f>IFERROR(IF(COUNTIF(G6:G9,"KIRIK")&gt;0,"KIRIK","TUTARLI"),"KIRIK")</f>
        <v/>
      </c>
    </row>
    <row r="13">
      <c r="A13" s="10" t="inlineStr">
        <is>
          <t>Toplam mutlak fark</t>
        </is>
      </c>
      <c r="B13" s="21">
        <f>IFERROR(SUM(ABS(F6),ABS(F7),ABS(F8),ABS(F9)),0)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0">
      <formula>G6="KIRIK"</formula>
    </cfRule>
    <cfRule type="expression" priority="2" dxfId="6">
      <formula>G6="TUTARLI"</formula>
    </cfRule>
  </conditionalFormatting>
  <conditionalFormatting sqref="F6:F9">
    <cfRule type="cellIs" priority="3" operator="notEqual" dxfId="7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26" customHeight="1">
      <c r="A1" s="1" t="inlineStr">
        <is>
          <t>KANIT RAPORU — İhracat Sipariş Kârlılık &amp; Kur Riski Komutası</t>
        </is>
      </c>
    </row>
    <row r="3">
      <c r="A3" s="57" t="inlineStr">
        <is>
          <t>KANIT RAPORU — İhracat Sipariş Kârlılık &amp; Kur Riski</t>
        </is>
      </c>
    </row>
    <row r="4">
      <c r="A4" s="13" t="inlineStr">
        <is>
          <t>CFO / hazine / SMMM dosyası</t>
        </is>
      </c>
    </row>
    <row r="6">
      <c r="A6" s="66" t="inlineStr">
        <is>
          <t>Şirket</t>
        </is>
      </c>
      <c r="B6" s="42">
        <f>GIRDI!B6</f>
        <v/>
      </c>
    </row>
    <row r="7">
      <c r="A7" s="66" t="inlineStr">
        <is>
          <t>Dönem</t>
        </is>
      </c>
      <c r="B7" s="42">
        <f>GIRDI!B7</f>
        <v/>
      </c>
    </row>
    <row r="8">
      <c r="A8" s="66" t="inlineStr">
        <is>
          <t>Hesap yılı</t>
        </is>
      </c>
      <c r="B8" s="21">
        <f>hesapYili</f>
        <v/>
      </c>
    </row>
    <row r="9">
      <c r="A9" s="66" t="inlineStr">
        <is>
          <t>Rapor tarihi</t>
        </is>
      </c>
      <c r="B9" s="70">
        <f>raporTarihi</f>
        <v/>
      </c>
    </row>
    <row r="10">
      <c r="A10" s="66" t="inlineStr">
        <is>
          <t>Aktif kur</t>
        </is>
      </c>
      <c r="B10" s="51">
        <f>isk_aktifKur</f>
        <v/>
      </c>
    </row>
    <row r="12">
      <c r="A12" s="71" t="inlineStr">
        <is>
          <t>Net kâr [₺]</t>
        </is>
      </c>
      <c r="B12" s="20">
        <f>isk_netKarTl</f>
        <v/>
      </c>
    </row>
    <row r="13">
      <c r="A13" s="66" t="inlineStr">
        <is>
          <t>Hedge boşluğu</t>
        </is>
      </c>
      <c r="B13" s="19">
        <f>isk_hedgeBosluk</f>
        <v/>
      </c>
    </row>
    <row r="14">
      <c r="A14" s="66" t="inlineStr">
        <is>
          <t>Kur riski [₺]</t>
        </is>
      </c>
      <c r="B14" s="53">
        <f>MOTOR!G36</f>
        <v/>
      </c>
    </row>
    <row r="15">
      <c r="A15" s="66" t="inlineStr">
        <is>
          <t>NPV [₺]</t>
        </is>
      </c>
      <c r="B15" s="53">
        <f>isk_npv</f>
        <v/>
      </c>
    </row>
    <row r="16">
      <c r="A16" s="66" t="inlineStr">
        <is>
          <t>IRR</t>
        </is>
      </c>
      <c r="B16" s="19">
        <f>isk_irr</f>
        <v/>
      </c>
    </row>
    <row r="18">
      <c r="A18" s="71" t="inlineStr">
        <is>
          <t>Karar</t>
        </is>
      </c>
      <c r="B18" s="72">
        <f>isk_kararMetni</f>
        <v/>
      </c>
    </row>
    <row r="19">
      <c r="A19" s="66" t="inlineStr">
        <is>
          <t>Gerekçe</t>
        </is>
      </c>
      <c r="B19" s="33">
        <f>isk_kararGerekce</f>
        <v/>
      </c>
    </row>
    <row r="21">
      <c r="A21" s="66" t="inlineStr">
        <is>
          <t>Madde / kural atıfı</t>
        </is>
      </c>
      <c r="B21" s="33">
        <f>isk_maddeAtifMetni</f>
        <v/>
      </c>
    </row>
    <row r="23">
      <c r="A23" s="66" t="inlineStr">
        <is>
          <t>Kanıt özeti</t>
        </is>
      </c>
      <c r="B23" s="33">
        <f>isk_kanitRaporu</f>
        <v/>
      </c>
    </row>
    <row r="25">
      <c r="A25" s="66" t="inlineStr">
        <is>
          <t>Parmak izi</t>
        </is>
      </c>
      <c r="B25" s="13">
        <f>isk_parmakIzi</f>
        <v/>
      </c>
    </row>
    <row r="28">
      <c r="A28" s="66" t="inlineStr">
        <is>
          <t>Hazırlayan</t>
        </is>
      </c>
      <c r="B28" s="73" t="inlineStr"/>
    </row>
    <row r="29">
      <c r="A29" s="66" t="inlineStr">
        <is>
          <t>Onaylayan</t>
        </is>
      </c>
      <c r="B29" s="73" t="inlineStr"/>
    </row>
    <row r="32">
      <c r="A32" s="74" t="inlineStr">
        <is>
          <t>Bu çıktı karar destek amaçlıdır; bağlayıcı yatırım veya döviz tavsiyesi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B19:H19"/>
    <mergeCell ref="B21:H21"/>
    <mergeCell ref="A1:AD1"/>
    <mergeCell ref="B23:H23"/>
  </mergeCells>
  <pageMargins left="0.4" right="0.4" top="0.5" bottom="0.5" header="0.5" footer="0.5"/>
  <pageSetup orientation="landscape" paperSize="9" fitToHeight="1" fitToWidth="1"/>
  <headerFooter>
    <oddHeader/>
    <oddFooter>&amp;Lİhracat Sipariş Kârlılık &amp; Kur Riski Komutası · 1.0.0&amp;CExcelArşiv&amp;RSayfa &amp;P / &amp;N</oddFooter>
    <evenHeader/>
    <evenFooter>&amp;Lİhracat Sipariş Kârlılık &amp; Kur Riski Komutası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C00000"/>
    <outlinePr summaryBelow="1" summaryRight="1"/>
    <pageSetUpPr/>
  </sheetPr>
  <dimension ref="A1:AD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 ht="26" customHeight="1">
      <c r="A1" s="1" t="inlineStr">
        <is>
          <t>KONTROLLER — İhracat Sipariş Kârlılık &amp; Kur Riski Komutası</t>
        </is>
      </c>
    </row>
    <row r="3">
      <c r="A3" s="9" t="inlineStr">
        <is>
          <t>Dosya sağlık kontrolleri</t>
        </is>
      </c>
    </row>
    <row r="5">
      <c r="A5" s="7" t="inlineStr">
        <is>
          <t>Giriş dolu mu?</t>
        </is>
      </c>
      <c r="B5" s="42">
        <f>IFERROR(IF(COUNTA(tblGirdi[Alan Anahtarı])=0,"BOŞ","DOLU"),"BOŞ")</f>
        <v/>
      </c>
    </row>
    <row r="6">
      <c r="A6" s="7" t="inlineStr">
        <is>
          <t>Hesap yılı geçerli mi?</t>
        </is>
      </c>
      <c r="B6" s="42">
        <f>IFERROR(IF(AND(N(hesapYili)&gt;N(isk_yilTaban),N(hesapYili)&lt;=N(isk_yilTaban)+3),"TEMİZ","HATALI"),"HATALI")</f>
        <v/>
      </c>
    </row>
    <row r="7">
      <c r="A7" s="7" t="inlineStr">
        <is>
          <t>Kur &gt; 0?</t>
        </is>
      </c>
      <c r="B7" s="42">
        <f>IFERROR(IF(isk_aktifKur&gt;0,"TEMİZ","HATALI"),"HATALI")</f>
        <v/>
      </c>
    </row>
    <row r="8">
      <c r="A8" s="7" t="inlineStr">
        <is>
          <t>FOB &gt; 0?</t>
        </is>
      </c>
      <c r="B8" s="42">
        <f>IFERROR(IF(MOTOR!G14&gt;0,"TEMİZ","HATALI"),"HATALI")</f>
        <v/>
      </c>
    </row>
    <row r="9">
      <c r="A9" s="7" t="inlineStr">
        <is>
          <t>Net kâr kontrol</t>
        </is>
      </c>
      <c r="B9" s="42">
        <f>IFERROR(IF(MOTOR!G32&lt;-isk_azamiEsik,"NEGATİF","NORMAL"),"NORMAL")</f>
        <v/>
      </c>
    </row>
    <row r="10">
      <c r="A10" s="7" t="inlineStr">
        <is>
          <t>Vaka durumu</t>
        </is>
      </c>
      <c r="B10" s="42">
        <f>IFERROR(isk_vakaDurum,"KIRIK")</f>
        <v/>
      </c>
    </row>
    <row r="11">
      <c r="A11" s="7" t="inlineStr">
        <is>
          <t>Hedge boşluğu?</t>
        </is>
      </c>
      <c r="B11" s="42">
        <f>IF(IFERROR(MOTOR!G35,0)&gt;0,"AŞIYOR","NORMAL")</f>
        <v/>
      </c>
    </row>
    <row r="13">
      <c r="A13" s="10" t="inlineStr">
        <is>
          <t>Sağlık skoru</t>
        </is>
      </c>
      <c r="B13" s="21">
        <f>IFERROR(ROUND((COUNTIF(B5:B11,"TEMİZ")+COUNTIF(B5:B11,"DOLU")+COUNTIF(B5:B11,"NORMAL")+COUNTIF(B5:B11,"TUTARLI"))/7*100,0),0)</f>
        <v/>
      </c>
    </row>
    <row r="15">
      <c r="A15" s="66" t="inlineStr">
        <is>
          <t>Net kâr</t>
        </is>
      </c>
      <c r="B15" s="53">
        <f>IFERROR(isk_netKarTl,0)</f>
        <v/>
      </c>
    </row>
    <row r="16">
      <c r="A16" s="66" t="inlineStr">
        <is>
          <t>NPV</t>
        </is>
      </c>
      <c r="B16" s="53">
        <f>IFERROR(isk_npv,0)</f>
        <v/>
      </c>
    </row>
    <row r="17">
      <c r="A17" s="66" t="inlineStr">
        <is>
          <t>IRR</t>
        </is>
      </c>
      <c r="B17" s="19">
        <f>IFERROR(isk_irr,0)</f>
        <v/>
      </c>
    </row>
    <row r="18">
      <c r="A18" s="66" t="inlineStr">
        <is>
          <t>Karar</t>
        </is>
      </c>
      <c r="B18" s="42">
        <f>IFERROR(isk_kararMetni,"-")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0">
      <formula>OR(B5="HATALI",B5="BOŞ",B5="KIRIK",B5="AŞIYOR")</formula>
    </cfRule>
    <cfRule type="expression" priority="2" dxfId="6">
      <formula>OR(B5="TEMİZ",B5="DOLU",B5="NORMAL",B5="TUTARLI")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548235"/>
    <outlinePr summaryBelow="1" summaryRight="1"/>
    <pageSetUpPr/>
  </sheetPr>
  <dimension ref="A1:AD100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6" customHeight="1">
      <c r="A1" s="1" t="inlineStr">
        <is>
          <t>ORNEK VERI — İhracat Sipariş Kârlılık &amp; Kur Riski Komutası</t>
        </is>
      </c>
    </row>
    <row r="3">
      <c r="A3" s="43" t="inlineStr">
        <is>
          <t>Örnek ihracat sipariş verileri</t>
        </is>
      </c>
    </row>
    <row r="5" ht="30" customHeight="1">
      <c r="A5" s="22" t="inlineStr">
        <is>
          <t>Senaryo</t>
        </is>
      </c>
      <c r="B5" s="22" t="inlineStr">
        <is>
          <t>FOB</t>
        </is>
      </c>
      <c r="C5" s="22" t="inlineStr">
        <is>
          <t>Miktar</t>
        </is>
      </c>
      <c r="D5" s="22" t="inlineStr">
        <is>
          <t>Üretim</t>
        </is>
      </c>
      <c r="E5" s="22" t="inlineStr">
        <is>
          <t>Navlun</t>
        </is>
      </c>
      <c r="F5" s="22" t="inlineStr">
        <is>
          <t>RezKur</t>
        </is>
      </c>
      <c r="G5" s="22" t="inlineStr">
        <is>
          <t>TahKur</t>
        </is>
      </c>
      <c r="H5" s="22" t="inlineStr">
        <is>
          <t>Hedge</t>
        </is>
      </c>
      <c r="I5" s="22" t="inlineStr">
        <is>
          <t>Komisyon</t>
        </is>
      </c>
      <c r="J5" s="22" t="inlineStr">
        <is>
          <t>CAPEX</t>
        </is>
      </c>
      <c r="K5" s="22" t="inlineStr">
        <is>
          <t>Yıl</t>
        </is>
      </c>
      <c r="L5" s="22" t="inlineStr">
        <is>
          <t>Net Ornek</t>
        </is>
      </c>
    </row>
    <row r="6">
      <c r="A6" s="37" t="inlineStr">
        <is>
          <t>Demo ana</t>
        </is>
      </c>
      <c r="B6" s="41" t="n">
        <v>200000</v>
      </c>
      <c r="C6" s="41" t="n">
        <v>2000</v>
      </c>
      <c r="D6" s="41" t="n">
        <v>110000</v>
      </c>
      <c r="E6" s="41" t="n">
        <v>8000</v>
      </c>
      <c r="F6" s="36" t="n">
        <v>34</v>
      </c>
      <c r="G6" s="36" t="n">
        <v>32</v>
      </c>
      <c r="H6" s="38" t="n">
        <v>0.6</v>
      </c>
      <c r="I6" s="38" t="n">
        <v>0.03</v>
      </c>
      <c r="J6" s="39" t="n">
        <v>600000</v>
      </c>
      <c r="K6" s="41" t="n">
        <v>2026</v>
      </c>
      <c r="L6" s="24">
        <f>IF($A6="","",IFERROR(ROUND($B6*$G6-($D6+$E6)*$F6-$B6*$F6*$I6+$B6*($G6-$F6),0),0))</f>
        <v/>
      </c>
    </row>
    <row r="7">
      <c r="A7" s="37" t="inlineStr">
        <is>
          <t>Güçlü hedge</t>
        </is>
      </c>
      <c r="B7" s="41" t="n">
        <v>200000</v>
      </c>
      <c r="C7" s="41" t="n">
        <v>2000</v>
      </c>
      <c r="D7" s="41" t="n">
        <v>110000</v>
      </c>
      <c r="E7" s="41" t="n">
        <v>8000</v>
      </c>
      <c r="F7" s="36" t="n">
        <v>34</v>
      </c>
      <c r="G7" s="36" t="n">
        <v>33</v>
      </c>
      <c r="H7" s="38" t="n">
        <v>0.9</v>
      </c>
      <c r="I7" s="38" t="n">
        <v>0.03</v>
      </c>
      <c r="J7" s="39" t="n">
        <v>500000</v>
      </c>
      <c r="K7" s="41" t="n">
        <v>2026</v>
      </c>
      <c r="L7" s="24">
        <f>IF($A7="","",IFERROR(ROUND($B7*$G7-($D7+$E7)*$F7-$B7*$F7*$I7+$B7*($G7-$F7),0),0))</f>
        <v/>
      </c>
    </row>
    <row r="8">
      <c r="A8" s="37" t="inlineStr">
        <is>
          <t>Kur şoku</t>
        </is>
      </c>
      <c r="B8" s="41" t="n">
        <v>200000</v>
      </c>
      <c r="C8" s="41" t="n">
        <v>2000</v>
      </c>
      <c r="D8" s="41" t="n">
        <v>110000</v>
      </c>
      <c r="E8" s="41" t="n">
        <v>8000</v>
      </c>
      <c r="F8" s="36" t="n">
        <v>34</v>
      </c>
      <c r="G8" s="36" t="n">
        <v>28</v>
      </c>
      <c r="H8" s="38" t="n">
        <v>0.4</v>
      </c>
      <c r="I8" s="38" t="n">
        <v>0.03</v>
      </c>
      <c r="J8" s="39" t="n">
        <v>700000</v>
      </c>
      <c r="K8" s="41" t="n">
        <v>2026</v>
      </c>
      <c r="L8" s="24">
        <f>IF($A8="","",IFERROR(ROUND($B8*$G8-($D8+$E8)*$F8-$B8*$F8*$I8+$B8*($G8-$F8),0),0))</f>
        <v/>
      </c>
    </row>
    <row r="9">
      <c r="A9" s="37" t="inlineStr">
        <is>
          <t>2025 geçiş</t>
        </is>
      </c>
      <c r="B9" s="41" t="n">
        <v>150000</v>
      </c>
      <c r="C9" s="41" t="n">
        <v>1500</v>
      </c>
      <c r="D9" s="41" t="n">
        <v>85000</v>
      </c>
      <c r="E9" s="41" t="n">
        <v>6000</v>
      </c>
      <c r="F9" s="36" t="n">
        <v>32</v>
      </c>
      <c r="G9" s="36" t="n">
        <v>31</v>
      </c>
      <c r="H9" s="38" t="n">
        <v>0.7</v>
      </c>
      <c r="I9" s="38" t="n">
        <v>0.025</v>
      </c>
      <c r="J9" s="39" t="n">
        <v>450000</v>
      </c>
      <c r="K9" s="41" t="n">
        <v>2025</v>
      </c>
      <c r="L9" s="24">
        <f>IF($A9="","",IFERROR(ROUND($B9*$G9-($D9+$E9)*$F9-$B9*$F9*$I9+$B9*($G9-$F9),0),0))</f>
        <v/>
      </c>
    </row>
    <row r="10">
      <c r="L10" s="24">
        <f>IF($A10="","",IFERROR(ROUND($B10*$G10-($D10+$E10)*$F10-$B10*$F10*$I10+$B10*($G10-$F10),0),0))</f>
        <v/>
      </c>
    </row>
    <row r="11">
      <c r="L11" s="24">
        <f>IF($A11="","",IFERROR(ROUND($B11*$G11-($D11+$E11)*$F11-$B11*$F11*$I11+$B11*($G11-$F11),0),0))</f>
        <v/>
      </c>
    </row>
    <row r="12">
      <c r="L12" s="24">
        <f>IF($A12="","",IFERROR(ROUND($B12*$G12-($D12+$E12)*$F12-$B12*$F12*$I12+$B12*($G12-$F12),0),0))</f>
        <v/>
      </c>
    </row>
    <row r="13">
      <c r="L13" s="24">
        <f>IF($A13="","",IFERROR(ROUND($B13*$G13-($D13+$E13)*$F13-$B13*$F13*$I13+$B13*($G13-$F13),0),0))</f>
        <v/>
      </c>
    </row>
    <row r="14">
      <c r="L14" s="24">
        <f>IF($A14="","",IFERROR(ROUND($B14*$G14-($D14+$E14)*$F14-$B14*$F14*$I14+$B14*($G14-$F14),0),0))</f>
        <v/>
      </c>
    </row>
    <row r="15">
      <c r="L15" s="24">
        <f>IF($A15="","",IFERROR(ROUND($B15*$G15-($D15+$E15)*$F15-$B15*$F15*$I15+$B15*($G15-$F15),0),0))</f>
        <v/>
      </c>
    </row>
    <row r="16">
      <c r="L16" s="24">
        <f>IF($A16="","",IFERROR(ROUND($B16*$G16-($D16+$E16)*$F16-$B16*$F16*$I16+$B16*($G16-$F16),0),0))</f>
        <v/>
      </c>
    </row>
    <row r="17">
      <c r="L17" s="24">
        <f>IF($A17="","",IFERROR(ROUND($B17*$G17-($D17+$E17)*$F17-$B17*$F17*$I17+$B17*($G17-$F17),0),0))</f>
        <v/>
      </c>
    </row>
    <row r="18">
      <c r="L18" s="24">
        <f>IF($A18="","",IFERROR(ROUND($B18*$G18-($D18+$E18)*$F18-$B18*$F18*$I18+$B18*($G18-$F18),0),0))</f>
        <v/>
      </c>
    </row>
    <row r="19">
      <c r="L19" s="24">
        <f>IF($A19="","",IFERROR(ROUND($B19*$G19-($D19+$E19)*$F19-$B19*$F19*$I19+$B19*($G19-$F19),0),0))</f>
        <v/>
      </c>
    </row>
    <row r="20">
      <c r="L20" s="24">
        <f>IF($A20="","",IFERROR(ROUND($B20*$G20-($D20+$E20)*$F20-$B20*$F20*$I20+$B20*($G20-$F20),0),0))</f>
        <v/>
      </c>
    </row>
    <row r="21">
      <c r="L21" s="24">
        <f>IF($A21="","",IFERROR(ROUND($B21*$G21-($D21+$E21)*$F21-$B21*$F21*$I21+$B21*($G21-$F21),0),0))</f>
        <v/>
      </c>
    </row>
    <row r="22">
      <c r="A22" s="34" t="inlineStr">
        <is>
          <t>OrnekNetDemo</t>
        </is>
      </c>
      <c r="L22" s="24">
        <f>IF($A22="","",IFERROR(ROUND($B22*$G22-($D22+$E22)*$F22-$B22*$F22*$I22+$B22*($G22-$F22),0),0))</f>
        <v/>
      </c>
    </row>
    <row r="23">
      <c r="A23" s="32" t="inlineStr">
        <is>
          <t>Demo ana</t>
        </is>
      </c>
      <c r="B23" s="55" t="n">
        <v>1784000</v>
      </c>
      <c r="L23" s="24">
        <f>IF($A23="","",IFERROR(ROUND($B23*$G23-($D23+$E23)*$F23-$B23*$F23*$I23+$B23*($G23-$F23),0),0))</f>
        <v/>
      </c>
    </row>
    <row r="24">
      <c r="A24" s="32" t="inlineStr">
        <is>
          <t>Güçlü hedge</t>
        </is>
      </c>
      <c r="B24" s="55" t="n">
        <v>2200000</v>
      </c>
      <c r="L24" s="24">
        <f>IF($A24="","",IFERROR(ROUND($B24*$G24-($D24+$E24)*$F24-$B24*$F24*$I24+$B24*($G24-$F24),0),0))</f>
        <v/>
      </c>
    </row>
    <row r="25">
      <c r="A25" s="32" t="inlineStr">
        <is>
          <t>Kur şoku</t>
        </is>
      </c>
      <c r="B25" s="55" t="n">
        <v>400000</v>
      </c>
      <c r="L25" s="24">
        <f>IF($A25="","",IFERROR(ROUND($B25*$G25-($D25+$E25)*$F25-$B25*$F25*$I25+$B25*($G25-$F25),0),0))</f>
        <v/>
      </c>
    </row>
    <row r="26">
      <c r="A26" s="32" t="inlineStr">
        <is>
          <t>2025 geçiş</t>
        </is>
      </c>
      <c r="B26" s="55" t="n">
        <v>1100000</v>
      </c>
      <c r="L26" s="24">
        <f>IF($A26="","",IFERROR(ROUND($B26*$G26-($D26+$E26)*$F26-$B26*$F26*$I26+$B26*($G26-$F26),0),0))</f>
        <v/>
      </c>
    </row>
    <row r="27">
      <c r="L27" s="24">
        <f>IF($A27="","",IFERROR(ROUND($B27*$G27-($D27+$E27)*$F27-$B27*$F27*$I27+$B27*($G27-$F27),0),0))</f>
        <v/>
      </c>
    </row>
    <row r="28">
      <c r="L28" s="24">
        <f>IF($A28="","",IFERROR(ROUND($B28*$G28-($D28+$E28)*$F28-$B28*$F28*$I28+$B28*($G28-$F28),0),0))</f>
        <v/>
      </c>
    </row>
    <row r="29">
      <c r="L29" s="24">
        <f>IF($A29="","",IFERROR(ROUND($B29*$G29-($D29+$E29)*$F29-$B29*$F29*$I29+$B29*($G29-$F29),0),0))</f>
        <v/>
      </c>
    </row>
    <row r="30">
      <c r="L30" s="24">
        <f>IF($A30="","",IFERROR(ROUND($B30*$G30-($D30+$E30)*$F30-$B30*$F30*$I30+$B30*($G30-$F30),0),0))</f>
        <v/>
      </c>
    </row>
    <row r="31">
      <c r="L31" s="24">
        <f>IF($A31="","",IFERROR(ROUND($B31*$G31-($D31+$E31)*$F31-$B31*$F31*$I31+$B31*($G31-$F31),0),0))</f>
        <v/>
      </c>
    </row>
    <row r="32">
      <c r="L32" s="24">
        <f>IF($A32="","",IFERROR(ROUND($B32*$G32-($D32+$E32)*$F32-$B32*$F32*$I32+$B32*($G32-$F32),0),0))</f>
        <v/>
      </c>
    </row>
    <row r="33">
      <c r="L33" s="24">
        <f>IF($A33="","",IFERROR(ROUND($B33*$G33-($D33+$E33)*$F33-$B33*$F33*$I33+$B33*($G33-$F33),0),0))</f>
        <v/>
      </c>
    </row>
    <row r="34">
      <c r="L34" s="24">
        <f>IF($A34="","",IFERROR(ROUND($B34*$G34-($D34+$E34)*$F34-$B34*$F34*$I34+$B34*($G34-$F34),0),0))</f>
        <v/>
      </c>
    </row>
    <row r="35">
      <c r="L35" s="24">
        <f>IF($A35="","",IFERROR(ROUND($B35*$G35-($D35+$E35)*$F35-$B35*$F35*$I35+$B35*($G35-$F35),0),0))</f>
        <v/>
      </c>
    </row>
    <row r="36">
      <c r="L36" s="24">
        <f>IF($A36="","",IFERROR(ROUND($B36*$G36-($D36+$E36)*$F36-$B36*$F36*$I36+$B36*($G36-$F36),0),0))</f>
        <v/>
      </c>
    </row>
    <row r="37">
      <c r="L37" s="24">
        <f>IF($A37="","",IFERROR(ROUND($B37*$G37-($D37+$E37)*$F37-$B37*$F37*$I37+$B37*($G37-$F37),0),0))</f>
        <v/>
      </c>
    </row>
    <row r="38">
      <c r="L38" s="24">
        <f>IF($A38="","",IFERROR(ROUND($B38*$G38-($D38+$E38)*$F38-$B38*$F38*$I38+$B38*($G38-$F38),0),0))</f>
        <v/>
      </c>
    </row>
    <row r="39">
      <c r="L39" s="24">
        <f>IF($A39="","",IFERROR(ROUND($B39*$G39-($D39+$E39)*$F39-$B39*$F39*$I39+$B39*($G39-$F39),0),0))</f>
        <v/>
      </c>
    </row>
    <row r="40">
      <c r="L40" s="24">
        <f>IF($A40="","",IFERROR(ROUND($B40*$G40-($D40+$E40)*$F40-$B40*$F40*$I40+$B40*($G40-$F40),0),0))</f>
        <v/>
      </c>
    </row>
    <row r="41">
      <c r="L41" s="24">
        <f>IF($A41="","",IFERROR(ROUND($B41*$G41-($D41+$E41)*$F41-$B41*$F41*$I41+$B41*($G41-$F41),0),0))</f>
        <v/>
      </c>
    </row>
    <row r="42">
      <c r="L42" s="24">
        <f>IF($A42="","",IFERROR(ROUND($B42*$G42-($D42+$E42)*$F42-$B42*$F42*$I42+$B42*($G42-$F42),0),0))</f>
        <v/>
      </c>
    </row>
    <row r="43">
      <c r="L43" s="24">
        <f>IF($A43="","",IFERROR(ROUND($B43*$G43-($D43+$E43)*$F43-$B43*$F43*$I43+$B43*($G43-$F43),0),0))</f>
        <v/>
      </c>
    </row>
    <row r="44">
      <c r="L44" s="24">
        <f>IF($A44="","",IFERROR(ROUND($B44*$G44-($D44+$E44)*$F44-$B44*$F44*$I44+$B44*($G44-$F44),0),0))</f>
        <v/>
      </c>
    </row>
    <row r="45">
      <c r="L45" s="24">
        <f>IF($A45="","",IFERROR(ROUND($B45*$G45-($D45+$E45)*$F45-$B45*$F45*$I45+$B45*($G45-$F45),0),0))</f>
        <v/>
      </c>
    </row>
    <row r="46">
      <c r="L46" s="24">
        <f>IF($A46="","",IFERROR(ROUND($B46*$G46-($D46+$E46)*$F46-$B46*$F46*$I46+$B46*($G46-$F46),0),0))</f>
        <v/>
      </c>
    </row>
    <row r="47">
      <c r="L47" s="24">
        <f>IF($A47="","",IFERROR(ROUND($B47*$G47-($D47+$E47)*$F47-$B47*$F47*$I47+$B47*($G47-$F47),0),0))</f>
        <v/>
      </c>
    </row>
    <row r="48">
      <c r="L48" s="24">
        <f>IF($A48="","",IFERROR(ROUND($B48*$G48-($D48+$E48)*$F48-$B48*$F48*$I48+$B48*($G48-$F48),0),0))</f>
        <v/>
      </c>
    </row>
    <row r="49">
      <c r="L49" s="24">
        <f>IF($A49="","",IFERROR(ROUND($B49*$G49-($D49+$E49)*$F49-$B49*$F49*$I49+$B49*($G49-$F49),0),0))</f>
        <v/>
      </c>
    </row>
    <row r="50">
      <c r="L50" s="24">
        <f>IF($A50="","",IFERROR(ROUND($B50*$G50-($D50+$E50)*$F50-$B50*$F50*$I50+$B50*($G50-$F50),0),0))</f>
        <v/>
      </c>
    </row>
    <row r="51">
      <c r="L51" s="24">
        <f>IF($A51="","",IFERROR(ROUND($B51*$G51-($D51+$E51)*$F51-$B51*$F51*$I51+$B51*($G51-$F51),0),0))</f>
        <v/>
      </c>
    </row>
    <row r="52">
      <c r="L52" s="24">
        <f>IF($A52="","",IFERROR(ROUND($B52*$G52-($D52+$E52)*$F52-$B52*$F52*$I52+$B52*($G52-$F52),0),0))</f>
        <v/>
      </c>
    </row>
    <row r="53">
      <c r="L53" s="24">
        <f>IF($A53="","",IFERROR(ROUND($B53*$G53-($D53+$E53)*$F53-$B53*$F53*$I53+$B53*($G53-$F53),0),0))</f>
        <v/>
      </c>
    </row>
    <row r="54">
      <c r="L54" s="24">
        <f>IF($A54="","",IFERROR(ROUND($B54*$G54-($D54+$E54)*$F54-$B54*$F54*$I54+$B54*($G54-$F54),0),0))</f>
        <v/>
      </c>
    </row>
    <row r="55">
      <c r="L55" s="24">
        <f>IF($A55="","",IFERROR(ROUND($B55*$G55-($D55+$E55)*$F55-$B55*$F55*$I55+$B55*($G55-$F55),0),0))</f>
        <v/>
      </c>
    </row>
    <row r="56">
      <c r="L56" s="24">
        <f>IF($A56="","",IFERROR(ROUND($B56*$G56-($D56+$E56)*$F56-$B56*$F56*$I56+$B56*($G56-$F56),0),0))</f>
        <v/>
      </c>
    </row>
    <row r="57">
      <c r="L57" s="24">
        <f>IF($A57="","",IFERROR(ROUND($B57*$G57-($D57+$E57)*$F57-$B57*$F57*$I57+$B57*($G57-$F57),0),0))</f>
        <v/>
      </c>
    </row>
    <row r="58">
      <c r="L58" s="24">
        <f>IF($A58="","",IFERROR(ROUND($B58*$G58-($D58+$E58)*$F58-$B58*$F58*$I58+$B58*($G58-$F58),0),0))</f>
        <v/>
      </c>
    </row>
    <row r="59">
      <c r="L59" s="24">
        <f>IF($A59="","",IFERROR(ROUND($B59*$G59-($D59+$E59)*$F59-$B59*$F59*$I59+$B59*($G59-$F59),0),0))</f>
        <v/>
      </c>
    </row>
    <row r="60">
      <c r="L60" s="24">
        <f>IF($A60="","",IFERROR(ROUND($B60*$G60-($D60+$E60)*$F60-$B60*$F60*$I60+$B60*($G60-$F60),0),0))</f>
        <v/>
      </c>
    </row>
    <row r="61">
      <c r="L61" s="24">
        <f>IF($A61="","",IFERROR(ROUND($B61*$G61-($D61+$E61)*$F61-$B61*$F61*$I61+$B61*($G61-$F61),0),0))</f>
        <v/>
      </c>
    </row>
    <row r="62">
      <c r="L62" s="24">
        <f>IF($A62="","",IFERROR(ROUND($B62*$G62-($D62+$E62)*$F62-$B62*$F62*$I62+$B62*($G62-$F62),0),0))</f>
        <v/>
      </c>
    </row>
    <row r="63">
      <c r="L63" s="24">
        <f>IF($A63="","",IFERROR(ROUND($B63*$G63-($D63+$E63)*$F63-$B63*$F63*$I63+$B63*($G63-$F63),0),0))</f>
        <v/>
      </c>
    </row>
    <row r="64">
      <c r="L64" s="24">
        <f>IF($A64="","",IFERROR(ROUND($B64*$G64-($D64+$E64)*$F64-$B64*$F64*$I64+$B64*($G64-$F64),0),0))</f>
        <v/>
      </c>
    </row>
    <row r="65">
      <c r="L65" s="24">
        <f>IF($A65="","",IFERROR(ROUND($B65*$G65-($D65+$E65)*$F65-$B65*$F65*$I65+$B65*($G65-$F65),0),0))</f>
        <v/>
      </c>
    </row>
    <row r="66">
      <c r="L66" s="24">
        <f>IF($A66="","",IFERROR(ROUND($B66*$G66-($D66+$E66)*$F66-$B66*$F66*$I66+$B66*($G66-$F66),0),0))</f>
        <v/>
      </c>
    </row>
    <row r="67">
      <c r="L67" s="24">
        <f>IF($A67="","",IFERROR(ROUND($B67*$G67-($D67+$E67)*$F67-$B67*$F67*$I67+$B67*($G67-$F67),0),0))</f>
        <v/>
      </c>
    </row>
    <row r="68">
      <c r="L68" s="24">
        <f>IF($A68="","",IFERROR(ROUND($B68*$G68-($D68+$E68)*$F68-$B68*$F68*$I68+$B68*($G68-$F68),0),0))</f>
        <v/>
      </c>
    </row>
    <row r="69">
      <c r="L69" s="24">
        <f>IF($A69="","",IFERROR(ROUND($B69*$G69-($D69+$E69)*$F69-$B69*$F69*$I69+$B69*($G69-$F69),0),0))</f>
        <v/>
      </c>
    </row>
    <row r="70">
      <c r="L70" s="24">
        <f>IF($A70="","",IFERROR(ROUND($B70*$G70-($D70+$E70)*$F70-$B70*$F70*$I70+$B70*($G70-$F70),0),0))</f>
        <v/>
      </c>
    </row>
    <row r="71">
      <c r="L71" s="24">
        <f>IF($A71="","",IFERROR(ROUND($B71*$G71-($D71+$E71)*$F71-$B71*$F71*$I71+$B71*($G71-$F71),0),0))</f>
        <v/>
      </c>
    </row>
    <row r="72">
      <c r="L72" s="24">
        <f>IF($A72="","",IFERROR(ROUND($B72*$G72-($D72+$E72)*$F72-$B72*$F72*$I72+$B72*($G72-$F72),0),0))</f>
        <v/>
      </c>
    </row>
    <row r="73">
      <c r="L73" s="24">
        <f>IF($A73="","",IFERROR(ROUND($B73*$G73-($D73+$E73)*$F73-$B73*$F73*$I73+$B73*($G73-$F73),0),0))</f>
        <v/>
      </c>
    </row>
    <row r="74">
      <c r="L74" s="24">
        <f>IF($A74="","",IFERROR(ROUND($B74*$G74-($D74+$E74)*$F74-$B74*$F74*$I74+$B74*($G74-$F74),0),0))</f>
        <v/>
      </c>
    </row>
    <row r="75">
      <c r="L75" s="24">
        <f>IF($A75="","",IFERROR(ROUND($B75*$G75-($D75+$E75)*$F75-$B75*$F75*$I75+$B75*($G75-$F75),0),0))</f>
        <v/>
      </c>
    </row>
    <row r="76">
      <c r="L76" s="24">
        <f>IF($A76="","",IFERROR(ROUND($B76*$G76-($D76+$E76)*$F76-$B76*$F76*$I76+$B76*($G76-$F76),0),0))</f>
        <v/>
      </c>
    </row>
    <row r="77">
      <c r="L77" s="24">
        <f>IF($A77="","",IFERROR(ROUND($B77*$G77-($D77+$E77)*$F77-$B77*$F77*$I77+$B77*($G77-$F77),0),0))</f>
        <v/>
      </c>
    </row>
    <row r="78">
      <c r="L78" s="24">
        <f>IF($A78="","",IFERROR(ROUND($B78*$G78-($D78+$E78)*$F78-$B78*$F78*$I78+$B78*($G78-$F78),0),0))</f>
        <v/>
      </c>
    </row>
    <row r="79">
      <c r="L79" s="24">
        <f>IF($A79="","",IFERROR(ROUND($B79*$G79-($D79+$E79)*$F79-$B79*$F79*$I79+$B79*($G79-$F79),0),0))</f>
        <v/>
      </c>
    </row>
    <row r="80">
      <c r="L80" s="24">
        <f>IF($A80="","",IFERROR(ROUND($B80*$G80-($D80+$E80)*$F80-$B80*$F80*$I80+$B80*($G80-$F80),0),0))</f>
        <v/>
      </c>
    </row>
    <row r="81">
      <c r="L81" s="24">
        <f>IF($A81="","",IFERROR(ROUND($B81*$G81-($D81+$E81)*$F81-$B81*$F81*$I81+$B81*($G81-$F81),0),0))</f>
        <v/>
      </c>
    </row>
    <row r="82">
      <c r="L82" s="24">
        <f>IF($A82="","",IFERROR(ROUND($B82*$G82-($D82+$E82)*$F82-$B82*$F82*$I82+$B82*($G82-$F82),0),0))</f>
        <v/>
      </c>
    </row>
    <row r="83">
      <c r="L83" s="24">
        <f>IF($A83="","",IFERROR(ROUND($B83*$G83-($D83+$E83)*$F83-$B83*$F83*$I83+$B83*($G83-$F83),0),0))</f>
        <v/>
      </c>
    </row>
    <row r="84">
      <c r="L84" s="24">
        <f>IF($A84="","",IFERROR(ROUND($B84*$G84-($D84+$E84)*$F84-$B84*$F84*$I84+$B84*($G84-$F84),0),0))</f>
        <v/>
      </c>
    </row>
    <row r="85">
      <c r="L85" s="24">
        <f>IF($A85="","",IFERROR(ROUND($B85*$G85-($D85+$E85)*$F85-$B85*$F85*$I85+$B85*($G85-$F85),0),0))</f>
        <v/>
      </c>
    </row>
    <row r="86">
      <c r="L86" s="24">
        <f>IF($A86="","",IFERROR(ROUND($B86*$G86-($D86+$E86)*$F86-$B86*$F86*$I86+$B86*($G86-$F86),0),0))</f>
        <v/>
      </c>
    </row>
    <row r="87">
      <c r="L87" s="24">
        <f>IF($A87="","",IFERROR(ROUND($B87*$G87-($D87+$E87)*$F87-$B87*$F87*$I87+$B87*($G87-$F87),0),0))</f>
        <v/>
      </c>
    </row>
    <row r="88">
      <c r="L88" s="24">
        <f>IF($A88="","",IFERROR(ROUND($B88*$G88-($D88+$E88)*$F88-$B88*$F88*$I88+$B88*($G88-$F88),0),0))</f>
        <v/>
      </c>
    </row>
    <row r="89">
      <c r="L89" s="24">
        <f>IF($A89="","",IFERROR(ROUND($B89*$G89-($D89+$E89)*$F89-$B89*$F89*$I89+$B89*($G89-$F89),0),0))</f>
        <v/>
      </c>
    </row>
    <row r="90">
      <c r="L90" s="24">
        <f>IF($A90="","",IFERROR(ROUND($B90*$G90-($D90+$E90)*$F90-$B90*$F90*$I90+$B90*($G90-$F90),0),0))</f>
        <v/>
      </c>
    </row>
    <row r="91">
      <c r="L91" s="24">
        <f>IF($A91="","",IFERROR(ROUND($B91*$G91-($D91+$E91)*$F91-$B91*$F91*$I91+$B91*($G91-$F91),0),0))</f>
        <v/>
      </c>
    </row>
    <row r="92">
      <c r="L92" s="24">
        <f>IF($A92="","",IFERROR(ROUND($B92*$G92-($D92+$E92)*$F92-$B92*$F92*$I92+$B92*($G92-$F92),0),0))</f>
        <v/>
      </c>
    </row>
    <row r="93">
      <c r="L93" s="24">
        <f>IF($A93="","",IFERROR(ROUND($B93*$G93-($D93+$E93)*$F93-$B93*$F93*$I93+$B93*($G93-$F93),0),0))</f>
        <v/>
      </c>
    </row>
    <row r="94">
      <c r="L94" s="24">
        <f>IF($A94="","",IFERROR(ROUND($B94*$G94-($D94+$E94)*$F94-$B94*$F94*$I94+$B94*($G94-$F94),0),0))</f>
        <v/>
      </c>
    </row>
    <row r="95">
      <c r="L95" s="24">
        <f>IF($A95="","",IFERROR(ROUND($B95*$G95-($D95+$E95)*$F95-$B95*$F95*$I95+$B95*($G95-$F95),0),0))</f>
        <v/>
      </c>
    </row>
    <row r="96">
      <c r="L96" s="24">
        <f>IF($A96="","",IFERROR(ROUND($B96*$G96-($D96+$E96)*$F96-$B96*$F96*$I96+$B96*($G96-$F96),0),0))</f>
        <v/>
      </c>
    </row>
    <row r="97">
      <c r="L97" s="24">
        <f>IF($A97="","",IFERROR(ROUND($B97*$G97-($D97+$E97)*$F97-$B97*$F97*$I97+$B97*($G97-$F97),0),0))</f>
        <v/>
      </c>
    </row>
    <row r="98">
      <c r="L98" s="24">
        <f>IF($A98="","",IFERROR(ROUND($B98*$G98-($D98+$E98)*$F98-$B98*$F98*$I98+$B98*($G98-$F98),0),0))</f>
        <v/>
      </c>
    </row>
    <row r="99">
      <c r="L99" s="24">
        <f>IF($A99="","",IFERROR(ROUND($B99*$G99-($D99+$E99)*$F99-$B99*$F99*$I99+$B99*($G99-$F99),0),0))</f>
        <v/>
      </c>
    </row>
    <row r="100">
      <c r="L100" s="24">
        <f>IF($A100="","",IFERROR(ROUND($B100*$G100-($D100+$E100)*$F100-$B100*$F100*$I100+$B100*($G100-$F100),0),0))</f>
        <v/>
      </c>
    </row>
    <row r="101">
      <c r="L101" s="24">
        <f>IF($A101="","",IFERROR(ROUND($B101*$G101-($D101+$E101)*$F101-$B101*$F101*$I101+$B101*($G101-$F101),0),0))</f>
        <v/>
      </c>
    </row>
    <row r="102">
      <c r="L102" s="24">
        <f>IF($A102="","",IFERROR(ROUND($B102*$G102-($D102+$E102)*$F102-$B102*$F102*$I102+$B102*($G102-$F102),0),0))</f>
        <v/>
      </c>
    </row>
    <row r="103">
      <c r="L103" s="24">
        <f>IF($A103="","",IFERROR(ROUND($B103*$G103-($D103+$E103)*$F103-$B103*$F103*$I103+$B103*($G103-$F103),0),0))</f>
        <v/>
      </c>
    </row>
    <row r="104">
      <c r="L104" s="24">
        <f>IF($A104="","",IFERROR(ROUND($B104*$G104-($D104+$E104)*$F104-$B104*$F104*$I104+$B104*($G104-$F104),0),0))</f>
        <v/>
      </c>
    </row>
    <row r="105">
      <c r="L105" s="24">
        <f>IF($A105="","",IFERROR(ROUND($B105*$G105-($D105+$E105)*$F105-$B105*$F105*$I105+$B105*($G105-$F105),0),0))</f>
        <v/>
      </c>
    </row>
    <row r="106">
      <c r="L106" s="24">
        <f>IF($A106="","",IFERROR(ROUND($B106*$G106-($D106+$E106)*$F106-$B106*$F106*$I106+$B106*($G106-$F106),0),0))</f>
        <v/>
      </c>
    </row>
    <row r="107">
      <c r="L107" s="24">
        <f>IF($A107="","",IFERROR(ROUND($B107*$G107-($D107+$E107)*$F107-$B107*$F107*$I107+$B107*($G107-$F107),0),0))</f>
        <v/>
      </c>
    </row>
    <row r="108">
      <c r="L108" s="24">
        <f>IF($A108="","",IFERROR(ROUND($B108*$G108-($D108+$E108)*$F108-$B108*$F108*$I108+$B108*($G108-$F108),0),0))</f>
        <v/>
      </c>
    </row>
    <row r="109">
      <c r="L109" s="24">
        <f>IF($A109="","",IFERROR(ROUND($B109*$G109-($D109+$E109)*$F109-$B109*$F109*$I109+$B109*($G109-$F109),0),0))</f>
        <v/>
      </c>
    </row>
    <row r="110">
      <c r="L110" s="24">
        <f>IF($A110="","",IFERROR(ROUND($B110*$G110-($D110+$E110)*$F110-$B110*$F110*$I110+$B110*($G110-$F110),0),0))</f>
        <v/>
      </c>
    </row>
    <row r="111">
      <c r="L111" s="24">
        <f>IF($A111="","",IFERROR(ROUND($B111*$G111-($D111+$E111)*$F111-$B111*$F111*$I111+$B111*($G111-$F111),0),0))</f>
        <v/>
      </c>
    </row>
    <row r="112">
      <c r="L112" s="24">
        <f>IF($A112="","",IFERROR(ROUND($B112*$G112-($D112+$E112)*$F112-$B112*$F112*$I112+$B112*($G112-$F112),0),0))</f>
        <v/>
      </c>
    </row>
    <row r="113">
      <c r="L113" s="24">
        <f>IF($A113="","",IFERROR(ROUND($B113*$G113-($D113+$E113)*$F113-$B113*$F113*$I113+$B113*($G113-$F113),0),0))</f>
        <v/>
      </c>
    </row>
    <row r="114">
      <c r="L114" s="24">
        <f>IF($A114="","",IFERROR(ROUND($B114*$G114-($D114+$E114)*$F114-$B114*$F114*$I114+$B114*($G114-$F114),0),0))</f>
        <v/>
      </c>
    </row>
    <row r="115">
      <c r="L115" s="24">
        <f>IF($A115="","",IFERROR(ROUND($B115*$G115-($D115+$E115)*$F115-$B115*$F115*$I115+$B115*($G115-$F115),0),0))</f>
        <v/>
      </c>
    </row>
    <row r="116">
      <c r="L116" s="24">
        <f>IF($A116="","",IFERROR(ROUND($B116*$G116-($D116+$E116)*$F116-$B116*$F116*$I116+$B116*($G116-$F116),0),0))</f>
        <v/>
      </c>
    </row>
    <row r="117">
      <c r="L117" s="24">
        <f>IF($A117="","",IFERROR(ROUND($B117*$G117-($D117+$E117)*$F117-$B117*$F117*$I117+$B117*($G117-$F117),0),0))</f>
        <v/>
      </c>
    </row>
    <row r="118">
      <c r="L118" s="24">
        <f>IF($A118="","",IFERROR(ROUND($B118*$G118-($D118+$E118)*$F118-$B118*$F118*$I118+$B118*($G118-$F118),0),0))</f>
        <v/>
      </c>
    </row>
    <row r="119">
      <c r="L119" s="24">
        <f>IF($A119="","",IFERROR(ROUND($B119*$G119-($D119+$E119)*$F119-$B119*$F119*$I119+$B119*($G119-$F119),0),0))</f>
        <v/>
      </c>
    </row>
    <row r="120">
      <c r="L120" s="24">
        <f>IF($A120="","",IFERROR(ROUND($B120*$G120-($D120+$E120)*$F120-$B120*$F120*$I120+$B120*($G120-$F120),0),0))</f>
        <v/>
      </c>
    </row>
    <row r="121">
      <c r="L121" s="24">
        <f>IF($A121="","",IFERROR(ROUND($B121*$G121-($D121+$E121)*$F121-$B121*$F121*$I121+$B121*($G121-$F121),0),0))</f>
        <v/>
      </c>
    </row>
    <row r="122">
      <c r="L122" s="24">
        <f>IF($A122="","",IFERROR(ROUND($B122*$G122-($D122+$E122)*$F122-$B122*$F122*$I122+$B122*($G122-$F122),0),0))</f>
        <v/>
      </c>
    </row>
    <row r="123">
      <c r="L123" s="24">
        <f>IF($A123="","",IFERROR(ROUND($B123*$G123-($D123+$E123)*$F123-$B123*$F123*$I123+$B123*($G123-$F123),0),0))</f>
        <v/>
      </c>
    </row>
    <row r="124">
      <c r="L124" s="24">
        <f>IF($A124="","",IFERROR(ROUND($B124*$G124-($D124+$E124)*$F124-$B124*$F124*$I124+$B124*($G124-$F124),0),0))</f>
        <v/>
      </c>
    </row>
    <row r="125">
      <c r="L125" s="24">
        <f>IF($A125="","",IFERROR(ROUND($B125*$G125-($D125+$E125)*$F125-$B125*$F125*$I125+$B125*($G125-$F125),0),0))</f>
        <v/>
      </c>
    </row>
    <row r="126">
      <c r="L126" s="24">
        <f>IF($A126="","",IFERROR(ROUND($B126*$G126-($D126+$E126)*$F126-$B126*$F126*$I126+$B126*($G126-$F126),0),0))</f>
        <v/>
      </c>
    </row>
    <row r="127">
      <c r="L127" s="24">
        <f>IF($A127="","",IFERROR(ROUND($B127*$G127-($D127+$E127)*$F127-$B127*$F127*$I127+$B127*($G127-$F127),0),0))</f>
        <v/>
      </c>
    </row>
    <row r="128">
      <c r="L128" s="24">
        <f>IF($A128="","",IFERROR(ROUND($B128*$G128-($D128+$E128)*$F128-$B128*$F128*$I128+$B128*($G128-$F128),0),0))</f>
        <v/>
      </c>
    </row>
    <row r="129">
      <c r="L129" s="24">
        <f>IF($A129="","",IFERROR(ROUND($B129*$G129-($D129+$E129)*$F129-$B129*$F129*$I129+$B129*($G129-$F129),0),0))</f>
        <v/>
      </c>
    </row>
    <row r="130">
      <c r="L130" s="24">
        <f>IF($A130="","",IFERROR(ROUND($B130*$G130-($D130+$E130)*$F130-$B130*$F130*$I130+$B130*($G130-$F130),0),0))</f>
        <v/>
      </c>
    </row>
    <row r="131">
      <c r="L131" s="24">
        <f>IF($A131="","",IFERROR(ROUND($B131*$G131-($D131+$E131)*$F131-$B131*$F131*$I131+$B131*($G131-$F131),0),0))</f>
        <v/>
      </c>
    </row>
    <row r="132">
      <c r="L132" s="24">
        <f>IF($A132="","",IFERROR(ROUND($B132*$G132-($D132+$E132)*$F132-$B132*$F132*$I132+$B132*($G132-$F132),0),0))</f>
        <v/>
      </c>
    </row>
    <row r="133">
      <c r="L133" s="24">
        <f>IF($A133="","",IFERROR(ROUND($B133*$G133-($D133+$E133)*$F133-$B133*$F133*$I133+$B133*($G133-$F133),0),0))</f>
        <v/>
      </c>
    </row>
    <row r="134">
      <c r="L134" s="24">
        <f>IF($A134="","",IFERROR(ROUND($B134*$G134-($D134+$E134)*$F134-$B134*$F134*$I134+$B134*($G134-$F134),0),0))</f>
        <v/>
      </c>
    </row>
    <row r="135">
      <c r="L135" s="24">
        <f>IF($A135="","",IFERROR(ROUND($B135*$G135-($D135+$E135)*$F135-$B135*$F135*$I135+$B135*($G135-$F135),0),0))</f>
        <v/>
      </c>
    </row>
    <row r="136">
      <c r="L136" s="24">
        <f>IF($A136="","",IFERROR(ROUND($B136*$G136-($D136+$E136)*$F136-$B136*$F136*$I136+$B136*($G136-$F136),0),0))</f>
        <v/>
      </c>
    </row>
    <row r="137">
      <c r="L137" s="24">
        <f>IF($A137="","",IFERROR(ROUND($B137*$G137-($D137+$E137)*$F137-$B137*$F137*$I137+$B137*($G137-$F137),0),0))</f>
        <v/>
      </c>
    </row>
    <row r="138">
      <c r="L138" s="24">
        <f>IF($A138="","",IFERROR(ROUND($B138*$G138-($D138+$E138)*$F138-$B138*$F138*$I138+$B138*($G138-$F138),0),0))</f>
        <v/>
      </c>
    </row>
    <row r="139">
      <c r="L139" s="24">
        <f>IF($A139="","",IFERROR(ROUND($B139*$G139-($D139+$E139)*$F139-$B139*$F139*$I139+$B139*($G139-$F139),0),0))</f>
        <v/>
      </c>
    </row>
    <row r="140">
      <c r="L140" s="24">
        <f>IF($A140="","",IFERROR(ROUND($B140*$G140-($D140+$E140)*$F140-$B140*$F140*$I140+$B140*($G140-$F140),0),0))</f>
        <v/>
      </c>
    </row>
    <row r="141">
      <c r="L141" s="24">
        <f>IF($A141="","",IFERROR(ROUND($B141*$G141-($D141+$E141)*$F141-$B141*$F141*$I141+$B141*($G141-$F141),0),0))</f>
        <v/>
      </c>
    </row>
    <row r="142">
      <c r="L142" s="24">
        <f>IF($A142="","",IFERROR(ROUND($B142*$G142-($D142+$E142)*$F142-$B142*$F142*$I142+$B142*($G142-$F142),0),0))</f>
        <v/>
      </c>
    </row>
    <row r="143">
      <c r="L143" s="24">
        <f>IF($A143="","",IFERROR(ROUND($B143*$G143-($D143+$E143)*$F143-$B143*$F143*$I143+$B143*($G143-$F143),0),0))</f>
        <v/>
      </c>
    </row>
    <row r="144">
      <c r="L144" s="24">
        <f>IF($A144="","",IFERROR(ROUND($B144*$G144-($D144+$E144)*$F144-$B144*$F144*$I144+$B144*($G144-$F144),0),0))</f>
        <v/>
      </c>
    </row>
    <row r="145">
      <c r="L145" s="24">
        <f>IF($A145="","",IFERROR(ROUND($B145*$G145-($D145+$E145)*$F145-$B145*$F145*$I145+$B145*($G145-$F145),0),0))</f>
        <v/>
      </c>
    </row>
    <row r="146">
      <c r="L146" s="24">
        <f>IF($A146="","",IFERROR(ROUND($B146*$G146-($D146+$E146)*$F146-$B146*$F146*$I146+$B146*($G146-$F146),0),0))</f>
        <v/>
      </c>
    </row>
    <row r="147">
      <c r="L147" s="24">
        <f>IF($A147="","",IFERROR(ROUND($B147*$G147-($D147+$E147)*$F147-$B147*$F147*$I147+$B147*($G147-$F147),0),0))</f>
        <v/>
      </c>
    </row>
    <row r="148">
      <c r="L148" s="24">
        <f>IF($A148="","",IFERROR(ROUND($B148*$G148-($D148+$E148)*$F148-$B148*$F148*$I148+$B148*($G148-$F148),0),0))</f>
        <v/>
      </c>
    </row>
    <row r="149">
      <c r="L149" s="24">
        <f>IF($A149="","",IFERROR(ROUND($B149*$G149-($D149+$E149)*$F149-$B149*$F149*$I149+$B149*($G149-$F149),0),0))</f>
        <v/>
      </c>
    </row>
    <row r="150">
      <c r="L150" s="24">
        <f>IF($A150="","",IFERROR(ROUND($B150*$G150-($D150+$E150)*$F150-$B150*$F150*$I150+$B150*($G150-$F150),0),0))</f>
        <v/>
      </c>
    </row>
    <row r="151">
      <c r="L151" s="24">
        <f>IF($A151="","",IFERROR(ROUND($B151*$G151-($D151+$E151)*$F151-$B151*$F151*$I151+$B151*($G151-$F151),0),0))</f>
        <v/>
      </c>
    </row>
    <row r="152">
      <c r="L152" s="24">
        <f>IF($A152="","",IFERROR(ROUND($B152*$G152-($D152+$E152)*$F152-$B152*$F152*$I152+$B152*($G152-$F152),0),0))</f>
        <v/>
      </c>
    </row>
    <row r="153">
      <c r="L153" s="24">
        <f>IF($A153="","",IFERROR(ROUND($B153*$G153-($D153+$E153)*$F153-$B153*$F153*$I153+$B153*($G153-$F153),0),0))</f>
        <v/>
      </c>
    </row>
    <row r="154">
      <c r="L154" s="24">
        <f>IF($A154="","",IFERROR(ROUND($B154*$G154-($D154+$E154)*$F154-$B154*$F154*$I154+$B154*($G154-$F154),0),0))</f>
        <v/>
      </c>
    </row>
    <row r="155">
      <c r="L155" s="24">
        <f>IF($A155="","",IFERROR(ROUND($B155*$G155-($D155+$E155)*$F155-$B155*$F155*$I155+$B155*($G155-$F155),0),0))</f>
        <v/>
      </c>
    </row>
    <row r="156">
      <c r="L156" s="24">
        <f>IF($A156="","",IFERROR(ROUND($B156*$G156-($D156+$E156)*$F156-$B156*$F156*$I156+$B156*($G156-$F156),0),0))</f>
        <v/>
      </c>
    </row>
    <row r="157">
      <c r="L157" s="24">
        <f>IF($A157="","",IFERROR(ROUND($B157*$G157-($D157+$E157)*$F157-$B157*$F157*$I157+$B157*($G157-$F157),0),0))</f>
        <v/>
      </c>
    </row>
    <row r="158">
      <c r="L158" s="24">
        <f>IF($A158="","",IFERROR(ROUND($B158*$G158-($D158+$E158)*$F158-$B158*$F158*$I158+$B158*($G158-$F158),0),0))</f>
        <v/>
      </c>
    </row>
    <row r="159">
      <c r="L159" s="24">
        <f>IF($A159="","",IFERROR(ROUND($B159*$G159-($D159+$E159)*$F159-$B159*$F159*$I159+$B159*($G159-$F159),0),0))</f>
        <v/>
      </c>
    </row>
    <row r="160">
      <c r="L160" s="24">
        <f>IF($A160="","",IFERROR(ROUND($B160*$G160-($D160+$E160)*$F160-$B160*$F160*$I160+$B160*($G160-$F160),0),0))</f>
        <v/>
      </c>
    </row>
    <row r="161">
      <c r="L161" s="24">
        <f>IF($A161="","",IFERROR(ROUND($B161*$G161-($D161+$E161)*$F161-$B161*$F161*$I161+$B161*($G161-$F161),0),0))</f>
        <v/>
      </c>
    </row>
    <row r="162">
      <c r="L162" s="24">
        <f>IF($A162="","",IFERROR(ROUND($B162*$G162-($D162+$E162)*$F162-$B162*$F162*$I162+$B162*($G162-$F162),0),0))</f>
        <v/>
      </c>
    </row>
    <row r="163">
      <c r="L163" s="24">
        <f>IF($A163="","",IFERROR(ROUND($B163*$G163-($D163+$E163)*$F163-$B163*$F163*$I163+$B163*($G163-$F163),0),0))</f>
        <v/>
      </c>
    </row>
    <row r="164">
      <c r="L164" s="24">
        <f>IF($A164="","",IFERROR(ROUND($B164*$G164-($D164+$E164)*$F164-$B164*$F164*$I164+$B164*($G164-$F164),0),0))</f>
        <v/>
      </c>
    </row>
    <row r="165">
      <c r="L165" s="24">
        <f>IF($A165="","",IFERROR(ROUND($B165*$G165-($D165+$E165)*$F165-$B165*$F165*$I165+$B165*($G165-$F165),0),0))</f>
        <v/>
      </c>
    </row>
    <row r="166">
      <c r="L166" s="24">
        <f>IF($A166="","",IFERROR(ROUND($B166*$G166-($D166+$E166)*$F166-$B166*$F166*$I166+$B166*($G166-$F166),0),0))</f>
        <v/>
      </c>
    </row>
    <row r="167">
      <c r="L167" s="24">
        <f>IF($A167="","",IFERROR(ROUND($B167*$G167-($D167+$E167)*$F167-$B167*$F167*$I167+$B167*($G167-$F167),0),0))</f>
        <v/>
      </c>
    </row>
    <row r="168">
      <c r="L168" s="24">
        <f>IF($A168="","",IFERROR(ROUND($B168*$G168-($D168+$E168)*$F168-$B168*$F168*$I168+$B168*($G168-$F168),0),0))</f>
        <v/>
      </c>
    </row>
    <row r="169">
      <c r="L169" s="24">
        <f>IF($A169="","",IFERROR(ROUND($B169*$G169-($D169+$E169)*$F169-$B169*$F169*$I169+$B169*($G169-$F169),0),0))</f>
        <v/>
      </c>
    </row>
    <row r="170">
      <c r="L170" s="24">
        <f>IF($A170="","",IFERROR(ROUND($B170*$G170-($D170+$E170)*$F170-$B170*$F170*$I170+$B170*($G170-$F170),0),0))</f>
        <v/>
      </c>
    </row>
    <row r="171">
      <c r="L171" s="24">
        <f>IF($A171="","",IFERROR(ROUND($B171*$G171-($D171+$E171)*$F171-$B171*$F171*$I171+$B171*($G171-$F171),0),0))</f>
        <v/>
      </c>
    </row>
    <row r="172">
      <c r="L172" s="24">
        <f>IF($A172="","",IFERROR(ROUND($B172*$G172-($D172+$E172)*$F172-$B172*$F172*$I172+$B172*($G172-$F172),0),0))</f>
        <v/>
      </c>
    </row>
    <row r="173">
      <c r="L173" s="24">
        <f>IF($A173="","",IFERROR(ROUND($B173*$G173-($D173+$E173)*$F173-$B173*$F173*$I173+$B173*($G173-$F173),0),0))</f>
        <v/>
      </c>
    </row>
    <row r="174">
      <c r="L174" s="24">
        <f>IF($A174="","",IFERROR(ROUND($B174*$G174-($D174+$E174)*$F174-$B174*$F174*$I174+$B174*($G174-$F174),0),0))</f>
        <v/>
      </c>
    </row>
    <row r="175">
      <c r="L175" s="24">
        <f>IF($A175="","",IFERROR(ROUND($B175*$G175-($D175+$E175)*$F175-$B175*$F175*$I175+$B175*($G175-$F175),0),0))</f>
        <v/>
      </c>
    </row>
    <row r="176">
      <c r="L176" s="24">
        <f>IF($A176="","",IFERROR(ROUND($B176*$G176-($D176+$E176)*$F176-$B176*$F176*$I176+$B176*($G176-$F176),0),0))</f>
        <v/>
      </c>
    </row>
    <row r="177">
      <c r="L177" s="24">
        <f>IF($A177="","",IFERROR(ROUND($B177*$G177-($D177+$E177)*$F177-$B177*$F177*$I177+$B177*($G177-$F177),0),0))</f>
        <v/>
      </c>
    </row>
    <row r="178">
      <c r="L178" s="24">
        <f>IF($A178="","",IFERROR(ROUND($B178*$G178-($D178+$E178)*$F178-$B178*$F178*$I178+$B178*($G178-$F178),0),0))</f>
        <v/>
      </c>
    </row>
    <row r="179">
      <c r="L179" s="24">
        <f>IF($A179="","",IFERROR(ROUND($B179*$G179-($D179+$E179)*$F179-$B179*$F179*$I179+$B179*($G179-$F179),0),0))</f>
        <v/>
      </c>
    </row>
    <row r="180">
      <c r="L180" s="24">
        <f>IF($A180="","",IFERROR(ROUND($B180*$G180-($D180+$E180)*$F180-$B180*$F180*$I180+$B180*($G180-$F180),0),0))</f>
        <v/>
      </c>
    </row>
    <row r="181">
      <c r="L181" s="24">
        <f>IF($A181="","",IFERROR(ROUND($B181*$G181-($D181+$E181)*$F181-$B181*$F181*$I181+$B181*($G181-$F181),0),0))</f>
        <v/>
      </c>
    </row>
    <row r="182">
      <c r="L182" s="24">
        <f>IF($A182="","",IFERROR(ROUND($B182*$G182-($D182+$E182)*$F182-$B182*$F182*$I182+$B182*($G182-$F182),0),0))</f>
        <v/>
      </c>
    </row>
    <row r="183">
      <c r="L183" s="24">
        <f>IF($A183="","",IFERROR(ROUND($B183*$G183-($D183+$E183)*$F183-$B183*$F183*$I183+$B183*($G183-$F183),0),0))</f>
        <v/>
      </c>
    </row>
    <row r="184">
      <c r="L184" s="24">
        <f>IF($A184="","",IFERROR(ROUND($B184*$G184-($D184+$E184)*$F184-$B184*$F184*$I184+$B184*($G184-$F184),0),0))</f>
        <v/>
      </c>
    </row>
    <row r="185">
      <c r="L185" s="24">
        <f>IF($A185="","",IFERROR(ROUND($B185*$G185-($D185+$E185)*$F185-$B185*$F185*$I185+$B185*($G185-$F185),0),0))</f>
        <v/>
      </c>
    </row>
    <row r="186">
      <c r="L186" s="24">
        <f>IF($A186="","",IFERROR(ROUND($B186*$G186-($D186+$E186)*$F186-$B186*$F186*$I186+$B186*($G186-$F186),0),0))</f>
        <v/>
      </c>
    </row>
    <row r="187">
      <c r="L187" s="24">
        <f>IF($A187="","",IFERROR(ROUND($B187*$G187-($D187+$E187)*$F187-$B187*$F187*$I187+$B187*($G187-$F187),0),0))</f>
        <v/>
      </c>
    </row>
    <row r="188">
      <c r="L188" s="24">
        <f>IF($A188="","",IFERROR(ROUND($B188*$G188-($D188+$E188)*$F188-$B188*$F188*$I188+$B188*($G188-$F188),0),0))</f>
        <v/>
      </c>
    </row>
    <row r="189">
      <c r="L189" s="24">
        <f>IF($A189="","",IFERROR(ROUND($B189*$G189-($D189+$E189)*$F189-$B189*$F189*$I189+$B189*($G189-$F189),0),0))</f>
        <v/>
      </c>
    </row>
    <row r="190">
      <c r="L190" s="24">
        <f>IF($A190="","",IFERROR(ROUND($B190*$G190-($D190+$E190)*$F190-$B190*$F190*$I190+$B190*($G190-$F190),0),0))</f>
        <v/>
      </c>
    </row>
    <row r="191">
      <c r="L191" s="24">
        <f>IF($A191="","",IFERROR(ROUND($B191*$G191-($D191+$E191)*$F191-$B191*$F191*$I191+$B191*($G191-$F191),0),0))</f>
        <v/>
      </c>
    </row>
    <row r="192">
      <c r="L192" s="24">
        <f>IF($A192="","",IFERROR(ROUND($B192*$G192-($D192+$E192)*$F192-$B192*$F192*$I192+$B192*($G192-$F192),0),0))</f>
        <v/>
      </c>
    </row>
    <row r="193">
      <c r="L193" s="24">
        <f>IF($A193="","",IFERROR(ROUND($B193*$G193-($D193+$E193)*$F193-$B193*$F193*$I193+$B193*($G193-$F193),0),0))</f>
        <v/>
      </c>
    </row>
    <row r="194">
      <c r="L194" s="24">
        <f>IF($A194="","",IFERROR(ROUND($B194*$G194-($D194+$E194)*$F194-$B194*$F194*$I194+$B194*($G194-$F194),0),0))</f>
        <v/>
      </c>
    </row>
    <row r="195">
      <c r="L195" s="24">
        <f>IF($A195="","",IFERROR(ROUND($B195*$G195-($D195+$E195)*$F195-$B195*$F195*$I195+$B195*($G195-$F195),0),0))</f>
        <v/>
      </c>
    </row>
    <row r="196">
      <c r="L196" s="24">
        <f>IF($A196="","",IFERROR(ROUND($B196*$G196-($D196+$E196)*$F196-$B196*$F196*$I196+$B196*($G196-$F196),0),0))</f>
        <v/>
      </c>
    </row>
    <row r="197">
      <c r="L197" s="24">
        <f>IF($A197="","",IFERROR(ROUND($B197*$G197-($D197+$E197)*$F197-$B197*$F197*$I197+$B197*($G197-$F197),0),0))</f>
        <v/>
      </c>
    </row>
    <row r="198">
      <c r="L198" s="24">
        <f>IF($A198="","",IFERROR(ROUND($B198*$G198-($D198+$E198)*$F198-$B198*$F198*$I198+$B198*($G198-$F198),0),0))</f>
        <v/>
      </c>
    </row>
    <row r="199">
      <c r="L199" s="24">
        <f>IF($A199="","",IFERROR(ROUND($B199*$G199-($D199+$E199)*$F199-$B199*$F199*$I199+$B199*($G199-$F199),0),0))</f>
        <v/>
      </c>
    </row>
    <row r="200">
      <c r="L200" s="24">
        <f>IF($A200="","",IFERROR(ROUND($B200*$G200-($D200+$E200)*$F200-$B200*$F200*$I200+$B200*($G200-$F200),0),0))</f>
        <v/>
      </c>
    </row>
    <row r="201">
      <c r="L201" s="24">
        <f>IF($A201="","",IFERROR(ROUND($B201*$G201-($D201+$E201)*$F201-$B201*$F201*$I201+$B201*($G201-$F201),0),0))</f>
        <v/>
      </c>
    </row>
    <row r="202">
      <c r="L202" s="24">
        <f>IF($A202="","",IFERROR(ROUND($B202*$G202-($D202+$E202)*$F202-$B202*$F202*$I202+$B202*($G202-$F202),0),0))</f>
        <v/>
      </c>
    </row>
    <row r="203">
      <c r="L203" s="24">
        <f>IF($A203="","",IFERROR(ROUND($B203*$G203-($D203+$E203)*$F203-$B203*$F203*$I203+$B203*($G203-$F203),0),0))</f>
        <v/>
      </c>
    </row>
    <row r="204">
      <c r="L204" s="24">
        <f>IF($A204="","",IFERROR(ROUND($B204*$G204-($D204+$E204)*$F204-$B204*$F204*$I204+$B204*($G204-$F204),0),0))</f>
        <v/>
      </c>
    </row>
    <row r="205">
      <c r="L205" s="24">
        <f>IF($A205="","",IFERROR(ROUND($B205*$G205-($D205+$E205)*$F205-$B205*$F205*$I205+$B205*($G205-$F205),0),0))</f>
        <v/>
      </c>
    </row>
    <row r="206">
      <c r="L206" s="24">
        <f>IF($A206="","",IFERROR(ROUND($B206*$G206-($D206+$E206)*$F206-$B206*$F206*$I206+$B206*($G206-$F206),0),0))</f>
        <v/>
      </c>
    </row>
    <row r="207">
      <c r="L207" s="24">
        <f>IF($A207="","",IFERROR(ROUND($B207*$G207-($D207+$E207)*$F207-$B207*$F207*$I207+$B207*($G207-$F207),0),0))</f>
        <v/>
      </c>
    </row>
    <row r="208">
      <c r="L208" s="24">
        <f>IF($A208="","",IFERROR(ROUND($B208*$G208-($D208+$E208)*$F208-$B208*$F208*$I208+$B208*($G208-$F208),0),0))</f>
        <v/>
      </c>
    </row>
    <row r="209">
      <c r="L209" s="24">
        <f>IF($A209="","",IFERROR(ROUND($B209*$G209-($D209+$E209)*$F209-$B209*$F209*$I209+$B209*($G209-$F209),0),0))</f>
        <v/>
      </c>
    </row>
    <row r="210">
      <c r="L210" s="24">
        <f>IF($A210="","",IFERROR(ROUND($B210*$G210-($D210+$E210)*$F210-$B210*$F210*$I210+$B210*($G210-$F210),0),0))</f>
        <v/>
      </c>
    </row>
    <row r="211">
      <c r="L211" s="24">
        <f>IF($A211="","",IFERROR(ROUND($B211*$G211-($D211+$E211)*$F211-$B211*$F211*$I211+$B211*($G211-$F211),0),0))</f>
        <v/>
      </c>
    </row>
    <row r="212">
      <c r="L212" s="24">
        <f>IF($A212="","",IFERROR(ROUND($B212*$G212-($D212+$E212)*$F212-$B212*$F212*$I212+$B212*($G212-$F212),0),0))</f>
        <v/>
      </c>
    </row>
    <row r="213">
      <c r="L213" s="24">
        <f>IF($A213="","",IFERROR(ROUND($B213*$G213-($D213+$E213)*$F213-$B213*$F213*$I213+$B213*($G213-$F213),0),0))</f>
        <v/>
      </c>
    </row>
    <row r="214">
      <c r="L214" s="24">
        <f>IF($A214="","",IFERROR(ROUND($B214*$G214-($D214+$E214)*$F214-$B214*$F214*$I214+$B214*($G214-$F214),0),0))</f>
        <v/>
      </c>
    </row>
    <row r="215">
      <c r="L215" s="24">
        <f>IF($A215="","",IFERROR(ROUND($B215*$G215-($D215+$E215)*$F215-$B215*$F215*$I215+$B215*($G215-$F215),0),0))</f>
        <v/>
      </c>
    </row>
    <row r="216">
      <c r="L216" s="24">
        <f>IF($A216="","",IFERROR(ROUND($B216*$G216-($D216+$E216)*$F216-$B216*$F216*$I216+$B216*($G216-$F216),0),0))</f>
        <v/>
      </c>
    </row>
    <row r="217">
      <c r="L217" s="24">
        <f>IF($A217="","",IFERROR(ROUND($B217*$G217-($D217+$E217)*$F217-$B217*$F217*$I217+$B217*($G217-$F217),0),0))</f>
        <v/>
      </c>
    </row>
    <row r="218">
      <c r="L218" s="24">
        <f>IF($A218="","",IFERROR(ROUND($B218*$G218-($D218+$E218)*$F218-$B218*$F218*$I218+$B218*($G218-$F218),0),0))</f>
        <v/>
      </c>
    </row>
    <row r="219">
      <c r="L219" s="24">
        <f>IF($A219="","",IFERROR(ROUND($B219*$G219-($D219+$E219)*$F219-$B219*$F219*$I219+$B219*($G219-$F219),0),0))</f>
        <v/>
      </c>
    </row>
    <row r="220">
      <c r="L220" s="24">
        <f>IF($A220="","",IFERROR(ROUND($B220*$G220-($D220+$E220)*$F220-$B220*$F220*$I220+$B220*($G220-$F220),0),0))</f>
        <v/>
      </c>
    </row>
    <row r="221">
      <c r="L221" s="24">
        <f>IF($A221="","",IFERROR(ROUND($B221*$G221-($D221+$E221)*$F221-$B221*$F221*$I221+$B221*($G221-$F221),0),0))</f>
        <v/>
      </c>
    </row>
    <row r="222">
      <c r="L222" s="24">
        <f>IF($A222="","",IFERROR(ROUND($B222*$G222-($D222+$E222)*$F222-$B222*$F222*$I222+$B222*($G222-$F222),0),0))</f>
        <v/>
      </c>
    </row>
    <row r="223">
      <c r="L223" s="24">
        <f>IF($A223="","",IFERROR(ROUND($B223*$G223-($D223+$E223)*$F223-$B223*$F223*$I223+$B223*($G223-$F223),0),0))</f>
        <v/>
      </c>
    </row>
    <row r="224">
      <c r="L224" s="24">
        <f>IF($A224="","",IFERROR(ROUND($B224*$G224-($D224+$E224)*$F224-$B224*$F224*$I224+$B224*($G224-$F224),0),0))</f>
        <v/>
      </c>
    </row>
    <row r="225">
      <c r="L225" s="24">
        <f>IF($A225="","",IFERROR(ROUND($B225*$G225-($D225+$E225)*$F225-$B225*$F225*$I225+$B225*($G225-$F225),0),0))</f>
        <v/>
      </c>
    </row>
    <row r="226">
      <c r="L226" s="24">
        <f>IF($A226="","",IFERROR(ROUND($B226*$G226-($D226+$E226)*$F226-$B226*$F226*$I226+$B226*($G226-$F226),0),0))</f>
        <v/>
      </c>
    </row>
    <row r="227">
      <c r="L227" s="24">
        <f>IF($A227="","",IFERROR(ROUND($B227*$G227-($D227+$E227)*$F227-$B227*$F227*$I227+$B227*($G227-$F227),0),0))</f>
        <v/>
      </c>
    </row>
    <row r="228">
      <c r="L228" s="24">
        <f>IF($A228="","",IFERROR(ROUND($B228*$G228-($D228+$E228)*$F228-$B228*$F228*$I228+$B228*($G228-$F228),0),0))</f>
        <v/>
      </c>
    </row>
    <row r="229">
      <c r="L229" s="24">
        <f>IF($A229="","",IFERROR(ROUND($B229*$G229-($D229+$E229)*$F229-$B229*$F229*$I229+$B229*($G229-$F229),0),0))</f>
        <v/>
      </c>
    </row>
    <row r="230">
      <c r="L230" s="24">
        <f>IF($A230="","",IFERROR(ROUND($B230*$G230-($D230+$E230)*$F230-$B230*$F230*$I230+$B230*($G230-$F230),0),0))</f>
        <v/>
      </c>
    </row>
    <row r="231">
      <c r="L231" s="24">
        <f>IF($A231="","",IFERROR(ROUND($B231*$G231-($D231+$E231)*$F231-$B231*$F231*$I231+$B231*($G231-$F231),0),0))</f>
        <v/>
      </c>
    </row>
    <row r="232">
      <c r="L232" s="24">
        <f>IF($A232="","",IFERROR(ROUND($B232*$G232-($D232+$E232)*$F232-$B232*$F232*$I232+$B232*($G232-$F232),0),0))</f>
        <v/>
      </c>
    </row>
    <row r="233">
      <c r="L233" s="24">
        <f>IF($A233="","",IFERROR(ROUND($B233*$G233-($D233+$E233)*$F233-$B233*$F233*$I233+$B233*($G233-$F233),0),0))</f>
        <v/>
      </c>
    </row>
    <row r="234">
      <c r="L234" s="24">
        <f>IF($A234="","",IFERROR(ROUND($B234*$G234-($D234+$E234)*$F234-$B234*$F234*$I234+$B234*($G234-$F234),0),0))</f>
        <v/>
      </c>
    </row>
    <row r="235">
      <c r="L235" s="24">
        <f>IF($A235="","",IFERROR(ROUND($B235*$G235-($D235+$E235)*$F235-$B235*$F235*$I235+$B235*($G235-$F235),0),0))</f>
        <v/>
      </c>
    </row>
    <row r="236">
      <c r="L236" s="24">
        <f>IF($A236="","",IFERROR(ROUND($B236*$G236-($D236+$E236)*$F236-$B236*$F236*$I236+$B236*($G236-$F236),0),0))</f>
        <v/>
      </c>
    </row>
    <row r="237">
      <c r="L237" s="24">
        <f>IF($A237="","",IFERROR(ROUND($B237*$G237-($D237+$E237)*$F237-$B237*$F237*$I237+$B237*($G237-$F237),0),0))</f>
        <v/>
      </c>
    </row>
    <row r="238">
      <c r="L238" s="24">
        <f>IF($A238="","",IFERROR(ROUND($B238*$G238-($D238+$E238)*$F238-$B238*$F238*$I238+$B238*($G238-$F238),0),0))</f>
        <v/>
      </c>
    </row>
    <row r="239">
      <c r="L239" s="24">
        <f>IF($A239="","",IFERROR(ROUND($B239*$G239-($D239+$E239)*$F239-$B239*$F239*$I239+$B239*($G239-$F239),0),0))</f>
        <v/>
      </c>
    </row>
    <row r="240">
      <c r="L240" s="24">
        <f>IF($A240="","",IFERROR(ROUND($B240*$G240-($D240+$E240)*$F240-$B240*$F240*$I240+$B240*($G240-$F240),0),0))</f>
        <v/>
      </c>
    </row>
    <row r="241">
      <c r="L241" s="24">
        <f>IF($A241="","",IFERROR(ROUND($B241*$G241-($D241+$E241)*$F241-$B241*$F241*$I241+$B241*($G241-$F241),0),0))</f>
        <v/>
      </c>
    </row>
    <row r="242">
      <c r="L242" s="24">
        <f>IF($A242="","",IFERROR(ROUND($B242*$G242-($D242+$E242)*$F242-$B242*$F242*$I242+$B242*($G242-$F242),0),0))</f>
        <v/>
      </c>
    </row>
    <row r="243">
      <c r="L243" s="24">
        <f>IF($A243="","",IFERROR(ROUND($B243*$G243-($D243+$E243)*$F243-$B243*$F243*$I243+$B243*($G243-$F243),0),0))</f>
        <v/>
      </c>
    </row>
    <row r="244">
      <c r="L244" s="24">
        <f>IF($A244="","",IFERROR(ROUND($B244*$G244-($D244+$E244)*$F244-$B244*$F244*$I244+$B244*($G244-$F244),0),0))</f>
        <v/>
      </c>
    </row>
    <row r="245">
      <c r="L245" s="24">
        <f>IF($A245="","",IFERROR(ROUND($B245*$G245-($D245+$E245)*$F245-$B245*$F245*$I245+$B245*($G245-$F245),0),0))</f>
        <v/>
      </c>
    </row>
    <row r="246">
      <c r="L246" s="24">
        <f>IF($A246="","",IFERROR(ROUND($B246*$G246-($D246+$E246)*$F246-$B246*$F246*$I246+$B246*($G246-$F246),0),0))</f>
        <v/>
      </c>
    </row>
    <row r="247">
      <c r="L247" s="24">
        <f>IF($A247="","",IFERROR(ROUND($B247*$G247-($D247+$E247)*$F247-$B247*$F247*$I247+$B247*($G247-$F247),0),0))</f>
        <v/>
      </c>
    </row>
    <row r="248">
      <c r="L248" s="24">
        <f>IF($A248="","",IFERROR(ROUND($B248*$G248-($D248+$E248)*$F248-$B248*$F248*$I248+$B248*($G248-$F248),0),0))</f>
        <v/>
      </c>
    </row>
    <row r="249">
      <c r="L249" s="24">
        <f>IF($A249="","",IFERROR(ROUND($B249*$G249-($D249+$E249)*$F249-$B249*$F249*$I249+$B249*($G249-$F249),0),0))</f>
        <v/>
      </c>
    </row>
    <row r="250">
      <c r="L250" s="24">
        <f>IF($A250="","",IFERROR(ROUND($B250*$G250-($D250+$E250)*$F250-$B250*$F250*$I250+$B250*($G250-$F250),0),0))</f>
        <v/>
      </c>
    </row>
    <row r="251">
      <c r="L251" s="24">
        <f>IF($A251="","",IFERROR(ROUND($B251*$G251-($D251+$E251)*$F251-$B251*$F251*$I251+$B251*($G251-$F251),0),0))</f>
        <v/>
      </c>
    </row>
    <row r="252">
      <c r="L252" s="24">
        <f>IF($A252="","",IFERROR(ROUND($B252*$G252-($D252+$E252)*$F252-$B252*$F252*$I252+$B252*($G252-$F252),0),0))</f>
        <v/>
      </c>
    </row>
    <row r="253">
      <c r="L253" s="24">
        <f>IF($A253="","",IFERROR(ROUND($B253*$G253-($D253+$E253)*$F253-$B253*$F253*$I253+$B253*($G253-$F253),0),0))</f>
        <v/>
      </c>
    </row>
    <row r="254">
      <c r="L254" s="24">
        <f>IF($A254="","",IFERROR(ROUND($B254*$G254-($D254+$E254)*$F254-$B254*$F254*$I254+$B254*($G254-$F254),0),0))</f>
        <v/>
      </c>
    </row>
    <row r="255">
      <c r="L255" s="24">
        <f>IF($A255="","",IFERROR(ROUND($B255*$G255-($D255+$E255)*$F255-$B255*$F255*$I255+$B255*($G255-$F255),0),0))</f>
        <v/>
      </c>
    </row>
    <row r="256">
      <c r="L256" s="24">
        <f>IF($A256="","",IFERROR(ROUND($B256*$G256-($D256+$E256)*$F256-$B256*$F256*$I256+$B256*($G256-$F256),0),0))</f>
        <v/>
      </c>
    </row>
    <row r="257">
      <c r="L257" s="24">
        <f>IF($A257="","",IFERROR(ROUND($B257*$G257-($D257+$E257)*$F257-$B257*$F257*$I257+$B257*($G257-$F257),0),0))</f>
        <v/>
      </c>
    </row>
    <row r="258">
      <c r="L258" s="24">
        <f>IF($A258="","",IFERROR(ROUND($B258*$G258-($D258+$E258)*$F258-$B258*$F258*$I258+$B258*($G258-$F258),0),0))</f>
        <v/>
      </c>
    </row>
    <row r="259">
      <c r="L259" s="24">
        <f>IF($A259="","",IFERROR(ROUND($B259*$G259-($D259+$E259)*$F259-$B259*$F259*$I259+$B259*($G259-$F259),0),0))</f>
        <v/>
      </c>
    </row>
    <row r="260">
      <c r="L260" s="24">
        <f>IF($A260="","",IFERROR(ROUND($B260*$G260-($D260+$E260)*$F260-$B260*$F260*$I260+$B260*($G260-$F260),0),0))</f>
        <v/>
      </c>
    </row>
    <row r="261">
      <c r="L261" s="24">
        <f>IF($A261="","",IFERROR(ROUND($B261*$G261-($D261+$E261)*$F261-$B261*$F261*$I261+$B261*($G261-$F261),0),0))</f>
        <v/>
      </c>
    </row>
    <row r="262">
      <c r="L262" s="24">
        <f>IF($A262="","",IFERROR(ROUND($B262*$G262-($D262+$E262)*$F262-$B262*$F262*$I262+$B262*($G262-$F262),0),0))</f>
        <v/>
      </c>
    </row>
    <row r="263">
      <c r="L263" s="24">
        <f>IF($A263="","",IFERROR(ROUND($B263*$G263-($D263+$E263)*$F263-$B263*$F263*$I263+$B263*($G263-$F263),0),0))</f>
        <v/>
      </c>
    </row>
    <row r="264">
      <c r="L264" s="24">
        <f>IF($A264="","",IFERROR(ROUND($B264*$G264-($D264+$E264)*$F264-$B264*$F264*$I264+$B264*($G264-$F264),0),0))</f>
        <v/>
      </c>
    </row>
    <row r="265">
      <c r="L265" s="24">
        <f>IF($A265="","",IFERROR(ROUND($B265*$G265-($D265+$E265)*$F265-$B265*$F265*$I265+$B265*($G265-$F265),0),0))</f>
        <v/>
      </c>
    </row>
    <row r="266">
      <c r="L266" s="24">
        <f>IF($A266="","",IFERROR(ROUND($B266*$G266-($D266+$E266)*$F266-$B266*$F266*$I266+$B266*($G266-$F266),0),0))</f>
        <v/>
      </c>
    </row>
    <row r="267">
      <c r="L267" s="24">
        <f>IF($A267="","",IFERROR(ROUND($B267*$G267-($D267+$E267)*$F267-$B267*$F267*$I267+$B267*($G267-$F267),0),0))</f>
        <v/>
      </c>
    </row>
    <row r="268">
      <c r="L268" s="24">
        <f>IF($A268="","",IFERROR(ROUND($B268*$G268-($D268+$E268)*$F268-$B268*$F268*$I268+$B268*($G268-$F268),0),0))</f>
        <v/>
      </c>
    </row>
    <row r="269">
      <c r="L269" s="24">
        <f>IF($A269="","",IFERROR(ROUND($B269*$G269-($D269+$E269)*$F269-$B269*$F269*$I269+$B269*($G269-$F269),0),0))</f>
        <v/>
      </c>
    </row>
    <row r="270">
      <c r="L270" s="24">
        <f>IF($A270="","",IFERROR(ROUND($B270*$G270-($D270+$E270)*$F270-$B270*$F270*$I270+$B270*($G270-$F270),0),0))</f>
        <v/>
      </c>
    </row>
    <row r="271">
      <c r="L271" s="24">
        <f>IF($A271="","",IFERROR(ROUND($B271*$G271-($D271+$E271)*$F271-$B271*$F271*$I271+$B271*($G271-$F271),0),0))</f>
        <v/>
      </c>
    </row>
    <row r="272">
      <c r="L272" s="24">
        <f>IF($A272="","",IFERROR(ROUND($B272*$G272-($D272+$E272)*$F272-$B272*$F272*$I272+$B272*($G272-$F272),0),0))</f>
        <v/>
      </c>
    </row>
    <row r="273">
      <c r="L273" s="24">
        <f>IF($A273="","",IFERROR(ROUND($B273*$G273-($D273+$E273)*$F273-$B273*$F273*$I273+$B273*($G273-$F273),0),0))</f>
        <v/>
      </c>
    </row>
    <row r="274">
      <c r="L274" s="24">
        <f>IF($A274="","",IFERROR(ROUND($B274*$G274-($D274+$E274)*$F274-$B274*$F274*$I274+$B274*($G274-$F274),0),0))</f>
        <v/>
      </c>
    </row>
    <row r="275">
      <c r="L275" s="24">
        <f>IF($A275="","",IFERROR(ROUND($B275*$G275-($D275+$E275)*$F275-$B275*$F275*$I275+$B275*($G275-$F275),0),0))</f>
        <v/>
      </c>
    </row>
    <row r="276">
      <c r="L276" s="24">
        <f>IF($A276="","",IFERROR(ROUND($B276*$G276-($D276+$E276)*$F276-$B276*$F276*$I276+$B276*($G276-$F276),0),0))</f>
        <v/>
      </c>
    </row>
    <row r="277">
      <c r="L277" s="24">
        <f>IF($A277="","",IFERROR(ROUND($B277*$G277-($D277+$E277)*$F277-$B277*$F277*$I277+$B277*($G277-$F277),0),0))</f>
        <v/>
      </c>
    </row>
    <row r="278">
      <c r="L278" s="24">
        <f>IF($A278="","",IFERROR(ROUND($B278*$G278-($D278+$E278)*$F278-$B278*$F278*$I278+$B278*($G278-$F278),0),0))</f>
        <v/>
      </c>
    </row>
    <row r="279">
      <c r="L279" s="24">
        <f>IF($A279="","",IFERROR(ROUND($B279*$G279-($D279+$E279)*$F279-$B279*$F279*$I279+$B279*($G279-$F279),0),0))</f>
        <v/>
      </c>
    </row>
    <row r="280">
      <c r="L280" s="24">
        <f>IF($A280="","",IFERROR(ROUND($B280*$G280-($D280+$E280)*$F280-$B280*$F280*$I280+$B280*($G280-$F280),0),0))</f>
        <v/>
      </c>
    </row>
    <row r="281">
      <c r="L281" s="24">
        <f>IF($A281="","",IFERROR(ROUND($B281*$G281-($D281+$E281)*$F281-$B281*$F281*$I281+$B281*($G281-$F281),0),0))</f>
        <v/>
      </c>
    </row>
    <row r="282">
      <c r="L282" s="24">
        <f>IF($A282="","",IFERROR(ROUND($B282*$G282-($D282+$E282)*$F282-$B282*$F282*$I282+$B282*($G282-$F282),0),0))</f>
        <v/>
      </c>
    </row>
    <row r="283">
      <c r="L283" s="24">
        <f>IF($A283="","",IFERROR(ROUND($B283*$G283-($D283+$E283)*$F283-$B283*$F283*$I283+$B283*($G283-$F283),0),0))</f>
        <v/>
      </c>
    </row>
    <row r="284">
      <c r="L284" s="24">
        <f>IF($A284="","",IFERROR(ROUND($B284*$G284-($D284+$E284)*$F284-$B284*$F284*$I284+$B284*($G284-$F284),0),0))</f>
        <v/>
      </c>
    </row>
    <row r="285">
      <c r="L285" s="24">
        <f>IF($A285="","",IFERROR(ROUND($B285*$G285-($D285+$E285)*$F285-$B285*$F285*$I285+$B285*($G285-$F285),0),0))</f>
        <v/>
      </c>
    </row>
    <row r="286">
      <c r="L286" s="24">
        <f>IF($A286="","",IFERROR(ROUND($B286*$G286-($D286+$E286)*$F286-$B286*$F286*$I286+$B286*($G286-$F286),0),0))</f>
        <v/>
      </c>
    </row>
    <row r="287">
      <c r="L287" s="24">
        <f>IF($A287="","",IFERROR(ROUND($B287*$G287-($D287+$E287)*$F287-$B287*$F287*$I287+$B287*($G287-$F287),0),0))</f>
        <v/>
      </c>
    </row>
    <row r="288">
      <c r="L288" s="24">
        <f>IF($A288="","",IFERROR(ROUND($B288*$G288-($D288+$E288)*$F288-$B288*$F288*$I288+$B288*($G288-$F288),0),0))</f>
        <v/>
      </c>
    </row>
    <row r="289">
      <c r="L289" s="24">
        <f>IF($A289="","",IFERROR(ROUND($B289*$G289-($D289+$E289)*$F289-$B289*$F289*$I289+$B289*($G289-$F289),0),0))</f>
        <v/>
      </c>
    </row>
    <row r="290">
      <c r="L290" s="24">
        <f>IF($A290="","",IFERROR(ROUND($B290*$G290-($D290+$E290)*$F290-$B290*$F290*$I290+$B290*($G290-$F290),0),0))</f>
        <v/>
      </c>
    </row>
    <row r="291">
      <c r="L291" s="24">
        <f>IF($A291="","",IFERROR(ROUND($B291*$G291-($D291+$E291)*$F291-$B291*$F291*$I291+$B291*($G291-$F291),0),0))</f>
        <v/>
      </c>
    </row>
    <row r="292">
      <c r="L292" s="24">
        <f>IF($A292="","",IFERROR(ROUND($B292*$G292-($D292+$E292)*$F292-$B292*$F292*$I292+$B292*($G292-$F292),0),0))</f>
        <v/>
      </c>
    </row>
    <row r="293">
      <c r="L293" s="24">
        <f>IF($A293="","",IFERROR(ROUND($B293*$G293-($D293+$E293)*$F293-$B293*$F293*$I293+$B293*($G293-$F293),0),0))</f>
        <v/>
      </c>
    </row>
    <row r="294">
      <c r="L294" s="24">
        <f>IF($A294="","",IFERROR(ROUND($B294*$G294-($D294+$E294)*$F294-$B294*$F294*$I294+$B294*($G294-$F294),0),0))</f>
        <v/>
      </c>
    </row>
    <row r="295">
      <c r="L295" s="24">
        <f>IF($A295="","",IFERROR(ROUND($B295*$G295-($D295+$E295)*$F295-$B295*$F295*$I295+$B295*($G295-$F295),0),0))</f>
        <v/>
      </c>
    </row>
    <row r="296">
      <c r="L296" s="24">
        <f>IF($A296="","",IFERROR(ROUND($B296*$G296-($D296+$E296)*$F296-$B296*$F296*$I296+$B296*($G296-$F296),0),0))</f>
        <v/>
      </c>
    </row>
    <row r="297">
      <c r="L297" s="24">
        <f>IF($A297="","",IFERROR(ROUND($B297*$G297-($D297+$E297)*$F297-$B297*$F297*$I297+$B297*($G297-$F297),0),0))</f>
        <v/>
      </c>
    </row>
    <row r="298">
      <c r="L298" s="24">
        <f>IF($A298="","",IFERROR(ROUND($B298*$G298-($D298+$E298)*$F298-$B298*$F298*$I298+$B298*($G298-$F298),0),0))</f>
        <v/>
      </c>
    </row>
    <row r="299">
      <c r="L299" s="24">
        <f>IF($A299="","",IFERROR(ROUND($B299*$G299-($D299+$E299)*$F299-$B299*$F299*$I299+$B299*($G299-$F299),0),0))</f>
        <v/>
      </c>
    </row>
    <row r="300">
      <c r="L300" s="24">
        <f>IF($A300="","",IFERROR(ROUND($B300*$G300-($D300+$E300)*$F300-$B300*$F300*$I300+$B300*($G300-$F300),0),0))</f>
        <v/>
      </c>
    </row>
    <row r="301">
      <c r="L301" s="24">
        <f>IF($A301="","",IFERROR(ROUND($B301*$G301-($D301+$E301)*$F301-$B301*$F301*$I301+$B301*($G301-$F301),0),0))</f>
        <v/>
      </c>
    </row>
    <row r="302">
      <c r="L302" s="24">
        <f>IF($A302="","",IFERROR(ROUND($B302*$G302-($D302+$E302)*$F302-$B302*$F302*$I302+$B302*($G302-$F302),0),0))</f>
        <v/>
      </c>
    </row>
    <row r="303">
      <c r="L303" s="24">
        <f>IF($A303="","",IFERROR(ROUND($B303*$G303-($D303+$E303)*$F303-$B303*$F303*$I303+$B303*($G303-$F303),0),0))</f>
        <v/>
      </c>
    </row>
    <row r="304">
      <c r="L304" s="24">
        <f>IF($A304="","",IFERROR(ROUND($B304*$G304-($D304+$E304)*$F304-$B304*$F304*$I304+$B304*($G304-$F304),0),0))</f>
        <v/>
      </c>
    </row>
    <row r="305">
      <c r="L305" s="24">
        <f>IF($A305="","",IFERROR(ROUND($B305*$G305-($D305+$E305)*$F305-$B305*$F305*$I305+$B305*($G305-$F305),0),0))</f>
        <v/>
      </c>
    </row>
    <row r="306">
      <c r="L306" s="24">
        <f>IF($A306="","",IFERROR(ROUND($B306*$G306-($D306+$E306)*$F306-$B306*$F306*$I306+$B306*($G306-$F306),0),0))</f>
        <v/>
      </c>
    </row>
    <row r="307">
      <c r="L307" s="24">
        <f>IF($A307="","",IFERROR(ROUND($B307*$G307-($D307+$E307)*$F307-$B307*$F307*$I307+$B307*($G307-$F307),0),0))</f>
        <v/>
      </c>
    </row>
    <row r="308">
      <c r="L308" s="24">
        <f>IF($A308="","",IFERROR(ROUND($B308*$G308-($D308+$E308)*$F308-$B308*$F308*$I308+$B308*($G308-$F308),0),0))</f>
        <v/>
      </c>
    </row>
    <row r="309">
      <c r="L309" s="24">
        <f>IF($A309="","",IFERROR(ROUND($B309*$G309-($D309+$E309)*$F309-$B309*$F309*$I309+$B309*($G309-$F309),0),0))</f>
        <v/>
      </c>
    </row>
    <row r="310">
      <c r="L310" s="24">
        <f>IF($A310="","",IFERROR(ROUND($B310*$G310-($D310+$E310)*$F310-$B310*$F310*$I310+$B310*($G310-$F310),0),0))</f>
        <v/>
      </c>
    </row>
    <row r="311">
      <c r="L311" s="24">
        <f>IF($A311="","",IFERROR(ROUND($B311*$G311-($D311+$E311)*$F311-$B311*$F311*$I311+$B311*($G311-$F311),0),0))</f>
        <v/>
      </c>
    </row>
    <row r="312">
      <c r="L312" s="24">
        <f>IF($A312="","",IFERROR(ROUND($B312*$G312-($D312+$E312)*$F312-$B312*$F312*$I312+$B312*($G312-$F312),0),0))</f>
        <v/>
      </c>
    </row>
    <row r="313">
      <c r="L313" s="24">
        <f>IF($A313="","",IFERROR(ROUND($B313*$G313-($D313+$E313)*$F313-$B313*$F313*$I313+$B313*($G313-$F313),0),0))</f>
        <v/>
      </c>
    </row>
    <row r="314">
      <c r="L314" s="24">
        <f>IF($A314="","",IFERROR(ROUND($B314*$G314-($D314+$E314)*$F314-$B314*$F314*$I314+$B314*($G314-$F314),0),0))</f>
        <v/>
      </c>
    </row>
    <row r="315">
      <c r="L315" s="24">
        <f>IF($A315="","",IFERROR(ROUND($B315*$G315-($D315+$E315)*$F315-$B315*$F315*$I315+$B315*($G315-$F315),0),0))</f>
        <v/>
      </c>
    </row>
    <row r="316">
      <c r="L316" s="24">
        <f>IF($A316="","",IFERROR(ROUND($B316*$G316-($D316+$E316)*$F316-$B316*$F316*$I316+$B316*($G316-$F316),0),0))</f>
        <v/>
      </c>
    </row>
    <row r="317">
      <c r="L317" s="24">
        <f>IF($A317="","",IFERROR(ROUND($B317*$G317-($D317+$E317)*$F317-$B317*$F317*$I317+$B317*($G317-$F317),0),0))</f>
        <v/>
      </c>
    </row>
    <row r="318">
      <c r="L318" s="24">
        <f>IF($A318="","",IFERROR(ROUND($B318*$G318-($D318+$E318)*$F318-$B318*$F318*$I318+$B318*($G318-$F318),0),0))</f>
        <v/>
      </c>
    </row>
    <row r="319">
      <c r="L319" s="24">
        <f>IF($A319="","",IFERROR(ROUND($B319*$G319-($D319+$E319)*$F319-$B319*$F319*$I319+$B319*($G319-$F319),0),0))</f>
        <v/>
      </c>
    </row>
    <row r="320">
      <c r="L320" s="24">
        <f>IF($A320="","",IFERROR(ROUND($B320*$G320-($D320+$E320)*$F320-$B320*$F320*$I320+$B320*($G320-$F320),0),0))</f>
        <v/>
      </c>
    </row>
    <row r="321">
      <c r="L321" s="24">
        <f>IF($A321="","",IFERROR(ROUND($B321*$G321-($D321+$E321)*$F321-$B321*$F321*$I321+$B321*($G321-$F321),0),0))</f>
        <v/>
      </c>
    </row>
    <row r="322">
      <c r="L322" s="24">
        <f>IF($A322="","",IFERROR(ROUND($B322*$G322-($D322+$E322)*$F322-$B322*$F322*$I322+$B322*($G322-$F322),0),0))</f>
        <v/>
      </c>
    </row>
    <row r="323">
      <c r="L323" s="24">
        <f>IF($A323="","",IFERROR(ROUND($B323*$G323-($D323+$E323)*$F323-$B323*$F323*$I323+$B323*($G323-$F323),0),0))</f>
        <v/>
      </c>
    </row>
    <row r="324">
      <c r="L324" s="24">
        <f>IF($A324="","",IFERROR(ROUND($B324*$G324-($D324+$E324)*$F324-$B324*$F324*$I324+$B324*($G324-$F324),0),0))</f>
        <v/>
      </c>
    </row>
    <row r="325">
      <c r="L325" s="24">
        <f>IF($A325="","",IFERROR(ROUND($B325*$G325-($D325+$E325)*$F325-$B325*$F325*$I325+$B325*($G325-$F325),0),0))</f>
        <v/>
      </c>
    </row>
    <row r="326">
      <c r="L326" s="24">
        <f>IF($A326="","",IFERROR(ROUND($B326*$G326-($D326+$E326)*$F326-$B326*$F326*$I326+$B326*($G326-$F326),0),0))</f>
        <v/>
      </c>
    </row>
    <row r="327">
      <c r="L327" s="24">
        <f>IF($A327="","",IFERROR(ROUND($B327*$G327-($D327+$E327)*$F327-$B327*$F327*$I327+$B327*($G327-$F327),0),0))</f>
        <v/>
      </c>
    </row>
    <row r="328">
      <c r="L328" s="24">
        <f>IF($A328="","",IFERROR(ROUND($B328*$G328-($D328+$E328)*$F328-$B328*$F328*$I328+$B328*($G328-$F328),0),0))</f>
        <v/>
      </c>
    </row>
    <row r="329">
      <c r="L329" s="24">
        <f>IF($A329="","",IFERROR(ROUND($B329*$G329-($D329+$E329)*$F329-$B329*$F329*$I329+$B329*($G329-$F329),0),0))</f>
        <v/>
      </c>
    </row>
    <row r="330">
      <c r="L330" s="24">
        <f>IF($A330="","",IFERROR(ROUND($B330*$G330-($D330+$E330)*$F330-$B330*$F330*$I330+$B330*($G330-$F330),0),0))</f>
        <v/>
      </c>
    </row>
    <row r="331">
      <c r="L331" s="24">
        <f>IF($A331="","",IFERROR(ROUND($B331*$G331-($D331+$E331)*$F331-$B331*$F331*$I331+$B331*($G331-$F331),0),0))</f>
        <v/>
      </c>
    </row>
    <row r="332">
      <c r="L332" s="24">
        <f>IF($A332="","",IFERROR(ROUND($B332*$G332-($D332+$E332)*$F332-$B332*$F332*$I332+$B332*($G332-$F332),0),0))</f>
        <v/>
      </c>
    </row>
    <row r="333">
      <c r="L333" s="24">
        <f>IF($A333="","",IFERROR(ROUND($B333*$G333-($D333+$E333)*$F333-$B333*$F333*$I333+$B333*($G333-$F333),0),0))</f>
        <v/>
      </c>
    </row>
    <row r="334">
      <c r="L334" s="24">
        <f>IF($A334="","",IFERROR(ROUND($B334*$G334-($D334+$E334)*$F334-$B334*$F334*$I334+$B334*($G334-$F334),0),0))</f>
        <v/>
      </c>
    </row>
    <row r="335">
      <c r="L335" s="24">
        <f>IF($A335="","",IFERROR(ROUND($B335*$G335-($D335+$E335)*$F335-$B335*$F335*$I335+$B335*($G335-$F335),0),0))</f>
        <v/>
      </c>
    </row>
    <row r="336">
      <c r="L336" s="24">
        <f>IF($A336="","",IFERROR(ROUND($B336*$G336-($D336+$E336)*$F336-$B336*$F336*$I336+$B336*($G336-$F336),0),0))</f>
        <v/>
      </c>
    </row>
    <row r="337">
      <c r="L337" s="24">
        <f>IF($A337="","",IFERROR(ROUND($B337*$G337-($D337+$E337)*$F337-$B337*$F337*$I337+$B337*($G337-$F337),0),0))</f>
        <v/>
      </c>
    </row>
    <row r="338">
      <c r="L338" s="24">
        <f>IF($A338="","",IFERROR(ROUND($B338*$G338-($D338+$E338)*$F338-$B338*$F338*$I338+$B338*($G338-$F338),0),0))</f>
        <v/>
      </c>
    </row>
    <row r="339">
      <c r="L339" s="24">
        <f>IF($A339="","",IFERROR(ROUND($B339*$G339-($D339+$E339)*$F339-$B339*$F339*$I339+$B339*($G339-$F339),0),0))</f>
        <v/>
      </c>
    </row>
    <row r="340">
      <c r="L340" s="24">
        <f>IF($A340="","",IFERROR(ROUND($B340*$G340-($D340+$E340)*$F340-$B340*$F340*$I340+$B340*($G340-$F340),0),0))</f>
        <v/>
      </c>
    </row>
    <row r="341">
      <c r="L341" s="24">
        <f>IF($A341="","",IFERROR(ROUND($B341*$G341-($D341+$E341)*$F341-$B341*$F341*$I341+$B341*($G341-$F341),0),0))</f>
        <v/>
      </c>
    </row>
    <row r="342">
      <c r="L342" s="24">
        <f>IF($A342="","",IFERROR(ROUND($B342*$G342-($D342+$E342)*$F342-$B342*$F342*$I342+$B342*($G342-$F342),0),0))</f>
        <v/>
      </c>
    </row>
    <row r="343">
      <c r="L343" s="24">
        <f>IF($A343="","",IFERROR(ROUND($B343*$G343-($D343+$E343)*$F343-$B343*$F343*$I343+$B343*($G343-$F343),0),0))</f>
        <v/>
      </c>
    </row>
    <row r="344">
      <c r="L344" s="24">
        <f>IF($A344="","",IFERROR(ROUND($B344*$G344-($D344+$E344)*$F344-$B344*$F344*$I344+$B344*($G344-$F344),0),0))</f>
        <v/>
      </c>
    </row>
    <row r="345">
      <c r="L345" s="24">
        <f>IF($A345="","",IFERROR(ROUND($B345*$G345-($D345+$E345)*$F345-$B345*$F345*$I345+$B345*($G345-$F345),0),0))</f>
        <v/>
      </c>
    </row>
    <row r="346">
      <c r="L346" s="24">
        <f>IF($A346="","",IFERROR(ROUND($B346*$G346-($D346+$E346)*$F346-$B346*$F346*$I346+$B346*($G346-$F346),0),0))</f>
        <v/>
      </c>
    </row>
    <row r="347">
      <c r="L347" s="24">
        <f>IF($A347="","",IFERROR(ROUND($B347*$G347-($D347+$E347)*$F347-$B347*$F347*$I347+$B347*($G347-$F347),0),0))</f>
        <v/>
      </c>
    </row>
    <row r="348">
      <c r="L348" s="24">
        <f>IF($A348="","",IFERROR(ROUND($B348*$G348-($D348+$E348)*$F348-$B348*$F348*$I348+$B348*($G348-$F348),0),0))</f>
        <v/>
      </c>
    </row>
    <row r="349">
      <c r="L349" s="24">
        <f>IF($A349="","",IFERROR(ROUND($B349*$G349-($D349+$E349)*$F349-$B349*$F349*$I349+$B349*($G349-$F349),0),0))</f>
        <v/>
      </c>
    </row>
    <row r="350">
      <c r="L350" s="24">
        <f>IF($A350="","",IFERROR(ROUND($B350*$G350-($D350+$E350)*$F350-$B350*$F350*$I350+$B350*($G350-$F350),0),0))</f>
        <v/>
      </c>
    </row>
    <row r="351">
      <c r="L351" s="24">
        <f>IF($A351="","",IFERROR(ROUND($B351*$G351-($D351+$E351)*$F351-$B351*$F351*$I351+$B351*($G351-$F351),0),0))</f>
        <v/>
      </c>
    </row>
    <row r="352">
      <c r="L352" s="24">
        <f>IF($A352="","",IFERROR(ROUND($B352*$G352-($D352+$E352)*$F352-$B352*$F352*$I352+$B352*($G352-$F352),0),0))</f>
        <v/>
      </c>
    </row>
    <row r="353">
      <c r="L353" s="24">
        <f>IF($A353="","",IFERROR(ROUND($B353*$G353-($D353+$E353)*$F353-$B353*$F353*$I353+$B353*($G353-$F353),0),0))</f>
        <v/>
      </c>
    </row>
    <row r="354">
      <c r="L354" s="24">
        <f>IF($A354="","",IFERROR(ROUND($B354*$G354-($D354+$E354)*$F354-$B354*$F354*$I354+$B354*($G354-$F354),0),0))</f>
        <v/>
      </c>
    </row>
    <row r="355">
      <c r="L355" s="24">
        <f>IF($A355="","",IFERROR(ROUND($B355*$G355-($D355+$E355)*$F355-$B355*$F355*$I355+$B355*($G355-$F355),0),0))</f>
        <v/>
      </c>
    </row>
    <row r="356">
      <c r="L356" s="24">
        <f>IF($A356="","",IFERROR(ROUND($B356*$G356-($D356+$E356)*$F356-$B356*$F356*$I356+$B356*($G356-$F356),0),0))</f>
        <v/>
      </c>
    </row>
    <row r="357">
      <c r="L357" s="24">
        <f>IF($A357="","",IFERROR(ROUND($B357*$G357-($D357+$E357)*$F357-$B357*$F357*$I357+$B357*($G357-$F357),0),0))</f>
        <v/>
      </c>
    </row>
    <row r="358">
      <c r="L358" s="24">
        <f>IF($A358="","",IFERROR(ROUND($B358*$G358-($D358+$E358)*$F358-$B358*$F358*$I358+$B358*($G358-$F358),0),0))</f>
        <v/>
      </c>
    </row>
    <row r="359">
      <c r="L359" s="24">
        <f>IF($A359="","",IFERROR(ROUND($B359*$G359-($D359+$E359)*$F359-$B359*$F359*$I359+$B359*($G359-$F359),0),0))</f>
        <v/>
      </c>
    </row>
    <row r="360">
      <c r="L360" s="24">
        <f>IF($A360="","",IFERROR(ROUND($B360*$G360-($D360+$E360)*$F360-$B360*$F360*$I360+$B360*($G360-$F360),0),0))</f>
        <v/>
      </c>
    </row>
    <row r="361">
      <c r="L361" s="24">
        <f>IF($A361="","",IFERROR(ROUND($B361*$G361-($D361+$E361)*$F361-$B361*$F361*$I361+$B361*($G361-$F361),0),0))</f>
        <v/>
      </c>
    </row>
    <row r="362">
      <c r="L362" s="24">
        <f>IF($A362="","",IFERROR(ROUND($B362*$G362-($D362+$E362)*$F362-$B362*$F362*$I362+$B362*($G362-$F362),0),0))</f>
        <v/>
      </c>
    </row>
    <row r="363">
      <c r="L363" s="24">
        <f>IF($A363="","",IFERROR(ROUND($B363*$G363-($D363+$E363)*$F363-$B363*$F363*$I363+$B363*($G363-$F363),0),0))</f>
        <v/>
      </c>
    </row>
    <row r="364">
      <c r="L364" s="24">
        <f>IF($A364="","",IFERROR(ROUND($B364*$G364-($D364+$E364)*$F364-$B364*$F364*$I364+$B364*($G364-$F364),0),0))</f>
        <v/>
      </c>
    </row>
    <row r="365">
      <c r="L365" s="24">
        <f>IF($A365="","",IFERROR(ROUND($B365*$G365-($D365+$E365)*$F365-$B365*$F365*$I365+$B365*($G365-$F365),0),0))</f>
        <v/>
      </c>
    </row>
    <row r="366">
      <c r="L366" s="24">
        <f>IF($A366="","",IFERROR(ROUND($B366*$G366-($D366+$E366)*$F366-$B366*$F366*$I366+$B366*($G366-$F366),0),0))</f>
        <v/>
      </c>
    </row>
    <row r="367">
      <c r="L367" s="24">
        <f>IF($A367="","",IFERROR(ROUND($B367*$G367-($D367+$E367)*$F367-$B367*$F367*$I367+$B367*($G367-$F367),0),0))</f>
        <v/>
      </c>
    </row>
    <row r="368">
      <c r="L368" s="24">
        <f>IF($A368="","",IFERROR(ROUND($B368*$G368-($D368+$E368)*$F368-$B368*$F368*$I368+$B368*($G368-$F368),0),0))</f>
        <v/>
      </c>
    </row>
    <row r="369">
      <c r="L369" s="24">
        <f>IF($A369="","",IFERROR(ROUND($B369*$G369-($D369+$E369)*$F369-$B369*$F369*$I369+$B369*($G369-$F369),0),0))</f>
        <v/>
      </c>
    </row>
    <row r="370">
      <c r="L370" s="24">
        <f>IF($A370="","",IFERROR(ROUND($B370*$G370-($D370+$E370)*$F370-$B370*$F370*$I370+$B370*($G370-$F370),0),0))</f>
        <v/>
      </c>
    </row>
    <row r="371">
      <c r="L371" s="24">
        <f>IF($A371="","",IFERROR(ROUND($B371*$G371-($D371+$E371)*$F371-$B371*$F371*$I371+$B371*($G371-$F371),0),0))</f>
        <v/>
      </c>
    </row>
    <row r="372">
      <c r="L372" s="24">
        <f>IF($A372="","",IFERROR(ROUND($B372*$G372-($D372+$E372)*$F372-$B372*$F372*$I372+$B372*($G372-$F372),0),0))</f>
        <v/>
      </c>
    </row>
    <row r="373">
      <c r="L373" s="24">
        <f>IF($A373="","",IFERROR(ROUND($B373*$G373-($D373+$E373)*$F373-$B373*$F373*$I373+$B373*($G373-$F373),0),0))</f>
        <v/>
      </c>
    </row>
    <row r="374">
      <c r="L374" s="24">
        <f>IF($A374="","",IFERROR(ROUND($B374*$G374-($D374+$E374)*$F374-$B374*$F374*$I374+$B374*($G374-$F374),0),0))</f>
        <v/>
      </c>
    </row>
    <row r="375">
      <c r="L375" s="24">
        <f>IF($A375="","",IFERROR(ROUND($B375*$G375-($D375+$E375)*$F375-$B375*$F375*$I375+$B375*($G375-$F375),0),0))</f>
        <v/>
      </c>
    </row>
    <row r="376">
      <c r="L376" s="24">
        <f>IF($A376="","",IFERROR(ROUND($B376*$G376-($D376+$E376)*$F376-$B376*$F376*$I376+$B376*($G376-$F376),0),0))</f>
        <v/>
      </c>
    </row>
    <row r="377">
      <c r="L377" s="24">
        <f>IF($A377="","",IFERROR(ROUND($B377*$G377-($D377+$E377)*$F377-$B377*$F377*$I377+$B377*($G377-$F377),0),0))</f>
        <v/>
      </c>
    </row>
    <row r="378">
      <c r="L378" s="24">
        <f>IF($A378="","",IFERROR(ROUND($B378*$G378-($D378+$E378)*$F378-$B378*$F378*$I378+$B378*($G378-$F378),0),0))</f>
        <v/>
      </c>
    </row>
    <row r="379">
      <c r="L379" s="24">
        <f>IF($A379="","",IFERROR(ROUND($B379*$G379-($D379+$E379)*$F379-$B379*$F379*$I379+$B379*($G379-$F379),0),0))</f>
        <v/>
      </c>
    </row>
    <row r="380">
      <c r="L380" s="24">
        <f>IF($A380="","",IFERROR(ROUND($B380*$G380-($D380+$E380)*$F380-$B380*$F380*$I380+$B380*($G380-$F380),0),0))</f>
        <v/>
      </c>
    </row>
    <row r="381">
      <c r="L381" s="24">
        <f>IF($A381="","",IFERROR(ROUND($B381*$G381-($D381+$E381)*$F381-$B381*$F381*$I381+$B381*($G381-$F381),0),0))</f>
        <v/>
      </c>
    </row>
    <row r="382">
      <c r="L382" s="24">
        <f>IF($A382="","",IFERROR(ROUND($B382*$G382-($D382+$E382)*$F382-$B382*$F382*$I382+$B382*($G382-$F382),0),0))</f>
        <v/>
      </c>
    </row>
    <row r="383">
      <c r="L383" s="24">
        <f>IF($A383="","",IFERROR(ROUND($B383*$G383-($D383+$E383)*$F383-$B383*$F383*$I383+$B383*($G383-$F383),0),0))</f>
        <v/>
      </c>
    </row>
    <row r="384">
      <c r="L384" s="24">
        <f>IF($A384="","",IFERROR(ROUND($B384*$G384-($D384+$E384)*$F384-$B384*$F384*$I384+$B384*($G384-$F384),0),0))</f>
        <v/>
      </c>
    </row>
    <row r="385">
      <c r="L385" s="24">
        <f>IF($A385="","",IFERROR(ROUND($B385*$G385-($D385+$E385)*$F385-$B385*$F385*$I385+$B385*($G385-$F385),0),0))</f>
        <v/>
      </c>
    </row>
    <row r="386">
      <c r="L386" s="24">
        <f>IF($A386="","",IFERROR(ROUND($B386*$G386-($D386+$E386)*$F386-$B386*$F386*$I386+$B386*($G386-$F386),0),0))</f>
        <v/>
      </c>
    </row>
    <row r="387">
      <c r="L387" s="24">
        <f>IF($A387="","",IFERROR(ROUND($B387*$G387-($D387+$E387)*$F387-$B387*$F387*$I387+$B387*($G387-$F387),0),0))</f>
        <v/>
      </c>
    </row>
    <row r="388">
      <c r="L388" s="24">
        <f>IF($A388="","",IFERROR(ROUND($B388*$G388-($D388+$E388)*$F388-$B388*$F388*$I388+$B388*($G388-$F388),0),0))</f>
        <v/>
      </c>
    </row>
    <row r="389">
      <c r="L389" s="24">
        <f>IF($A389="","",IFERROR(ROUND($B389*$G389-($D389+$E389)*$F389-$B389*$F389*$I389+$B389*($G389-$F389),0),0))</f>
        <v/>
      </c>
    </row>
    <row r="390">
      <c r="L390" s="24">
        <f>IF($A390="","",IFERROR(ROUND($B390*$G390-($D390+$E390)*$F390-$B390*$F390*$I390+$B390*($G390-$F390),0),0))</f>
        <v/>
      </c>
    </row>
    <row r="391">
      <c r="L391" s="24">
        <f>IF($A391="","",IFERROR(ROUND($B391*$G391-($D391+$E391)*$F391-$B391*$F391*$I391+$B391*($G391-$F391),0),0))</f>
        <v/>
      </c>
    </row>
    <row r="392">
      <c r="L392" s="24">
        <f>IF($A392="","",IFERROR(ROUND($B392*$G392-($D392+$E392)*$F392-$B392*$F392*$I392+$B392*($G392-$F392),0),0))</f>
        <v/>
      </c>
    </row>
    <row r="393">
      <c r="L393" s="24">
        <f>IF($A393="","",IFERROR(ROUND($B393*$G393-($D393+$E393)*$F393-$B393*$F393*$I393+$B393*($G393-$F393),0),0))</f>
        <v/>
      </c>
    </row>
    <row r="394">
      <c r="L394" s="24">
        <f>IF($A394="","",IFERROR(ROUND($B394*$G394-($D394+$E394)*$F394-$B394*$F394*$I394+$B394*($G394-$F394),0),0))</f>
        <v/>
      </c>
    </row>
    <row r="395">
      <c r="L395" s="24">
        <f>IF($A395="","",IFERROR(ROUND($B395*$G395-($D395+$E395)*$F395-$B395*$F395*$I395+$B395*($G395-$F395),0),0))</f>
        <v/>
      </c>
    </row>
    <row r="396">
      <c r="L396" s="24">
        <f>IF($A396="","",IFERROR(ROUND($B396*$G396-($D396+$E396)*$F396-$B396*$F396*$I396+$B396*($G396-$F396),0),0))</f>
        <v/>
      </c>
    </row>
    <row r="397">
      <c r="L397" s="24">
        <f>IF($A397="","",IFERROR(ROUND($B397*$G397-($D397+$E397)*$F397-$B397*$F397*$I397+$B397*($G397-$F397),0),0))</f>
        <v/>
      </c>
    </row>
    <row r="398">
      <c r="L398" s="24">
        <f>IF($A398="","",IFERROR(ROUND($B398*$G398-($D398+$E398)*$F398-$B398*$F398*$I398+$B398*($G398-$F398),0),0))</f>
        <v/>
      </c>
    </row>
    <row r="399">
      <c r="L399" s="24">
        <f>IF($A399="","",IFERROR(ROUND($B399*$G399-($D399+$E399)*$F399-$B399*$F399*$I399+$B399*($G399-$F399),0),0))</f>
        <v/>
      </c>
    </row>
    <row r="400">
      <c r="L400" s="24">
        <f>IF($A400="","",IFERROR(ROUND($B400*$G400-($D400+$E400)*$F400-$B400*$F400*$I400+$B400*($G400-$F400),0),0))</f>
        <v/>
      </c>
    </row>
    <row r="401">
      <c r="L401" s="24">
        <f>IF($A401="","",IFERROR(ROUND($B401*$G401-($D401+$E401)*$F401-$B401*$F401*$I401+$B401*($G401-$F401),0),0))</f>
        <v/>
      </c>
    </row>
    <row r="402">
      <c r="L402" s="24">
        <f>IF($A402="","",IFERROR(ROUND($B402*$G402-($D402+$E402)*$F402-$B402*$F402*$I402+$B402*($G402-$F402),0),0))</f>
        <v/>
      </c>
    </row>
    <row r="403">
      <c r="L403" s="24">
        <f>IF($A403="","",IFERROR(ROUND($B403*$G403-($D403+$E403)*$F403-$B403*$F403*$I403+$B403*($G403-$F403),0),0))</f>
        <v/>
      </c>
    </row>
    <row r="404">
      <c r="L404" s="24">
        <f>IF($A404="","",IFERROR(ROUND($B404*$G404-($D404+$E404)*$F404-$B404*$F404*$I404+$B404*($G404-$F404),0),0))</f>
        <v/>
      </c>
    </row>
    <row r="405">
      <c r="L405" s="24">
        <f>IF($A405="","",IFERROR(ROUND($B405*$G405-($D405+$E405)*$F405-$B405*$F405*$I405+$B405*($G405-$F405),0),0))</f>
        <v/>
      </c>
    </row>
    <row r="406">
      <c r="L406" s="24">
        <f>IF($A406="","",IFERROR(ROUND($B406*$G406-($D406+$E406)*$F406-$B406*$F406*$I406+$B406*($G406-$F406),0),0))</f>
        <v/>
      </c>
    </row>
    <row r="407">
      <c r="L407" s="24">
        <f>IF($A407="","",IFERROR(ROUND($B407*$G407-($D407+$E407)*$F407-$B407*$F407*$I407+$B407*($G407-$F407),0),0))</f>
        <v/>
      </c>
    </row>
    <row r="408">
      <c r="L408" s="24">
        <f>IF($A408="","",IFERROR(ROUND($B408*$G408-($D408+$E408)*$F408-$B408*$F408*$I408+$B408*($G408-$F408),0),0))</f>
        <v/>
      </c>
    </row>
    <row r="409">
      <c r="L409" s="24">
        <f>IF($A409="","",IFERROR(ROUND($B409*$G409-($D409+$E409)*$F409-$B409*$F409*$I409+$B409*($G409-$F409),0),0))</f>
        <v/>
      </c>
    </row>
    <row r="410">
      <c r="L410" s="24">
        <f>IF($A410="","",IFERROR(ROUND($B410*$G410-($D410+$E410)*$F410-$B410*$F410*$I410+$B410*($G410-$F410),0),0))</f>
        <v/>
      </c>
    </row>
    <row r="411">
      <c r="L411" s="24">
        <f>IF($A411="","",IFERROR(ROUND($B411*$G411-($D411+$E411)*$F411-$B411*$F411*$I411+$B411*($G411-$F411),0),0))</f>
        <v/>
      </c>
    </row>
    <row r="412">
      <c r="L412" s="24">
        <f>IF($A412="","",IFERROR(ROUND($B412*$G412-($D412+$E412)*$F412-$B412*$F412*$I412+$B412*($G412-$F412),0),0))</f>
        <v/>
      </c>
    </row>
    <row r="413">
      <c r="L413" s="24">
        <f>IF($A413="","",IFERROR(ROUND($B413*$G413-($D413+$E413)*$F413-$B413*$F413*$I413+$B413*($G413-$F413),0),0))</f>
        <v/>
      </c>
    </row>
    <row r="414">
      <c r="L414" s="24">
        <f>IF($A414="","",IFERROR(ROUND($B414*$G414-($D414+$E414)*$F414-$B414*$F414*$I414+$B414*($G414-$F414),0),0))</f>
        <v/>
      </c>
    </row>
    <row r="415">
      <c r="L415" s="24">
        <f>IF($A415="","",IFERROR(ROUND($B415*$G415-($D415+$E415)*$F415-$B415*$F415*$I415+$B415*($G415-$F415),0),0))</f>
        <v/>
      </c>
    </row>
    <row r="416">
      <c r="L416" s="24">
        <f>IF($A416="","",IFERROR(ROUND($B416*$G416-($D416+$E416)*$F416-$B416*$F416*$I416+$B416*($G416-$F416),0),0))</f>
        <v/>
      </c>
    </row>
    <row r="417">
      <c r="L417" s="24">
        <f>IF($A417="","",IFERROR(ROUND($B417*$G417-($D417+$E417)*$F417-$B417*$F417*$I417+$B417*($G417-$F417),0),0))</f>
        <v/>
      </c>
    </row>
    <row r="418">
      <c r="L418" s="24">
        <f>IF($A418="","",IFERROR(ROUND($B418*$G418-($D418+$E418)*$F418-$B418*$F418*$I418+$B418*($G418-$F418),0),0))</f>
        <v/>
      </c>
    </row>
    <row r="419">
      <c r="L419" s="24">
        <f>IF($A419="","",IFERROR(ROUND($B419*$G419-($D419+$E419)*$F419-$B419*$F419*$I419+$B419*($G419-$F419),0),0))</f>
        <v/>
      </c>
    </row>
    <row r="420">
      <c r="L420" s="24">
        <f>IF($A420="","",IFERROR(ROUND($B420*$G420-($D420+$E420)*$F420-$B420*$F420*$I420+$B420*($G420-$F420),0),0))</f>
        <v/>
      </c>
    </row>
    <row r="421">
      <c r="L421" s="24">
        <f>IF($A421="","",IFERROR(ROUND($B421*$G421-($D421+$E421)*$F421-$B421*$F421*$I421+$B421*($G421-$F421),0),0))</f>
        <v/>
      </c>
    </row>
    <row r="422">
      <c r="L422" s="24">
        <f>IF($A422="","",IFERROR(ROUND($B422*$G422-($D422+$E422)*$F422-$B422*$F422*$I422+$B422*($G422-$F422),0),0))</f>
        <v/>
      </c>
    </row>
    <row r="423">
      <c r="L423" s="24">
        <f>IF($A423="","",IFERROR(ROUND($B423*$G423-($D423+$E423)*$F423-$B423*$F423*$I423+$B423*($G423-$F423),0),0))</f>
        <v/>
      </c>
    </row>
    <row r="424">
      <c r="L424" s="24">
        <f>IF($A424="","",IFERROR(ROUND($B424*$G424-($D424+$E424)*$F424-$B424*$F424*$I424+$B424*($G424-$F424),0),0))</f>
        <v/>
      </c>
    </row>
    <row r="425">
      <c r="L425" s="24">
        <f>IF($A425="","",IFERROR(ROUND($B425*$G425-($D425+$E425)*$F425-$B425*$F425*$I425+$B425*($G425-$F425),0),0))</f>
        <v/>
      </c>
    </row>
    <row r="426">
      <c r="L426" s="24">
        <f>IF($A426="","",IFERROR(ROUND($B426*$G426-($D426+$E426)*$F426-$B426*$F426*$I426+$B426*($G426-$F426),0),0))</f>
        <v/>
      </c>
    </row>
    <row r="427">
      <c r="L427" s="24">
        <f>IF($A427="","",IFERROR(ROUND($B427*$G427-($D427+$E427)*$F427-$B427*$F427*$I427+$B427*($G427-$F427),0),0))</f>
        <v/>
      </c>
    </row>
    <row r="428">
      <c r="L428" s="24">
        <f>IF($A428="","",IFERROR(ROUND($B428*$G428-($D428+$E428)*$F428-$B428*$F428*$I428+$B428*($G428-$F428),0),0))</f>
        <v/>
      </c>
    </row>
    <row r="429">
      <c r="L429" s="24">
        <f>IF($A429="","",IFERROR(ROUND($B429*$G429-($D429+$E429)*$F429-$B429*$F429*$I429+$B429*($G429-$F429),0),0))</f>
        <v/>
      </c>
    </row>
    <row r="430">
      <c r="L430" s="24">
        <f>IF($A430="","",IFERROR(ROUND($B430*$G430-($D430+$E430)*$F430-$B430*$F430*$I430+$B430*($G430-$F430),0),0))</f>
        <v/>
      </c>
    </row>
    <row r="431">
      <c r="L431" s="24">
        <f>IF($A431="","",IFERROR(ROUND($B431*$G431-($D431+$E431)*$F431-$B431*$F431*$I431+$B431*($G431-$F431),0),0))</f>
        <v/>
      </c>
    </row>
    <row r="432">
      <c r="L432" s="24">
        <f>IF($A432="","",IFERROR(ROUND($B432*$G432-($D432+$E432)*$F432-$B432*$F432*$I432+$B432*($G432-$F432),0),0))</f>
        <v/>
      </c>
    </row>
    <row r="433">
      <c r="L433" s="24">
        <f>IF($A433="","",IFERROR(ROUND($B433*$G433-($D433+$E433)*$F433-$B433*$F433*$I433+$B433*($G433-$F433),0),0))</f>
        <v/>
      </c>
    </row>
    <row r="434">
      <c r="L434" s="24">
        <f>IF($A434="","",IFERROR(ROUND($B434*$G434-($D434+$E434)*$F434-$B434*$F434*$I434+$B434*($G434-$F434),0),0))</f>
        <v/>
      </c>
    </row>
    <row r="435">
      <c r="L435" s="24">
        <f>IF($A435="","",IFERROR(ROUND($B435*$G435-($D435+$E435)*$F435-$B435*$F435*$I435+$B435*($G435-$F435),0),0))</f>
        <v/>
      </c>
    </row>
    <row r="436">
      <c r="L436" s="24">
        <f>IF($A436="","",IFERROR(ROUND($B436*$G436-($D436+$E436)*$F436-$B436*$F436*$I436+$B436*($G436-$F436),0),0))</f>
        <v/>
      </c>
    </row>
    <row r="437">
      <c r="L437" s="24">
        <f>IF($A437="","",IFERROR(ROUND($B437*$G437-($D437+$E437)*$F437-$B437*$F437*$I437+$B437*($G437-$F437),0),0))</f>
        <v/>
      </c>
    </row>
    <row r="438">
      <c r="L438" s="24">
        <f>IF($A438="","",IFERROR(ROUND($B438*$G438-($D438+$E438)*$F438-$B438*$F438*$I438+$B438*($G438-$F438),0),0))</f>
        <v/>
      </c>
    </row>
    <row r="439">
      <c r="L439" s="24">
        <f>IF($A439="","",IFERROR(ROUND($B439*$G439-($D439+$E439)*$F439-$B439*$F439*$I439+$B439*($G439-$F439),0),0))</f>
        <v/>
      </c>
    </row>
    <row r="440">
      <c r="L440" s="24">
        <f>IF($A440="","",IFERROR(ROUND($B440*$G440-($D440+$E440)*$F440-$B440*$F440*$I440+$B440*($G440-$F440),0),0))</f>
        <v/>
      </c>
    </row>
    <row r="441">
      <c r="L441" s="24">
        <f>IF($A441="","",IFERROR(ROUND($B441*$G441-($D441+$E441)*$F441-$B441*$F441*$I441+$B441*($G441-$F441),0),0))</f>
        <v/>
      </c>
    </row>
    <row r="442">
      <c r="L442" s="24">
        <f>IF($A442="","",IFERROR(ROUND($B442*$G442-($D442+$E442)*$F442-$B442*$F442*$I442+$B442*($G442-$F442),0),0))</f>
        <v/>
      </c>
    </row>
    <row r="443">
      <c r="L443" s="24">
        <f>IF($A443="","",IFERROR(ROUND($B443*$G443-($D443+$E443)*$F443-$B443*$F443*$I443+$B443*($G443-$F443),0),0))</f>
        <v/>
      </c>
    </row>
    <row r="444">
      <c r="L444" s="24">
        <f>IF($A444="","",IFERROR(ROUND($B444*$G444-($D444+$E444)*$F444-$B444*$F444*$I444+$B444*($G444-$F444),0),0))</f>
        <v/>
      </c>
    </row>
    <row r="445">
      <c r="L445" s="24">
        <f>IF($A445="","",IFERROR(ROUND($B445*$G445-($D445+$E445)*$F445-$B445*$F445*$I445+$B445*($G445-$F445),0),0))</f>
        <v/>
      </c>
    </row>
    <row r="446">
      <c r="L446" s="24">
        <f>IF($A446="","",IFERROR(ROUND($B446*$G446-($D446+$E446)*$F446-$B446*$F446*$I446+$B446*($G446-$F446),0),0))</f>
        <v/>
      </c>
    </row>
    <row r="447">
      <c r="L447" s="24">
        <f>IF($A447="","",IFERROR(ROUND($B447*$G447-($D447+$E447)*$F447-$B447*$F447*$I447+$B447*($G447-$F447),0),0))</f>
        <v/>
      </c>
    </row>
    <row r="448">
      <c r="L448" s="24">
        <f>IF($A448="","",IFERROR(ROUND($B448*$G448-($D448+$E448)*$F448-$B448*$F448*$I448+$B448*($G448-$F448),0),0))</f>
        <v/>
      </c>
    </row>
    <row r="449">
      <c r="L449" s="24">
        <f>IF($A449="","",IFERROR(ROUND($B449*$G449-($D449+$E449)*$F449-$B449*$F449*$I449+$B449*($G449-$F449),0),0))</f>
        <v/>
      </c>
    </row>
    <row r="450">
      <c r="L450" s="24">
        <f>IF($A450="","",IFERROR(ROUND($B450*$G450-($D450+$E450)*$F450-$B450*$F450*$I450+$B450*($G450-$F450),0),0))</f>
        <v/>
      </c>
    </row>
    <row r="451">
      <c r="L451" s="24">
        <f>IF($A451="","",IFERROR(ROUND($B451*$G451-($D451+$E451)*$F451-$B451*$F451*$I451+$B451*($G451-$F451),0),0))</f>
        <v/>
      </c>
    </row>
    <row r="452">
      <c r="L452" s="24">
        <f>IF($A452="","",IFERROR(ROUND($B452*$G452-($D452+$E452)*$F452-$B452*$F452*$I452+$B452*($G452-$F452),0),0))</f>
        <v/>
      </c>
    </row>
    <row r="453">
      <c r="L453" s="24">
        <f>IF($A453="","",IFERROR(ROUND($B453*$G453-($D453+$E453)*$F453-$B453*$F453*$I453+$B453*($G453-$F453),0),0))</f>
        <v/>
      </c>
    </row>
    <row r="454">
      <c r="L454" s="24">
        <f>IF($A454="","",IFERROR(ROUND($B454*$G454-($D454+$E454)*$F454-$B454*$F454*$I454+$B454*($G454-$F454),0),0))</f>
        <v/>
      </c>
    </row>
    <row r="455">
      <c r="L455" s="24">
        <f>IF($A455="","",IFERROR(ROUND($B455*$G455-($D455+$E455)*$F455-$B455*$F455*$I455+$B455*($G455-$F455),0),0))</f>
        <v/>
      </c>
    </row>
    <row r="456">
      <c r="L456" s="24">
        <f>IF($A456="","",IFERROR(ROUND($B456*$G456-($D456+$E456)*$F456-$B456*$F456*$I456+$B456*($G456-$F456),0),0))</f>
        <v/>
      </c>
    </row>
    <row r="457">
      <c r="L457" s="24">
        <f>IF($A457="","",IFERROR(ROUND($B457*$G457-($D457+$E457)*$F457-$B457*$F457*$I457+$B457*($G457-$F457),0),0))</f>
        <v/>
      </c>
    </row>
    <row r="458">
      <c r="L458" s="24">
        <f>IF($A458="","",IFERROR(ROUND($B458*$G458-($D458+$E458)*$F458-$B458*$F458*$I458+$B458*($G458-$F458),0),0))</f>
        <v/>
      </c>
    </row>
    <row r="459">
      <c r="L459" s="24">
        <f>IF($A459="","",IFERROR(ROUND($B459*$G459-($D459+$E459)*$F459-$B459*$F459*$I459+$B459*($G459-$F459),0),0))</f>
        <v/>
      </c>
    </row>
    <row r="460">
      <c r="L460" s="24">
        <f>IF($A460="","",IFERROR(ROUND($B460*$G460-($D460+$E460)*$F460-$B460*$F460*$I460+$B460*($G460-$F460),0),0))</f>
        <v/>
      </c>
    </row>
    <row r="461">
      <c r="L461" s="24">
        <f>IF($A461="","",IFERROR(ROUND($B461*$G461-($D461+$E461)*$F461-$B461*$F461*$I461+$B461*($G461-$F461),0),0))</f>
        <v/>
      </c>
    </row>
    <row r="462">
      <c r="L462" s="24">
        <f>IF($A462="","",IFERROR(ROUND($B462*$G462-($D462+$E462)*$F462-$B462*$F462*$I462+$B462*($G462-$F462),0),0))</f>
        <v/>
      </c>
    </row>
    <row r="463">
      <c r="L463" s="24">
        <f>IF($A463="","",IFERROR(ROUND($B463*$G463-($D463+$E463)*$F463-$B463*$F463*$I463+$B463*($G463-$F463),0),0))</f>
        <v/>
      </c>
    </row>
    <row r="464">
      <c r="L464" s="24">
        <f>IF($A464="","",IFERROR(ROUND($B464*$G464-($D464+$E464)*$F464-$B464*$F464*$I464+$B464*($G464-$F464),0),0))</f>
        <v/>
      </c>
    </row>
    <row r="465">
      <c r="L465" s="24">
        <f>IF($A465="","",IFERROR(ROUND($B465*$G465-($D465+$E465)*$F465-$B465*$F465*$I465+$B465*($G465-$F465),0),0))</f>
        <v/>
      </c>
    </row>
    <row r="466">
      <c r="L466" s="24">
        <f>IF($A466="","",IFERROR(ROUND($B466*$G466-($D466+$E466)*$F466-$B466*$F466*$I466+$B466*($G466-$F466),0),0))</f>
        <v/>
      </c>
    </row>
    <row r="467">
      <c r="L467" s="24">
        <f>IF($A467="","",IFERROR(ROUND($B467*$G467-($D467+$E467)*$F467-$B467*$F467*$I467+$B467*($G467-$F467),0),0))</f>
        <v/>
      </c>
    </row>
    <row r="468">
      <c r="L468" s="24">
        <f>IF($A468="","",IFERROR(ROUND($B468*$G468-($D468+$E468)*$F468-$B468*$F468*$I468+$B468*($G468-$F468),0),0))</f>
        <v/>
      </c>
    </row>
    <row r="469">
      <c r="L469" s="24">
        <f>IF($A469="","",IFERROR(ROUND($B469*$G469-($D469+$E469)*$F469-$B469*$F469*$I469+$B469*($G469-$F469),0),0))</f>
        <v/>
      </c>
    </row>
    <row r="470">
      <c r="L470" s="24">
        <f>IF($A470="","",IFERROR(ROUND($B470*$G470-($D470+$E470)*$F470-$B470*$F470*$I470+$B470*($G470-$F470),0),0))</f>
        <v/>
      </c>
    </row>
    <row r="471">
      <c r="L471" s="24">
        <f>IF($A471="","",IFERROR(ROUND($B471*$G471-($D471+$E471)*$F471-$B471*$F471*$I471+$B471*($G471-$F471),0),0))</f>
        <v/>
      </c>
    </row>
    <row r="472">
      <c r="L472" s="24">
        <f>IF($A472="","",IFERROR(ROUND($B472*$G472-($D472+$E472)*$F472-$B472*$F472*$I472+$B472*($G472-$F472),0),0))</f>
        <v/>
      </c>
    </row>
    <row r="473">
      <c r="L473" s="24">
        <f>IF($A473="","",IFERROR(ROUND($B473*$G473-($D473+$E473)*$F473-$B473*$F473*$I473+$B473*($G473-$F473),0),0))</f>
        <v/>
      </c>
    </row>
    <row r="474">
      <c r="L474" s="24">
        <f>IF($A474="","",IFERROR(ROUND($B474*$G474-($D474+$E474)*$F474-$B474*$F474*$I474+$B474*($G474-$F474),0),0))</f>
        <v/>
      </c>
    </row>
    <row r="475">
      <c r="L475" s="24">
        <f>IF($A475="","",IFERROR(ROUND($B475*$G475-($D475+$E475)*$F475-$B475*$F475*$I475+$B475*($G475-$F475),0),0))</f>
        <v/>
      </c>
    </row>
    <row r="476">
      <c r="L476" s="24">
        <f>IF($A476="","",IFERROR(ROUND($B476*$G476-($D476+$E476)*$F476-$B476*$F476*$I476+$B476*($G476-$F476),0),0))</f>
        <v/>
      </c>
    </row>
    <row r="477">
      <c r="L477" s="24">
        <f>IF($A477="","",IFERROR(ROUND($B477*$G477-($D477+$E477)*$F477-$B477*$F477*$I477+$B477*($G477-$F477),0),0))</f>
        <v/>
      </c>
    </row>
    <row r="478">
      <c r="L478" s="24">
        <f>IF($A478="","",IFERROR(ROUND($B478*$G478-($D478+$E478)*$F478-$B478*$F478*$I478+$B478*($G478-$F478),0),0))</f>
        <v/>
      </c>
    </row>
    <row r="479">
      <c r="L479" s="24">
        <f>IF($A479="","",IFERROR(ROUND($B479*$G479-($D479+$E479)*$F479-$B479*$F479*$I479+$B479*($G479-$F479),0),0))</f>
        <v/>
      </c>
    </row>
    <row r="480">
      <c r="L480" s="24">
        <f>IF($A480="","",IFERROR(ROUND($B480*$G480-($D480+$E480)*$F480-$B480*$F480*$I480+$B480*($G480-$F480),0),0))</f>
        <v/>
      </c>
    </row>
    <row r="481">
      <c r="L481" s="24">
        <f>IF($A481="","",IFERROR(ROUND($B481*$G481-($D481+$E481)*$F481-$B481*$F481*$I481+$B481*($G481-$F481),0),0))</f>
        <v/>
      </c>
    </row>
    <row r="482">
      <c r="L482" s="24">
        <f>IF($A482="","",IFERROR(ROUND($B482*$G482-($D482+$E482)*$F482-$B482*$F482*$I482+$B482*($G482-$F482),0),0))</f>
        <v/>
      </c>
    </row>
    <row r="483">
      <c r="L483" s="24">
        <f>IF($A483="","",IFERROR(ROUND($B483*$G483-($D483+$E483)*$F483-$B483*$F483*$I483+$B483*($G483-$F483),0),0))</f>
        <v/>
      </c>
    </row>
    <row r="484">
      <c r="L484" s="24">
        <f>IF($A484="","",IFERROR(ROUND($B484*$G484-($D484+$E484)*$F484-$B484*$F484*$I484+$B484*($G484-$F484),0),0))</f>
        <v/>
      </c>
    </row>
    <row r="485">
      <c r="L485" s="24">
        <f>IF($A485="","",IFERROR(ROUND($B485*$G485-($D485+$E485)*$F485-$B485*$F485*$I485+$B485*($G485-$F485),0),0))</f>
        <v/>
      </c>
    </row>
    <row r="486">
      <c r="L486" s="24">
        <f>IF($A486="","",IFERROR(ROUND($B486*$G486-($D486+$E486)*$F486-$B486*$F486*$I486+$B486*($G486-$F486),0),0))</f>
        <v/>
      </c>
    </row>
    <row r="487">
      <c r="L487" s="24">
        <f>IF($A487="","",IFERROR(ROUND($B487*$G487-($D487+$E487)*$F487-$B487*$F487*$I487+$B487*($G487-$F487),0),0))</f>
        <v/>
      </c>
    </row>
    <row r="488">
      <c r="L488" s="24">
        <f>IF($A488="","",IFERROR(ROUND($B488*$G488-($D488+$E488)*$F488-$B488*$F488*$I488+$B488*($G488-$F488),0),0))</f>
        <v/>
      </c>
    </row>
    <row r="489">
      <c r="L489" s="24">
        <f>IF($A489="","",IFERROR(ROUND($B489*$G489-($D489+$E489)*$F489-$B489*$F489*$I489+$B489*($G489-$F489),0),0))</f>
        <v/>
      </c>
    </row>
    <row r="490">
      <c r="L490" s="24">
        <f>IF($A490="","",IFERROR(ROUND($B490*$G490-($D490+$E490)*$F490-$B490*$F490*$I490+$B490*($G490-$F490),0),0))</f>
        <v/>
      </c>
    </row>
    <row r="491">
      <c r="L491" s="24">
        <f>IF($A491="","",IFERROR(ROUND($B491*$G491-($D491+$E491)*$F491-$B491*$F491*$I491+$B491*($G491-$F491),0),0))</f>
        <v/>
      </c>
    </row>
    <row r="492">
      <c r="L492" s="24">
        <f>IF($A492="","",IFERROR(ROUND($B492*$G492-($D492+$E492)*$F492-$B492*$F492*$I492+$B492*($G492-$F492),0),0))</f>
        <v/>
      </c>
    </row>
    <row r="493">
      <c r="L493" s="24">
        <f>IF($A493="","",IFERROR(ROUND($B493*$G493-($D493+$E493)*$F493-$B493*$F493*$I493+$B493*($G493-$F493),0),0))</f>
        <v/>
      </c>
    </row>
    <row r="494">
      <c r="L494" s="24">
        <f>IF($A494="","",IFERROR(ROUND($B494*$G494-($D494+$E494)*$F494-$B494*$F494*$I494+$B494*($G494-$F494),0),0))</f>
        <v/>
      </c>
    </row>
    <row r="495">
      <c r="L495" s="24">
        <f>IF($A495="","",IFERROR(ROUND($B495*$G495-($D495+$E495)*$F495-$B495*$F495*$I495+$B495*($G495-$F495),0),0))</f>
        <v/>
      </c>
    </row>
    <row r="496">
      <c r="L496" s="24">
        <f>IF($A496="","",IFERROR(ROUND($B496*$G496-($D496+$E496)*$F496-$B496*$F496*$I496+$B496*($G496-$F496),0),0))</f>
        <v/>
      </c>
    </row>
    <row r="497">
      <c r="L497" s="24">
        <f>IF($A497="","",IFERROR(ROUND($B497*$G497-($D497+$E497)*$F497-$B497*$F497*$I497+$B497*($G497-$F497),0),0))</f>
        <v/>
      </c>
    </row>
    <row r="498">
      <c r="L498" s="24">
        <f>IF($A498="","",IFERROR(ROUND($B498*$G498-($D498+$E498)*$F498-$B498*$F498*$I498+$B498*($G498-$F498),0),0))</f>
        <v/>
      </c>
    </row>
    <row r="499">
      <c r="L499" s="24">
        <f>IF($A499="","",IFERROR(ROUND($B499*$G499-($D499+$E499)*$F499-$B499*$F499*$I499+$B499*($G499-$F499),0),0))</f>
        <v/>
      </c>
    </row>
    <row r="500">
      <c r="L500" s="24">
        <f>IF($A500="","",IFERROR(ROUND($B500*$G500-($D500+$E500)*$F500-$B500*$F500*$I500+$B500*($G500-$F500),0),0))</f>
        <v/>
      </c>
    </row>
    <row r="501">
      <c r="L501" s="24">
        <f>IF($A501="","",IFERROR(ROUND($B501*$G501-($D501+$E501)*$F501-$B501*$F501*$I501+$B501*($G501-$F501),0),0))</f>
        <v/>
      </c>
    </row>
    <row r="502">
      <c r="L502" s="24">
        <f>IF($A502="","",IFERROR(ROUND($B502*$G502-($D502+$E502)*$F502-$B502*$F502*$I502+$B502*($G502-$F502),0),0))</f>
        <v/>
      </c>
    </row>
    <row r="503">
      <c r="L503" s="24">
        <f>IF($A503="","",IFERROR(ROUND($B503*$G503-($D503+$E503)*$F503-$B503*$F503*$I503+$B503*($G503-$F503),0),0))</f>
        <v/>
      </c>
    </row>
    <row r="504">
      <c r="L504" s="24">
        <f>IF($A504="","",IFERROR(ROUND($B504*$G504-($D504+$E504)*$F504-$B504*$F504*$I504+$B504*($G504-$F504),0),0))</f>
        <v/>
      </c>
    </row>
    <row r="505">
      <c r="L505" s="24">
        <f>IF($A505="","",IFERROR(ROUND($B505*$G505-($D505+$E505)*$F505-$B505*$F505*$I505+$B505*($G505-$F505),0),0))</f>
        <v/>
      </c>
    </row>
    <row r="506">
      <c r="L506" s="24">
        <f>IF($A506="","",IFERROR(ROUND($B506*$G506-($D506+$E506)*$F506-$B506*$F506*$I506+$B506*($G506-$F506),0),0))</f>
        <v/>
      </c>
    </row>
    <row r="507">
      <c r="L507" s="24">
        <f>IF($A507="","",IFERROR(ROUND($B507*$G507-($D507+$E507)*$F507-$B507*$F507*$I507+$B507*($G507-$F507),0),0))</f>
        <v/>
      </c>
    </row>
    <row r="508">
      <c r="L508" s="24">
        <f>IF($A508="","",IFERROR(ROUND($B508*$G508-($D508+$E508)*$F508-$B508*$F508*$I508+$B508*($G508-$F508),0),0))</f>
        <v/>
      </c>
    </row>
    <row r="509">
      <c r="L509" s="24">
        <f>IF($A509="","",IFERROR(ROUND($B509*$G509-($D509+$E509)*$F509-$B509*$F509*$I509+$B509*($G509-$F509),0),0))</f>
        <v/>
      </c>
    </row>
    <row r="510">
      <c r="L510" s="24">
        <f>IF($A510="","",IFERROR(ROUND($B510*$G510-($D510+$E510)*$F510-$B510*$F510*$I510+$B510*($G510-$F510),0),0))</f>
        <v/>
      </c>
    </row>
    <row r="511">
      <c r="L511" s="24">
        <f>IF($A511="","",IFERROR(ROUND($B511*$G511-($D511+$E511)*$F511-$B511*$F511*$I511+$B511*($G511-$F511),0),0))</f>
        <v/>
      </c>
    </row>
    <row r="512">
      <c r="L512" s="24">
        <f>IF($A512="","",IFERROR(ROUND($B512*$G512-($D512+$E512)*$F512-$B512*$F512*$I512+$B512*($G512-$F512),0),0))</f>
        <v/>
      </c>
    </row>
    <row r="513">
      <c r="L513" s="24">
        <f>IF($A513="","",IFERROR(ROUND($B513*$G513-($D513+$E513)*$F513-$B513*$F513*$I513+$B513*($G513-$F513),0),0))</f>
        <v/>
      </c>
    </row>
    <row r="514">
      <c r="L514" s="24">
        <f>IF($A514="","",IFERROR(ROUND($B514*$G514-($D514+$E514)*$F514-$B514*$F514*$I514+$B514*($G514-$F514),0),0))</f>
        <v/>
      </c>
    </row>
    <row r="515">
      <c r="L515" s="24">
        <f>IF($A515="","",IFERROR(ROUND($B515*$G515-($D515+$E515)*$F515-$B515*$F515*$I515+$B515*($G515-$F515),0),0))</f>
        <v/>
      </c>
    </row>
    <row r="516">
      <c r="L516" s="24">
        <f>IF($A516="","",IFERROR(ROUND($B516*$G516-($D516+$E516)*$F516-$B516*$F516*$I516+$B516*($G516-$F516),0),0))</f>
        <v/>
      </c>
    </row>
    <row r="517">
      <c r="L517" s="24">
        <f>IF($A517="","",IFERROR(ROUND($B517*$G517-($D517+$E517)*$F517-$B517*$F517*$I517+$B517*($G517-$F517),0),0))</f>
        <v/>
      </c>
    </row>
    <row r="518">
      <c r="L518" s="24">
        <f>IF($A518="","",IFERROR(ROUND($B518*$G518-($D518+$E518)*$F518-$B518*$F518*$I518+$B518*($G518-$F518),0),0))</f>
        <v/>
      </c>
    </row>
    <row r="519">
      <c r="L519" s="24">
        <f>IF($A519="","",IFERROR(ROUND($B519*$G519-($D519+$E519)*$F519-$B519*$F519*$I519+$B519*($G519-$F519),0),0))</f>
        <v/>
      </c>
    </row>
    <row r="520">
      <c r="L520" s="24">
        <f>IF($A520="","",IFERROR(ROUND($B520*$G520-($D520+$E520)*$F520-$B520*$F520*$I520+$B520*($G520-$F520),0),0))</f>
        <v/>
      </c>
    </row>
    <row r="521">
      <c r="L521" s="24">
        <f>IF($A521="","",IFERROR(ROUND($B521*$G521-($D521+$E521)*$F521-$B521*$F521*$I521+$B521*($G521-$F521),0),0))</f>
        <v/>
      </c>
    </row>
    <row r="522">
      <c r="L522" s="24">
        <f>IF($A522="","",IFERROR(ROUND($B522*$G522-($D522+$E522)*$F522-$B522*$F522*$I522+$B522*($G522-$F522),0),0))</f>
        <v/>
      </c>
    </row>
    <row r="523">
      <c r="L523" s="24">
        <f>IF($A523="","",IFERROR(ROUND($B523*$G523-($D523+$E523)*$F523-$B523*$F523*$I523+$B523*($G523-$F523),0),0))</f>
        <v/>
      </c>
    </row>
    <row r="524">
      <c r="L524" s="24">
        <f>IF($A524="","",IFERROR(ROUND($B524*$G524-($D524+$E524)*$F524-$B524*$F524*$I524+$B524*($G524-$F524),0),0))</f>
        <v/>
      </c>
    </row>
    <row r="525">
      <c r="L525" s="24">
        <f>IF($A525="","",IFERROR(ROUND($B525*$G525-($D525+$E525)*$F525-$B525*$F525*$I525+$B525*($G525-$F525),0),0))</f>
        <v/>
      </c>
    </row>
    <row r="526">
      <c r="L526" s="24">
        <f>IF($A526="","",IFERROR(ROUND($B526*$G526-($D526+$E526)*$F526-$B526*$F526*$I526+$B526*($G526-$F526),0),0))</f>
        <v/>
      </c>
    </row>
    <row r="527">
      <c r="L527" s="24">
        <f>IF($A527="","",IFERROR(ROUND($B527*$G527-($D527+$E527)*$F527-$B527*$F527*$I527+$B527*($G527-$F527),0),0))</f>
        <v/>
      </c>
    </row>
    <row r="528">
      <c r="L528" s="24">
        <f>IF($A528="","",IFERROR(ROUND($B528*$G528-($D528+$E528)*$F528-$B528*$F528*$I528+$B528*($G528-$F528),0),0))</f>
        <v/>
      </c>
    </row>
    <row r="529">
      <c r="L529" s="24">
        <f>IF($A529="","",IFERROR(ROUND($B529*$G529-($D529+$E529)*$F529-$B529*$F529*$I529+$B529*($G529-$F529),0),0))</f>
        <v/>
      </c>
    </row>
    <row r="530">
      <c r="L530" s="24">
        <f>IF($A530="","",IFERROR(ROUND($B530*$G530-($D530+$E530)*$F530-$B530*$F530*$I530+$B530*($G530-$F530),0),0))</f>
        <v/>
      </c>
    </row>
    <row r="531">
      <c r="L531" s="24">
        <f>IF($A531="","",IFERROR(ROUND($B531*$G531-($D531+$E531)*$F531-$B531*$F531*$I531+$B531*($G531-$F531),0),0))</f>
        <v/>
      </c>
    </row>
    <row r="532">
      <c r="L532" s="24">
        <f>IF($A532="","",IFERROR(ROUND($B532*$G532-($D532+$E532)*$F532-$B532*$F532*$I532+$B532*($G532-$F532),0),0))</f>
        <v/>
      </c>
    </row>
    <row r="533">
      <c r="L533" s="24">
        <f>IF($A533="","",IFERROR(ROUND($B533*$G533-($D533+$E533)*$F533-$B533*$F533*$I533+$B533*($G533-$F533),0),0))</f>
        <v/>
      </c>
    </row>
    <row r="534">
      <c r="L534" s="24">
        <f>IF($A534="","",IFERROR(ROUND($B534*$G534-($D534+$E534)*$F534-$B534*$F534*$I534+$B534*($G534-$F534),0),0))</f>
        <v/>
      </c>
    </row>
    <row r="535">
      <c r="L535" s="24">
        <f>IF($A535="","",IFERROR(ROUND($B535*$G535-($D535+$E535)*$F535-$B535*$F535*$I535+$B535*($G535-$F535),0),0))</f>
        <v/>
      </c>
    </row>
    <row r="536">
      <c r="L536" s="24">
        <f>IF($A536="","",IFERROR(ROUND($B536*$G536-($D536+$E536)*$F536-$B536*$F536*$I536+$B536*($G536-$F536),0),0))</f>
        <v/>
      </c>
    </row>
    <row r="537">
      <c r="L537" s="24">
        <f>IF($A537="","",IFERROR(ROUND($B537*$G537-($D537+$E537)*$F537-$B537*$F537*$I537+$B537*($G537-$F537),0),0))</f>
        <v/>
      </c>
    </row>
    <row r="538">
      <c r="L538" s="24">
        <f>IF($A538="","",IFERROR(ROUND($B538*$G538-($D538+$E538)*$F538-$B538*$F538*$I538+$B538*($G538-$F538),0),0))</f>
        <v/>
      </c>
    </row>
    <row r="539">
      <c r="L539" s="24">
        <f>IF($A539="","",IFERROR(ROUND($B539*$G539-($D539+$E539)*$F539-$B539*$F539*$I539+$B539*($G539-$F539),0),0))</f>
        <v/>
      </c>
    </row>
    <row r="540">
      <c r="L540" s="24">
        <f>IF($A540="","",IFERROR(ROUND($B540*$G540-($D540+$E540)*$F540-$B540*$F540*$I540+$B540*($G540-$F540),0),0))</f>
        <v/>
      </c>
    </row>
    <row r="541">
      <c r="L541" s="24">
        <f>IF($A541="","",IFERROR(ROUND($B541*$G541-($D541+$E541)*$F541-$B541*$F541*$I541+$B541*($G541-$F541),0),0))</f>
        <v/>
      </c>
    </row>
    <row r="542">
      <c r="L542" s="24">
        <f>IF($A542="","",IFERROR(ROUND($B542*$G542-($D542+$E542)*$F542-$B542*$F542*$I542+$B542*($G542-$F542),0),0))</f>
        <v/>
      </c>
    </row>
    <row r="543">
      <c r="L543" s="24">
        <f>IF($A543="","",IFERROR(ROUND($B543*$G543-($D543+$E543)*$F543-$B543*$F543*$I543+$B543*($G543-$F543),0),0))</f>
        <v/>
      </c>
    </row>
    <row r="544">
      <c r="L544" s="24">
        <f>IF($A544="","",IFERROR(ROUND($B544*$G544-($D544+$E544)*$F544-$B544*$F544*$I544+$B544*($G544-$F544),0),0))</f>
        <v/>
      </c>
    </row>
    <row r="545">
      <c r="L545" s="24">
        <f>IF($A545="","",IFERROR(ROUND($B545*$G545-($D545+$E545)*$F545-$B545*$F545*$I545+$B545*($G545-$F545),0),0))</f>
        <v/>
      </c>
    </row>
    <row r="546">
      <c r="L546" s="24">
        <f>IF($A546="","",IFERROR(ROUND($B546*$G546-($D546+$E546)*$F546-$B546*$F546*$I546+$B546*($G546-$F546),0),0))</f>
        <v/>
      </c>
    </row>
    <row r="547">
      <c r="L547" s="24">
        <f>IF($A547="","",IFERROR(ROUND($B547*$G547-($D547+$E547)*$F547-$B547*$F547*$I547+$B547*($G547-$F547),0),0))</f>
        <v/>
      </c>
    </row>
    <row r="548">
      <c r="L548" s="24">
        <f>IF($A548="","",IFERROR(ROUND($B548*$G548-($D548+$E548)*$F548-$B548*$F548*$I548+$B548*($G548-$F548),0),0))</f>
        <v/>
      </c>
    </row>
    <row r="549">
      <c r="L549" s="24">
        <f>IF($A549="","",IFERROR(ROUND($B549*$G549-($D549+$E549)*$F549-$B549*$F549*$I549+$B549*($G549-$F549),0),0))</f>
        <v/>
      </c>
    </row>
    <row r="550">
      <c r="L550" s="24">
        <f>IF($A550="","",IFERROR(ROUND($B550*$G550-($D550+$E550)*$F550-$B550*$F550*$I550+$B550*($G550-$F550),0),0))</f>
        <v/>
      </c>
    </row>
    <row r="551">
      <c r="L551" s="24">
        <f>IF($A551="","",IFERROR(ROUND($B551*$G551-($D551+$E551)*$F551-$B551*$F551*$I551+$B551*($G551-$F551),0),0))</f>
        <v/>
      </c>
    </row>
    <row r="552">
      <c r="L552" s="24">
        <f>IF($A552="","",IFERROR(ROUND($B552*$G552-($D552+$E552)*$F552-$B552*$F552*$I552+$B552*($G552-$F552),0),0))</f>
        <v/>
      </c>
    </row>
    <row r="553">
      <c r="L553" s="24">
        <f>IF($A553="","",IFERROR(ROUND($B553*$G553-($D553+$E553)*$F553-$B553*$F553*$I553+$B553*($G553-$F553),0),0))</f>
        <v/>
      </c>
    </row>
    <row r="554">
      <c r="L554" s="24">
        <f>IF($A554="","",IFERROR(ROUND($B554*$G554-($D554+$E554)*$F554-$B554*$F554*$I554+$B554*($G554-$F554),0),0))</f>
        <v/>
      </c>
    </row>
    <row r="555">
      <c r="L555" s="24">
        <f>IF($A555="","",IFERROR(ROUND($B555*$G555-($D555+$E555)*$F555-$B555*$F555*$I555+$B555*($G555-$F555),0),0))</f>
        <v/>
      </c>
    </row>
    <row r="556">
      <c r="L556" s="24">
        <f>IF($A556="","",IFERROR(ROUND($B556*$G556-($D556+$E556)*$F556-$B556*$F556*$I556+$B556*($G556-$F556),0),0))</f>
        <v/>
      </c>
    </row>
    <row r="557">
      <c r="L557" s="24">
        <f>IF($A557="","",IFERROR(ROUND($B557*$G557-($D557+$E557)*$F557-$B557*$F557*$I557+$B557*($G557-$F557),0),0))</f>
        <v/>
      </c>
    </row>
    <row r="558">
      <c r="L558" s="24">
        <f>IF($A558="","",IFERROR(ROUND($B558*$G558-($D558+$E558)*$F558-$B558*$F558*$I558+$B558*($G558-$F558),0),0))</f>
        <v/>
      </c>
    </row>
    <row r="559">
      <c r="L559" s="24">
        <f>IF($A559="","",IFERROR(ROUND($B559*$G559-($D559+$E559)*$F559-$B559*$F559*$I559+$B559*($G559-$F559),0),0))</f>
        <v/>
      </c>
    </row>
    <row r="560">
      <c r="L560" s="24">
        <f>IF($A560="","",IFERROR(ROUND($B560*$G560-($D560+$E560)*$F560-$B560*$F560*$I560+$B560*($G560-$F560),0),0))</f>
        <v/>
      </c>
    </row>
    <row r="561">
      <c r="L561" s="24">
        <f>IF($A561="","",IFERROR(ROUND($B561*$G561-($D561+$E561)*$F561-$B561*$F561*$I561+$B561*($G561-$F561),0),0))</f>
        <v/>
      </c>
    </row>
    <row r="562">
      <c r="L562" s="24">
        <f>IF($A562="","",IFERROR(ROUND($B562*$G562-($D562+$E562)*$F562-$B562*$F562*$I562+$B562*($G562-$F562),0),0))</f>
        <v/>
      </c>
    </row>
    <row r="563">
      <c r="L563" s="24">
        <f>IF($A563="","",IFERROR(ROUND($B563*$G563-($D563+$E563)*$F563-$B563*$F563*$I563+$B563*($G563-$F563),0),0))</f>
        <v/>
      </c>
    </row>
    <row r="564">
      <c r="L564" s="24">
        <f>IF($A564="","",IFERROR(ROUND($B564*$G564-($D564+$E564)*$F564-$B564*$F564*$I564+$B564*($G564-$F564),0),0))</f>
        <v/>
      </c>
    </row>
    <row r="565">
      <c r="L565" s="24">
        <f>IF($A565="","",IFERROR(ROUND($B565*$G565-($D565+$E565)*$F565-$B565*$F565*$I565+$B565*($G565-$F565),0),0))</f>
        <v/>
      </c>
    </row>
    <row r="566">
      <c r="L566" s="24">
        <f>IF($A566="","",IFERROR(ROUND($B566*$G566-($D566+$E566)*$F566-$B566*$F566*$I566+$B566*($G566-$F566),0),0))</f>
        <v/>
      </c>
    </row>
    <row r="567">
      <c r="L567" s="24">
        <f>IF($A567="","",IFERROR(ROUND($B567*$G567-($D567+$E567)*$F567-$B567*$F567*$I567+$B567*($G567-$F567),0),0))</f>
        <v/>
      </c>
    </row>
    <row r="568">
      <c r="L568" s="24">
        <f>IF($A568="","",IFERROR(ROUND($B568*$G568-($D568+$E568)*$F568-$B568*$F568*$I568+$B568*($G568-$F568),0),0))</f>
        <v/>
      </c>
    </row>
    <row r="569">
      <c r="L569" s="24">
        <f>IF($A569="","",IFERROR(ROUND($B569*$G569-($D569+$E569)*$F569-$B569*$F569*$I569+$B569*($G569-$F569),0),0))</f>
        <v/>
      </c>
    </row>
    <row r="570">
      <c r="L570" s="24">
        <f>IF($A570="","",IFERROR(ROUND($B570*$G570-($D570+$E570)*$F570-$B570*$F570*$I570+$B570*($G570-$F570),0),0))</f>
        <v/>
      </c>
    </row>
    <row r="571">
      <c r="L571" s="24">
        <f>IF($A571="","",IFERROR(ROUND($B571*$G571-($D571+$E571)*$F571-$B571*$F571*$I571+$B571*($G571-$F571),0),0))</f>
        <v/>
      </c>
    </row>
    <row r="572">
      <c r="L572" s="24">
        <f>IF($A572="","",IFERROR(ROUND($B572*$G572-($D572+$E572)*$F572-$B572*$F572*$I572+$B572*($G572-$F572),0),0))</f>
        <v/>
      </c>
    </row>
    <row r="573">
      <c r="L573" s="24">
        <f>IF($A573="","",IFERROR(ROUND($B573*$G573-($D573+$E573)*$F573-$B573*$F573*$I573+$B573*($G573-$F573),0),0))</f>
        <v/>
      </c>
    </row>
    <row r="574">
      <c r="L574" s="24">
        <f>IF($A574="","",IFERROR(ROUND($B574*$G574-($D574+$E574)*$F574-$B574*$F574*$I574+$B574*($G574-$F574),0),0))</f>
        <v/>
      </c>
    </row>
    <row r="575">
      <c r="L575" s="24">
        <f>IF($A575="","",IFERROR(ROUND($B575*$G575-($D575+$E575)*$F575-$B575*$F575*$I575+$B575*($G575-$F575),0),0))</f>
        <v/>
      </c>
    </row>
    <row r="576">
      <c r="L576" s="24">
        <f>IF($A576="","",IFERROR(ROUND($B576*$G576-($D576+$E576)*$F576-$B576*$F576*$I576+$B576*($G576-$F576),0),0))</f>
        <v/>
      </c>
    </row>
    <row r="577">
      <c r="L577" s="24">
        <f>IF($A577="","",IFERROR(ROUND($B577*$G577-($D577+$E577)*$F577-$B577*$F577*$I577+$B577*($G577-$F577),0),0))</f>
        <v/>
      </c>
    </row>
    <row r="578">
      <c r="L578" s="24">
        <f>IF($A578="","",IFERROR(ROUND($B578*$G578-($D578+$E578)*$F578-$B578*$F578*$I578+$B578*($G578-$F578),0),0))</f>
        <v/>
      </c>
    </row>
    <row r="579">
      <c r="L579" s="24">
        <f>IF($A579="","",IFERROR(ROUND($B579*$G579-($D579+$E579)*$F579-$B579*$F579*$I579+$B579*($G579-$F579),0),0))</f>
        <v/>
      </c>
    </row>
    <row r="580">
      <c r="L580" s="24">
        <f>IF($A580="","",IFERROR(ROUND($B580*$G580-($D580+$E580)*$F580-$B580*$F580*$I580+$B580*($G580-$F580),0),0))</f>
        <v/>
      </c>
    </row>
    <row r="581">
      <c r="L581" s="24">
        <f>IF($A581="","",IFERROR(ROUND($B581*$G581-($D581+$E581)*$F581-$B581*$F581*$I581+$B581*($G581-$F581),0),0))</f>
        <v/>
      </c>
    </row>
    <row r="582">
      <c r="L582" s="24">
        <f>IF($A582="","",IFERROR(ROUND($B582*$G582-($D582+$E582)*$F582-$B582*$F582*$I582+$B582*($G582-$F582),0),0))</f>
        <v/>
      </c>
    </row>
    <row r="583">
      <c r="L583" s="24">
        <f>IF($A583="","",IFERROR(ROUND($B583*$G583-($D583+$E583)*$F583-$B583*$F583*$I583+$B583*($G583-$F583),0),0))</f>
        <v/>
      </c>
    </row>
    <row r="584">
      <c r="L584" s="24">
        <f>IF($A584="","",IFERROR(ROUND($B584*$G584-($D584+$E584)*$F584-$B584*$F584*$I584+$B584*($G584-$F584),0),0))</f>
        <v/>
      </c>
    </row>
    <row r="585">
      <c r="L585" s="24">
        <f>IF($A585="","",IFERROR(ROUND($B585*$G585-($D585+$E585)*$F585-$B585*$F585*$I585+$B585*($G585-$F585),0),0))</f>
        <v/>
      </c>
    </row>
    <row r="586">
      <c r="L586" s="24">
        <f>IF($A586="","",IFERROR(ROUND($B586*$G586-($D586+$E586)*$F586-$B586*$F586*$I586+$B586*($G586-$F586),0),0))</f>
        <v/>
      </c>
    </row>
    <row r="587">
      <c r="L587" s="24">
        <f>IF($A587="","",IFERROR(ROUND($B587*$G587-($D587+$E587)*$F587-$B587*$F587*$I587+$B587*($G587-$F587),0),0))</f>
        <v/>
      </c>
    </row>
    <row r="588">
      <c r="L588" s="24">
        <f>IF($A588="","",IFERROR(ROUND($B588*$G588-($D588+$E588)*$F588-$B588*$F588*$I588+$B588*($G588-$F588),0),0))</f>
        <v/>
      </c>
    </row>
    <row r="589">
      <c r="L589" s="24">
        <f>IF($A589="","",IFERROR(ROUND($B589*$G589-($D589+$E589)*$F589-$B589*$F589*$I589+$B589*($G589-$F589),0),0))</f>
        <v/>
      </c>
    </row>
    <row r="590">
      <c r="L590" s="24">
        <f>IF($A590="","",IFERROR(ROUND($B590*$G590-($D590+$E590)*$F590-$B590*$F590*$I590+$B590*($G590-$F590),0),0))</f>
        <v/>
      </c>
    </row>
    <row r="591">
      <c r="L591" s="24">
        <f>IF($A591="","",IFERROR(ROUND($B591*$G591-($D591+$E591)*$F591-$B591*$F591*$I591+$B591*($G591-$F591),0),0))</f>
        <v/>
      </c>
    </row>
    <row r="592">
      <c r="L592" s="24">
        <f>IF($A592="","",IFERROR(ROUND($B592*$G592-($D592+$E592)*$F592-$B592*$F592*$I592+$B592*($G592-$F592),0),0))</f>
        <v/>
      </c>
    </row>
    <row r="593">
      <c r="L593" s="24">
        <f>IF($A593="","",IFERROR(ROUND($B593*$G593-($D593+$E593)*$F593-$B593*$F593*$I593+$B593*($G593-$F593),0),0))</f>
        <v/>
      </c>
    </row>
    <row r="594">
      <c r="L594" s="24">
        <f>IF($A594="","",IFERROR(ROUND($B594*$G594-($D594+$E594)*$F594-$B594*$F594*$I594+$B594*($G594-$F594),0),0))</f>
        <v/>
      </c>
    </row>
    <row r="595">
      <c r="L595" s="24">
        <f>IF($A595="","",IFERROR(ROUND($B595*$G595-($D595+$E595)*$F595-$B595*$F595*$I595+$B595*($G595-$F595),0),0))</f>
        <v/>
      </c>
    </row>
    <row r="596">
      <c r="L596" s="24">
        <f>IF($A596="","",IFERROR(ROUND($B596*$G596-($D596+$E596)*$F596-$B596*$F596*$I596+$B596*($G596-$F596),0),0))</f>
        <v/>
      </c>
    </row>
    <row r="597">
      <c r="L597" s="24">
        <f>IF($A597="","",IFERROR(ROUND($B597*$G597-($D597+$E597)*$F597-$B597*$F597*$I597+$B597*($G597-$F597),0),0))</f>
        <v/>
      </c>
    </row>
    <row r="598">
      <c r="L598" s="24">
        <f>IF($A598="","",IFERROR(ROUND($B598*$G598-($D598+$E598)*$F598-$B598*$F598*$I598+$B598*($G598-$F598),0),0))</f>
        <v/>
      </c>
    </row>
    <row r="599">
      <c r="L599" s="24">
        <f>IF($A599="","",IFERROR(ROUND($B599*$G599-($D599+$E599)*$F599-$B599*$F599*$I599+$B599*($G599-$F599),0),0))</f>
        <v/>
      </c>
    </row>
    <row r="600">
      <c r="L600" s="24">
        <f>IF($A600="","",IFERROR(ROUND($B600*$G600-($D600+$E600)*$F600-$B600*$F600*$I600+$B600*($G600-$F600),0),0))</f>
        <v/>
      </c>
    </row>
    <row r="601">
      <c r="L601" s="24">
        <f>IF($A601="","",IFERROR(ROUND($B601*$G601-($D601+$E601)*$F601-$B601*$F601*$I601+$B601*($G601-$F601),0),0))</f>
        <v/>
      </c>
    </row>
    <row r="602">
      <c r="L602" s="24">
        <f>IF($A602="","",IFERROR(ROUND($B602*$G602-($D602+$E602)*$F602-$B602*$F602*$I602+$B602*($G602-$F602),0),0))</f>
        <v/>
      </c>
    </row>
    <row r="603">
      <c r="L603" s="24">
        <f>IF($A603="","",IFERROR(ROUND($B603*$G603-($D603+$E603)*$F603-$B603*$F603*$I603+$B603*($G603-$F603),0),0))</f>
        <v/>
      </c>
    </row>
    <row r="604">
      <c r="L604" s="24">
        <f>IF($A604="","",IFERROR(ROUND($B604*$G604-($D604+$E604)*$F604-$B604*$F604*$I604+$B604*($G604-$F604),0),0))</f>
        <v/>
      </c>
    </row>
    <row r="605">
      <c r="L605" s="24">
        <f>IF($A605="","",IFERROR(ROUND($B605*$G605-($D605+$E605)*$F605-$B605*$F605*$I605+$B605*($G605-$F605),0),0))</f>
        <v/>
      </c>
    </row>
    <row r="606">
      <c r="L606" s="24">
        <f>IF($A606="","",IFERROR(ROUND($B606*$G606-($D606+$E606)*$F606-$B606*$F606*$I606+$B606*($G606-$F606),0),0))</f>
        <v/>
      </c>
    </row>
    <row r="607">
      <c r="L607" s="24">
        <f>IF($A607="","",IFERROR(ROUND($B607*$G607-($D607+$E607)*$F607-$B607*$F607*$I607+$B607*($G607-$F607),0),0))</f>
        <v/>
      </c>
    </row>
    <row r="608">
      <c r="L608" s="24">
        <f>IF($A608="","",IFERROR(ROUND($B608*$G608-($D608+$E608)*$F608-$B608*$F608*$I608+$B608*($G608-$F608),0),0))</f>
        <v/>
      </c>
    </row>
    <row r="609">
      <c r="L609" s="24">
        <f>IF($A609="","",IFERROR(ROUND($B609*$G609-($D609+$E609)*$F609-$B609*$F609*$I609+$B609*($G609-$F609),0),0))</f>
        <v/>
      </c>
    </row>
    <row r="610">
      <c r="L610" s="24">
        <f>IF($A610="","",IFERROR(ROUND($B610*$G610-($D610+$E610)*$F610-$B610*$F610*$I610+$B610*($G610-$F610),0),0))</f>
        <v/>
      </c>
    </row>
    <row r="611">
      <c r="L611" s="24">
        <f>IF($A611="","",IFERROR(ROUND($B611*$G611-($D611+$E611)*$F611-$B611*$F611*$I611+$B611*($G611-$F611),0),0))</f>
        <v/>
      </c>
    </row>
    <row r="612">
      <c r="L612" s="24">
        <f>IF($A612="","",IFERROR(ROUND($B612*$G612-($D612+$E612)*$F612-$B612*$F612*$I612+$B612*($G612-$F612),0),0))</f>
        <v/>
      </c>
    </row>
    <row r="613">
      <c r="L613" s="24">
        <f>IF($A613="","",IFERROR(ROUND($B613*$G613-($D613+$E613)*$F613-$B613*$F613*$I613+$B613*($G613-$F613),0),0))</f>
        <v/>
      </c>
    </row>
    <row r="614">
      <c r="L614" s="24">
        <f>IF($A614="","",IFERROR(ROUND($B614*$G614-($D614+$E614)*$F614-$B614*$F614*$I614+$B614*($G614-$F614),0),0))</f>
        <v/>
      </c>
    </row>
    <row r="615">
      <c r="L615" s="24">
        <f>IF($A615="","",IFERROR(ROUND($B615*$G615-($D615+$E615)*$F615-$B615*$F615*$I615+$B615*($G615-$F615),0),0))</f>
        <v/>
      </c>
    </row>
    <row r="616">
      <c r="L616" s="24">
        <f>IF($A616="","",IFERROR(ROUND($B616*$G616-($D616+$E616)*$F616-$B616*$F616*$I616+$B616*($G616-$F616),0),0))</f>
        <v/>
      </c>
    </row>
    <row r="617">
      <c r="L617" s="24">
        <f>IF($A617="","",IFERROR(ROUND($B617*$G617-($D617+$E617)*$F617-$B617*$F617*$I617+$B617*($G617-$F617),0),0))</f>
        <v/>
      </c>
    </row>
    <row r="618">
      <c r="L618" s="24">
        <f>IF($A618="","",IFERROR(ROUND($B618*$G618-($D618+$E618)*$F618-$B618*$F618*$I618+$B618*($G618-$F618),0),0))</f>
        <v/>
      </c>
    </row>
    <row r="619">
      <c r="L619" s="24">
        <f>IF($A619="","",IFERROR(ROUND($B619*$G619-($D619+$E619)*$F619-$B619*$F619*$I619+$B619*($G619-$F619),0),0))</f>
        <v/>
      </c>
    </row>
    <row r="620">
      <c r="L620" s="24">
        <f>IF($A620="","",IFERROR(ROUND($B620*$G620-($D620+$E620)*$F620-$B620*$F620*$I620+$B620*($G620-$F620),0),0))</f>
        <v/>
      </c>
    </row>
    <row r="621">
      <c r="L621" s="24">
        <f>IF($A621="","",IFERROR(ROUND($B621*$G621-($D621+$E621)*$F621-$B621*$F621*$I621+$B621*($G621-$F621),0),0))</f>
        <v/>
      </c>
    </row>
    <row r="622">
      <c r="L622" s="24">
        <f>IF($A622="","",IFERROR(ROUND($B622*$G622-($D622+$E622)*$F622-$B622*$F622*$I622+$B622*($G622-$F622),0),0))</f>
        <v/>
      </c>
    </row>
    <row r="623">
      <c r="L623" s="24">
        <f>IF($A623="","",IFERROR(ROUND($B623*$G623-($D623+$E623)*$F623-$B623*$F623*$I623+$B623*($G623-$F623),0),0))</f>
        <v/>
      </c>
    </row>
    <row r="624">
      <c r="L624" s="24">
        <f>IF($A624="","",IFERROR(ROUND($B624*$G624-($D624+$E624)*$F624-$B624*$F624*$I624+$B624*($G624-$F624),0),0))</f>
        <v/>
      </c>
    </row>
    <row r="625">
      <c r="L625" s="24">
        <f>IF($A625="","",IFERROR(ROUND($B625*$G625-($D625+$E625)*$F625-$B625*$F625*$I625+$B625*($G625-$F625),0),0))</f>
        <v/>
      </c>
    </row>
    <row r="626">
      <c r="L626" s="24">
        <f>IF($A626="","",IFERROR(ROUND($B626*$G626-($D626+$E626)*$F626-$B626*$F626*$I626+$B626*($G626-$F626),0),0))</f>
        <v/>
      </c>
    </row>
    <row r="627">
      <c r="L627" s="24">
        <f>IF($A627="","",IFERROR(ROUND($B627*$G627-($D627+$E627)*$F627-$B627*$F627*$I627+$B627*($G627-$F627),0),0))</f>
        <v/>
      </c>
    </row>
    <row r="628">
      <c r="L628" s="24">
        <f>IF($A628="","",IFERROR(ROUND($B628*$G628-($D628+$E628)*$F628-$B628*$F628*$I628+$B628*($G628-$F628),0),0))</f>
        <v/>
      </c>
    </row>
    <row r="629">
      <c r="L629" s="24">
        <f>IF($A629="","",IFERROR(ROUND($B629*$G629-($D629+$E629)*$F629-$B629*$F629*$I629+$B629*($G629-$F629),0),0))</f>
        <v/>
      </c>
    </row>
    <row r="630">
      <c r="L630" s="24">
        <f>IF($A630="","",IFERROR(ROUND($B630*$G630-($D630+$E630)*$F630-$B630*$F630*$I630+$B630*($G630-$F630),0),0))</f>
        <v/>
      </c>
    </row>
    <row r="631">
      <c r="L631" s="24">
        <f>IF($A631="","",IFERROR(ROUND($B631*$G631-($D631+$E631)*$F631-$B631*$F631*$I631+$B631*($G631-$F631),0),0))</f>
        <v/>
      </c>
    </row>
    <row r="632">
      <c r="L632" s="24">
        <f>IF($A632="","",IFERROR(ROUND($B632*$G632-($D632+$E632)*$F632-$B632*$F632*$I632+$B632*($G632-$F632),0),0))</f>
        <v/>
      </c>
    </row>
    <row r="633">
      <c r="L633" s="24">
        <f>IF($A633="","",IFERROR(ROUND($B633*$G633-($D633+$E633)*$F633-$B633*$F633*$I633+$B633*($G633-$F633),0),0))</f>
        <v/>
      </c>
    </row>
    <row r="634">
      <c r="L634" s="24">
        <f>IF($A634="","",IFERROR(ROUND($B634*$G634-($D634+$E634)*$F634-$B634*$F634*$I634+$B634*($G634-$F634),0),0))</f>
        <v/>
      </c>
    </row>
    <row r="635">
      <c r="L635" s="24">
        <f>IF($A635="","",IFERROR(ROUND($B635*$G635-($D635+$E635)*$F635-$B635*$F635*$I635+$B635*($G635-$F635),0),0))</f>
        <v/>
      </c>
    </row>
    <row r="636">
      <c r="L636" s="24">
        <f>IF($A636="","",IFERROR(ROUND($B636*$G636-($D636+$E636)*$F636-$B636*$F636*$I636+$B636*($G636-$F636),0),0))</f>
        <v/>
      </c>
    </row>
    <row r="637">
      <c r="L637" s="24">
        <f>IF($A637="","",IFERROR(ROUND($B637*$G637-($D637+$E637)*$F637-$B637*$F637*$I637+$B637*($G637-$F637),0),0))</f>
        <v/>
      </c>
    </row>
    <row r="638">
      <c r="L638" s="24">
        <f>IF($A638="","",IFERROR(ROUND($B638*$G638-($D638+$E638)*$F638-$B638*$F638*$I638+$B638*($G638-$F638),0),0))</f>
        <v/>
      </c>
    </row>
    <row r="639">
      <c r="L639" s="24">
        <f>IF($A639="","",IFERROR(ROUND($B639*$G639-($D639+$E639)*$F639-$B639*$F639*$I639+$B639*($G639-$F639),0),0))</f>
        <v/>
      </c>
    </row>
    <row r="640">
      <c r="L640" s="24">
        <f>IF($A640="","",IFERROR(ROUND($B640*$G640-($D640+$E640)*$F640-$B640*$F640*$I640+$B640*($G640-$F640),0),0))</f>
        <v/>
      </c>
    </row>
    <row r="641">
      <c r="L641" s="24">
        <f>IF($A641="","",IFERROR(ROUND($B641*$G641-($D641+$E641)*$F641-$B641*$F641*$I641+$B641*($G641-$F641),0),0))</f>
        <v/>
      </c>
    </row>
    <row r="642">
      <c r="L642" s="24">
        <f>IF($A642="","",IFERROR(ROUND($B642*$G642-($D642+$E642)*$F642-$B642*$F642*$I642+$B642*($G642-$F642),0),0))</f>
        <v/>
      </c>
    </row>
    <row r="643">
      <c r="L643" s="24">
        <f>IF($A643="","",IFERROR(ROUND($B643*$G643-($D643+$E643)*$F643-$B643*$F643*$I643+$B643*($G643-$F643),0),0))</f>
        <v/>
      </c>
    </row>
    <row r="644">
      <c r="L644" s="24">
        <f>IF($A644="","",IFERROR(ROUND($B644*$G644-($D644+$E644)*$F644-$B644*$F644*$I644+$B644*($G644-$F644),0),0))</f>
        <v/>
      </c>
    </row>
    <row r="645">
      <c r="L645" s="24">
        <f>IF($A645="","",IFERROR(ROUND($B645*$G645-($D645+$E645)*$F645-$B645*$F645*$I645+$B645*($G645-$F645),0),0))</f>
        <v/>
      </c>
    </row>
    <row r="646">
      <c r="L646" s="24">
        <f>IF($A646="","",IFERROR(ROUND($B646*$G646-($D646+$E646)*$F646-$B646*$F646*$I646+$B646*($G646-$F646),0),0))</f>
        <v/>
      </c>
    </row>
    <row r="647">
      <c r="L647" s="24">
        <f>IF($A647="","",IFERROR(ROUND($B647*$G647-($D647+$E647)*$F647-$B647*$F647*$I647+$B647*($G647-$F647),0),0))</f>
        <v/>
      </c>
    </row>
    <row r="648">
      <c r="L648" s="24">
        <f>IF($A648="","",IFERROR(ROUND($B648*$G648-($D648+$E648)*$F648-$B648*$F648*$I648+$B648*($G648-$F648),0),0))</f>
        <v/>
      </c>
    </row>
    <row r="649">
      <c r="L649" s="24">
        <f>IF($A649="","",IFERROR(ROUND($B649*$G649-($D649+$E649)*$F649-$B649*$F649*$I649+$B649*($G649-$F649),0),0))</f>
        <v/>
      </c>
    </row>
    <row r="650">
      <c r="L650" s="24">
        <f>IF($A650="","",IFERROR(ROUND($B650*$G650-($D650+$E650)*$F650-$B650*$F650*$I650+$B650*($G650-$F650),0),0))</f>
        <v/>
      </c>
    </row>
    <row r="651">
      <c r="L651" s="24">
        <f>IF($A651="","",IFERROR(ROUND($B651*$G651-($D651+$E651)*$F651-$B651*$F651*$I651+$B651*($G651-$F651),0),0))</f>
        <v/>
      </c>
    </row>
    <row r="652">
      <c r="L652" s="24">
        <f>IF($A652="","",IFERROR(ROUND($B652*$G652-($D652+$E652)*$F652-$B652*$F652*$I652+$B652*($G652-$F652),0),0))</f>
        <v/>
      </c>
    </row>
    <row r="653">
      <c r="L653" s="24">
        <f>IF($A653="","",IFERROR(ROUND($B653*$G653-($D653+$E653)*$F653-$B653*$F653*$I653+$B653*($G653-$F653),0),0))</f>
        <v/>
      </c>
    </row>
    <row r="654">
      <c r="L654" s="24">
        <f>IF($A654="","",IFERROR(ROUND($B654*$G654-($D654+$E654)*$F654-$B654*$F654*$I654+$B654*($G654-$F654),0),0))</f>
        <v/>
      </c>
    </row>
    <row r="655">
      <c r="L655" s="24">
        <f>IF($A655="","",IFERROR(ROUND($B655*$G655-($D655+$E655)*$F655-$B655*$F655*$I655+$B655*($G655-$F655),0),0))</f>
        <v/>
      </c>
    </row>
    <row r="656">
      <c r="L656" s="24">
        <f>IF($A656="","",IFERROR(ROUND($B656*$G656-($D656+$E656)*$F656-$B656*$F656*$I656+$B656*($G656-$F656),0),0))</f>
        <v/>
      </c>
    </row>
    <row r="657">
      <c r="L657" s="24">
        <f>IF($A657="","",IFERROR(ROUND($B657*$G657-($D657+$E657)*$F657-$B657*$F657*$I657+$B657*($G657-$F657),0),0))</f>
        <v/>
      </c>
    </row>
    <row r="658">
      <c r="L658" s="24">
        <f>IF($A658="","",IFERROR(ROUND($B658*$G658-($D658+$E658)*$F658-$B658*$F658*$I658+$B658*($G658-$F658),0),0))</f>
        <v/>
      </c>
    </row>
    <row r="659">
      <c r="L659" s="24">
        <f>IF($A659="","",IFERROR(ROUND($B659*$G659-($D659+$E659)*$F659-$B659*$F659*$I659+$B659*($G659-$F659),0),0))</f>
        <v/>
      </c>
    </row>
    <row r="660">
      <c r="L660" s="24">
        <f>IF($A660="","",IFERROR(ROUND($B660*$G660-($D660+$E660)*$F660-$B660*$F660*$I660+$B660*($G660-$F660),0),0))</f>
        <v/>
      </c>
    </row>
    <row r="661">
      <c r="L661" s="24">
        <f>IF($A661="","",IFERROR(ROUND($B661*$G661-($D661+$E661)*$F661-$B661*$F661*$I661+$B661*($G661-$F661),0),0))</f>
        <v/>
      </c>
    </row>
    <row r="662">
      <c r="L662" s="24">
        <f>IF($A662="","",IFERROR(ROUND($B662*$G662-($D662+$E662)*$F662-$B662*$F662*$I662+$B662*($G662-$F662),0),0))</f>
        <v/>
      </c>
    </row>
    <row r="663">
      <c r="L663" s="24">
        <f>IF($A663="","",IFERROR(ROUND($B663*$G663-($D663+$E663)*$F663-$B663*$F663*$I663+$B663*($G663-$F663),0),0))</f>
        <v/>
      </c>
    </row>
    <row r="664">
      <c r="L664" s="24">
        <f>IF($A664="","",IFERROR(ROUND($B664*$G664-($D664+$E664)*$F664-$B664*$F664*$I664+$B664*($G664-$F664),0),0))</f>
        <v/>
      </c>
    </row>
    <row r="665">
      <c r="L665" s="24">
        <f>IF($A665="","",IFERROR(ROUND($B665*$G665-($D665+$E665)*$F665-$B665*$F665*$I665+$B665*($G665-$F665),0),0))</f>
        <v/>
      </c>
    </row>
    <row r="666">
      <c r="L666" s="24">
        <f>IF($A666="","",IFERROR(ROUND($B666*$G666-($D666+$E666)*$F666-$B666*$F666*$I666+$B666*($G666-$F666),0),0))</f>
        <v/>
      </c>
    </row>
    <row r="667">
      <c r="L667" s="24">
        <f>IF($A667="","",IFERROR(ROUND($B667*$G667-($D667+$E667)*$F667-$B667*$F667*$I667+$B667*($G667-$F667),0),0))</f>
        <v/>
      </c>
    </row>
    <row r="668">
      <c r="L668" s="24">
        <f>IF($A668="","",IFERROR(ROUND($B668*$G668-($D668+$E668)*$F668-$B668*$F668*$I668+$B668*($G668-$F668),0),0))</f>
        <v/>
      </c>
    </row>
    <row r="669">
      <c r="L669" s="24">
        <f>IF($A669="","",IFERROR(ROUND($B669*$G669-($D669+$E669)*$F669-$B669*$F669*$I669+$B669*($G669-$F669),0),0))</f>
        <v/>
      </c>
    </row>
    <row r="670">
      <c r="L670" s="24">
        <f>IF($A670="","",IFERROR(ROUND($B670*$G670-($D670+$E670)*$F670-$B670*$F670*$I670+$B670*($G670-$F670),0),0))</f>
        <v/>
      </c>
    </row>
    <row r="671">
      <c r="L671" s="24">
        <f>IF($A671="","",IFERROR(ROUND($B671*$G671-($D671+$E671)*$F671-$B671*$F671*$I671+$B671*($G671-$F671),0),0))</f>
        <v/>
      </c>
    </row>
    <row r="672">
      <c r="L672" s="24">
        <f>IF($A672="","",IFERROR(ROUND($B672*$G672-($D672+$E672)*$F672-$B672*$F672*$I672+$B672*($G672-$F672),0),0))</f>
        <v/>
      </c>
    </row>
    <row r="673">
      <c r="L673" s="24">
        <f>IF($A673="","",IFERROR(ROUND($B673*$G673-($D673+$E673)*$F673-$B673*$F673*$I673+$B673*($G673-$F673),0),0))</f>
        <v/>
      </c>
    </row>
    <row r="674">
      <c r="L674" s="24">
        <f>IF($A674="","",IFERROR(ROUND($B674*$G674-($D674+$E674)*$F674-$B674*$F674*$I674+$B674*($G674-$F674),0),0))</f>
        <v/>
      </c>
    </row>
    <row r="675">
      <c r="L675" s="24">
        <f>IF($A675="","",IFERROR(ROUND($B675*$G675-($D675+$E675)*$F675-$B675*$F675*$I675+$B675*($G675-$F675),0),0))</f>
        <v/>
      </c>
    </row>
    <row r="676">
      <c r="L676" s="24">
        <f>IF($A676="","",IFERROR(ROUND($B676*$G676-($D676+$E676)*$F676-$B676*$F676*$I676+$B676*($G676-$F676),0),0))</f>
        <v/>
      </c>
    </row>
    <row r="677">
      <c r="L677" s="24">
        <f>IF($A677="","",IFERROR(ROUND($B677*$G677-($D677+$E677)*$F677-$B677*$F677*$I677+$B677*($G677-$F677),0),0))</f>
        <v/>
      </c>
    </row>
    <row r="678">
      <c r="L678" s="24">
        <f>IF($A678="","",IFERROR(ROUND($B678*$G678-($D678+$E678)*$F678-$B678*$F678*$I678+$B678*($G678-$F678),0),0))</f>
        <v/>
      </c>
    </row>
    <row r="679">
      <c r="L679" s="24">
        <f>IF($A679="","",IFERROR(ROUND($B679*$G679-($D679+$E679)*$F679-$B679*$F679*$I679+$B679*($G679-$F679),0),0))</f>
        <v/>
      </c>
    </row>
    <row r="680">
      <c r="L680" s="24">
        <f>IF($A680="","",IFERROR(ROUND($B680*$G680-($D680+$E680)*$F680-$B680*$F680*$I680+$B680*($G680-$F680),0),0))</f>
        <v/>
      </c>
    </row>
    <row r="681">
      <c r="L681" s="24">
        <f>IF($A681="","",IFERROR(ROUND($B681*$G681-($D681+$E681)*$F681-$B681*$F681*$I681+$B681*($G681-$F681),0),0))</f>
        <v/>
      </c>
    </row>
    <row r="682">
      <c r="L682" s="24">
        <f>IF($A682="","",IFERROR(ROUND($B682*$G682-($D682+$E682)*$F682-$B682*$F682*$I682+$B682*($G682-$F682),0),0))</f>
        <v/>
      </c>
    </row>
    <row r="683">
      <c r="L683" s="24">
        <f>IF($A683="","",IFERROR(ROUND($B683*$G683-($D683+$E683)*$F683-$B683*$F683*$I683+$B683*($G683-$F683),0),0))</f>
        <v/>
      </c>
    </row>
    <row r="684">
      <c r="L684" s="24">
        <f>IF($A684="","",IFERROR(ROUND($B684*$G684-($D684+$E684)*$F684-$B684*$F684*$I684+$B684*($G684-$F684),0),0))</f>
        <v/>
      </c>
    </row>
    <row r="685">
      <c r="L685" s="24">
        <f>IF($A685="","",IFERROR(ROUND($B685*$G685-($D685+$E685)*$F685-$B685*$F685*$I685+$B685*($G685-$F685),0),0))</f>
        <v/>
      </c>
    </row>
    <row r="686">
      <c r="L686" s="24">
        <f>IF($A686="","",IFERROR(ROUND($B686*$G686-($D686+$E686)*$F686-$B686*$F686*$I686+$B686*($G686-$F686),0),0))</f>
        <v/>
      </c>
    </row>
    <row r="687">
      <c r="L687" s="24">
        <f>IF($A687="","",IFERROR(ROUND($B687*$G687-($D687+$E687)*$F687-$B687*$F687*$I687+$B687*($G687-$F687),0),0))</f>
        <v/>
      </c>
    </row>
    <row r="688">
      <c r="L688" s="24">
        <f>IF($A688="","",IFERROR(ROUND($B688*$G688-($D688+$E688)*$F688-$B688*$F688*$I688+$B688*($G688-$F688),0),0))</f>
        <v/>
      </c>
    </row>
    <row r="689">
      <c r="L689" s="24">
        <f>IF($A689="","",IFERROR(ROUND($B689*$G689-($D689+$E689)*$F689-$B689*$F689*$I689+$B689*($G689-$F689),0),0))</f>
        <v/>
      </c>
    </row>
    <row r="690">
      <c r="L690" s="24">
        <f>IF($A690="","",IFERROR(ROUND($B690*$G690-($D690+$E690)*$F690-$B690*$F690*$I690+$B690*($G690-$F690),0),0))</f>
        <v/>
      </c>
    </row>
    <row r="691">
      <c r="L691" s="24">
        <f>IF($A691="","",IFERROR(ROUND($B691*$G691-($D691+$E691)*$F691-$B691*$F691*$I691+$B691*($G691-$F691),0),0))</f>
        <v/>
      </c>
    </row>
    <row r="692">
      <c r="L692" s="24">
        <f>IF($A692="","",IFERROR(ROUND($B692*$G692-($D692+$E692)*$F692-$B692*$F692*$I692+$B692*($G692-$F692),0),0))</f>
        <v/>
      </c>
    </row>
    <row r="693">
      <c r="L693" s="24">
        <f>IF($A693="","",IFERROR(ROUND($B693*$G693-($D693+$E693)*$F693-$B693*$F693*$I693+$B693*($G693-$F693),0),0))</f>
        <v/>
      </c>
    </row>
    <row r="694">
      <c r="L694" s="24">
        <f>IF($A694="","",IFERROR(ROUND($B694*$G694-($D694+$E694)*$F694-$B694*$F694*$I694+$B694*($G694-$F694),0),0))</f>
        <v/>
      </c>
    </row>
    <row r="695">
      <c r="L695" s="24">
        <f>IF($A695="","",IFERROR(ROUND($B695*$G695-($D695+$E695)*$F695-$B695*$F695*$I695+$B695*($G695-$F695),0),0))</f>
        <v/>
      </c>
    </row>
    <row r="696">
      <c r="L696" s="24">
        <f>IF($A696="","",IFERROR(ROUND($B696*$G696-($D696+$E696)*$F696-$B696*$F696*$I696+$B696*($G696-$F696),0),0))</f>
        <v/>
      </c>
    </row>
    <row r="697">
      <c r="L697" s="24">
        <f>IF($A697="","",IFERROR(ROUND($B697*$G697-($D697+$E697)*$F697-$B697*$F697*$I697+$B697*($G697-$F697),0),0))</f>
        <v/>
      </c>
    </row>
    <row r="698">
      <c r="L698" s="24">
        <f>IF($A698="","",IFERROR(ROUND($B698*$G698-($D698+$E698)*$F698-$B698*$F698*$I698+$B698*($G698-$F698),0),0))</f>
        <v/>
      </c>
    </row>
    <row r="699">
      <c r="L699" s="24">
        <f>IF($A699="","",IFERROR(ROUND($B699*$G699-($D699+$E699)*$F699-$B699*$F699*$I699+$B699*($G699-$F699),0),0))</f>
        <v/>
      </c>
    </row>
    <row r="700">
      <c r="L700" s="24">
        <f>IF($A700="","",IFERROR(ROUND($B700*$G700-($D700+$E700)*$F700-$B700*$F700*$I700+$B700*($G700-$F700),0),0))</f>
        <v/>
      </c>
    </row>
    <row r="701">
      <c r="L701" s="24">
        <f>IF($A701="","",IFERROR(ROUND($B701*$G701-($D701+$E701)*$F701-$B701*$F701*$I701+$B701*($G701-$F701),0),0))</f>
        <v/>
      </c>
    </row>
    <row r="702">
      <c r="L702" s="24">
        <f>IF($A702="","",IFERROR(ROUND($B702*$G702-($D702+$E702)*$F702-$B702*$F702*$I702+$B702*($G702-$F702),0),0))</f>
        <v/>
      </c>
    </row>
    <row r="703">
      <c r="L703" s="24">
        <f>IF($A703="","",IFERROR(ROUND($B703*$G703-($D703+$E703)*$F703-$B703*$F703*$I703+$B703*($G703-$F703),0),0))</f>
        <v/>
      </c>
    </row>
    <row r="704">
      <c r="L704" s="24">
        <f>IF($A704="","",IFERROR(ROUND($B704*$G704-($D704+$E704)*$F704-$B704*$F704*$I704+$B704*($G704-$F704),0),0))</f>
        <v/>
      </c>
    </row>
    <row r="705">
      <c r="L705" s="24">
        <f>IF($A705="","",IFERROR(ROUND($B705*$G705-($D705+$E705)*$F705-$B705*$F705*$I705+$B705*($G705-$F705),0),0))</f>
        <v/>
      </c>
    </row>
    <row r="706">
      <c r="L706" s="24">
        <f>IF($A706="","",IFERROR(ROUND($B706*$G706-($D706+$E706)*$F706-$B706*$F706*$I706+$B706*($G706-$F706),0),0))</f>
        <v/>
      </c>
    </row>
    <row r="707">
      <c r="L707" s="24">
        <f>IF($A707="","",IFERROR(ROUND($B707*$G707-($D707+$E707)*$F707-$B707*$F707*$I707+$B707*($G707-$F707),0),0))</f>
        <v/>
      </c>
    </row>
    <row r="708">
      <c r="L708" s="24">
        <f>IF($A708="","",IFERROR(ROUND($B708*$G708-($D708+$E708)*$F708-$B708*$F708*$I708+$B708*($G708-$F708),0),0))</f>
        <v/>
      </c>
    </row>
    <row r="709">
      <c r="L709" s="24">
        <f>IF($A709="","",IFERROR(ROUND($B709*$G709-($D709+$E709)*$F709-$B709*$F709*$I709+$B709*($G709-$F709),0),0))</f>
        <v/>
      </c>
    </row>
    <row r="710">
      <c r="L710" s="24">
        <f>IF($A710="","",IFERROR(ROUND($B710*$G710-($D710+$E710)*$F710-$B710*$F710*$I710+$B710*($G710-$F710),0),0))</f>
        <v/>
      </c>
    </row>
    <row r="711">
      <c r="L711" s="24">
        <f>IF($A711="","",IFERROR(ROUND($B711*$G711-($D711+$E711)*$F711-$B711*$F711*$I711+$B711*($G711-$F711),0),0))</f>
        <v/>
      </c>
    </row>
    <row r="712">
      <c r="L712" s="24">
        <f>IF($A712="","",IFERROR(ROUND($B712*$G712-($D712+$E712)*$F712-$B712*$F712*$I712+$B712*($G712-$F712),0),0))</f>
        <v/>
      </c>
    </row>
    <row r="713">
      <c r="L713" s="24">
        <f>IF($A713="","",IFERROR(ROUND($B713*$G713-($D713+$E713)*$F713-$B713*$F713*$I713+$B713*($G713-$F713),0),0))</f>
        <v/>
      </c>
    </row>
    <row r="714">
      <c r="L714" s="24">
        <f>IF($A714="","",IFERROR(ROUND($B714*$G714-($D714+$E714)*$F714-$B714*$F714*$I714+$B714*($G714-$F714),0),0))</f>
        <v/>
      </c>
    </row>
    <row r="715">
      <c r="L715" s="24">
        <f>IF($A715="","",IFERROR(ROUND($B715*$G715-($D715+$E715)*$F715-$B715*$F715*$I715+$B715*($G715-$F715),0),0))</f>
        <v/>
      </c>
    </row>
    <row r="716">
      <c r="L716" s="24">
        <f>IF($A716="","",IFERROR(ROUND($B716*$G716-($D716+$E716)*$F716-$B716*$F716*$I716+$B716*($G716-$F716),0),0))</f>
        <v/>
      </c>
    </row>
    <row r="717">
      <c r="L717" s="24">
        <f>IF($A717="","",IFERROR(ROUND($B717*$G717-($D717+$E717)*$F717-$B717*$F717*$I717+$B717*($G717-$F717),0),0))</f>
        <v/>
      </c>
    </row>
    <row r="718">
      <c r="L718" s="24">
        <f>IF($A718="","",IFERROR(ROUND($B718*$G718-($D718+$E718)*$F718-$B718*$F718*$I718+$B718*($G718-$F718),0),0))</f>
        <v/>
      </c>
    </row>
    <row r="719">
      <c r="L719" s="24">
        <f>IF($A719="","",IFERROR(ROUND($B719*$G719-($D719+$E719)*$F719-$B719*$F719*$I719+$B719*($G719-$F719),0),0))</f>
        <v/>
      </c>
    </row>
    <row r="720">
      <c r="L720" s="24">
        <f>IF($A720="","",IFERROR(ROUND($B720*$G720-($D720+$E720)*$F720-$B720*$F720*$I720+$B720*($G720-$F720),0),0))</f>
        <v/>
      </c>
    </row>
    <row r="721">
      <c r="L721" s="24">
        <f>IF($A721="","",IFERROR(ROUND($B721*$G721-($D721+$E721)*$F721-$B721*$F721*$I721+$B721*($G721-$F721),0),0))</f>
        <v/>
      </c>
    </row>
    <row r="722">
      <c r="L722" s="24">
        <f>IF($A722="","",IFERROR(ROUND($B722*$G722-($D722+$E722)*$F722-$B722*$F722*$I722+$B722*($G722-$F722),0),0))</f>
        <v/>
      </c>
    </row>
    <row r="723">
      <c r="L723" s="24">
        <f>IF($A723="","",IFERROR(ROUND($B723*$G723-($D723+$E723)*$F723-$B723*$F723*$I723+$B723*($G723-$F723),0),0))</f>
        <v/>
      </c>
    </row>
    <row r="724">
      <c r="L724" s="24">
        <f>IF($A724="","",IFERROR(ROUND($B724*$G724-($D724+$E724)*$F724-$B724*$F724*$I724+$B724*($G724-$F724),0),0))</f>
        <v/>
      </c>
    </row>
    <row r="725">
      <c r="L725" s="24">
        <f>IF($A725="","",IFERROR(ROUND($B725*$G725-($D725+$E725)*$F725-$B725*$F725*$I725+$B725*($G725-$F725),0),0))</f>
        <v/>
      </c>
    </row>
    <row r="726">
      <c r="L726" s="24">
        <f>IF($A726="","",IFERROR(ROUND($B726*$G726-($D726+$E726)*$F726-$B726*$F726*$I726+$B726*($G726-$F726),0),0))</f>
        <v/>
      </c>
    </row>
    <row r="727">
      <c r="L727" s="24">
        <f>IF($A727="","",IFERROR(ROUND($B727*$G727-($D727+$E727)*$F727-$B727*$F727*$I727+$B727*($G727-$F727),0),0))</f>
        <v/>
      </c>
    </row>
    <row r="728">
      <c r="L728" s="24">
        <f>IF($A728="","",IFERROR(ROUND($B728*$G728-($D728+$E728)*$F728-$B728*$F728*$I728+$B728*($G728-$F728),0),0))</f>
        <v/>
      </c>
    </row>
    <row r="729">
      <c r="L729" s="24">
        <f>IF($A729="","",IFERROR(ROUND($B729*$G729-($D729+$E729)*$F729-$B729*$F729*$I729+$B729*($G729-$F729),0),0))</f>
        <v/>
      </c>
    </row>
    <row r="730">
      <c r="L730" s="24">
        <f>IF($A730="","",IFERROR(ROUND($B730*$G730-($D730+$E730)*$F730-$B730*$F730*$I730+$B730*($G730-$F730),0),0))</f>
        <v/>
      </c>
    </row>
    <row r="731">
      <c r="L731" s="24">
        <f>IF($A731="","",IFERROR(ROUND($B731*$G731-($D731+$E731)*$F731-$B731*$F731*$I731+$B731*($G731-$F731),0),0))</f>
        <v/>
      </c>
    </row>
    <row r="732">
      <c r="L732" s="24">
        <f>IF($A732="","",IFERROR(ROUND($B732*$G732-($D732+$E732)*$F732-$B732*$F732*$I732+$B732*($G732-$F732),0),0))</f>
        <v/>
      </c>
    </row>
    <row r="733">
      <c r="L733" s="24">
        <f>IF($A733="","",IFERROR(ROUND($B733*$G733-($D733+$E733)*$F733-$B733*$F733*$I733+$B733*($G733-$F733),0),0))</f>
        <v/>
      </c>
    </row>
    <row r="734">
      <c r="L734" s="24">
        <f>IF($A734="","",IFERROR(ROUND($B734*$G734-($D734+$E734)*$F734-$B734*$F734*$I734+$B734*($G734-$F734),0),0))</f>
        <v/>
      </c>
    </row>
    <row r="735">
      <c r="L735" s="24">
        <f>IF($A735="","",IFERROR(ROUND($B735*$G735-($D735+$E735)*$F735-$B735*$F735*$I735+$B735*($G735-$F735),0),0))</f>
        <v/>
      </c>
    </row>
    <row r="736">
      <c r="L736" s="24">
        <f>IF($A736="","",IFERROR(ROUND($B736*$G736-($D736+$E736)*$F736-$B736*$F736*$I736+$B736*($G736-$F736),0),0))</f>
        <v/>
      </c>
    </row>
    <row r="737">
      <c r="L737" s="24">
        <f>IF($A737="","",IFERROR(ROUND($B737*$G737-($D737+$E737)*$F737-$B737*$F737*$I737+$B737*($G737-$F737),0),0))</f>
        <v/>
      </c>
    </row>
    <row r="738">
      <c r="L738" s="24">
        <f>IF($A738="","",IFERROR(ROUND($B738*$G738-($D738+$E738)*$F738-$B738*$F738*$I738+$B738*($G738-$F738),0),0))</f>
        <v/>
      </c>
    </row>
    <row r="739">
      <c r="L739" s="24">
        <f>IF($A739="","",IFERROR(ROUND($B739*$G739-($D739+$E739)*$F739-$B739*$F739*$I739+$B739*($G739-$F739),0),0))</f>
        <v/>
      </c>
    </row>
    <row r="740">
      <c r="L740" s="24">
        <f>IF($A740="","",IFERROR(ROUND($B740*$G740-($D740+$E740)*$F740-$B740*$F740*$I740+$B740*($G740-$F740),0),0))</f>
        <v/>
      </c>
    </row>
    <row r="741">
      <c r="L741" s="24">
        <f>IF($A741="","",IFERROR(ROUND($B741*$G741-($D741+$E741)*$F741-$B741*$F741*$I741+$B741*($G741-$F741),0),0))</f>
        <v/>
      </c>
    </row>
    <row r="742">
      <c r="L742" s="24">
        <f>IF($A742="","",IFERROR(ROUND($B742*$G742-($D742+$E742)*$F742-$B742*$F742*$I742+$B742*($G742-$F742),0),0))</f>
        <v/>
      </c>
    </row>
    <row r="743">
      <c r="L743" s="24">
        <f>IF($A743="","",IFERROR(ROUND($B743*$G743-($D743+$E743)*$F743-$B743*$F743*$I743+$B743*($G743-$F743),0),0))</f>
        <v/>
      </c>
    </row>
    <row r="744">
      <c r="L744" s="24">
        <f>IF($A744="","",IFERROR(ROUND($B744*$G744-($D744+$E744)*$F744-$B744*$F744*$I744+$B744*($G744-$F744),0),0))</f>
        <v/>
      </c>
    </row>
    <row r="745">
      <c r="L745" s="24">
        <f>IF($A745="","",IFERROR(ROUND($B745*$G745-($D745+$E745)*$F745-$B745*$F745*$I745+$B745*($G745-$F745),0),0))</f>
        <v/>
      </c>
    </row>
    <row r="746">
      <c r="L746" s="24">
        <f>IF($A746="","",IFERROR(ROUND($B746*$G746-($D746+$E746)*$F746-$B746*$F746*$I746+$B746*($G746-$F746),0),0))</f>
        <v/>
      </c>
    </row>
    <row r="747">
      <c r="L747" s="24">
        <f>IF($A747="","",IFERROR(ROUND($B747*$G747-($D747+$E747)*$F747-$B747*$F747*$I747+$B747*($G747-$F747),0),0))</f>
        <v/>
      </c>
    </row>
    <row r="748">
      <c r="L748" s="24">
        <f>IF($A748="","",IFERROR(ROUND($B748*$G748-($D748+$E748)*$F748-$B748*$F748*$I748+$B748*($G748-$F748),0),0))</f>
        <v/>
      </c>
    </row>
    <row r="749">
      <c r="L749" s="24">
        <f>IF($A749="","",IFERROR(ROUND($B749*$G749-($D749+$E749)*$F749-$B749*$F749*$I749+$B749*($G749-$F749),0),0))</f>
        <v/>
      </c>
    </row>
    <row r="750">
      <c r="L750" s="24">
        <f>IF($A750="","",IFERROR(ROUND($B750*$G750-($D750+$E750)*$F750-$B750*$F750*$I750+$B750*($G750-$F750),0),0))</f>
        <v/>
      </c>
    </row>
    <row r="751">
      <c r="L751" s="24">
        <f>IF($A751="","",IFERROR(ROUND($B751*$G751-($D751+$E751)*$F751-$B751*$F751*$I751+$B751*($G751-$F751),0),0))</f>
        <v/>
      </c>
    </row>
    <row r="752">
      <c r="L752" s="24">
        <f>IF($A752="","",IFERROR(ROUND($B752*$G752-($D752+$E752)*$F752-$B752*$F752*$I752+$B752*($G752-$F752),0),0))</f>
        <v/>
      </c>
    </row>
    <row r="753">
      <c r="L753" s="24">
        <f>IF($A753="","",IFERROR(ROUND($B753*$G753-($D753+$E753)*$F753-$B753*$F753*$I753+$B753*($G753-$F753),0),0))</f>
        <v/>
      </c>
    </row>
    <row r="754">
      <c r="L754" s="24">
        <f>IF($A754="","",IFERROR(ROUND($B754*$G754-($D754+$E754)*$F754-$B754*$F754*$I754+$B754*($G754-$F754),0),0))</f>
        <v/>
      </c>
    </row>
    <row r="755">
      <c r="L755" s="24">
        <f>IF($A755="","",IFERROR(ROUND($B755*$G755-($D755+$E755)*$F755-$B755*$F755*$I755+$B755*($G755-$F755),0),0))</f>
        <v/>
      </c>
    </row>
    <row r="756">
      <c r="L756" s="24">
        <f>IF($A756="","",IFERROR(ROUND($B756*$G756-($D756+$E756)*$F756-$B756*$F756*$I756+$B756*($G756-$F756),0),0))</f>
        <v/>
      </c>
    </row>
    <row r="757">
      <c r="L757" s="24">
        <f>IF($A757="","",IFERROR(ROUND($B757*$G757-($D757+$E757)*$F757-$B757*$F757*$I757+$B757*($G757-$F757),0),0))</f>
        <v/>
      </c>
    </row>
    <row r="758">
      <c r="L758" s="24">
        <f>IF($A758="","",IFERROR(ROUND($B758*$G758-($D758+$E758)*$F758-$B758*$F758*$I758+$B758*($G758-$F758),0),0))</f>
        <v/>
      </c>
    </row>
    <row r="759">
      <c r="L759" s="24">
        <f>IF($A759="","",IFERROR(ROUND($B759*$G759-($D759+$E759)*$F759-$B759*$F759*$I759+$B759*($G759-$F759),0),0))</f>
        <v/>
      </c>
    </row>
    <row r="760">
      <c r="L760" s="24">
        <f>IF($A760="","",IFERROR(ROUND($B760*$G760-($D760+$E760)*$F760-$B760*$F760*$I760+$B760*($G760-$F760),0),0))</f>
        <v/>
      </c>
    </row>
    <row r="761">
      <c r="L761" s="24">
        <f>IF($A761="","",IFERROR(ROUND($B761*$G761-($D761+$E761)*$F761-$B761*$F761*$I761+$B761*($G761-$F761),0),0))</f>
        <v/>
      </c>
    </row>
    <row r="762">
      <c r="L762" s="24">
        <f>IF($A762="","",IFERROR(ROUND($B762*$G762-($D762+$E762)*$F762-$B762*$F762*$I762+$B762*($G762-$F762),0),0))</f>
        <v/>
      </c>
    </row>
    <row r="763">
      <c r="L763" s="24">
        <f>IF($A763="","",IFERROR(ROUND($B763*$G763-($D763+$E763)*$F763-$B763*$F763*$I763+$B763*($G763-$F763),0),0))</f>
        <v/>
      </c>
    </row>
    <row r="764">
      <c r="L764" s="24">
        <f>IF($A764="","",IFERROR(ROUND($B764*$G764-($D764+$E764)*$F764-$B764*$F764*$I764+$B764*($G764-$F764),0),0))</f>
        <v/>
      </c>
    </row>
    <row r="765">
      <c r="L765" s="24">
        <f>IF($A765="","",IFERROR(ROUND($B765*$G765-($D765+$E765)*$F765-$B765*$F765*$I765+$B765*($G765-$F765),0),0))</f>
        <v/>
      </c>
    </row>
    <row r="766">
      <c r="L766" s="24">
        <f>IF($A766="","",IFERROR(ROUND($B766*$G766-($D766+$E766)*$F766-$B766*$F766*$I766+$B766*($G766-$F766),0),0))</f>
        <v/>
      </c>
    </row>
    <row r="767">
      <c r="L767" s="24">
        <f>IF($A767="","",IFERROR(ROUND($B767*$G767-($D767+$E767)*$F767-$B767*$F767*$I767+$B767*($G767-$F767),0),0))</f>
        <v/>
      </c>
    </row>
    <row r="768">
      <c r="L768" s="24">
        <f>IF($A768="","",IFERROR(ROUND($B768*$G768-($D768+$E768)*$F768-$B768*$F768*$I768+$B768*($G768-$F768),0),0))</f>
        <v/>
      </c>
    </row>
    <row r="769">
      <c r="L769" s="24">
        <f>IF($A769="","",IFERROR(ROUND($B769*$G769-($D769+$E769)*$F769-$B769*$F769*$I769+$B769*($G769-$F769),0),0))</f>
        <v/>
      </c>
    </row>
    <row r="770">
      <c r="L770" s="24">
        <f>IF($A770="","",IFERROR(ROUND($B770*$G770-($D770+$E770)*$F770-$B770*$F770*$I770+$B770*($G770-$F770),0),0))</f>
        <v/>
      </c>
    </row>
    <row r="771">
      <c r="L771" s="24">
        <f>IF($A771="","",IFERROR(ROUND($B771*$G771-($D771+$E771)*$F771-$B771*$F771*$I771+$B771*($G771-$F771),0),0))</f>
        <v/>
      </c>
    </row>
    <row r="772">
      <c r="L772" s="24">
        <f>IF($A772="","",IFERROR(ROUND($B772*$G772-($D772+$E772)*$F772-$B772*$F772*$I772+$B772*($G772-$F772),0),0))</f>
        <v/>
      </c>
    </row>
    <row r="773">
      <c r="L773" s="24">
        <f>IF($A773="","",IFERROR(ROUND($B773*$G773-($D773+$E773)*$F773-$B773*$F773*$I773+$B773*($G773-$F773),0),0))</f>
        <v/>
      </c>
    </row>
    <row r="774">
      <c r="L774" s="24">
        <f>IF($A774="","",IFERROR(ROUND($B774*$G774-($D774+$E774)*$F774-$B774*$F774*$I774+$B774*($G774-$F774),0),0))</f>
        <v/>
      </c>
    </row>
    <row r="775">
      <c r="L775" s="24">
        <f>IF($A775="","",IFERROR(ROUND($B775*$G775-($D775+$E775)*$F775-$B775*$F775*$I775+$B775*($G775-$F775),0),0))</f>
        <v/>
      </c>
    </row>
    <row r="776">
      <c r="L776" s="24">
        <f>IF($A776="","",IFERROR(ROUND($B776*$G776-($D776+$E776)*$F776-$B776*$F776*$I776+$B776*($G776-$F776),0),0))</f>
        <v/>
      </c>
    </row>
    <row r="777">
      <c r="L777" s="24">
        <f>IF($A777="","",IFERROR(ROUND($B777*$G777-($D777+$E777)*$F777-$B777*$F777*$I777+$B777*($G777-$F777),0),0))</f>
        <v/>
      </c>
    </row>
    <row r="778">
      <c r="L778" s="24">
        <f>IF($A778="","",IFERROR(ROUND($B778*$G778-($D778+$E778)*$F778-$B778*$F778*$I778+$B778*($G778-$F778),0),0))</f>
        <v/>
      </c>
    </row>
    <row r="779">
      <c r="L779" s="24">
        <f>IF($A779="","",IFERROR(ROUND($B779*$G779-($D779+$E779)*$F779-$B779*$F779*$I779+$B779*($G779-$F779),0),0))</f>
        <v/>
      </c>
    </row>
    <row r="780">
      <c r="L780" s="24">
        <f>IF($A780="","",IFERROR(ROUND($B780*$G780-($D780+$E780)*$F780-$B780*$F780*$I780+$B780*($G780-$F780),0),0))</f>
        <v/>
      </c>
    </row>
    <row r="781">
      <c r="L781" s="24">
        <f>IF($A781="","",IFERROR(ROUND($B781*$G781-($D781+$E781)*$F781-$B781*$F781*$I781+$B781*($G781-$F781),0),0))</f>
        <v/>
      </c>
    </row>
    <row r="782">
      <c r="L782" s="24">
        <f>IF($A782="","",IFERROR(ROUND($B782*$G782-($D782+$E782)*$F782-$B782*$F782*$I782+$B782*($G782-$F782),0),0))</f>
        <v/>
      </c>
    </row>
    <row r="783">
      <c r="L783" s="24">
        <f>IF($A783="","",IFERROR(ROUND($B783*$G783-($D783+$E783)*$F783-$B783*$F783*$I783+$B783*($G783-$F783),0),0))</f>
        <v/>
      </c>
    </row>
    <row r="784">
      <c r="L784" s="24">
        <f>IF($A784="","",IFERROR(ROUND($B784*$G784-($D784+$E784)*$F784-$B784*$F784*$I784+$B784*($G784-$F784),0),0))</f>
        <v/>
      </c>
    </row>
    <row r="785">
      <c r="L785" s="24">
        <f>IF($A785="","",IFERROR(ROUND($B785*$G785-($D785+$E785)*$F785-$B785*$F785*$I785+$B785*($G785-$F785),0),0))</f>
        <v/>
      </c>
    </row>
    <row r="786">
      <c r="L786" s="24">
        <f>IF($A786="","",IFERROR(ROUND($B786*$G786-($D786+$E786)*$F786-$B786*$F786*$I786+$B786*($G786-$F786),0),0))</f>
        <v/>
      </c>
    </row>
    <row r="787">
      <c r="L787" s="24">
        <f>IF($A787="","",IFERROR(ROUND($B787*$G787-($D787+$E787)*$F787-$B787*$F787*$I787+$B787*($G787-$F787),0),0))</f>
        <v/>
      </c>
    </row>
    <row r="788">
      <c r="L788" s="24">
        <f>IF($A788="","",IFERROR(ROUND($B788*$G788-($D788+$E788)*$F788-$B788*$F788*$I788+$B788*($G788-$F788),0),0))</f>
        <v/>
      </c>
    </row>
    <row r="789">
      <c r="L789" s="24">
        <f>IF($A789="","",IFERROR(ROUND($B789*$G789-($D789+$E789)*$F789-$B789*$F789*$I789+$B789*($G789-$F789),0),0))</f>
        <v/>
      </c>
    </row>
    <row r="790">
      <c r="L790" s="24">
        <f>IF($A790="","",IFERROR(ROUND($B790*$G790-($D790+$E790)*$F790-$B790*$F790*$I790+$B790*($G790-$F790),0),0))</f>
        <v/>
      </c>
    </row>
    <row r="791">
      <c r="L791" s="24">
        <f>IF($A791="","",IFERROR(ROUND($B791*$G791-($D791+$E791)*$F791-$B791*$F791*$I791+$B791*($G791-$F791),0),0))</f>
        <v/>
      </c>
    </row>
    <row r="792">
      <c r="L792" s="24">
        <f>IF($A792="","",IFERROR(ROUND($B792*$G792-($D792+$E792)*$F792-$B792*$F792*$I792+$B792*($G792-$F792),0),0))</f>
        <v/>
      </c>
    </row>
    <row r="793">
      <c r="L793" s="24">
        <f>IF($A793="","",IFERROR(ROUND($B793*$G793-($D793+$E793)*$F793-$B793*$F793*$I793+$B793*($G793-$F793),0),0))</f>
        <v/>
      </c>
    </row>
    <row r="794">
      <c r="L794" s="24">
        <f>IF($A794="","",IFERROR(ROUND($B794*$G794-($D794+$E794)*$F794-$B794*$F794*$I794+$B794*($G794-$F794),0),0))</f>
        <v/>
      </c>
    </row>
    <row r="795">
      <c r="L795" s="24">
        <f>IF($A795="","",IFERROR(ROUND($B795*$G795-($D795+$E795)*$F795-$B795*$F795*$I795+$B795*($G795-$F795),0),0))</f>
        <v/>
      </c>
    </row>
    <row r="796">
      <c r="L796" s="24">
        <f>IF($A796="","",IFERROR(ROUND($B796*$G796-($D796+$E796)*$F796-$B796*$F796*$I796+$B796*($G796-$F796),0),0))</f>
        <v/>
      </c>
    </row>
    <row r="797">
      <c r="L797" s="24">
        <f>IF($A797="","",IFERROR(ROUND($B797*$G797-($D797+$E797)*$F797-$B797*$F797*$I797+$B797*($G797-$F797),0),0))</f>
        <v/>
      </c>
    </row>
    <row r="798">
      <c r="L798" s="24">
        <f>IF($A798="","",IFERROR(ROUND($B798*$G798-($D798+$E798)*$F798-$B798*$F798*$I798+$B798*($G798-$F798),0),0))</f>
        <v/>
      </c>
    </row>
    <row r="799">
      <c r="L799" s="24">
        <f>IF($A799="","",IFERROR(ROUND($B799*$G799-($D799+$E799)*$F799-$B799*$F799*$I799+$B799*($G799-$F799),0),0))</f>
        <v/>
      </c>
    </row>
    <row r="800">
      <c r="L800" s="24">
        <f>IF($A800="","",IFERROR(ROUND($B800*$G800-($D800+$E800)*$F800-$B800*$F800*$I800+$B800*($G800-$F800),0),0))</f>
        <v/>
      </c>
    </row>
    <row r="801">
      <c r="L801" s="24">
        <f>IF($A801="","",IFERROR(ROUND($B801*$G801-($D801+$E801)*$F801-$B801*$F801*$I801+$B801*($G801-$F801),0),0))</f>
        <v/>
      </c>
    </row>
    <row r="802">
      <c r="L802" s="24">
        <f>IF($A802="","",IFERROR(ROUND($B802*$G802-($D802+$E802)*$F802-$B802*$F802*$I802+$B802*($G802-$F802),0),0))</f>
        <v/>
      </c>
    </row>
    <row r="803">
      <c r="L803" s="24">
        <f>IF($A803="","",IFERROR(ROUND($B803*$G803-($D803+$E803)*$F803-$B803*$F803*$I803+$B803*($G803-$F803),0),0))</f>
        <v/>
      </c>
    </row>
    <row r="804">
      <c r="L804" s="24">
        <f>IF($A804="","",IFERROR(ROUND($B804*$G804-($D804+$E804)*$F804-$B804*$F804*$I804+$B804*($G804-$F804),0),0))</f>
        <v/>
      </c>
    </row>
    <row r="805">
      <c r="L805" s="24">
        <f>IF($A805="","",IFERROR(ROUND($B805*$G805-($D805+$E805)*$F805-$B805*$F805*$I805+$B805*($G805-$F805),0),0))</f>
        <v/>
      </c>
    </row>
    <row r="806">
      <c r="L806" s="24">
        <f>IF($A806="","",IFERROR(ROUND($B806*$G806-($D806+$E806)*$F806-$B806*$F806*$I806+$B806*($G806-$F806),0),0))</f>
        <v/>
      </c>
    </row>
    <row r="807">
      <c r="L807" s="24">
        <f>IF($A807="","",IFERROR(ROUND($B807*$G807-($D807+$E807)*$F807-$B807*$F807*$I807+$B807*($G807-$F807),0),0))</f>
        <v/>
      </c>
    </row>
    <row r="808">
      <c r="L808" s="24">
        <f>IF($A808="","",IFERROR(ROUND($B808*$G808-($D808+$E808)*$F808-$B808*$F808*$I808+$B808*($G808-$F808),0),0))</f>
        <v/>
      </c>
    </row>
    <row r="809">
      <c r="L809" s="24">
        <f>IF($A809="","",IFERROR(ROUND($B809*$G809-($D809+$E809)*$F809-$B809*$F809*$I809+$B809*($G809-$F809),0),0))</f>
        <v/>
      </c>
    </row>
    <row r="810">
      <c r="L810" s="24">
        <f>IF($A810="","",IFERROR(ROUND($B810*$G810-($D810+$E810)*$F810-$B810*$F810*$I810+$B810*($G810-$F810),0),0))</f>
        <v/>
      </c>
    </row>
    <row r="811">
      <c r="L811" s="24">
        <f>IF($A811="","",IFERROR(ROUND($B811*$G811-($D811+$E811)*$F811-$B811*$F811*$I811+$B811*($G811-$F811),0),0))</f>
        <v/>
      </c>
    </row>
    <row r="812">
      <c r="L812" s="24">
        <f>IF($A812="","",IFERROR(ROUND($B812*$G812-($D812+$E812)*$F812-$B812*$F812*$I812+$B812*($G812-$F812),0),0))</f>
        <v/>
      </c>
    </row>
    <row r="813">
      <c r="L813" s="24">
        <f>IF($A813="","",IFERROR(ROUND($B813*$G813-($D813+$E813)*$F813-$B813*$F813*$I813+$B813*($G813-$F813),0),0))</f>
        <v/>
      </c>
    </row>
    <row r="814">
      <c r="L814" s="24">
        <f>IF($A814="","",IFERROR(ROUND($B814*$G814-($D814+$E814)*$F814-$B814*$F814*$I814+$B814*($G814-$F814),0),0))</f>
        <v/>
      </c>
    </row>
    <row r="815">
      <c r="L815" s="24">
        <f>IF($A815="","",IFERROR(ROUND($B815*$G815-($D815+$E815)*$F815-$B815*$F815*$I815+$B815*($G815-$F815),0),0))</f>
        <v/>
      </c>
    </row>
    <row r="816">
      <c r="L816" s="24">
        <f>IF($A816="","",IFERROR(ROUND($B816*$G816-($D816+$E816)*$F816-$B816*$F816*$I816+$B816*($G816-$F816),0),0))</f>
        <v/>
      </c>
    </row>
    <row r="817">
      <c r="L817" s="24">
        <f>IF($A817="","",IFERROR(ROUND($B817*$G817-($D817+$E817)*$F817-$B817*$F817*$I817+$B817*($G817-$F817),0),0))</f>
        <v/>
      </c>
    </row>
    <row r="818">
      <c r="L818" s="24">
        <f>IF($A818="","",IFERROR(ROUND($B818*$G818-($D818+$E818)*$F818-$B818*$F818*$I818+$B818*($G818-$F818),0),0))</f>
        <v/>
      </c>
    </row>
    <row r="819">
      <c r="L819" s="24">
        <f>IF($A819="","",IFERROR(ROUND($B819*$G819-($D819+$E819)*$F819-$B819*$F819*$I819+$B819*($G819-$F819),0),0))</f>
        <v/>
      </c>
    </row>
    <row r="820">
      <c r="L820" s="24">
        <f>IF($A820="","",IFERROR(ROUND($B820*$G820-($D820+$E820)*$F820-$B820*$F820*$I820+$B820*($G820-$F820),0),0))</f>
        <v/>
      </c>
    </row>
    <row r="821">
      <c r="L821" s="24">
        <f>IF($A821="","",IFERROR(ROUND($B821*$G821-($D821+$E821)*$F821-$B821*$F821*$I821+$B821*($G821-$F821),0),0))</f>
        <v/>
      </c>
    </row>
    <row r="822">
      <c r="L822" s="24">
        <f>IF($A822="","",IFERROR(ROUND($B822*$G822-($D822+$E822)*$F822-$B822*$F822*$I822+$B822*($G822-$F822),0),0))</f>
        <v/>
      </c>
    </row>
    <row r="823">
      <c r="L823" s="24">
        <f>IF($A823="","",IFERROR(ROUND($B823*$G823-($D823+$E823)*$F823-$B823*$F823*$I823+$B823*($G823-$F823),0),0))</f>
        <v/>
      </c>
    </row>
    <row r="824">
      <c r="L824" s="24">
        <f>IF($A824="","",IFERROR(ROUND($B824*$G824-($D824+$E824)*$F824-$B824*$F824*$I824+$B824*($G824-$F824),0),0))</f>
        <v/>
      </c>
    </row>
    <row r="825">
      <c r="L825" s="24">
        <f>IF($A825="","",IFERROR(ROUND($B825*$G825-($D825+$E825)*$F825-$B825*$F825*$I825+$B825*($G825-$F825),0),0))</f>
        <v/>
      </c>
    </row>
    <row r="826">
      <c r="L826" s="24">
        <f>IF($A826="","",IFERROR(ROUND($B826*$G826-($D826+$E826)*$F826-$B826*$F826*$I826+$B826*($G826-$F826),0),0))</f>
        <v/>
      </c>
    </row>
    <row r="827">
      <c r="L827" s="24">
        <f>IF($A827="","",IFERROR(ROUND($B827*$G827-($D827+$E827)*$F827-$B827*$F827*$I827+$B827*($G827-$F827),0),0))</f>
        <v/>
      </c>
    </row>
    <row r="828">
      <c r="L828" s="24">
        <f>IF($A828="","",IFERROR(ROUND($B828*$G828-($D828+$E828)*$F828-$B828*$F828*$I828+$B828*($G828-$F828),0),0))</f>
        <v/>
      </c>
    </row>
    <row r="829">
      <c r="L829" s="24">
        <f>IF($A829="","",IFERROR(ROUND($B829*$G829-($D829+$E829)*$F829-$B829*$F829*$I829+$B829*($G829-$F829),0),0))</f>
        <v/>
      </c>
    </row>
    <row r="830">
      <c r="L830" s="24">
        <f>IF($A830="","",IFERROR(ROUND($B830*$G830-($D830+$E830)*$F830-$B830*$F830*$I830+$B830*($G830-$F830),0),0))</f>
        <v/>
      </c>
    </row>
    <row r="831">
      <c r="L831" s="24">
        <f>IF($A831="","",IFERROR(ROUND($B831*$G831-($D831+$E831)*$F831-$B831*$F831*$I831+$B831*($G831-$F831),0),0))</f>
        <v/>
      </c>
    </row>
    <row r="832">
      <c r="L832" s="24">
        <f>IF($A832="","",IFERROR(ROUND($B832*$G832-($D832+$E832)*$F832-$B832*$F832*$I832+$B832*($G832-$F832),0),0))</f>
        <v/>
      </c>
    </row>
    <row r="833">
      <c r="L833" s="24">
        <f>IF($A833="","",IFERROR(ROUND($B833*$G833-($D833+$E833)*$F833-$B833*$F833*$I833+$B833*($G833-$F833),0),0))</f>
        <v/>
      </c>
    </row>
    <row r="834">
      <c r="L834" s="24">
        <f>IF($A834="","",IFERROR(ROUND($B834*$G834-($D834+$E834)*$F834-$B834*$F834*$I834+$B834*($G834-$F834),0),0))</f>
        <v/>
      </c>
    </row>
    <row r="835">
      <c r="L835" s="24">
        <f>IF($A835="","",IFERROR(ROUND($B835*$G835-($D835+$E835)*$F835-$B835*$F835*$I835+$B835*($G835-$F835),0),0))</f>
        <v/>
      </c>
    </row>
    <row r="836">
      <c r="L836" s="24">
        <f>IF($A836="","",IFERROR(ROUND($B836*$G836-($D836+$E836)*$F836-$B836*$F836*$I836+$B836*($G836-$F836),0),0))</f>
        <v/>
      </c>
    </row>
    <row r="837">
      <c r="L837" s="24">
        <f>IF($A837="","",IFERROR(ROUND($B837*$G837-($D837+$E837)*$F837-$B837*$F837*$I837+$B837*($G837-$F837),0),0))</f>
        <v/>
      </c>
    </row>
    <row r="838">
      <c r="L838" s="24">
        <f>IF($A838="","",IFERROR(ROUND($B838*$G838-($D838+$E838)*$F838-$B838*$F838*$I838+$B838*($G838-$F838),0),0))</f>
        <v/>
      </c>
    </row>
    <row r="839">
      <c r="L839" s="24">
        <f>IF($A839="","",IFERROR(ROUND($B839*$G839-($D839+$E839)*$F839-$B839*$F839*$I839+$B839*($G839-$F839),0),0))</f>
        <v/>
      </c>
    </row>
    <row r="840">
      <c r="L840" s="24">
        <f>IF($A840="","",IFERROR(ROUND($B840*$G840-($D840+$E840)*$F840-$B840*$F840*$I840+$B840*($G840-$F840),0),0))</f>
        <v/>
      </c>
    </row>
    <row r="841">
      <c r="L841" s="24">
        <f>IF($A841="","",IFERROR(ROUND($B841*$G841-($D841+$E841)*$F841-$B841*$F841*$I841+$B841*($G841-$F841),0),0))</f>
        <v/>
      </c>
    </row>
    <row r="842">
      <c r="L842" s="24">
        <f>IF($A842="","",IFERROR(ROUND($B842*$G842-($D842+$E842)*$F842-$B842*$F842*$I842+$B842*($G842-$F842),0),0))</f>
        <v/>
      </c>
    </row>
    <row r="843">
      <c r="L843" s="24">
        <f>IF($A843="","",IFERROR(ROUND($B843*$G843-($D843+$E843)*$F843-$B843*$F843*$I843+$B843*($G843-$F843),0),0))</f>
        <v/>
      </c>
    </row>
    <row r="844">
      <c r="L844" s="24">
        <f>IF($A844="","",IFERROR(ROUND($B844*$G844-($D844+$E844)*$F844-$B844*$F844*$I844+$B844*($G844-$F844),0),0))</f>
        <v/>
      </c>
    </row>
    <row r="845">
      <c r="L845" s="24">
        <f>IF($A845="","",IFERROR(ROUND($B845*$G845-($D845+$E845)*$F845-$B845*$F845*$I845+$B845*($G845-$F845),0),0))</f>
        <v/>
      </c>
    </row>
    <row r="846">
      <c r="L846" s="24">
        <f>IF($A846="","",IFERROR(ROUND($B846*$G846-($D846+$E846)*$F846-$B846*$F846*$I846+$B846*($G846-$F846),0),0))</f>
        <v/>
      </c>
    </row>
    <row r="847">
      <c r="L847" s="24">
        <f>IF($A847="","",IFERROR(ROUND($B847*$G847-($D847+$E847)*$F847-$B847*$F847*$I847+$B847*($G847-$F847),0),0))</f>
        <v/>
      </c>
    </row>
    <row r="848">
      <c r="L848" s="24">
        <f>IF($A848="","",IFERROR(ROUND($B848*$G848-($D848+$E848)*$F848-$B848*$F848*$I848+$B848*($G848-$F848),0),0))</f>
        <v/>
      </c>
    </row>
    <row r="849">
      <c r="L849" s="24">
        <f>IF($A849="","",IFERROR(ROUND($B849*$G849-($D849+$E849)*$F849-$B849*$F849*$I849+$B849*($G849-$F849),0),0))</f>
        <v/>
      </c>
    </row>
    <row r="850">
      <c r="L850" s="24">
        <f>IF($A850="","",IFERROR(ROUND($B850*$G850-($D850+$E850)*$F850-$B850*$F850*$I850+$B850*($G850-$F850),0),0))</f>
        <v/>
      </c>
    </row>
    <row r="851">
      <c r="L851" s="24">
        <f>IF($A851="","",IFERROR(ROUND($B851*$G851-($D851+$E851)*$F851-$B851*$F851*$I851+$B851*($G851-$F851),0),0))</f>
        <v/>
      </c>
    </row>
    <row r="852">
      <c r="L852" s="24">
        <f>IF($A852="","",IFERROR(ROUND($B852*$G852-($D852+$E852)*$F852-$B852*$F852*$I852+$B852*($G852-$F852),0),0))</f>
        <v/>
      </c>
    </row>
    <row r="853">
      <c r="L853" s="24">
        <f>IF($A853="","",IFERROR(ROUND($B853*$G853-($D853+$E853)*$F853-$B853*$F853*$I853+$B853*($G853-$F853),0),0))</f>
        <v/>
      </c>
    </row>
    <row r="854">
      <c r="L854" s="24">
        <f>IF($A854="","",IFERROR(ROUND($B854*$G854-($D854+$E854)*$F854-$B854*$F854*$I854+$B854*($G854-$F854),0),0))</f>
        <v/>
      </c>
    </row>
    <row r="855">
      <c r="L855" s="24">
        <f>IF($A855="","",IFERROR(ROUND($B855*$G855-($D855+$E855)*$F855-$B855*$F855*$I855+$B855*($G855-$F855),0),0))</f>
        <v/>
      </c>
    </row>
    <row r="856">
      <c r="L856" s="24">
        <f>IF($A856="","",IFERROR(ROUND($B856*$G856-($D856+$E856)*$F856-$B856*$F856*$I856+$B856*($G856-$F856),0),0))</f>
        <v/>
      </c>
    </row>
    <row r="857">
      <c r="L857" s="24">
        <f>IF($A857="","",IFERROR(ROUND($B857*$G857-($D857+$E857)*$F857-$B857*$F857*$I857+$B857*($G857-$F857),0),0))</f>
        <v/>
      </c>
    </row>
    <row r="858">
      <c r="L858" s="24">
        <f>IF($A858="","",IFERROR(ROUND($B858*$G858-($D858+$E858)*$F858-$B858*$F858*$I858+$B858*($G858-$F858),0),0))</f>
        <v/>
      </c>
    </row>
    <row r="859">
      <c r="L859" s="24">
        <f>IF($A859="","",IFERROR(ROUND($B859*$G859-($D859+$E859)*$F859-$B859*$F859*$I859+$B859*($G859-$F859),0),0))</f>
        <v/>
      </c>
    </row>
    <row r="860">
      <c r="L860" s="24">
        <f>IF($A860="","",IFERROR(ROUND($B860*$G860-($D860+$E860)*$F860-$B860*$F860*$I860+$B860*($G860-$F860),0),0))</f>
        <v/>
      </c>
    </row>
    <row r="861">
      <c r="L861" s="24">
        <f>IF($A861="","",IFERROR(ROUND($B861*$G861-($D861+$E861)*$F861-$B861*$F861*$I861+$B861*($G861-$F861),0),0))</f>
        <v/>
      </c>
    </row>
    <row r="862">
      <c r="L862" s="24">
        <f>IF($A862="","",IFERROR(ROUND($B862*$G862-($D862+$E862)*$F862-$B862*$F862*$I862+$B862*($G862-$F862),0),0))</f>
        <v/>
      </c>
    </row>
    <row r="863">
      <c r="L863" s="24">
        <f>IF($A863="","",IFERROR(ROUND($B863*$G863-($D863+$E863)*$F863-$B863*$F863*$I863+$B863*($G863-$F863),0),0))</f>
        <v/>
      </c>
    </row>
    <row r="864">
      <c r="L864" s="24">
        <f>IF($A864="","",IFERROR(ROUND($B864*$G864-($D864+$E864)*$F864-$B864*$F864*$I864+$B864*($G864-$F864),0),0))</f>
        <v/>
      </c>
    </row>
    <row r="865">
      <c r="L865" s="24">
        <f>IF($A865="","",IFERROR(ROUND($B865*$G865-($D865+$E865)*$F865-$B865*$F865*$I865+$B865*($G865-$F865),0),0))</f>
        <v/>
      </c>
    </row>
    <row r="866">
      <c r="L866" s="24">
        <f>IF($A866="","",IFERROR(ROUND($B866*$G866-($D866+$E866)*$F866-$B866*$F866*$I866+$B866*($G866-$F866),0),0))</f>
        <v/>
      </c>
    </row>
    <row r="867">
      <c r="L867" s="24">
        <f>IF($A867="","",IFERROR(ROUND($B867*$G867-($D867+$E867)*$F867-$B867*$F867*$I867+$B867*($G867-$F867),0),0))</f>
        <v/>
      </c>
    </row>
    <row r="868">
      <c r="L868" s="24">
        <f>IF($A868="","",IFERROR(ROUND($B868*$G868-($D868+$E868)*$F868-$B868*$F868*$I868+$B868*($G868-$F868),0),0))</f>
        <v/>
      </c>
    </row>
    <row r="869">
      <c r="L869" s="24">
        <f>IF($A869="","",IFERROR(ROUND($B869*$G869-($D869+$E869)*$F869-$B869*$F869*$I869+$B869*($G869-$F869),0),0))</f>
        <v/>
      </c>
    </row>
    <row r="870">
      <c r="L870" s="24">
        <f>IF($A870="","",IFERROR(ROUND($B870*$G870-($D870+$E870)*$F870-$B870*$F870*$I870+$B870*($G870-$F870),0),0))</f>
        <v/>
      </c>
    </row>
    <row r="871">
      <c r="L871" s="24">
        <f>IF($A871="","",IFERROR(ROUND($B871*$G871-($D871+$E871)*$F871-$B871*$F871*$I871+$B871*($G871-$F871),0),0))</f>
        <v/>
      </c>
    </row>
    <row r="872">
      <c r="L872" s="24">
        <f>IF($A872="","",IFERROR(ROUND($B872*$G872-($D872+$E872)*$F872-$B872*$F872*$I872+$B872*($G872-$F872),0),0))</f>
        <v/>
      </c>
    </row>
    <row r="873">
      <c r="L873" s="24">
        <f>IF($A873="","",IFERROR(ROUND($B873*$G873-($D873+$E873)*$F873-$B873*$F873*$I873+$B873*($G873-$F873),0),0))</f>
        <v/>
      </c>
    </row>
    <row r="874">
      <c r="L874" s="24">
        <f>IF($A874="","",IFERROR(ROUND($B874*$G874-($D874+$E874)*$F874-$B874*$F874*$I874+$B874*($G874-$F874),0),0))</f>
        <v/>
      </c>
    </row>
    <row r="875">
      <c r="L875" s="24">
        <f>IF($A875="","",IFERROR(ROUND($B875*$G875-($D875+$E875)*$F875-$B875*$F875*$I875+$B875*($G875-$F875),0),0))</f>
        <v/>
      </c>
    </row>
    <row r="876">
      <c r="L876" s="24">
        <f>IF($A876="","",IFERROR(ROUND($B876*$G876-($D876+$E876)*$F876-$B876*$F876*$I876+$B876*($G876-$F876),0),0))</f>
        <v/>
      </c>
    </row>
    <row r="877">
      <c r="L877" s="24">
        <f>IF($A877="","",IFERROR(ROUND($B877*$G877-($D877+$E877)*$F877-$B877*$F877*$I877+$B877*($G877-$F877),0),0))</f>
        <v/>
      </c>
    </row>
    <row r="878">
      <c r="L878" s="24">
        <f>IF($A878="","",IFERROR(ROUND($B878*$G878-($D878+$E878)*$F878-$B878*$F878*$I878+$B878*($G878-$F878),0),0))</f>
        <v/>
      </c>
    </row>
    <row r="879">
      <c r="L879" s="24">
        <f>IF($A879="","",IFERROR(ROUND($B879*$G879-($D879+$E879)*$F879-$B879*$F879*$I879+$B879*($G879-$F879),0),0))</f>
        <v/>
      </c>
    </row>
    <row r="880">
      <c r="L880" s="24">
        <f>IF($A880="","",IFERROR(ROUND($B880*$G880-($D880+$E880)*$F880-$B880*$F880*$I880+$B880*($G880-$F880),0),0))</f>
        <v/>
      </c>
    </row>
    <row r="881">
      <c r="L881" s="24">
        <f>IF($A881="","",IFERROR(ROUND($B881*$G881-($D881+$E881)*$F881-$B881*$F881*$I881+$B881*($G881-$F881),0),0))</f>
        <v/>
      </c>
    </row>
    <row r="882">
      <c r="L882" s="24">
        <f>IF($A882="","",IFERROR(ROUND($B882*$G882-($D882+$E882)*$F882-$B882*$F882*$I882+$B882*($G882-$F882),0),0))</f>
        <v/>
      </c>
    </row>
    <row r="883">
      <c r="L883" s="24">
        <f>IF($A883="","",IFERROR(ROUND($B883*$G883-($D883+$E883)*$F883-$B883*$F883*$I883+$B883*($G883-$F883),0),0))</f>
        <v/>
      </c>
    </row>
    <row r="884">
      <c r="L884" s="24">
        <f>IF($A884="","",IFERROR(ROUND($B884*$G884-($D884+$E884)*$F884-$B884*$F884*$I884+$B884*($G884-$F884),0),0))</f>
        <v/>
      </c>
    </row>
    <row r="885">
      <c r="L885" s="24">
        <f>IF($A885="","",IFERROR(ROUND($B885*$G885-($D885+$E885)*$F885-$B885*$F885*$I885+$B885*($G885-$F885),0),0))</f>
        <v/>
      </c>
    </row>
    <row r="886">
      <c r="L886" s="24">
        <f>IF($A886="","",IFERROR(ROUND($B886*$G886-($D886+$E886)*$F886-$B886*$F886*$I886+$B886*($G886-$F886),0),0))</f>
        <v/>
      </c>
    </row>
    <row r="887">
      <c r="L887" s="24">
        <f>IF($A887="","",IFERROR(ROUND($B887*$G887-($D887+$E887)*$F887-$B887*$F887*$I887+$B887*($G887-$F887),0),0))</f>
        <v/>
      </c>
    </row>
    <row r="888">
      <c r="L888" s="24">
        <f>IF($A888="","",IFERROR(ROUND($B888*$G888-($D888+$E888)*$F888-$B888*$F888*$I888+$B888*($G888-$F888),0),0))</f>
        <v/>
      </c>
    </row>
    <row r="889">
      <c r="L889" s="24">
        <f>IF($A889="","",IFERROR(ROUND($B889*$G889-($D889+$E889)*$F889-$B889*$F889*$I889+$B889*($G889-$F889),0),0))</f>
        <v/>
      </c>
    </row>
    <row r="890">
      <c r="L890" s="24">
        <f>IF($A890="","",IFERROR(ROUND($B890*$G890-($D890+$E890)*$F890-$B890*$F890*$I890+$B890*($G890-$F890),0),0))</f>
        <v/>
      </c>
    </row>
    <row r="891">
      <c r="L891" s="24">
        <f>IF($A891="","",IFERROR(ROUND($B891*$G891-($D891+$E891)*$F891-$B891*$F891*$I891+$B891*($G891-$F891),0),0))</f>
        <v/>
      </c>
    </row>
    <row r="892">
      <c r="L892" s="24">
        <f>IF($A892="","",IFERROR(ROUND($B892*$G892-($D892+$E892)*$F892-$B892*$F892*$I892+$B892*($G892-$F892),0),0))</f>
        <v/>
      </c>
    </row>
    <row r="893">
      <c r="L893" s="24">
        <f>IF($A893="","",IFERROR(ROUND($B893*$G893-($D893+$E893)*$F893-$B893*$F893*$I893+$B893*($G893-$F893),0),0))</f>
        <v/>
      </c>
    </row>
    <row r="894">
      <c r="L894" s="24">
        <f>IF($A894="","",IFERROR(ROUND($B894*$G894-($D894+$E894)*$F894-$B894*$F894*$I894+$B894*($G894-$F894),0),0))</f>
        <v/>
      </c>
    </row>
    <row r="895">
      <c r="L895" s="24">
        <f>IF($A895="","",IFERROR(ROUND($B895*$G895-($D895+$E895)*$F895-$B895*$F895*$I895+$B895*($G895-$F895),0),0))</f>
        <v/>
      </c>
    </row>
    <row r="896">
      <c r="L896" s="24">
        <f>IF($A896="","",IFERROR(ROUND($B896*$G896-($D896+$E896)*$F896-$B896*$F896*$I896+$B896*($G896-$F896),0),0))</f>
        <v/>
      </c>
    </row>
    <row r="897">
      <c r="L897" s="24">
        <f>IF($A897="","",IFERROR(ROUND($B897*$G897-($D897+$E897)*$F897-$B897*$F897*$I897+$B897*($G897-$F897),0),0))</f>
        <v/>
      </c>
    </row>
    <row r="898">
      <c r="L898" s="24">
        <f>IF($A898="","",IFERROR(ROUND($B898*$G898-($D898+$E898)*$F898-$B898*$F898*$I898+$B898*($G898-$F898),0),0))</f>
        <v/>
      </c>
    </row>
    <row r="899">
      <c r="L899" s="24">
        <f>IF($A899="","",IFERROR(ROUND($B899*$G899-($D899+$E899)*$F899-$B899*$F899*$I899+$B899*($G899-$F899),0),0))</f>
        <v/>
      </c>
    </row>
    <row r="900">
      <c r="L900" s="24">
        <f>IF($A900="","",IFERROR(ROUND($B900*$G900-($D900+$E900)*$F900-$B900*$F900*$I900+$B900*($G900-$F900),0),0))</f>
        <v/>
      </c>
    </row>
    <row r="901">
      <c r="L901" s="24">
        <f>IF($A901="","",IFERROR(ROUND($B901*$G901-($D901+$E901)*$F901-$B901*$F901*$I901+$B901*($G901-$F901),0),0))</f>
        <v/>
      </c>
    </row>
    <row r="902">
      <c r="L902" s="24">
        <f>IF($A902="","",IFERROR(ROUND($B902*$G902-($D902+$E902)*$F902-$B902*$F902*$I902+$B902*($G902-$F902),0),0))</f>
        <v/>
      </c>
    </row>
    <row r="903">
      <c r="L903" s="24">
        <f>IF($A903="","",IFERROR(ROUND($B903*$G903-($D903+$E903)*$F903-$B903*$F903*$I903+$B903*($G903-$F903),0),0))</f>
        <v/>
      </c>
    </row>
    <row r="904">
      <c r="L904" s="24">
        <f>IF($A904="","",IFERROR(ROUND($B904*$G904-($D904+$E904)*$F904-$B904*$F904*$I904+$B904*($G904-$F904),0),0))</f>
        <v/>
      </c>
    </row>
    <row r="905">
      <c r="L905" s="24">
        <f>IF($A905="","",IFERROR(ROUND($B905*$G905-($D905+$E905)*$F905-$B905*$F905*$I905+$B905*($G905-$F905),0),0))</f>
        <v/>
      </c>
    </row>
    <row r="906">
      <c r="L906" s="24">
        <f>IF($A906="","",IFERROR(ROUND($B906*$G906-($D906+$E906)*$F906-$B906*$F906*$I906+$B906*($G906-$F906),0),0))</f>
        <v/>
      </c>
    </row>
    <row r="907">
      <c r="L907" s="24">
        <f>IF($A907="","",IFERROR(ROUND($B907*$G907-($D907+$E907)*$F907-$B907*$F907*$I907+$B907*($G907-$F907),0),0))</f>
        <v/>
      </c>
    </row>
    <row r="908">
      <c r="L908" s="24">
        <f>IF($A908="","",IFERROR(ROUND($B908*$G908-($D908+$E908)*$F908-$B908*$F908*$I908+$B908*($G908-$F908),0),0))</f>
        <v/>
      </c>
    </row>
    <row r="909">
      <c r="L909" s="24">
        <f>IF($A909="","",IFERROR(ROUND($B909*$G909-($D909+$E909)*$F909-$B909*$F909*$I909+$B909*($G909-$F909),0),0))</f>
        <v/>
      </c>
    </row>
    <row r="910">
      <c r="L910" s="24">
        <f>IF($A910="","",IFERROR(ROUND($B910*$G910-($D910+$E910)*$F910-$B910*$F910*$I910+$B910*($G910-$F910),0),0))</f>
        <v/>
      </c>
    </row>
    <row r="911">
      <c r="L911" s="24">
        <f>IF($A911="","",IFERROR(ROUND($B911*$G911-($D911+$E911)*$F911-$B911*$F911*$I911+$B911*($G911-$F911),0),0))</f>
        <v/>
      </c>
    </row>
    <row r="912">
      <c r="L912" s="24">
        <f>IF($A912="","",IFERROR(ROUND($B912*$G912-($D912+$E912)*$F912-$B912*$F912*$I912+$B912*($G912-$F912),0),0))</f>
        <v/>
      </c>
    </row>
    <row r="913">
      <c r="L913" s="24">
        <f>IF($A913="","",IFERROR(ROUND($B913*$G913-($D913+$E913)*$F913-$B913*$F913*$I913+$B913*($G913-$F913),0),0))</f>
        <v/>
      </c>
    </row>
    <row r="914">
      <c r="L914" s="24">
        <f>IF($A914="","",IFERROR(ROUND($B914*$G914-($D914+$E914)*$F914-$B914*$F914*$I914+$B914*($G914-$F914),0),0))</f>
        <v/>
      </c>
    </row>
    <row r="915">
      <c r="L915" s="24">
        <f>IF($A915="","",IFERROR(ROUND($B915*$G915-($D915+$E915)*$F915-$B915*$F915*$I915+$B915*($G915-$F915),0),0))</f>
        <v/>
      </c>
    </row>
    <row r="916">
      <c r="L916" s="24">
        <f>IF($A916="","",IFERROR(ROUND($B916*$G916-($D916+$E916)*$F916-$B916*$F916*$I916+$B916*($G916-$F916),0),0))</f>
        <v/>
      </c>
    </row>
    <row r="917">
      <c r="L917" s="24">
        <f>IF($A917="","",IFERROR(ROUND($B917*$G917-($D917+$E917)*$F917-$B917*$F917*$I917+$B917*($G917-$F917),0),0))</f>
        <v/>
      </c>
    </row>
    <row r="918">
      <c r="L918" s="24">
        <f>IF($A918="","",IFERROR(ROUND($B918*$G918-($D918+$E918)*$F918-$B918*$F918*$I918+$B918*($G918-$F918),0),0))</f>
        <v/>
      </c>
    </row>
    <row r="919">
      <c r="L919" s="24">
        <f>IF($A919="","",IFERROR(ROUND($B919*$G919-($D919+$E919)*$F919-$B919*$F919*$I919+$B919*($G919-$F919),0),0))</f>
        <v/>
      </c>
    </row>
    <row r="920">
      <c r="L920" s="24">
        <f>IF($A920="","",IFERROR(ROUND($B920*$G920-($D920+$E920)*$F920-$B920*$F920*$I920+$B920*($G920-$F920),0),0))</f>
        <v/>
      </c>
    </row>
    <row r="921">
      <c r="L921" s="24">
        <f>IF($A921="","",IFERROR(ROUND($B921*$G921-($D921+$E921)*$F921-$B921*$F921*$I921+$B921*($G921-$F921),0),0))</f>
        <v/>
      </c>
    </row>
    <row r="922">
      <c r="L922" s="24">
        <f>IF($A922="","",IFERROR(ROUND($B922*$G922-($D922+$E922)*$F922-$B922*$F922*$I922+$B922*($G922-$F922),0),0))</f>
        <v/>
      </c>
    </row>
    <row r="923">
      <c r="L923" s="24">
        <f>IF($A923="","",IFERROR(ROUND($B923*$G923-($D923+$E923)*$F923-$B923*$F923*$I923+$B923*($G923-$F923),0),0))</f>
        <v/>
      </c>
    </row>
    <row r="924">
      <c r="L924" s="24">
        <f>IF($A924="","",IFERROR(ROUND($B924*$G924-($D924+$E924)*$F924-$B924*$F924*$I924+$B924*($G924-$F924),0),0))</f>
        <v/>
      </c>
    </row>
    <row r="925">
      <c r="L925" s="24">
        <f>IF($A925="","",IFERROR(ROUND($B925*$G925-($D925+$E925)*$F925-$B925*$F925*$I925+$B925*($G925-$F925),0),0))</f>
        <v/>
      </c>
    </row>
    <row r="926">
      <c r="L926" s="24">
        <f>IF($A926="","",IFERROR(ROUND($B926*$G926-($D926+$E926)*$F926-$B926*$F926*$I926+$B926*($G926-$F926),0),0))</f>
        <v/>
      </c>
    </row>
    <row r="927">
      <c r="L927" s="24">
        <f>IF($A927="","",IFERROR(ROUND($B927*$G927-($D927+$E927)*$F927-$B927*$F927*$I927+$B927*($G927-$F927),0),0))</f>
        <v/>
      </c>
    </row>
    <row r="928">
      <c r="L928" s="24">
        <f>IF($A928="","",IFERROR(ROUND($B928*$G928-($D928+$E928)*$F928-$B928*$F928*$I928+$B928*($G928-$F928),0),0))</f>
        <v/>
      </c>
    </row>
    <row r="929">
      <c r="L929" s="24">
        <f>IF($A929="","",IFERROR(ROUND($B929*$G929-($D929+$E929)*$F929-$B929*$F929*$I929+$B929*($G929-$F929),0),0))</f>
        <v/>
      </c>
    </row>
    <row r="930">
      <c r="L930" s="24">
        <f>IF($A930="","",IFERROR(ROUND($B930*$G930-($D930+$E930)*$F930-$B930*$F930*$I930+$B930*($G930-$F930),0),0))</f>
        <v/>
      </c>
    </row>
    <row r="931">
      <c r="L931" s="24">
        <f>IF($A931="","",IFERROR(ROUND($B931*$G931-($D931+$E931)*$F931-$B931*$F931*$I931+$B931*($G931-$F931),0),0))</f>
        <v/>
      </c>
    </row>
    <row r="932">
      <c r="L932" s="24">
        <f>IF($A932="","",IFERROR(ROUND($B932*$G932-($D932+$E932)*$F932-$B932*$F932*$I932+$B932*($G932-$F932),0),0))</f>
        <v/>
      </c>
    </row>
    <row r="933">
      <c r="L933" s="24">
        <f>IF($A933="","",IFERROR(ROUND($B933*$G933-($D933+$E933)*$F933-$B933*$F933*$I933+$B933*($G933-$F933),0),0))</f>
        <v/>
      </c>
    </row>
    <row r="934">
      <c r="L934" s="24">
        <f>IF($A934="","",IFERROR(ROUND($B934*$G934-($D934+$E934)*$F934-$B934*$F934*$I934+$B934*($G934-$F934),0),0))</f>
        <v/>
      </c>
    </row>
    <row r="935">
      <c r="L935" s="24">
        <f>IF($A935="","",IFERROR(ROUND($B935*$G935-($D935+$E935)*$F935-$B935*$F935*$I935+$B935*($G935-$F935),0),0))</f>
        <v/>
      </c>
    </row>
    <row r="936">
      <c r="L936" s="24">
        <f>IF($A936="","",IFERROR(ROUND($B936*$G936-($D936+$E936)*$F936-$B936*$F936*$I936+$B936*($G936-$F936),0),0))</f>
        <v/>
      </c>
    </row>
    <row r="937">
      <c r="L937" s="24">
        <f>IF($A937="","",IFERROR(ROUND($B937*$G937-($D937+$E937)*$F937-$B937*$F937*$I937+$B937*($G937-$F937),0),0))</f>
        <v/>
      </c>
    </row>
    <row r="938">
      <c r="L938" s="24">
        <f>IF($A938="","",IFERROR(ROUND($B938*$G938-($D938+$E938)*$F938-$B938*$F938*$I938+$B938*($G938-$F938),0),0))</f>
        <v/>
      </c>
    </row>
    <row r="939">
      <c r="L939" s="24">
        <f>IF($A939="","",IFERROR(ROUND($B939*$G939-($D939+$E939)*$F939-$B939*$F939*$I939+$B939*($G939-$F939),0),0))</f>
        <v/>
      </c>
    </row>
    <row r="940">
      <c r="L940" s="24">
        <f>IF($A940="","",IFERROR(ROUND($B940*$G940-($D940+$E940)*$F940-$B940*$F940*$I940+$B940*($G940-$F940),0),0))</f>
        <v/>
      </c>
    </row>
    <row r="941">
      <c r="L941" s="24">
        <f>IF($A941="","",IFERROR(ROUND($B941*$G941-($D941+$E941)*$F941-$B941*$F941*$I941+$B941*($G941-$F941),0),0))</f>
        <v/>
      </c>
    </row>
    <row r="942">
      <c r="L942" s="24">
        <f>IF($A942="","",IFERROR(ROUND($B942*$G942-($D942+$E942)*$F942-$B942*$F942*$I942+$B942*($G942-$F942),0),0))</f>
        <v/>
      </c>
    </row>
    <row r="943">
      <c r="L943" s="24">
        <f>IF($A943="","",IFERROR(ROUND($B943*$G943-($D943+$E943)*$F943-$B943*$F943*$I943+$B943*($G943-$F943),0),0))</f>
        <v/>
      </c>
    </row>
    <row r="944">
      <c r="L944" s="24">
        <f>IF($A944="","",IFERROR(ROUND($B944*$G944-($D944+$E944)*$F944-$B944*$F944*$I944+$B944*($G944-$F944),0),0))</f>
        <v/>
      </c>
    </row>
    <row r="945">
      <c r="L945" s="24">
        <f>IF($A945="","",IFERROR(ROUND($B945*$G945-($D945+$E945)*$F945-$B945*$F945*$I945+$B945*($G945-$F945),0),0))</f>
        <v/>
      </c>
    </row>
    <row r="946">
      <c r="L946" s="24">
        <f>IF($A946="","",IFERROR(ROUND($B946*$G946-($D946+$E946)*$F946-$B946*$F946*$I946+$B946*($G946-$F946),0),0))</f>
        <v/>
      </c>
    </row>
    <row r="947">
      <c r="L947" s="24">
        <f>IF($A947="","",IFERROR(ROUND($B947*$G947-($D947+$E947)*$F947-$B947*$F947*$I947+$B947*($G947-$F947),0),0))</f>
        <v/>
      </c>
    </row>
    <row r="948">
      <c r="L948" s="24">
        <f>IF($A948="","",IFERROR(ROUND($B948*$G948-($D948+$E948)*$F948-$B948*$F948*$I948+$B948*($G948-$F948),0),0))</f>
        <v/>
      </c>
    </row>
    <row r="949">
      <c r="L949" s="24">
        <f>IF($A949="","",IFERROR(ROUND($B949*$G949-($D949+$E949)*$F949-$B949*$F949*$I949+$B949*($G949-$F949),0),0))</f>
        <v/>
      </c>
    </row>
    <row r="950">
      <c r="L950" s="24">
        <f>IF($A950="","",IFERROR(ROUND($B950*$G950-($D950+$E950)*$F950-$B950*$F950*$I950+$B950*($G950-$F950),0),0))</f>
        <v/>
      </c>
    </row>
    <row r="951">
      <c r="L951" s="24">
        <f>IF($A951="","",IFERROR(ROUND($B951*$G951-($D951+$E951)*$F951-$B951*$F951*$I951+$B951*($G951-$F951),0),0))</f>
        <v/>
      </c>
    </row>
    <row r="952">
      <c r="L952" s="24">
        <f>IF($A952="","",IFERROR(ROUND($B952*$G952-($D952+$E952)*$F952-$B952*$F952*$I952+$B952*($G952-$F952),0),0))</f>
        <v/>
      </c>
    </row>
    <row r="953">
      <c r="L953" s="24">
        <f>IF($A953="","",IFERROR(ROUND($B953*$G953-($D953+$E953)*$F953-$B953*$F953*$I953+$B953*($G953-$F953),0),0))</f>
        <v/>
      </c>
    </row>
    <row r="954">
      <c r="L954" s="24">
        <f>IF($A954="","",IFERROR(ROUND($B954*$G954-($D954+$E954)*$F954-$B954*$F954*$I954+$B954*($G954-$F954),0),0))</f>
        <v/>
      </c>
    </row>
    <row r="955">
      <c r="L955" s="24">
        <f>IF($A955="","",IFERROR(ROUND($B955*$G955-($D955+$E955)*$F955-$B955*$F955*$I955+$B955*($G955-$F955),0),0))</f>
        <v/>
      </c>
    </row>
    <row r="956">
      <c r="L956" s="24">
        <f>IF($A956="","",IFERROR(ROUND($B956*$G956-($D956+$E956)*$F956-$B956*$F956*$I956+$B956*($G956-$F956),0),0))</f>
        <v/>
      </c>
    </row>
    <row r="957">
      <c r="L957" s="24">
        <f>IF($A957="","",IFERROR(ROUND($B957*$G957-($D957+$E957)*$F957-$B957*$F957*$I957+$B957*($G957-$F957),0),0))</f>
        <v/>
      </c>
    </row>
    <row r="958">
      <c r="L958" s="24">
        <f>IF($A958="","",IFERROR(ROUND($B958*$G958-($D958+$E958)*$F958-$B958*$F958*$I958+$B958*($G958-$F958),0),0))</f>
        <v/>
      </c>
    </row>
    <row r="959">
      <c r="L959" s="24">
        <f>IF($A959="","",IFERROR(ROUND($B959*$G959-($D959+$E959)*$F959-$B959*$F959*$I959+$B959*($G959-$F959),0),0))</f>
        <v/>
      </c>
    </row>
    <row r="960">
      <c r="L960" s="24">
        <f>IF($A960="","",IFERROR(ROUND($B960*$G960-($D960+$E960)*$F960-$B960*$F960*$I960+$B960*($G960-$F960),0),0))</f>
        <v/>
      </c>
    </row>
    <row r="961">
      <c r="L961" s="24">
        <f>IF($A961="","",IFERROR(ROUND($B961*$G961-($D961+$E961)*$F961-$B961*$F961*$I961+$B961*($G961-$F961),0),0))</f>
        <v/>
      </c>
    </row>
    <row r="962">
      <c r="L962" s="24">
        <f>IF($A962="","",IFERROR(ROUND($B962*$G962-($D962+$E962)*$F962-$B962*$F962*$I962+$B962*($G962-$F962),0),0))</f>
        <v/>
      </c>
    </row>
    <row r="963">
      <c r="L963" s="24">
        <f>IF($A963="","",IFERROR(ROUND($B963*$G963-($D963+$E963)*$F963-$B963*$F963*$I963+$B963*($G963-$F963),0),0))</f>
        <v/>
      </c>
    </row>
    <row r="964">
      <c r="L964" s="24">
        <f>IF($A964="","",IFERROR(ROUND($B964*$G964-($D964+$E964)*$F964-$B964*$F964*$I964+$B964*($G964-$F964),0),0))</f>
        <v/>
      </c>
    </row>
    <row r="965">
      <c r="L965" s="24">
        <f>IF($A965="","",IFERROR(ROUND($B965*$G965-($D965+$E965)*$F965-$B965*$F965*$I965+$B965*($G965-$F965),0),0))</f>
        <v/>
      </c>
    </row>
    <row r="966">
      <c r="L966" s="24">
        <f>IF($A966="","",IFERROR(ROUND($B966*$G966-($D966+$E966)*$F966-$B966*$F966*$I966+$B966*($G966-$F966),0),0))</f>
        <v/>
      </c>
    </row>
    <row r="967">
      <c r="L967" s="24">
        <f>IF($A967="","",IFERROR(ROUND($B967*$G967-($D967+$E967)*$F967-$B967*$F967*$I967+$B967*($G967-$F967),0),0))</f>
        <v/>
      </c>
    </row>
    <row r="968">
      <c r="L968" s="24">
        <f>IF($A968="","",IFERROR(ROUND($B968*$G968-($D968+$E968)*$F968-$B968*$F968*$I968+$B968*($G968-$F968),0),0))</f>
        <v/>
      </c>
    </row>
    <row r="969">
      <c r="L969" s="24">
        <f>IF($A969="","",IFERROR(ROUND($B969*$G969-($D969+$E969)*$F969-$B969*$F969*$I969+$B969*($G969-$F969),0),0))</f>
        <v/>
      </c>
    </row>
    <row r="970">
      <c r="L970" s="24">
        <f>IF($A970="","",IFERROR(ROUND($B970*$G970-($D970+$E970)*$F970-$B970*$F970*$I970+$B970*($G970-$F970),0),0))</f>
        <v/>
      </c>
    </row>
    <row r="971">
      <c r="L971" s="24">
        <f>IF($A971="","",IFERROR(ROUND($B971*$G971-($D971+$E971)*$F971-$B971*$F971*$I971+$B971*($G971-$F971),0),0))</f>
        <v/>
      </c>
    </row>
    <row r="972">
      <c r="L972" s="24">
        <f>IF($A972="","",IFERROR(ROUND($B972*$G972-($D972+$E972)*$F972-$B972*$F972*$I972+$B972*($G972-$F972),0),0))</f>
        <v/>
      </c>
    </row>
    <row r="973">
      <c r="L973" s="24">
        <f>IF($A973="","",IFERROR(ROUND($B973*$G973-($D973+$E973)*$F973-$B973*$F973*$I973+$B973*($G973-$F973),0),0))</f>
        <v/>
      </c>
    </row>
    <row r="974">
      <c r="L974" s="24">
        <f>IF($A974="","",IFERROR(ROUND($B974*$G974-($D974+$E974)*$F974-$B974*$F974*$I974+$B974*($G974-$F974),0),0))</f>
        <v/>
      </c>
    </row>
    <row r="975">
      <c r="L975" s="24">
        <f>IF($A975="","",IFERROR(ROUND($B975*$G975-($D975+$E975)*$F975-$B975*$F975*$I975+$B975*($G975-$F975),0),0))</f>
        <v/>
      </c>
    </row>
    <row r="976">
      <c r="L976" s="24">
        <f>IF($A976="","",IFERROR(ROUND($B976*$G976-($D976+$E976)*$F976-$B976*$F976*$I976+$B976*($G976-$F976),0),0))</f>
        <v/>
      </c>
    </row>
    <row r="977">
      <c r="L977" s="24">
        <f>IF($A977="","",IFERROR(ROUND($B977*$G977-($D977+$E977)*$F977-$B977*$F977*$I977+$B977*($G977-$F977),0),0))</f>
        <v/>
      </c>
    </row>
    <row r="978">
      <c r="L978" s="24">
        <f>IF($A978="","",IFERROR(ROUND($B978*$G978-($D978+$E978)*$F978-$B978*$F978*$I978+$B978*($G978-$F978),0),0))</f>
        <v/>
      </c>
    </row>
    <row r="979">
      <c r="L979" s="24">
        <f>IF($A979="","",IFERROR(ROUND($B979*$G979-($D979+$E979)*$F979-$B979*$F979*$I979+$B979*($G979-$F979),0),0))</f>
        <v/>
      </c>
    </row>
    <row r="980">
      <c r="L980" s="24">
        <f>IF($A980="","",IFERROR(ROUND($B980*$G980-($D980+$E980)*$F980-$B980*$F980*$I980+$B980*($G980-$F980),0),0))</f>
        <v/>
      </c>
    </row>
    <row r="981">
      <c r="L981" s="24">
        <f>IF($A981="","",IFERROR(ROUND($B981*$G981-($D981+$E981)*$F981-$B981*$F981*$I981+$B981*($G981-$F981),0),0))</f>
        <v/>
      </c>
    </row>
    <row r="982">
      <c r="L982" s="24">
        <f>IF($A982="","",IFERROR(ROUND($B982*$G982-($D982+$E982)*$F982-$B982*$F982*$I982+$B982*($G982-$F982),0),0))</f>
        <v/>
      </c>
    </row>
    <row r="983">
      <c r="L983" s="24">
        <f>IF($A983="","",IFERROR(ROUND($B983*$G983-($D983+$E983)*$F983-$B983*$F983*$I983+$B983*($G983-$F983),0),0))</f>
        <v/>
      </c>
    </row>
    <row r="984">
      <c r="L984" s="24">
        <f>IF($A984="","",IFERROR(ROUND($B984*$G984-($D984+$E984)*$F984-$B984*$F984*$I984+$B984*($G984-$F984),0),0))</f>
        <v/>
      </c>
    </row>
    <row r="985">
      <c r="L985" s="24">
        <f>IF($A985="","",IFERROR(ROUND($B985*$G985-($D985+$E985)*$F985-$B985*$F985*$I985+$B985*($G985-$F985),0),0))</f>
        <v/>
      </c>
    </row>
    <row r="986">
      <c r="L986" s="24">
        <f>IF($A986="","",IFERROR(ROUND($B986*$G986-($D986+$E986)*$F986-$B986*$F986*$I986+$B986*($G986-$F986),0),0))</f>
        <v/>
      </c>
    </row>
    <row r="987">
      <c r="L987" s="24">
        <f>IF($A987="","",IFERROR(ROUND($B987*$G987-($D987+$E987)*$F987-$B987*$F987*$I987+$B987*($G987-$F987),0),0))</f>
        <v/>
      </c>
    </row>
    <row r="988">
      <c r="L988" s="24">
        <f>IF($A988="","",IFERROR(ROUND($B988*$G988-($D988+$E988)*$F988-$B988*$F988*$I988+$B988*($G988-$F988),0),0))</f>
        <v/>
      </c>
    </row>
    <row r="989">
      <c r="L989" s="24">
        <f>IF($A989="","",IFERROR(ROUND($B989*$G989-($D989+$E989)*$F989-$B989*$F989*$I989+$B989*($G989-$F989),0),0))</f>
        <v/>
      </c>
    </row>
    <row r="990">
      <c r="L990" s="24">
        <f>IF($A990="","",IFERROR(ROUND($B990*$G990-($D990+$E990)*$F990-$B990*$F990*$I990+$B990*($G990-$F990),0),0))</f>
        <v/>
      </c>
    </row>
    <row r="991">
      <c r="L991" s="24">
        <f>IF($A991="","",IFERROR(ROUND($B991*$G991-($D991+$E991)*$F991-$B991*$F991*$I991+$B991*($G991-$F991),0),0))</f>
        <v/>
      </c>
    </row>
    <row r="992">
      <c r="L992" s="24">
        <f>IF($A992="","",IFERROR(ROUND($B992*$G992-($D992+$E992)*$F992-$B992*$F992*$I992+$B992*($G992-$F992),0),0))</f>
        <v/>
      </c>
    </row>
    <row r="993">
      <c r="L993" s="24">
        <f>IF($A993="","",IFERROR(ROUND($B993*$G993-($D993+$E993)*$F993-$B993*$F993*$I993+$B993*($G993-$F993),0),0))</f>
        <v/>
      </c>
    </row>
    <row r="994">
      <c r="L994" s="24">
        <f>IF($A994="","",IFERROR(ROUND($B994*$G994-($D994+$E994)*$F994-$B994*$F994*$I994+$B994*($G994-$F994),0),0))</f>
        <v/>
      </c>
    </row>
    <row r="995">
      <c r="L995" s="24">
        <f>IF($A995="","",IFERROR(ROUND($B995*$G995-($D995+$E995)*$F995-$B995*$F995*$I995+$B995*($G995-$F995),0),0))</f>
        <v/>
      </c>
    </row>
    <row r="996">
      <c r="L996" s="24">
        <f>IF($A996="","",IFERROR(ROUND($B996*$G996-($D996+$E996)*$F996-$B996*$F996*$I996+$B996*($G996-$F996),0),0))</f>
        <v/>
      </c>
    </row>
    <row r="997">
      <c r="L997" s="24">
        <f>IF($A997="","",IFERROR(ROUND($B997*$G997-($D997+$E997)*$F997-$B997*$F997*$I997+$B997*($G997-$F997),0),0))</f>
        <v/>
      </c>
    </row>
    <row r="998">
      <c r="L998" s="24">
        <f>IF($A998="","",IFERROR(ROUND($B998*$G998-($D998+$E998)*$F998-$B998*$F998*$I998+$B998*($G998-$F998),0),0))</f>
        <v/>
      </c>
    </row>
    <row r="999">
      <c r="L999" s="24">
        <f>IF($A999="","",IFERROR(ROUND($B999*$G999-($D999+$E999)*$F999-$B999*$F999*$I999+$B999*($G999-$F999),0),0))</f>
        <v/>
      </c>
    </row>
    <row r="1000">
      <c r="L1000" s="24">
        <f>IF($A1000="","",IFERROR(ROUND($B1000*$G1000-($D1000+$E1000)*$F1000-$B1000*$F1000*$I1000+$B1000*($G1000-$F1000),0),0))</f>
        <v/>
      </c>
    </row>
    <row r="1001">
      <c r="L1001" s="24">
        <f>IF($A1001="","",IFERROR(ROUND($B1001*$G1001-($D1001+$E1001)*$F1001-$B1001*$F1001*$I1001+$B1001*($G1001-$F1001),0),0))</f>
        <v/>
      </c>
    </row>
    <row r="1002">
      <c r="L1002" s="24">
        <f>IF($A1002="","",IFERROR(ROUND($B1002*$G1002-($D1002+$E1002)*$F1002-$B1002*$F1002*$I1002+$B1002*($G1002-$F1002),0),0))</f>
        <v/>
      </c>
    </row>
    <row r="1003">
      <c r="L1003" s="24">
        <f>IF($A1003="","",IFERROR(ROUND($B1003*$G1003-($D1003+$E1003)*$F1003-$B1003*$F1003*$I1003+$B1003*($G1003-$F1003),0),0))</f>
        <v/>
      </c>
    </row>
    <row r="1004">
      <c r="L1004" s="24">
        <f>IF($A1004="","",IFERROR(ROUND($B1004*$G1004-($D1004+$E1004)*$F1004-$B1004*$F1004*$I1004+$B1004*($G1004-$F1004),0),0))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AD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6.xml><?xml version="1.0" encoding="utf-8"?>
<worksheet xmlns="http://schemas.openxmlformats.org/spreadsheetml/2006/main">
  <sheetPr>
    <tabColor rgb="007030A0"/>
    <outlinePr summaryBelow="1" summaryRight="1"/>
    <pageSetUpPr/>
  </sheetPr>
  <dimension ref="A1:T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3" max="3"/>
    <col width="12" customWidth="1" min="5" max="5"/>
    <col width="12" customWidth="1" min="7" max="7"/>
    <col width="22" customWidth="1" min="9" max="9"/>
  </cols>
  <sheetData>
    <row r="1" ht="26" customHeight="1">
      <c r="A1" s="1" t="inlineStr">
        <is>
          <t>LISTELER — İhracat Sipariş Kârlılık &amp; Kur Riski Komutası</t>
        </is>
      </c>
    </row>
    <row r="3">
      <c r="A3" s="10" t="inlineStr">
        <is>
          <t>Doğrulama listeleri</t>
        </is>
      </c>
    </row>
    <row r="5">
      <c r="A5" s="31" t="inlineStr">
        <is>
          <t>Yıl</t>
        </is>
      </c>
      <c r="C5" s="31" t="inlineStr">
        <is>
          <t>Döviz</t>
        </is>
      </c>
      <c r="E5" s="31" t="inlineStr">
        <is>
          <t>EvetHayır</t>
        </is>
      </c>
      <c r="G5" s="31" t="inlineStr">
        <is>
          <t>Durum</t>
        </is>
      </c>
      <c r="I5" s="31" t="inlineStr">
        <is>
          <t>IzinliGecis</t>
        </is>
      </c>
    </row>
    <row r="6">
      <c r="A6" s="56" t="n">
        <v>2025</v>
      </c>
      <c r="C6" s="32" t="inlineStr">
        <is>
          <t>USD</t>
        </is>
      </c>
      <c r="E6" s="32" t="inlineStr">
        <is>
          <t>Evet</t>
        </is>
      </c>
      <c r="G6" s="32" t="inlineStr">
        <is>
          <t>TEKLIF</t>
        </is>
      </c>
      <c r="I6" s="32" t="inlineStr">
        <is>
          <t>TEKLIF|ONAY</t>
        </is>
      </c>
    </row>
    <row r="7">
      <c r="A7" s="56" t="n">
        <v>2026</v>
      </c>
      <c r="C7" s="32" t="inlineStr">
        <is>
          <t>EUR</t>
        </is>
      </c>
      <c r="E7" s="32" t="inlineStr">
        <is>
          <t>Hayır</t>
        </is>
      </c>
      <c r="G7" s="32" t="inlineStr">
        <is>
          <t>ONAY</t>
        </is>
      </c>
      <c r="I7" s="32" t="inlineStr">
        <is>
          <t>TEKLIF|IPTAL</t>
        </is>
      </c>
    </row>
    <row r="8">
      <c r="A8" s="56" t="n">
        <v>2027</v>
      </c>
      <c r="G8" s="32" t="inlineStr">
        <is>
          <t>URETIM</t>
        </is>
      </c>
      <c r="I8" s="32" t="inlineStr">
        <is>
          <t>ONAY|URETIM</t>
        </is>
      </c>
    </row>
    <row r="9">
      <c r="G9" s="32" t="inlineStr">
        <is>
          <t>SEVK</t>
        </is>
      </c>
      <c r="I9" s="32" t="inlineStr">
        <is>
          <t>ONAY|IPTAL</t>
        </is>
      </c>
    </row>
    <row r="10">
      <c r="G10" s="32" t="inlineStr">
        <is>
          <t>TAHSILAT</t>
        </is>
      </c>
      <c r="I10" s="32" t="inlineStr">
        <is>
          <t>URETIM|SEVK</t>
        </is>
      </c>
    </row>
    <row r="11">
      <c r="G11" s="32" t="inlineStr">
        <is>
          <t>KAPALI</t>
        </is>
      </c>
      <c r="I11" s="32" t="inlineStr">
        <is>
          <t>URETIM|IPTAL</t>
        </is>
      </c>
    </row>
    <row r="12">
      <c r="G12" s="32" t="inlineStr">
        <is>
          <t>IPTAL</t>
        </is>
      </c>
      <c r="I12" s="32" t="inlineStr">
        <is>
          <t>SEVK|TAHSILAT</t>
        </is>
      </c>
    </row>
    <row r="13">
      <c r="I13" s="32" t="inlineStr">
        <is>
          <t>SEVK|IPTAL</t>
        </is>
      </c>
    </row>
    <row r="14">
      <c r="I14" s="32" t="inlineStr">
        <is>
          <t>TAHSILAT|KAPALI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833C0C"/>
    <outlinePr summaryBelow="1" summaryRight="1"/>
    <pageSetUpPr/>
  </sheetPr>
  <dimension ref="A1:AD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36" customWidth="1" min="4" max="4"/>
    <col width="18" customWidth="1" min="5" max="5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24" customWidth="1" min="15" max="15"/>
    <col width="10" customWidth="1" min="16" max="16"/>
  </cols>
  <sheetData>
    <row r="1" ht="26" customHeight="1">
      <c r="A1" s="1" t="inlineStr">
        <is>
          <t>AYARLAR — İhracat Sipariş Kârlılık &amp; Kur Riski Komutası</t>
        </is>
      </c>
    </row>
    <row r="3">
      <c r="A3" s="9" t="inlineStr">
        <is>
          <t>Parametreler (tek kaynak) + kur tablosu + durum haritası</t>
        </is>
      </c>
    </row>
    <row r="5" ht="30" customHeight="1">
      <c r="A5" s="22" t="inlineStr">
        <is>
          <t>anahtar</t>
        </is>
      </c>
      <c r="B5" s="22" t="inlineStr">
        <is>
          <t>deger</t>
        </is>
      </c>
      <c r="C5" s="22" t="inlineStr">
        <is>
          <t>birim</t>
        </is>
      </c>
      <c r="D5" s="22" t="inlineStr">
        <is>
          <t>aciklama</t>
        </is>
      </c>
      <c r="E5" s="22" t="inlineStr">
        <is>
          <t>kaynak</t>
        </is>
      </c>
      <c r="F5" s="22" t="inlineStr">
        <is>
          <t>yururluk_tarihi</t>
        </is>
      </c>
      <c r="G5" s="22" t="inlineStr">
        <is>
          <t>dogrulama_tarihi</t>
        </is>
      </c>
      <c r="H5" s="22" t="inlineStr">
        <is>
          <t>kontrol</t>
        </is>
      </c>
    </row>
    <row r="6">
      <c r="A6" s="7" t="inlineStr">
        <is>
          <t>hesapYili</t>
        </is>
      </c>
      <c r="B6" s="41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75">
        <f>IF(A6="","",IF(B6="","EKSİK","TAM"))</f>
        <v/>
      </c>
      <c r="J6" s="5" t="inlineStr">
        <is>
          <t>Durum haritası (izinli sonraki / kategori)</t>
        </is>
      </c>
    </row>
    <row r="7" ht="30" customHeight="1">
      <c r="A7" s="7" t="inlineStr">
        <is>
          <t>raporTarihi</t>
        </is>
      </c>
      <c r="B7" s="76" t="n">
        <v>46245</v>
      </c>
      <c r="C7" s="7" t="inlineStr">
        <is>
          <t>tarih</t>
        </is>
      </c>
      <c r="D7" s="7" t="inlineStr">
        <is>
          <t>Rapor tarihi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75">
        <f>IF(A7="","",IF(B7="","EKSİK","TAM"))</f>
        <v/>
      </c>
      <c r="J7" s="22" t="inlineStr">
        <is>
          <t>durum_id</t>
        </is>
      </c>
      <c r="K7" s="22" t="inlineStr">
        <is>
          <t>durum_adi</t>
        </is>
      </c>
      <c r="L7" s="22" t="inlineStr">
        <is>
          <t>sira</t>
        </is>
      </c>
      <c r="M7" s="22" t="inlineStr">
        <is>
          <t>izinli_sonraki_durumlar</t>
        </is>
      </c>
      <c r="N7" s="22" t="inlineStr">
        <is>
          <t>kategori</t>
        </is>
      </c>
    </row>
    <row r="8">
      <c r="A8" s="7" t="inlineStr">
        <is>
          <t>zincirTolerans</t>
        </is>
      </c>
      <c r="B8" s="41" t="n">
        <v>1</v>
      </c>
      <c r="C8" s="7" t="inlineStr">
        <is>
          <t>adet</t>
        </is>
      </c>
      <c r="D8" s="7" t="inlineStr">
        <is>
          <t>FOB/tutar zincir toleransı</t>
        </is>
      </c>
      <c r="E8" s="7" t="inlineStr">
        <is>
          <t>A04</t>
        </is>
      </c>
      <c r="F8" s="7" t="inlineStr">
        <is>
          <t>01.01.2025</t>
        </is>
      </c>
      <c r="G8" s="7" t="inlineStr">
        <is>
          <t>11.08.2026</t>
        </is>
      </c>
      <c r="H8" s="75">
        <f>IF(A8="","",IF(B8="","EKSİK","TAM"))</f>
        <v/>
      </c>
      <c r="J8" s="32" t="inlineStr">
        <is>
          <t>TEKLIF</t>
        </is>
      </c>
      <c r="K8" s="32" t="inlineStr">
        <is>
          <t>Teklif</t>
        </is>
      </c>
      <c r="L8" s="56" t="n">
        <v>1</v>
      </c>
      <c r="M8" s="32" t="inlineStr">
        <is>
          <t>ONAY|IPTAL</t>
        </is>
      </c>
      <c r="N8" s="32" t="inlineStr">
        <is>
          <t>acik</t>
        </is>
      </c>
    </row>
    <row r="9">
      <c r="A9" s="7" t="inlineStr">
        <is>
          <t>isk_tolerans</t>
        </is>
      </c>
      <c r="B9" s="41" t="n">
        <v>1</v>
      </c>
      <c r="C9" s="7" t="inlineStr">
        <is>
          <t>adet</t>
        </is>
      </c>
      <c r="D9" s="7" t="inlineStr">
        <is>
          <t>Vaka tutarlılık toleransı</t>
        </is>
      </c>
      <c r="E9" s="7" t="inlineStr">
        <is>
          <t>Uygulama notu</t>
        </is>
      </c>
      <c r="F9" s="7" t="inlineStr">
        <is>
          <t>01.01.2025</t>
        </is>
      </c>
      <c r="G9" s="7" t="inlineStr">
        <is>
          <t>11.08.2026</t>
        </is>
      </c>
      <c r="H9" s="75">
        <f>IF(A9="","",IF(B9="","EKSİK","TAM"))</f>
        <v/>
      </c>
      <c r="J9" s="32" t="inlineStr">
        <is>
          <t>ONAY</t>
        </is>
      </c>
      <c r="K9" s="32" t="inlineStr">
        <is>
          <t>Onay</t>
        </is>
      </c>
      <c r="L9" s="56" t="n">
        <v>2</v>
      </c>
      <c r="M9" s="32" t="inlineStr">
        <is>
          <t>URETIM|IPTAL</t>
        </is>
      </c>
      <c r="N9" s="32" t="inlineStr">
        <is>
          <t>acik</t>
        </is>
      </c>
    </row>
    <row r="10">
      <c r="A10" s="7" t="inlineStr">
        <is>
          <t>isk_azamiEsik</t>
        </is>
      </c>
      <c r="B10" s="39" t="n">
        <v>100000000000</v>
      </c>
      <c r="C10" s="7" t="inlineStr">
        <is>
          <t>TL</t>
        </is>
      </c>
      <c r="D10" s="7" t="inlineStr">
        <is>
          <t>Azami giriş eşiği</t>
        </is>
      </c>
      <c r="E10" s="7" t="inlineStr">
        <is>
          <t>İç politika</t>
        </is>
      </c>
      <c r="F10" s="7" t="inlineStr">
        <is>
          <t>01.01.2025</t>
        </is>
      </c>
      <c r="G10" s="7" t="inlineStr">
        <is>
          <t>11.08.2026</t>
        </is>
      </c>
      <c r="H10" s="75">
        <f>IF(A10="","",IF(B10="","EKSİK","TAM"))</f>
        <v/>
      </c>
      <c r="J10" s="32" t="inlineStr">
        <is>
          <t>URETIM</t>
        </is>
      </c>
      <c r="K10" s="32" t="inlineStr">
        <is>
          <t>Üretim</t>
        </is>
      </c>
      <c r="L10" s="56" t="n">
        <v>3</v>
      </c>
      <c r="M10" s="32" t="inlineStr">
        <is>
          <t>SEVK|IPTAL</t>
        </is>
      </c>
      <c r="N10" s="32" t="inlineStr">
        <is>
          <t>acik</t>
        </is>
      </c>
    </row>
    <row r="11">
      <c r="A11" s="7" t="inlineStr">
        <is>
          <t>isk_senaryoIyi</t>
        </is>
      </c>
      <c r="B11" s="38" t="n">
        <v>1.12</v>
      </c>
      <c r="C11" s="7" t="inlineStr">
        <is>
          <t>çarpan</t>
        </is>
      </c>
      <c r="D11" s="7" t="inlineStr">
        <is>
          <t>İyimser net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75">
        <f>IF(A11="","",IF(B11="","EKSİK","TAM"))</f>
        <v/>
      </c>
      <c r="J11" s="32" t="inlineStr">
        <is>
          <t>SEVK</t>
        </is>
      </c>
      <c r="K11" s="32" t="inlineStr">
        <is>
          <t>Sevk</t>
        </is>
      </c>
      <c r="L11" s="56" t="n">
        <v>4</v>
      </c>
      <c r="M11" s="32" t="inlineStr">
        <is>
          <t>TAHSILAT|IPTAL</t>
        </is>
      </c>
      <c r="N11" s="32" t="inlineStr">
        <is>
          <t>acik</t>
        </is>
      </c>
    </row>
    <row r="12">
      <c r="A12" s="7" t="inlineStr">
        <is>
          <t>isk_senaryoKotu</t>
        </is>
      </c>
      <c r="B12" s="38" t="n">
        <v>0.55</v>
      </c>
      <c r="C12" s="7" t="inlineStr">
        <is>
          <t>çarpan</t>
        </is>
      </c>
      <c r="D12" s="7" t="inlineStr">
        <is>
          <t>Kötümser net çarpanı</t>
        </is>
      </c>
      <c r="E12" s="7" t="inlineStr">
        <is>
          <t>Model varsayımı</t>
        </is>
      </c>
      <c r="F12" s="7" t="inlineStr">
        <is>
          <t>01.01.2025</t>
        </is>
      </c>
      <c r="G12" s="7" t="inlineStr">
        <is>
          <t>11.08.2026</t>
        </is>
      </c>
      <c r="H12" s="75">
        <f>IF(A12="","",IF(B12="","EKSİK","TAM"))</f>
        <v/>
      </c>
      <c r="J12" s="32" t="inlineStr">
        <is>
          <t>TAHSILAT</t>
        </is>
      </c>
      <c r="K12" s="32" t="inlineStr">
        <is>
          <t>Tahsilat</t>
        </is>
      </c>
      <c r="L12" s="56" t="n">
        <v>5</v>
      </c>
      <c r="M12" s="32" t="inlineStr">
        <is>
          <t>KAPALI</t>
        </is>
      </c>
      <c r="N12" s="32" t="inlineStr">
        <is>
          <t>acik</t>
        </is>
      </c>
    </row>
    <row r="13">
      <c r="A13" s="7" t="inlineStr">
        <is>
          <t>isk_esikArtis</t>
        </is>
      </c>
      <c r="B13" s="38" t="n">
        <v>0.02</v>
      </c>
      <c r="C13" s="7" t="inlineStr">
        <is>
          <t>oran</t>
        </is>
      </c>
      <c r="D13" s="7" t="inlineStr">
        <is>
          <t>M-SEN kur şoku + delta</t>
        </is>
      </c>
      <c r="E13" s="7" t="inlineStr">
        <is>
          <t>Senaryo motoru</t>
        </is>
      </c>
      <c r="F13" s="7" t="inlineStr">
        <is>
          <t>01.01.2025</t>
        </is>
      </c>
      <c r="G13" s="7" t="inlineStr">
        <is>
          <t>11.08.2026</t>
        </is>
      </c>
      <c r="H13" s="75">
        <f>IF(A13="","",IF(B13="","EKSİK","TAM"))</f>
        <v/>
      </c>
      <c r="J13" s="32" t="inlineStr">
        <is>
          <t>KAPALI</t>
        </is>
      </c>
      <c r="K13" s="32" t="inlineStr">
        <is>
          <t>Kapalı</t>
        </is>
      </c>
      <c r="L13" s="56" t="n">
        <v>6</v>
      </c>
      <c r="M13" s="32" t="inlineStr"/>
      <c r="N13" s="32" t="inlineStr">
        <is>
          <t>kapali</t>
        </is>
      </c>
    </row>
    <row r="14">
      <c r="A14" s="7" t="inlineStr">
        <is>
          <t>isk_tahminAlt</t>
        </is>
      </c>
      <c r="B14" s="38" t="n">
        <v>0.85</v>
      </c>
      <c r="C14" s="7" t="inlineStr">
        <is>
          <t>çarpan</t>
        </is>
      </c>
      <c r="D14" s="7" t="inlineStr">
        <is>
          <t>Tahmin alt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75">
        <f>IF(A14="","",IF(B14="","EKSİK","TAM"))</f>
        <v/>
      </c>
      <c r="J14" s="32" t="inlineStr">
        <is>
          <t>IPTAL</t>
        </is>
      </c>
      <c r="K14" s="32" t="inlineStr">
        <is>
          <t>İptal</t>
        </is>
      </c>
      <c r="L14" s="56" t="n">
        <v>7</v>
      </c>
      <c r="M14" s="32" t="inlineStr"/>
      <c r="N14" s="32" t="inlineStr">
        <is>
          <t>kapali</t>
        </is>
      </c>
    </row>
    <row r="15">
      <c r="A15" s="7" t="inlineStr">
        <is>
          <t>isk_tahminUst</t>
        </is>
      </c>
      <c r="B15" s="38" t="n">
        <v>1.15</v>
      </c>
      <c r="C15" s="7" t="inlineStr">
        <is>
          <t>çarpan</t>
        </is>
      </c>
      <c r="D15" s="7" t="inlineStr">
        <is>
          <t>Tahmin üst bant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75">
        <f>IF(A15="","",IF(B15="","EKSİK","TAM"))</f>
        <v/>
      </c>
    </row>
    <row r="16">
      <c r="A16" s="7" t="inlineStr">
        <is>
          <t>isk_tornadoKur</t>
        </is>
      </c>
      <c r="B16" s="38" t="n">
        <v>1.08</v>
      </c>
      <c r="C16" s="7" t="inlineStr">
        <is>
          <t>çarpan</t>
        </is>
      </c>
      <c r="D16" s="7" t="inlineStr">
        <is>
          <t>Tornado kur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75">
        <f>IF(A16="","",IF(B16="","EKSİK","TAM"))</f>
        <v/>
      </c>
    </row>
    <row r="17">
      <c r="A17" s="7" t="inlineStr">
        <is>
          <t>isk_tornadoMaliyet</t>
        </is>
      </c>
      <c r="B17" s="38" t="n">
        <v>0.1</v>
      </c>
      <c r="C17" s="7" t="inlineStr">
        <is>
          <t>oran</t>
        </is>
      </c>
      <c r="D17" s="7" t="inlineStr">
        <is>
          <t>Tornado maliyet şoku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75">
        <f>IF(A17="","",IF(B17="","EKSİK","TAM"))</f>
        <v/>
      </c>
    </row>
    <row r="18">
      <c r="A18" s="7" t="inlineStr">
        <is>
          <t>isk_yuzdelikOran</t>
        </is>
      </c>
      <c r="B18" s="38" t="n">
        <v>0.9</v>
      </c>
      <c r="C18" s="7" t="inlineStr">
        <is>
          <t>oran</t>
        </is>
      </c>
      <c r="D18" s="7" t="inlineStr">
        <is>
          <t>Yüzdelik P90</t>
        </is>
      </c>
      <c r="E18" s="7" t="inlineStr">
        <is>
          <t>İstatistik</t>
        </is>
      </c>
      <c r="F18" s="7" t="inlineStr">
        <is>
          <t>01.01.2025</t>
        </is>
      </c>
      <c r="G18" s="7" t="inlineStr">
        <is>
          <t>11.08.2026</t>
        </is>
      </c>
      <c r="H18" s="75">
        <f>IF(A18="","",IF(B18="","EKSİK","TAM"))</f>
        <v/>
      </c>
    </row>
    <row r="19">
      <c r="A19" s="7" t="inlineStr">
        <is>
          <t>isk_parmakIzi</t>
        </is>
      </c>
      <c r="B19" s="37" t="inlineStr">
        <is>
          <t>34c4619a957f4afb</t>
        </is>
      </c>
      <c r="C19" s="7" t="inlineStr">
        <is>
          <t>metin</t>
        </is>
      </c>
      <c r="D19" s="7" t="inlineStr">
        <is>
          <t>Dosya parmak izi</t>
        </is>
      </c>
      <c r="E19" s="7" t="inlineStr">
        <is>
          <t>Üretim</t>
        </is>
      </c>
      <c r="F19" s="7" t="inlineStr">
        <is>
          <t>01.01.2025</t>
        </is>
      </c>
      <c r="G19" s="7" t="inlineStr">
        <is>
          <t>11.08.2026</t>
        </is>
      </c>
      <c r="H19" s="75">
        <f>IF(A19="","",IF(B19="","EKSİK","TAM"))</f>
        <v/>
      </c>
    </row>
    <row r="20">
      <c r="A20" s="7" t="inlineStr">
        <is>
          <t>dosya_surumu</t>
        </is>
      </c>
      <c r="B20" s="37" t="inlineStr">
        <is>
          <t>1.0.0</t>
        </is>
      </c>
      <c r="C20" s="7" t="inlineStr">
        <is>
          <t>metin</t>
        </is>
      </c>
      <c r="D20" s="7" t="inlineStr">
        <is>
          <t>Ürün sürümü</t>
        </is>
      </c>
      <c r="E20" s="7" t="inlineStr">
        <is>
          <t>ExcelArşiv</t>
        </is>
      </c>
      <c r="F20" s="7" t="inlineStr">
        <is>
          <t>01.01.2025</t>
        </is>
      </c>
      <c r="G20" s="7" t="inlineStr">
        <is>
          <t>11.08.2026</t>
        </is>
      </c>
      <c r="H20" s="75">
        <f>IF(A20="","",IF(B20="","EKSİK","TAM"))</f>
        <v/>
      </c>
    </row>
    <row r="21">
      <c r="A21" s="7" t="inlineStr">
        <is>
          <t>isk_girisBeklenen</t>
        </is>
      </c>
      <c r="B21" s="41" t="n">
        <v>18</v>
      </c>
      <c r="C21" s="7" t="inlineStr">
        <is>
          <t>adet</t>
        </is>
      </c>
      <c r="D21" s="7" t="inlineStr">
        <is>
          <t>Zorunlu giriş sayısı</t>
        </is>
      </c>
      <c r="E21" s="7" t="inlineStr">
        <is>
          <t>Ürün mimarisi</t>
        </is>
      </c>
      <c r="F21" s="7" t="inlineStr">
        <is>
          <t>01.01.2025</t>
        </is>
      </c>
      <c r="G21" s="7" t="inlineStr">
        <is>
          <t>11.08.2026</t>
        </is>
      </c>
      <c r="H21" s="75">
        <f>IF(A21="","",IF(B21="","EKSİK","TAM"))</f>
        <v/>
      </c>
    </row>
    <row r="22">
      <c r="A22" s="7" t="inlineStr">
        <is>
          <t>isk_riskDusuk</t>
        </is>
      </c>
      <c r="B22" s="41" t="n">
        <v>25</v>
      </c>
      <c r="C22" s="7" t="inlineStr">
        <is>
          <t>puan</t>
        </is>
      </c>
      <c r="D22" s="7" t="inlineStr">
        <is>
          <t>YAPILIR risk skoru</t>
        </is>
      </c>
      <c r="E22" s="7" t="inlineStr">
        <is>
          <t>İç politika</t>
        </is>
      </c>
      <c r="F22" s="7" t="inlineStr">
        <is>
          <t>01.01.2025</t>
        </is>
      </c>
      <c r="G22" s="7" t="inlineStr">
        <is>
          <t>11.08.2026</t>
        </is>
      </c>
      <c r="H22" s="75">
        <f>IF(A22="","",IF(B22="","EKSİK","TAM"))</f>
        <v/>
      </c>
    </row>
    <row r="23">
      <c r="A23" s="7" t="inlineStr">
        <is>
          <t>isk_riskOrta</t>
        </is>
      </c>
      <c r="B23" s="41" t="n">
        <v>55</v>
      </c>
      <c r="C23" s="7" t="inlineStr">
        <is>
          <t>puan</t>
        </is>
      </c>
      <c r="D23" s="7" t="inlineStr">
        <is>
          <t>DİKKAT risk skoru</t>
        </is>
      </c>
      <c r="E23" s="7" t="inlineStr">
        <is>
          <t>İç politika</t>
        </is>
      </c>
      <c r="F23" s="7" t="inlineStr">
        <is>
          <t>01.01.2025</t>
        </is>
      </c>
      <c r="G23" s="7" t="inlineStr">
        <is>
          <t>11.08.2026</t>
        </is>
      </c>
      <c r="H23" s="75">
        <f>IF(A23="","",IF(B23="","EKSİK","TAM"))</f>
        <v/>
      </c>
    </row>
    <row r="24">
      <c r="A24" s="7" t="inlineStr">
        <is>
          <t>isk_riskYuksek</t>
        </is>
      </c>
      <c r="B24" s="41" t="n">
        <v>85</v>
      </c>
      <c r="C24" s="7" t="inlineStr">
        <is>
          <t>puan</t>
        </is>
      </c>
      <c r="D24" s="7" t="inlineStr">
        <is>
          <t>YAPMA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75">
        <f>IF(A24="","",IF(B24="","EKSİK","TAM"))</f>
        <v/>
      </c>
    </row>
    <row r="25">
      <c r="A25" s="7" t="inlineStr">
        <is>
          <t>isk_yilTaban</t>
        </is>
      </c>
      <c r="B25" s="41" t="n">
        <v>2024</v>
      </c>
      <c r="C25" s="7" t="inlineStr">
        <is>
          <t>yıl</t>
        </is>
      </c>
      <c r="D25" s="7" t="inlineStr">
        <is>
          <t>CHOOSE yıl tabanı</t>
        </is>
      </c>
      <c r="E25" s="7" t="inlineStr">
        <is>
          <t>Ürün mimarisi</t>
        </is>
      </c>
      <c r="F25" s="7" t="inlineStr">
        <is>
          <t>01.01.2025</t>
        </is>
      </c>
      <c r="G25" s="7" t="inlineStr">
        <is>
          <t>11.08.2026</t>
        </is>
      </c>
      <c r="H25" s="75">
        <f>IF(A25="","",IF(B25="","EKSİK","TAM"))</f>
        <v/>
      </c>
    </row>
    <row r="26">
      <c r="A26" s="7" t="inlineStr">
        <is>
          <t>isk_yuvarMax</t>
        </is>
      </c>
      <c r="B26" s="41" t="n">
        <v>10</v>
      </c>
      <c r="C26" s="7" t="inlineStr">
        <is>
          <t>adet</t>
        </is>
      </c>
      <c r="D26" s="7" t="inlineStr">
        <is>
          <t>ROUND basamak tavanı</t>
        </is>
      </c>
      <c r="E26" s="7" t="inlineStr">
        <is>
          <t>Ürün mimarisi</t>
        </is>
      </c>
      <c r="F26" s="7" t="inlineStr">
        <is>
          <t>01.01.2025</t>
        </is>
      </c>
      <c r="G26" s="7" t="inlineStr">
        <is>
          <t>11.08.2026</t>
        </is>
      </c>
      <c r="H26" s="75">
        <f>IF(A26="","",IF(B26="","EKSİK","TAM"))</f>
        <v/>
      </c>
    </row>
    <row r="27">
      <c r="A27" s="7" t="inlineStr">
        <is>
          <t>isk_bazCarpan</t>
        </is>
      </c>
      <c r="B27" s="38" t="n">
        <v>1</v>
      </c>
      <c r="C27" s="7" t="inlineStr">
        <is>
          <t>çarpan</t>
        </is>
      </c>
      <c r="D27" s="7" t="inlineStr">
        <is>
          <t>Baz senaryo çarpanı</t>
        </is>
      </c>
      <c r="E27" s="7" t="inlineStr">
        <is>
          <t>Model varsayımı</t>
        </is>
      </c>
      <c r="F27" s="7" t="inlineStr">
        <is>
          <t>01.01.2025</t>
        </is>
      </c>
      <c r="G27" s="7" t="inlineStr">
        <is>
          <t>11.08.2026</t>
        </is>
      </c>
      <c r="H27" s="75">
        <f>IF(A27="","",IF(B27="","EKSİK","TAM"))</f>
        <v/>
      </c>
    </row>
    <row r="28">
      <c r="A28" s="7" t="inlineStr">
        <is>
          <t>isk_sifirCarpan</t>
        </is>
      </c>
      <c r="B28" s="38" t="n">
        <v>0</v>
      </c>
      <c r="C28" s="7" t="inlineStr">
        <is>
          <t>çarpan</t>
        </is>
      </c>
      <c r="D28" s="7" t="inlineStr">
        <is>
          <t>Nötr çarpan</t>
        </is>
      </c>
      <c r="E28" s="7" t="inlineStr">
        <is>
          <t>Model varsayımı</t>
        </is>
      </c>
      <c r="F28" s="7" t="inlineStr">
        <is>
          <t>01.01.2025</t>
        </is>
      </c>
      <c r="G28" s="7" t="inlineStr">
        <is>
          <t>11.08.2026</t>
        </is>
      </c>
      <c r="H28" s="75">
        <f>IF(A28="","",IF(B28="","EKSİK","TAM"))</f>
        <v/>
      </c>
    </row>
    <row r="29">
      <c r="A29" s="7" t="inlineStr">
        <is>
          <t>isk_siraBir</t>
        </is>
      </c>
      <c r="B29" s="41" t="n">
        <v>1</v>
      </c>
      <c r="C29" s="7" t="inlineStr">
        <is>
          <t>adet</t>
        </is>
      </c>
      <c r="D29" s="7" t="inlineStr">
        <is>
          <t>Tornado sıra 1</t>
        </is>
      </c>
      <c r="E29" s="7" t="inlineStr">
        <is>
          <t>Ürün mimarisi</t>
        </is>
      </c>
      <c r="F29" s="7" t="inlineStr">
        <is>
          <t>01.01.2025</t>
        </is>
      </c>
      <c r="G29" s="7" t="inlineStr">
        <is>
          <t>11.08.2026</t>
        </is>
      </c>
      <c r="H29" s="75">
        <f>IF(A29="","",IF(B29="","EKSİK","TAM"))</f>
        <v/>
      </c>
    </row>
    <row r="30">
      <c r="A30" s="7" t="inlineStr">
        <is>
          <t>isk_siraIki</t>
        </is>
      </c>
      <c r="B30" s="41" t="n">
        <v>2</v>
      </c>
      <c r="C30" s="7" t="inlineStr">
        <is>
          <t>adet</t>
        </is>
      </c>
      <c r="D30" s="7" t="inlineStr">
        <is>
          <t>Tornado sıra 2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75">
        <f>IF(A30="","",IF(B30="","EKSİK","TAM"))</f>
        <v/>
      </c>
    </row>
    <row r="31">
      <c r="A31" s="7" t="inlineStr">
        <is>
          <t>isk_siraUc</t>
        </is>
      </c>
      <c r="B31" s="41" t="n">
        <v>3</v>
      </c>
      <c r="C31" s="7" t="inlineStr">
        <is>
          <t>adet</t>
        </is>
      </c>
      <c r="D31" s="7" t="inlineStr">
        <is>
          <t>Tornado sıra 3</t>
        </is>
      </c>
      <c r="E31" s="7" t="inlineStr">
        <is>
          <t>Ürün mimarisi</t>
        </is>
      </c>
      <c r="F31" s="7" t="inlineStr">
        <is>
          <t>01.01.2025</t>
        </is>
      </c>
      <c r="G31" s="7" t="inlineStr">
        <is>
          <t>11.08.2026</t>
        </is>
      </c>
      <c r="H31" s="75">
        <f>IF(A31="","",IF(B31="","EKSİK","TAM"))</f>
        <v/>
      </c>
    </row>
    <row r="32">
      <c r="A32" s="7" t="inlineStr">
        <is>
          <t>isk_dikkatCarpan</t>
        </is>
      </c>
      <c r="B32" s="38" t="n">
        <v>0.7</v>
      </c>
      <c r="C32" s="7" t="inlineStr">
        <is>
          <t>çarpan</t>
        </is>
      </c>
      <c r="D32" s="7" t="inlineStr">
        <is>
          <t>Marj dikkat çarpanı</t>
        </is>
      </c>
      <c r="E32" s="7" t="inlineStr">
        <is>
          <t>İç politika</t>
        </is>
      </c>
      <c r="F32" s="7" t="inlineStr">
        <is>
          <t>01.01.2025</t>
        </is>
      </c>
      <c r="G32" s="7" t="inlineStr">
        <is>
          <t>11.08.2026</t>
        </is>
      </c>
      <c r="H32" s="75">
        <f>IF(A32="","",IF(B32="","EKSİK","TAM"))</f>
        <v/>
      </c>
    </row>
    <row r="33">
      <c r="A33" s="7" t="inlineStr">
        <is>
          <t>isk_npvDikkat</t>
        </is>
      </c>
      <c r="B33" s="39" t="n">
        <v>80000</v>
      </c>
      <c r="C33" s="7" t="inlineStr">
        <is>
          <t>TL</t>
        </is>
      </c>
      <c r="D33" s="7" t="inlineStr">
        <is>
          <t>NPV dikkat eşiği</t>
        </is>
      </c>
      <c r="E33" s="7" t="inlineStr">
        <is>
          <t>İç politika</t>
        </is>
      </c>
      <c r="F33" s="7" t="inlineStr">
        <is>
          <t>01.01.2025</t>
        </is>
      </c>
      <c r="G33" s="7" t="inlineStr">
        <is>
          <t>11.08.2026</t>
        </is>
      </c>
      <c r="H33" s="75">
        <f>IF(A33="","",IF(B33="","EKSİK","TAM"))</f>
        <v/>
      </c>
    </row>
    <row r="34">
      <c r="A34" s="7" t="inlineStr">
        <is>
          <t>isk_hedgeDikkat</t>
        </is>
      </c>
      <c r="B34" s="38" t="n">
        <v>0.25</v>
      </c>
      <c r="C34" s="7" t="inlineStr">
        <is>
          <t>oran</t>
        </is>
      </c>
      <c r="D34" s="7" t="inlineStr">
        <is>
          <t>Hedge boşluğu kritik eşik</t>
        </is>
      </c>
      <c r="E34" s="7" t="inlineStr">
        <is>
          <t>İç politika</t>
        </is>
      </c>
      <c r="F34" s="7" t="inlineStr">
        <is>
          <t>01.01.2025</t>
        </is>
      </c>
      <c r="G34" s="7" t="inlineStr">
        <is>
          <t>11.08.2026</t>
        </is>
      </c>
      <c r="H34" s="75">
        <f>IF(A34="","",IF(B34="","EKSİK","TAM"))</f>
        <v/>
      </c>
    </row>
    <row r="35">
      <c r="A35" s="7" t="inlineStr">
        <is>
          <t>isk_durumHaritasi</t>
        </is>
      </c>
      <c r="B35" s="37" t="inlineStr">
        <is>
          <t>AYARLAR durum tablosu</t>
        </is>
      </c>
      <c r="C35" s="7" t="inlineStr">
        <is>
          <t>metin</t>
        </is>
      </c>
      <c r="D35" s="7" t="inlineStr">
        <is>
          <t>SPEC akis.durum_haritasi</t>
        </is>
      </c>
      <c r="E35" s="7" t="inlineStr">
        <is>
          <t>01.01.2025</t>
        </is>
      </c>
      <c r="F35" s="7" t="inlineStr">
        <is>
          <t>11.08.2026</t>
        </is>
      </c>
      <c r="H35" s="75">
        <f>IF(A35="","",IF(B35="","EKSİK","TAM"))</f>
        <v/>
      </c>
    </row>
    <row r="36">
      <c r="A36" s="7" t="inlineStr">
        <is>
          <t>vaka_fob</t>
        </is>
      </c>
      <c r="B36" s="41" t="n">
        <v>200000</v>
      </c>
      <c r="C36" s="7" t="inlineStr">
        <is>
          <t>döviz</t>
        </is>
      </c>
      <c r="D36" s="7" t="inlineStr">
        <is>
          <t>Vaka FOB</t>
        </is>
      </c>
      <c r="E36" s="7" t="inlineStr">
        <is>
          <t>Altın vaka</t>
        </is>
      </c>
      <c r="F36" s="7" t="inlineStr">
        <is>
          <t>01.01.2025</t>
        </is>
      </c>
      <c r="G36" s="7" t="inlineStr">
        <is>
          <t>11.08.2026</t>
        </is>
      </c>
      <c r="H36" s="75">
        <f>IF(A36="","",IF(B36="","EKSİK","TAM"))</f>
        <v/>
      </c>
    </row>
    <row r="37">
      <c r="A37" s="7" t="inlineStr">
        <is>
          <t>vaka_rez</t>
        </is>
      </c>
      <c r="B37" s="36" t="n">
        <v>34</v>
      </c>
      <c r="C37" s="7" t="inlineStr">
        <is>
          <t>kur</t>
        </is>
      </c>
      <c r="D37" s="7" t="inlineStr">
        <is>
          <t>Vaka rezervasyon kur</t>
        </is>
      </c>
      <c r="E37" s="7" t="inlineStr">
        <is>
          <t>Altın vaka</t>
        </is>
      </c>
      <c r="F37" s="7" t="inlineStr">
        <is>
          <t>01.01.2025</t>
        </is>
      </c>
      <c r="G37" s="7" t="inlineStr">
        <is>
          <t>11.08.2026</t>
        </is>
      </c>
      <c r="H37" s="75">
        <f>IF(A37="","",IF(B37="","EKSİK","TAM"))</f>
        <v/>
      </c>
    </row>
    <row r="38">
      <c r="A38" s="7" t="inlineStr">
        <is>
          <t>vaka_tah</t>
        </is>
      </c>
      <c r="B38" s="36" t="n">
        <v>32</v>
      </c>
      <c r="C38" s="7" t="inlineStr">
        <is>
          <t>kur</t>
        </is>
      </c>
      <c r="D38" s="7" t="inlineStr">
        <is>
          <t>Vaka tahsilat kur</t>
        </is>
      </c>
      <c r="E38" s="7" t="inlineStr">
        <is>
          <t>Altın vaka</t>
        </is>
      </c>
      <c r="F38" s="7" t="inlineStr">
        <is>
          <t>01.01.2025</t>
        </is>
      </c>
      <c r="G38" s="7" t="inlineStr">
        <is>
          <t>11.08.2026</t>
        </is>
      </c>
      <c r="H38" s="75">
        <f>IF(A38="","",IF(B38="","EKSİK","TAM"))</f>
        <v/>
      </c>
    </row>
    <row r="39">
      <c r="A39" s="7" t="inlineStr">
        <is>
          <t>vaka_uretim</t>
        </is>
      </c>
      <c r="B39" s="41" t="n">
        <v>110000</v>
      </c>
      <c r="C39" s="7" t="inlineStr">
        <is>
          <t>döviz</t>
        </is>
      </c>
      <c r="D39" s="7" t="inlineStr">
        <is>
          <t>Vaka üretim</t>
        </is>
      </c>
      <c r="E39" s="7" t="inlineStr">
        <is>
          <t>Altın vaka</t>
        </is>
      </c>
      <c r="F39" s="7" t="inlineStr">
        <is>
          <t>01.01.2025</t>
        </is>
      </c>
      <c r="G39" s="7" t="inlineStr">
        <is>
          <t>11.08.2026</t>
        </is>
      </c>
      <c r="H39" s="75">
        <f>IF(A39="","",IF(B39="","EKSİK","TAM"))</f>
        <v/>
      </c>
    </row>
    <row r="40">
      <c r="A40" s="7" t="inlineStr">
        <is>
          <t>vaka_navlun</t>
        </is>
      </c>
      <c r="B40" s="41" t="n">
        <v>8000</v>
      </c>
      <c r="C40" s="7" t="inlineStr">
        <is>
          <t>döviz</t>
        </is>
      </c>
      <c r="D40" s="7" t="inlineStr">
        <is>
          <t>Vaka navlun</t>
        </is>
      </c>
      <c r="E40" s="7" t="inlineStr">
        <is>
          <t>Altın vaka</t>
        </is>
      </c>
      <c r="F40" s="7" t="inlineStr">
        <is>
          <t>01.01.2025</t>
        </is>
      </c>
      <c r="G40" s="7" t="inlineStr">
        <is>
          <t>11.08.2026</t>
        </is>
      </c>
      <c r="H40" s="75">
        <f>IF(A40="","",IF(B40="","EKSİK","TAM"))</f>
        <v/>
      </c>
    </row>
    <row r="41">
      <c r="A41" s="7" t="inlineStr">
        <is>
          <t>vaka_kom</t>
        </is>
      </c>
      <c r="B41" s="38" t="n">
        <v>0.03</v>
      </c>
      <c r="C41" s="7" t="inlineStr">
        <is>
          <t>oran</t>
        </is>
      </c>
      <c r="D41" s="7" t="inlineStr">
        <is>
          <t>Vaka komisyon</t>
        </is>
      </c>
      <c r="E41" s="7" t="inlineStr">
        <is>
          <t>Altın vaka</t>
        </is>
      </c>
      <c r="F41" s="7" t="inlineStr">
        <is>
          <t>01.01.2025</t>
        </is>
      </c>
      <c r="G41" s="7" t="inlineStr">
        <is>
          <t>11.08.2026</t>
        </is>
      </c>
      <c r="H41" s="75">
        <f>IF(A41="","",IF(B41="","EKSİK","TAM"))</f>
        <v/>
      </c>
    </row>
    <row r="44">
      <c r="J44" s="5" t="inlineStr">
        <is>
          <t>Kur tablosu (tarihli / kaynaklı)</t>
        </is>
      </c>
    </row>
    <row r="45" ht="30" customHeight="1">
      <c r="J45" s="22" t="inlineStr">
        <is>
          <t>parabirimi</t>
        </is>
      </c>
      <c r="K45" s="22" t="inlineStr">
        <is>
          <t>kur</t>
        </is>
      </c>
      <c r="L45" s="22" t="inlineStr">
        <is>
          <t>tarih</t>
        </is>
      </c>
      <c r="M45" s="22" t="inlineStr">
        <is>
          <t>kaynak</t>
        </is>
      </c>
      <c r="N45" s="22" t="inlineStr">
        <is>
          <t>aktif</t>
        </is>
      </c>
      <c r="O45" s="22" t="inlineStr">
        <is>
          <t>not</t>
        </is>
      </c>
      <c r="P45" s="22" t="inlineStr">
        <is>
          <t>secim</t>
        </is>
      </c>
    </row>
    <row r="46">
      <c r="J46" s="37" t="inlineStr">
        <is>
          <t>USD</t>
        </is>
      </c>
      <c r="K46" s="36" t="n">
        <v>34</v>
      </c>
      <c r="L46" s="76" t="n">
        <v>46244</v>
      </c>
      <c r="M46" s="37" t="inlineStr">
        <is>
          <t>TCMB alış</t>
        </is>
      </c>
      <c r="N46" s="37" t="inlineStr">
        <is>
          <t>Evet</t>
        </is>
      </c>
      <c r="O46" s="7" t="inlineStr">
        <is>
          <t>Aktif rezervasyon kur</t>
        </is>
      </c>
      <c r="P46" s="24">
        <f>IF($N46="Evet",$K46,"")</f>
        <v/>
      </c>
    </row>
    <row r="47">
      <c r="J47" s="37" t="inlineStr">
        <is>
          <t>EUR</t>
        </is>
      </c>
      <c r="K47" s="36" t="n">
        <v>37.2</v>
      </c>
      <c r="L47" s="76" t="n">
        <v>46244</v>
      </c>
      <c r="M47" s="37" t="inlineStr">
        <is>
          <t>TCMB alış</t>
        </is>
      </c>
      <c r="N47" s="37" t="inlineStr">
        <is>
          <t>Hayır</t>
        </is>
      </c>
      <c r="O47" s="7" t="inlineStr">
        <is>
          <t>Yedek</t>
        </is>
      </c>
      <c r="P47" s="24">
        <f>IF($N47="Evet",$K47,"")</f>
        <v/>
      </c>
    </row>
    <row r="48">
      <c r="J48" s="37" t="inlineStr">
        <is>
          <t>USD</t>
        </is>
      </c>
      <c r="K48" s="36" t="n">
        <v>32.5</v>
      </c>
      <c r="L48" s="76" t="n">
        <v>46022</v>
      </c>
      <c r="M48" s="37" t="inlineStr">
        <is>
          <t>TCMB yılsonu</t>
        </is>
      </c>
      <c r="N48" s="37" t="inlineStr">
        <is>
          <t>Hayır</t>
        </is>
      </c>
      <c r="O48" s="7" t="inlineStr">
        <is>
          <t>2025 referans</t>
        </is>
      </c>
      <c r="P48" s="24">
        <f>IF($N48="Evet",$K48,"")</f>
        <v/>
      </c>
    </row>
    <row r="50">
      <c r="J50" s="10" t="inlineStr">
        <is>
          <t>Aktif kur özeti</t>
        </is>
      </c>
      <c r="K50" s="18">
        <f>IFERROR(SUMIF(N46:N48,"Evet",L46:L48),0)</f>
        <v/>
      </c>
    </row>
    <row r="51">
      <c r="J51" s="66" t="inlineStr">
        <is>
          <t>Kur tablo not</t>
        </is>
      </c>
      <c r="K51" s="13" t="inlineStr">
        <is>
          <t>Aktif satırdan çekilir; sabit kur gömülmez.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H6:H50">
    <cfRule type="expression" priority="1" dxfId="0">
      <formula>H6="EKSİK"</formula>
    </cfRule>
    <cfRule type="expression" priority="2" dxfId="6">
      <formula>H6="TAM"</formula>
    </cfRule>
  </conditionalFormatting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8.xml><?xml version="1.0" encoding="utf-8"?>
<worksheet xmlns="http://schemas.openxmlformats.org/spreadsheetml/2006/main">
  <sheetPr>
    <tabColor rgb="00595959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26" customHeight="1">
      <c r="A1" s="1" t="inlineStr">
        <is>
          <t>KILAVUZ — İhracat Sipariş Kârlılık &amp; Kur Riski Komutası</t>
        </is>
      </c>
    </row>
    <row r="3">
      <c r="A3" s="57" t="inlineStr">
        <is>
          <t>Kullanım kılavuzu</t>
        </is>
      </c>
    </row>
    <row r="5">
      <c r="A5" s="6" t="inlineStr">
        <is>
          <t>1. GIRDI sarı hücrelerine sipariş FOB, maliyet, hedge ve kurları girin.</t>
        </is>
      </c>
    </row>
    <row r="6">
      <c r="A6" s="6" t="inlineStr">
        <is>
          <t>2. KARTLAR'da alıcı kimliklerini tanımlayın; AKIS'te sipariş satırlarını durumla işleyin.</t>
        </is>
      </c>
    </row>
    <row r="7">
      <c r="A7" s="6" t="inlineStr">
        <is>
          <t>3. KUYRUKLAR açık siparişleri gösterir; KAPALI/IPTAL kuyruktan düşer.</t>
        </is>
      </c>
    </row>
    <row r="8">
      <c r="A8" s="6" t="inlineStr">
        <is>
          <t>4. MOTOR net kâr, hedge boşluğu, kur riski ve NPV/IRR üretir.</t>
        </is>
      </c>
    </row>
    <row r="9">
      <c r="A9" s="6" t="inlineStr">
        <is>
          <t>5. FINANSMAN'da OZ_KAYNAK ve KREDI senaryolarını karşılaştırın.</t>
        </is>
      </c>
    </row>
    <row r="10">
      <c r="A10" s="6" t="inlineStr">
        <is>
          <t>6. SENARYO iyimser/baz/kötümser + tornado duyarlılık gösterir.</t>
        </is>
      </c>
    </row>
    <row r="11">
      <c r="A11" s="6" t="inlineStr">
        <is>
          <t>7. KARAR boş girişte VERİ YOK; kötümserde YATIRIM YAPMA üretebilir.</t>
        </is>
      </c>
    </row>
    <row r="12">
      <c r="A12" s="6" t="inlineStr">
        <is>
          <t>8. KANIT_RAPORU'nu yazdırıp imzalayın. Şifre: 1234 (formül koruması).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9:T9"/>
    <mergeCell ref="A12:T12"/>
    <mergeCell ref="A7:T7"/>
    <mergeCell ref="A10:T10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2026-08-11T14:01:58Z</dcterms:created>
  <dcterms:modified xmlns:dcterms="http://purl.org/dc/terms/" xmlns:xsi="http://www.w3.org/2001/XMLSchema-instance" xsi:type="dcterms:W3CDTF">2026-09-25T15:13:25Z</dcterms:modified>
</cp:coreProperties>
</file>