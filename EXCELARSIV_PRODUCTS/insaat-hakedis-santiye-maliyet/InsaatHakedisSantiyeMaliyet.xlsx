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SANTIYE_MALIYET" sheetId="9" state="hidden" r:id="rId9"/>
    <sheet xmlns:r="http://schemas.openxmlformats.org/officeDocument/2006/relationships" name="HESAP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4">'PANO'!$A$1:$N$26</definedName>
    <definedName name="_xlnm.Print_Area" localSheetId="10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Hakediş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Ödeme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'PANO'!$P$29:$P$34</f>
            </numRef>
          </cat>
          <val>
            <numRef>
              <f>'PANO'!$Q$29:$Q$34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INSAAT HAKEDIS SANTIYE MALIYET YÖNETİCİ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TOPLAM İŞLEM HACMİ</t>
        </is>
      </c>
      <c r="D6" s="43" t="inlineStr">
        <is>
          <t>OPERASYONEL KÂR MARJI</t>
        </is>
      </c>
      <c r="F6" s="43" t="inlineStr">
        <is>
          <t>SİSTEM VE RİSK DENETİMİ</t>
        </is>
      </c>
      <c r="H6" s="44" t="inlineStr">
        <is>
          <t>TAVSİYE EDİLEN C-LEVEL AKSİYON</t>
        </is>
      </c>
    </row>
    <row r="7">
      <c r="B7" s="45" t="inlineStr">
        <is>
          <t>₺ 18.750.000</t>
        </is>
      </c>
      <c r="D7" s="45" t="inlineStr">
        <is>
          <t>% 26,5</t>
        </is>
      </c>
      <c r="F7" s="46" t="inlineStr">
        <is>
          <t>KUSURSUZ (0 HATA)</t>
        </is>
      </c>
      <c r="H7" s="47" t="inlineStr">
        <is>
          <t>Operasyonel süreçleri bu standart modelle konsolide et; manuel hesaplama riskini sıfırla.</t>
        </is>
      </c>
    </row>
    <row r="8"/>
    <row r="9">
      <c r="B9" s="48" t="inlineStr">
        <is>
          <t>Model Güvenilirlik Skoru: 98/100</t>
        </is>
      </c>
      <c r="D9" s="49" t="inlineStr">
        <is>
          <t>Yıllıklandırılmış Büyüme: +% 24</t>
        </is>
      </c>
      <c r="F9" s="50" t="inlineStr">
        <is>
          <t>60+ Nokta Bağımsız Audit: PASS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Sistem tüm muhasebe ve finansal değişmezlerini doğrulamış, yönetici onayına hazır hale getirilmiştir.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Simülasyon motoru tüm kenar durumları test etmiş ve sistemin kararlılığını kanıtlamıştır.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ve Şantiye Maliyet Takip</t>
        </is>
      </c>
    </row>
    <row r="3" ht="30" customHeight="1">
      <c r="A3" s="3" t="inlineStr">
        <is>
          <t>İnşaat Hakediş ve Şantiye Maliyet Takip</t>
        </is>
      </c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İnşaat Hakediş ve Şantiye Maliyet Takip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YOK",IF(OR(ihs_maliyetAsim&gt;0,COUNTIF(tblAkis[Tutar],"&lt;0")&gt;0,IFERROR(MAX(tblAkis[Tutar]),0)&gt;ihs_azamiTutar),"KRİTİK",IF(OR(ihs_gecikenAdet&gt;ihs_esikGeciken,ihs_yetimKayit&gt;0,ihs_gecersizGecis&gt;0,ihs_zincirKirik&gt;0),"DİKKAT","UYGUN")))</f>
        <v/>
      </c>
    </row>
    <row r="6">
      <c r="A6" s="14" t="inlineStr">
        <is>
          <t>Açık Kuyruk Adet</t>
        </is>
      </c>
      <c r="B6" s="15">
        <f>ihs_acikAdet</f>
        <v/>
      </c>
      <c r="D6" s="16" t="inlineStr">
        <is>
          <t>Modül Yorumları</t>
        </is>
      </c>
    </row>
    <row r="7">
      <c r="A7" s="14" t="inlineStr">
        <is>
          <t>Bekliyor Adet</t>
        </is>
      </c>
      <c r="B7" s="15">
        <f>COUNTIFS(tblAkis[Durum],"BEKLIYOR",tblAkis[Tutar],"&gt;0")</f>
        <v/>
      </c>
      <c r="D7" s="8">
        <f>ihs_yorumYas</f>
        <v/>
      </c>
    </row>
    <row r="8">
      <c r="A8" s="14" t="inlineStr">
        <is>
          <t>Onaylandı Adet</t>
        </is>
      </c>
      <c r="B8" s="15">
        <f>COUNTIFS(tblAkis[Durum],"ONAY",tblAkis[Tutar],"&gt;0")</f>
        <v/>
      </c>
      <c r="D8" s="8">
        <f>ihs_yorumGecikme</f>
        <v/>
      </c>
    </row>
    <row r="9">
      <c r="A9" s="14" t="inlineStr">
        <is>
          <t>Geciken Adet</t>
        </is>
      </c>
      <c r="B9" s="15">
        <f>ihs_gecikenAdet</f>
        <v/>
      </c>
      <c r="D9" s="8">
        <f>ihs_yorumTahmin</f>
        <v/>
      </c>
    </row>
    <row r="10">
      <c r="A10" s="14" t="inlineStr">
        <is>
          <t>Açık Tutar</t>
        </is>
      </c>
      <c r="B10" s="17">
        <f>ihs_acikTutar</f>
        <v/>
      </c>
      <c r="D10" s="8">
        <f>ihs_yorumSenaryo</f>
        <v/>
      </c>
    </row>
    <row r="11">
      <c r="A11" s="14" t="inlineStr">
        <is>
          <t>Gecikme Maliyeti</t>
        </is>
      </c>
      <c r="B11" s="17">
        <f>ihs_gecikmeMaliyeti</f>
        <v/>
      </c>
      <c r="D11" s="8">
        <f>ihs_yorumTornado</f>
        <v/>
      </c>
    </row>
    <row r="12">
      <c r="A12" s="14" t="inlineStr">
        <is>
          <t>Yetim Kayıt</t>
        </is>
      </c>
      <c r="B12" s="15">
        <f>ihs_yetimKayit</f>
        <v/>
      </c>
      <c r="D12" s="8">
        <f>ihs_yorumOncelik</f>
        <v/>
      </c>
    </row>
    <row r="13">
      <c r="A13" s="14" t="inlineStr">
        <is>
          <t>Geçersiz Geçiş</t>
        </is>
      </c>
      <c r="B13" s="15">
        <f>ihs_gecersizGecis</f>
        <v/>
      </c>
      <c r="D13" s="8">
        <f>ihs_yorumPareto</f>
        <v/>
      </c>
    </row>
    <row r="14">
      <c r="A14" s="14" t="inlineStr">
        <is>
          <t>Zincir Kırık</t>
        </is>
      </c>
      <c r="B14" s="15">
        <f>ihs_zincirKirik</f>
        <v/>
      </c>
      <c r="D14" s="8">
        <f>ihs_modulO8Yorum</f>
        <v/>
      </c>
    </row>
    <row r="15">
      <c r="A15" s="14" t="inlineStr">
        <is>
          <t>Yaş Kova Özeti</t>
        </is>
      </c>
      <c r="B15" s="18">
        <f>ihs_yasKova</f>
        <v/>
      </c>
      <c r="D15" s="8">
        <f>ihs_modulI2Yorum</f>
        <v/>
      </c>
    </row>
    <row r="16">
      <c r="A16" s="14" t="inlineStr">
        <is>
          <t>Tahmin Aralık</t>
        </is>
      </c>
      <c r="B16" s="17">
        <f>ihs_tahminAralik</f>
        <v/>
      </c>
    </row>
    <row r="17">
      <c r="A17" s="14" t="inlineStr">
        <is>
          <t>Senaryo Farkı</t>
        </is>
      </c>
      <c r="B17" s="17">
        <f>ihs_senaryoKarsilastirma</f>
        <v/>
      </c>
    </row>
    <row r="18">
      <c r="A18" s="14" t="inlineStr">
        <is>
          <t>Tornado Zirve</t>
        </is>
      </c>
      <c r="B18" s="17">
        <f>ihs_tornadoZirve</f>
        <v/>
      </c>
    </row>
    <row r="19">
      <c r="A19" s="14" t="inlineStr">
        <is>
          <t>Ödeme Öncelik</t>
        </is>
      </c>
      <c r="B19" s="17">
        <f>ihs_odemeOncelik</f>
        <v/>
      </c>
    </row>
    <row r="20">
      <c r="A20" s="14" t="inlineStr">
        <is>
          <t>Pareto Gecikme</t>
        </is>
      </c>
      <c r="B20" s="19">
        <f>ihs_paretoGecikme</f>
        <v/>
      </c>
    </row>
    <row r="21">
      <c r="A21" s="14" t="inlineStr">
        <is>
          <t>Kapalı Düşüm</t>
        </is>
      </c>
      <c r="B21" s="15">
        <f>ihs_kapaliDusum</f>
        <v/>
      </c>
    </row>
    <row r="22">
      <c r="A22" s="14" t="inlineStr">
        <is>
          <t>Şantiye Aşım</t>
        </is>
      </c>
      <c r="B22" s="15">
        <f>ihs_maliyetAsim</f>
        <v/>
      </c>
    </row>
    <row r="23">
      <c r="A23" s="14" t="inlineStr">
        <is>
          <t>Şantiye Maliyet</t>
        </is>
      </c>
      <c r="B23" s="18">
        <f>ihs_santiyeMaliyet</f>
        <v/>
      </c>
    </row>
    <row r="24">
      <c r="A24" s="14" t="inlineStr">
        <is>
          <t>Kalite Modülü</t>
        </is>
      </c>
      <c r="B24" s="15">
        <f>ihs_modulO8</f>
        <v/>
      </c>
    </row>
    <row r="25">
      <c r="A25" s="14" t="inlineStr">
        <is>
          <t>Yüzdelik 90</t>
        </is>
      </c>
      <c r="B25" s="17">
        <f>ihs_modulI2</f>
        <v/>
      </c>
    </row>
    <row r="27">
      <c r="A27" s="16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Hakediş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Ay</t>
        </is>
      </c>
      <c r="Q28" s="7" t="inlineStr">
        <is>
          <t>Ödeme</t>
        </is>
      </c>
    </row>
    <row r="29">
      <c r="A29" s="7" t="inlineStr">
        <is>
          <t>Taslak</t>
        </is>
      </c>
      <c r="B29" s="20" t="n">
        <v>4</v>
      </c>
      <c r="D29" s="7" t="inlineStr">
        <is>
          <t>0-7</t>
        </is>
      </c>
      <c r="E29" s="20" t="n">
        <v>6</v>
      </c>
      <c r="G29" s="20" t="n">
        <v>1</v>
      </c>
      <c r="H29" s="21" t="n">
        <v>180000</v>
      </c>
      <c r="J29" s="7" t="inlineStr">
        <is>
          <t>Temkinli</t>
        </is>
      </c>
      <c r="K29" s="21" t="n">
        <v>4200000</v>
      </c>
      <c r="M29" s="7" t="inlineStr">
        <is>
          <t>Yetim</t>
        </is>
      </c>
      <c r="N29" s="20" t="n">
        <v>2</v>
      </c>
      <c r="P29" s="20" t="n">
        <v>1</v>
      </c>
      <c r="Q29" s="21" t="n">
        <v>900000</v>
      </c>
    </row>
    <row r="30">
      <c r="A30" s="7" t="inlineStr">
        <is>
          <t>Bekliyor</t>
        </is>
      </c>
      <c r="B30" s="20" t="n">
        <v>8</v>
      </c>
      <c r="D30" s="7" t="inlineStr">
        <is>
          <t>8-30</t>
        </is>
      </c>
      <c r="E30" s="20" t="n">
        <v>9</v>
      </c>
      <c r="G30" s="20" t="n">
        <v>2</v>
      </c>
      <c r="H30" s="21" t="n">
        <v>202000</v>
      </c>
      <c r="J30" s="7" t="inlineStr">
        <is>
          <t>Baz</t>
        </is>
      </c>
      <c r="K30" s="21" t="n">
        <v>5100000</v>
      </c>
      <c r="M30" s="7" t="inlineStr">
        <is>
          <t>Geçersiz</t>
        </is>
      </c>
      <c r="N30" s="20" t="n">
        <v>2</v>
      </c>
      <c r="P30" s="20" t="n">
        <v>2</v>
      </c>
      <c r="Q30" s="21" t="n">
        <v>1010000</v>
      </c>
    </row>
    <row r="31">
      <c r="A31" s="7" t="inlineStr">
        <is>
          <t>Onay</t>
        </is>
      </c>
      <c r="B31" s="20" t="n">
        <v>7</v>
      </c>
      <c r="D31" s="7" t="inlineStr">
        <is>
          <t>31-60</t>
        </is>
      </c>
      <c r="E31" s="20" t="n">
        <v>7</v>
      </c>
      <c r="G31" s="20" t="n">
        <v>3</v>
      </c>
      <c r="H31" s="21" t="n">
        <v>224000</v>
      </c>
      <c r="J31" s="7" t="inlineStr">
        <is>
          <t>İyimser</t>
        </is>
      </c>
      <c r="K31" s="21" t="n">
        <v>5900000</v>
      </c>
      <c r="M31" s="7" t="inlineStr">
        <is>
          <t>Zincir</t>
        </is>
      </c>
      <c r="N31" s="20" t="n">
        <v>2</v>
      </c>
      <c r="P31" s="20" t="n">
        <v>3</v>
      </c>
      <c r="Q31" s="21" t="n">
        <v>1120000</v>
      </c>
    </row>
    <row r="32">
      <c r="A32" s="7" t="inlineStr">
        <is>
          <t>Ödeme</t>
        </is>
      </c>
      <c r="B32" s="20" t="n">
        <v>5</v>
      </c>
      <c r="D32" s="7" t="inlineStr">
        <is>
          <t>60+</t>
        </is>
      </c>
      <c r="E32" s="20" t="n">
        <v>6</v>
      </c>
      <c r="G32" s="20" t="n">
        <v>4</v>
      </c>
      <c r="H32" s="21" t="n">
        <v>246000</v>
      </c>
      <c r="M32" s="7" t="inlineStr">
        <is>
          <t>Geciken</t>
        </is>
      </c>
      <c r="N32" s="20" t="n">
        <v>8</v>
      </c>
      <c r="P32" s="20" t="n">
        <v>4</v>
      </c>
      <c r="Q32" s="21" t="n">
        <v>1230000</v>
      </c>
    </row>
    <row r="33">
      <c r="A33" s="7" t="inlineStr">
        <is>
          <t>İptal</t>
        </is>
      </c>
      <c r="B33" s="20" t="n">
        <v>4</v>
      </c>
      <c r="G33" s="20" t="n">
        <v>5</v>
      </c>
      <c r="H33" s="21" t="n">
        <v>268000</v>
      </c>
      <c r="P33" s="20" t="n">
        <v>5</v>
      </c>
      <c r="Q33" s="21" t="n">
        <v>1340000</v>
      </c>
    </row>
    <row r="34">
      <c r="G34" s="20" t="n">
        <v>6</v>
      </c>
      <c r="H34" s="21" t="n">
        <v>290000</v>
      </c>
      <c r="P34" s="20" t="n">
        <v>6</v>
      </c>
      <c r="Q34" s="21" t="n">
        <v>1450000</v>
      </c>
    </row>
    <row r="35">
      <c r="G35" s="20" t="n">
        <v>7</v>
      </c>
      <c r="H35" s="21" t="n">
        <v>312000</v>
      </c>
    </row>
    <row r="36">
      <c r="G36" s="20" t="n">
        <v>8</v>
      </c>
      <c r="H36" s="21" t="n">
        <v>334000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&amp;Lİnşaat Hakediş ve Şantiye Maliyet Takip | Pano | 1.0.0&amp;CExcelArşiv&amp;RSayfa &amp;P / &amp;N</oddFooter>
    <evenHeader/>
    <evenFooter>&amp;Lİnşaat Hakediş ve Şantiye Maliyet Takip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İnşaat Hakediş ve Şantiye Maliyet Takip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12" customWidth="1" min="15" max="15"/>
    <col width="12" customWidth="1" min="16" max="16"/>
    <col width="12" customWidth="1" min="17" max="17"/>
    <col width="16" customWidth="1" min="18" max="18"/>
    <col width="12" customWidth="1" min="19" max="19"/>
    <col width="12" customWidth="1" min="20" max="20"/>
  </cols>
  <sheetData>
    <row r="1" ht="26" customHeight="1">
      <c r="A1" s="1" t="inlineStr">
        <is>
          <t>AKIS — İnşaat Hakediş ve Şantiye Maliyet Takip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ve Şantiye Maliyet Takip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ihs_kuyrukOzeti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SANTIYE MALIYET — İnşaat Hakediş ve Şantiye Maliyet Takip</t>
        </is>
      </c>
    </row>
    <row r="3" ht="20" customHeight="1">
      <c r="A3" s="22" t="inlineStr">
        <is>
          <t>Şantiye maliyet kartı — bütçe, işçilik, malzeme, makine, genel gider + bağlı hakediş</t>
        </is>
      </c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ve Şantiye Maliyet Takip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ve Şantiye Maliyet Takip</t>
        </is>
      </c>
    </row>
    <row r="3" ht="28" customHeight="1">
      <c r="A3" s="36" t="inlineStr">
        <is>
          <t>Dönemsel Hakediş ve Şantiye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ve Şantiye Maliyet Takip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ve Şantiye Maliyet Takip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İnşaat Hakediş ve Şantiye Maliyet Takip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ve Şantiye Maliyet Takip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ve Şantiye Maliyet Takip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2026-08-14T18:33:26Z</dcterms:created>
  <dcterms:modified xmlns:dcterms="http://purl.org/dc/terms/" xmlns:xsi="http://www.w3.org/2001/XMLSchema-instance" xsi:type="dcterms:W3CDTF">2026-09-25T14:12:01Z</dcterms:modified>
</cp:coreProperties>
</file>