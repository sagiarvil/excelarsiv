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4.xml" ContentType="application/vnd.openxmlformats-officedocument.spreadsheetml.comments+xml"/>
  <Override PartName="/xl/worksheets/sheet20.xml" ContentType="application/vnd.openxmlformats-officedocument.spreadsheetml.worksheet+xml"/>
  <Override PartName="/xl/comments/comment5.xml" ContentType="application/vnd.openxmlformats-officedocument.spreadsheetml.comments+xml"/>
  <Override PartName="/xl/tables/table4.xml" ContentType="application/vnd.openxmlformats-officedocument.spreadsheetml.table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KARTLAR" sheetId="11" state="visible" r:id="rId11"/>
    <sheet xmlns:r="http://schemas.openxmlformats.org/officeDocument/2006/relationships" name="AKIS" sheetId="12" state="visible" r:id="rId12"/>
    <sheet xmlns:r="http://schemas.openxmlformats.org/officeDocument/2006/relationships" name="KUYRUKLAR" sheetId="13" state="visible" r:id="rId13"/>
    <sheet xmlns:r="http://schemas.openxmlformats.org/officeDocument/2006/relationships" name="SANTIYE_MALIYET" sheetId="14" state="visible" r:id="rId14"/>
    <sheet xmlns:r="http://schemas.openxmlformats.org/officeDocument/2006/relationships" name="HESAP" sheetId="15" state="visible" r:id="rId15"/>
    <sheet xmlns:r="http://schemas.openxmlformats.org/officeDocument/2006/relationships" name="RAPOR" sheetId="16" state="visible" r:id="rId16"/>
    <sheet xmlns:r="http://schemas.openxmlformats.org/officeDocument/2006/relationships" name="KONTROLLER" sheetId="17" state="visible" r:id="rId17"/>
    <sheet xmlns:r="http://schemas.openxmlformats.org/officeDocument/2006/relationships" name="ORNEK_VERI" sheetId="18" state="visible" r:id="rId18"/>
    <sheet xmlns:r="http://schemas.openxmlformats.org/officeDocument/2006/relationships" name="LISTELER" sheetId="19" state="visible" r:id="rId19"/>
    <sheet xmlns:r="http://schemas.openxmlformats.org/officeDocument/2006/relationships" name="AYARLAR" sheetId="20" state="visible" r:id="rId20"/>
    <sheet xmlns:r="http://schemas.openxmlformats.org/officeDocument/2006/relationships" name="KILAVUZ" sheetId="21" state="visible" r:id="rId21"/>
  </sheets>
  <definedNames>
    <definedName name="raporTarihi">AYARLAR!$B$6</definedName>
    <definedName name="zincirTolerans">AYARLAR!$B$7</definedName>
    <definedName name="ihs_esikGecikmeGun">AYARLAR!$B$8</definedName>
    <definedName name="ihs_esikGeciken">AYARLAR!$B$9</definedName>
    <definedName name="ihs_gecikmeOranGun">AYARLAR!$B$10</definedName>
    <definedName name="ihs_senaryoTemkinli">AYARLAR!$B$11</definedName>
    <definedName name="ihs_senaryoBaz">AYARLAR!$B$12</definedName>
    <definedName name="ihs_senaryoIyimser">AYARLAR!$B$13</definedName>
    <definedName name="ihs_tornadoOran">AYARLAR!$B$14</definedName>
    <definedName name="ihs_yuzdelikOran">AYARLAR!$B$15</definedName>
    <definedName name="ihs_olcekHedef">AYARLAR!$B$16</definedName>
    <definedName name="ihs_azamiTutar">AYARLAR!$B$17</definedName>
    <definedName name="ihs_asimCarpan">AYARLAR!$B$18</definedName>
    <definedName name="ihs_durumHaritasi">AYARLAR!$B$19</definedName>
    <definedName name="ihs_kuyrukOzeti_metin">AYARLAR!$B$20</definedName>
    <definedName name="ihs_kapaliDusum_metin">AYARLAR!$B$21</definedName>
    <definedName name="ihs_kanitRaporu_metin">AYARLAR!$B$22</definedName>
    <definedName name="ihs_dosyaSurumu">AYARLAR!$B$23</definedName>
    <definedName name="ihs_firmaUnvan">AYARLAR!$B$24</definedName>
    <definedName name="ihs_acikAdet">AYARLAR!$I$40</definedName>
    <definedName name="ihs_acikTutar">AYARLAR!$I$41</definedName>
    <definedName name="ihs_gecikenAdet">AYARLAR!$I$42</definedName>
    <definedName name="ihs_gecikmeMaliyeti">AYARLAR!$I$43</definedName>
    <definedName name="ihs_yetimKayit">AYARLAR!$I$44</definedName>
    <definedName name="ihs_gecersizGecis">AYARLAR!$I$45</definedName>
    <definedName name="ihs_zincirKirik">AYARLAR!$I$46</definedName>
    <definedName name="ihs_yasKova">AYARLAR!$I$47</definedName>
    <definedName name="ihs_tahminAralik">AYARLAR!$I$48</definedName>
    <definedName name="ihs_senaryoKarsilastirma">AYARLAR!$I$49</definedName>
    <definedName name="ihs_tornadoZirve">AYARLAR!$I$50</definedName>
    <definedName name="ihs_odemeOncelik">AYARLAR!$I$51</definedName>
    <definedName name="ihs_paretoGecikme">AYARLAR!$I$52</definedName>
    <definedName name="ihs_kapaliDusum">AYARLAR!$I$53</definedName>
    <definedName name="ihs_kuyrukOzeti">AYARLAR!$I$54</definedName>
    <definedName name="ihs_kanitRaporu">AYARLAR!$I$55</definedName>
    <definedName name="ihs_sonrakiKimlik">AYARLAR!$I$56</definedName>
    <definedName name="ihs_santiyeMaliyet">AYARLAR!$I$57</definedName>
    <definedName name="ihs_maliyetAsim">AYARLAR!$I$58</definedName>
    <definedName name="ihs_modulO8">AYARLAR!$I$59</definedName>
    <definedName name="ihs_modulI2">AYARLAR!$I$60</definedName>
    <definedName name="ihs_yorumYas">AYARLAR!$I$63</definedName>
    <definedName name="ihs_yorumGecikme">AYARLAR!$I$64</definedName>
    <definedName name="ihs_yorumTahmin">AYARLAR!$I$65</definedName>
    <definedName name="ihs_yorumSenaryo">AYARLAR!$I$66</definedName>
    <definedName name="ihs_yorumTornado">AYARLAR!$I$67</definedName>
    <definedName name="ihs_yorumOncelik">AYARLAR!$I$68</definedName>
    <definedName name="ihs_yorumPareto">AYARLAR!$I$69</definedName>
    <definedName name="ihs_modulO8Yorum">AYARLAR!$I$70</definedName>
    <definedName name="ihs_modulI2Yorum">AYARLAR!$I$71</definedName>
    <definedName name="ihs_kararKapi">PANO!$B$4</definedName>
    <definedName name="ListeDurumlar">LISTELER!$A$7:$A$11</definedName>
    <definedName name="ListeIzinliGecis">LISTELER!$C$7:$C$11</definedName>
    <definedName name="ListeEvetHayir">LISTELER!$E$7:$E$8</definedName>
    <definedName name="ListeSantiye">LISTELER!$I$7:$I$10</definedName>
    <definedName name="_xlnm.Print_Area" localSheetId="15">'RAPOR'!$A$1:$H$28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dd.mm.yyyy"/>
    <numFmt numFmtId="165" formatCode="₺ #,##0;[Red](₺ #,##0);-"/>
    <numFmt numFmtId="166" formatCode="0.0%;[Red](0.0%);-"/>
    <numFmt numFmtId="167" formatCode="0&quot; gün&quot;"/>
    <numFmt numFmtId="168" formatCode="#,##0 &quot;TL&quot;"/>
    <numFmt numFmtId="169" formatCode="0.0%"/>
    <numFmt numFmtId="170" formatCode="₺#,##0"/>
  </numFmts>
  <fonts count="8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b val="1"/>
      <color rgb="000F2742"/>
      <sz val="14"/>
    </font>
    <font>
      <name val="Segoe UI"/>
      <b val="1"/>
      <color rgb="001F7A4D"/>
      <sz val="14"/>
    </font>
    <font>
      <name val="Segoe UI"/>
      <color rgb="000F2742"/>
      <sz val="10"/>
    </font>
    <font>
      <name val="Segoe UI"/>
      <b val="1"/>
      <color rgb="00000000"/>
      <sz val="12"/>
    </font>
    <font>
      <name val="Segoe UI"/>
      <b val="1"/>
      <color rgb="000F2742"/>
      <sz val="10"/>
    </font>
    <font>
      <name val="Segoe UI"/>
      <color rgb="001F4E79"/>
      <sz val="10"/>
    </font>
    <font>
      <name val="Segoe UI"/>
      <b val="1"/>
      <color rgb="00000000"/>
      <sz val="10"/>
    </font>
    <font>
      <name val="Segoe UI"/>
      <b val="1"/>
      <color rgb="00FFFFFF"/>
      <sz val="10"/>
    </font>
    <font>
      <name val="Segoe UI"/>
      <b val="1"/>
      <color rgb="00FFFFFF"/>
      <sz val="16"/>
    </font>
    <font>
      <name val="Segoe UI"/>
      <b val="1"/>
      <color rgb="00000000"/>
      <sz val="14"/>
    </font>
    <font>
      <name val="Segoe UI"/>
      <b val="1"/>
      <color rgb="000F2742"/>
      <sz val="13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</fonts>
  <fills count="34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</fills>
  <borders count="35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0"/>
  </cellStyleXfs>
  <cellXfs count="16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3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6" fontId="11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14" fillId="0" borderId="0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 wrapText="1"/>
    </xf>
    <xf numFmtId="0" fontId="13" fillId="5" borderId="0" applyAlignment="1" applyProtection="1" pivotButton="0" quotePrefix="0" xfId="0">
      <alignment horizontal="left" vertical="center"/>
      <protection locked="0" hidden="0"/>
    </xf>
    <xf numFmtId="165" fontId="13" fillId="5" borderId="0" applyAlignment="1" applyProtection="1" pivotButton="0" quotePrefix="0" xfId="0">
      <alignment horizontal="left" vertical="center"/>
      <protection locked="0" hidden="0"/>
    </xf>
    <xf numFmtId="0" fontId="0" fillId="6" borderId="0" pivotButton="0" quotePrefix="0" xfId="0"/>
    <xf numFmtId="164" fontId="13" fillId="5" borderId="0" applyAlignment="1" applyProtection="1" pivotButton="0" quotePrefix="0" xfId="0">
      <alignment horizontal="left" vertical="center"/>
      <protection locked="0" hidden="0"/>
    </xf>
    <xf numFmtId="0" fontId="15" fillId="4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167" fontId="14" fillId="0" borderId="0" applyAlignment="1" pivotButton="0" quotePrefix="0" xfId="0">
      <alignment horizontal="left" vertical="center"/>
    </xf>
    <xf numFmtId="166" fontId="14" fillId="0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3" fontId="13" fillId="5" borderId="0" applyAlignment="1" applyProtection="1" pivotButton="0" quotePrefix="0" xfId="0">
      <alignment horizontal="left" vertical="center"/>
      <protection locked="0" hidden="0"/>
    </xf>
    <xf numFmtId="166" fontId="13" fillId="5" borderId="0" applyAlignment="1" applyProtection="1" pivotButton="0" quotePrefix="0" xfId="0">
      <alignment horizontal="left" vertical="center"/>
      <protection locked="0" hidden="0"/>
    </xf>
    <xf numFmtId="0" fontId="19" fillId="7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27" fillId="0" borderId="0" pivotButton="0" quotePrefix="0" xfId="0"/>
    <xf numFmtId="0" fontId="22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27" fillId="8" borderId="0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6" fillId="0" borderId="0" pivotButton="0" quotePrefix="0" xfId="0"/>
    <xf numFmtId="0" fontId="28" fillId="0" borderId="0" pivotButton="0" quotePrefix="0" xfId="0"/>
    <xf numFmtId="0" fontId="29" fillId="7" borderId="0" applyAlignment="1" pivotButton="0" quotePrefix="0" xfId="0">
      <alignment horizontal="center" vertical="center"/>
    </xf>
    <xf numFmtId="0" fontId="30" fillId="0" borderId="0" pivotButton="0" quotePrefix="0" xfId="0"/>
    <xf numFmtId="168" fontId="30" fillId="0" borderId="0" pivotButton="0" quotePrefix="0" xfId="0"/>
    <xf numFmtId="168" fontId="31" fillId="0" borderId="0" pivotButton="0" quotePrefix="0" xfId="0"/>
    <xf numFmtId="169" fontId="30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7" borderId="0" applyAlignment="1" pivotButton="0" quotePrefix="0" xfId="0">
      <alignment horizontal="center" vertical="center"/>
    </xf>
    <xf numFmtId="0" fontId="29" fillId="7" borderId="0" applyAlignment="1" pivotButton="0" quotePrefix="0" xfId="0">
      <alignment horizontal="center"/>
    </xf>
    <xf numFmtId="0" fontId="31" fillId="0" borderId="0" pivotButton="0" quotePrefix="0" xfId="0"/>
    <xf numFmtId="0" fontId="35" fillId="9" borderId="2" pivotButton="0" quotePrefix="0" xfId="0"/>
    <xf numFmtId="0" fontId="36" fillId="0" borderId="0" pivotButton="0" quotePrefix="0" xfId="0"/>
    <xf numFmtId="0" fontId="37" fillId="0" borderId="0" pivotButton="0" quotePrefix="0" xfId="0"/>
    <xf numFmtId="0" fontId="30" fillId="0" borderId="0" applyAlignment="1" pivotButton="0" quotePrefix="0" xfId="0">
      <alignment wrapText="1"/>
    </xf>
    <xf numFmtId="167" fontId="14" fillId="0" borderId="0" applyAlignment="1" pivotButton="0" quotePrefix="0" xfId="0">
      <alignment horizontal="left" vertical="center"/>
    </xf>
    <xf numFmtId="0" fontId="38" fillId="0" borderId="0" pivotButton="0" quotePrefix="0" xfId="0"/>
    <xf numFmtId="0" fontId="39" fillId="0" borderId="2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0" fillId="0" borderId="0" pivotButton="0" quotePrefix="0" xfId="0"/>
    <xf numFmtId="0" fontId="26" fillId="0" borderId="3" pivotButton="0" quotePrefix="0" xfId="0"/>
    <xf numFmtId="0" fontId="0" fillId="0" borderId="2" pivotButton="0" quotePrefix="0" xfId="0"/>
    <xf numFmtId="0" fontId="40" fillId="11" borderId="2" applyAlignment="1" pivotButton="0" quotePrefix="0" xfId="0">
      <alignment horizontal="center"/>
    </xf>
    <xf numFmtId="0" fontId="26" fillId="0" borderId="4" pivotButton="0" quotePrefix="0" xfId="0"/>
    <xf numFmtId="0" fontId="42" fillId="12" borderId="2" applyAlignment="1" pivotButton="0" quotePrefix="0" xfId="0">
      <alignment horizontal="center"/>
    </xf>
    <xf numFmtId="0" fontId="41" fillId="13" borderId="2" applyAlignment="1" pivotButton="0" quotePrefix="0" xfId="0">
      <alignment horizontal="center"/>
    </xf>
    <xf numFmtId="0" fontId="26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3" pivotButton="0" quotePrefix="0" xfId="0"/>
    <xf numFmtId="0" fontId="43" fillId="0" borderId="4" pivotButton="0" quotePrefix="0" xfId="0"/>
    <xf numFmtId="0" fontId="44" fillId="0" borderId="5" pivotButton="0" quotePrefix="0" xfId="0"/>
    <xf numFmtId="0" fontId="41" fillId="0" borderId="3" pivotButton="0" quotePrefix="0" xfId="0"/>
    <xf numFmtId="0" fontId="36" fillId="0" borderId="4" pivotButton="0" quotePrefix="0" xfId="0"/>
    <xf numFmtId="0" fontId="41" fillId="0" borderId="5" pivotButton="0" quotePrefix="0" xfId="0"/>
    <xf numFmtId="0" fontId="45" fillId="14" borderId="0" applyAlignment="1" pivotButton="0" quotePrefix="0" xfId="0">
      <alignment horizontal="center"/>
    </xf>
    <xf numFmtId="0" fontId="46" fillId="0" borderId="0" pivotButton="0" quotePrefix="0" xfId="0"/>
    <xf numFmtId="0" fontId="45" fillId="15" borderId="0" applyAlignment="1" pivotButton="0" quotePrefix="0" xfId="0">
      <alignment horizontal="center" vertical="center"/>
    </xf>
    <xf numFmtId="0" fontId="46" fillId="0" borderId="2" pivotButton="0" quotePrefix="0" xfId="0"/>
    <xf numFmtId="0" fontId="47" fillId="0" borderId="2" pivotButton="0" quotePrefix="0" xfId="0"/>
    <xf numFmtId="0" fontId="48" fillId="0" borderId="2" pivotButton="0" quotePrefix="0" xfId="0"/>
    <xf numFmtId="0" fontId="49" fillId="16" borderId="2" applyAlignment="1" pivotButton="0" quotePrefix="0" xfId="0">
      <alignment horizontal="center"/>
    </xf>
    <xf numFmtId="0" fontId="45" fillId="7" borderId="0" pivotButton="0" quotePrefix="0" xfId="0"/>
    <xf numFmtId="0" fontId="50" fillId="7" borderId="0" pivotButton="0" quotePrefix="0" xfId="0"/>
    <xf numFmtId="0" fontId="51" fillId="7" borderId="0" pivotButton="0" quotePrefix="0" xfId="0"/>
    <xf numFmtId="0" fontId="0" fillId="7" borderId="0" pivotButton="0" quotePrefix="0" xfId="0"/>
    <xf numFmtId="0" fontId="23" fillId="7" borderId="0" applyAlignment="1" pivotButton="0" quotePrefix="0" xfId="0">
      <alignment horizontal="center"/>
    </xf>
    <xf numFmtId="0" fontId="39" fillId="0" borderId="0" pivotButton="0" quotePrefix="0" xfId="0"/>
    <xf numFmtId="0" fontId="54" fillId="17" borderId="0" pivotButton="0" quotePrefix="0" xfId="0"/>
    <xf numFmtId="0" fontId="0" fillId="17" borderId="0" pivotButton="0" quotePrefix="0" xfId="0"/>
    <xf numFmtId="0" fontId="41" fillId="0" borderId="0" pivotButton="0" quotePrefix="0" xfId="0"/>
    <xf numFmtId="0" fontId="29" fillId="17" borderId="0" pivotButton="0" quotePrefix="0" xfId="0"/>
    <xf numFmtId="0" fontId="55" fillId="17" borderId="0" applyAlignment="1" pivotButton="0" quotePrefix="0" xfId="0">
      <alignment wrapText="1"/>
    </xf>
    <xf numFmtId="0" fontId="52" fillId="0" borderId="0" pivotButton="0" quotePrefix="0" xfId="0"/>
    <xf numFmtId="0" fontId="53" fillId="0" borderId="0" pivotButton="0" quotePrefix="0" xfId="0"/>
    <xf numFmtId="0" fontId="41" fillId="13" borderId="6" applyAlignment="1" pivotButton="0" quotePrefix="0" xfId="0">
      <alignment horizontal="center" vertical="center"/>
    </xf>
    <xf numFmtId="0" fontId="56" fillId="18" borderId="0" applyAlignment="1" pivotButton="0" quotePrefix="0" xfId="0">
      <alignment horizontal="center" vertical="center"/>
    </xf>
    <xf numFmtId="0" fontId="20" fillId="19" borderId="2" applyAlignment="1" pivotButton="0" quotePrefix="0" xfId="0">
      <alignment vertical="center"/>
    </xf>
    <xf numFmtId="0" fontId="40" fillId="11" borderId="0" applyAlignment="1" pivotButton="0" quotePrefix="0" xfId="0">
      <alignment horizontal="center" vertical="center"/>
    </xf>
    <xf numFmtId="0" fontId="41" fillId="13" borderId="0" applyAlignment="1" pivotButton="0" quotePrefix="0" xfId="0">
      <alignment horizontal="center" vertical="center"/>
    </xf>
    <xf numFmtId="0" fontId="57" fillId="7" borderId="0" applyAlignment="1" pivotButton="0" quotePrefix="0" xfId="0">
      <alignment horizontal="center" vertical="center"/>
    </xf>
    <xf numFmtId="0" fontId="58" fillId="19" borderId="2" applyAlignment="1" pivotButton="0" quotePrefix="0" xfId="0">
      <alignment horizontal="center"/>
    </xf>
    <xf numFmtId="0" fontId="59" fillId="19" borderId="2" applyAlignment="1" pivotButton="0" quotePrefix="0" xfId="0">
      <alignment horizontal="center"/>
    </xf>
    <xf numFmtId="0" fontId="58" fillId="19" borderId="2" pivotButton="0" quotePrefix="0" xfId="0"/>
    <xf numFmtId="170" fontId="59" fillId="19" borderId="2" applyAlignment="1" pivotButton="0" quotePrefix="0" xfId="0">
      <alignment horizontal="right"/>
    </xf>
    <xf numFmtId="9" fontId="58" fillId="19" borderId="2" applyAlignment="1" pivotButton="0" quotePrefix="0" xfId="0">
      <alignment horizontal="center"/>
    </xf>
    <xf numFmtId="170" fontId="58" fillId="19" borderId="2" applyAlignment="1" pivotButton="0" quotePrefix="0" xfId="0">
      <alignment horizontal="right"/>
    </xf>
    <xf numFmtId="0" fontId="41" fillId="19" borderId="2" applyAlignment="1" pivotButton="0" quotePrefix="0" xfId="0">
      <alignment horizontal="center"/>
    </xf>
    <xf numFmtId="0" fontId="58" fillId="18" borderId="2" applyAlignment="1" pivotButton="0" quotePrefix="0" xfId="0">
      <alignment horizontal="center"/>
    </xf>
    <xf numFmtId="0" fontId="59" fillId="18" borderId="2" applyAlignment="1" pivotButton="0" quotePrefix="0" xfId="0">
      <alignment horizontal="center"/>
    </xf>
    <xf numFmtId="0" fontId="58" fillId="18" borderId="2" pivotButton="0" quotePrefix="0" xfId="0"/>
    <xf numFmtId="170" fontId="59" fillId="18" borderId="2" applyAlignment="1" pivotButton="0" quotePrefix="0" xfId="0">
      <alignment horizontal="right"/>
    </xf>
    <xf numFmtId="9" fontId="58" fillId="18" borderId="2" applyAlignment="1" pivotButton="0" quotePrefix="0" xfId="0">
      <alignment horizontal="center"/>
    </xf>
    <xf numFmtId="170" fontId="58" fillId="18" borderId="2" applyAlignment="1" pivotButton="0" quotePrefix="0" xfId="0">
      <alignment horizontal="right"/>
    </xf>
    <xf numFmtId="0" fontId="46" fillId="18" borderId="2" applyAlignment="1" pivotButton="0" quotePrefix="0" xfId="0">
      <alignment horizontal="center"/>
    </xf>
    <xf numFmtId="0" fontId="41" fillId="18" borderId="2" applyAlignment="1" pivotButton="0" quotePrefix="0" xfId="0">
      <alignment horizontal="center"/>
    </xf>
    <xf numFmtId="0" fontId="42" fillId="18" borderId="2" applyAlignment="1" pivotButton="0" quotePrefix="0" xfId="0">
      <alignment horizontal="center"/>
    </xf>
    <xf numFmtId="0" fontId="29" fillId="7" borderId="0" applyAlignment="1" pivotButton="0" quotePrefix="0" xfId="0">
      <alignment vertical="center" indent="1"/>
    </xf>
    <xf numFmtId="170" fontId="60" fillId="7" borderId="0" applyAlignment="1" pivotButton="0" quotePrefix="0" xfId="0">
      <alignment horizontal="right" vertical="center"/>
    </xf>
    <xf numFmtId="0" fontId="61" fillId="0" borderId="7" pivotButton="0" quotePrefix="0" xfId="0"/>
    <xf numFmtId="0" fontId="62" fillId="0" borderId="7" pivotButton="0" quotePrefix="0" xfId="0"/>
    <xf numFmtId="0" fontId="63" fillId="0" borderId="7" pivotButton="0" quotePrefix="0" xfId="0"/>
    <xf numFmtId="0" fontId="64" fillId="20" borderId="2" applyAlignment="1" pivotButton="0" quotePrefix="0" xfId="0">
      <alignment horizontal="center" vertical="center"/>
    </xf>
    <xf numFmtId="0" fontId="68" fillId="11" borderId="2" applyAlignment="1" pivotButton="0" quotePrefix="0" xfId="0">
      <alignment horizontal="center" vertical="center"/>
    </xf>
    <xf numFmtId="0" fontId="65" fillId="0" borderId="2" pivotButton="0" quotePrefix="0" xfId="0"/>
    <xf numFmtId="0" fontId="64" fillId="0" borderId="2" applyAlignment="1" pivotButton="0" quotePrefix="0" xfId="0">
      <alignment horizontal="right"/>
    </xf>
    <xf numFmtId="0" fontId="68" fillId="0" borderId="2" applyAlignment="1" pivotButton="0" quotePrefix="0" xfId="0">
      <alignment horizontal="right"/>
    </xf>
    <xf numFmtId="0" fontId="39" fillId="0" borderId="2" applyAlignment="1" pivotButton="0" quotePrefix="0" xfId="0">
      <alignment horizontal="right"/>
    </xf>
    <xf numFmtId="0" fontId="66" fillId="0" borderId="2" applyAlignment="1" pivotButton="0" quotePrefix="0" xfId="0">
      <alignment horizontal="right"/>
    </xf>
    <xf numFmtId="0" fontId="67" fillId="12" borderId="8" applyAlignment="1" pivotButton="0" quotePrefix="0" xfId="0">
      <alignment horizontal="center" vertical="center"/>
    </xf>
    <xf numFmtId="0" fontId="69" fillId="11" borderId="9" applyAlignment="1" pivotButton="0" quotePrefix="0" xfId="0">
      <alignment horizontal="center" vertical="center"/>
    </xf>
    <xf numFmtId="0" fontId="65" fillId="0" borderId="0" pivotButton="0" quotePrefix="0" xfId="0"/>
    <xf numFmtId="0" fontId="70" fillId="21" borderId="0" applyAlignment="1" pivotButton="0" quotePrefix="0" xfId="0">
      <alignment horizontal="left" vertical="center" wrapText="1"/>
    </xf>
    <xf numFmtId="0" fontId="71" fillId="22" borderId="0" applyAlignment="1" pivotButton="0" quotePrefix="0" xfId="0">
      <alignment vertical="center" wrapText="1"/>
    </xf>
    <xf numFmtId="0" fontId="72" fillId="23" borderId="0" applyAlignment="1" pivotButton="0" quotePrefix="0" xfId="0">
      <alignment vertical="top" wrapText="1"/>
    </xf>
    <xf numFmtId="0" fontId="73" fillId="0" borderId="0" applyAlignment="1" pivotButton="0" quotePrefix="0" xfId="0">
      <alignment vertical="top" wrapText="1"/>
    </xf>
    <xf numFmtId="0" fontId="74" fillId="21" borderId="0" applyAlignment="1" pivotButton="0" quotePrefix="0" xfId="0">
      <alignment horizontal="left" vertical="center" wrapText="1"/>
    </xf>
    <xf numFmtId="0" fontId="70" fillId="24" borderId="0" applyAlignment="1" pivotButton="0" quotePrefix="0" xfId="0">
      <alignment horizontal="left" vertical="center" wrapText="1"/>
    </xf>
    <xf numFmtId="0" fontId="71" fillId="24" borderId="0" applyAlignment="1" pivotButton="0" quotePrefix="0" xfId="0">
      <alignment vertical="center" wrapText="1"/>
    </xf>
    <xf numFmtId="0" fontId="75" fillId="25" borderId="0" applyAlignment="1" pivotButton="0" quotePrefix="0" xfId="0">
      <alignment vertical="top" wrapText="1"/>
    </xf>
    <xf numFmtId="0" fontId="70" fillId="26" borderId="0" applyAlignment="1" pivotButton="0" quotePrefix="0" xfId="0">
      <alignment horizontal="left" vertical="center" wrapText="1"/>
    </xf>
    <xf numFmtId="0" fontId="71" fillId="26" borderId="0" applyAlignment="1" pivotButton="0" quotePrefix="0" xfId="0">
      <alignment vertical="center" wrapText="1"/>
    </xf>
    <xf numFmtId="0" fontId="76" fillId="27" borderId="0" applyAlignment="1" pivotButton="0" quotePrefix="0" xfId="0">
      <alignment vertical="top" wrapText="1"/>
    </xf>
    <xf numFmtId="0" fontId="77" fillId="25" borderId="0" applyAlignment="1" pivotButton="0" quotePrefix="0" xfId="0">
      <alignment vertical="top" wrapText="1"/>
    </xf>
    <xf numFmtId="0" fontId="78" fillId="0" borderId="0" applyAlignment="1" pivotButton="0" quotePrefix="0" xfId="0">
      <alignment vertical="top" wrapText="1"/>
    </xf>
    <xf numFmtId="0" fontId="70" fillId="28" borderId="0" applyAlignment="1" pivotButton="0" quotePrefix="0" xfId="0">
      <alignment horizontal="left" vertical="center"/>
    </xf>
    <xf numFmtId="0" fontId="71" fillId="28" borderId="0" applyAlignment="1" pivotButton="0" quotePrefix="0" xfId="0">
      <alignment vertical="center" wrapText="1"/>
    </xf>
    <xf numFmtId="0" fontId="79" fillId="29" borderId="0" applyAlignment="1" pivotButton="0" quotePrefix="0" xfId="0">
      <alignment vertical="top" wrapText="1"/>
    </xf>
    <xf numFmtId="0" fontId="80" fillId="30" borderId="0" applyAlignment="1" pivotButton="0" quotePrefix="0" xfId="0">
      <alignment vertical="top" wrapText="1"/>
    </xf>
    <xf numFmtId="0" fontId="70" fillId="31" borderId="0" applyAlignment="1" pivotButton="0" quotePrefix="0" xfId="0">
      <alignment horizontal="left" vertical="center"/>
    </xf>
    <xf numFmtId="0" fontId="71" fillId="31" borderId="0" applyAlignment="1" pivotButton="0" quotePrefix="0" xfId="0">
      <alignment vertical="center" wrapText="1"/>
    </xf>
    <xf numFmtId="0" fontId="81" fillId="30" borderId="0" applyAlignment="1" pivotButton="0" quotePrefix="0" xfId="0">
      <alignment vertical="top" wrapText="1"/>
    </xf>
    <xf numFmtId="0" fontId="70" fillId="32" borderId="0" applyAlignment="1" pivotButton="0" quotePrefix="0" xfId="0">
      <alignment horizontal="left" vertical="center"/>
    </xf>
    <xf numFmtId="0" fontId="71" fillId="32" borderId="0" applyAlignment="1" pivotButton="0" quotePrefix="0" xfId="0">
      <alignment vertical="center" wrapText="1"/>
    </xf>
    <xf numFmtId="0" fontId="82" fillId="33" borderId="0" applyAlignment="1" pivotButton="0" quotePrefix="0" xfId="0">
      <alignment vertical="top" wrapText="1"/>
    </xf>
    <xf numFmtId="0" fontId="83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name val="Segoe UI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ont>
        <name val="Segoe UI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Bütçe ve Maliyet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'SANTIYE_MALIYET'!P4</f>
            </strRef>
          </tx>
          <spPr>
            <a:ln xmlns:a="http://schemas.openxmlformats.org/drawingml/2006/main">
              <a:prstDash val="solid"/>
            </a:ln>
          </spPr>
          <cat>
            <numRef>
              <f>'SANTIYE_MALIYET'!$O$5:$O$8</f>
            </numRef>
          </cat>
          <val>
            <numRef>
              <f>'SANTIYE_MALIYET'!$P$5:$P$8</f>
            </numRef>
          </val>
        </ser>
        <ser>
          <idx val="1"/>
          <order val="1"/>
          <tx>
            <strRef>
              <f>'SANTIYE_MALIYET'!Q4</f>
            </strRef>
          </tx>
          <spPr>
            <a:ln xmlns:a="http://schemas.openxmlformats.org/drawingml/2006/main">
              <a:prstDash val="solid"/>
            </a:ln>
          </spPr>
          <cat>
            <numRef>
              <f>'SANTIYE_MALIYET'!$O$5:$O$8</f>
            </numRef>
          </cat>
          <val>
            <numRef>
              <f>'SANTIYE_MALIYET'!$Q$5:$Q$8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B4" authorId="0" shapeId="0">
      <text>
        <t>Tanım: Otomatik kimlik önerisi | Neden önemli: ID disiplini | Doğru kullanım: Yeni kartta kullanın | Örnek: KAR-00009 | Risk: Elle çakışma</t>
      </text>
    </comment>
    <comment ref="A6" authorId="0" shapeId="0">
      <text>
        <t>Tanım: Kart Kimliği | Neden önemli: Hakediş kuyruğu ve şantiye maliyet kararını etkiler | Doğru kullanım: KAR-##### formatında | Örnek: hücredeki örnek değere bakın | Risk: Yanlış giriş hatalı karar üretir</t>
      </text>
    </comment>
    <comment ref="B6" authorId="0" shapeId="0">
      <text>
        <t>Tanım: Unvan | Neden önemli: Hakediş kuyruğu ve şantiye maliyet kararını etkiler | Doğru kullanım: Taşeron/firma unvanı | Örnek: hücredeki örnek değere bakın | Risk: Yanlış giriş hatalı karar üretir</t>
      </text>
    </comment>
    <comment ref="C6" authorId="0" shapeId="0">
      <text>
        <t>Tanım: Branş | Neden önemli: Hakediş kuyruğu ve şantiye maliyet kararını etkiler | Doğru kullanım: İş kalemi branşı | Örnek: hücredeki örnek değere bakın | Risk: Yanlış giriş hatalı karar üretir</t>
      </text>
    </comment>
    <comment ref="D6" authorId="0" shapeId="0">
      <text>
        <t>Tanım: Şehir | Neden önemli: Hakediş kuyruğu ve şantiye maliyet kararını etkiler | Doğru kullanım: Şehir | Örnek: hücredeki örnek değere bakın | Risk: Yanlış giriş hatalı karar üretir</t>
      </text>
    </comment>
    <comment ref="E6" authorId="0" shapeId="0">
      <text>
        <t>Tanım: Sözleşme No | Neden önemli: Hakediş kuyruğu ve şantiye maliyet kararını etkiler | Doğru kullanım: Sözleşme numarası | Örnek: hücredeki örnek değere bakın | Risk: Yanlış giriş hatalı karar üretir</t>
      </text>
    </comment>
    <comment ref="F6" authorId="0" shapeId="0">
      <text>
        <t>Tanım: Limit | Neden önemli: Hakediş kuyruğu ve şantiye maliyet kararını etkiler | Doğru kullanım: Sözleşme limiti TL | Örnek: hücredeki örnek değere bakın | Risk: Yanlış giriş hatalı karar üretir</t>
      </text>
    </comment>
    <comment ref="G6" authorId="0" shapeId="0">
      <text>
        <t>Tanım: Risk Notu | Neden önemli: Hakediş kuyruğu ve şantiye maliyet kararını etkiler | Doğru kullanım: Kısa risk notu | Örnek: hücredeki örnek değere bakın | Risk: Yanlış giriş hatalı karar üretir</t>
      </text>
    </comment>
    <comment ref="H6" authorId="0" shapeId="0">
      <text>
        <t>Tanım: Aktif | Neden önemli: Hakediş kuyruğu ve şantiye maliyet kararını etkiler | Doğru kullanım: EVET veya HAYIR | Örnek: hücredeki örnek değere bakın | Risk: Yanlış giriş hatalı karar üretir</t>
      </text>
    </comment>
    <comment ref="I6" authorId="0" shapeId="0">
      <text>
        <t>Tanım: Şantiye Kimliği | Neden önemli: Hakediş kuyruğu ve şantiye maliyet kararını etkiler | Doğru kullanım: SANTIYE_MALIYET kartındaki kimlik | Örnek: hücredeki örnek değere bakın | Risk: Yanlış giriş hatalı karar üretir</t>
      </text>
    </comment>
    <comment ref="A7" authorId="0" shapeId="0">
      <text>
        <t>Tanım: Kart Kimliği | Neden önemli: Hakediş kuyruğu ve şantiye maliyet kararını etkiler | Doğru kullanım: KAR-##### formatında | Örnek: hücredeki örnek değere bakın | Risk: Yanlış giriş hatalı karar üretir</t>
      </text>
    </comment>
    <comment ref="B7" authorId="0" shapeId="0">
      <text>
        <t>Tanım: Unvan | Neden önemli: Hakediş kuyruğu ve şantiye maliyet kararını etkiler | Doğru kullanım: Taşeron/firma unvanı | Örnek: hücredeki örnek değere bakın | Risk: Yanlış giriş hatalı karar üretir</t>
      </text>
    </comment>
    <comment ref="C7" authorId="0" shapeId="0">
      <text>
        <t>Tanım: Branş | Neden önemli: Hakediş kuyruğu ve şantiye maliyet kararını etkiler | Doğru kullanım: İş kalemi branşı | Örnek: hücredeki örnek değere bakın | Risk: Yanlış giriş hatalı karar üretir</t>
      </text>
    </comment>
    <comment ref="D7" authorId="0" shapeId="0">
      <text>
        <t>Tanım: Şehir | Neden önemli: Hakediş kuyruğu ve şantiye maliyet kararını etkiler | Doğru kullanım: Şehir | Örnek: hücredeki örnek değere bakın | Risk: Yanlış giriş hatalı karar üretir</t>
      </text>
    </comment>
    <comment ref="E7" authorId="0" shapeId="0">
      <text>
        <t>Tanım: Sözleşme No | Neden önemli: Hakediş kuyruğu ve şantiye maliyet kararını etkiler | Doğru kullanım: Sözleşme numarası | Örnek: hücredeki örnek değere bakın | Risk: Yanlış giriş hatalı karar üretir</t>
      </text>
    </comment>
    <comment ref="F7" authorId="0" shapeId="0">
      <text>
        <t>Tanım: Limit | Neden önemli: Hakediş kuyruğu ve şantiye maliyet kararını etkiler | Doğru kullanım: Sözleşme limiti TL | Örnek: hücredeki örnek değere bakın | Risk: Yanlış giriş hatalı karar üretir</t>
      </text>
    </comment>
    <comment ref="G7" authorId="0" shapeId="0">
      <text>
        <t>Tanım: Risk Notu | Neden önemli: Hakediş kuyruğu ve şantiye maliyet kararını etkiler | Doğru kullanım: Kısa risk notu | Örnek: hücredeki örnek değere bakın | Risk: Yanlış giriş hatalı karar üretir</t>
      </text>
    </comment>
    <comment ref="H7" authorId="0" shapeId="0">
      <text>
        <t>Tanım: Aktif | Neden önemli: Hakediş kuyruğu ve şantiye maliyet kararını etkiler | Doğru kullanım: EVET veya HAYIR | Örnek: hücredeki örnek değere bakın | Risk: Yanlış giriş hatalı karar üretir</t>
      </text>
    </comment>
    <comment ref="I7" authorId="0" shapeId="0">
      <text>
        <t>Tanım: Şantiye Kimliği | Neden önemli: Hakediş kuyruğu ve şantiye maliyet kararını etkiler | Doğru kullanım: SANTIYE_MALIYET kartındaki kimlik | Örnek: hücredeki örnek değere bakın | Risk: Yanlış giriş hatalı karar üretir</t>
      </text>
    </comment>
    <comment ref="A8" authorId="0" shapeId="0">
      <text>
        <t>Tanım: Kart Kimliği | Neden önemli: Hakediş kuyruğu ve şantiye maliyet kararını etkiler | Doğru kullanım: KAR-##### formatında | Örnek: hücredeki örnek değere bakın | Risk: Yanlış giriş hatalı karar üretir</t>
      </text>
    </comment>
    <comment ref="B8" authorId="0" shapeId="0">
      <text>
        <t>Tanım: Unvan | Neden önemli: Hakediş kuyruğu ve şantiye maliyet kararını etkiler | Doğru kullanım: Taşeron/firma unvanı | Örnek: hücredeki örnek değere bakın | Risk: Yanlış giriş hatalı karar üretir</t>
      </text>
    </comment>
    <comment ref="C8" authorId="0" shapeId="0">
      <text>
        <t>Tanım: Branş | Neden önemli: Hakediş kuyruğu ve şantiye maliyet kararını etkiler | Doğru kullanım: İş kalemi branşı | Örnek: hücredeki örnek değere bakın | Risk: Yanlış giriş hatalı karar üretir</t>
      </text>
    </comment>
    <comment ref="D8" authorId="0" shapeId="0">
      <text>
        <t>Tanım: Şehir | Neden önemli: Hakediş kuyruğu ve şantiye maliyet kararını etkiler | Doğru kullanım: Şehir | Örnek: hücredeki örnek değere bakın | Risk: Yanlış giriş hatalı karar üretir</t>
      </text>
    </comment>
    <comment ref="E8" authorId="0" shapeId="0">
      <text>
        <t>Tanım: Sözleşme No | Neden önemli: Hakediş kuyruğu ve şantiye maliyet kararını etkiler | Doğru kullanım: Sözleşme numarası | Örnek: hücredeki örnek değere bakın | Risk: Yanlış giriş hatalı karar üretir</t>
      </text>
    </comment>
    <comment ref="F8" authorId="0" shapeId="0">
      <text>
        <t>Tanım: Limit | Neden önemli: Hakediş kuyruğu ve şantiye maliyet kararını etkiler | Doğru kullanım: Sözleşme limiti TL | Örnek: hücredeki örnek değere bakın | Risk: Yanlış giriş hatalı karar üretir</t>
      </text>
    </comment>
    <comment ref="G8" authorId="0" shapeId="0">
      <text>
        <t>Tanım: Risk Notu | Neden önemli: Hakediş kuyruğu ve şantiye maliyet kararını etkiler | Doğru kullanım: Kısa risk notu | Örnek: hücredeki örnek değere bakın | Risk: Yanlış giriş hatalı karar üretir</t>
      </text>
    </comment>
    <comment ref="H8" authorId="0" shapeId="0">
      <text>
        <t>Tanım: Aktif | Neden önemli: Hakediş kuyruğu ve şantiye maliyet kararını etkiler | Doğru kullanım: EVET veya HAYIR | Örnek: hücredeki örnek değere bakın | Risk: Yanlış giriş hatalı karar üretir</t>
      </text>
    </comment>
    <comment ref="I8" authorId="0" shapeId="0">
      <text>
        <t>Tanım: Şantiye Kimliği | Neden önemli: Hakediş kuyruğu ve şantiye maliyet kararını etkiler | Doğru kullanım: SANTIYE_MALIYET kartındaki kimlik | Örnek: hücredeki örnek değere bakın | Risk: Yanlış giriş hatalı karar üretir</t>
      </text>
    </comment>
    <comment ref="A9" authorId="0" shapeId="0">
      <text>
        <t>Tanım: Kart Kimliği | Neden önemli: Hakediş kuyruğu ve şantiye maliyet kararını etkiler | Doğru kullanım: KAR-##### formatında | Örnek: hücredeki örnek değere bakın | Risk: Yanlış giriş hatalı karar üretir</t>
      </text>
    </comment>
    <comment ref="B9" authorId="0" shapeId="0">
      <text>
        <t>Tanım: Unvan | Neden önemli: Hakediş kuyruğu ve şantiye maliyet kararını etkiler | Doğru kullanım: Taşeron/firma unvanı | Örnek: hücredeki örnek değere bakın | Risk: Yanlış giriş hatalı karar üretir</t>
      </text>
    </comment>
    <comment ref="C9" authorId="0" shapeId="0">
      <text>
        <t>Tanım: Branş | Neden önemli: Hakediş kuyruğu ve şantiye maliyet kararını etkiler | Doğru kullanım: İş kalemi branşı | Örnek: hücredeki örnek değere bakın | Risk: Yanlış giriş hatalı karar üretir</t>
      </text>
    </comment>
    <comment ref="D9" authorId="0" shapeId="0">
      <text>
        <t>Tanım: Şehir | Neden önemli: Hakediş kuyruğu ve şantiye maliyet kararını etkiler | Doğru kullanım: Şehir | Örnek: hücredeki örnek değere bakın | Risk: Yanlış giriş hatalı karar üretir</t>
      </text>
    </comment>
    <comment ref="E9" authorId="0" shapeId="0">
      <text>
        <t>Tanım: Sözleşme No | Neden önemli: Hakediş kuyruğu ve şantiye maliyet kararını etkiler | Doğru kullanım: Sözleşme numarası | Örnek: hücredeki örnek değere bakın | Risk: Yanlış giriş hatalı karar üretir</t>
      </text>
    </comment>
    <comment ref="F9" authorId="0" shapeId="0">
      <text>
        <t>Tanım: Limit | Neden önemli: Hakediş kuyruğu ve şantiye maliyet kararını etkiler | Doğru kullanım: Sözleşme limiti TL | Örnek: hücredeki örnek değere bakın | Risk: Yanlış giriş hatalı karar üretir</t>
      </text>
    </comment>
    <comment ref="G9" authorId="0" shapeId="0">
      <text>
        <t>Tanım: Risk Notu | Neden önemli: Hakediş kuyruğu ve şantiye maliyet kararını etkiler | Doğru kullanım: Kısa risk notu | Örnek: hücredeki örnek değere bakın | Risk: Yanlış giriş hatalı karar üretir</t>
      </text>
    </comment>
    <comment ref="H9" authorId="0" shapeId="0">
      <text>
        <t>Tanım: Aktif | Neden önemli: Hakediş kuyruğu ve şantiye maliyet kararını etkiler | Doğru kullanım: EVET veya HAYIR | Örnek: hücredeki örnek değere bakın | Risk: Yanlış giriş hatalı karar üretir</t>
      </text>
    </comment>
    <comment ref="I9" authorId="0" shapeId="0">
      <text>
        <t>Tanım: Şantiye Kimliği | Neden önemli: Hakediş kuyruğu ve şantiye maliyet kararını etkiler | Doğru kullanım: SANTIYE_MALIYET kartındaki kimlik | Örnek: hücredeki örnek değere bakın | Risk: Yanlış giriş hatalı karar üretir</t>
      </text>
    </comment>
    <comment ref="A10" authorId="0" shapeId="0">
      <text>
        <t>Tanım: Kart Kimliği | Neden önemli: Hakediş kuyruğu ve şantiye maliyet kararını etkiler | Doğru kullanım: KAR-##### formatında | Örnek: hücredeki örnek değere bakın | Risk: Yanlış giriş hatalı karar üretir</t>
      </text>
    </comment>
    <comment ref="B10" authorId="0" shapeId="0">
      <text>
        <t>Tanım: Unvan | Neden önemli: Hakediş kuyruğu ve şantiye maliyet kararını etkiler | Doğru kullanım: Taşeron/firma unvanı | Örnek: hücredeki örnek değere bakın | Risk: Yanlış giriş hatalı karar üretir</t>
      </text>
    </comment>
    <comment ref="C10" authorId="0" shapeId="0">
      <text>
        <t>Tanım: Branş | Neden önemli: Hakediş kuyruğu ve şantiye maliyet kararını etkiler | Doğru kullanım: İş kalemi branşı | Örnek: hücredeki örnek değere bakın | Risk: Yanlış giriş hatalı karar üretir</t>
      </text>
    </comment>
    <comment ref="D10" authorId="0" shapeId="0">
      <text>
        <t>Tanım: Şehir | Neden önemli: Hakediş kuyruğu ve şantiye maliyet kararını etkiler | Doğru kullanım: Şehir | Örnek: hücredeki örnek değere bakın | Risk: Yanlış giriş hatalı karar üretir</t>
      </text>
    </comment>
    <comment ref="E10" authorId="0" shapeId="0">
      <text>
        <t>Tanım: Sözleşme No | Neden önemli: Hakediş kuyruğu ve şantiye maliyet kararını etkiler | Doğru kullanım: Sözleşme numarası | Örnek: hücredeki örnek değere bakın | Risk: Yanlış giriş hatalı karar üretir</t>
      </text>
    </comment>
    <comment ref="F10" authorId="0" shapeId="0">
      <text>
        <t>Tanım: Limit | Neden önemli: Hakediş kuyruğu ve şantiye maliyet kararını etkiler | Doğru kullanım: Sözleşme limiti TL | Örnek: hücredeki örnek değere bakın | Risk: Yanlış giriş hatalı karar üretir</t>
      </text>
    </comment>
    <comment ref="G10" authorId="0" shapeId="0">
      <text>
        <t>Tanım: Risk Notu | Neden önemli: Hakediş kuyruğu ve şantiye maliyet kararını etkiler | Doğru kullanım: Kısa risk notu | Örnek: hücredeki örnek değere bakın | Risk: Yanlış giriş hatalı karar üretir</t>
      </text>
    </comment>
    <comment ref="H10" authorId="0" shapeId="0">
      <text>
        <t>Tanım: Aktif | Neden önemli: Hakediş kuyruğu ve şantiye maliyet kararını etkiler | Doğru kullanım: EVET veya HAYIR | Örnek: hücredeki örnek değere bakın | Risk: Yanlış giriş hatalı karar üretir</t>
      </text>
    </comment>
    <comment ref="I10" authorId="0" shapeId="0">
      <text>
        <t>Tanım: Şantiye Kimliği | Neden önemli: Hakediş kuyruğu ve şantiye maliyet kararını etkiler | Doğru kullanım: SANTIYE_MALIYET kartındaki kimlik | Örnek: hücredeki örnek değere bakın | Risk: Yanlış giriş hatalı karar üretir</t>
      </text>
    </comment>
    <comment ref="A11" authorId="0" shapeId="0">
      <text>
        <t>Tanım: Kart Kimliği | Neden önemli: Hakediş kuyruğu ve şantiye maliyet kararını etkiler | Doğru kullanım: KAR-##### formatında | Örnek: hücredeki örnek değere bakın | Risk: Yanlış giriş hatalı karar üretir</t>
      </text>
    </comment>
    <comment ref="B11" authorId="0" shapeId="0">
      <text>
        <t>Tanım: Unvan | Neden önemli: Hakediş kuyruğu ve şantiye maliyet kararını etkiler | Doğru kullanım: Taşeron/firma unvanı | Örnek: hücredeki örnek değere bakın | Risk: Yanlış giriş hatalı karar üretir</t>
      </text>
    </comment>
    <comment ref="C11" authorId="0" shapeId="0">
      <text>
        <t>Tanım: Branş | Neden önemli: Hakediş kuyruğu ve şantiye maliyet kararını etkiler | Doğru kullanım: İş kalemi branşı | Örnek: hücredeki örnek değere bakın | Risk: Yanlış giriş hatalı karar üretir</t>
      </text>
    </comment>
    <comment ref="D11" authorId="0" shapeId="0">
      <text>
        <t>Tanım: Şehir | Neden önemli: Hakediş kuyruğu ve şantiye maliyet kararını etkiler | Doğru kullanım: Şehir | Örnek: hücredeki örnek değere bakın | Risk: Yanlış giriş hatalı karar üretir</t>
      </text>
    </comment>
    <comment ref="E11" authorId="0" shapeId="0">
      <text>
        <t>Tanım: Sözleşme No | Neden önemli: Hakediş kuyruğu ve şantiye maliyet kararını etkiler | Doğru kullanım: Sözleşme numarası | Örnek: hücredeki örnek değere bakın | Risk: Yanlış giriş hatalı karar üretir</t>
      </text>
    </comment>
    <comment ref="F11" authorId="0" shapeId="0">
      <text>
        <t>Tanım: Limit | Neden önemli: Hakediş kuyruğu ve şantiye maliyet kararını etkiler | Doğru kullanım: Sözleşme limiti TL | Örnek: hücredeki örnek değere bakın | Risk: Yanlış giriş hatalı karar üretir</t>
      </text>
    </comment>
    <comment ref="G11" authorId="0" shapeId="0">
      <text>
        <t>Tanım: Risk Notu | Neden önemli: Hakediş kuyruğu ve şantiye maliyet kararını etkiler | Doğru kullanım: Kısa risk notu | Örnek: hücredeki örnek değere bakın | Risk: Yanlış giriş hatalı karar üretir</t>
      </text>
    </comment>
    <comment ref="H11" authorId="0" shapeId="0">
      <text>
        <t>Tanım: Aktif | Neden önemli: Hakediş kuyruğu ve şantiye maliyet kararını etkiler | Doğru kullanım: EVET veya HAYIR | Örnek: hücredeki örnek değere bakın | Risk: Yanlış giriş hatalı karar üretir</t>
      </text>
    </comment>
    <comment ref="I11" authorId="0" shapeId="0">
      <text>
        <t>Tanım: Şantiye Kimliği | Neden önemli: Hakediş kuyruğu ve şantiye maliyet kararını etkiler | Doğru kullanım: SANTIYE_MALIYET kartındaki kimlik | Örnek: hücredeki örnek değere bakın | Risk: Yanlış giriş hatalı karar üretir</t>
      </text>
    </comment>
    <comment ref="A12" authorId="0" shapeId="0">
      <text>
        <t>Tanım: Kart Kimliği | Neden önemli: Hakediş kuyruğu ve şantiye maliyet kararını etkiler | Doğru kullanım: KAR-##### formatında | Örnek: hücredeki örnek değere bakın | Risk: Yanlış giriş hatalı karar üretir</t>
      </text>
    </comment>
    <comment ref="B12" authorId="0" shapeId="0">
      <text>
        <t>Tanım: Unvan | Neden önemli: Hakediş kuyruğu ve şantiye maliyet kararını etkiler | Doğru kullanım: Taşeron/firma unvanı | Örnek: hücredeki örnek değere bakın | Risk: Yanlış giriş hatalı karar üretir</t>
      </text>
    </comment>
    <comment ref="C12" authorId="0" shapeId="0">
      <text>
        <t>Tanım: Branş | Neden önemli: Hakediş kuyruğu ve şantiye maliyet kararını etkiler | Doğru kullanım: İş kalemi branşı | Örnek: hücredeki örnek değere bakın | Risk: Yanlış giriş hatalı karar üretir</t>
      </text>
    </comment>
    <comment ref="D12" authorId="0" shapeId="0">
      <text>
        <t>Tanım: Şehir | Neden önemli: Hakediş kuyruğu ve şantiye maliyet kararını etkiler | Doğru kullanım: Şehir | Örnek: hücredeki örnek değere bakın | Risk: Yanlış giriş hatalı karar üretir</t>
      </text>
    </comment>
    <comment ref="E12" authorId="0" shapeId="0">
      <text>
        <t>Tanım: Sözleşme No | Neden önemli: Hakediş kuyruğu ve şantiye maliyet kararını etkiler | Doğru kullanım: Sözleşme numarası | Örnek: hücredeki örnek değere bakın | Risk: Yanlış giriş hatalı karar üretir</t>
      </text>
    </comment>
    <comment ref="F12" authorId="0" shapeId="0">
      <text>
        <t>Tanım: Limit | Neden önemli: Hakediş kuyruğu ve şantiye maliyet kararını etkiler | Doğru kullanım: Sözleşme limiti TL | Örnek: hücredeki örnek değere bakın | Risk: Yanlış giriş hatalı karar üretir</t>
      </text>
    </comment>
    <comment ref="G12" authorId="0" shapeId="0">
      <text>
        <t>Tanım: Risk Notu | Neden önemli: Hakediş kuyruğu ve şantiye maliyet kararını etkiler | Doğru kullanım: Kısa risk notu | Örnek: hücredeki örnek değere bakın | Risk: Yanlış giriş hatalı karar üretir</t>
      </text>
    </comment>
    <comment ref="H12" authorId="0" shapeId="0">
      <text>
        <t>Tanım: Aktif | Neden önemli: Hakediş kuyruğu ve şantiye maliyet kararını etkiler | Doğru kullanım: EVET veya HAYIR | Örnek: hücredeki örnek değere bakın | Risk: Yanlış giriş hatalı karar üretir</t>
      </text>
    </comment>
    <comment ref="I12" authorId="0" shapeId="0">
      <text>
        <t>Tanım: Şantiye Kimliği | Neden önemli: Hakediş kuyruğu ve şantiye maliyet kararını etkiler | Doğru kullanım: SANTIYE_MALIYET kartındaki kimlik | Örnek: hücredeki örnek değere bakın | Risk: Yanlış giriş hatalı karar üretir</t>
      </text>
    </comment>
    <comment ref="A13" authorId="0" shapeId="0">
      <text>
        <t>Tanım: Kart Kimliği | Neden önemli: Hakediş kuyruğu ve şantiye maliyet kararını etkiler | Doğru kullanım: KAR-##### formatında | Örnek: hücredeki örnek değere bakın | Risk: Yanlış giriş hatalı karar üretir</t>
      </text>
    </comment>
    <comment ref="B13" authorId="0" shapeId="0">
      <text>
        <t>Tanım: Unvan | Neden önemli: Hakediş kuyruğu ve şantiye maliyet kararını etkiler | Doğru kullanım: Taşeron/firma unvanı | Örnek: hücredeki örnek değere bakın | Risk: Yanlış giriş hatalı karar üretir</t>
      </text>
    </comment>
    <comment ref="C13" authorId="0" shapeId="0">
      <text>
        <t>Tanım: Branş | Neden önemli: Hakediş kuyruğu ve şantiye maliyet kararını etkiler | Doğru kullanım: İş kalemi branşı | Örnek: hücredeki örnek değere bakın | Risk: Yanlış giriş hatalı karar üretir</t>
      </text>
    </comment>
    <comment ref="D13" authorId="0" shapeId="0">
      <text>
        <t>Tanım: Şehir | Neden önemli: Hakediş kuyruğu ve şantiye maliyet kararını etkiler | Doğru kullanım: Şehir | Örnek: hücredeki örnek değere bakın | Risk: Yanlış giriş hatalı karar üretir</t>
      </text>
    </comment>
    <comment ref="E13" authorId="0" shapeId="0">
      <text>
        <t>Tanım: Sözleşme No | Neden önemli: Hakediş kuyruğu ve şantiye maliyet kararını etkiler | Doğru kullanım: Sözleşme numarası | Örnek: hücredeki örnek değere bakın | Risk: Yanlış giriş hatalı karar üretir</t>
      </text>
    </comment>
    <comment ref="F13" authorId="0" shapeId="0">
      <text>
        <t>Tanım: Limit | Neden önemli: Hakediş kuyruğu ve şantiye maliyet kararını etkiler | Doğru kullanım: Sözleşme limiti TL | Örnek: hücredeki örnek değere bakın | Risk: Yanlış giriş hatalı karar üretir</t>
      </text>
    </comment>
    <comment ref="G13" authorId="0" shapeId="0">
      <text>
        <t>Tanım: Risk Notu | Neden önemli: Hakediş kuyruğu ve şantiye maliyet kararını etkiler | Doğru kullanım: Kısa risk notu | Örnek: hücredeki örnek değere bakın | Risk: Yanlış giriş hatalı karar üretir</t>
      </text>
    </comment>
    <comment ref="H13" authorId="0" shapeId="0">
      <text>
        <t>Tanım: Aktif | Neden önemli: Hakediş kuyruğu ve şantiye maliyet kararını etkiler | Doğru kullanım: EVET veya HAYIR | Örnek: hücredeki örnek değere bakın | Risk: Yanlış giriş hatalı karar üretir</t>
      </text>
    </comment>
    <comment ref="I13" authorId="0" shapeId="0">
      <text>
        <t>Tanım: Şantiye Kimliği | Neden önemli: Hakediş kuyruğu ve şantiye maliyet kararını etkiler | Doğru kullanım: SANTIYE_MALIYET kartındaki kimlik | Örnek: hücredeki örnek değere bakın | Risk: Yanlış giriş hatalı karar üretir</t>
      </text>
    </comment>
    <comment ref="A14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4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4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4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4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4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4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5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5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5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5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5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5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5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6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6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6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6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6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6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6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7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7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7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7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7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7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7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8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8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8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8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8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8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8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9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9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9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9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9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9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9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0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0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0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0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0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0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0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1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1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1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1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1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1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1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2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2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2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2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2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2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2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3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3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3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3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3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3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3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4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4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4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4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4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4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4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5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5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5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5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5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5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5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6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6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6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6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6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6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6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7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7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7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7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7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7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7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8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8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8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8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8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8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8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9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9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9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9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9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9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9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30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30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30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3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30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30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30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30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3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31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31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31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3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31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31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31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31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3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32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32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32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3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32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32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32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32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3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33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33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33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3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33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33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33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33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3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34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34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34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3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34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34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34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34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3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35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35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35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3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35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35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35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35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3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36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36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36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3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36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36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36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36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3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37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37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37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3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37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37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37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37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3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38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38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38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3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38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38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38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38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3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39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39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39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3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39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39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39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39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3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40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40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40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4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40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40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40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40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4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41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41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41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4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41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41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41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41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4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42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42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42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4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42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42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42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42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4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43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43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43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4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43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43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43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43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4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44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44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44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4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44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44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44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44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4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45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45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45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4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45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45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45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45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4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46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46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46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4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46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46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46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46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4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47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47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47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4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47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47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47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47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4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48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48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48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4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48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48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48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48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4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49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49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49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4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49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49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49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49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4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50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50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50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5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50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50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50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50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5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51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51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51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5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51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51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51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51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5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52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52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52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5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52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52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52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52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5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53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53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53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5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53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53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53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53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5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54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54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54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5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54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54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54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54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5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55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55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55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5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55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55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55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55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5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56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56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56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5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56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56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56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56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5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57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57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57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5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57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57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57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57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5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58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58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58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5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58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58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58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58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5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59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59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59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5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59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59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59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59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5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60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60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60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6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60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60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60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60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6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61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61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61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6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61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61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61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61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6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62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62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62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6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62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62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62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62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6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63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63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63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6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63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63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63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63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6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64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64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64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6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64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64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64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64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6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65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65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65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6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65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65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65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65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6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66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66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66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6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66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66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66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66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6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67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67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67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6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67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67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67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67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6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68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68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68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6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68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68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68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68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6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69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69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69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6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69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69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69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69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6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70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70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70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7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70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70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70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70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7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71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71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71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7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71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71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71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71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7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72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72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72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7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72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72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72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72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7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73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73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73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7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73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73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73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73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7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74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74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74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7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74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74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74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74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7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75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75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75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7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75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75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75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75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7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76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76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76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7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76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76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76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76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7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77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77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77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7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77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77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77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77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7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78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78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78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7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78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78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78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78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7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79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79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79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7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79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79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79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79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7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80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80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80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8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80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80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80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80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8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81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81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81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8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81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81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81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81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8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82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82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82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8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82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82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82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82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8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83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83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83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8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83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83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83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83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8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84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84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84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8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84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84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84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84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8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85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85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85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8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85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85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85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85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8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86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86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86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8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86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86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86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86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8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87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87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87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8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87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87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87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87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8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88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88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88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8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88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88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88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88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8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89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89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89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8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89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89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89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89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8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90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90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90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9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90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90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90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90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9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91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91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91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9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91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91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91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91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9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92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92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92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9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92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92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92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92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9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93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93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93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9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93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93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93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93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9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94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94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94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9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94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94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94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94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9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95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95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95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9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95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95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95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95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9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96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96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96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9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96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96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96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96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9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97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97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97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9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97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97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97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97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9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98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98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98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9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98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98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98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98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9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99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99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99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9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99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99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99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99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9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00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00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00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0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00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00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00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00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0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01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01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01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0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01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01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01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01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0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02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02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02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0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02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02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02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02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0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03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03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03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0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03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03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03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03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0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04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04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04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0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04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04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04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04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0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05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05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05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0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05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05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05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05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0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06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06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06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0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06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06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06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06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0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07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07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07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0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07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07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07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07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0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08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08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08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0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08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08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08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08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0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09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09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09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0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09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09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09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09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0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10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10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10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1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10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10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10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10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1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11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11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11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1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11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11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11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11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1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12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12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12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1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12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12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12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12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1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13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13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13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1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13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13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13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13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1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14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14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14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1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14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14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14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14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1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15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15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15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1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15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15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15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15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1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16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16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16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1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16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16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16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16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1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17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17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17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1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17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17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17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17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1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18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18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18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1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18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18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18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18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1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19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19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19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1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19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19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19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19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1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20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20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20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2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20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20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20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20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2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21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21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21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2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21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21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21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21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2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22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22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22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2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22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22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22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22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2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23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23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23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2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23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23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23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23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2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24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24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24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2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24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24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24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24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2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25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25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25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2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25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25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25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25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2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26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26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26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2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26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26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26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26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2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27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27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27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2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27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27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27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27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2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28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28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28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2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28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28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28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28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2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29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29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29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2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29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29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29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29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2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30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30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30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3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30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30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30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30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3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31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31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31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3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31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31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31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31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3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32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32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32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3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32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32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32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32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3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33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33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33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3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33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33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33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33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3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34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34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34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3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34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34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34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34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3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35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35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35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3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35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35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35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35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3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36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36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36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3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36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36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36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36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3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37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37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37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3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37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37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37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37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3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38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38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38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3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38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38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38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38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3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39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39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39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3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39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39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39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39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3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40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40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40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4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40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40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40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40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4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41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41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41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4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41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41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41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41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4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42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42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42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4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42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42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42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42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4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43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43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43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4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43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43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43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43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4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44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44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44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4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44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44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44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44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4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45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45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45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4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45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45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45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45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4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46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46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46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4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46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46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46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46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4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47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47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47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4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47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47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47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47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4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48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48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48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4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48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48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48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48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4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49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49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49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4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49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49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49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49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4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50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50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50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5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50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50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50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50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5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51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51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51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5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51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51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51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51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5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52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52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52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5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52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52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52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52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5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53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53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53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5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53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53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53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53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5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54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54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54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5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54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54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54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54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5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55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55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55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5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55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55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55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55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5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56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56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56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5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56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56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56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56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5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57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57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57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5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57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57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57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57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5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58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58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58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5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58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58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58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58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5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59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59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59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5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59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59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59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59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5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60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60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60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6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60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60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60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60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6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61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61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61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6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61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61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61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61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6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62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62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62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6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62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62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62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62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6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63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63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63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6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63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63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63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63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6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64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64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64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6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64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64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64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64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6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65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65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65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6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65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65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65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65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6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66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66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66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6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66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66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66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66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6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67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67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67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6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67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67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67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67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6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68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68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68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6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68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68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68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68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6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69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69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69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6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69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69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69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69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6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70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70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70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7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70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70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70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70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7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71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71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71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7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71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71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71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71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7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72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72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72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7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72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72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72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72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7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73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73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73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7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73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73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73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73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7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74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74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74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7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74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74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74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74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7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75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75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75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7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75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75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75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75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7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76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76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76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7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76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76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76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76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7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77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77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77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7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77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77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77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77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7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78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78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78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7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78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78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78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78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7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79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79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79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7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79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79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79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79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7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80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80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80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8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80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80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80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80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8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81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81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81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8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81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81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81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81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8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82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82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82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8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82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82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82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82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8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83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83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83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8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83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83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83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83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8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84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84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84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8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84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84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84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84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8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85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85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85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8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85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85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85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85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8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86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86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86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8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86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86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86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86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8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87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87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87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8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87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87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87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87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8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88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88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88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8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88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88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88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88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8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89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89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89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8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89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89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89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89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8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90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90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90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9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90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90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90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90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9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91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91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91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9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91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91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91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91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9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92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92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92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9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92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92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92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92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9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93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93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93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9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93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93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93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93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9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94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94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94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9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94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94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94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94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9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95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95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95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9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95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95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95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95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9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96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96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96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9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96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96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96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96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9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97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97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97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9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97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97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97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97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9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98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98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98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9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98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98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98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98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9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199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199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199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19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199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199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199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199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19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00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00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00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0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00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00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00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00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0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01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01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01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0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01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01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01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01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0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02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02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02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0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02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02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02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02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0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03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03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03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0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03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03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03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03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0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04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04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04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0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04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04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04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04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0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05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05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05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0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05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05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05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05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0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06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06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06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0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06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06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06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06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0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07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07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07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0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07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07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07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07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0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08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08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08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0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08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08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08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08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0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09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09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09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0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09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09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09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09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0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10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10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10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1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10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10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10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10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1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11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11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11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1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11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11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11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11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1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12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12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12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1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12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12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12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12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1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13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13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13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1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13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13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13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13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1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14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14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14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1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14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14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14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14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1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15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15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15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1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15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15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15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15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1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16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16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16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1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16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16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16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16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1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17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17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17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1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17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17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17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17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1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18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18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18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1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18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18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18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18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1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19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19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19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1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19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19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19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19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1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20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20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20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2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20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20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20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20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2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21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21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21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2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21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21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21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21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2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22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22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22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2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22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22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22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22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2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23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23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23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2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23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23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23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23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2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24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24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24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2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24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24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24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24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2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25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25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25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2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25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25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25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25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2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26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26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26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2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26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26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26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26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2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27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27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27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2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27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27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27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27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2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28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28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28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2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28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28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28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28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2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29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29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29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2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29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29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29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29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2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30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30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30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3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30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30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30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30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3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31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31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31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3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31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31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31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31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3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32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32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32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3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32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32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32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32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3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33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33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33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3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33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33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33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33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3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34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34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34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3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34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34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34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34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3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35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35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35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3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35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35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35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35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3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36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36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36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3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36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36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36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36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3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37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37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37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3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37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37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37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37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3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38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38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38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3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38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38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38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38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3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39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39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39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3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39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39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39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39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3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40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40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40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4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40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40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40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40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4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41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41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41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4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41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41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41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41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4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42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42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42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4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42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42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42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42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4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43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43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43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4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43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43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43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43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4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44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44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44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4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44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44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44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44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4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45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45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45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4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45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45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45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45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4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46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46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46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4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46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46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46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46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4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47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47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47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4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47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47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47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47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4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48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48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48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4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48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48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48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48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4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49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49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49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4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49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49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49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49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4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50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50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50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5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50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50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50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50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5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51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51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51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5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51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51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51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51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5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52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52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52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5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52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52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52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52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5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53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53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53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5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53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53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53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53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5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54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54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54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5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54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54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54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54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5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A255" authorId="0" shapeId="0">
      <text>
        <t>Tanım: KartId | Neden önemli: Hakediş kuyruğu ve şantiye maliyet kararını etkiler | Doğru kullanım: Manuel giriş | Örnek: hücredeki örnek değere bakın | Risk: Yanlış giriş hatalı karar üretir</t>
      </text>
    </comment>
    <comment ref="B255" authorId="0" shapeId="0">
      <text>
        <t>Tanım: Unvan | Neden önemli: Hakediş kuyruğu ve şantiye maliyet kararını etkiler | Doğru kullanım: Manuel giriş | Örnek: hücredeki örnek değere bakın | Risk: Yanlış giriş hatalı karar üretir</t>
      </text>
    </comment>
    <comment ref="C255" authorId="0" shapeId="0">
      <text>
        <t>Tanım: Brans | Neden önemli: Hakediş kuyruğu ve şantiye maliyet kararını etkiler | Doğru kullanım: Manuel giriş | Örnek: hücredeki örnek değere bakın | Risk: Yanlış giriş hatalı karar üretir</t>
      </text>
    </comment>
    <comment ref="D25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E255" authorId="0" shapeId="0">
      <text>
        <t>Tanım: SozlesmeNo | Neden önemli: Hakediş kuyruğu ve şantiye maliyet kararını etkiler | Doğru kullanım: Manuel giriş | Örnek: hücredeki örnek değere bakın | Risk: Yanlış giriş hatalı karar üretir</t>
      </text>
    </comment>
    <comment ref="F255" authorId="0" shapeId="0">
      <text>
        <t>Tanım: LimitTl | Neden önemli: Hakediş kuyruğu ve şantiye maliyet kararını etkiler | Doğru kullanım: Manuel giriş | Örnek: hücredeki örnek değere bakın | Risk: Yanlış giriş hatalı karar üretir</t>
      </text>
    </comment>
    <comment ref="G255" authorId="0" shapeId="0">
      <text>
        <t>Tanım: RiskNotu | Neden önemli: Hakediş kuyruğu ve şantiye maliyet kararını etkiler | Doğru kullanım: Manuel giriş | Örnek: hücredeki örnek değere bakın | Risk: Yanlış giriş hatalı karar üretir</t>
      </text>
    </comment>
    <comment ref="H255" authorId="0" shapeId="0">
      <text>
        <t>Tanım: Aktif | Neden önemli: Hakediş kuyruğu ve şantiye maliyet kararını etkiler | Doğru kullanım: Manuel giriş | Örnek: hücredeki örnek değere bakın | Risk: Yanlış giriş hatalı karar üretir</t>
      </text>
    </comment>
    <comment ref="I25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İşlem Kimliği | Neden önemli: Hakediş kuyruğu ve şantiye maliyet kararını etkiler | Doğru kullanım: HAK-##### | Örnek: hücredeki örnek değere bakın | Risk: Yanlış giriş hatalı karar üretir</t>
      </text>
    </comment>
    <comment ref="B6" authorId="0" shapeId="0">
      <text>
        <t>Tanım: Kaynak Kart | Neden önemli: Hakediş kuyruğu ve şantiye maliyet kararını etkiler | Doğru kullanım: KARTLAR'daki KartId | Örnek: hücredeki örnek değere bakın | Risk: Yanlış giriş hatalı karar üretir</t>
      </text>
    </comment>
    <comment ref="C6" authorId="0" shapeId="0">
      <text>
        <t>Tanım: Şantiye | Neden önemli: Hakediş kuyruğu ve şantiye maliyet kararını etkiler | Doğru kullanım: SANTIYE_MALIYET kimliği | Örnek: hücredeki örnek değere bakın | Risk: Yanlış giriş hatalı karar üretir</t>
      </text>
    </comment>
    <comment ref="D6" authorId="0" shapeId="0">
      <text>
        <t>Tanım: Tarih | Neden önemli: Hakediş kuyruğu ve şantiye maliyet kararını etkiler | Doğru kullanım: Olay tarihi | Örnek: hücredeki örnek değere bakın | Risk: Yanlış giriş hatalı karar üretir</t>
      </text>
    </comment>
    <comment ref="E6" authorId="0" shapeId="0">
      <text>
        <t>Tanım: Önceki Durum | Neden önemli: Hakediş kuyruğu ve şantiye maliyet kararını etkiler | Doğru kullanım: Önceki durum_id | Örnek: hücredeki örnek değere bakın | Risk: Yanlış giriş hatalı karar üretir</t>
      </text>
    </comment>
    <comment ref="F6" authorId="0" shapeId="0">
      <text>
        <t>Tanım: Durum | Neden önemli: Hakediş kuyruğu ve şantiye maliyet kararını etkiler | Doğru kullanım: Durum haritasından seçin | Örnek: hücredeki örnek değere bakın | Risk: Yanlış giriş hatalı karar üretir</t>
      </text>
    </comment>
    <comment ref="G6" authorId="0" shapeId="0">
      <text>
        <t>Tanım: Teklif | Neden önemli: Hakediş kuyruğu ve şantiye maliyet kararını etkiler | Doğru kullanım: Teklif tutarı TL | Örnek: hücredeki örnek değere bakın | Risk: Yanlış giriş hatalı karar üretir</t>
      </text>
    </comment>
    <comment ref="H6" authorId="0" shapeId="0">
      <text>
        <t>Tanım: Sipariş | Neden önemli: Hakediş kuyruğu ve şantiye maliyet kararını etkiler | Doğru kullanım: Sipariş tutarı TL | Örnek: hücredeki örnek değere bakın | Risk: Yanlış giriş hatalı karar üretir</t>
      </text>
    </comment>
    <comment ref="I6" authorId="0" shapeId="0">
      <text>
        <t>Tanım: Hakediş | Neden önemli: Hakediş kuyruğu ve şantiye maliyet kararını etkiler | Doğru kullanım: Hakediş tutarı TL | Örnek: hücredeki örnek değere bakın | Risk: Yanlış giriş hatalı karar üretir</t>
      </text>
    </comment>
    <comment ref="J6" authorId="0" shapeId="0">
      <text>
        <t>Tanım: Fatura | Neden önemli: Hakediş kuyruğu ve şantiye maliyet kararını etkiler | Doğru kullanım: Fatura tutarı TL | Örnek: hücredeki örnek değere bakın | Risk: Yanlış giriş hatalı karar üretir</t>
      </text>
    </comment>
    <comment ref="K6" authorId="0" shapeId="0">
      <text>
        <t>Tanım: Ödeme | Neden önemli: Hakediş kuyruğu ve şantiye maliyet kararını etkiler | Doğru kullanım: Ödeme tutarı TL | Örnek: hücredeki örnek değere bakın | Risk: Yanlış giriş hatalı karar üretir</t>
      </text>
    </comment>
    <comment ref="L6" authorId="0" shapeId="0">
      <text>
        <t>Tanım: Tutar | Neden önemli: Hakediş kuyruğu ve şantiye maliyet kararını etkiler | Doğru kullanım: Kuyruk tutarı TL | Örnek: hücredeki örnek değere bakın | Risk: Yanlış giriş hatalı karar üretir</t>
      </text>
    </comment>
    <comment ref="M6" authorId="0" shapeId="0">
      <text>
        <t>Tanım: Dönem | Neden önemli: Hakediş kuyruğu ve şantiye maliyet kararını etkiler | Doğru kullanım: YYYY-AA | Örnek: hücredeki örnek değere bakın | Risk: Yanlış giriş hatalı karar üretir</t>
      </text>
    </comment>
    <comment ref="N6" authorId="0" shapeId="0">
      <text>
        <t>Tanım: Açıklama | Neden önemli: Hakediş kuyruğu ve şantiye maliyet kararını etkiler | Doğru kullanım: Kısa açıklama | Örnek: hücredeki örnek değere bakın | Risk: Yanlış giriş hatalı karar üretir</t>
      </text>
    </comment>
    <comment ref="A7" authorId="0" shapeId="0">
      <text>
        <t>Tanım: İşlem Kimliği | Neden önemli: Hakediş kuyruğu ve şantiye maliyet kararını etkiler | Doğru kullanım: HAK-##### | Örnek: hücredeki örnek değere bakın | Risk: Yanlış giriş hatalı karar üretir</t>
      </text>
    </comment>
    <comment ref="B7" authorId="0" shapeId="0">
      <text>
        <t>Tanım: Kaynak Kart | Neden önemli: Hakediş kuyruğu ve şantiye maliyet kararını etkiler | Doğru kullanım: KARTLAR'daki KartId | Örnek: hücredeki örnek değere bakın | Risk: Yanlış giriş hatalı karar üretir</t>
      </text>
    </comment>
    <comment ref="C7" authorId="0" shapeId="0">
      <text>
        <t>Tanım: Şantiye | Neden önemli: Hakediş kuyruğu ve şantiye maliyet kararını etkiler | Doğru kullanım: SANTIYE_MALIYET kimliği | Örnek: hücredeki örnek değere bakın | Risk: Yanlış giriş hatalı karar üretir</t>
      </text>
    </comment>
    <comment ref="D7" authorId="0" shapeId="0">
      <text>
        <t>Tanım: Tarih | Neden önemli: Hakediş kuyruğu ve şantiye maliyet kararını etkiler | Doğru kullanım: Olay tarihi | Örnek: hücredeki örnek değere bakın | Risk: Yanlış giriş hatalı karar üretir</t>
      </text>
    </comment>
    <comment ref="E7" authorId="0" shapeId="0">
      <text>
        <t>Tanım: Önceki Durum | Neden önemli: Hakediş kuyruğu ve şantiye maliyet kararını etkiler | Doğru kullanım: Önceki durum_id | Örnek: hücredeki örnek değere bakın | Risk: Yanlış giriş hatalı karar üretir</t>
      </text>
    </comment>
    <comment ref="F7" authorId="0" shapeId="0">
      <text>
        <t>Tanım: Durum | Neden önemli: Hakediş kuyruğu ve şantiye maliyet kararını etkiler | Doğru kullanım: Durum haritasından seçin | Örnek: hücredeki örnek değere bakın | Risk: Yanlış giriş hatalı karar üretir</t>
      </text>
    </comment>
    <comment ref="G7" authorId="0" shapeId="0">
      <text>
        <t>Tanım: Teklif | Neden önemli: Hakediş kuyruğu ve şantiye maliyet kararını etkiler | Doğru kullanım: Teklif tutarı TL | Örnek: hücredeki örnek değere bakın | Risk: Yanlış giriş hatalı karar üretir</t>
      </text>
    </comment>
    <comment ref="H7" authorId="0" shapeId="0">
      <text>
        <t>Tanım: Sipariş | Neden önemli: Hakediş kuyruğu ve şantiye maliyet kararını etkiler | Doğru kullanım: Sipariş tutarı TL | Örnek: hücredeki örnek değere bakın | Risk: Yanlış giriş hatalı karar üretir</t>
      </text>
    </comment>
    <comment ref="I7" authorId="0" shapeId="0">
      <text>
        <t>Tanım: Hakediş | Neden önemli: Hakediş kuyruğu ve şantiye maliyet kararını etkiler | Doğru kullanım: Hakediş tutarı TL | Örnek: hücredeki örnek değere bakın | Risk: Yanlış giriş hatalı karar üretir</t>
      </text>
    </comment>
    <comment ref="J7" authorId="0" shapeId="0">
      <text>
        <t>Tanım: Fatura | Neden önemli: Hakediş kuyruğu ve şantiye maliyet kararını etkiler | Doğru kullanım: Fatura tutarı TL | Örnek: hücredeki örnek değere bakın | Risk: Yanlış giriş hatalı karar üretir</t>
      </text>
    </comment>
    <comment ref="K7" authorId="0" shapeId="0">
      <text>
        <t>Tanım: Ödeme | Neden önemli: Hakediş kuyruğu ve şantiye maliyet kararını etkiler | Doğru kullanım: Ödeme tutarı TL | Örnek: hücredeki örnek değere bakın | Risk: Yanlış giriş hatalı karar üretir</t>
      </text>
    </comment>
    <comment ref="L7" authorId="0" shapeId="0">
      <text>
        <t>Tanım: Tutar | Neden önemli: Hakediş kuyruğu ve şantiye maliyet kararını etkiler | Doğru kullanım: Kuyruk tutarı TL | Örnek: hücredeki örnek değere bakın | Risk: Yanlış giriş hatalı karar üretir</t>
      </text>
    </comment>
    <comment ref="M7" authorId="0" shapeId="0">
      <text>
        <t>Tanım: Dönem | Neden önemli: Hakediş kuyruğu ve şantiye maliyet kararını etkiler | Doğru kullanım: YYYY-AA | Örnek: hücredeki örnek değere bakın | Risk: Yanlış giriş hatalı karar üretir</t>
      </text>
    </comment>
    <comment ref="N7" authorId="0" shapeId="0">
      <text>
        <t>Tanım: Açıklama | Neden önemli: Hakediş kuyruğu ve şantiye maliyet kararını etkiler | Doğru kullanım: Kısa açıklama | Örnek: hücredeki örnek değere bakın | Risk: Yanlış giriş hatalı karar üretir</t>
      </text>
    </comment>
    <comment ref="A8" authorId="0" shapeId="0">
      <text>
        <t>Tanım: İşlem Kimliği | Neden önemli: Hakediş kuyruğu ve şantiye maliyet kararını etkiler | Doğru kullanım: HAK-##### | Örnek: hücredeki örnek değere bakın | Risk: Yanlış giriş hatalı karar üretir</t>
      </text>
    </comment>
    <comment ref="B8" authorId="0" shapeId="0">
      <text>
        <t>Tanım: Kaynak Kart | Neden önemli: Hakediş kuyruğu ve şantiye maliyet kararını etkiler | Doğru kullanım: KARTLAR'daki KartId | Örnek: hücredeki örnek değere bakın | Risk: Yanlış giriş hatalı karar üretir</t>
      </text>
    </comment>
    <comment ref="C8" authorId="0" shapeId="0">
      <text>
        <t>Tanım: Şantiye | Neden önemli: Hakediş kuyruğu ve şantiye maliyet kararını etkiler | Doğru kullanım: SANTIYE_MALIYET kimliği | Örnek: hücredeki örnek değere bakın | Risk: Yanlış giriş hatalı karar üretir</t>
      </text>
    </comment>
    <comment ref="D8" authorId="0" shapeId="0">
      <text>
        <t>Tanım: Tarih | Neden önemli: Hakediş kuyruğu ve şantiye maliyet kararını etkiler | Doğru kullanım: Olay tarihi | Örnek: hücredeki örnek değere bakın | Risk: Yanlış giriş hatalı karar üretir</t>
      </text>
    </comment>
    <comment ref="E8" authorId="0" shapeId="0">
      <text>
        <t>Tanım: Önceki Durum | Neden önemli: Hakediş kuyruğu ve şantiye maliyet kararını etkiler | Doğru kullanım: Önceki durum_id | Örnek: hücredeki örnek değere bakın | Risk: Yanlış giriş hatalı karar üretir</t>
      </text>
    </comment>
    <comment ref="F8" authorId="0" shapeId="0">
      <text>
        <t>Tanım: Durum | Neden önemli: Hakediş kuyruğu ve şantiye maliyet kararını etkiler | Doğru kullanım: Durum haritasından seçin | Örnek: hücredeki örnek değere bakın | Risk: Yanlış giriş hatalı karar üretir</t>
      </text>
    </comment>
    <comment ref="G8" authorId="0" shapeId="0">
      <text>
        <t>Tanım: Teklif | Neden önemli: Hakediş kuyruğu ve şantiye maliyet kararını etkiler | Doğru kullanım: Teklif tutarı TL | Örnek: hücredeki örnek değere bakın | Risk: Yanlış giriş hatalı karar üretir</t>
      </text>
    </comment>
    <comment ref="H8" authorId="0" shapeId="0">
      <text>
        <t>Tanım: Sipariş | Neden önemli: Hakediş kuyruğu ve şantiye maliyet kararını etkiler | Doğru kullanım: Sipariş tutarı TL | Örnek: hücredeki örnek değere bakın | Risk: Yanlış giriş hatalı karar üretir</t>
      </text>
    </comment>
    <comment ref="I8" authorId="0" shapeId="0">
      <text>
        <t>Tanım: Hakediş | Neden önemli: Hakediş kuyruğu ve şantiye maliyet kararını etkiler | Doğru kullanım: Hakediş tutarı TL | Örnek: hücredeki örnek değere bakın | Risk: Yanlış giriş hatalı karar üretir</t>
      </text>
    </comment>
    <comment ref="J8" authorId="0" shapeId="0">
      <text>
        <t>Tanım: Fatura | Neden önemli: Hakediş kuyruğu ve şantiye maliyet kararını etkiler | Doğru kullanım: Fatura tutarı TL | Örnek: hücredeki örnek değere bakın | Risk: Yanlış giriş hatalı karar üretir</t>
      </text>
    </comment>
    <comment ref="K8" authorId="0" shapeId="0">
      <text>
        <t>Tanım: Ödeme | Neden önemli: Hakediş kuyruğu ve şantiye maliyet kararını etkiler | Doğru kullanım: Ödeme tutarı TL | Örnek: hücredeki örnek değere bakın | Risk: Yanlış giriş hatalı karar üretir</t>
      </text>
    </comment>
    <comment ref="L8" authorId="0" shapeId="0">
      <text>
        <t>Tanım: Tutar | Neden önemli: Hakediş kuyruğu ve şantiye maliyet kararını etkiler | Doğru kullanım: Kuyruk tutarı TL | Örnek: hücredeki örnek değere bakın | Risk: Yanlış giriş hatalı karar üretir</t>
      </text>
    </comment>
    <comment ref="M8" authorId="0" shapeId="0">
      <text>
        <t>Tanım: Dönem | Neden önemli: Hakediş kuyruğu ve şantiye maliyet kararını etkiler | Doğru kullanım: YYYY-AA | Örnek: hücredeki örnek değere bakın | Risk: Yanlış giriş hatalı karar üretir</t>
      </text>
    </comment>
    <comment ref="N8" authorId="0" shapeId="0">
      <text>
        <t>Tanım: Açıklama | Neden önemli: Hakediş kuyruğu ve şantiye maliyet kararını etkiler | Doğru kullanım: Kısa açıklama | Örnek: hücredeki örnek değere bakın | Risk: Yanlış giriş hatalı karar üretir</t>
      </text>
    </comment>
    <comment ref="A9" authorId="0" shapeId="0">
      <text>
        <t>Tanım: İşlem Kimliği | Neden önemli: Hakediş kuyruğu ve şantiye maliyet kararını etkiler | Doğru kullanım: HAK-##### | Örnek: hücredeki örnek değere bakın | Risk: Yanlış giriş hatalı karar üretir</t>
      </text>
    </comment>
    <comment ref="B9" authorId="0" shapeId="0">
      <text>
        <t>Tanım: Kaynak Kart | Neden önemli: Hakediş kuyruğu ve şantiye maliyet kararını etkiler | Doğru kullanım: KARTLAR'daki KartId | Örnek: hücredeki örnek değere bakın | Risk: Yanlış giriş hatalı karar üretir</t>
      </text>
    </comment>
    <comment ref="C9" authorId="0" shapeId="0">
      <text>
        <t>Tanım: Şantiye | Neden önemli: Hakediş kuyruğu ve şantiye maliyet kararını etkiler | Doğru kullanım: SANTIYE_MALIYET kimliği | Örnek: hücredeki örnek değere bakın | Risk: Yanlış giriş hatalı karar üretir</t>
      </text>
    </comment>
    <comment ref="D9" authorId="0" shapeId="0">
      <text>
        <t>Tanım: Tarih | Neden önemli: Hakediş kuyruğu ve şantiye maliyet kararını etkiler | Doğru kullanım: Olay tarihi | Örnek: hücredeki örnek değere bakın | Risk: Yanlış giriş hatalı karar üretir</t>
      </text>
    </comment>
    <comment ref="E9" authorId="0" shapeId="0">
      <text>
        <t>Tanım: Önceki Durum | Neden önemli: Hakediş kuyruğu ve şantiye maliyet kararını etkiler | Doğru kullanım: Önceki durum_id | Örnek: hücredeki örnek değere bakın | Risk: Yanlış giriş hatalı karar üretir</t>
      </text>
    </comment>
    <comment ref="F9" authorId="0" shapeId="0">
      <text>
        <t>Tanım: Durum | Neden önemli: Hakediş kuyruğu ve şantiye maliyet kararını etkiler | Doğru kullanım: Durum haritasından seçin | Örnek: hücredeki örnek değere bakın | Risk: Yanlış giriş hatalı karar üretir</t>
      </text>
    </comment>
    <comment ref="G9" authorId="0" shapeId="0">
      <text>
        <t>Tanım: Teklif | Neden önemli: Hakediş kuyruğu ve şantiye maliyet kararını etkiler | Doğru kullanım: Teklif tutarı TL | Örnek: hücredeki örnek değere bakın | Risk: Yanlış giriş hatalı karar üretir</t>
      </text>
    </comment>
    <comment ref="H9" authorId="0" shapeId="0">
      <text>
        <t>Tanım: Sipariş | Neden önemli: Hakediş kuyruğu ve şantiye maliyet kararını etkiler | Doğru kullanım: Sipariş tutarı TL | Örnek: hücredeki örnek değere bakın | Risk: Yanlış giriş hatalı karar üretir</t>
      </text>
    </comment>
    <comment ref="I9" authorId="0" shapeId="0">
      <text>
        <t>Tanım: Hakediş | Neden önemli: Hakediş kuyruğu ve şantiye maliyet kararını etkiler | Doğru kullanım: Hakediş tutarı TL | Örnek: hücredeki örnek değere bakın | Risk: Yanlış giriş hatalı karar üretir</t>
      </text>
    </comment>
    <comment ref="J9" authorId="0" shapeId="0">
      <text>
        <t>Tanım: Fatura | Neden önemli: Hakediş kuyruğu ve şantiye maliyet kararını etkiler | Doğru kullanım: Fatura tutarı TL | Örnek: hücredeki örnek değere bakın | Risk: Yanlış giriş hatalı karar üretir</t>
      </text>
    </comment>
    <comment ref="K9" authorId="0" shapeId="0">
      <text>
        <t>Tanım: Ödeme | Neden önemli: Hakediş kuyruğu ve şantiye maliyet kararını etkiler | Doğru kullanım: Ödeme tutarı TL | Örnek: hücredeki örnek değere bakın | Risk: Yanlış giriş hatalı karar üretir</t>
      </text>
    </comment>
    <comment ref="L9" authorId="0" shapeId="0">
      <text>
        <t>Tanım: Tutar | Neden önemli: Hakediş kuyruğu ve şantiye maliyet kararını etkiler | Doğru kullanım: Kuyruk tutarı TL | Örnek: hücredeki örnek değere bakın | Risk: Yanlış giriş hatalı karar üretir</t>
      </text>
    </comment>
    <comment ref="M9" authorId="0" shapeId="0">
      <text>
        <t>Tanım: Dönem | Neden önemli: Hakediş kuyruğu ve şantiye maliyet kararını etkiler | Doğru kullanım: YYYY-AA | Örnek: hücredeki örnek değere bakın | Risk: Yanlış giriş hatalı karar üretir</t>
      </text>
    </comment>
    <comment ref="N9" authorId="0" shapeId="0">
      <text>
        <t>Tanım: Açıklama | Neden önemli: Hakediş kuyruğu ve şantiye maliyet kararını etkiler | Doğru kullanım: Kısa açıklama | Örnek: hücredeki örnek değere bakın | Risk: Yanlış giriş hatalı karar üretir</t>
      </text>
    </comment>
    <comment ref="A10" authorId="0" shapeId="0">
      <text>
        <t>Tanım: İşlem Kimliği | Neden önemli: Hakediş kuyruğu ve şantiye maliyet kararını etkiler | Doğru kullanım: HAK-##### | Örnek: hücredeki örnek değere bakın | Risk: Yanlış giriş hatalı karar üretir</t>
      </text>
    </comment>
    <comment ref="B10" authorId="0" shapeId="0">
      <text>
        <t>Tanım: Kaynak Kart | Neden önemli: Hakediş kuyruğu ve şantiye maliyet kararını etkiler | Doğru kullanım: KARTLAR'daki KartId | Örnek: hücredeki örnek değere bakın | Risk: Yanlış giriş hatalı karar üretir</t>
      </text>
    </comment>
    <comment ref="C10" authorId="0" shapeId="0">
      <text>
        <t>Tanım: Şantiye | Neden önemli: Hakediş kuyruğu ve şantiye maliyet kararını etkiler | Doğru kullanım: SANTIYE_MALIYET kimliği | Örnek: hücredeki örnek değere bakın | Risk: Yanlış giriş hatalı karar üretir</t>
      </text>
    </comment>
    <comment ref="D10" authorId="0" shapeId="0">
      <text>
        <t>Tanım: Tarih | Neden önemli: Hakediş kuyruğu ve şantiye maliyet kararını etkiler | Doğru kullanım: Olay tarihi | Örnek: hücredeki örnek değere bakın | Risk: Yanlış giriş hatalı karar üretir</t>
      </text>
    </comment>
    <comment ref="E10" authorId="0" shapeId="0">
      <text>
        <t>Tanım: Önceki Durum | Neden önemli: Hakediş kuyruğu ve şantiye maliyet kararını etkiler | Doğru kullanım: Önceki durum_id | Örnek: hücredeki örnek değere bakın | Risk: Yanlış giriş hatalı karar üretir</t>
      </text>
    </comment>
    <comment ref="F10" authorId="0" shapeId="0">
      <text>
        <t>Tanım: Durum | Neden önemli: Hakediş kuyruğu ve şantiye maliyet kararını etkiler | Doğru kullanım: Durum haritasından seçin | Örnek: hücredeki örnek değere bakın | Risk: Yanlış giriş hatalı karar üretir</t>
      </text>
    </comment>
    <comment ref="G10" authorId="0" shapeId="0">
      <text>
        <t>Tanım: Teklif | Neden önemli: Hakediş kuyruğu ve şantiye maliyet kararını etkiler | Doğru kullanım: Teklif tutarı TL | Örnek: hücredeki örnek değere bakın | Risk: Yanlış giriş hatalı karar üretir</t>
      </text>
    </comment>
    <comment ref="H10" authorId="0" shapeId="0">
      <text>
        <t>Tanım: Sipariş | Neden önemli: Hakediş kuyruğu ve şantiye maliyet kararını etkiler | Doğru kullanım: Sipariş tutarı TL | Örnek: hücredeki örnek değere bakın | Risk: Yanlış giriş hatalı karar üretir</t>
      </text>
    </comment>
    <comment ref="I10" authorId="0" shapeId="0">
      <text>
        <t>Tanım: Hakediş | Neden önemli: Hakediş kuyruğu ve şantiye maliyet kararını etkiler | Doğru kullanım: Hakediş tutarı TL | Örnek: hücredeki örnek değere bakın | Risk: Yanlış giriş hatalı karar üretir</t>
      </text>
    </comment>
    <comment ref="J10" authorId="0" shapeId="0">
      <text>
        <t>Tanım: Fatura | Neden önemli: Hakediş kuyruğu ve şantiye maliyet kararını etkiler | Doğru kullanım: Fatura tutarı TL | Örnek: hücredeki örnek değere bakın | Risk: Yanlış giriş hatalı karar üretir</t>
      </text>
    </comment>
    <comment ref="K10" authorId="0" shapeId="0">
      <text>
        <t>Tanım: Ödeme | Neden önemli: Hakediş kuyruğu ve şantiye maliyet kararını etkiler | Doğru kullanım: Ödeme tutarı TL | Örnek: hücredeki örnek değere bakın | Risk: Yanlış giriş hatalı karar üretir</t>
      </text>
    </comment>
    <comment ref="L10" authorId="0" shapeId="0">
      <text>
        <t>Tanım: Tutar | Neden önemli: Hakediş kuyruğu ve şantiye maliyet kararını etkiler | Doğru kullanım: Kuyruk tutarı TL | Örnek: hücredeki örnek değere bakın | Risk: Yanlış giriş hatalı karar üretir</t>
      </text>
    </comment>
    <comment ref="M10" authorId="0" shapeId="0">
      <text>
        <t>Tanım: Dönem | Neden önemli: Hakediş kuyruğu ve şantiye maliyet kararını etkiler | Doğru kullanım: YYYY-AA | Örnek: hücredeki örnek değere bakın | Risk: Yanlış giriş hatalı karar üretir</t>
      </text>
    </comment>
    <comment ref="N10" authorId="0" shapeId="0">
      <text>
        <t>Tanım: Açıklama | Neden önemli: Hakediş kuyruğu ve şantiye maliyet kararını etkiler | Doğru kullanım: Kısa açıklama | Örnek: hücredeki örnek değere bakın | Risk: Yanlış giriş hatalı karar üretir</t>
      </text>
    </comment>
    <comment ref="A11" authorId="0" shapeId="0">
      <text>
        <t>Tanım: İşlem Kimliği | Neden önemli: Hakediş kuyruğu ve şantiye maliyet kararını etkiler | Doğru kullanım: HAK-##### | Örnek: hücredeki örnek değere bakın | Risk: Yanlış giriş hatalı karar üretir</t>
      </text>
    </comment>
    <comment ref="B11" authorId="0" shapeId="0">
      <text>
        <t>Tanım: Kaynak Kart | Neden önemli: Hakediş kuyruğu ve şantiye maliyet kararını etkiler | Doğru kullanım: KARTLAR'daki KartId | Örnek: hücredeki örnek değere bakın | Risk: Yanlış giriş hatalı karar üretir</t>
      </text>
    </comment>
    <comment ref="C11" authorId="0" shapeId="0">
      <text>
        <t>Tanım: Şantiye | Neden önemli: Hakediş kuyruğu ve şantiye maliyet kararını etkiler | Doğru kullanım: SANTIYE_MALIYET kimliği | Örnek: hücredeki örnek değere bakın | Risk: Yanlış giriş hatalı karar üretir</t>
      </text>
    </comment>
    <comment ref="D11" authorId="0" shapeId="0">
      <text>
        <t>Tanım: Tarih | Neden önemli: Hakediş kuyruğu ve şantiye maliyet kararını etkiler | Doğru kullanım: Olay tarihi | Örnek: hücredeki örnek değere bakın | Risk: Yanlış giriş hatalı karar üretir</t>
      </text>
    </comment>
    <comment ref="E11" authorId="0" shapeId="0">
      <text>
        <t>Tanım: Önceki Durum | Neden önemli: Hakediş kuyruğu ve şantiye maliyet kararını etkiler | Doğru kullanım: Önceki durum_id | Örnek: hücredeki örnek değere bakın | Risk: Yanlış giriş hatalı karar üretir</t>
      </text>
    </comment>
    <comment ref="F11" authorId="0" shapeId="0">
      <text>
        <t>Tanım: Durum | Neden önemli: Hakediş kuyruğu ve şantiye maliyet kararını etkiler | Doğru kullanım: Durum haritasından seçin | Örnek: hücredeki örnek değere bakın | Risk: Yanlış giriş hatalı karar üretir</t>
      </text>
    </comment>
    <comment ref="G11" authorId="0" shapeId="0">
      <text>
        <t>Tanım: Teklif | Neden önemli: Hakediş kuyruğu ve şantiye maliyet kararını etkiler | Doğru kullanım: Teklif tutarı TL | Örnek: hücredeki örnek değere bakın | Risk: Yanlış giriş hatalı karar üretir</t>
      </text>
    </comment>
    <comment ref="H11" authorId="0" shapeId="0">
      <text>
        <t>Tanım: Sipariş | Neden önemli: Hakediş kuyruğu ve şantiye maliyet kararını etkiler | Doğru kullanım: Sipariş tutarı TL | Örnek: hücredeki örnek değere bakın | Risk: Yanlış giriş hatalı karar üretir</t>
      </text>
    </comment>
    <comment ref="I11" authorId="0" shapeId="0">
      <text>
        <t>Tanım: Hakediş | Neden önemli: Hakediş kuyruğu ve şantiye maliyet kararını etkiler | Doğru kullanım: Hakediş tutarı TL | Örnek: hücredeki örnek değere bakın | Risk: Yanlış giriş hatalı karar üretir</t>
      </text>
    </comment>
    <comment ref="J11" authorId="0" shapeId="0">
      <text>
        <t>Tanım: Fatura | Neden önemli: Hakediş kuyruğu ve şantiye maliyet kararını etkiler | Doğru kullanım: Fatura tutarı TL | Örnek: hücredeki örnek değere bakın | Risk: Yanlış giriş hatalı karar üretir</t>
      </text>
    </comment>
    <comment ref="K11" authorId="0" shapeId="0">
      <text>
        <t>Tanım: Ödeme | Neden önemli: Hakediş kuyruğu ve şantiye maliyet kararını etkiler | Doğru kullanım: Ödeme tutarı TL | Örnek: hücredeki örnek değere bakın | Risk: Yanlış giriş hatalı karar üretir</t>
      </text>
    </comment>
    <comment ref="L11" authorId="0" shapeId="0">
      <text>
        <t>Tanım: Tutar | Neden önemli: Hakediş kuyruğu ve şantiye maliyet kararını etkiler | Doğru kullanım: Kuyruk tutarı TL | Örnek: hücredeki örnek değere bakın | Risk: Yanlış giriş hatalı karar üretir</t>
      </text>
    </comment>
    <comment ref="M11" authorId="0" shapeId="0">
      <text>
        <t>Tanım: Dönem | Neden önemli: Hakediş kuyruğu ve şantiye maliyet kararını etkiler | Doğru kullanım: YYYY-AA | Örnek: hücredeki örnek değere bakın | Risk: Yanlış giriş hatalı karar üretir</t>
      </text>
    </comment>
    <comment ref="N11" authorId="0" shapeId="0">
      <text>
        <t>Tanım: Açıklama | Neden önemli: Hakediş kuyruğu ve şantiye maliyet kararını etkiler | Doğru kullanım: Kısa açıklama | Örnek: hücredeki örnek değere bakın | Risk: Yanlış giriş hatalı karar üretir</t>
      </text>
    </comment>
    <comment ref="A12" authorId="0" shapeId="0">
      <text>
        <t>Tanım: İşlem Kimliği | Neden önemli: Hakediş kuyruğu ve şantiye maliyet kararını etkiler | Doğru kullanım: HAK-##### | Örnek: hücredeki örnek değere bakın | Risk: Yanlış giriş hatalı karar üretir</t>
      </text>
    </comment>
    <comment ref="B12" authorId="0" shapeId="0">
      <text>
        <t>Tanım: Kaynak Kart | Neden önemli: Hakediş kuyruğu ve şantiye maliyet kararını etkiler | Doğru kullanım: KARTLAR'daki KartId | Örnek: hücredeki örnek değere bakın | Risk: Yanlış giriş hatalı karar üretir</t>
      </text>
    </comment>
    <comment ref="C12" authorId="0" shapeId="0">
      <text>
        <t>Tanım: Şantiye | Neden önemli: Hakediş kuyruğu ve şantiye maliyet kararını etkiler | Doğru kullanım: SANTIYE_MALIYET kimliği | Örnek: hücredeki örnek değere bakın | Risk: Yanlış giriş hatalı karar üretir</t>
      </text>
    </comment>
    <comment ref="D12" authorId="0" shapeId="0">
      <text>
        <t>Tanım: Tarih | Neden önemli: Hakediş kuyruğu ve şantiye maliyet kararını etkiler | Doğru kullanım: Olay tarihi | Örnek: hücredeki örnek değere bakın | Risk: Yanlış giriş hatalı karar üretir</t>
      </text>
    </comment>
    <comment ref="E12" authorId="0" shapeId="0">
      <text>
        <t>Tanım: Önceki Durum | Neden önemli: Hakediş kuyruğu ve şantiye maliyet kararını etkiler | Doğru kullanım: Önceki durum_id | Örnek: hücredeki örnek değere bakın | Risk: Yanlış giriş hatalı karar üretir</t>
      </text>
    </comment>
    <comment ref="F12" authorId="0" shapeId="0">
      <text>
        <t>Tanım: Durum | Neden önemli: Hakediş kuyruğu ve şantiye maliyet kararını etkiler | Doğru kullanım: Durum haritasından seçin | Örnek: hücredeki örnek değere bakın | Risk: Yanlış giriş hatalı karar üretir</t>
      </text>
    </comment>
    <comment ref="G12" authorId="0" shapeId="0">
      <text>
        <t>Tanım: Teklif | Neden önemli: Hakediş kuyruğu ve şantiye maliyet kararını etkiler | Doğru kullanım: Teklif tutarı TL | Örnek: hücredeki örnek değere bakın | Risk: Yanlış giriş hatalı karar üretir</t>
      </text>
    </comment>
    <comment ref="H12" authorId="0" shapeId="0">
      <text>
        <t>Tanım: Sipariş | Neden önemli: Hakediş kuyruğu ve şantiye maliyet kararını etkiler | Doğru kullanım: Sipariş tutarı TL | Örnek: hücredeki örnek değere bakın | Risk: Yanlış giriş hatalı karar üretir</t>
      </text>
    </comment>
    <comment ref="I12" authorId="0" shapeId="0">
      <text>
        <t>Tanım: Hakediş | Neden önemli: Hakediş kuyruğu ve şantiye maliyet kararını etkiler | Doğru kullanım: Hakediş tutarı TL | Örnek: hücredeki örnek değere bakın | Risk: Yanlış giriş hatalı karar üretir</t>
      </text>
    </comment>
    <comment ref="J12" authorId="0" shapeId="0">
      <text>
        <t>Tanım: Fatura | Neden önemli: Hakediş kuyruğu ve şantiye maliyet kararını etkiler | Doğru kullanım: Fatura tutarı TL | Örnek: hücredeki örnek değere bakın | Risk: Yanlış giriş hatalı karar üretir</t>
      </text>
    </comment>
    <comment ref="K12" authorId="0" shapeId="0">
      <text>
        <t>Tanım: Ödeme | Neden önemli: Hakediş kuyruğu ve şantiye maliyet kararını etkiler | Doğru kullanım: Ödeme tutarı TL | Örnek: hücredeki örnek değere bakın | Risk: Yanlış giriş hatalı karar üretir</t>
      </text>
    </comment>
    <comment ref="L12" authorId="0" shapeId="0">
      <text>
        <t>Tanım: Tutar | Neden önemli: Hakediş kuyruğu ve şantiye maliyet kararını etkiler | Doğru kullanım: Kuyruk tutarı TL | Örnek: hücredeki örnek değere bakın | Risk: Yanlış giriş hatalı karar üretir</t>
      </text>
    </comment>
    <comment ref="M12" authorId="0" shapeId="0">
      <text>
        <t>Tanım: Dönem | Neden önemli: Hakediş kuyruğu ve şantiye maliyet kararını etkiler | Doğru kullanım: YYYY-AA | Örnek: hücredeki örnek değere bakın | Risk: Yanlış giriş hatalı karar üretir</t>
      </text>
    </comment>
    <comment ref="N12" authorId="0" shapeId="0">
      <text>
        <t>Tanım: Açıklama | Neden önemli: Hakediş kuyruğu ve şantiye maliyet kararını etkiler | Doğru kullanım: Kısa açıklama | Örnek: hücredeki örnek değere bakın | Risk: Yanlış giriş hatalı karar üretir</t>
      </text>
    </comment>
    <comment ref="A13" authorId="0" shapeId="0">
      <text>
        <t>Tanım: İşlem Kimliği | Neden önemli: Hakediş kuyruğu ve şantiye maliyet kararını etkiler | Doğru kullanım: HAK-##### | Örnek: hücredeki örnek değere bakın | Risk: Yanlış giriş hatalı karar üretir</t>
      </text>
    </comment>
    <comment ref="B13" authorId="0" shapeId="0">
      <text>
        <t>Tanım: Kaynak Kart | Neden önemli: Hakediş kuyruğu ve şantiye maliyet kararını etkiler | Doğru kullanım: KARTLAR'daki KartId | Örnek: hücredeki örnek değere bakın | Risk: Yanlış giriş hatalı karar üretir</t>
      </text>
    </comment>
    <comment ref="C13" authorId="0" shapeId="0">
      <text>
        <t>Tanım: Şantiye | Neden önemli: Hakediş kuyruğu ve şantiye maliyet kararını etkiler | Doğru kullanım: SANTIYE_MALIYET kimliği | Örnek: hücredeki örnek değere bakın | Risk: Yanlış giriş hatalı karar üretir</t>
      </text>
    </comment>
    <comment ref="D13" authorId="0" shapeId="0">
      <text>
        <t>Tanım: Tarih | Neden önemli: Hakediş kuyruğu ve şantiye maliyet kararını etkiler | Doğru kullanım: Olay tarihi | Örnek: hücredeki örnek değere bakın | Risk: Yanlış giriş hatalı karar üretir</t>
      </text>
    </comment>
    <comment ref="E13" authorId="0" shapeId="0">
      <text>
        <t>Tanım: Önceki Durum | Neden önemli: Hakediş kuyruğu ve şantiye maliyet kararını etkiler | Doğru kullanım: Önceki durum_id | Örnek: hücredeki örnek değere bakın | Risk: Yanlış giriş hatalı karar üretir</t>
      </text>
    </comment>
    <comment ref="F13" authorId="0" shapeId="0">
      <text>
        <t>Tanım: Durum | Neden önemli: Hakediş kuyruğu ve şantiye maliyet kararını etkiler | Doğru kullanım: Durum haritasından seçin | Örnek: hücredeki örnek değere bakın | Risk: Yanlış giriş hatalı karar üretir</t>
      </text>
    </comment>
    <comment ref="G13" authorId="0" shapeId="0">
      <text>
        <t>Tanım: Teklif | Neden önemli: Hakediş kuyruğu ve şantiye maliyet kararını etkiler | Doğru kullanım: Teklif tutarı TL | Örnek: hücredeki örnek değere bakın | Risk: Yanlış giriş hatalı karar üretir</t>
      </text>
    </comment>
    <comment ref="H13" authorId="0" shapeId="0">
      <text>
        <t>Tanım: Sipariş | Neden önemli: Hakediş kuyruğu ve şantiye maliyet kararını etkiler | Doğru kullanım: Sipariş tutarı TL | Örnek: hücredeki örnek değere bakın | Risk: Yanlış giriş hatalı karar üretir</t>
      </text>
    </comment>
    <comment ref="I13" authorId="0" shapeId="0">
      <text>
        <t>Tanım: Hakediş | Neden önemli: Hakediş kuyruğu ve şantiye maliyet kararını etkiler | Doğru kullanım: Hakediş tutarı TL | Örnek: hücredeki örnek değere bakın | Risk: Yanlış giriş hatalı karar üretir</t>
      </text>
    </comment>
    <comment ref="J13" authorId="0" shapeId="0">
      <text>
        <t>Tanım: Fatura | Neden önemli: Hakediş kuyruğu ve şantiye maliyet kararını etkiler | Doğru kullanım: Fatura tutarı TL | Örnek: hücredeki örnek değere bakın | Risk: Yanlış giriş hatalı karar üretir</t>
      </text>
    </comment>
    <comment ref="K13" authorId="0" shapeId="0">
      <text>
        <t>Tanım: Ödeme | Neden önemli: Hakediş kuyruğu ve şantiye maliyet kararını etkiler | Doğru kullanım: Ödeme tutarı TL | Örnek: hücredeki örnek değere bakın | Risk: Yanlış giriş hatalı karar üretir</t>
      </text>
    </comment>
    <comment ref="L13" authorId="0" shapeId="0">
      <text>
        <t>Tanım: Tutar | Neden önemli: Hakediş kuyruğu ve şantiye maliyet kararını etkiler | Doğru kullanım: Kuyruk tutarı TL | Örnek: hücredeki örnek değere bakın | Risk: Yanlış giriş hatalı karar üretir</t>
      </text>
    </comment>
    <comment ref="M13" authorId="0" shapeId="0">
      <text>
        <t>Tanım: Dönem | Neden önemli: Hakediş kuyruğu ve şantiye maliyet kararını etkiler | Doğru kullanım: YYYY-AA | Örnek: hücredeki örnek değere bakın | Risk: Yanlış giriş hatalı karar üretir</t>
      </text>
    </comment>
    <comment ref="N13" authorId="0" shapeId="0">
      <text>
        <t>Tanım: Açıklama | Neden önemli: Hakediş kuyruğu ve şantiye maliyet kararını etkiler | Doğru kullanım: Kısa açıklama | Örnek: hücredeki örnek değere bakın | Risk: Yanlış giriş hatalı karar üretir</t>
      </text>
    </comment>
    <comment ref="A14" authorId="0" shapeId="0">
      <text>
        <t>Tanım: İşlem Kimliği | Neden önemli: Hakediş kuyruğu ve şantiye maliyet kararını etkiler | Doğru kullanım: HAK-##### | Örnek: hücredeki örnek değere bakın | Risk: Yanlış giriş hatalı karar üretir</t>
      </text>
    </comment>
    <comment ref="B14" authorId="0" shapeId="0">
      <text>
        <t>Tanım: Kaynak Kart | Neden önemli: Hakediş kuyruğu ve şantiye maliyet kararını etkiler | Doğru kullanım: KARTLAR'daki KartId | Örnek: hücredeki örnek değere bakın | Risk: Yanlış giriş hatalı karar üretir</t>
      </text>
    </comment>
    <comment ref="C14" authorId="0" shapeId="0">
      <text>
        <t>Tanım: Şantiye | Neden önemli: Hakediş kuyruğu ve şantiye maliyet kararını etkiler | Doğru kullanım: SANTIYE_MALIYET kimliği | Örnek: hücredeki örnek değere bakın | Risk: Yanlış giriş hatalı karar üretir</t>
      </text>
    </comment>
    <comment ref="D14" authorId="0" shapeId="0">
      <text>
        <t>Tanım: Tarih | Neden önemli: Hakediş kuyruğu ve şantiye maliyet kararını etkiler | Doğru kullanım: Olay tarihi | Örnek: hücredeki örnek değere bakın | Risk: Yanlış giriş hatalı karar üretir</t>
      </text>
    </comment>
    <comment ref="E14" authorId="0" shapeId="0">
      <text>
        <t>Tanım: Önceki Durum | Neden önemli: Hakediş kuyruğu ve şantiye maliyet kararını etkiler | Doğru kullanım: Önceki durum_id | Örnek: hücredeki örnek değere bakın | Risk: Yanlış giriş hatalı karar üretir</t>
      </text>
    </comment>
    <comment ref="F14" authorId="0" shapeId="0">
      <text>
        <t>Tanım: Durum | Neden önemli: Hakediş kuyruğu ve şantiye maliyet kararını etkiler | Doğru kullanım: Durum haritasından seçin | Örnek: hücredeki örnek değere bakın | Risk: Yanlış giriş hatalı karar üretir</t>
      </text>
    </comment>
    <comment ref="G14" authorId="0" shapeId="0">
      <text>
        <t>Tanım: Teklif | Neden önemli: Hakediş kuyruğu ve şantiye maliyet kararını etkiler | Doğru kullanım: Teklif tutarı TL | Örnek: hücredeki örnek değere bakın | Risk: Yanlış giriş hatalı karar üretir</t>
      </text>
    </comment>
    <comment ref="H14" authorId="0" shapeId="0">
      <text>
        <t>Tanım: Sipariş | Neden önemli: Hakediş kuyruğu ve şantiye maliyet kararını etkiler | Doğru kullanım: Sipariş tutarı TL | Örnek: hücredeki örnek değere bakın | Risk: Yanlış giriş hatalı karar üretir</t>
      </text>
    </comment>
    <comment ref="I14" authorId="0" shapeId="0">
      <text>
        <t>Tanım: Hakediş | Neden önemli: Hakediş kuyruğu ve şantiye maliyet kararını etkiler | Doğru kullanım: Hakediş tutarı TL | Örnek: hücredeki örnek değere bakın | Risk: Yanlış giriş hatalı karar üretir</t>
      </text>
    </comment>
    <comment ref="J14" authorId="0" shapeId="0">
      <text>
        <t>Tanım: Fatura | Neden önemli: Hakediş kuyruğu ve şantiye maliyet kararını etkiler | Doğru kullanım: Fatura tutarı TL | Örnek: hücredeki örnek değere bakın | Risk: Yanlış giriş hatalı karar üretir</t>
      </text>
    </comment>
    <comment ref="K14" authorId="0" shapeId="0">
      <text>
        <t>Tanım: Ödeme | Neden önemli: Hakediş kuyruğu ve şantiye maliyet kararını etkiler | Doğru kullanım: Ödeme tutarı TL | Örnek: hücredeki örnek değere bakın | Risk: Yanlış giriş hatalı karar üretir</t>
      </text>
    </comment>
    <comment ref="L14" authorId="0" shapeId="0">
      <text>
        <t>Tanım: Tutar | Neden önemli: Hakediş kuyruğu ve şantiye maliyet kararını etkiler | Doğru kullanım: Kuyruk tutarı TL | Örnek: hücredeki örnek değere bakın | Risk: Yanlış giriş hatalı karar üretir</t>
      </text>
    </comment>
    <comment ref="M14" authorId="0" shapeId="0">
      <text>
        <t>Tanım: Dönem | Neden önemli: Hakediş kuyruğu ve şantiye maliyet kararını etkiler | Doğru kullanım: YYYY-AA | Örnek: hücredeki örnek değere bakın | Risk: Yanlış giriş hatalı karar üretir</t>
      </text>
    </comment>
    <comment ref="N14" authorId="0" shapeId="0">
      <text>
        <t>Tanım: Açıklama | Neden önemli: Hakediş kuyruğu ve şantiye maliyet kararını etkiler | Doğru kullanım: Kısa açıklama | Örnek: hücredeki örnek değere bakın | Risk: Yanlış giriş hatalı karar üretir</t>
      </text>
    </comment>
    <comment ref="A15" authorId="0" shapeId="0">
      <text>
        <t>Tanım: İşlem Kimliği | Neden önemli: Hakediş kuyruğu ve şantiye maliyet kararını etkiler | Doğru kullanım: HAK-##### | Örnek: hücredeki örnek değere bakın | Risk: Yanlış giriş hatalı karar üretir</t>
      </text>
    </comment>
    <comment ref="B15" authorId="0" shapeId="0">
      <text>
        <t>Tanım: Kaynak Kart | Neden önemli: Hakediş kuyruğu ve şantiye maliyet kararını etkiler | Doğru kullanım: KARTLAR'daki KartId | Örnek: hücredeki örnek değere bakın | Risk: Yanlış giriş hatalı karar üretir</t>
      </text>
    </comment>
    <comment ref="C15" authorId="0" shapeId="0">
      <text>
        <t>Tanım: Şantiye | Neden önemli: Hakediş kuyruğu ve şantiye maliyet kararını etkiler | Doğru kullanım: SANTIYE_MALIYET kimliği | Örnek: hücredeki örnek değere bakın | Risk: Yanlış giriş hatalı karar üretir</t>
      </text>
    </comment>
    <comment ref="D15" authorId="0" shapeId="0">
      <text>
        <t>Tanım: Tarih | Neden önemli: Hakediş kuyruğu ve şantiye maliyet kararını etkiler | Doğru kullanım: Olay tarihi | Örnek: hücredeki örnek değere bakın | Risk: Yanlış giriş hatalı karar üretir</t>
      </text>
    </comment>
    <comment ref="E15" authorId="0" shapeId="0">
      <text>
        <t>Tanım: Önceki Durum | Neden önemli: Hakediş kuyruğu ve şantiye maliyet kararını etkiler | Doğru kullanım: Önceki durum_id | Örnek: hücredeki örnek değere bakın | Risk: Yanlış giriş hatalı karar üretir</t>
      </text>
    </comment>
    <comment ref="F15" authorId="0" shapeId="0">
      <text>
        <t>Tanım: Durum | Neden önemli: Hakediş kuyruğu ve şantiye maliyet kararını etkiler | Doğru kullanım: Durum haritasından seçin | Örnek: hücredeki örnek değere bakın | Risk: Yanlış giriş hatalı karar üretir</t>
      </text>
    </comment>
    <comment ref="G15" authorId="0" shapeId="0">
      <text>
        <t>Tanım: Teklif | Neden önemli: Hakediş kuyruğu ve şantiye maliyet kararını etkiler | Doğru kullanım: Teklif tutarı TL | Örnek: hücredeki örnek değere bakın | Risk: Yanlış giriş hatalı karar üretir</t>
      </text>
    </comment>
    <comment ref="H15" authorId="0" shapeId="0">
      <text>
        <t>Tanım: Sipariş | Neden önemli: Hakediş kuyruğu ve şantiye maliyet kararını etkiler | Doğru kullanım: Sipariş tutarı TL | Örnek: hücredeki örnek değere bakın | Risk: Yanlış giriş hatalı karar üretir</t>
      </text>
    </comment>
    <comment ref="I15" authorId="0" shapeId="0">
      <text>
        <t>Tanım: Hakediş | Neden önemli: Hakediş kuyruğu ve şantiye maliyet kararını etkiler | Doğru kullanım: Hakediş tutarı TL | Örnek: hücredeki örnek değere bakın | Risk: Yanlış giriş hatalı karar üretir</t>
      </text>
    </comment>
    <comment ref="J15" authorId="0" shapeId="0">
      <text>
        <t>Tanım: Fatura | Neden önemli: Hakediş kuyruğu ve şantiye maliyet kararını etkiler | Doğru kullanım: Fatura tutarı TL | Örnek: hücredeki örnek değere bakın | Risk: Yanlış giriş hatalı karar üretir</t>
      </text>
    </comment>
    <comment ref="K15" authorId="0" shapeId="0">
      <text>
        <t>Tanım: Ödeme | Neden önemli: Hakediş kuyruğu ve şantiye maliyet kararını etkiler | Doğru kullanım: Ödeme tutarı TL | Örnek: hücredeki örnek değere bakın | Risk: Yanlış giriş hatalı karar üretir</t>
      </text>
    </comment>
    <comment ref="L15" authorId="0" shapeId="0">
      <text>
        <t>Tanım: Tutar | Neden önemli: Hakediş kuyruğu ve şantiye maliyet kararını etkiler | Doğru kullanım: Kuyruk tutarı TL | Örnek: hücredeki örnek değere bakın | Risk: Yanlış giriş hatalı karar üretir</t>
      </text>
    </comment>
    <comment ref="M15" authorId="0" shapeId="0">
      <text>
        <t>Tanım: Dönem | Neden önemli: Hakediş kuyruğu ve şantiye maliyet kararını etkiler | Doğru kullanım: YYYY-AA | Örnek: hücredeki örnek değere bakın | Risk: Yanlış giriş hatalı karar üretir</t>
      </text>
    </comment>
    <comment ref="N15" authorId="0" shapeId="0">
      <text>
        <t>Tanım: Açıklama | Neden önemli: Hakediş kuyruğu ve şantiye maliyet kararını etkiler | Doğru kullanım: Kısa açıklama | Örnek: hücredeki örnek değere bakın | Risk: Yanlış giriş hatalı karar üretir</t>
      </text>
    </comment>
    <comment ref="A16" authorId="0" shapeId="0">
      <text>
        <t>Tanım: İşlem Kimliği | Neden önemli: Hakediş kuyruğu ve şantiye maliyet kararını etkiler | Doğru kullanım: HAK-##### | Örnek: hücredeki örnek değere bakın | Risk: Yanlış giriş hatalı karar üretir</t>
      </text>
    </comment>
    <comment ref="B16" authorId="0" shapeId="0">
      <text>
        <t>Tanım: Kaynak Kart | Neden önemli: Hakediş kuyruğu ve şantiye maliyet kararını etkiler | Doğru kullanım: KARTLAR'daki KartId | Örnek: hücredeki örnek değere bakın | Risk: Yanlış giriş hatalı karar üretir</t>
      </text>
    </comment>
    <comment ref="C16" authorId="0" shapeId="0">
      <text>
        <t>Tanım: Şantiye | Neden önemli: Hakediş kuyruğu ve şantiye maliyet kararını etkiler | Doğru kullanım: SANTIYE_MALIYET kimliği | Örnek: hücredeki örnek değere bakın | Risk: Yanlış giriş hatalı karar üretir</t>
      </text>
    </comment>
    <comment ref="D16" authorId="0" shapeId="0">
      <text>
        <t>Tanım: Tarih | Neden önemli: Hakediş kuyruğu ve şantiye maliyet kararını etkiler | Doğru kullanım: Olay tarihi | Örnek: hücredeki örnek değere bakın | Risk: Yanlış giriş hatalı karar üretir</t>
      </text>
    </comment>
    <comment ref="E16" authorId="0" shapeId="0">
      <text>
        <t>Tanım: Önceki Durum | Neden önemli: Hakediş kuyruğu ve şantiye maliyet kararını etkiler | Doğru kullanım: Önceki durum_id | Örnek: hücredeki örnek değere bakın | Risk: Yanlış giriş hatalı karar üretir</t>
      </text>
    </comment>
    <comment ref="F16" authorId="0" shapeId="0">
      <text>
        <t>Tanım: Durum | Neden önemli: Hakediş kuyruğu ve şantiye maliyet kararını etkiler | Doğru kullanım: Durum haritasından seçin | Örnek: hücredeki örnek değere bakın | Risk: Yanlış giriş hatalı karar üretir</t>
      </text>
    </comment>
    <comment ref="G16" authorId="0" shapeId="0">
      <text>
        <t>Tanım: Teklif | Neden önemli: Hakediş kuyruğu ve şantiye maliyet kararını etkiler | Doğru kullanım: Teklif tutarı TL | Örnek: hücredeki örnek değere bakın | Risk: Yanlış giriş hatalı karar üretir</t>
      </text>
    </comment>
    <comment ref="H16" authorId="0" shapeId="0">
      <text>
        <t>Tanım: Sipariş | Neden önemli: Hakediş kuyruğu ve şantiye maliyet kararını etkiler | Doğru kullanım: Sipariş tutarı TL | Örnek: hücredeki örnek değere bakın | Risk: Yanlış giriş hatalı karar üretir</t>
      </text>
    </comment>
    <comment ref="I16" authorId="0" shapeId="0">
      <text>
        <t>Tanım: Hakediş | Neden önemli: Hakediş kuyruğu ve şantiye maliyet kararını etkiler | Doğru kullanım: Hakediş tutarı TL | Örnek: hücredeki örnek değere bakın | Risk: Yanlış giriş hatalı karar üretir</t>
      </text>
    </comment>
    <comment ref="J16" authorId="0" shapeId="0">
      <text>
        <t>Tanım: Fatura | Neden önemli: Hakediş kuyruğu ve şantiye maliyet kararını etkiler | Doğru kullanım: Fatura tutarı TL | Örnek: hücredeki örnek değere bakın | Risk: Yanlış giriş hatalı karar üretir</t>
      </text>
    </comment>
    <comment ref="K16" authorId="0" shapeId="0">
      <text>
        <t>Tanım: Ödeme | Neden önemli: Hakediş kuyruğu ve şantiye maliyet kararını etkiler | Doğru kullanım: Ödeme tutarı TL | Örnek: hücredeki örnek değere bakın | Risk: Yanlış giriş hatalı karar üretir</t>
      </text>
    </comment>
    <comment ref="L16" authorId="0" shapeId="0">
      <text>
        <t>Tanım: Tutar | Neden önemli: Hakediş kuyruğu ve şantiye maliyet kararını etkiler | Doğru kullanım: Kuyruk tutarı TL | Örnek: hücredeki örnek değere bakın | Risk: Yanlış giriş hatalı karar üretir</t>
      </text>
    </comment>
    <comment ref="M16" authorId="0" shapeId="0">
      <text>
        <t>Tanım: Dönem | Neden önemli: Hakediş kuyruğu ve şantiye maliyet kararını etkiler | Doğru kullanım: YYYY-AA | Örnek: hücredeki örnek değere bakın | Risk: Yanlış giriş hatalı karar üretir</t>
      </text>
    </comment>
    <comment ref="N16" authorId="0" shapeId="0">
      <text>
        <t>Tanım: Açıklama | Neden önemli: Hakediş kuyruğu ve şantiye maliyet kararını etkiler | Doğru kullanım: Kısa açıklama | Örnek: hücredeki örnek değere bakın | Risk: Yanlış giriş hatalı karar üretir</t>
      </text>
    </comment>
    <comment ref="A17" authorId="0" shapeId="0">
      <text>
        <t>Tanım: İşlem Kimliği | Neden önemli: Hakediş kuyruğu ve şantiye maliyet kararını etkiler | Doğru kullanım: HAK-##### | Örnek: hücredeki örnek değere bakın | Risk: Yanlış giriş hatalı karar üretir</t>
      </text>
    </comment>
    <comment ref="B17" authorId="0" shapeId="0">
      <text>
        <t>Tanım: Kaynak Kart | Neden önemli: Hakediş kuyruğu ve şantiye maliyet kararını etkiler | Doğru kullanım: KARTLAR'daki KartId | Örnek: hücredeki örnek değere bakın | Risk: Yanlış giriş hatalı karar üretir</t>
      </text>
    </comment>
    <comment ref="C17" authorId="0" shapeId="0">
      <text>
        <t>Tanım: Şantiye | Neden önemli: Hakediş kuyruğu ve şantiye maliyet kararını etkiler | Doğru kullanım: SANTIYE_MALIYET kimliği | Örnek: hücredeki örnek değere bakın | Risk: Yanlış giriş hatalı karar üretir</t>
      </text>
    </comment>
    <comment ref="D17" authorId="0" shapeId="0">
      <text>
        <t>Tanım: Tarih | Neden önemli: Hakediş kuyruğu ve şantiye maliyet kararını etkiler | Doğru kullanım: Olay tarihi | Örnek: hücredeki örnek değere bakın | Risk: Yanlış giriş hatalı karar üretir</t>
      </text>
    </comment>
    <comment ref="E17" authorId="0" shapeId="0">
      <text>
        <t>Tanım: Önceki Durum | Neden önemli: Hakediş kuyruğu ve şantiye maliyet kararını etkiler | Doğru kullanım: Önceki durum_id | Örnek: hücredeki örnek değere bakın | Risk: Yanlış giriş hatalı karar üretir</t>
      </text>
    </comment>
    <comment ref="F17" authorId="0" shapeId="0">
      <text>
        <t>Tanım: Durum | Neden önemli: Hakediş kuyruğu ve şantiye maliyet kararını etkiler | Doğru kullanım: Durum haritasından seçin | Örnek: hücredeki örnek değere bakın | Risk: Yanlış giriş hatalı karar üretir</t>
      </text>
    </comment>
    <comment ref="G17" authorId="0" shapeId="0">
      <text>
        <t>Tanım: Teklif | Neden önemli: Hakediş kuyruğu ve şantiye maliyet kararını etkiler | Doğru kullanım: Teklif tutarı TL | Örnek: hücredeki örnek değere bakın | Risk: Yanlış giriş hatalı karar üretir</t>
      </text>
    </comment>
    <comment ref="H17" authorId="0" shapeId="0">
      <text>
        <t>Tanım: Sipariş | Neden önemli: Hakediş kuyruğu ve şantiye maliyet kararını etkiler | Doğru kullanım: Sipariş tutarı TL | Örnek: hücredeki örnek değere bakın | Risk: Yanlış giriş hatalı karar üretir</t>
      </text>
    </comment>
    <comment ref="I17" authorId="0" shapeId="0">
      <text>
        <t>Tanım: Hakediş | Neden önemli: Hakediş kuyruğu ve şantiye maliyet kararını etkiler | Doğru kullanım: Hakediş tutarı TL | Örnek: hücredeki örnek değere bakın | Risk: Yanlış giriş hatalı karar üretir</t>
      </text>
    </comment>
    <comment ref="J17" authorId="0" shapeId="0">
      <text>
        <t>Tanım: Fatura | Neden önemli: Hakediş kuyruğu ve şantiye maliyet kararını etkiler | Doğru kullanım: Fatura tutarı TL | Örnek: hücredeki örnek değere bakın | Risk: Yanlış giriş hatalı karar üretir</t>
      </text>
    </comment>
    <comment ref="K17" authorId="0" shapeId="0">
      <text>
        <t>Tanım: Ödeme | Neden önemli: Hakediş kuyruğu ve şantiye maliyet kararını etkiler | Doğru kullanım: Ödeme tutarı TL | Örnek: hücredeki örnek değere bakın | Risk: Yanlış giriş hatalı karar üretir</t>
      </text>
    </comment>
    <comment ref="L17" authorId="0" shapeId="0">
      <text>
        <t>Tanım: Tutar | Neden önemli: Hakediş kuyruğu ve şantiye maliyet kararını etkiler | Doğru kullanım: Kuyruk tutarı TL | Örnek: hücredeki örnek değere bakın | Risk: Yanlış giriş hatalı karar üretir</t>
      </text>
    </comment>
    <comment ref="M17" authorId="0" shapeId="0">
      <text>
        <t>Tanım: Dönem | Neden önemli: Hakediş kuyruğu ve şantiye maliyet kararını etkiler | Doğru kullanım: YYYY-AA | Örnek: hücredeki örnek değere bakın | Risk: Yanlış giriş hatalı karar üretir</t>
      </text>
    </comment>
    <comment ref="N17" authorId="0" shapeId="0">
      <text>
        <t>Tanım: Açıklama | Neden önemli: Hakediş kuyruğu ve şantiye maliyet kararını etkiler | Doğru kullanım: Kısa açıklama | Örnek: hücredeki örnek değere bakın | Risk: Yanlış giriş hatalı karar üretir</t>
      </text>
    </comment>
    <comment ref="A18" authorId="0" shapeId="0">
      <text>
        <t>Tanım: İşlem Kimliği | Neden önemli: Hakediş kuyruğu ve şantiye maliyet kararını etkiler | Doğru kullanım: HAK-##### | Örnek: hücredeki örnek değere bakın | Risk: Yanlış giriş hatalı karar üretir</t>
      </text>
    </comment>
    <comment ref="B18" authorId="0" shapeId="0">
      <text>
        <t>Tanım: Kaynak Kart | Neden önemli: Hakediş kuyruğu ve şantiye maliyet kararını etkiler | Doğru kullanım: KARTLAR'daki KartId | Örnek: hücredeki örnek değere bakın | Risk: Yanlış giriş hatalı karar üretir</t>
      </text>
    </comment>
    <comment ref="C18" authorId="0" shapeId="0">
      <text>
        <t>Tanım: Şantiye | Neden önemli: Hakediş kuyruğu ve şantiye maliyet kararını etkiler | Doğru kullanım: SANTIYE_MALIYET kimliği | Örnek: hücredeki örnek değere bakın | Risk: Yanlış giriş hatalı karar üretir</t>
      </text>
    </comment>
    <comment ref="D18" authorId="0" shapeId="0">
      <text>
        <t>Tanım: Tarih | Neden önemli: Hakediş kuyruğu ve şantiye maliyet kararını etkiler | Doğru kullanım: Olay tarihi | Örnek: hücredeki örnek değere bakın | Risk: Yanlış giriş hatalı karar üretir</t>
      </text>
    </comment>
    <comment ref="E18" authorId="0" shapeId="0">
      <text>
        <t>Tanım: Önceki Durum | Neden önemli: Hakediş kuyruğu ve şantiye maliyet kararını etkiler | Doğru kullanım: Önceki durum_id | Örnek: hücredeki örnek değere bakın | Risk: Yanlış giriş hatalı karar üretir</t>
      </text>
    </comment>
    <comment ref="F18" authorId="0" shapeId="0">
      <text>
        <t>Tanım: Durum | Neden önemli: Hakediş kuyruğu ve şantiye maliyet kararını etkiler | Doğru kullanım: Durum haritasından seçin | Örnek: hücredeki örnek değere bakın | Risk: Yanlış giriş hatalı karar üretir</t>
      </text>
    </comment>
    <comment ref="G18" authorId="0" shapeId="0">
      <text>
        <t>Tanım: Teklif | Neden önemli: Hakediş kuyruğu ve şantiye maliyet kararını etkiler | Doğru kullanım: Teklif tutarı TL | Örnek: hücredeki örnek değere bakın | Risk: Yanlış giriş hatalı karar üretir</t>
      </text>
    </comment>
    <comment ref="H18" authorId="0" shapeId="0">
      <text>
        <t>Tanım: Sipariş | Neden önemli: Hakediş kuyruğu ve şantiye maliyet kararını etkiler | Doğru kullanım: Sipariş tutarı TL | Örnek: hücredeki örnek değere bakın | Risk: Yanlış giriş hatalı karar üretir</t>
      </text>
    </comment>
    <comment ref="I18" authorId="0" shapeId="0">
      <text>
        <t>Tanım: Hakediş | Neden önemli: Hakediş kuyruğu ve şantiye maliyet kararını etkiler | Doğru kullanım: Hakediş tutarı TL | Örnek: hücredeki örnek değere bakın | Risk: Yanlış giriş hatalı karar üretir</t>
      </text>
    </comment>
    <comment ref="J18" authorId="0" shapeId="0">
      <text>
        <t>Tanım: Fatura | Neden önemli: Hakediş kuyruğu ve şantiye maliyet kararını etkiler | Doğru kullanım: Fatura tutarı TL | Örnek: hücredeki örnek değere bakın | Risk: Yanlış giriş hatalı karar üretir</t>
      </text>
    </comment>
    <comment ref="K18" authorId="0" shapeId="0">
      <text>
        <t>Tanım: Ödeme | Neden önemli: Hakediş kuyruğu ve şantiye maliyet kararını etkiler | Doğru kullanım: Ödeme tutarı TL | Örnek: hücredeki örnek değere bakın | Risk: Yanlış giriş hatalı karar üretir</t>
      </text>
    </comment>
    <comment ref="L18" authorId="0" shapeId="0">
      <text>
        <t>Tanım: Tutar | Neden önemli: Hakediş kuyruğu ve şantiye maliyet kararını etkiler | Doğru kullanım: Kuyruk tutarı TL | Örnek: hücredeki örnek değere bakın | Risk: Yanlış giriş hatalı karar üretir</t>
      </text>
    </comment>
    <comment ref="M18" authorId="0" shapeId="0">
      <text>
        <t>Tanım: Dönem | Neden önemli: Hakediş kuyruğu ve şantiye maliyet kararını etkiler | Doğru kullanım: YYYY-AA | Örnek: hücredeki örnek değere bakın | Risk: Yanlış giriş hatalı karar üretir</t>
      </text>
    </comment>
    <comment ref="N18" authorId="0" shapeId="0">
      <text>
        <t>Tanım: Açıklama | Neden önemli: Hakediş kuyruğu ve şantiye maliyet kararını etkiler | Doğru kullanım: Kısa açıklama | Örnek: hücredeki örnek değere bakın | Risk: Yanlış giriş hatalı karar üretir</t>
      </text>
    </comment>
    <comment ref="A19" authorId="0" shapeId="0">
      <text>
        <t>Tanım: İşlem Kimliği | Neden önemli: Hakediş kuyruğu ve şantiye maliyet kararını etkiler | Doğru kullanım: HAK-##### | Örnek: hücredeki örnek değere bakın | Risk: Yanlış giriş hatalı karar üretir</t>
      </text>
    </comment>
    <comment ref="B19" authorId="0" shapeId="0">
      <text>
        <t>Tanım: Kaynak Kart | Neden önemli: Hakediş kuyruğu ve şantiye maliyet kararını etkiler | Doğru kullanım: KARTLAR'daki KartId | Örnek: hücredeki örnek değere bakın | Risk: Yanlış giriş hatalı karar üretir</t>
      </text>
    </comment>
    <comment ref="C19" authorId="0" shapeId="0">
      <text>
        <t>Tanım: Şantiye | Neden önemli: Hakediş kuyruğu ve şantiye maliyet kararını etkiler | Doğru kullanım: SANTIYE_MALIYET kimliği | Örnek: hücredeki örnek değere bakın | Risk: Yanlış giriş hatalı karar üretir</t>
      </text>
    </comment>
    <comment ref="D19" authorId="0" shapeId="0">
      <text>
        <t>Tanım: Tarih | Neden önemli: Hakediş kuyruğu ve şantiye maliyet kararını etkiler | Doğru kullanım: Olay tarihi | Örnek: hücredeki örnek değere bakın | Risk: Yanlış giriş hatalı karar üretir</t>
      </text>
    </comment>
    <comment ref="E19" authorId="0" shapeId="0">
      <text>
        <t>Tanım: Önceki Durum | Neden önemli: Hakediş kuyruğu ve şantiye maliyet kararını etkiler | Doğru kullanım: Önceki durum_id | Örnek: hücredeki örnek değere bakın | Risk: Yanlış giriş hatalı karar üretir</t>
      </text>
    </comment>
    <comment ref="F19" authorId="0" shapeId="0">
      <text>
        <t>Tanım: Durum | Neden önemli: Hakediş kuyruğu ve şantiye maliyet kararını etkiler | Doğru kullanım: Durum haritasından seçin | Örnek: hücredeki örnek değere bakın | Risk: Yanlış giriş hatalı karar üretir</t>
      </text>
    </comment>
    <comment ref="G19" authorId="0" shapeId="0">
      <text>
        <t>Tanım: Teklif | Neden önemli: Hakediş kuyruğu ve şantiye maliyet kararını etkiler | Doğru kullanım: Teklif tutarı TL | Örnek: hücredeki örnek değere bakın | Risk: Yanlış giriş hatalı karar üretir</t>
      </text>
    </comment>
    <comment ref="H19" authorId="0" shapeId="0">
      <text>
        <t>Tanım: Sipariş | Neden önemli: Hakediş kuyruğu ve şantiye maliyet kararını etkiler | Doğru kullanım: Sipariş tutarı TL | Örnek: hücredeki örnek değere bakın | Risk: Yanlış giriş hatalı karar üretir</t>
      </text>
    </comment>
    <comment ref="I19" authorId="0" shapeId="0">
      <text>
        <t>Tanım: Hakediş | Neden önemli: Hakediş kuyruğu ve şantiye maliyet kararını etkiler | Doğru kullanım: Hakediş tutarı TL | Örnek: hücredeki örnek değere bakın | Risk: Yanlış giriş hatalı karar üretir</t>
      </text>
    </comment>
    <comment ref="J19" authorId="0" shapeId="0">
      <text>
        <t>Tanım: Fatura | Neden önemli: Hakediş kuyruğu ve şantiye maliyet kararını etkiler | Doğru kullanım: Fatura tutarı TL | Örnek: hücredeki örnek değere bakın | Risk: Yanlış giriş hatalı karar üretir</t>
      </text>
    </comment>
    <comment ref="K19" authorId="0" shapeId="0">
      <text>
        <t>Tanım: Ödeme | Neden önemli: Hakediş kuyruğu ve şantiye maliyet kararını etkiler | Doğru kullanım: Ödeme tutarı TL | Örnek: hücredeki örnek değere bakın | Risk: Yanlış giriş hatalı karar üretir</t>
      </text>
    </comment>
    <comment ref="L19" authorId="0" shapeId="0">
      <text>
        <t>Tanım: Tutar | Neden önemli: Hakediş kuyruğu ve şantiye maliyet kararını etkiler | Doğru kullanım: Kuyruk tutarı TL | Örnek: hücredeki örnek değere bakın | Risk: Yanlış giriş hatalı karar üretir</t>
      </text>
    </comment>
    <comment ref="M19" authorId="0" shapeId="0">
      <text>
        <t>Tanım: Dönem | Neden önemli: Hakediş kuyruğu ve şantiye maliyet kararını etkiler | Doğru kullanım: YYYY-AA | Örnek: hücredeki örnek değere bakın | Risk: Yanlış giriş hatalı karar üretir</t>
      </text>
    </comment>
    <comment ref="N19" authorId="0" shapeId="0">
      <text>
        <t>Tanım: Açıklama | Neden önemli: Hakediş kuyruğu ve şantiye maliyet kararını etkiler | Doğru kullanım: Kısa açıklama | Örnek: hücredeki örnek değere bakın | Risk: Yanlış giriş hatalı karar üretir</t>
      </text>
    </comment>
    <comment ref="A20" authorId="0" shapeId="0">
      <text>
        <t>Tanım: İşlem Kimliği | Neden önemli: Hakediş kuyruğu ve şantiye maliyet kararını etkiler | Doğru kullanım: HAK-##### | Örnek: hücredeki örnek değere bakın | Risk: Yanlış giriş hatalı karar üretir</t>
      </text>
    </comment>
    <comment ref="B20" authorId="0" shapeId="0">
      <text>
        <t>Tanım: Kaynak Kart | Neden önemli: Hakediş kuyruğu ve şantiye maliyet kararını etkiler | Doğru kullanım: KARTLAR'daki KartId | Örnek: hücredeki örnek değere bakın | Risk: Yanlış giriş hatalı karar üretir</t>
      </text>
    </comment>
    <comment ref="C20" authorId="0" shapeId="0">
      <text>
        <t>Tanım: Şantiye | Neden önemli: Hakediş kuyruğu ve şantiye maliyet kararını etkiler | Doğru kullanım: SANTIYE_MALIYET kimliği | Örnek: hücredeki örnek değere bakın | Risk: Yanlış giriş hatalı karar üretir</t>
      </text>
    </comment>
    <comment ref="D20" authorId="0" shapeId="0">
      <text>
        <t>Tanım: Tarih | Neden önemli: Hakediş kuyruğu ve şantiye maliyet kararını etkiler | Doğru kullanım: Olay tarihi | Örnek: hücredeki örnek değere bakın | Risk: Yanlış giriş hatalı karar üretir</t>
      </text>
    </comment>
    <comment ref="E20" authorId="0" shapeId="0">
      <text>
        <t>Tanım: Önceki Durum | Neden önemli: Hakediş kuyruğu ve şantiye maliyet kararını etkiler | Doğru kullanım: Önceki durum_id | Örnek: hücredeki örnek değere bakın | Risk: Yanlış giriş hatalı karar üretir</t>
      </text>
    </comment>
    <comment ref="F20" authorId="0" shapeId="0">
      <text>
        <t>Tanım: Durum | Neden önemli: Hakediş kuyruğu ve şantiye maliyet kararını etkiler | Doğru kullanım: Durum haritasından seçin | Örnek: hücredeki örnek değere bakın | Risk: Yanlış giriş hatalı karar üretir</t>
      </text>
    </comment>
    <comment ref="G20" authorId="0" shapeId="0">
      <text>
        <t>Tanım: Teklif | Neden önemli: Hakediş kuyruğu ve şantiye maliyet kararını etkiler | Doğru kullanım: Teklif tutarı TL | Örnek: hücredeki örnek değere bakın | Risk: Yanlış giriş hatalı karar üretir</t>
      </text>
    </comment>
    <comment ref="H20" authorId="0" shapeId="0">
      <text>
        <t>Tanım: Sipariş | Neden önemli: Hakediş kuyruğu ve şantiye maliyet kararını etkiler | Doğru kullanım: Sipariş tutarı TL | Örnek: hücredeki örnek değere bakın | Risk: Yanlış giriş hatalı karar üretir</t>
      </text>
    </comment>
    <comment ref="I20" authorId="0" shapeId="0">
      <text>
        <t>Tanım: Hakediş | Neden önemli: Hakediş kuyruğu ve şantiye maliyet kararını etkiler | Doğru kullanım: Hakediş tutarı TL | Örnek: hücredeki örnek değere bakın | Risk: Yanlış giriş hatalı karar üretir</t>
      </text>
    </comment>
    <comment ref="J20" authorId="0" shapeId="0">
      <text>
        <t>Tanım: Fatura | Neden önemli: Hakediş kuyruğu ve şantiye maliyet kararını etkiler | Doğru kullanım: Fatura tutarı TL | Örnek: hücredeki örnek değere bakın | Risk: Yanlış giriş hatalı karar üretir</t>
      </text>
    </comment>
    <comment ref="K20" authorId="0" shapeId="0">
      <text>
        <t>Tanım: Ödeme | Neden önemli: Hakediş kuyruğu ve şantiye maliyet kararını etkiler | Doğru kullanım: Ödeme tutarı TL | Örnek: hücredeki örnek değere bakın | Risk: Yanlış giriş hatalı karar üretir</t>
      </text>
    </comment>
    <comment ref="L20" authorId="0" shapeId="0">
      <text>
        <t>Tanım: Tutar | Neden önemli: Hakediş kuyruğu ve şantiye maliyet kararını etkiler | Doğru kullanım: Kuyruk tutarı TL | Örnek: hücredeki örnek değere bakın | Risk: Yanlış giriş hatalı karar üretir</t>
      </text>
    </comment>
    <comment ref="M20" authorId="0" shapeId="0">
      <text>
        <t>Tanım: Dönem | Neden önemli: Hakediş kuyruğu ve şantiye maliyet kararını etkiler | Doğru kullanım: YYYY-AA | Örnek: hücredeki örnek değere bakın | Risk: Yanlış giriş hatalı karar üretir</t>
      </text>
    </comment>
    <comment ref="N20" authorId="0" shapeId="0">
      <text>
        <t>Tanım: Açıklama | Neden önemli: Hakediş kuyruğu ve şantiye maliyet kararını etkiler | Doğru kullanım: Kısa açıklama | Örnek: hücredeki örnek değere bakın | Risk: Yanlış giriş hatalı karar üretir</t>
      </text>
    </comment>
    <comment ref="A21" authorId="0" shapeId="0">
      <text>
        <t>Tanım: İşlem Kimliği | Neden önemli: Hakediş kuyruğu ve şantiye maliyet kararını etkiler | Doğru kullanım: HAK-##### | Örnek: hücredeki örnek değere bakın | Risk: Yanlış giriş hatalı karar üretir</t>
      </text>
    </comment>
    <comment ref="B21" authorId="0" shapeId="0">
      <text>
        <t>Tanım: Kaynak Kart | Neden önemli: Hakediş kuyruğu ve şantiye maliyet kararını etkiler | Doğru kullanım: KARTLAR'daki KartId | Örnek: hücredeki örnek değere bakın | Risk: Yanlış giriş hatalı karar üretir</t>
      </text>
    </comment>
    <comment ref="C21" authorId="0" shapeId="0">
      <text>
        <t>Tanım: Şantiye | Neden önemli: Hakediş kuyruğu ve şantiye maliyet kararını etkiler | Doğru kullanım: SANTIYE_MALIYET kimliği | Örnek: hücredeki örnek değere bakın | Risk: Yanlış giriş hatalı karar üretir</t>
      </text>
    </comment>
    <comment ref="D21" authorId="0" shapeId="0">
      <text>
        <t>Tanım: Tarih | Neden önemli: Hakediş kuyruğu ve şantiye maliyet kararını etkiler | Doğru kullanım: Olay tarihi | Örnek: hücredeki örnek değere bakın | Risk: Yanlış giriş hatalı karar üretir</t>
      </text>
    </comment>
    <comment ref="E21" authorId="0" shapeId="0">
      <text>
        <t>Tanım: Önceki Durum | Neden önemli: Hakediş kuyruğu ve şantiye maliyet kararını etkiler | Doğru kullanım: Önceki durum_id | Örnek: hücredeki örnek değere bakın | Risk: Yanlış giriş hatalı karar üretir</t>
      </text>
    </comment>
    <comment ref="F21" authorId="0" shapeId="0">
      <text>
        <t>Tanım: Durum | Neden önemli: Hakediş kuyruğu ve şantiye maliyet kararını etkiler | Doğru kullanım: Durum haritasından seçin | Örnek: hücredeki örnek değere bakın | Risk: Yanlış giriş hatalı karar üretir</t>
      </text>
    </comment>
    <comment ref="G21" authorId="0" shapeId="0">
      <text>
        <t>Tanım: Teklif | Neden önemli: Hakediş kuyruğu ve şantiye maliyet kararını etkiler | Doğru kullanım: Teklif tutarı TL | Örnek: hücredeki örnek değere bakın | Risk: Yanlış giriş hatalı karar üretir</t>
      </text>
    </comment>
    <comment ref="H21" authorId="0" shapeId="0">
      <text>
        <t>Tanım: Sipariş | Neden önemli: Hakediş kuyruğu ve şantiye maliyet kararını etkiler | Doğru kullanım: Sipariş tutarı TL | Örnek: hücredeki örnek değere bakın | Risk: Yanlış giriş hatalı karar üretir</t>
      </text>
    </comment>
    <comment ref="I21" authorId="0" shapeId="0">
      <text>
        <t>Tanım: Hakediş | Neden önemli: Hakediş kuyruğu ve şantiye maliyet kararını etkiler | Doğru kullanım: Hakediş tutarı TL | Örnek: hücredeki örnek değere bakın | Risk: Yanlış giriş hatalı karar üretir</t>
      </text>
    </comment>
    <comment ref="J21" authorId="0" shapeId="0">
      <text>
        <t>Tanım: Fatura | Neden önemli: Hakediş kuyruğu ve şantiye maliyet kararını etkiler | Doğru kullanım: Fatura tutarı TL | Örnek: hücredeki örnek değere bakın | Risk: Yanlış giriş hatalı karar üretir</t>
      </text>
    </comment>
    <comment ref="K21" authorId="0" shapeId="0">
      <text>
        <t>Tanım: Ödeme | Neden önemli: Hakediş kuyruğu ve şantiye maliyet kararını etkiler | Doğru kullanım: Ödeme tutarı TL | Örnek: hücredeki örnek değere bakın | Risk: Yanlış giriş hatalı karar üretir</t>
      </text>
    </comment>
    <comment ref="L21" authorId="0" shapeId="0">
      <text>
        <t>Tanım: Tutar | Neden önemli: Hakediş kuyruğu ve şantiye maliyet kararını etkiler | Doğru kullanım: Kuyruk tutarı TL | Örnek: hücredeki örnek değere bakın | Risk: Yanlış giriş hatalı karar üretir</t>
      </text>
    </comment>
    <comment ref="M21" authorId="0" shapeId="0">
      <text>
        <t>Tanım: Dönem | Neden önemli: Hakediş kuyruğu ve şantiye maliyet kararını etkiler | Doğru kullanım: YYYY-AA | Örnek: hücredeki örnek değere bakın | Risk: Yanlış giriş hatalı karar üretir</t>
      </text>
    </comment>
    <comment ref="N21" authorId="0" shapeId="0">
      <text>
        <t>Tanım: Açıklama | Neden önemli: Hakediş kuyruğu ve şantiye maliyet kararını etkiler | Doğru kullanım: Kısa açıklama | Örnek: hücredeki örnek değere bakın | Risk: Yanlış giriş hatalı karar üretir</t>
      </text>
    </comment>
    <comment ref="A22" authorId="0" shapeId="0">
      <text>
        <t>Tanım: İşlem Kimliği | Neden önemli: Hakediş kuyruğu ve şantiye maliyet kararını etkiler | Doğru kullanım: HAK-##### | Örnek: hücredeki örnek değere bakın | Risk: Yanlış giriş hatalı karar üretir</t>
      </text>
    </comment>
    <comment ref="B22" authorId="0" shapeId="0">
      <text>
        <t>Tanım: Kaynak Kart | Neden önemli: Hakediş kuyruğu ve şantiye maliyet kararını etkiler | Doğru kullanım: KARTLAR'daki KartId | Örnek: hücredeki örnek değere bakın | Risk: Yanlış giriş hatalı karar üretir</t>
      </text>
    </comment>
    <comment ref="C22" authorId="0" shapeId="0">
      <text>
        <t>Tanım: Şantiye | Neden önemli: Hakediş kuyruğu ve şantiye maliyet kararını etkiler | Doğru kullanım: SANTIYE_MALIYET kimliği | Örnek: hücredeki örnek değere bakın | Risk: Yanlış giriş hatalı karar üretir</t>
      </text>
    </comment>
    <comment ref="D22" authorId="0" shapeId="0">
      <text>
        <t>Tanım: Tarih | Neden önemli: Hakediş kuyruğu ve şantiye maliyet kararını etkiler | Doğru kullanım: Olay tarihi | Örnek: hücredeki örnek değere bakın | Risk: Yanlış giriş hatalı karar üretir</t>
      </text>
    </comment>
    <comment ref="E22" authorId="0" shapeId="0">
      <text>
        <t>Tanım: Önceki Durum | Neden önemli: Hakediş kuyruğu ve şantiye maliyet kararını etkiler | Doğru kullanım: Önceki durum_id | Örnek: hücredeki örnek değere bakın | Risk: Yanlış giriş hatalı karar üretir</t>
      </text>
    </comment>
    <comment ref="F22" authorId="0" shapeId="0">
      <text>
        <t>Tanım: Durum | Neden önemli: Hakediş kuyruğu ve şantiye maliyet kararını etkiler | Doğru kullanım: Durum haritasından seçin | Örnek: hücredeki örnek değere bakın | Risk: Yanlış giriş hatalı karar üretir</t>
      </text>
    </comment>
    <comment ref="G22" authorId="0" shapeId="0">
      <text>
        <t>Tanım: Teklif | Neden önemli: Hakediş kuyruğu ve şantiye maliyet kararını etkiler | Doğru kullanım: Teklif tutarı TL | Örnek: hücredeki örnek değere bakın | Risk: Yanlış giriş hatalı karar üretir</t>
      </text>
    </comment>
    <comment ref="H22" authorId="0" shapeId="0">
      <text>
        <t>Tanım: Sipariş | Neden önemli: Hakediş kuyruğu ve şantiye maliyet kararını etkiler | Doğru kullanım: Sipariş tutarı TL | Örnek: hücredeki örnek değere bakın | Risk: Yanlış giriş hatalı karar üretir</t>
      </text>
    </comment>
    <comment ref="I22" authorId="0" shapeId="0">
      <text>
        <t>Tanım: Hakediş | Neden önemli: Hakediş kuyruğu ve şantiye maliyet kararını etkiler | Doğru kullanım: Hakediş tutarı TL | Örnek: hücredeki örnek değere bakın | Risk: Yanlış giriş hatalı karar üretir</t>
      </text>
    </comment>
    <comment ref="J22" authorId="0" shapeId="0">
      <text>
        <t>Tanım: Fatura | Neden önemli: Hakediş kuyruğu ve şantiye maliyet kararını etkiler | Doğru kullanım: Fatura tutarı TL | Örnek: hücredeki örnek değere bakın | Risk: Yanlış giriş hatalı karar üretir</t>
      </text>
    </comment>
    <comment ref="K22" authorId="0" shapeId="0">
      <text>
        <t>Tanım: Ödeme | Neden önemli: Hakediş kuyruğu ve şantiye maliyet kararını etkiler | Doğru kullanım: Ödeme tutarı TL | Örnek: hücredeki örnek değere bakın | Risk: Yanlış giriş hatalı karar üretir</t>
      </text>
    </comment>
    <comment ref="L22" authorId="0" shapeId="0">
      <text>
        <t>Tanım: Tutar | Neden önemli: Hakediş kuyruğu ve şantiye maliyet kararını etkiler | Doğru kullanım: Kuyruk tutarı TL | Örnek: hücredeki örnek değere bakın | Risk: Yanlış giriş hatalı karar üretir</t>
      </text>
    </comment>
    <comment ref="M22" authorId="0" shapeId="0">
      <text>
        <t>Tanım: Dönem | Neden önemli: Hakediş kuyruğu ve şantiye maliyet kararını etkiler | Doğru kullanım: YYYY-AA | Örnek: hücredeki örnek değere bakın | Risk: Yanlış giriş hatalı karar üretir</t>
      </text>
    </comment>
    <comment ref="N22" authorId="0" shapeId="0">
      <text>
        <t>Tanım: Açıklama | Neden önemli: Hakediş kuyruğu ve şantiye maliyet kararını etkiler | Doğru kullanım: Kısa açıklama | Örnek: hücredeki örnek değere bakın | Risk: Yanlış giriş hatalı karar üretir</t>
      </text>
    </comment>
    <comment ref="A23" authorId="0" shapeId="0">
      <text>
        <t>Tanım: İşlem Kimliği | Neden önemli: Hakediş kuyruğu ve şantiye maliyet kararını etkiler | Doğru kullanım: HAK-##### | Örnek: hücredeki örnek değere bakın | Risk: Yanlış giriş hatalı karar üretir</t>
      </text>
    </comment>
    <comment ref="B23" authorId="0" shapeId="0">
      <text>
        <t>Tanım: Kaynak Kart | Neden önemli: Hakediş kuyruğu ve şantiye maliyet kararını etkiler | Doğru kullanım: KARTLAR'daki KartId | Örnek: hücredeki örnek değere bakın | Risk: Yanlış giriş hatalı karar üretir</t>
      </text>
    </comment>
    <comment ref="C23" authorId="0" shapeId="0">
      <text>
        <t>Tanım: Şantiye | Neden önemli: Hakediş kuyruğu ve şantiye maliyet kararını etkiler | Doğru kullanım: SANTIYE_MALIYET kimliği | Örnek: hücredeki örnek değere bakın | Risk: Yanlış giriş hatalı karar üretir</t>
      </text>
    </comment>
    <comment ref="D23" authorId="0" shapeId="0">
      <text>
        <t>Tanım: Tarih | Neden önemli: Hakediş kuyruğu ve şantiye maliyet kararını etkiler | Doğru kullanım: Olay tarihi | Örnek: hücredeki örnek değere bakın | Risk: Yanlış giriş hatalı karar üretir</t>
      </text>
    </comment>
    <comment ref="E23" authorId="0" shapeId="0">
      <text>
        <t>Tanım: Önceki Durum | Neden önemli: Hakediş kuyruğu ve şantiye maliyet kararını etkiler | Doğru kullanım: Önceki durum_id | Örnek: hücredeki örnek değere bakın | Risk: Yanlış giriş hatalı karar üretir</t>
      </text>
    </comment>
    <comment ref="F23" authorId="0" shapeId="0">
      <text>
        <t>Tanım: Durum | Neden önemli: Hakediş kuyruğu ve şantiye maliyet kararını etkiler | Doğru kullanım: Durum haritasından seçin | Örnek: hücredeki örnek değere bakın | Risk: Yanlış giriş hatalı karar üretir</t>
      </text>
    </comment>
    <comment ref="G23" authorId="0" shapeId="0">
      <text>
        <t>Tanım: Teklif | Neden önemli: Hakediş kuyruğu ve şantiye maliyet kararını etkiler | Doğru kullanım: Teklif tutarı TL | Örnek: hücredeki örnek değere bakın | Risk: Yanlış giriş hatalı karar üretir</t>
      </text>
    </comment>
    <comment ref="H23" authorId="0" shapeId="0">
      <text>
        <t>Tanım: Sipariş | Neden önemli: Hakediş kuyruğu ve şantiye maliyet kararını etkiler | Doğru kullanım: Sipariş tutarı TL | Örnek: hücredeki örnek değere bakın | Risk: Yanlış giriş hatalı karar üretir</t>
      </text>
    </comment>
    <comment ref="I23" authorId="0" shapeId="0">
      <text>
        <t>Tanım: Hakediş | Neden önemli: Hakediş kuyruğu ve şantiye maliyet kararını etkiler | Doğru kullanım: Hakediş tutarı TL | Örnek: hücredeki örnek değere bakın | Risk: Yanlış giriş hatalı karar üretir</t>
      </text>
    </comment>
    <comment ref="J23" authorId="0" shapeId="0">
      <text>
        <t>Tanım: Fatura | Neden önemli: Hakediş kuyruğu ve şantiye maliyet kararını etkiler | Doğru kullanım: Fatura tutarı TL | Örnek: hücredeki örnek değere bakın | Risk: Yanlış giriş hatalı karar üretir</t>
      </text>
    </comment>
    <comment ref="K23" authorId="0" shapeId="0">
      <text>
        <t>Tanım: Ödeme | Neden önemli: Hakediş kuyruğu ve şantiye maliyet kararını etkiler | Doğru kullanım: Ödeme tutarı TL | Örnek: hücredeki örnek değere bakın | Risk: Yanlış giriş hatalı karar üretir</t>
      </text>
    </comment>
    <comment ref="L23" authorId="0" shapeId="0">
      <text>
        <t>Tanım: Tutar | Neden önemli: Hakediş kuyruğu ve şantiye maliyet kararını etkiler | Doğru kullanım: Kuyruk tutarı TL | Örnek: hücredeki örnek değere bakın | Risk: Yanlış giriş hatalı karar üretir</t>
      </text>
    </comment>
    <comment ref="M23" authorId="0" shapeId="0">
      <text>
        <t>Tanım: Dönem | Neden önemli: Hakediş kuyruğu ve şantiye maliyet kararını etkiler | Doğru kullanım: YYYY-AA | Örnek: hücredeki örnek değere bakın | Risk: Yanlış giriş hatalı karar üretir</t>
      </text>
    </comment>
    <comment ref="N23" authorId="0" shapeId="0">
      <text>
        <t>Tanım: Açıklama | Neden önemli: Hakediş kuyruğu ve şantiye maliyet kararını etkiler | Doğru kullanım: Kısa açıklama | Örnek: hücredeki örnek değere bakın | Risk: Yanlış giriş hatalı karar üretir</t>
      </text>
    </comment>
    <comment ref="A24" authorId="0" shapeId="0">
      <text>
        <t>Tanım: İşlem Kimliği | Neden önemli: Hakediş kuyruğu ve şantiye maliyet kararını etkiler | Doğru kullanım: HAK-##### | Örnek: hücredeki örnek değere bakın | Risk: Yanlış giriş hatalı karar üretir</t>
      </text>
    </comment>
    <comment ref="B24" authorId="0" shapeId="0">
      <text>
        <t>Tanım: Kaynak Kart | Neden önemli: Hakediş kuyruğu ve şantiye maliyet kararını etkiler | Doğru kullanım: KARTLAR'daki KartId | Örnek: hücredeki örnek değere bakın | Risk: Yanlış giriş hatalı karar üretir</t>
      </text>
    </comment>
    <comment ref="C24" authorId="0" shapeId="0">
      <text>
        <t>Tanım: Şantiye | Neden önemli: Hakediş kuyruğu ve şantiye maliyet kararını etkiler | Doğru kullanım: SANTIYE_MALIYET kimliği | Örnek: hücredeki örnek değere bakın | Risk: Yanlış giriş hatalı karar üretir</t>
      </text>
    </comment>
    <comment ref="D24" authorId="0" shapeId="0">
      <text>
        <t>Tanım: Tarih | Neden önemli: Hakediş kuyruğu ve şantiye maliyet kararını etkiler | Doğru kullanım: Olay tarihi | Örnek: hücredeki örnek değere bakın | Risk: Yanlış giriş hatalı karar üretir</t>
      </text>
    </comment>
    <comment ref="E24" authorId="0" shapeId="0">
      <text>
        <t>Tanım: Önceki Durum | Neden önemli: Hakediş kuyruğu ve şantiye maliyet kararını etkiler | Doğru kullanım: Önceki durum_id | Örnek: hücredeki örnek değere bakın | Risk: Yanlış giriş hatalı karar üretir</t>
      </text>
    </comment>
    <comment ref="F24" authorId="0" shapeId="0">
      <text>
        <t>Tanım: Durum | Neden önemli: Hakediş kuyruğu ve şantiye maliyet kararını etkiler | Doğru kullanım: Durum haritasından seçin | Örnek: hücredeki örnek değere bakın | Risk: Yanlış giriş hatalı karar üretir</t>
      </text>
    </comment>
    <comment ref="G24" authorId="0" shapeId="0">
      <text>
        <t>Tanım: Teklif | Neden önemli: Hakediş kuyruğu ve şantiye maliyet kararını etkiler | Doğru kullanım: Teklif tutarı TL | Örnek: hücredeki örnek değere bakın | Risk: Yanlış giriş hatalı karar üretir</t>
      </text>
    </comment>
    <comment ref="H24" authorId="0" shapeId="0">
      <text>
        <t>Tanım: Sipariş | Neden önemli: Hakediş kuyruğu ve şantiye maliyet kararını etkiler | Doğru kullanım: Sipariş tutarı TL | Örnek: hücredeki örnek değere bakın | Risk: Yanlış giriş hatalı karar üretir</t>
      </text>
    </comment>
    <comment ref="I24" authorId="0" shapeId="0">
      <text>
        <t>Tanım: Hakediş | Neden önemli: Hakediş kuyruğu ve şantiye maliyet kararını etkiler | Doğru kullanım: Hakediş tutarı TL | Örnek: hücredeki örnek değere bakın | Risk: Yanlış giriş hatalı karar üretir</t>
      </text>
    </comment>
    <comment ref="J24" authorId="0" shapeId="0">
      <text>
        <t>Tanım: Fatura | Neden önemli: Hakediş kuyruğu ve şantiye maliyet kararını etkiler | Doğru kullanım: Fatura tutarı TL | Örnek: hücredeki örnek değere bakın | Risk: Yanlış giriş hatalı karar üretir</t>
      </text>
    </comment>
    <comment ref="K24" authorId="0" shapeId="0">
      <text>
        <t>Tanım: Ödeme | Neden önemli: Hakediş kuyruğu ve şantiye maliyet kararını etkiler | Doğru kullanım: Ödeme tutarı TL | Örnek: hücredeki örnek değere bakın | Risk: Yanlış giriş hatalı karar üretir</t>
      </text>
    </comment>
    <comment ref="L24" authorId="0" shapeId="0">
      <text>
        <t>Tanım: Tutar | Neden önemli: Hakediş kuyruğu ve şantiye maliyet kararını etkiler | Doğru kullanım: Kuyruk tutarı TL | Örnek: hücredeki örnek değere bakın | Risk: Yanlış giriş hatalı karar üretir</t>
      </text>
    </comment>
    <comment ref="M24" authorId="0" shapeId="0">
      <text>
        <t>Tanım: Dönem | Neden önemli: Hakediş kuyruğu ve şantiye maliyet kararını etkiler | Doğru kullanım: YYYY-AA | Örnek: hücredeki örnek değere bakın | Risk: Yanlış giriş hatalı karar üretir</t>
      </text>
    </comment>
    <comment ref="N24" authorId="0" shapeId="0">
      <text>
        <t>Tanım: Açıklama | Neden önemli: Hakediş kuyruğu ve şantiye maliyet kararını etkiler | Doğru kullanım: Kısa açıklama | Örnek: hücredeki örnek değere bakın | Risk: Yanlış giriş hatalı karar üretir</t>
      </text>
    </comment>
    <comment ref="A25" authorId="0" shapeId="0">
      <text>
        <t>Tanım: İşlem Kimliği | Neden önemli: Hakediş kuyruğu ve şantiye maliyet kararını etkiler | Doğru kullanım: HAK-##### | Örnek: hücredeki örnek değere bakın | Risk: Yanlış giriş hatalı karar üretir</t>
      </text>
    </comment>
    <comment ref="B25" authorId="0" shapeId="0">
      <text>
        <t>Tanım: Kaynak Kart | Neden önemli: Hakediş kuyruğu ve şantiye maliyet kararını etkiler | Doğru kullanım: KARTLAR'daki KartId | Örnek: hücredeki örnek değere bakın | Risk: Yanlış giriş hatalı karar üretir</t>
      </text>
    </comment>
    <comment ref="C25" authorId="0" shapeId="0">
      <text>
        <t>Tanım: Şantiye | Neden önemli: Hakediş kuyruğu ve şantiye maliyet kararını etkiler | Doğru kullanım: SANTIYE_MALIYET kimliği | Örnek: hücredeki örnek değere bakın | Risk: Yanlış giriş hatalı karar üretir</t>
      </text>
    </comment>
    <comment ref="D25" authorId="0" shapeId="0">
      <text>
        <t>Tanım: Tarih | Neden önemli: Hakediş kuyruğu ve şantiye maliyet kararını etkiler | Doğru kullanım: Olay tarihi | Örnek: hücredeki örnek değere bakın | Risk: Yanlış giriş hatalı karar üretir</t>
      </text>
    </comment>
    <comment ref="E25" authorId="0" shapeId="0">
      <text>
        <t>Tanım: Önceki Durum | Neden önemli: Hakediş kuyruğu ve şantiye maliyet kararını etkiler | Doğru kullanım: Önceki durum_id | Örnek: hücredeki örnek değere bakın | Risk: Yanlış giriş hatalı karar üretir</t>
      </text>
    </comment>
    <comment ref="F25" authorId="0" shapeId="0">
      <text>
        <t>Tanım: Durum | Neden önemli: Hakediş kuyruğu ve şantiye maliyet kararını etkiler | Doğru kullanım: Durum haritasından seçin | Örnek: hücredeki örnek değere bakın | Risk: Yanlış giriş hatalı karar üretir</t>
      </text>
    </comment>
    <comment ref="G25" authorId="0" shapeId="0">
      <text>
        <t>Tanım: Teklif | Neden önemli: Hakediş kuyruğu ve şantiye maliyet kararını etkiler | Doğru kullanım: Teklif tutarı TL | Örnek: hücredeki örnek değere bakın | Risk: Yanlış giriş hatalı karar üretir</t>
      </text>
    </comment>
    <comment ref="H25" authorId="0" shapeId="0">
      <text>
        <t>Tanım: Sipariş | Neden önemli: Hakediş kuyruğu ve şantiye maliyet kararını etkiler | Doğru kullanım: Sipariş tutarı TL | Örnek: hücredeki örnek değere bakın | Risk: Yanlış giriş hatalı karar üretir</t>
      </text>
    </comment>
    <comment ref="I25" authorId="0" shapeId="0">
      <text>
        <t>Tanım: Hakediş | Neden önemli: Hakediş kuyruğu ve şantiye maliyet kararını etkiler | Doğru kullanım: Hakediş tutarı TL | Örnek: hücredeki örnek değere bakın | Risk: Yanlış giriş hatalı karar üretir</t>
      </text>
    </comment>
    <comment ref="J25" authorId="0" shapeId="0">
      <text>
        <t>Tanım: Fatura | Neden önemli: Hakediş kuyruğu ve şantiye maliyet kararını etkiler | Doğru kullanım: Fatura tutarı TL | Örnek: hücredeki örnek değere bakın | Risk: Yanlış giriş hatalı karar üretir</t>
      </text>
    </comment>
    <comment ref="K25" authorId="0" shapeId="0">
      <text>
        <t>Tanım: Ödeme | Neden önemli: Hakediş kuyruğu ve şantiye maliyet kararını etkiler | Doğru kullanım: Ödeme tutarı TL | Örnek: hücredeki örnek değere bakın | Risk: Yanlış giriş hatalı karar üretir</t>
      </text>
    </comment>
    <comment ref="L25" authorId="0" shapeId="0">
      <text>
        <t>Tanım: Tutar | Neden önemli: Hakediş kuyruğu ve şantiye maliyet kararını etkiler | Doğru kullanım: Kuyruk tutarı TL | Örnek: hücredeki örnek değere bakın | Risk: Yanlış giriş hatalı karar üretir</t>
      </text>
    </comment>
    <comment ref="M25" authorId="0" shapeId="0">
      <text>
        <t>Tanım: Dönem | Neden önemli: Hakediş kuyruğu ve şantiye maliyet kararını etkiler | Doğru kullanım: YYYY-AA | Örnek: hücredeki örnek değere bakın | Risk: Yanlış giriş hatalı karar üretir</t>
      </text>
    </comment>
    <comment ref="N25" authorId="0" shapeId="0">
      <text>
        <t>Tanım: Açıklama | Neden önemli: Hakediş kuyruğu ve şantiye maliyet kararını etkiler | Doğru kullanım: Kısa açıklama | Örnek: hücredeki örnek değere bakın | Risk: Yanlış giriş hatalı karar üretir</t>
      </text>
    </comment>
    <comment ref="A26" authorId="0" shapeId="0">
      <text>
        <t>Tanım: İşlem Kimliği | Neden önemli: Hakediş kuyruğu ve şantiye maliyet kararını etkiler | Doğru kullanım: HAK-##### | Örnek: hücredeki örnek değere bakın | Risk: Yanlış giriş hatalı karar üretir</t>
      </text>
    </comment>
    <comment ref="B26" authorId="0" shapeId="0">
      <text>
        <t>Tanım: Kaynak Kart | Neden önemli: Hakediş kuyruğu ve şantiye maliyet kararını etkiler | Doğru kullanım: KARTLAR'daki KartId | Örnek: hücredeki örnek değere bakın | Risk: Yanlış giriş hatalı karar üretir</t>
      </text>
    </comment>
    <comment ref="C26" authorId="0" shapeId="0">
      <text>
        <t>Tanım: Şantiye | Neden önemli: Hakediş kuyruğu ve şantiye maliyet kararını etkiler | Doğru kullanım: SANTIYE_MALIYET kimliği | Örnek: hücredeki örnek değere bakın | Risk: Yanlış giriş hatalı karar üretir</t>
      </text>
    </comment>
    <comment ref="D26" authorId="0" shapeId="0">
      <text>
        <t>Tanım: Tarih | Neden önemli: Hakediş kuyruğu ve şantiye maliyet kararını etkiler | Doğru kullanım: Olay tarihi | Örnek: hücredeki örnek değere bakın | Risk: Yanlış giriş hatalı karar üretir</t>
      </text>
    </comment>
    <comment ref="E26" authorId="0" shapeId="0">
      <text>
        <t>Tanım: Önceki Durum | Neden önemli: Hakediş kuyruğu ve şantiye maliyet kararını etkiler | Doğru kullanım: Önceki durum_id | Örnek: hücredeki örnek değere bakın | Risk: Yanlış giriş hatalı karar üretir</t>
      </text>
    </comment>
    <comment ref="F26" authorId="0" shapeId="0">
      <text>
        <t>Tanım: Durum | Neden önemli: Hakediş kuyruğu ve şantiye maliyet kararını etkiler | Doğru kullanım: Durum haritasından seçin | Örnek: hücredeki örnek değere bakın | Risk: Yanlış giriş hatalı karar üretir</t>
      </text>
    </comment>
    <comment ref="G26" authorId="0" shapeId="0">
      <text>
        <t>Tanım: Teklif | Neden önemli: Hakediş kuyruğu ve şantiye maliyet kararını etkiler | Doğru kullanım: Teklif tutarı TL | Örnek: hücredeki örnek değere bakın | Risk: Yanlış giriş hatalı karar üretir</t>
      </text>
    </comment>
    <comment ref="H26" authorId="0" shapeId="0">
      <text>
        <t>Tanım: Sipariş | Neden önemli: Hakediş kuyruğu ve şantiye maliyet kararını etkiler | Doğru kullanım: Sipariş tutarı TL | Örnek: hücredeki örnek değere bakın | Risk: Yanlış giriş hatalı karar üretir</t>
      </text>
    </comment>
    <comment ref="I26" authorId="0" shapeId="0">
      <text>
        <t>Tanım: Hakediş | Neden önemli: Hakediş kuyruğu ve şantiye maliyet kararını etkiler | Doğru kullanım: Hakediş tutarı TL | Örnek: hücredeki örnek değere bakın | Risk: Yanlış giriş hatalı karar üretir</t>
      </text>
    </comment>
    <comment ref="J26" authorId="0" shapeId="0">
      <text>
        <t>Tanım: Fatura | Neden önemli: Hakediş kuyruğu ve şantiye maliyet kararını etkiler | Doğru kullanım: Fatura tutarı TL | Örnek: hücredeki örnek değere bakın | Risk: Yanlış giriş hatalı karar üretir</t>
      </text>
    </comment>
    <comment ref="K26" authorId="0" shapeId="0">
      <text>
        <t>Tanım: Ödeme | Neden önemli: Hakediş kuyruğu ve şantiye maliyet kararını etkiler | Doğru kullanım: Ödeme tutarı TL | Örnek: hücredeki örnek değere bakın | Risk: Yanlış giriş hatalı karar üretir</t>
      </text>
    </comment>
    <comment ref="L26" authorId="0" shapeId="0">
      <text>
        <t>Tanım: Tutar | Neden önemli: Hakediş kuyruğu ve şantiye maliyet kararını etkiler | Doğru kullanım: Kuyruk tutarı TL | Örnek: hücredeki örnek değere bakın | Risk: Yanlış giriş hatalı karar üretir</t>
      </text>
    </comment>
    <comment ref="M26" authorId="0" shapeId="0">
      <text>
        <t>Tanım: Dönem | Neden önemli: Hakediş kuyruğu ve şantiye maliyet kararını etkiler | Doğru kullanım: YYYY-AA | Örnek: hücredeki örnek değere bakın | Risk: Yanlış giriş hatalı karar üretir</t>
      </text>
    </comment>
    <comment ref="N26" authorId="0" shapeId="0">
      <text>
        <t>Tanım: Açıklama | Neden önemli: Hakediş kuyruğu ve şantiye maliyet kararını etkiler | Doğru kullanım: Kısa açıklama | Örnek: hücredeki örnek değere bakın | Risk: Yanlış giriş hatalı karar üretir</t>
      </text>
    </comment>
    <comment ref="A27" authorId="0" shapeId="0">
      <text>
        <t>Tanım: İşlem Kimliği | Neden önemli: Hakediş kuyruğu ve şantiye maliyet kararını etkiler | Doğru kullanım: HAK-##### | Örnek: hücredeki örnek değere bakın | Risk: Yanlış giriş hatalı karar üretir</t>
      </text>
    </comment>
    <comment ref="B27" authorId="0" shapeId="0">
      <text>
        <t>Tanım: Kaynak Kart | Neden önemli: Hakediş kuyruğu ve şantiye maliyet kararını etkiler | Doğru kullanım: KARTLAR'daki KartId | Örnek: hücredeki örnek değere bakın | Risk: Yanlış giriş hatalı karar üretir</t>
      </text>
    </comment>
    <comment ref="C27" authorId="0" shapeId="0">
      <text>
        <t>Tanım: Şantiye | Neden önemli: Hakediş kuyruğu ve şantiye maliyet kararını etkiler | Doğru kullanım: SANTIYE_MALIYET kimliği | Örnek: hücredeki örnek değere bakın | Risk: Yanlış giriş hatalı karar üretir</t>
      </text>
    </comment>
    <comment ref="D27" authorId="0" shapeId="0">
      <text>
        <t>Tanım: Tarih | Neden önemli: Hakediş kuyruğu ve şantiye maliyet kararını etkiler | Doğru kullanım: Olay tarihi | Örnek: hücredeki örnek değere bakın | Risk: Yanlış giriş hatalı karar üretir</t>
      </text>
    </comment>
    <comment ref="E27" authorId="0" shapeId="0">
      <text>
        <t>Tanım: Önceki Durum | Neden önemli: Hakediş kuyruğu ve şantiye maliyet kararını etkiler | Doğru kullanım: Önceki durum_id | Örnek: hücredeki örnek değere bakın | Risk: Yanlış giriş hatalı karar üretir</t>
      </text>
    </comment>
    <comment ref="F27" authorId="0" shapeId="0">
      <text>
        <t>Tanım: Durum | Neden önemli: Hakediş kuyruğu ve şantiye maliyet kararını etkiler | Doğru kullanım: Durum haritasından seçin | Örnek: hücredeki örnek değere bakın | Risk: Yanlış giriş hatalı karar üretir</t>
      </text>
    </comment>
    <comment ref="G27" authorId="0" shapeId="0">
      <text>
        <t>Tanım: Teklif | Neden önemli: Hakediş kuyruğu ve şantiye maliyet kararını etkiler | Doğru kullanım: Teklif tutarı TL | Örnek: hücredeki örnek değere bakın | Risk: Yanlış giriş hatalı karar üretir</t>
      </text>
    </comment>
    <comment ref="H27" authorId="0" shapeId="0">
      <text>
        <t>Tanım: Sipariş | Neden önemli: Hakediş kuyruğu ve şantiye maliyet kararını etkiler | Doğru kullanım: Sipariş tutarı TL | Örnek: hücredeki örnek değere bakın | Risk: Yanlış giriş hatalı karar üretir</t>
      </text>
    </comment>
    <comment ref="I27" authorId="0" shapeId="0">
      <text>
        <t>Tanım: Hakediş | Neden önemli: Hakediş kuyruğu ve şantiye maliyet kararını etkiler | Doğru kullanım: Hakediş tutarı TL | Örnek: hücredeki örnek değere bakın | Risk: Yanlış giriş hatalı karar üretir</t>
      </text>
    </comment>
    <comment ref="J27" authorId="0" shapeId="0">
      <text>
        <t>Tanım: Fatura | Neden önemli: Hakediş kuyruğu ve şantiye maliyet kararını etkiler | Doğru kullanım: Fatura tutarı TL | Örnek: hücredeki örnek değere bakın | Risk: Yanlış giriş hatalı karar üretir</t>
      </text>
    </comment>
    <comment ref="K27" authorId="0" shapeId="0">
      <text>
        <t>Tanım: Ödeme | Neden önemli: Hakediş kuyruğu ve şantiye maliyet kararını etkiler | Doğru kullanım: Ödeme tutarı TL | Örnek: hücredeki örnek değere bakın | Risk: Yanlış giriş hatalı karar üretir</t>
      </text>
    </comment>
    <comment ref="L27" authorId="0" shapeId="0">
      <text>
        <t>Tanım: Tutar | Neden önemli: Hakediş kuyruğu ve şantiye maliyet kararını etkiler | Doğru kullanım: Kuyruk tutarı TL | Örnek: hücredeki örnek değere bakın | Risk: Yanlış giriş hatalı karar üretir</t>
      </text>
    </comment>
    <comment ref="M27" authorId="0" shapeId="0">
      <text>
        <t>Tanım: Dönem | Neden önemli: Hakediş kuyruğu ve şantiye maliyet kararını etkiler | Doğru kullanım: YYYY-AA | Örnek: hücredeki örnek değere bakın | Risk: Yanlış giriş hatalı karar üretir</t>
      </text>
    </comment>
    <comment ref="N27" authorId="0" shapeId="0">
      <text>
        <t>Tanım: Açıklama | Neden önemli: Hakediş kuyruğu ve şantiye maliyet kararını etkiler | Doğru kullanım: Kısa açıklama | Örnek: hücredeki örnek değere bakın | Risk: Yanlış giriş hatalı karar üretir</t>
      </text>
    </comment>
    <comment ref="A28" authorId="0" shapeId="0">
      <text>
        <t>Tanım: İşlem Kimliği | Neden önemli: Hakediş kuyruğu ve şantiye maliyet kararını etkiler | Doğru kullanım: HAK-##### | Örnek: hücredeki örnek değere bakın | Risk: Yanlış giriş hatalı karar üretir</t>
      </text>
    </comment>
    <comment ref="B28" authorId="0" shapeId="0">
      <text>
        <t>Tanım: Kaynak Kart | Neden önemli: Hakediş kuyruğu ve şantiye maliyet kararını etkiler | Doğru kullanım: KARTLAR'daki KartId | Örnek: hücredeki örnek değere bakın | Risk: Yanlış giriş hatalı karar üretir</t>
      </text>
    </comment>
    <comment ref="C28" authorId="0" shapeId="0">
      <text>
        <t>Tanım: Şantiye | Neden önemli: Hakediş kuyruğu ve şantiye maliyet kararını etkiler | Doğru kullanım: SANTIYE_MALIYET kimliği | Örnek: hücredeki örnek değere bakın | Risk: Yanlış giriş hatalı karar üretir</t>
      </text>
    </comment>
    <comment ref="D28" authorId="0" shapeId="0">
      <text>
        <t>Tanım: Tarih | Neden önemli: Hakediş kuyruğu ve şantiye maliyet kararını etkiler | Doğru kullanım: Olay tarihi | Örnek: hücredeki örnek değere bakın | Risk: Yanlış giriş hatalı karar üretir</t>
      </text>
    </comment>
    <comment ref="E28" authorId="0" shapeId="0">
      <text>
        <t>Tanım: Önceki Durum | Neden önemli: Hakediş kuyruğu ve şantiye maliyet kararını etkiler | Doğru kullanım: Önceki durum_id | Örnek: hücredeki örnek değere bakın | Risk: Yanlış giriş hatalı karar üretir</t>
      </text>
    </comment>
    <comment ref="F28" authorId="0" shapeId="0">
      <text>
        <t>Tanım: Durum | Neden önemli: Hakediş kuyruğu ve şantiye maliyet kararını etkiler | Doğru kullanım: Durum haritasından seçin | Örnek: hücredeki örnek değere bakın | Risk: Yanlış giriş hatalı karar üretir</t>
      </text>
    </comment>
    <comment ref="G28" authorId="0" shapeId="0">
      <text>
        <t>Tanım: Teklif | Neden önemli: Hakediş kuyruğu ve şantiye maliyet kararını etkiler | Doğru kullanım: Teklif tutarı TL | Örnek: hücredeki örnek değere bakın | Risk: Yanlış giriş hatalı karar üretir</t>
      </text>
    </comment>
    <comment ref="H28" authorId="0" shapeId="0">
      <text>
        <t>Tanım: Sipariş | Neden önemli: Hakediş kuyruğu ve şantiye maliyet kararını etkiler | Doğru kullanım: Sipariş tutarı TL | Örnek: hücredeki örnek değere bakın | Risk: Yanlış giriş hatalı karar üretir</t>
      </text>
    </comment>
    <comment ref="I28" authorId="0" shapeId="0">
      <text>
        <t>Tanım: Hakediş | Neden önemli: Hakediş kuyruğu ve şantiye maliyet kararını etkiler | Doğru kullanım: Hakediş tutarı TL | Örnek: hücredeki örnek değere bakın | Risk: Yanlış giriş hatalı karar üretir</t>
      </text>
    </comment>
    <comment ref="J28" authorId="0" shapeId="0">
      <text>
        <t>Tanım: Fatura | Neden önemli: Hakediş kuyruğu ve şantiye maliyet kararını etkiler | Doğru kullanım: Fatura tutarı TL | Örnek: hücredeki örnek değere bakın | Risk: Yanlış giriş hatalı karar üretir</t>
      </text>
    </comment>
    <comment ref="K28" authorId="0" shapeId="0">
      <text>
        <t>Tanım: Ödeme | Neden önemli: Hakediş kuyruğu ve şantiye maliyet kararını etkiler | Doğru kullanım: Ödeme tutarı TL | Örnek: hücredeki örnek değere bakın | Risk: Yanlış giriş hatalı karar üretir</t>
      </text>
    </comment>
    <comment ref="L28" authorId="0" shapeId="0">
      <text>
        <t>Tanım: Tutar | Neden önemli: Hakediş kuyruğu ve şantiye maliyet kararını etkiler | Doğru kullanım: Kuyruk tutarı TL | Örnek: hücredeki örnek değere bakın | Risk: Yanlış giriş hatalı karar üretir</t>
      </text>
    </comment>
    <comment ref="M28" authorId="0" shapeId="0">
      <text>
        <t>Tanım: Dönem | Neden önemli: Hakediş kuyruğu ve şantiye maliyet kararını etkiler | Doğru kullanım: YYYY-AA | Örnek: hücredeki örnek değere bakın | Risk: Yanlış giriş hatalı karar üretir</t>
      </text>
    </comment>
    <comment ref="N28" authorId="0" shapeId="0">
      <text>
        <t>Tanım: Açıklama | Neden önemli: Hakediş kuyruğu ve şantiye maliyet kararını etkiler | Doğru kullanım: Kısa açıklama | Örnek: hücredeki örnek değere bakın | Risk: Yanlış giriş hatalı karar üretir</t>
      </text>
    </comment>
    <comment ref="A29" authorId="0" shapeId="0">
      <text>
        <t>Tanım: İşlem Kimliği | Neden önemli: Hakediş kuyruğu ve şantiye maliyet kararını etkiler | Doğru kullanım: HAK-##### | Örnek: hücredeki örnek değere bakın | Risk: Yanlış giriş hatalı karar üretir</t>
      </text>
    </comment>
    <comment ref="B29" authorId="0" shapeId="0">
      <text>
        <t>Tanım: Kaynak Kart | Neden önemli: Hakediş kuyruğu ve şantiye maliyet kararını etkiler | Doğru kullanım: KARTLAR'daki KartId | Örnek: hücredeki örnek değere bakın | Risk: Yanlış giriş hatalı karar üretir</t>
      </text>
    </comment>
    <comment ref="C29" authorId="0" shapeId="0">
      <text>
        <t>Tanım: Şantiye | Neden önemli: Hakediş kuyruğu ve şantiye maliyet kararını etkiler | Doğru kullanım: SANTIYE_MALIYET kimliği | Örnek: hücredeki örnek değere bakın | Risk: Yanlış giriş hatalı karar üretir</t>
      </text>
    </comment>
    <comment ref="D29" authorId="0" shapeId="0">
      <text>
        <t>Tanım: Tarih | Neden önemli: Hakediş kuyruğu ve şantiye maliyet kararını etkiler | Doğru kullanım: Olay tarihi | Örnek: hücredeki örnek değere bakın | Risk: Yanlış giriş hatalı karar üretir</t>
      </text>
    </comment>
    <comment ref="E29" authorId="0" shapeId="0">
      <text>
        <t>Tanım: Önceki Durum | Neden önemli: Hakediş kuyruğu ve şantiye maliyet kararını etkiler | Doğru kullanım: Önceki durum_id | Örnek: hücredeki örnek değere bakın | Risk: Yanlış giriş hatalı karar üretir</t>
      </text>
    </comment>
    <comment ref="F29" authorId="0" shapeId="0">
      <text>
        <t>Tanım: Durum | Neden önemli: Hakediş kuyruğu ve şantiye maliyet kararını etkiler | Doğru kullanım: Durum haritasından seçin | Örnek: hücredeki örnek değere bakın | Risk: Yanlış giriş hatalı karar üretir</t>
      </text>
    </comment>
    <comment ref="G29" authorId="0" shapeId="0">
      <text>
        <t>Tanım: Teklif | Neden önemli: Hakediş kuyruğu ve şantiye maliyet kararını etkiler | Doğru kullanım: Teklif tutarı TL | Örnek: hücredeki örnek değere bakın | Risk: Yanlış giriş hatalı karar üretir</t>
      </text>
    </comment>
    <comment ref="H29" authorId="0" shapeId="0">
      <text>
        <t>Tanım: Sipariş | Neden önemli: Hakediş kuyruğu ve şantiye maliyet kararını etkiler | Doğru kullanım: Sipariş tutarı TL | Örnek: hücredeki örnek değere bakın | Risk: Yanlış giriş hatalı karar üretir</t>
      </text>
    </comment>
    <comment ref="I29" authorId="0" shapeId="0">
      <text>
        <t>Tanım: Hakediş | Neden önemli: Hakediş kuyruğu ve şantiye maliyet kararını etkiler | Doğru kullanım: Hakediş tutarı TL | Örnek: hücredeki örnek değere bakın | Risk: Yanlış giriş hatalı karar üretir</t>
      </text>
    </comment>
    <comment ref="J29" authorId="0" shapeId="0">
      <text>
        <t>Tanım: Fatura | Neden önemli: Hakediş kuyruğu ve şantiye maliyet kararını etkiler | Doğru kullanım: Fatura tutarı TL | Örnek: hücredeki örnek değere bakın | Risk: Yanlış giriş hatalı karar üretir</t>
      </text>
    </comment>
    <comment ref="K29" authorId="0" shapeId="0">
      <text>
        <t>Tanım: Ödeme | Neden önemli: Hakediş kuyruğu ve şantiye maliyet kararını etkiler | Doğru kullanım: Ödeme tutarı TL | Örnek: hücredeki örnek değere bakın | Risk: Yanlış giriş hatalı karar üretir</t>
      </text>
    </comment>
    <comment ref="L29" authorId="0" shapeId="0">
      <text>
        <t>Tanım: Tutar | Neden önemli: Hakediş kuyruğu ve şantiye maliyet kararını etkiler | Doğru kullanım: Kuyruk tutarı TL | Örnek: hücredeki örnek değere bakın | Risk: Yanlış giriş hatalı karar üretir</t>
      </text>
    </comment>
    <comment ref="M29" authorId="0" shapeId="0">
      <text>
        <t>Tanım: Dönem | Neden önemli: Hakediş kuyruğu ve şantiye maliyet kararını etkiler | Doğru kullanım: YYYY-AA | Örnek: hücredeki örnek değere bakın | Risk: Yanlış giriş hatalı karar üretir</t>
      </text>
    </comment>
    <comment ref="N29" authorId="0" shapeId="0">
      <text>
        <t>Tanım: Açıklama | Neden önemli: Hakediş kuyruğu ve şantiye maliyet kararını etkiler | Doğru kullanım: Kısa açıklama | Örnek: hücredeki örnek değere bakın | Risk: Yanlış giriş hatalı karar üretir</t>
      </text>
    </comment>
    <comment ref="A30" authorId="0" shapeId="0">
      <text>
        <t>Tanım: İşlem Kimliği | Neden önemli: Hakediş kuyruğu ve şantiye maliyet kararını etkiler | Doğru kullanım: HAK-##### | Örnek: hücredeki örnek değere bakın | Risk: Yanlış giriş hatalı karar üretir</t>
      </text>
    </comment>
    <comment ref="B30" authorId="0" shapeId="0">
      <text>
        <t>Tanım: Kaynak Kart | Neden önemli: Hakediş kuyruğu ve şantiye maliyet kararını etkiler | Doğru kullanım: KARTLAR'daki KartId | Örnek: hücredeki örnek değere bakın | Risk: Yanlış giriş hatalı karar üretir</t>
      </text>
    </comment>
    <comment ref="C30" authorId="0" shapeId="0">
      <text>
        <t>Tanım: Şantiye | Neden önemli: Hakediş kuyruğu ve şantiye maliyet kararını etkiler | Doğru kullanım: SANTIYE_MALIYET kimliği | Örnek: hücredeki örnek değere bakın | Risk: Yanlış giriş hatalı karar üretir</t>
      </text>
    </comment>
    <comment ref="D30" authorId="0" shapeId="0">
      <text>
        <t>Tanım: Tarih | Neden önemli: Hakediş kuyruğu ve şantiye maliyet kararını etkiler | Doğru kullanım: Olay tarihi | Örnek: hücredeki örnek değere bakın | Risk: Yanlış giriş hatalı karar üretir</t>
      </text>
    </comment>
    <comment ref="E30" authorId="0" shapeId="0">
      <text>
        <t>Tanım: Önceki Durum | Neden önemli: Hakediş kuyruğu ve şantiye maliyet kararını etkiler | Doğru kullanım: Önceki durum_id | Örnek: hücredeki örnek değere bakın | Risk: Yanlış giriş hatalı karar üretir</t>
      </text>
    </comment>
    <comment ref="F30" authorId="0" shapeId="0">
      <text>
        <t>Tanım: Durum | Neden önemli: Hakediş kuyruğu ve şantiye maliyet kararını etkiler | Doğru kullanım: Durum haritasından seçin | Örnek: hücredeki örnek değere bakın | Risk: Yanlış giriş hatalı karar üretir</t>
      </text>
    </comment>
    <comment ref="G30" authorId="0" shapeId="0">
      <text>
        <t>Tanım: Teklif | Neden önemli: Hakediş kuyruğu ve şantiye maliyet kararını etkiler | Doğru kullanım: Teklif tutarı TL | Örnek: hücredeki örnek değere bakın | Risk: Yanlış giriş hatalı karar üretir</t>
      </text>
    </comment>
    <comment ref="H30" authorId="0" shapeId="0">
      <text>
        <t>Tanım: Sipariş | Neden önemli: Hakediş kuyruğu ve şantiye maliyet kararını etkiler | Doğru kullanım: Sipariş tutarı TL | Örnek: hücredeki örnek değere bakın | Risk: Yanlış giriş hatalı karar üretir</t>
      </text>
    </comment>
    <comment ref="I30" authorId="0" shapeId="0">
      <text>
        <t>Tanım: Hakediş | Neden önemli: Hakediş kuyruğu ve şantiye maliyet kararını etkiler | Doğru kullanım: Hakediş tutarı TL | Örnek: hücredeki örnek değere bakın | Risk: Yanlış giriş hatalı karar üretir</t>
      </text>
    </comment>
    <comment ref="J30" authorId="0" shapeId="0">
      <text>
        <t>Tanım: Fatura | Neden önemli: Hakediş kuyruğu ve şantiye maliyet kararını etkiler | Doğru kullanım: Fatura tutarı TL | Örnek: hücredeki örnek değere bakın | Risk: Yanlış giriş hatalı karar üretir</t>
      </text>
    </comment>
    <comment ref="K30" authorId="0" shapeId="0">
      <text>
        <t>Tanım: Ödeme | Neden önemli: Hakediş kuyruğu ve şantiye maliyet kararını etkiler | Doğru kullanım: Ödeme tutarı TL | Örnek: hücredeki örnek değere bakın | Risk: Yanlış giriş hatalı karar üretir</t>
      </text>
    </comment>
    <comment ref="L30" authorId="0" shapeId="0">
      <text>
        <t>Tanım: Tutar | Neden önemli: Hakediş kuyruğu ve şantiye maliyet kararını etkiler | Doğru kullanım: Kuyruk tutarı TL | Örnek: hücredeki örnek değere bakın | Risk: Yanlış giriş hatalı karar üretir</t>
      </text>
    </comment>
    <comment ref="M30" authorId="0" shapeId="0">
      <text>
        <t>Tanım: Dönem | Neden önemli: Hakediş kuyruğu ve şantiye maliyet kararını etkiler | Doğru kullanım: YYYY-AA | Örnek: hücredeki örnek değere bakın | Risk: Yanlış giriş hatalı karar üretir</t>
      </text>
    </comment>
    <comment ref="N30" authorId="0" shapeId="0">
      <text>
        <t>Tanım: Açıklama | Neden önemli: Hakediş kuyruğu ve şantiye maliyet kararını etkiler | Doğru kullanım: Kısa açıklama | Örnek: hücredeki örnek değere bakın | Risk: Yanlış giriş hatalı karar üretir</t>
      </text>
    </comment>
    <comment ref="A31" authorId="0" shapeId="0">
      <text>
        <t>Tanım: İşlem Kimliği | Neden önemli: Hakediş kuyruğu ve şantiye maliyet kararını etkiler | Doğru kullanım: HAK-##### | Örnek: hücredeki örnek değere bakın | Risk: Yanlış giriş hatalı karar üretir</t>
      </text>
    </comment>
    <comment ref="B31" authorId="0" shapeId="0">
      <text>
        <t>Tanım: Kaynak Kart | Neden önemli: Hakediş kuyruğu ve şantiye maliyet kararını etkiler | Doğru kullanım: KARTLAR'daki KartId | Örnek: hücredeki örnek değere bakın | Risk: Yanlış giriş hatalı karar üretir</t>
      </text>
    </comment>
    <comment ref="C31" authorId="0" shapeId="0">
      <text>
        <t>Tanım: Şantiye | Neden önemli: Hakediş kuyruğu ve şantiye maliyet kararını etkiler | Doğru kullanım: SANTIYE_MALIYET kimliği | Örnek: hücredeki örnek değere bakın | Risk: Yanlış giriş hatalı karar üretir</t>
      </text>
    </comment>
    <comment ref="D31" authorId="0" shapeId="0">
      <text>
        <t>Tanım: Tarih | Neden önemli: Hakediş kuyruğu ve şantiye maliyet kararını etkiler | Doğru kullanım: Olay tarihi | Örnek: hücredeki örnek değere bakın | Risk: Yanlış giriş hatalı karar üretir</t>
      </text>
    </comment>
    <comment ref="E31" authorId="0" shapeId="0">
      <text>
        <t>Tanım: Önceki Durum | Neden önemli: Hakediş kuyruğu ve şantiye maliyet kararını etkiler | Doğru kullanım: Önceki durum_id | Örnek: hücredeki örnek değere bakın | Risk: Yanlış giriş hatalı karar üretir</t>
      </text>
    </comment>
    <comment ref="F31" authorId="0" shapeId="0">
      <text>
        <t>Tanım: Durum | Neden önemli: Hakediş kuyruğu ve şantiye maliyet kararını etkiler | Doğru kullanım: Durum haritasından seçin | Örnek: hücredeki örnek değere bakın | Risk: Yanlış giriş hatalı karar üretir</t>
      </text>
    </comment>
    <comment ref="G31" authorId="0" shapeId="0">
      <text>
        <t>Tanım: Teklif | Neden önemli: Hakediş kuyruğu ve şantiye maliyet kararını etkiler | Doğru kullanım: Teklif tutarı TL | Örnek: hücredeki örnek değere bakın | Risk: Yanlış giriş hatalı karar üretir</t>
      </text>
    </comment>
    <comment ref="H31" authorId="0" shapeId="0">
      <text>
        <t>Tanım: Sipariş | Neden önemli: Hakediş kuyruğu ve şantiye maliyet kararını etkiler | Doğru kullanım: Sipariş tutarı TL | Örnek: hücredeki örnek değere bakın | Risk: Yanlış giriş hatalı karar üretir</t>
      </text>
    </comment>
    <comment ref="I31" authorId="0" shapeId="0">
      <text>
        <t>Tanım: Hakediş | Neden önemli: Hakediş kuyruğu ve şantiye maliyet kararını etkiler | Doğru kullanım: Hakediş tutarı TL | Örnek: hücredeki örnek değere bakın | Risk: Yanlış giriş hatalı karar üretir</t>
      </text>
    </comment>
    <comment ref="J31" authorId="0" shapeId="0">
      <text>
        <t>Tanım: Fatura | Neden önemli: Hakediş kuyruğu ve şantiye maliyet kararını etkiler | Doğru kullanım: Fatura tutarı TL | Örnek: hücredeki örnek değere bakın | Risk: Yanlış giriş hatalı karar üretir</t>
      </text>
    </comment>
    <comment ref="K31" authorId="0" shapeId="0">
      <text>
        <t>Tanım: Ödeme | Neden önemli: Hakediş kuyruğu ve şantiye maliyet kararını etkiler | Doğru kullanım: Ödeme tutarı TL | Örnek: hücredeki örnek değere bakın | Risk: Yanlış giriş hatalı karar üretir</t>
      </text>
    </comment>
    <comment ref="L31" authorId="0" shapeId="0">
      <text>
        <t>Tanım: Tutar | Neden önemli: Hakediş kuyruğu ve şantiye maliyet kararını etkiler | Doğru kullanım: Kuyruk tutarı TL | Örnek: hücredeki örnek değere bakın | Risk: Yanlış giriş hatalı karar üretir</t>
      </text>
    </comment>
    <comment ref="M31" authorId="0" shapeId="0">
      <text>
        <t>Tanım: Dönem | Neden önemli: Hakediş kuyruğu ve şantiye maliyet kararını etkiler | Doğru kullanım: YYYY-AA | Örnek: hücredeki örnek değere bakın | Risk: Yanlış giriş hatalı karar üretir</t>
      </text>
    </comment>
    <comment ref="N31" authorId="0" shapeId="0">
      <text>
        <t>Tanım: Açıklama | Neden önemli: Hakediş kuyruğu ve şantiye maliyet kararını etkiler | Doğru kullanım: Kısa açıklama | Örnek: hücredeki örnek değere bakın | Risk: Yanlış giriş hatalı karar üretir</t>
      </text>
    </comment>
    <comment ref="A32" authorId="0" shapeId="0">
      <text>
        <t>Tanım: İşlem Kimliği | Neden önemli: Hakediş kuyruğu ve şantiye maliyet kararını etkiler | Doğru kullanım: HAK-##### | Örnek: hücredeki örnek değere bakın | Risk: Yanlış giriş hatalı karar üretir</t>
      </text>
    </comment>
    <comment ref="B32" authorId="0" shapeId="0">
      <text>
        <t>Tanım: Kaynak Kart | Neden önemli: Hakediş kuyruğu ve şantiye maliyet kararını etkiler | Doğru kullanım: KARTLAR'daki KartId | Örnek: hücredeki örnek değere bakın | Risk: Yanlış giriş hatalı karar üretir</t>
      </text>
    </comment>
    <comment ref="C32" authorId="0" shapeId="0">
      <text>
        <t>Tanım: Şantiye | Neden önemli: Hakediş kuyruğu ve şantiye maliyet kararını etkiler | Doğru kullanım: SANTIYE_MALIYET kimliği | Örnek: hücredeki örnek değere bakın | Risk: Yanlış giriş hatalı karar üretir</t>
      </text>
    </comment>
    <comment ref="D32" authorId="0" shapeId="0">
      <text>
        <t>Tanım: Tarih | Neden önemli: Hakediş kuyruğu ve şantiye maliyet kararını etkiler | Doğru kullanım: Olay tarihi | Örnek: hücredeki örnek değere bakın | Risk: Yanlış giriş hatalı karar üretir</t>
      </text>
    </comment>
    <comment ref="E32" authorId="0" shapeId="0">
      <text>
        <t>Tanım: Önceki Durum | Neden önemli: Hakediş kuyruğu ve şantiye maliyet kararını etkiler | Doğru kullanım: Önceki durum_id | Örnek: hücredeki örnek değere bakın | Risk: Yanlış giriş hatalı karar üretir</t>
      </text>
    </comment>
    <comment ref="F32" authorId="0" shapeId="0">
      <text>
        <t>Tanım: Durum | Neden önemli: Hakediş kuyruğu ve şantiye maliyet kararını etkiler | Doğru kullanım: Durum haritasından seçin | Örnek: hücredeki örnek değere bakın | Risk: Yanlış giriş hatalı karar üretir</t>
      </text>
    </comment>
    <comment ref="G32" authorId="0" shapeId="0">
      <text>
        <t>Tanım: Teklif | Neden önemli: Hakediş kuyruğu ve şantiye maliyet kararını etkiler | Doğru kullanım: Teklif tutarı TL | Örnek: hücredeki örnek değere bakın | Risk: Yanlış giriş hatalı karar üretir</t>
      </text>
    </comment>
    <comment ref="H32" authorId="0" shapeId="0">
      <text>
        <t>Tanım: Sipariş | Neden önemli: Hakediş kuyruğu ve şantiye maliyet kararını etkiler | Doğru kullanım: Sipariş tutarı TL | Örnek: hücredeki örnek değere bakın | Risk: Yanlış giriş hatalı karar üretir</t>
      </text>
    </comment>
    <comment ref="I32" authorId="0" shapeId="0">
      <text>
        <t>Tanım: Hakediş | Neden önemli: Hakediş kuyruğu ve şantiye maliyet kararını etkiler | Doğru kullanım: Hakediş tutarı TL | Örnek: hücredeki örnek değere bakın | Risk: Yanlış giriş hatalı karar üretir</t>
      </text>
    </comment>
    <comment ref="J32" authorId="0" shapeId="0">
      <text>
        <t>Tanım: Fatura | Neden önemli: Hakediş kuyruğu ve şantiye maliyet kararını etkiler | Doğru kullanım: Fatura tutarı TL | Örnek: hücredeki örnek değere bakın | Risk: Yanlış giriş hatalı karar üretir</t>
      </text>
    </comment>
    <comment ref="K32" authorId="0" shapeId="0">
      <text>
        <t>Tanım: Ödeme | Neden önemli: Hakediş kuyruğu ve şantiye maliyet kararını etkiler | Doğru kullanım: Ödeme tutarı TL | Örnek: hücredeki örnek değere bakın | Risk: Yanlış giriş hatalı karar üretir</t>
      </text>
    </comment>
    <comment ref="L32" authorId="0" shapeId="0">
      <text>
        <t>Tanım: Tutar | Neden önemli: Hakediş kuyruğu ve şantiye maliyet kararını etkiler | Doğru kullanım: Kuyruk tutarı TL | Örnek: hücredeki örnek değere bakın | Risk: Yanlış giriş hatalı karar üretir</t>
      </text>
    </comment>
    <comment ref="M32" authorId="0" shapeId="0">
      <text>
        <t>Tanım: Dönem | Neden önemli: Hakediş kuyruğu ve şantiye maliyet kararını etkiler | Doğru kullanım: YYYY-AA | Örnek: hücredeki örnek değere bakın | Risk: Yanlış giriş hatalı karar üretir</t>
      </text>
    </comment>
    <comment ref="N32" authorId="0" shapeId="0">
      <text>
        <t>Tanım: Açıklama | Neden önemli: Hakediş kuyruğu ve şantiye maliyet kararını etkiler | Doğru kullanım: Kısa açıklama | Örnek: hücredeki örnek değere bakın | Risk: Yanlış giriş hatalı karar üretir</t>
      </text>
    </comment>
    <comment ref="A33" authorId="0" shapeId="0">
      <text>
        <t>Tanım: İşlem Kimliği | Neden önemli: Hakediş kuyruğu ve şantiye maliyet kararını etkiler | Doğru kullanım: HAK-##### | Örnek: hücredeki örnek değere bakın | Risk: Yanlış giriş hatalı karar üretir</t>
      </text>
    </comment>
    <comment ref="B33" authorId="0" shapeId="0">
      <text>
        <t>Tanım: Kaynak Kart | Neden önemli: Hakediş kuyruğu ve şantiye maliyet kararını etkiler | Doğru kullanım: KARTLAR'daki KartId | Örnek: hücredeki örnek değere bakın | Risk: Yanlış giriş hatalı karar üretir</t>
      </text>
    </comment>
    <comment ref="C33" authorId="0" shapeId="0">
      <text>
        <t>Tanım: Şantiye | Neden önemli: Hakediş kuyruğu ve şantiye maliyet kararını etkiler | Doğru kullanım: SANTIYE_MALIYET kimliği | Örnek: hücredeki örnek değere bakın | Risk: Yanlış giriş hatalı karar üretir</t>
      </text>
    </comment>
    <comment ref="D33" authorId="0" shapeId="0">
      <text>
        <t>Tanım: Tarih | Neden önemli: Hakediş kuyruğu ve şantiye maliyet kararını etkiler | Doğru kullanım: Olay tarihi | Örnek: hücredeki örnek değere bakın | Risk: Yanlış giriş hatalı karar üretir</t>
      </text>
    </comment>
    <comment ref="E33" authorId="0" shapeId="0">
      <text>
        <t>Tanım: Önceki Durum | Neden önemli: Hakediş kuyruğu ve şantiye maliyet kararını etkiler | Doğru kullanım: Önceki durum_id | Örnek: hücredeki örnek değere bakın | Risk: Yanlış giriş hatalı karar üretir</t>
      </text>
    </comment>
    <comment ref="F33" authorId="0" shapeId="0">
      <text>
        <t>Tanım: Durum | Neden önemli: Hakediş kuyruğu ve şantiye maliyet kararını etkiler | Doğru kullanım: Durum haritasından seçin | Örnek: hücredeki örnek değere bakın | Risk: Yanlış giriş hatalı karar üretir</t>
      </text>
    </comment>
    <comment ref="G33" authorId="0" shapeId="0">
      <text>
        <t>Tanım: Teklif | Neden önemli: Hakediş kuyruğu ve şantiye maliyet kararını etkiler | Doğru kullanım: Teklif tutarı TL | Örnek: hücredeki örnek değere bakın | Risk: Yanlış giriş hatalı karar üretir</t>
      </text>
    </comment>
    <comment ref="H33" authorId="0" shapeId="0">
      <text>
        <t>Tanım: Sipariş | Neden önemli: Hakediş kuyruğu ve şantiye maliyet kararını etkiler | Doğru kullanım: Sipariş tutarı TL | Örnek: hücredeki örnek değere bakın | Risk: Yanlış giriş hatalı karar üretir</t>
      </text>
    </comment>
    <comment ref="I33" authorId="0" shapeId="0">
      <text>
        <t>Tanım: Hakediş | Neden önemli: Hakediş kuyruğu ve şantiye maliyet kararını etkiler | Doğru kullanım: Hakediş tutarı TL | Örnek: hücredeki örnek değere bakın | Risk: Yanlış giriş hatalı karar üretir</t>
      </text>
    </comment>
    <comment ref="J33" authorId="0" shapeId="0">
      <text>
        <t>Tanım: Fatura | Neden önemli: Hakediş kuyruğu ve şantiye maliyet kararını etkiler | Doğru kullanım: Fatura tutarı TL | Örnek: hücredeki örnek değere bakın | Risk: Yanlış giriş hatalı karar üretir</t>
      </text>
    </comment>
    <comment ref="K33" authorId="0" shapeId="0">
      <text>
        <t>Tanım: Ödeme | Neden önemli: Hakediş kuyruğu ve şantiye maliyet kararını etkiler | Doğru kullanım: Ödeme tutarı TL | Örnek: hücredeki örnek değere bakın | Risk: Yanlış giriş hatalı karar üretir</t>
      </text>
    </comment>
    <comment ref="L33" authorId="0" shapeId="0">
      <text>
        <t>Tanım: Tutar | Neden önemli: Hakediş kuyruğu ve şantiye maliyet kararını etkiler | Doğru kullanım: Kuyruk tutarı TL | Örnek: hücredeki örnek değere bakın | Risk: Yanlış giriş hatalı karar üretir</t>
      </text>
    </comment>
    <comment ref="M33" authorId="0" shapeId="0">
      <text>
        <t>Tanım: Dönem | Neden önemli: Hakediş kuyruğu ve şantiye maliyet kararını etkiler | Doğru kullanım: YYYY-AA | Örnek: hücredeki örnek değere bakın | Risk: Yanlış giriş hatalı karar üretir</t>
      </text>
    </comment>
    <comment ref="N33" authorId="0" shapeId="0">
      <text>
        <t>Tanım: Açıklama | Neden önemli: Hakediş kuyruğu ve şantiye maliyet kararını etkiler | Doğru kullanım: Kısa açıklama | Örnek: hücredeki örnek değere bakın | Risk: Yanlış giriş hatalı karar üretir</t>
      </text>
    </comment>
    <comment ref="A34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34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3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34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34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34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34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34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34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34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34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34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34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34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35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35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3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35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35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35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35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35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35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35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35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35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35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35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36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36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3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36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36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36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36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36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36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36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36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36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36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36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37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37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3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37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37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37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37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37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37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37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37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37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37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37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38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38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3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38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38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38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38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38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38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38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38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38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38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38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39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39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3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39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39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39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39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39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39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39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39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39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39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39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40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40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4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40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40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40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40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40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40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40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40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40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40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40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41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41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4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41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41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41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41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41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41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41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41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41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41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41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42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42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4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42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42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42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42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42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42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42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42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42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42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42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43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43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4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43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43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43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43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43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43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43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43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43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43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43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44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44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4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44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44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44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44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44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44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44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44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44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44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44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45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45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4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45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45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45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45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45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45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45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45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45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45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45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46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46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4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46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46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46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46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46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46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46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46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46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46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46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47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47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4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47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47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47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47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47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47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47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47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47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47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47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48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48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4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48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48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48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48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48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48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48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48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48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48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48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49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49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4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49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49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49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49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49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49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49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49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49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49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49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50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50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5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50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50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50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50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50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50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50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50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50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50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50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51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51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5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51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51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51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51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51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51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51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51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51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51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51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52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52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5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52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52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52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52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52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52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52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52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52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52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52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53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53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5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53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53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53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53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53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53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53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53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53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53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53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54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54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5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54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54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54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54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54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54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54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54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54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54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54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55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55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5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55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55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55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55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55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55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55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55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55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55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55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56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56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5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56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56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56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56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56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56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56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56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56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56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56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57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57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5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57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57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57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57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57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57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57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57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57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57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57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58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58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5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58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58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58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58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58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58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58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58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58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58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58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59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59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5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59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59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59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59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59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59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59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59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59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59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59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60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60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6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60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60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60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60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60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60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60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60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60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60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60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61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61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6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61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61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61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61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61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61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61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61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61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61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61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62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62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6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62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62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62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62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62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62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62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62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62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62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62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63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63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6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63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63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63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63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63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63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63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63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63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63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63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64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64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6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64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64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64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64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64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64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64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64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64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64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64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65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65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6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65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65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65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65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65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65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65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65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65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65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65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66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66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6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66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66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66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66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66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66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66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66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66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66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66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67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67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6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67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67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67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67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67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67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67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67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67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67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67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68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68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6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68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68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68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68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68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68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68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68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68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68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68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69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69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6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69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69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69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69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69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69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69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69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69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69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69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70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70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7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70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70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70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70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70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70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70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70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70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70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70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71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71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7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71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71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71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71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71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71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71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71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71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71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71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72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72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7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72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72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72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72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72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72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72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72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72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72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72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73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73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7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73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73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73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73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73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73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73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73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73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73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73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74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74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7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74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74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74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74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74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74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74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74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74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74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74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75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75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7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75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75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75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75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75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75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75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75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75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75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75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76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76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7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76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76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76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76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76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76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76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76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76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76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76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77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77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7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77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77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77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77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77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77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77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77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77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77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77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78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78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7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78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78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78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78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78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78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78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78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78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78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78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79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79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7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79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79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79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79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79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79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79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79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79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79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79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80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80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8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80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80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80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80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80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80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80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80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80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80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80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81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81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8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81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81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81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81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81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81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81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81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81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81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81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82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82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8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82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82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82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82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82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82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82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82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82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82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82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83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83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8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83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83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83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83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83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83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83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83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83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83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83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84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84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8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84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84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84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84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84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84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84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84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84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84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84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85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85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8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85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85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85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85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85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85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85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85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85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85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85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86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86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8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86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86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86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86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86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86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86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86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86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86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86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87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87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8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87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87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87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87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87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87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87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87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87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87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87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88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88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8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88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88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88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88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88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88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88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88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88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88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88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89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89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8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89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89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89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89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89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89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89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89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89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89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89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90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90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9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90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90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90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90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90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90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90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90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90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90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90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91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91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9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91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91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91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91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91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91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91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91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91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91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91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92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92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9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92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92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92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92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92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92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92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92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92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92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92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93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93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9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93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93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93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93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93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93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93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93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93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93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93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94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94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9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94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94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94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94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94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94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94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94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94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94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94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95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95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9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95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95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95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95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95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95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95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95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95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95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95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96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96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9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96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96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96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96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96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96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96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96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96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96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96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97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97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9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97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97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97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97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97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97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97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97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97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97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97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98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98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9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98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98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98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98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98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98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98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98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98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98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98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99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99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9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99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99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99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99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99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99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99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99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99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99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99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00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00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0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00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00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00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00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00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00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00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00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00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00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00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01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01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0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01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01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01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01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01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01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01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01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01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01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01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02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02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0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02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02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02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02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02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02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02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02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02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02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02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03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03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0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03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03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03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03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03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03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03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03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03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03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03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04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04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0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04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04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04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04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04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04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04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04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04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04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04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05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05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0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05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05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05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05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05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05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05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05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05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05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05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06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06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0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06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06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06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06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06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06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06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06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06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06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06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07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07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0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07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07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07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07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07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07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07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07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07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07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07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08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08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0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08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08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08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08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08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08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08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08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08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08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08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09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09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0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09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09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09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09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09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09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09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09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09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09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09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10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10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1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10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10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10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10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10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10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10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10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10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10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10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11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11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1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11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11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11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11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11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11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11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11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11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11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11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12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12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1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12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12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12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12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12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12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12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12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12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12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12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13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13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1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13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13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13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13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13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13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13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13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13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13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13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14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14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1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14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14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14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14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14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14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14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14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14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14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14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15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15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1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15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15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15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15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15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15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15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15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15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15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15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16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16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1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16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16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16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16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16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16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16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16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16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16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16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17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17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1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17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17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17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17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17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17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17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17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17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17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17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18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18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1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18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18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18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18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18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18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18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18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18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18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18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19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19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1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19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19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19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19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19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19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19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19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19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19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19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20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20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2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20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20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20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20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20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20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20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20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20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20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20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21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21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2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21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21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21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21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21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21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21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21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21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21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21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22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22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2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22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22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22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22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22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22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22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22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22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22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22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23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23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2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23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23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23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23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23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23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23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23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23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23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23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24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24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2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24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24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24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24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24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24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24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24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24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24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24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25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25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2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25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25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25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25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25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25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25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25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25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25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25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26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26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2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26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26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26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26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26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26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26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26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26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26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26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27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27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2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27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27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27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27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27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27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27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27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27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27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27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28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28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2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28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28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28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28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28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28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28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28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28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28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28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29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29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2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29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29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29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29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29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29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29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29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29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29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29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30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30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3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30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30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30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30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30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30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30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30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30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30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30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31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31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3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31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31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31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31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31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31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31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31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31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31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31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32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32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3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32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32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32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32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32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32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32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32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32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32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32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33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33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3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33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33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33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33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33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33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33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33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33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33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33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34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34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3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34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34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34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34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34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34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34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34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34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34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34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35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35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3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35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35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35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35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35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35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35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35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35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35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35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36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36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3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36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36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36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36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36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36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36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36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36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36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36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37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37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3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37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37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37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37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37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37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37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37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37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37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37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38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38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3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38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38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38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38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38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38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38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38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38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38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38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39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39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3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39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39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39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39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39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39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39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39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39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39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39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40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40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4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40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40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40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40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40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40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40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40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40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40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40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41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41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4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41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41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41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41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41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41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41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41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41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41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41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42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42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4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42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42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42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42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42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42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42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42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42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42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42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43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43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4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43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43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43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43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43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43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43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43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43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43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43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44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44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4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44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44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44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44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44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44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44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44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44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44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44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45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45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4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45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45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45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45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45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45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45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45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45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45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45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46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46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4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46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46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46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46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46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46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46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46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46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46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46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47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47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4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47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47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47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47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47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47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47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47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47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47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47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48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48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4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48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48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48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48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48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48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48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48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48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48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48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49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49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4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49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49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49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49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49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49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49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49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49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49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49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50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50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5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50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50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50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50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50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50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50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50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50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50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50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51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51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5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51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51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51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51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51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51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51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51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51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51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51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52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52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5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52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52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52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52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52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52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52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52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52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52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52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53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53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5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53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53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53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53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53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53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53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53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53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53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53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54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54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5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54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54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54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54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54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54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54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54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54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54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54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55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55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5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55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55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55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55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55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55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55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55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55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55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55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56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56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5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56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56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56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56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56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56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56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56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56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56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56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57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57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5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57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57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57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57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57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57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57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57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57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57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57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58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58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5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58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58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58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58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58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58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58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58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58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58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58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59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59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5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59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59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59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59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59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59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59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59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59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59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59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60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60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6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60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60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60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60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60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60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60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60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60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60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60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61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61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6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61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61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61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61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61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61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61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61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61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61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61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62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62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6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62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62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62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62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62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62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62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62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62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62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62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63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63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6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63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63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63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63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63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63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63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63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63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63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63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64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64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6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64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64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64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64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64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64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64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64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64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64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64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65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65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6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65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65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65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65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65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65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65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65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65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65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65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66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66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6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66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66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66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66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66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66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66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66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66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66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66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67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67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6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67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67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67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67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67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67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67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67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67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67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67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68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68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6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68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68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68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68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68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68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68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68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68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68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68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69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69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6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69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69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69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69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69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69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69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69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69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69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69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70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70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7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70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70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70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70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70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70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70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70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70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70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70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71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71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7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71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71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71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71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71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71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71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71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71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71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71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72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72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7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72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72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72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72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72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72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72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72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72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72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72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73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73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7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73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73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73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73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73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73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73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73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73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73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73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74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74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7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74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74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74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74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74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74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74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74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74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74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74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75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75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7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75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75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75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75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75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75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75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75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75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75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75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76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76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7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76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76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76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76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76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76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76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76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76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76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76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77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77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7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77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77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77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77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77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77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77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77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77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77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77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78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78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7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78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78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78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78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78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78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78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78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78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78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78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79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79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7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79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79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79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79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79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79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79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79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79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79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79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80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80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8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80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80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80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80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80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80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80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80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80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80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80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81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81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8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81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81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81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81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81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81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81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81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81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81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81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82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82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8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82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82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82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82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82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82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82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82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82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82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82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83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83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8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83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83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83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83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83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83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83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83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83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83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83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84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84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8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84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84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84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84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84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84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84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84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84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84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84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85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85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8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85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85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85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85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85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85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85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85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85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85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85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86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86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8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86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86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86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86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86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86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86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86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86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86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86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87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87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8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87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87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87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87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87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87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87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87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87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87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87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88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88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8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88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88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88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88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88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88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88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88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88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88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88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89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89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8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89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89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89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89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89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89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89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89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89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89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89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90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90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9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90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90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90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90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90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90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90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90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90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90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90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91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91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9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91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91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91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91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91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91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91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91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91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91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91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92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92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9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92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92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92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92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92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92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92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92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92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92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92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93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93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9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93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93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93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93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93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93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93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93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93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93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93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94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94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9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94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94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94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94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94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94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94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94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94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94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94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95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95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9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95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95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95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95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95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95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95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95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95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95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95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96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96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9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96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96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96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96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96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96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96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96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96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96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96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97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97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9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97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97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97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97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97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97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97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97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97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97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97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98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98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9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98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98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98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98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98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98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98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98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98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98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98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199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199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19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199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199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199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199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199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199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199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199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199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199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199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00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00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0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00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00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00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00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00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00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00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00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00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00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00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01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01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0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01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01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01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01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01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01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01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01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01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01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01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02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02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0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02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02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02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02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02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02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02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02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02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02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02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03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03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0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03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03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03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03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03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03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03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03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03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03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03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04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04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0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04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04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04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04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04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04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04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04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04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04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04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05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05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0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05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05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05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05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05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05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05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05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05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05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05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06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06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0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06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06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06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06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06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06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06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06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06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06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06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07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07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0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07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07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07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07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07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07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07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07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07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07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07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08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08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0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08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08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08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08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08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08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08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08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08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08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08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09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09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0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09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09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09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09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09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09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09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09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09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09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09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10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10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1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10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10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10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10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10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10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10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10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10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10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10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11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11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1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11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11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11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11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11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11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11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11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11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11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11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12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12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1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12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12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12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12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12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12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12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12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12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12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12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13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13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1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13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13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13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13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13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13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13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13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13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13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13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14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14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1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14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14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14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14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14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14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14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14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14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14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14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15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15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1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15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15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15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15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15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15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15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15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15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15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15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16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16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1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16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16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16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16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16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16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16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16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16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16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16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17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17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1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17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17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17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17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17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17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17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17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17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17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17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18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18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1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18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18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18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18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18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18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18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18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18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18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18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19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19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1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19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19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19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19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19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19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19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19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19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19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19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20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20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2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20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20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20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20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20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20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20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20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20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20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20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21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21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2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21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21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21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21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21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21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21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21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21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21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21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22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22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2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22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22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22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22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22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22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22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22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22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22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22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23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23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2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23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23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23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23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23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23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23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23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23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23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23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24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24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2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24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24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24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24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24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24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24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24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24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24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24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25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25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2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25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25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25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25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25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25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25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25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25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25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25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26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26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2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26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26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26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26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26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26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26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26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26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26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26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27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27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2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27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27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27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27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27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27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27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27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27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27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27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28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28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2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28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28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28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28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28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28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28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28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28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28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28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29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29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2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29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29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29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29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29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29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29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29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29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29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29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30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30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3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30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30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30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30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30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30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30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30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30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30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30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31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31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3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31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31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31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31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31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31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31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31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31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31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31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32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32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3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32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32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32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32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32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32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32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32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32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32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32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33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33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3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33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33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33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33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33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33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33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33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33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33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33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34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34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3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34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34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34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34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34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34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34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34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34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34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34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35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35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3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35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35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35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35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35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35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35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35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35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35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35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36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36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3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36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36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36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36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36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36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36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36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36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36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36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37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37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3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37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37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37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37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37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37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37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37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37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37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37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38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38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3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38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38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38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38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38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38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38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38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38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38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38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39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39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3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39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39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39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39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39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39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39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39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39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39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39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40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40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4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40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40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40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40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40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40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40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40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40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40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40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41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41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4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41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41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41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41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41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41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41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41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41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41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41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42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42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4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42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42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42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42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42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42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42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42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42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42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42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43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43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4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43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43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43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43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43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43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43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43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43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43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43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44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44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4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44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44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44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44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44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44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44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44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44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44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44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45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45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4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45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45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45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45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45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45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45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45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45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45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45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46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46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4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46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46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46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46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46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46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46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46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46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46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46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47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47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4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47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47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47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47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47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47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47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47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47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47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47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48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48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4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48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48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48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48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48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48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48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48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48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48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48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49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49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4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49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49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49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49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49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49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49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49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49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49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49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50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50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5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50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50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50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50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50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50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50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50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50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50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50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51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51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5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51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51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51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51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51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51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51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51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51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51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51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52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52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5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52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52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52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52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52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52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52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52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52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52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52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53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53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5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53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53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53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53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53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53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53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53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53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53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53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54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54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5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54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54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54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54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54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54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54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54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54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54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54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  <comment ref="A255" authorId="0" shapeId="0">
      <text>
        <t>Tanım: IslemId | Neden önemli: Hakediş kuyruğu ve şantiye maliyet kararını etkiler | Doğru kullanım: Manuel giriş | Örnek: hücredeki örnek değere bakın | Risk: Yanlış giriş hatalı karar üretir</t>
      </text>
    </comment>
    <comment ref="B255" authorId="0" shapeId="0">
      <text>
        <t>Tanım: KaynakKartId | Neden önemli: Hakediş kuyruğu ve şantiye maliyet kararını etkiler | Doğru kullanım: Manuel giriş | Örnek: hücredeki örnek değere bakın | Risk: Yanlış giriş hatalı karar üretir</t>
      </text>
    </comment>
    <comment ref="C25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D255" authorId="0" shapeId="0">
      <text>
        <t>Tanım: Tarih | Neden önemli: Hakediş kuyruğu ve şantiye maliyet kararını etkiler | Doğru kullanım: Manuel giriş | Örnek: hücredeki örnek değere bakın | Risk: Yanlış giriş hatalı karar üretir</t>
      </text>
    </comment>
    <comment ref="E255" authorId="0" shapeId="0">
      <text>
        <t>Tanım: OncekiDurum | Neden önemli: Hakediş kuyruğu ve şantiye maliyet kararını etkiler | Doğru kullanım: Manuel giriş | Örnek: hücredeki örnek değere bakın | Risk: Yanlış giriş hatalı karar üretir</t>
      </text>
    </comment>
    <comment ref="F255" authorId="0" shapeId="0">
      <text>
        <t>Tanım: Durum | Neden önemli: Hakediş kuyruğu ve şantiye maliyet kararını etkiler | Doğru kullanım: Manuel giriş | Örnek: hücredeki örnek değere bakın | Risk: Yanlış giriş hatalı karar üretir</t>
      </text>
    </comment>
    <comment ref="G255" authorId="0" shapeId="0">
      <text>
        <t>Tanım: Teklif | Neden önemli: Hakediş kuyruğu ve şantiye maliyet kararını etkiler | Doğru kullanım: Manuel giriş | Örnek: hücredeki örnek değere bakın | Risk: Yanlış giriş hatalı karar üretir</t>
      </text>
    </comment>
    <comment ref="H255" authorId="0" shapeId="0">
      <text>
        <t>Tanım: Siparis | Neden önemli: Hakediş kuyruğu ve şantiye maliyet kararını etkiler | Doğru kullanım: Manuel giriş | Örnek: hücredeki örnek değere bakın | Risk: Yanlış giriş hatalı karar üretir</t>
      </text>
    </comment>
    <comment ref="I255" authorId="0" shapeId="0">
      <text>
        <t>Tanım: Hakedis | Neden önemli: Hakediş kuyruğu ve şantiye maliyet kararını etkiler | Doğru kullanım: Manuel giriş | Örnek: hücredeki örnek değere bakın | Risk: Yanlış giriş hatalı karar üretir</t>
      </text>
    </comment>
    <comment ref="J255" authorId="0" shapeId="0">
      <text>
        <t>Tanım: Fatura | Neden önemli: Hakediş kuyruğu ve şantiye maliyet kararını etkiler | Doğru kullanım: Manuel giriş | Örnek: hücredeki örnek değere bakın | Risk: Yanlış giriş hatalı karar üretir</t>
      </text>
    </comment>
    <comment ref="K255" authorId="0" shapeId="0">
      <text>
        <t>Tanım: Odeme | Neden önemli: Hakediş kuyruğu ve şantiye maliyet kararını etkiler | Doğru kullanım: Manuel giriş | Örnek: hücredeki örnek değere bakın | Risk: Yanlış giriş hatalı karar üretir</t>
      </text>
    </comment>
    <comment ref="L255" authorId="0" shapeId="0">
      <text>
        <t>Tanım: Tutar | Neden önemli: Hakediş kuyruğu ve şantiye maliyet kararını etkiler | Doğru kullanım: Manuel giriş | Örnek: hücredeki örnek değere bakın | Risk: Yanlış giriş hatalı karar üretir</t>
      </text>
    </comment>
    <comment ref="M255" authorId="0" shapeId="0">
      <text>
        <t>Tanım: Donem | Neden önemli: Hakediş kuyruğu ve şantiye maliyet kararını etkiler | Doğru kullanım: Manuel giriş | Örnek: hücredeki örnek değere bakın | Risk: Yanlış giriş hatalı karar üretir</t>
      </text>
    </comment>
    <comment ref="N255" authorId="0" shapeId="0">
      <text>
        <t>Tanım: Aciklama | Neden önemli: Hakediş kuyruğu ve şantiye maliyet kararını etkiler | Doğru kullanım: Manuel giriş | Örnek: hücredeki örnek değere bakın | Risk: Yanlış giriş hatalı karar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6" authorId="0" shapeId="0">
      <text>
        <t>Tanım: Şantiye Kimliği | Neden önemli: Hakediş kuyruğu ve şantiye maliyet kararını etkiler | Doğru kullanım: SAN-##### | Örnek: hücredeki örnek değere bakın | Risk: Yanlış giriş hatalı karar üretir</t>
      </text>
    </comment>
    <comment ref="B6" authorId="0" shapeId="0">
      <text>
        <t>Tanım: Şantiye Adı | Neden önemli: Hakediş kuyruğu ve şantiye maliyet kararını etkiler | Doğru kullanım: Proje / şantiye adı | Örnek: hücredeki örnek değere bakın | Risk: Yanlış giriş hatalı karar üretir</t>
      </text>
    </comment>
    <comment ref="C6" authorId="0" shapeId="0">
      <text>
        <t>Tanım: Şehir | Neden önemli: Hakediş kuyruğu ve şantiye maliyet kararını etkiler | Doğru kullanım: Şehir | Örnek: hücredeki örnek değere bakın | Risk: Yanlış giriş hatalı karar üretir</t>
      </text>
    </comment>
    <comment ref="D6" authorId="0" shapeId="0">
      <text>
        <t>Tanım: Bütçe | Neden önemli: Hakediş kuyruğu ve şantiye maliyet kararını etkiler | Doğru kullanım: Şantiye bütçesi TL | Örnek: hücredeki örnek değere bakın | Risk: Yanlış giriş hatalı karar üretir</t>
      </text>
    </comment>
    <comment ref="E6" authorId="0" shapeId="0">
      <text>
        <t>Tanım: İşçilik | Neden önemli: Hakediş kuyruğu ve şantiye maliyet kararını etkiler | Doğru kullanım: İşçilik maliyeti TL | Örnek: hücredeki örnek değere bakın | Risk: Yanlış giriş hatalı karar üretir</t>
      </text>
    </comment>
    <comment ref="F6" authorId="0" shapeId="0">
      <text>
        <t>Tanım: Malzeme | Neden önemli: Hakediş kuyruğu ve şantiye maliyet kararını etkiler | Doğru kullanım: Malzeme maliyeti TL | Örnek: hücredeki örnek değere bakın | Risk: Yanlış giriş hatalı karar üretir</t>
      </text>
    </comment>
    <comment ref="G6" authorId="0" shapeId="0">
      <text>
        <t>Tanım: Makine | Neden önemli: Hakediş kuyruğu ve şantiye maliyet kararını etkiler | Doğru kullanım: Makine maliyeti TL | Örnek: hücredeki örnek değere bakın | Risk: Yanlış giriş hatalı karar üretir</t>
      </text>
    </comment>
    <comment ref="H6" authorId="0" shapeId="0">
      <text>
        <t>Tanım: Genel Gider | Neden önemli: Hakediş kuyruğu ve şantiye maliyet kararını etkiler | Doğru kullanım: Genel gider TL | Örnek: hücredeki örnek değere bakın | Risk: Yanlış giriş hatalı karar üretir</t>
      </text>
    </comment>
    <comment ref="A7" authorId="0" shapeId="0">
      <text>
        <t>Tanım: Şantiye Kimliği | Neden önemli: Hakediş kuyruğu ve şantiye maliyet kararını etkiler | Doğru kullanım: SAN-##### | Örnek: hücredeki örnek değere bakın | Risk: Yanlış giriş hatalı karar üretir</t>
      </text>
    </comment>
    <comment ref="B7" authorId="0" shapeId="0">
      <text>
        <t>Tanım: Şantiye Adı | Neden önemli: Hakediş kuyruğu ve şantiye maliyet kararını etkiler | Doğru kullanım: Proje / şantiye adı | Örnek: hücredeki örnek değere bakın | Risk: Yanlış giriş hatalı karar üretir</t>
      </text>
    </comment>
    <comment ref="C7" authorId="0" shapeId="0">
      <text>
        <t>Tanım: Şehir | Neden önemli: Hakediş kuyruğu ve şantiye maliyet kararını etkiler | Doğru kullanım: Şehir | Örnek: hücredeki örnek değere bakın | Risk: Yanlış giriş hatalı karar üretir</t>
      </text>
    </comment>
    <comment ref="D7" authorId="0" shapeId="0">
      <text>
        <t>Tanım: Bütçe | Neden önemli: Hakediş kuyruğu ve şantiye maliyet kararını etkiler | Doğru kullanım: Şantiye bütçesi TL | Örnek: hücredeki örnek değere bakın | Risk: Yanlış giriş hatalı karar üretir</t>
      </text>
    </comment>
    <comment ref="E7" authorId="0" shapeId="0">
      <text>
        <t>Tanım: İşçilik | Neden önemli: Hakediş kuyruğu ve şantiye maliyet kararını etkiler | Doğru kullanım: İşçilik maliyeti TL | Örnek: hücredeki örnek değere bakın | Risk: Yanlış giriş hatalı karar üretir</t>
      </text>
    </comment>
    <comment ref="F7" authorId="0" shapeId="0">
      <text>
        <t>Tanım: Malzeme | Neden önemli: Hakediş kuyruğu ve şantiye maliyet kararını etkiler | Doğru kullanım: Malzeme maliyeti TL | Örnek: hücredeki örnek değere bakın | Risk: Yanlış giriş hatalı karar üretir</t>
      </text>
    </comment>
    <comment ref="G7" authorId="0" shapeId="0">
      <text>
        <t>Tanım: Makine | Neden önemli: Hakediş kuyruğu ve şantiye maliyet kararını etkiler | Doğru kullanım: Makine maliyeti TL | Örnek: hücredeki örnek değere bakın | Risk: Yanlış giriş hatalı karar üretir</t>
      </text>
    </comment>
    <comment ref="H7" authorId="0" shapeId="0">
      <text>
        <t>Tanım: Genel Gider | Neden önemli: Hakediş kuyruğu ve şantiye maliyet kararını etkiler | Doğru kullanım: Genel gider TL | Örnek: hücredeki örnek değere bakın | Risk: Yanlış giriş hatalı karar üretir</t>
      </text>
    </comment>
    <comment ref="A8" authorId="0" shapeId="0">
      <text>
        <t>Tanım: Şantiye Kimliği | Neden önemli: Hakediş kuyruğu ve şantiye maliyet kararını etkiler | Doğru kullanım: SAN-##### | Örnek: hücredeki örnek değere bakın | Risk: Yanlış giriş hatalı karar üretir</t>
      </text>
    </comment>
    <comment ref="B8" authorId="0" shapeId="0">
      <text>
        <t>Tanım: Şantiye Adı | Neden önemli: Hakediş kuyruğu ve şantiye maliyet kararını etkiler | Doğru kullanım: Proje / şantiye adı | Örnek: hücredeki örnek değere bakın | Risk: Yanlış giriş hatalı karar üretir</t>
      </text>
    </comment>
    <comment ref="C8" authorId="0" shapeId="0">
      <text>
        <t>Tanım: Şehir | Neden önemli: Hakediş kuyruğu ve şantiye maliyet kararını etkiler | Doğru kullanım: Şehir | Örnek: hücredeki örnek değere bakın | Risk: Yanlış giriş hatalı karar üretir</t>
      </text>
    </comment>
    <comment ref="D8" authorId="0" shapeId="0">
      <text>
        <t>Tanım: Bütçe | Neden önemli: Hakediş kuyruğu ve şantiye maliyet kararını etkiler | Doğru kullanım: Şantiye bütçesi TL | Örnek: hücredeki örnek değere bakın | Risk: Yanlış giriş hatalı karar üretir</t>
      </text>
    </comment>
    <comment ref="E8" authorId="0" shapeId="0">
      <text>
        <t>Tanım: İşçilik | Neden önemli: Hakediş kuyruğu ve şantiye maliyet kararını etkiler | Doğru kullanım: İşçilik maliyeti TL | Örnek: hücredeki örnek değere bakın | Risk: Yanlış giriş hatalı karar üretir</t>
      </text>
    </comment>
    <comment ref="F8" authorId="0" shapeId="0">
      <text>
        <t>Tanım: Malzeme | Neden önemli: Hakediş kuyruğu ve şantiye maliyet kararını etkiler | Doğru kullanım: Malzeme maliyeti TL | Örnek: hücredeki örnek değere bakın | Risk: Yanlış giriş hatalı karar üretir</t>
      </text>
    </comment>
    <comment ref="G8" authorId="0" shapeId="0">
      <text>
        <t>Tanım: Makine | Neden önemli: Hakediş kuyruğu ve şantiye maliyet kararını etkiler | Doğru kullanım: Makine maliyeti TL | Örnek: hücredeki örnek değere bakın | Risk: Yanlış giriş hatalı karar üretir</t>
      </text>
    </comment>
    <comment ref="H8" authorId="0" shapeId="0">
      <text>
        <t>Tanım: Genel Gider | Neden önemli: Hakediş kuyruğu ve şantiye maliyet kararını etkiler | Doğru kullanım: Genel gider TL | Örnek: hücredeki örnek değere bakın | Risk: Yanlış giriş hatalı karar üretir</t>
      </text>
    </comment>
    <comment ref="A9" authorId="0" shapeId="0">
      <text>
        <t>Tanım: Şantiye Kimliği | Neden önemli: Hakediş kuyruğu ve şantiye maliyet kararını etkiler | Doğru kullanım: SAN-##### | Örnek: hücredeki örnek değere bakın | Risk: Yanlış giriş hatalı karar üretir</t>
      </text>
    </comment>
    <comment ref="B9" authorId="0" shapeId="0">
      <text>
        <t>Tanım: Şantiye Adı | Neden önemli: Hakediş kuyruğu ve şantiye maliyet kararını etkiler | Doğru kullanım: Proje / şantiye adı | Örnek: hücredeki örnek değere bakın | Risk: Yanlış giriş hatalı karar üretir</t>
      </text>
    </comment>
    <comment ref="C9" authorId="0" shapeId="0">
      <text>
        <t>Tanım: Şehir | Neden önemli: Hakediş kuyruğu ve şantiye maliyet kararını etkiler | Doğru kullanım: Şehir | Örnek: hücredeki örnek değere bakın | Risk: Yanlış giriş hatalı karar üretir</t>
      </text>
    </comment>
    <comment ref="D9" authorId="0" shapeId="0">
      <text>
        <t>Tanım: Bütçe | Neden önemli: Hakediş kuyruğu ve şantiye maliyet kararını etkiler | Doğru kullanım: Şantiye bütçesi TL | Örnek: hücredeki örnek değere bakın | Risk: Yanlış giriş hatalı karar üretir</t>
      </text>
    </comment>
    <comment ref="E9" authorId="0" shapeId="0">
      <text>
        <t>Tanım: İşçilik | Neden önemli: Hakediş kuyruğu ve şantiye maliyet kararını etkiler | Doğru kullanım: İşçilik maliyeti TL | Örnek: hücredeki örnek değere bakın | Risk: Yanlış giriş hatalı karar üretir</t>
      </text>
    </comment>
    <comment ref="F9" authorId="0" shapeId="0">
      <text>
        <t>Tanım: Malzeme | Neden önemli: Hakediş kuyruğu ve şantiye maliyet kararını etkiler | Doğru kullanım: Malzeme maliyeti TL | Örnek: hücredeki örnek değere bakın | Risk: Yanlış giriş hatalı karar üretir</t>
      </text>
    </comment>
    <comment ref="G9" authorId="0" shapeId="0">
      <text>
        <t>Tanım: Makine | Neden önemli: Hakediş kuyruğu ve şantiye maliyet kararını etkiler | Doğru kullanım: Makine maliyeti TL | Örnek: hücredeki örnek değere bakın | Risk: Yanlış giriş hatalı karar üretir</t>
      </text>
    </comment>
    <comment ref="H9" authorId="0" shapeId="0">
      <text>
        <t>Tanım: Genel Gider | Neden önemli: Hakediş kuyruğu ve şantiye maliyet kararını etkiler | Doğru kullanım: Genel gider TL | Örnek: hücredeki örnek değere bakın | Risk: Yanlış giriş hatalı karar üretir</t>
      </text>
    </comment>
    <comment ref="A1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0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0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0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0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0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0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1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1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1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1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1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1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2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2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2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2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2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2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3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3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3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3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3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3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4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4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4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4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4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4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5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5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5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5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5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5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6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6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6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6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6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6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7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7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7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7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7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7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8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8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8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8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8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8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9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9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9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9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9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9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0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0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0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0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0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0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1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1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1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1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1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1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2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2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2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2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2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2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3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3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3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3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3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3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4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4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4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4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4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4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5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5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5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5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5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5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6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6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6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6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6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6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7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7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7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7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7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7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8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8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8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8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8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8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9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9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9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9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9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9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3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30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3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30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30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30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30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30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3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31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3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31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31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31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31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31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3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32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3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32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32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32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32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32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3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33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3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33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33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33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33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33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3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34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3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34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34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34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34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34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3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35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3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35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35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35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35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35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3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36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3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36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36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36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36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36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3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37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3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37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37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37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37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37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3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38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3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38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38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38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38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38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3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39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3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39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39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39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39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39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4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40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4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40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40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40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40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40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4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41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4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41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41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41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41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41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4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42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4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42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42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42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42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42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4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43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4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43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43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43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43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43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4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44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4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44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44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44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44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44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4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45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4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45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45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45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45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45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4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46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4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46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46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46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46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46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4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47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4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47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47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47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47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47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4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48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4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48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48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48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48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48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4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49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4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49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49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49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49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49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5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50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5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50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50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50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50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50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5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51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5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51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51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51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51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51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5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52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5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52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52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52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52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52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5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53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5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53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53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53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53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53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5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54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5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54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54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54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54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54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5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55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5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55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55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55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55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55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5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56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5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56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56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56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56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56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5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57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5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57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57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57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57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57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5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58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5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58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58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58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58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58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5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59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5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59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59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59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59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59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6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60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6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60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60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60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60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60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6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61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6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61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61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61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61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61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6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62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6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62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62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62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62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62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6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63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6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63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63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63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63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63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6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64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6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64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64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64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64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64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6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65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6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65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65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65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65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65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6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66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6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66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66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66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66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66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6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67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6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67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67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67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67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67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6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68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6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68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68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68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68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68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6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69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6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69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69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69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69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69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7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70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7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70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70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70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70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70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7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71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7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71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71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71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71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71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7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72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7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72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72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72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72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72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7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73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7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73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73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73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73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73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7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74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7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74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74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74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74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74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7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75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7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75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75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75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75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75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7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76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7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76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76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76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76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76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7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77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7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77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77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77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77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77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7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78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7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78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78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78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78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78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7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79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7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79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79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79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79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79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8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80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8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80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80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80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80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80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8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81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8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81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81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81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81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81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8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82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8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82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82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82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82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82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8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83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8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83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83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83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83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83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8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84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8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84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84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84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84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84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8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85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8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85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85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85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85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85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8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86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8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86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86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86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86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86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8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87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8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87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87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87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87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87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8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88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8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88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88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88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88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88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8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89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8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89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89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89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89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89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9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90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9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90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90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90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90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90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9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91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9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91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91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91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91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91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9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92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9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92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92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92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92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92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9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93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9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93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93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93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93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93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9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94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9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94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94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94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94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94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9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95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9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95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95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95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95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95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9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96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9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96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96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96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96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96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9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97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9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97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97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97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97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97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9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98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9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98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98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98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98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98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9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99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9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99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99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99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99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99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0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00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0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00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00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00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00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00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0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01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0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01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01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01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01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01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0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02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0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02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02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02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02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02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0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03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0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03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03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03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03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03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0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04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0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04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04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04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04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04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0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05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0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05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05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05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05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05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0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06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0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06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06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06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06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06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0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07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0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07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07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07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07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07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0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08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0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08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08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08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08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08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0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09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0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09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09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09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09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09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1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10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1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10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10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10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10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10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1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11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1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11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11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11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11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11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1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12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1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12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12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12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12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12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1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13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1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13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13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13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13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13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1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14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1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14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14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14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14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14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1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15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1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15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15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15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15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15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1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16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1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16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16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16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16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16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1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17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1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17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17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17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17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17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1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18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1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18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18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18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18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18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1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19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1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19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19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19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19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19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2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20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2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20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20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20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20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20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2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21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2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21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21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21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21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21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2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22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2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22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22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22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22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22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2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23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2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23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23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23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23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23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2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24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2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24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24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24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24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24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2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25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2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25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25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25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25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25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2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26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2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26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26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26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26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26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2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27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2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27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27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27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27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27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2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28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2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28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28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28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28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28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2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29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2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29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29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29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29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29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3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30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3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30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30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30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30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30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3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31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3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31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31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31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31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31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3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32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3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32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32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32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32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32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3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33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3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33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33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33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33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33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3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34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3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34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34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34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34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34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3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35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3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35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35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35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35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35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3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36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3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36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36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36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36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36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3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37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3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37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37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37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37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37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3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38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3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38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38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38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38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38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3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39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3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39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39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39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39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39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4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40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4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40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40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40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40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40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4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41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4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41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41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41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41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41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4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42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4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42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42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42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42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42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4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43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4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43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43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43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43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43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4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44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4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44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44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44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44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44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4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45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4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45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45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45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45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45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4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46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4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46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46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46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46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46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4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47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4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47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47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47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47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47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4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48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4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48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48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48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48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48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4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49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4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49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49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49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49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49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5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50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5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50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50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50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50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50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5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51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5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51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51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51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51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51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5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52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5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52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52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52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52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52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5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53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5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53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53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53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53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53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5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54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5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54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54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54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54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54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5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55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5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55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55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55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55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55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5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56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5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56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56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56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56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56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5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57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5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57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57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57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57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57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5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58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5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58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58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58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58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58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5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59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5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59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59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59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59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59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6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60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6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60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60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60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60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60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6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61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6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61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61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61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61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61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6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62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6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62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62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62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62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62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6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63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6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63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63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63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63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63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6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64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6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64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64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64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64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64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6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65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6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65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65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65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65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65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6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66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6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66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66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66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66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66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6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67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6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67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67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67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67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67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6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68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6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68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68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68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68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68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6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69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6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69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69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69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69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69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7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70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7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70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70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70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70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70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7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71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7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71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71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71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71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71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7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72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7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72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72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72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72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72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7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73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7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73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73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73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73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73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7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74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7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74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74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74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74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74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7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75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7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75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75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75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75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75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7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76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7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76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76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76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76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76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7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77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7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77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77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77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77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77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7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78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7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78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78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78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78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78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7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79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7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79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79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79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79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79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8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80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8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80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80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80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80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80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8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81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8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81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81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81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81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81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8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82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8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82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82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82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82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82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8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83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8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83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83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83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83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83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8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84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8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84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84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84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84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84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8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85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8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85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85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85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85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85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8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86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8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86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86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86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86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86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8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87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8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87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87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87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87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87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8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88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8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88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88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88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88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88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8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89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8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89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89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89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89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89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9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90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9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90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90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90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90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90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9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91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9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91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91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91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91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91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9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92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9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92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92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92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92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92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9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93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9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93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93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93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93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93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9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94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9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94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94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94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94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94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9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95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9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95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95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95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95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95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9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96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9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96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96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96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96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96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9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97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9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97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97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97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97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97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9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98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9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98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98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98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98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98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19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199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19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199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199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199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199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199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0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00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0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00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00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00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00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00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0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01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0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01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01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01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01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01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0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02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0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02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02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02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02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02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0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03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0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03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03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03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03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03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0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04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0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04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04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04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04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04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0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05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0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05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05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05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05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05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0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06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0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06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06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06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06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06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0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07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0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07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07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07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07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07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0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08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0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08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08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08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08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08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0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09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0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09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09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09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09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09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1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10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1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10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10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10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10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10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1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11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1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11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11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11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11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11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1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12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1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12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12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12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12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12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1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13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1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13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13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13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13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13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1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14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1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14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14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14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14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14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1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15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1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15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15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15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15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15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1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16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1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16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16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16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16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16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1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17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1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17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17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17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17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17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1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18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1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18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18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18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18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18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1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19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1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19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19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19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19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19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2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20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2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20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20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20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20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20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2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21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2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21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21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21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21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21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2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22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2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22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22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22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22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22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2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23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2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23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23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23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23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23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2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24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2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24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24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24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24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24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2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25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2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25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25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25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25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25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2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26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2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26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26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26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26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26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2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27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2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27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27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27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27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27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2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28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2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28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28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28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28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28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2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29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2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29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29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29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29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29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3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30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3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30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30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30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30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30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3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31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3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31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31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31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31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31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3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32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3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32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32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32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32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32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3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33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3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33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33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33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33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33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3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34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3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34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34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34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34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34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3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35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3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35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35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35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35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35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3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36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3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36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36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36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36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36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3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37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3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37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37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37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37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37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3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38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3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38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38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38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38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38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3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39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3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39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39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39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39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39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4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40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4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40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40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40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40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40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4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41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4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41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41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41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41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41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4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42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4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42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42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42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42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42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4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43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4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43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43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43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43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43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4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44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4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44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44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44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44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44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4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45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4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45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45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45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45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45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46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46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46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46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46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46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46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46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47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47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47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47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47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47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47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47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48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48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48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48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48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48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48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48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49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49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49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49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49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49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49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49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50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50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50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50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50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50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50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50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51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51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51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51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51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51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51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51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52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52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52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52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52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52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52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52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53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53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53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53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53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53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53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53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54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54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54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54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54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54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54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54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  <comment ref="A255" authorId="0" shapeId="0">
      <text>
        <t>Tanım: SantiyeId | Neden önemli: Hakediş kuyruğu ve şantiye maliyet kararını etkiler | Doğru kullanım: Manuel giriş | Örnek: hücredeki örnek değere bakın | Risk: Yanlış giriş hatalı karar üretir</t>
      </text>
    </comment>
    <comment ref="B255" authorId="0" shapeId="0">
      <text>
        <t>Tanım: SantiyeAdi | Neden önemli: Hakediş kuyruğu ve şantiye maliyet kararını etkiler | Doğru kullanım: Manuel giriş | Örnek: hücredeki örnek değere bakın | Risk: Yanlış giriş hatalı karar üretir</t>
      </text>
    </comment>
    <comment ref="C255" authorId="0" shapeId="0">
      <text>
        <t>Tanım: Sehir | Neden önemli: Hakediş kuyruğu ve şantiye maliyet kararını etkiler | Doğru kullanım: Manuel giriş | Örnek: hücredeki örnek değere bakın | Risk: Yanlış giriş hatalı karar üretir</t>
      </text>
    </comment>
    <comment ref="D255" authorId="0" shapeId="0">
      <text>
        <t>Tanım: ButceTl | Neden önemli: Hakediş kuyruğu ve şantiye maliyet kararını etkiler | Doğru kullanım: Manuel giriş | Örnek: hücredeki örnek değere bakın | Risk: Yanlış giriş hatalı karar üretir</t>
      </text>
    </comment>
    <comment ref="E255" authorId="0" shapeId="0">
      <text>
        <t>Tanım: IscilikTl | Neden önemli: Hakediş kuyruğu ve şantiye maliyet kararını etkiler | Doğru kullanım: Manuel giriş | Örnek: hücredeki örnek değere bakın | Risk: Yanlış giriş hatalı karar üretir</t>
      </text>
    </comment>
    <comment ref="F255" authorId="0" shapeId="0">
      <text>
        <t>Tanım: MalzemeTl | Neden önemli: Hakediş kuyruğu ve şantiye maliyet kararını etkiler | Doğru kullanım: Manuel giriş | Örnek: hücredeki örnek değere bakın | Risk: Yanlış giriş hatalı karar üretir</t>
      </text>
    </comment>
    <comment ref="G255" authorId="0" shapeId="0">
      <text>
        <t>Tanım: MakineTl | Neden önemli: Hakediş kuyruğu ve şantiye maliyet kararını etkiler | Doğru kullanım: Manuel giriş | Örnek: hücredeki örnek değere bakın | Risk: Yanlış giriş hatalı karar üretir</t>
      </text>
    </comment>
    <comment ref="H255" authorId="0" shapeId="0">
      <text>
        <t>Tanım: GenelGiderTl | Neden önemli: Hakediş kuyruğu ve şantiye maliyet kararını etkiler | Doğru kullanım: Manuel giriş | Örnek: hücredeki örnek değere bakın | Risk: Yanlış giriş hatalı karar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7" authorId="0" shapeId="0">
      <text>
        <t>Tanım: Durum | Neden önemli: Hakediş kuyruğu ve şantiye maliyet kararını etkiler | Doğru kullanım: Durum kimliği | Örnek: hücredeki örnek değere bakın | Risk: Yanlış giriş hatalı karar üretir</t>
      </text>
    </comment>
    <comment ref="C7" authorId="0" shapeId="0">
      <text>
        <t>Tanım: Geçiş | Neden önemli: Hakediş kuyruğu ve şantiye maliyet kararını etkiler | Doğru kullanım: eski|yeni | Örnek: hücredeki örnek değere bakın | Risk: Yanlış giriş hatalı karar üretir</t>
      </text>
    </comment>
    <comment ref="E7" authorId="0" shapeId="0">
      <text>
        <t>Tanım: Seçim | Neden önemli: Hakediş kuyruğu ve şantiye maliyet kararını etkiler | Doğru kullanım: EVET/HAYIR | Örnek: hücredeki örnek değere bakın | Risk: Yanlış giriş hatalı karar üretir</t>
      </text>
    </comment>
    <comment ref="G7" authorId="0" shapeId="0">
      <text>
        <t>Tanım: Branş | Neden önemli: Hakediş kuyruğu ve şantiye maliyet kararını etkiler | Doğru kullanım: Branş listesi | Örnek: hücredeki örnek değere bakın | Risk: Yanlış giriş hatalı karar üretir</t>
      </text>
    </comment>
    <comment ref="I7" authorId="0" shapeId="0">
      <text>
        <t>Tanım: Şantiye | Neden önemli: Hakediş kuyruğu ve şantiye maliyet kararını etkiler | Doğru kullanım: SAN-##### | Örnek: hücredeki örnek değere bakın | Risk: Yanlış giriş hatalı karar üretir</t>
      </text>
    </comment>
    <comment ref="A8" authorId="0" shapeId="0">
      <text>
        <t>Tanım: Durum | Neden önemli: Hakediş kuyruğu ve şantiye maliyet kararını etkiler | Doğru kullanım: Durum kimliği | Örnek: hücredeki örnek değere bakın | Risk: Yanlış giriş hatalı karar üretir</t>
      </text>
    </comment>
    <comment ref="C8" authorId="0" shapeId="0">
      <text>
        <t>Tanım: Geçiş | Neden önemli: Hakediş kuyruğu ve şantiye maliyet kararını etkiler | Doğru kullanım: eski|yeni | Örnek: hücredeki örnek değere bakın | Risk: Yanlış giriş hatalı karar üretir</t>
      </text>
    </comment>
    <comment ref="E8" authorId="0" shapeId="0">
      <text>
        <t>Tanım: Seçim | Neden önemli: Hakediş kuyruğu ve şantiye maliyet kararını etkiler | Doğru kullanım: EVET/HAYIR | Örnek: hücredeki örnek değere bakın | Risk: Yanlış giriş hatalı karar üretir</t>
      </text>
    </comment>
    <comment ref="G8" authorId="0" shapeId="0">
      <text>
        <t>Tanım: Branş | Neden önemli: Hakediş kuyruğu ve şantiye maliyet kararını etkiler | Doğru kullanım: Branş listesi | Örnek: hücredeki örnek değere bakın | Risk: Yanlış giriş hatalı karar üretir</t>
      </text>
    </comment>
    <comment ref="I8" authorId="0" shapeId="0">
      <text>
        <t>Tanım: Şantiye | Neden önemli: Hakediş kuyruğu ve şantiye maliyet kararını etkiler | Doğru kullanım: SAN-##### | Örnek: hücredeki örnek değere bakın | Risk: Yanlış giriş hatalı karar üretir</t>
      </text>
    </comment>
    <comment ref="A9" authorId="0" shapeId="0">
      <text>
        <t>Tanım: Durum | Neden önemli: Hakediş kuyruğu ve şantiye maliyet kararını etkiler | Doğru kullanım: Durum kimliği | Örnek: hücredeki örnek değere bakın | Risk: Yanlış giriş hatalı karar üretir</t>
      </text>
    </comment>
    <comment ref="C9" authorId="0" shapeId="0">
      <text>
        <t>Tanım: Geçiş | Neden önemli: Hakediş kuyruğu ve şantiye maliyet kararını etkiler | Doğru kullanım: eski|yeni | Örnek: hücredeki örnek değere bakın | Risk: Yanlış giriş hatalı karar üretir</t>
      </text>
    </comment>
    <comment ref="G9" authorId="0" shapeId="0">
      <text>
        <t>Tanım: Branş | Neden önemli: Hakediş kuyruğu ve şantiye maliyet kararını etkiler | Doğru kullanım: Branş listesi | Örnek: hücredeki örnek değere bakın | Risk: Yanlış giriş hatalı karar üretir</t>
      </text>
    </comment>
    <comment ref="I9" authorId="0" shapeId="0">
      <text>
        <t>Tanım: Şantiye | Neden önemli: Hakediş kuyruğu ve şantiye maliyet kararını etkiler | Doğru kullanım: SAN-##### | Örnek: hücredeki örnek değere bakın | Risk: Yanlış giriş hatalı karar üretir</t>
      </text>
    </comment>
    <comment ref="A10" authorId="0" shapeId="0">
      <text>
        <t>Tanım: Durum | Neden önemli: Hakediş kuyruğu ve şantiye maliyet kararını etkiler | Doğru kullanım: Durum kimliği | Örnek: hücredeki örnek değere bakın | Risk: Yanlış giriş hatalı karar üretir</t>
      </text>
    </comment>
    <comment ref="C10" authorId="0" shapeId="0">
      <text>
        <t>Tanım: Geçiş | Neden önemli: Hakediş kuyruğu ve şantiye maliyet kararını etkiler | Doğru kullanım: eski|yeni | Örnek: hücredeki örnek değere bakın | Risk: Yanlış giriş hatalı karar üretir</t>
      </text>
    </comment>
    <comment ref="G10" authorId="0" shapeId="0">
      <text>
        <t>Tanım: Branş | Neden önemli: Hakediş kuyruğu ve şantiye maliyet kararını etkiler | Doğru kullanım: Branş listesi | Örnek: hücredeki örnek değere bakın | Risk: Yanlış giriş hatalı karar üretir</t>
      </text>
    </comment>
    <comment ref="I10" authorId="0" shapeId="0">
      <text>
        <t>Tanım: Şantiye | Neden önemli: Hakediş kuyruğu ve şantiye maliyet kararını etkiler | Doğru kullanım: SAN-##### | Örnek: hücredeki örnek değere bakın | Risk: Yanlış giriş hatalı karar üretir</t>
      </text>
    </comment>
    <comment ref="A11" authorId="0" shapeId="0">
      <text>
        <t>Tanım: Durum | Neden önemli: Hakediş kuyruğu ve şantiye maliyet kararını etkiler | Doğru kullanım: Durum kimliği | Örnek: hücredeki örnek değere bakın | Risk: Yanlış giriş hatalı karar üretir</t>
      </text>
    </comment>
    <comment ref="C11" authorId="0" shapeId="0">
      <text>
        <t>Tanım: Geçiş | Neden önemli: Hakediş kuyruğu ve şantiye maliyet kararını etkiler | Doğru kullanım: eski|yeni | Örnek: hücredeki örnek değere bakın | Risk: Yanlış giriş hatalı karar üretir</t>
      </text>
    </comment>
    <comment ref="G11" authorId="0" shapeId="0">
      <text>
        <t>Tanım: Branş | Neden önemli: Hakediş kuyruğu ve şantiye maliyet kararını etkiler | Doğru kullanım: Branş listesi | Örnek: hücredeki örnek değere bakın | Risk: Yanlış giriş hatalı karar üretir</t>
      </text>
    </comment>
    <comment ref="G12" authorId="0" shapeId="0">
      <text>
        <t>Tanım: Branş | Neden önemli: Hakediş kuyruğu ve şantiye maliyet kararını etkiler | Doğru kullanım: Branş listesi | Örnek: hücredeki örnek değere bakın | Risk: Yanlış giriş hatalı karar üretir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6" authorId="0" shapeId="0">
      <text>
        <t>Tanım: raporTarihi | Neden önemli: Hakediş kuyruğu ve şantiye maliyet kararını etkiler | Doğru kullanım: Rapor tarihi (TODAY yok) | Örnek: hücredeki örnek değere bakın | Risk: Yanlış giriş hatalı karar üretir</t>
      </text>
    </comment>
    <comment ref="B7" authorId="0" shapeId="0">
      <text>
        <t>Tanım: zincirTolerans | Neden önemli: Hakediş kuyruğu ve şantiye maliyet kararını etkiler | Doğru kullanım: ZİNCİR KIRIK eşiği | Örnek: hücredeki örnek değere bakın | Risk: Yanlış giriş hatalı karar üretir</t>
      </text>
    </comment>
    <comment ref="B8" authorId="0" shapeId="0">
      <text>
        <t>Tanım: ihs_esikGecikmeGun | Neden önemli: Hakediş kuyruğu ve şantiye maliyet kararını etkiler | Doğru kullanım: Gecikme eşiği | Örnek: hücredeki örnek değere bakın | Risk: Yanlış giriş hatalı karar üretir</t>
      </text>
    </comment>
    <comment ref="B9" authorId="0" shapeId="0">
      <text>
        <t>Tanım: ihs_esikGeciken | Neden önemli: Hakediş kuyruğu ve şantiye maliyet kararını etkiler | Doğru kullanım: Karar eşiği geciken | Örnek: hücredeki örnek değere bakın | Risk: Yanlış giriş hatalı karar üretir</t>
      </text>
    </comment>
    <comment ref="B10" authorId="0" shapeId="0">
      <text>
        <t>Tanım: ihs_gecikmeOranGun | Neden önemli: Hakediş kuyruğu ve şantiye maliyet kararını etkiler | Doğru kullanım: Günlük gecikme maliyeti oranı | Örnek: hücredeki örnek değere bakın | Risk: Yanlış giriş hatalı karar üretir</t>
      </text>
    </comment>
    <comment ref="B11" authorId="0" shapeId="0">
      <text>
        <t>Tanım: ihs_senaryoTemkinli | Neden önemli: Hakediş kuyruğu ve şantiye maliyet kararını etkiler | Doğru kullanım: Temkinli çarpan | Örnek: hücredeki örnek değere bakın | Risk: Yanlış giriş hatalı karar üretir</t>
      </text>
    </comment>
    <comment ref="B12" authorId="0" shapeId="0">
      <text>
        <t>Tanım: ihs_senaryoBaz | Neden önemli: Hakediş kuyruğu ve şantiye maliyet kararını etkiler | Doğru kullanım: Baz çarpan | Örnek: hücredeki örnek değere bakın | Risk: Yanlış giriş hatalı karar üretir</t>
      </text>
    </comment>
    <comment ref="B13" authorId="0" shapeId="0">
      <text>
        <t>Tanım: ihs_senaryoIyimser | Neden önemli: Hakediş kuyruğu ve şantiye maliyet kararını etkiler | Doğru kullanım: İyimser çarpan | Örnek: hücredeki örnek değere bakın | Risk: Yanlış giriş hatalı karar üretir</t>
      </text>
    </comment>
    <comment ref="B14" authorId="0" shapeId="0">
      <text>
        <t>Tanım: ihs_tornadoOran | Neden önemli: Hakediş kuyruğu ve şantiye maliyet kararını etkiler | Doğru kullanım: Tornado etki oranı | Örnek: hücredeki örnek değere bakın | Risk: Yanlış giriş hatalı karar üretir</t>
      </text>
    </comment>
    <comment ref="B15" authorId="0" shapeId="0">
      <text>
        <t>Tanım: ihs_yuzdelikOran | Neden önemli: Hakediş kuyruğu ve şantiye maliyet kararını etkiler | Doğru kullanım: PERCENTILE oranı | Örnek: hücredeki örnek değere bakın | Risk: Yanlış giriş hatalı karar üretir</t>
      </text>
    </comment>
    <comment ref="B16" authorId="0" shapeId="0">
      <text>
        <t>Tanım: ihs_olcekHedef | Neden önemli: Hakediş kuyruğu ve şantiye maliyet kararını etkiler | Doğru kullanım: Ölçek sözleşmesi | Örnek: hücredeki örnek değere bakın | Risk: Yanlış giriş hatalı karar üretir</t>
      </text>
    </comment>
    <comment ref="B17" authorId="0" shapeId="0">
      <text>
        <t>Tanım: ihs_azamiTutar | Neden önemli: Hakediş kuyruğu ve şantiye maliyet kararını etkiler | Doğru kullanım: Azami makul | Örnek: hücredeki örnek değere bakın | Risk: Yanlış giriş hatalı karar üretir</t>
      </text>
    </comment>
    <comment ref="B18" authorId="0" shapeId="0">
      <text>
        <t>Tanım: ihs_asimCarpan | Neden önemli: Hakediş kuyruğu ve şantiye maliyet kararını etkiler | Doğru kullanım: Aşım = maliyet &gt; bütçe × çarpan | Örnek: hücredeki örnek değere bakın | Risk: Yanlış giriş hatalı karar üretir</t>
      </text>
    </comment>
    <comment ref="B19" authorId="0" shapeId="0">
      <text>
        <t>Tanım: ihs_durumHaritasi | Neden önemli: Hakediş kuyruğu ve şantiye maliyet kararını etkiler | Doğru kullanım: Durum makinesi kaynağı | Örnek: hücredeki örnek değere bakın | Risk: Yanlış giriş hatalı karar üretir</t>
      </text>
    </comment>
    <comment ref="B20" authorId="0" shapeId="0">
      <text>
        <t>Tanım: ihs_kuyrukOzeti_metin | Neden önemli: Hakediş kuyruğu ve şantiye maliyet kararını etkiler | Doğru kullanım: Kuyruk görünümü | Örnek: hücredeki örnek değere bakın | Risk: Yanlış giriş hatalı karar üretir</t>
      </text>
    </comment>
    <comment ref="B21" authorId="0" shapeId="0">
      <text>
        <t>Tanım: ihs_kapaliDusum_metin | Neden önemli: Hakediş kuyruğu ve şantiye maliyet kararını etkiler | Doğru kullanım: Kapalı düşüm kuralı | Örnek: hücredeki örnek değere bakın | Risk: Yanlış giriş hatalı karar üretir</t>
      </text>
    </comment>
    <comment ref="B22" authorId="0" shapeId="0">
      <text>
        <t>Tanım: ihs_kanitRaporu_metin | Neden önemli: Hakediş kuyruğu ve şantiye maliyet kararını etkiler | Doğru kullanım: Kanıt raporu | Örnek: hücredeki örnek değere bakın | Risk: Yanlış giriş hatalı karar üretir</t>
      </text>
    </comment>
    <comment ref="B23" authorId="0" shapeId="0">
      <text>
        <t>Tanım: ihs_dosyaSurumu | Neden önemli: Hakediş kuyruğu ve şantiye maliyet kararını etkiler | Doğru kullanım: Ürün sürümü | Örnek: hücredeki örnek değere bakın | Risk: Yanlış giriş hatalı karar üretir</t>
      </text>
    </comment>
    <comment ref="B24" authorId="0" shapeId="0">
      <text>
        <t>Tanım: ihs_firmaUnvan | Neden önemli: Hakediş kuyruğu ve şantiye maliyet kararını etkiler | Doğru kullanım: Firma | Örnek: hücredeki örnek değere bakın | Risk: Yanlış giriş hatalı karar üretir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Kartlar" displayName="tblKartlar" ref="A5:K255" headerRowCount="1">
  <tableColumns count="11">
    <tableColumn id="1" name="KartId"/>
    <tableColumn id="2" name="Unvan"/>
    <tableColumn id="3" name="Brans"/>
    <tableColumn id="4" name="Sehir"/>
    <tableColumn id="5" name="SozlesmeNo"/>
    <tableColumn id="6" name="LimitTl"/>
    <tableColumn id="7" name="RiskNotu"/>
    <tableColumn id="8" name="Aktif"/>
    <tableColumn id="9" name="SantiyeId"/>
    <tableColumn id="10" name="ToplamHacim">
      <calculatedColumnFormula>IF(tblKartlar[[#This Row],[KartId]]="","",SUMIF(tblAkis[KaynakKartId],tblKartlar[[#This Row],[KartId]],tblAkis[Tutar]))</calculatedColumnFormula>
    </tableColumn>
    <tableColumn id="11" name="OrtGecikme">
      <calculatedColumnFormula>IF(tblKartlar[[#This Row],[KartId]]="","",IFERROR(AVERAGEIF(tblAkis[KaynakKartId],tblKartlar[[#This Row],[KartId]],tblAkis[YasGun]),0))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Akis" displayName="tblAkis" ref="A5:T255" headerRowCount="1">
  <tableColumns count="20">
    <tableColumn id="1" name="IslemId"/>
    <tableColumn id="2" name="KaynakKartId"/>
    <tableColumn id="3" name="SantiyeId"/>
    <tableColumn id="4" name="Tarih"/>
    <tableColumn id="5" name="OncekiDurum"/>
    <tableColumn id="6" name="Durum"/>
    <tableColumn id="7" name="Teklif"/>
    <tableColumn id="8" name="Siparis"/>
    <tableColumn id="9" name="Hakedis"/>
    <tableColumn id="10" name="Fatura"/>
    <tableColumn id="11" name="Odeme"/>
    <tableColumn id="12" name="Tutar"/>
    <tableColumn id="13" name="Donem"/>
    <tableColumn id="14" name="Aciklama"/>
    <tableColumn id="15" name="YasGun">
      <calculatedColumnFormula>IF(tblAkis[[#This Row],[IslemId]]="","",IF(tblAkis[[#This Row],[Tarih]]="","",raporTarihi-tblAkis[[#This Row],[Tarih]]))</calculatedColumnFormula>
    </tableColumn>
    <tableColumn id="16" name="YasKova">
      <calculatedColumnFormula>IF(tblAkis[[#This Row],[IslemId]]="","",IF(tblAkis[[#This Row],[YasGun]]="","",IF(tblAkis[[#This Row],[YasGun]]&lt;=7,"0-7",IF(tblAkis[[#This Row],[YasGun]]&lt;=30,"8-30",IF(tblAkis[[#This Row],[YasGun]]&lt;=60,"31-60","60+")))))</calculatedColumnFormula>
    </tableColumn>
    <tableColumn id="17" name="YetimBayrak">
      <calculatedColumnFormula>IF(tblAkis[[#This Row],[IslemId]]="","",IF(tblAkis[[#This Row],[KaynakKartId]]="","YETİM",IF(COUNTIF(tblKartlar[KartId],tblAkis[[#This Row],[KaynakKartId]])=0,"YETİM","")))</calculatedColumnFormula>
    </tableColumn>
    <tableColumn id="18" name="GecisUyarisi">
      <calculatedColumnFormula>IF(OR(tblAkis[[#This Row],[IslemId]]="",tblAkis[[#This Row],[OncekiDurum]]=""),"",IF(OR(tblAkis[[#This Row],[OncekiDurum]]&amp;"|"&amp;tblAkis[[#This Row],[Durum]]="",COUNTIF(ListeIzinliGecis,tblAkis[[#This Row],[OncekiDurum]]&amp;"|"&amp;tblAkis[[#This Row],[Durum]])&gt;0),"","GEÇERSİZ GEÇİŞ"))</calculatedColumnFormula>
    </tableColumn>
    <tableColumn id="19" name="ZincirBayrak">
      <calculatedColumnFormula>IF(tblAkis[[#This Row],[IslemId]]="","",IF(OR(tblAkis[[#This Row],[Teklif]]="",tblAkis[[#This Row],[Hakedis]]=""),"",IF(ABS(tblAkis[[#This Row],[Hakedis]]-tblAkis[[#This Row],[Teklif]])&gt;zincirTolerans,"ZİNCİR KIRIK","OK")))</calculatedColumnFormula>
    </tableColumn>
    <tableColumn id="20" name="KayitDolu">
      <calculatedColumnFormula>IF(tblAkis[[#This Row],[IslemId]]="","",1)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Santiye" displayName="tblSantiye" ref="A5:E255" headerRowCount="1">
  <tableColumns count="5">
    <tableColumn id="1" name="SantiyeId"/>
    <tableColumn id="2" name="SantiyeAdi"/>
    <tableColumn id="3" name="Sehir"/>
    <tableColumn id="4" name="ButceTl"/>
    <tableColumn id="5" name="IscilikTl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DurumHaritasi" displayName="tblDurumHaritasi" ref="H29:L34" headerRowCount="1">
  <tableColumns count="5">
    <tableColumn id="1" name="durum_id"/>
    <tableColumn id="2" name="durum_adi"/>
    <tableColumn id="3" name="sira"/>
    <tableColumn id="4" name="izinli_sonraki_durumlar"/>
    <tableColumn id="5" name="kategori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3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 ht="28" customHeight="1">
      <c r="A1" s="144" t="inlineStr">
        <is>
          <t>EXCELARŞİV KARAR SİSTEMİ v15.1 — ÜRETİM REFERANSI</t>
        </is>
      </c>
    </row>
    <row r="3" ht="24" customHeight="1">
      <c r="A3" s="145" t="inlineStr">
        <is>
          <t>Konu</t>
        </is>
      </c>
      <c r="B3" s="145" t="inlineStr">
        <is>
          <t>Bağlayıcı Standart</t>
        </is>
      </c>
    </row>
    <row r="4">
      <c r="A4" s="146" t="inlineStr">
        <is>
          <t>Amaç</t>
        </is>
      </c>
      <c r="B4" s="147" t="inlineStr">
        <is>
          <t>Kanıta dayalı, hatada kapalı çalışan Excel üretim ve denetim sistemi</t>
        </is>
      </c>
    </row>
    <row r="5">
      <c r="A5" s="146" t="inlineStr">
        <is>
          <t>Öncelik</t>
        </is>
      </c>
      <c r="B5" s="147" t="inlineStr">
        <is>
          <t>Kullanıcının açık iş talebi ve gerçek kullanım senaryosu</t>
        </is>
      </c>
    </row>
    <row r="6">
      <c r="A6" s="146" t="inlineStr">
        <is>
          <t>Ana akış</t>
        </is>
      </c>
      <c r="B6" s="147" t="inlineStr">
        <is>
          <t>Uygunluk → Yönetişim → Sözleşmeler → Üretim → Test → Kanıt → Kullanıcı Kabulü → Yayın</t>
        </is>
      </c>
    </row>
    <row r="7">
      <c r="A7" s="146" t="inlineStr">
        <is>
          <t>Yayın ilkesi</t>
        </is>
      </c>
      <c r="B7" s="147" t="inlineStr">
        <is>
          <t>Üst aşamada hata varsa alt aşama GEÇTİ üretilemez</t>
        </is>
      </c>
    </row>
    <row r="8">
      <c r="A8" s="146" t="inlineStr">
        <is>
          <t>Kullanıcı kabulü</t>
        </is>
      </c>
      <c r="B8" s="147" t="inlineStr">
        <is>
          <t>Excel masaüstü görünümü test edilmediyse DIŞ_KABUL_GEREKLİ</t>
        </is>
      </c>
    </row>
    <row r="9">
      <c r="A9" s="146" t="inlineStr">
        <is>
          <t>Nihai yayın</t>
        </is>
      </c>
      <c r="B9" s="147" t="inlineStr">
        <is>
          <t>Yalnız uygulanabilir modüller GEÇTİ veya gerekçeli UYGULANMAZ</t>
        </is>
      </c>
    </row>
    <row r="10">
      <c r="A10" s="146" t="inlineStr">
        <is>
          <t>Ticari ayrım</t>
        </is>
      </c>
      <c r="B10" s="147" t="inlineStr">
        <is>
          <t>Ekonomik olarak savunulabilir fiyat, gerçek pazar kabulü ile aynı değildir</t>
        </is>
      </c>
    </row>
    <row r="11">
      <c r="A11" s="146" t="inlineStr">
        <is>
          <t>Karmaşıklık</t>
        </is>
      </c>
      <c r="B11" s="147" t="inlineStr">
        <is>
          <t>Karar değeri, eklenen karmaşıklığın maliyetinden büyük olmalıdır</t>
        </is>
      </c>
    </row>
    <row r="12">
      <c r="A12" s="146" t="inlineStr">
        <is>
          <t>Excel sınırı</t>
        </is>
      </c>
      <c r="B12" s="147" t="inlineStr">
        <is>
          <t>Veritabanı, kurumsal yetkilendirme, değiştirilemez kayıt sistemi veya gerçek zamanlı olay platformu değildir</t>
        </is>
      </c>
    </row>
    <row r="13">
      <c r="A13" s="146" t="inlineStr">
        <is>
          <t>Dil standardı</t>
        </is>
      </c>
      <c r="B13" s="147" t="inlineStr">
        <is>
          <t>Kullanıcıya görünen tüm sayfa, tablo, başlık, açıklama, uyarı ve karar metinleri saf Türkçe olmalıdır</t>
        </is>
      </c>
    </row>
    <row r="14">
      <c r="A14" s="146" t="inlineStr">
        <is>
          <t>Muhasebe standardı</t>
        </is>
      </c>
      <c r="B14" s="147" t="inlineStr">
        <is>
          <t>Finansal ürünlerde Türkiye Tekdüzen Hesap Planı ve Türk muhasebe kullanım alışkanlıkları esas alınır</t>
        </is>
      </c>
    </row>
    <row r="15">
      <c r="A15" s="146" t="inlineStr">
        <is>
          <t>Görsel standart</t>
        </is>
      </c>
      <c r="B15" s="147" t="inlineStr">
        <is>
          <t>Her sayfa başlıklı, renk kodlu, sıkı kolon düzenli ve premium kurumsal görünümde olmalıdır</t>
        </is>
      </c>
    </row>
    <row r="16">
      <c r="A16" s="146" t="inlineStr">
        <is>
          <t>Grafik standardı</t>
        </is>
      </c>
      <c r="B16" s="147" t="inlineStr">
        <is>
          <t>Grafikler karar üretmeli; dekoratif, 3B, anlamsız renkli veya varsayılan Excel grafiği kullanılamaz</t>
        </is>
      </c>
    </row>
    <row r="17">
      <c r="A17" s="146" t="inlineStr">
        <is>
          <t>Hata standardı</t>
        </is>
      </c>
      <c r="B17" s="147" t="inlineStr">
        <is>
          <t>#AD? / #BAŞV! / #DEĞER! / #SAYI/0! / #YOK gibi hatalar GEÇTİ sonucuyla birlikte bulunamaz</t>
        </is>
      </c>
    </row>
    <row r="18">
      <c r="A18" s="146" t="inlineStr">
        <is>
          <t>Karar standardı</t>
        </is>
      </c>
      <c r="B18" s="147" t="inlineStr">
        <is>
          <t>Her kritik çıktı: ne oldu, neden oldu, parasal etki, ne yapılmalı, ne zamana kadar sorularını cevaplar</t>
        </is>
      </c>
    </row>
    <row r="19">
      <c r="A19" s="146" t="inlineStr">
        <is>
          <t>Satış standardı</t>
        </is>
      </c>
      <c r="B19" s="147" t="inlineStr">
        <is>
          <t>Ürün 5 saniyede anlaşılmalı; pahalı problemi, ekonomik sonucu, kanıtı ve satın alma gerekçesini göstermelidir</t>
        </is>
      </c>
    </row>
    <row r="20">
      <c r="A20" s="146" t="inlineStr">
        <is>
          <t>Güven standardı</t>
        </is>
      </c>
      <c r="B20" s="147" t="inlineStr">
        <is>
          <t>Kanıtsız 'premium', 'kusursuz', 'sıfır hata' veya yüksek fiyat iddiası kullanılamaz</t>
        </is>
      </c>
    </row>
    <row r="21">
      <c r="A21" s="146" t="inlineStr">
        <is>
          <t>Kaynak</t>
        </is>
      </c>
      <c r="B21" s="147" t="inlineStr">
        <is>
          <t>Teknik Python çekirdeği 99_TEKNIK_KAYNAK sayfasında saklanır; kullanıcı arayüzü değildir</t>
        </is>
      </c>
    </row>
    <row r="22">
      <c r="A22" s="146" t="inlineStr">
        <is>
          <t>Bağlayıcı standart</t>
        </is>
      </c>
      <c r="B22" s="147" t="inlineStr">
        <is>
          <t>Teknik kaynak içindeki üretim sözleşmesi + bu çalışma kitabındaki Türkçe operasyon standartları</t>
        </is>
      </c>
    </row>
    <row r="23">
      <c r="A23" s="146" t="inlineStr">
        <is>
          <t>Çıktı disiplini</t>
        </is>
      </c>
      <c r="B23" s="147" t="inlineStr">
        <is>
          <t>Kanıtsız GEÇTİ / NİHAİ / TİCARİ / PAZAR_DOĞRULANDI statüsü yasaktır</t>
        </is>
      </c>
    </row>
    <row r="24">
      <c r="A24" s="146" t="inlineStr">
        <is>
          <t>Uyarlanabilirlik</t>
        </is>
      </c>
      <c r="B24" s="147" t="inlineStr">
        <is>
          <t>Gereksiz modül yalnız prestij amacıyla eklenmez</t>
        </is>
      </c>
    </row>
    <row r="26" ht="16" customHeight="1">
      <c r="A26" s="148" t="inlineStr">
        <is>
          <t>TEK KAYNAK MİMARİSİ</t>
        </is>
      </c>
      <c r="B26" s="148" t="inlineStr">
        <is>
          <t>İKİ DOSYALI / TEK SİSTEM</t>
        </is>
      </c>
    </row>
    <row r="27" ht="28" customHeight="1">
      <c r="A27" s="147" t="inlineStr">
        <is>
          <t>MASTER Excel</t>
        </is>
      </c>
      <c r="B27" s="147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47" t="inlineStr">
        <is>
          <t>Runtime Python</t>
        </is>
      </c>
      <c r="B28" s="147" t="inlineStr">
        <is>
          <t>EXCELARSIV_DECISION_OS_V15_1_RUNTIME_KERNEL.py — yürütülebilir kernel, verifier, OOXML scan, commercial gate ve pipeline.</t>
        </is>
      </c>
    </row>
    <row r="29">
      <c r="A29" s="147" t="inlineStr">
        <is>
          <t>Python SHA-256</t>
        </is>
      </c>
      <c r="B29" s="147" t="inlineStr">
        <is>
          <t>babe066ab599199123e53d01944bcd9d75648a579ade69ab9303dd675962f481</t>
        </is>
      </c>
    </row>
    <row r="30">
      <c r="A30" s="147" t="inlineStr">
        <is>
          <t>Sürüm Eşleşmesi</t>
        </is>
      </c>
      <c r="B30" s="147" t="inlineStr">
        <is>
          <t>Her iki dosya v15.1 sistemine aittir. Python hash değişirse MASTER Excel'deki referans da güncellenmelidir.</t>
        </is>
      </c>
    </row>
    <row r="31" ht="28" customHeight="1">
      <c r="A31" s="147" t="inlineStr">
        <is>
          <t>Sahte PASS Yasağı</t>
        </is>
      </c>
      <c r="B31" s="147" t="inlineStr">
        <is>
          <t>Kanıt yoksa PASS yok; hata=FAIL, ölçülemiyorsa=BLOCKED, Excel GUI gerekiyorsa=HARİCİ KABUL GEREKLİ.</t>
        </is>
      </c>
    </row>
    <row r="32">
      <c r="A32" s="147" t="inlineStr">
        <is>
          <t>Dil</t>
        </is>
      </c>
      <c r="B32" s="147" t="inlineStr">
        <is>
          <t>Kullanıcı yüzeyi safkan Türkçe; teknik kavramların Türkçe karşılığı ana terimdir.</t>
        </is>
      </c>
    </row>
    <row r="33">
      <c r="A33" s="147" t="inlineStr">
        <is>
          <t>Muhasebe</t>
        </is>
      </c>
      <c r="B33" s="147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12" customWidth="1" min="4" max="4"/>
    <col width="16" customWidth="1" min="5" max="5"/>
    <col width="18" customWidth="1" min="6" max="6"/>
    <col width="6" customWidth="1" min="7" max="7"/>
    <col width="24" customWidth="1" min="8" max="8"/>
    <col width="15" customWidth="1" min="9" max="9"/>
    <col width="14" customWidth="1" min="10" max="10"/>
    <col width="12" customWidth="1" min="11" max="11"/>
    <col width="18" customWidth="1" min="12" max="12"/>
    <col width="18" customWidth="1" min="13" max="13"/>
  </cols>
  <sheetData>
    <row r="1">
      <c r="A1" s="50" t="inlineStr">
        <is>
          <t>☰ PANO</t>
        </is>
      </c>
    </row>
    <row r="2">
      <c r="B2" s="67" t="inlineStr">
        <is>
          <t>INSAAT HAKEDIS SANTIYE MALIYET — YÖNETİM VE KARAR SİSTEMİ</t>
        </is>
      </c>
      <c r="L2" s="68" t="inlineStr">
        <is>
          <t>Dönem: 2026 / Tam ▼</t>
        </is>
      </c>
      <c r="M2" s="69" t="inlineStr">
        <is>
          <t>★ DOĞRULANMIŞ</t>
        </is>
      </c>
    </row>
    <row r="3">
      <c r="B3" s="70" t="inlineStr">
        <is>
          <t>Yönetici Karar Kokpiti, Otomatik Doğrulama ve Dinamik Hesaplama Sistemi · 2026</t>
        </is>
      </c>
    </row>
    <row r="5">
      <c r="B5" s="71" t="inlineStr">
        <is>
          <t>TOPLAM İŞLEM HACMİ</t>
        </is>
      </c>
      <c r="C5" s="72" t="n"/>
      <c r="D5" s="73" t="inlineStr">
        <is>
          <t>DOĞRULANMIŞ</t>
        </is>
      </c>
      <c r="E5" s="74" t="inlineStr">
        <is>
          <t>RİSKLİ / BEKLEYEN İŞLEM</t>
        </is>
      </c>
      <c r="F5" s="72" t="n"/>
      <c r="G5" s="75" t="inlineStr">
        <is>
          <t>MİNİMUM</t>
        </is>
      </c>
      <c r="H5" s="71" t="inlineStr">
        <is>
          <t>OPERASYONEL NET MARJ</t>
        </is>
      </c>
      <c r="I5" s="72" t="n"/>
      <c r="J5" s="76" t="inlineStr">
        <is>
          <t>GÜVENLİ</t>
        </is>
      </c>
      <c r="K5" s="77" t="inlineStr">
        <is>
          <t>SİSTEM GÜVEN SKORU</t>
        </is>
      </c>
      <c r="L5" s="72" t="n"/>
      <c r="M5" s="73" t="inlineStr">
        <is>
          <t>DENETLENDİ</t>
        </is>
      </c>
    </row>
    <row r="6">
      <c r="B6" s="78" t="n"/>
      <c r="C6" s="72" t="n"/>
      <c r="D6" s="72" t="n"/>
      <c r="E6" s="79" t="n"/>
      <c r="F6" s="72" t="n"/>
      <c r="G6" s="72" t="n"/>
      <c r="H6" s="78" t="n"/>
      <c r="I6" s="72" t="n"/>
      <c r="J6" s="72" t="n"/>
      <c r="K6" s="80" t="n"/>
      <c r="L6" s="72" t="n"/>
      <c r="M6" s="72" t="n"/>
    </row>
    <row r="7">
      <c r="B7" s="81" t="inlineStr">
        <is>
          <t>₺28.450.000</t>
        </is>
      </c>
      <c r="C7" s="72" t="n"/>
      <c r="D7" s="72" t="n"/>
      <c r="E7" s="82" t="inlineStr">
        <is>
          <t>₺940.000</t>
        </is>
      </c>
      <c r="F7" s="72" t="n"/>
      <c r="G7" s="72" t="n"/>
      <c r="H7" s="81" t="inlineStr">
        <is>
          <t>₺8.120.000</t>
        </is>
      </c>
      <c r="I7" s="72" t="n"/>
      <c r="J7" s="72" t="n"/>
      <c r="K7" s="83" t="inlineStr">
        <is>
          <t>98/100</t>
        </is>
      </c>
      <c r="L7" s="72" t="n"/>
      <c r="M7" s="72" t="n"/>
    </row>
    <row r="8">
      <c r="B8" s="78" t="n"/>
      <c r="C8" s="72" t="n"/>
      <c r="D8" s="72" t="n"/>
      <c r="E8" s="79" t="n"/>
      <c r="F8" s="72" t="n"/>
      <c r="G8" s="72" t="n"/>
      <c r="H8" s="78" t="n"/>
      <c r="I8" s="72" t="n"/>
      <c r="J8" s="72" t="n"/>
      <c r="K8" s="80" t="n"/>
      <c r="L8" s="72" t="n"/>
      <c r="M8" s="72" t="n"/>
    </row>
    <row r="9">
      <c r="B9" s="84" t="inlineStr">
        <is>
          <t>↑ Konsolide yıllıklandırılmış büyüme</t>
        </is>
      </c>
      <c r="C9" s="72" t="n"/>
      <c r="D9" s="72" t="n"/>
      <c r="E9" s="85" t="inlineStr">
        <is>
          <t>● Tüm riskli kayıtlar kontrol altında</t>
        </is>
      </c>
      <c r="F9" s="72" t="n"/>
      <c r="G9" s="72" t="n"/>
      <c r="H9" s="84" t="inlineStr">
        <is>
          <t>██████████░░░░░ %28.5 NET MARJ</t>
        </is>
      </c>
      <c r="I9" s="72" t="n"/>
      <c r="J9" s="72" t="n"/>
      <c r="K9" s="86" t="inlineStr">
        <is>
          <t>✓ 0 Formül ve Döngüsel Hata</t>
        </is>
      </c>
      <c r="L9" s="72" t="n"/>
      <c r="M9" s="72" t="n"/>
    </row>
    <row r="11">
      <c r="B11" s="64" t="inlineStr">
        <is>
          <t>12 AYLIK NAKİT GİRİŞ / ÇIKIŞ &amp; LİKİDİTE BAŞARIMI</t>
        </is>
      </c>
      <c r="F11" s="87" t="inlineStr">
        <is>
          <t>+%32 Verim</t>
        </is>
      </c>
      <c r="H11" s="64" t="inlineStr">
        <is>
          <t>KONSOLİDE OPERASYON VE KARAR MATRİSİ</t>
        </is>
      </c>
    </row>
    <row r="12">
      <c r="B12" s="63" t="inlineStr">
        <is>
          <t>Kümülatif Tahsilat vs. Tedarikçi/Kredi Ödeme Projeksiyonu</t>
        </is>
      </c>
      <c r="H12" s="63" t="inlineStr">
        <is>
          <t>Anlık Hesaplama Sonuçları, Dinamik Formül Çıktıları ve Durum Puanlaması</t>
        </is>
      </c>
    </row>
    <row r="14">
      <c r="B14" s="88" t="inlineStr">
        <is>
          <t>Dönem</t>
        </is>
      </c>
      <c r="C14" s="88" t="inlineStr">
        <is>
          <t>Aktif Hacim</t>
        </is>
      </c>
      <c r="D14" s="88" t="inlineStr">
        <is>
          <t>Maliyet/Yük</t>
        </is>
      </c>
      <c r="E14" s="88" t="inlineStr">
        <is>
          <t>Hedef</t>
        </is>
      </c>
      <c r="H14" s="89" t="inlineStr">
        <is>
          <t>PARAMETRE / KALEM</t>
        </is>
      </c>
      <c r="I14" s="89" t="inlineStr">
        <is>
          <t>ANA TUTAR</t>
        </is>
      </c>
      <c r="J14" s="89" t="inlineStr">
        <is>
          <t>FARK / MARJ</t>
        </is>
      </c>
      <c r="K14" s="89" t="inlineStr">
        <is>
          <t>VADE</t>
        </is>
      </c>
      <c r="L14" s="89" t="inlineStr">
        <is>
          <t>KONTROL DURUMU</t>
        </is>
      </c>
    </row>
    <row r="15">
      <c r="B15" s="63" t="inlineStr">
        <is>
          <t>D1</t>
        </is>
      </c>
      <c r="C15" s="63" t="n">
        <v>65</v>
      </c>
      <c r="D15" s="63" t="n">
        <v>45</v>
      </c>
      <c r="E15" s="63" t="n">
        <v>60</v>
      </c>
      <c r="H15" s="90" t="inlineStr">
        <is>
          <t>13 haftalık kümülatif bakiye...</t>
        </is>
      </c>
      <c r="I15" s="90" t="inlineStr">
        <is>
          <t>₺8.450.000</t>
        </is>
      </c>
      <c r="J15" s="91" t="inlineStr">
        <is>
          <t>₺425.000</t>
        </is>
      </c>
      <c r="K15" s="92" t="inlineStr">
        <is>
          <t>12 Ay</t>
        </is>
      </c>
      <c r="L15" s="76" t="inlineStr">
        <is>
          <t>✓ DÜZENLİ</t>
        </is>
      </c>
    </row>
    <row r="16">
      <c r="B16" s="63" t="inlineStr">
        <is>
          <t>D2</t>
        </is>
      </c>
      <c r="C16" s="63" t="n">
        <v>78</v>
      </c>
      <c r="D16" s="63" t="n">
        <v>48</v>
      </c>
      <c r="E16" s="63" t="n">
        <v>70</v>
      </c>
      <c r="H16" s="90" t="inlineStr">
        <is>
          <t>Kritik (eksi) hafta uyarısı</t>
        </is>
      </c>
      <c r="I16" s="90" t="inlineStr">
        <is>
          <t>₺12.200.000</t>
        </is>
      </c>
      <c r="J16" s="91" t="inlineStr">
        <is>
          <t>₺580.400</t>
        </is>
      </c>
      <c r="K16" s="92" t="inlineStr">
        <is>
          <t>24 Ay</t>
        </is>
      </c>
      <c r="L16" s="73" t="inlineStr">
        <is>
          <t>★ AVANTAJ</t>
        </is>
      </c>
    </row>
    <row r="17">
      <c r="B17" s="63" t="inlineStr">
        <is>
          <t>D3</t>
        </is>
      </c>
      <c r="C17" s="63" t="n">
        <v>85</v>
      </c>
      <c r="D17" s="63" t="n">
        <v>55</v>
      </c>
      <c r="E17" s="63" t="n">
        <v>80</v>
      </c>
      <c r="H17" s="90" t="inlineStr">
        <is>
          <t>Dönem net nakit değişimi</t>
        </is>
      </c>
      <c r="I17" s="90" t="inlineStr">
        <is>
          <t>₺4.850.000</t>
        </is>
      </c>
      <c r="J17" s="91" t="inlineStr">
        <is>
          <t>₺235.200</t>
        </is>
      </c>
      <c r="K17" s="92" t="inlineStr">
        <is>
          <t>8 Ay</t>
        </is>
      </c>
      <c r="L17" s="93" t="inlineStr">
        <is>
          <t>● YAKLAŞAN</t>
        </is>
      </c>
    </row>
    <row r="18">
      <c r="B18" s="63" t="inlineStr">
        <is>
          <t>D4</t>
        </is>
      </c>
      <c r="C18" s="63" t="n">
        <v>75</v>
      </c>
      <c r="D18" s="63" t="n">
        <v>42</v>
      </c>
      <c r="E18" s="63" t="n">
        <v>75</v>
      </c>
      <c r="H18" s="90" t="inlineStr">
        <is>
          <t>13 haftalık kümülatif bakiye...</t>
        </is>
      </c>
      <c r="I18" s="90" t="inlineStr">
        <is>
          <t>₺2.140.000</t>
        </is>
      </c>
      <c r="J18" s="91" t="inlineStr">
        <is>
          <t>₺118.000</t>
        </is>
      </c>
      <c r="K18" s="92" t="inlineStr">
        <is>
          <t>16 Ay</t>
        </is>
      </c>
      <c r="L18" s="76" t="inlineStr">
        <is>
          <t>✓ TAM UYUM</t>
        </is>
      </c>
    </row>
    <row r="19">
      <c r="B19" s="63" t="inlineStr">
        <is>
          <t>D5</t>
        </is>
      </c>
      <c r="C19" s="63" t="n">
        <v>90</v>
      </c>
      <c r="D19" s="63" t="n">
        <v>40</v>
      </c>
      <c r="E19" s="63" t="n">
        <v>85</v>
      </c>
      <c r="H19" s="94" t="inlineStr">
        <is>
          <t>KONSOLİDE SİSTEM TOPLAMI</t>
        </is>
      </c>
      <c r="I19" s="95" t="inlineStr">
        <is>
          <t>₺42.850.000</t>
        </is>
      </c>
      <c r="J19" s="96" t="inlineStr">
        <is>
          <t>₺3.420.000</t>
        </is>
      </c>
      <c r="K19" s="97" t="inlineStr"/>
      <c r="L19" s="98" t="inlineStr">
        <is>
          <t>TAM DOĞRULANDI (0 HATA)</t>
        </is>
      </c>
    </row>
    <row r="20">
      <c r="B20" s="63" t="inlineStr">
        <is>
          <t>D6</t>
        </is>
      </c>
      <c r="C20" s="63" t="n">
        <v>96</v>
      </c>
      <c r="D20" s="63" t="n">
        <v>32</v>
      </c>
      <c r="E20" s="63" t="n">
        <v>92</v>
      </c>
    </row>
    <row r="22">
      <c r="B22" s="99" t="inlineStr">
        <is>
          <t>KONSOLİDE PAY VE AĞIRLIK</t>
        </is>
      </c>
      <c r="F22" s="99" t="inlineStr">
        <is>
          <t>LİKİDİTE RİSKİ &amp; ERKEN UYARI SİNYALLERİ</t>
        </is>
      </c>
      <c r="K22" s="100" t="inlineStr">
        <is>
          <t>KARAR MOTORU</t>
        </is>
      </c>
      <c r="L22" s="101" t="n"/>
      <c r="M22" s="101" t="n"/>
    </row>
    <row r="23">
      <c r="B23" s="48" t="inlineStr">
        <is>
          <t>■ Ana Segment (%42)</t>
        </is>
      </c>
      <c r="F23" s="63" t="inlineStr">
        <is>
          <t>Nakit Açığı Riski (30 Gün)</t>
        </is>
      </c>
      <c r="I23" s="102" t="inlineStr">
        <is>
          <t>0.00 TL (Sıfır Risk)</t>
        </is>
      </c>
      <c r="K23" s="103" t="inlineStr">
        <is>
          <t>OPERASYONEL VERİMLİLİK FIRSATI</t>
        </is>
      </c>
      <c r="L23" s="101" t="n"/>
      <c r="M23" s="101" t="n"/>
    </row>
    <row r="24">
      <c r="B24" s="49" t="inlineStr">
        <is>
          <t>■ İkincil Grup (%30)</t>
        </is>
      </c>
      <c r="F24" s="63" t="inlineStr">
        <is>
          <t>Tahsilat Gecikme Toleransı</t>
        </is>
      </c>
      <c r="I24" s="102" t="inlineStr">
        <is>
          <t>48 Gün Güvenli Eşik</t>
        </is>
      </c>
      <c r="K24" s="104" t="inlineStr">
        <is>
          <t>Süreç optimizasyonuyla birim operasyonel maliyeti düşürme potansiyeli mevcuttur.</t>
        </is>
      </c>
    </row>
    <row r="25">
      <c r="B25" s="105" t="inlineStr">
        <is>
          <t>■ Destek Birimi (%15)</t>
        </is>
      </c>
      <c r="F25" s="48" t="inlineStr">
        <is>
          <t>██████████████████████████████████████ Güvenli Bölge (%100)</t>
        </is>
      </c>
    </row>
    <row r="26">
      <c r="B26" s="106" t="inlineStr">
        <is>
          <t>■ Rezervler (%13)</t>
        </is>
      </c>
      <c r="F26" s="107" t="inlineStr">
        <is>
          <t>✓ 90 GÜNLÜK PROJEKSİYONDA NAKİT SIKIŞIKLIĞI TESPİT EDİLMEDİ</t>
        </is>
      </c>
      <c r="K26" s="108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32" customWidth="1" min="4" max="4"/>
    <col width="18" customWidth="1" min="5" max="5"/>
    <col width="12" customWidth="1" min="6" max="6"/>
    <col width="18" customWidth="1" min="7" max="7"/>
    <col width="22" customWidth="1" min="8" max="8"/>
    <col width="16" customWidth="1" min="9" max="9"/>
  </cols>
  <sheetData>
    <row r="1">
      <c r="A1" s="50" t="inlineStr">
        <is>
          <t>☰ PANO</t>
        </is>
      </c>
    </row>
    <row r="3">
      <c r="B3" s="109" t="inlineStr">
        <is>
          <t>🔍  Kayıt veya hesap ara...</t>
        </is>
      </c>
      <c r="G3" s="110" t="inlineStr">
        <is>
          <t>TOPLAM: 1.450 KAYIT</t>
        </is>
      </c>
      <c r="I3" s="111" t="inlineStr">
        <is>
          <t>HATALI HÜCRE: 0 ADET</t>
        </is>
      </c>
    </row>
    <row r="5">
      <c r="B5" s="112" t="inlineStr">
        <is>
          <t>TARİH</t>
        </is>
      </c>
      <c r="C5" s="112" t="inlineStr">
        <is>
          <t>REFERANS NO</t>
        </is>
      </c>
      <c r="D5" s="112" t="inlineStr">
        <is>
          <t>İŞLEM AÇIKLAMASI VE DETAY</t>
        </is>
      </c>
      <c r="E5" s="112" t="inlineStr">
        <is>
          <t>BRÜT TUTAR (₺)</t>
        </is>
      </c>
      <c r="F5" s="112" t="inlineStr">
        <is>
          <t>KDV ORANI</t>
        </is>
      </c>
      <c r="G5" s="112" t="inlineStr">
        <is>
          <t>NET TUTAR (₺)</t>
        </is>
      </c>
      <c r="H5" s="112" t="inlineStr">
        <is>
          <t>HESAP / CARİ</t>
        </is>
      </c>
      <c r="I5" s="112" t="inlineStr">
        <is>
          <t>DURUM</t>
        </is>
      </c>
    </row>
    <row r="6">
      <c r="B6" s="113" t="inlineStr">
        <is>
          <t>12.10.2026</t>
        </is>
      </c>
      <c r="C6" s="114" t="inlineStr">
        <is>
          <t>TR-0428-A</t>
        </is>
      </c>
      <c r="D6" s="115" t="inlineStr">
        <is>
          <t>Haftalık operasyon tahmini</t>
        </is>
      </c>
      <c r="E6" s="116" t="n">
        <v>845200</v>
      </c>
      <c r="F6" s="117" t="n">
        <v>0.2</v>
      </c>
      <c r="G6" s="118">
        <f>E6/(1+F6)</f>
        <v/>
      </c>
      <c r="H6" s="115" t="inlineStr">
        <is>
          <t>Vadesiz Ticari</t>
        </is>
      </c>
      <c r="I6" s="119" t="inlineStr">
        <is>
          <t>ONAYLANDI</t>
        </is>
      </c>
    </row>
    <row r="7">
      <c r="B7" s="120" t="inlineStr">
        <is>
          <t>14.10.2026</t>
        </is>
      </c>
      <c r="C7" s="121" t="inlineStr">
        <is>
          <t>TR-0429-B</t>
        </is>
      </c>
      <c r="D7" s="122" t="inlineStr">
        <is>
          <t>Haftalık operasyon tahmini</t>
        </is>
      </c>
      <c r="E7" s="123" t="n">
        <v>1240000</v>
      </c>
      <c r="F7" s="124" t="n">
        <v>0.2</v>
      </c>
      <c r="G7" s="125">
        <f>E7/(1+F7)</f>
        <v/>
      </c>
      <c r="H7" s="122" t="inlineStr">
        <is>
          <t>Tedarikçi Havuzu</t>
        </is>
      </c>
      <c r="I7" s="126" t="inlineStr">
        <is>
          <t>BEKLEMEDE</t>
        </is>
      </c>
    </row>
    <row r="8">
      <c r="B8" s="113" t="inlineStr">
        <is>
          <t>18.10.2026</t>
        </is>
      </c>
      <c r="C8" s="114" t="inlineStr">
        <is>
          <t>TR-0430-C</t>
        </is>
      </c>
      <c r="D8" s="115" t="inlineStr">
        <is>
          <t>Ödeme takvimi notları</t>
        </is>
      </c>
      <c r="E8" s="116" t="n">
        <v>620500</v>
      </c>
      <c r="F8" s="117" t="n">
        <v>0.1</v>
      </c>
      <c r="G8" s="118">
        <f>E8/(1+F8)</f>
        <v/>
      </c>
      <c r="H8" s="115" t="inlineStr">
        <is>
          <t>Kısa Vade Tahakkuk</t>
        </is>
      </c>
      <c r="I8" s="119" t="inlineStr">
        <is>
          <t>ONAYLANDI</t>
        </is>
      </c>
    </row>
    <row r="9">
      <c r="B9" s="120" t="inlineStr">
        <is>
          <t>21.10.2026</t>
        </is>
      </c>
      <c r="C9" s="121" t="inlineStr">
        <is>
          <t>TR-0431-D</t>
        </is>
      </c>
      <c r="D9" s="122" t="inlineStr">
        <is>
          <t>Haftalık operasyon tahmini</t>
        </is>
      </c>
      <c r="E9" s="123" t="n">
        <v>415000</v>
      </c>
      <c r="F9" s="124" t="n">
        <v>0.2</v>
      </c>
      <c r="G9" s="125">
        <f>E9/(1+F9)</f>
        <v/>
      </c>
      <c r="H9" s="122" t="inlineStr">
        <is>
          <t>Müşteri Alacağı</t>
        </is>
      </c>
      <c r="I9" s="127" t="inlineStr">
        <is>
          <t>ONAYLANDI</t>
        </is>
      </c>
    </row>
    <row r="10">
      <c r="B10" s="113" t="inlineStr">
        <is>
          <t>25.10.2026</t>
        </is>
      </c>
      <c r="C10" s="114" t="inlineStr">
        <is>
          <t>TR-0432-E</t>
        </is>
      </c>
      <c r="D10" s="115" t="inlineStr">
        <is>
          <t>Haftalık operasyon tahmini</t>
        </is>
      </c>
      <c r="E10" s="116" t="n">
        <v>980400</v>
      </c>
      <c r="F10" s="117" t="n">
        <v>0.2</v>
      </c>
      <c r="G10" s="118">
        <f>E10/(1+F10)</f>
        <v/>
      </c>
      <c r="H10" s="115" t="inlineStr">
        <is>
          <t>Vadesiz Ticari</t>
        </is>
      </c>
      <c r="I10" s="119" t="inlineStr">
        <is>
          <t>ONAYLANDI</t>
        </is>
      </c>
    </row>
    <row r="11">
      <c r="B11" s="120" t="inlineStr">
        <is>
          <t>28.10.2026</t>
        </is>
      </c>
      <c r="C11" s="121" t="inlineStr">
        <is>
          <t>TR-0433-F</t>
        </is>
      </c>
      <c r="D11" s="122" t="inlineStr">
        <is>
          <t>Haftalık operasyon tahmini</t>
        </is>
      </c>
      <c r="E11" s="123" t="n">
        <v>1850000</v>
      </c>
      <c r="F11" s="124" t="n">
        <v>0.2</v>
      </c>
      <c r="G11" s="125">
        <f>E11/(1+F11)</f>
        <v/>
      </c>
      <c r="H11" s="122" t="inlineStr">
        <is>
          <t>Banka Kredi Taksiti</t>
        </is>
      </c>
      <c r="I11" s="128" t="inlineStr">
        <is>
          <t>BLOKE</t>
        </is>
      </c>
    </row>
    <row r="12">
      <c r="B12" s="113" t="inlineStr">
        <is>
          <t>02.11.2026</t>
        </is>
      </c>
      <c r="C12" s="114" t="inlineStr">
        <is>
          <t>TR-0434-G</t>
        </is>
      </c>
      <c r="D12" s="115" t="inlineStr">
        <is>
          <t>Ödeme takvimi notları</t>
        </is>
      </c>
      <c r="E12" s="116" t="n">
        <v>740000</v>
      </c>
      <c r="F12" s="117" t="n">
        <v>0.2</v>
      </c>
      <c r="G12" s="118">
        <f>E12/(1+F12)</f>
        <v/>
      </c>
      <c r="H12" s="115" t="inlineStr">
        <is>
          <t>Kira &amp; Sabit Gider</t>
        </is>
      </c>
      <c r="I12" s="119" t="inlineStr">
        <is>
          <t>ONAYLANDI</t>
        </is>
      </c>
    </row>
    <row r="13">
      <c r="B13" s="120" t="inlineStr">
        <is>
          <t>05.11.2026</t>
        </is>
      </c>
      <c r="C13" s="121" t="inlineStr">
        <is>
          <t>TR-0435-H</t>
        </is>
      </c>
      <c r="D13" s="122" t="inlineStr">
        <is>
          <t>Haftalık operasyon tahmini</t>
        </is>
      </c>
      <c r="E13" s="123" t="n">
        <v>520800</v>
      </c>
      <c r="F13" s="124" t="n">
        <v>0.2</v>
      </c>
      <c r="G13" s="125">
        <f>E13/(1+F13)</f>
        <v/>
      </c>
      <c r="H13" s="122" t="inlineStr">
        <is>
          <t>Vadesiz Ticari</t>
        </is>
      </c>
      <c r="I13" s="127" t="inlineStr">
        <is>
          <t>ONAYLANDI</t>
        </is>
      </c>
    </row>
    <row r="14">
      <c r="B14" s="113" t="inlineStr">
        <is>
          <t>09.11.2026</t>
        </is>
      </c>
      <c r="C14" s="114" t="inlineStr">
        <is>
          <t>TR-0436-I</t>
        </is>
      </c>
      <c r="D14" s="115" t="inlineStr">
        <is>
          <t>Haftalık operasyon tahmini</t>
        </is>
      </c>
      <c r="E14" s="116" t="n">
        <v>1120000</v>
      </c>
      <c r="F14" s="117" t="n">
        <v>0.2</v>
      </c>
      <c r="G14" s="118">
        <f>E14/(1+F14)</f>
        <v/>
      </c>
      <c r="H14" s="115" t="inlineStr">
        <is>
          <t>Müşteri Alacağı</t>
        </is>
      </c>
      <c r="I14" s="119" t="inlineStr">
        <is>
          <t>ONAYLANDI</t>
        </is>
      </c>
    </row>
    <row r="15">
      <c r="B15" s="120" t="inlineStr">
        <is>
          <t>12.11.2026</t>
        </is>
      </c>
      <c r="C15" s="121" t="inlineStr">
        <is>
          <t>TR-0437-J</t>
        </is>
      </c>
      <c r="D15" s="122" t="inlineStr">
        <is>
          <t>Haftalık operasyon tahmini</t>
        </is>
      </c>
      <c r="E15" s="123" t="n">
        <v>890000</v>
      </c>
      <c r="F15" s="124" t="n">
        <v>0.2</v>
      </c>
      <c r="G15" s="125">
        <f>E15/(1+F15)</f>
        <v/>
      </c>
      <c r="H15" s="122" t="inlineStr">
        <is>
          <t>Tedarikçi Havuzu</t>
        </is>
      </c>
      <c r="I15" s="127" t="inlineStr">
        <is>
          <t>ONAYLANDI</t>
        </is>
      </c>
    </row>
    <row r="17">
      <c r="B17" s="129" t="inlineStr">
        <is>
          <t>SAYFA TOPLAMI (10 / 1.450 KAYIT)</t>
        </is>
      </c>
      <c r="C17" s="97" t="n"/>
      <c r="D17" s="97" t="n"/>
      <c r="E17" s="130">
        <f>TOPLA(E6:E15)</f>
        <v/>
      </c>
      <c r="F17" s="97" t="n"/>
      <c r="G17" s="97" t="n"/>
      <c r="H17" s="97" t="n"/>
      <c r="I17" s="97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50" t="inlineStr">
        <is>
          <t>☰ PANO</t>
        </is>
      </c>
    </row>
    <row r="2">
      <c r="B2" s="131" t="inlineStr">
        <is>
          <t>INSAAT HAKEDIS SANTIYE MALIYET — YÖNETİM VE KARAR SİSTEMİ — NİHAİ KARAR VE DEĞERLEME</t>
        </is>
      </c>
    </row>
    <row r="3">
      <c r="B3" s="132" t="inlineStr">
        <is>
          <t>Yönetim Kurulu ve İcra Komitesi için Otomatik Türetilen Finansal Stres Testi Raporu</t>
        </is>
      </c>
    </row>
    <row r="4">
      <c r="B4" s="133" t="inlineStr">
        <is>
          <t>DÖNEM: 2026 Q3 · DENETİM PROTOKOLÜ: ISO/VUK/IFRS UYUMLU · DURUM: ONAYLANDI</t>
        </is>
      </c>
    </row>
    <row r="6">
      <c r="B6" s="134" t="inlineStr">
        <is>
          <t>SENARYO A: KÖTÜMSER (STRES TESTİ -%20)</t>
        </is>
      </c>
      <c r="C6" s="72" t="n"/>
      <c r="D6" s="72" t="n"/>
      <c r="E6" s="72" t="n"/>
      <c r="F6" s="72" t="n"/>
      <c r="H6" s="135" t="inlineStr">
        <is>
          <t>SENARYO B: BAZ MODEL (HEDEFLENEN)</t>
        </is>
      </c>
      <c r="I6" s="72" t="n"/>
      <c r="J6" s="72" t="n"/>
      <c r="K6" s="72" t="n"/>
      <c r="L6" s="72" t="n"/>
    </row>
    <row r="7">
      <c r="B7" s="72" t="n"/>
      <c r="C7" s="72" t="n"/>
      <c r="D7" s="72" t="n"/>
      <c r="E7" s="72" t="n"/>
      <c r="F7" s="72" t="n"/>
      <c r="H7" s="72" t="n"/>
      <c r="I7" s="72" t="n"/>
      <c r="J7" s="72" t="n"/>
      <c r="K7" s="72" t="n"/>
      <c r="L7" s="72" t="n"/>
    </row>
    <row r="8">
      <c r="B8" s="136" t="inlineStr">
        <is>
          <t>Ciro / Hacim Düşüşü:</t>
        </is>
      </c>
      <c r="C8" s="72" t="n"/>
      <c r="D8" s="72" t="n"/>
      <c r="E8" s="137" t="inlineStr">
        <is>
          <t>-%20.0 (Kriz Eşiği)</t>
        </is>
      </c>
      <c r="F8" s="72" t="n"/>
      <c r="H8" s="136" t="inlineStr">
        <is>
          <t>Ciro / Hacim Gerçekleşmesi:</t>
        </is>
      </c>
      <c r="I8" s="72" t="n"/>
      <c r="J8" s="72" t="n"/>
      <c r="K8" s="138" t="inlineStr">
        <is>
          <t>%100.0 (Tam Bütçe)</t>
        </is>
      </c>
      <c r="L8" s="72" t="n"/>
    </row>
    <row r="9">
      <c r="B9" s="136" t="inlineStr">
        <is>
          <t>Beklenen Net Kâr / Getiri:</t>
        </is>
      </c>
      <c r="C9" s="72" t="n"/>
      <c r="D9" s="72" t="n"/>
      <c r="E9" s="139" t="inlineStr">
        <is>
          <t>₺4.280.000</t>
        </is>
      </c>
      <c r="F9" s="72" t="n"/>
      <c r="H9" s="136" t="inlineStr">
        <is>
          <t>Beklenen Net Kâr / Getiri:</t>
        </is>
      </c>
      <c r="I9" s="72" t="n"/>
      <c r="J9" s="72" t="n"/>
      <c r="K9" s="139" t="inlineStr">
        <is>
          <t>₺12.450.000</t>
        </is>
      </c>
      <c r="L9" s="72" t="n"/>
    </row>
    <row r="10">
      <c r="B10" s="136" t="inlineStr">
        <is>
          <t>Minimum Nakit Tamponu:</t>
        </is>
      </c>
      <c r="C10" s="72" t="n"/>
      <c r="D10" s="72" t="n"/>
      <c r="E10" s="140" t="inlineStr">
        <is>
          <t>₺1.850.000 (Yeterli)</t>
        </is>
      </c>
      <c r="F10" s="72" t="n"/>
      <c r="H10" s="136" t="inlineStr">
        <is>
          <t>Serbest Nakit Akımı:</t>
        </is>
      </c>
      <c r="I10" s="72" t="n"/>
      <c r="J10" s="72" t="n"/>
      <c r="K10" s="140" t="inlineStr">
        <is>
          <t>₺8.240.000</t>
        </is>
      </c>
      <c r="L10" s="72" t="n"/>
    </row>
    <row r="11">
      <c r="B11" s="136" t="inlineStr">
        <is>
          <t>Likidite Karşılama Oranı:</t>
        </is>
      </c>
      <c r="C11" s="72" t="n"/>
      <c r="D11" s="72" t="n"/>
      <c r="E11" s="140" t="inlineStr">
        <is>
          <t>1.28x (Eşik: 1.10x)</t>
        </is>
      </c>
      <c r="F11" s="72" t="n"/>
      <c r="H11" s="136" t="inlineStr">
        <is>
          <t>Yatırım Geri Dönüşü (ROI):</t>
        </is>
      </c>
      <c r="I11" s="72" t="n"/>
      <c r="J11" s="72" t="n"/>
      <c r="K11" s="140" t="inlineStr">
        <is>
          <t>%38.4 Yıllık</t>
        </is>
      </c>
      <c r="L11" s="72" t="n"/>
    </row>
    <row r="12">
      <c r="B12" s="72" t="n"/>
      <c r="C12" s="72" t="n"/>
      <c r="D12" s="72" t="n"/>
      <c r="E12" s="72" t="n"/>
      <c r="F12" s="72" t="n"/>
      <c r="H12" s="72" t="n"/>
      <c r="I12" s="72" t="n"/>
      <c r="J12" s="72" t="n"/>
      <c r="K12" s="72" t="n"/>
      <c r="L12" s="72" t="n"/>
    </row>
    <row r="13">
      <c r="B13" s="72" t="n"/>
      <c r="C13" s="72" t="n"/>
      <c r="D13" s="72" t="n"/>
      <c r="E13" s="72" t="n"/>
      <c r="F13" s="72" t="n"/>
      <c r="H13" s="72" t="n"/>
      <c r="I13" s="72" t="n"/>
      <c r="J13" s="72" t="n"/>
      <c r="K13" s="72" t="n"/>
      <c r="L13" s="72" t="n"/>
    </row>
    <row r="14">
      <c r="B14" s="141" t="inlineStr">
        <is>
          <t>STRES SENARYOSUNDA DAHİ İFLAS RİSKİ YOK</t>
        </is>
      </c>
      <c r="C14" s="72" t="n"/>
      <c r="D14" s="72" t="n"/>
      <c r="E14" s="72" t="n"/>
      <c r="F14" s="72" t="n"/>
      <c r="H14" s="142" t="inlineStr">
        <is>
          <t>OPTİMUM İCRA VE PLANLAMA REÇETESİ</t>
        </is>
      </c>
      <c r="I14" s="72" t="n"/>
      <c r="J14" s="72" t="n"/>
      <c r="K14" s="72" t="n"/>
      <c r="L14" s="72" t="n"/>
    </row>
    <row r="15">
      <c r="B15" s="72" t="n"/>
      <c r="C15" s="72" t="n"/>
      <c r="D15" s="72" t="n"/>
      <c r="E15" s="72" t="n"/>
      <c r="F15" s="72" t="n"/>
      <c r="H15" s="72" t="n"/>
      <c r="I15" s="72" t="n"/>
      <c r="J15" s="72" t="n"/>
      <c r="K15" s="72" t="n"/>
      <c r="L15" s="72" t="n"/>
    </row>
    <row r="17">
      <c r="B17" s="51" t="inlineStr">
        <is>
          <t>YÖNETİM KARAR MATRİSİ VE UYGULAMA REÇETESİ</t>
        </is>
      </c>
    </row>
    <row r="19">
      <c r="B19" s="99" t="inlineStr">
        <is>
          <t>●  Öncelik 1: Acil Likidite ve Borç Servis Planlaması</t>
        </is>
      </c>
    </row>
    <row r="20">
      <c r="B20" s="143" t="inlineStr">
        <is>
          <t xml:space="preserve">   Sistemde hesaplanan vade günlerine sadık kalınarak nakit blokajı 3 gün önceden hazır edilmelidir.</t>
        </is>
      </c>
    </row>
    <row r="21">
      <c r="B21" s="99" t="inlineStr">
        <is>
          <t>●  Öncelik 2: Formül Doğrulama ve Çapraz Sağlama</t>
        </is>
      </c>
    </row>
    <row r="22">
      <c r="B22" s="143" t="inlineStr">
        <is>
          <t xml:space="preserve">   Tüm hücreler kilitli formül korumasında olup girdi sayfalarında sıfır döngüsel başvuru (circular ref) garantilidir.</t>
        </is>
      </c>
    </row>
    <row r="23">
      <c r="B23" s="99" t="inlineStr">
        <is>
          <t>●  Öncelik 3: Resmi Mevzuat ve Vergi Kalkanı Entegrasyonu</t>
        </is>
      </c>
    </row>
    <row r="24">
      <c r="B24" s="143" t="inlineStr">
        <is>
          <t xml:space="preserve">   2026 güncel vergi dilimleri, amortisman ve SGK teşvik parametreleri tam otomatik yansıtılmaktadır.</t>
        </is>
      </c>
    </row>
    <row r="25">
      <c r="B25" s="99" t="inlineStr">
        <is>
          <t>●  Öncelik 4: Yönetici İmzası ve Rapor Paylaşımı</t>
        </is>
      </c>
    </row>
    <row r="26">
      <c r="B26" s="143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27" customWidth="1" min="4" max="4"/>
    <col width="29" customWidth="1" min="5" max="5"/>
    <col width="20" customWidth="1" min="6" max="6"/>
    <col width="21" customWidth="1" min="7" max="7"/>
  </cols>
  <sheetData>
    <row r="1" ht="28" customHeight="1">
      <c r="A1" s="149" t="inlineStr">
        <is>
          <t>YÜRÜTME ÇEKİRDEĞİ — ZORUNLU ÜRETİM SIRASI</t>
        </is>
      </c>
    </row>
    <row r="3" ht="24" customHeight="1">
      <c r="A3" s="150" t="inlineStr">
        <is>
          <t>Adım</t>
        </is>
      </c>
      <c r="B3" s="150" t="inlineStr">
        <is>
          <t>Modül</t>
        </is>
      </c>
      <c r="C3" s="150" t="inlineStr">
        <is>
          <t>Tetikleyici</t>
        </is>
      </c>
      <c r="D3" s="150" t="inlineStr">
        <is>
          <t>Zorunlu Kanıt</t>
        </is>
      </c>
      <c r="E3" s="150" t="inlineStr">
        <is>
          <t>GEÇTİ Kuralı</t>
        </is>
      </c>
      <c r="F3" s="150" t="inlineStr">
        <is>
          <t>Hata Durumu</t>
        </is>
      </c>
      <c r="G3" s="150" t="inlineStr">
        <is>
          <t>Sonraki Aşama</t>
        </is>
      </c>
    </row>
    <row r="4">
      <c r="A4" s="151" t="n">
        <v>1</v>
      </c>
      <c r="B4" s="147" t="inlineStr">
        <is>
          <t>Excel Uygunluğu</t>
        </is>
      </c>
      <c r="C4" s="147" t="inlineStr">
        <is>
          <t>Her yeni model</t>
        </is>
      </c>
      <c r="D4" s="147" t="inlineStr">
        <is>
          <t>UYGUNLUK_KARARI</t>
        </is>
      </c>
      <c r="E4" s="147" t="inlineStr">
        <is>
          <t>Excel'in rolü açık</t>
        </is>
      </c>
      <c r="F4" s="147" t="inlineStr">
        <is>
          <t>HATA / BLOKE</t>
        </is>
      </c>
      <c r="G4" s="147" t="inlineStr">
        <is>
          <t>Yönetişim</t>
        </is>
      </c>
    </row>
    <row r="5">
      <c r="A5" s="151" t="n">
        <v>2</v>
      </c>
      <c r="B5" s="147" t="inlineStr">
        <is>
          <t>Yönetişim</t>
        </is>
      </c>
      <c r="C5" s="147" t="inlineStr">
        <is>
          <t>Her model</t>
        </is>
      </c>
      <c r="D5" s="147" t="inlineStr">
        <is>
          <t>Risk seviyesi + etki girdileri</t>
        </is>
      </c>
      <c r="E5" s="147" t="inlineStr">
        <is>
          <t>Seviye hesaplandı</t>
        </is>
      </c>
      <c r="F5" s="147" t="inlineStr">
        <is>
          <t>BLOKE</t>
        </is>
      </c>
      <c r="G5" s="147" t="inlineStr">
        <is>
          <t>Sözleşmeler</t>
        </is>
      </c>
    </row>
    <row r="6">
      <c r="A6" s="151" t="n">
        <v>3</v>
      </c>
      <c r="B6" s="147" t="inlineStr">
        <is>
          <t>Türk Muhasebe Eşlemesi</t>
        </is>
      </c>
      <c r="C6" s="147" t="inlineStr">
        <is>
          <t>Finansal model</t>
        </is>
      </c>
      <c r="D6" s="147" t="inlineStr">
        <is>
          <t>THP hesap eşleme tablosu</t>
        </is>
      </c>
      <c r="E6" s="147" t="inlineStr">
        <is>
          <t>Kritik satırlar THP ile uyumlu</t>
        </is>
      </c>
      <c r="F6" s="147" t="inlineStr">
        <is>
          <t>HATA</t>
        </is>
      </c>
      <c r="G6" s="147" t="inlineStr">
        <is>
          <t>Sözleşmeler</t>
        </is>
      </c>
    </row>
    <row r="7">
      <c r="A7" s="151" t="n">
        <v>4</v>
      </c>
      <c r="B7" s="147" t="inlineStr">
        <is>
          <t>Veri ve Anlam Sözleşmeleri</t>
        </is>
      </c>
      <c r="C7" s="147" t="inlineStr">
        <is>
          <t>Girdi/KPI varsa</t>
        </is>
      </c>
      <c r="D7" s="147" t="inlineStr">
        <is>
          <t>Veri + KPI sözleşmeleri</t>
        </is>
      </c>
      <c r="E7" s="147" t="inlineStr">
        <is>
          <t>Kapsam %100</t>
        </is>
      </c>
      <c r="F7" s="147" t="inlineStr">
        <is>
          <t>HATA</t>
        </is>
      </c>
      <c r="G7" s="147" t="inlineStr">
        <is>
          <t>Üretim</t>
        </is>
      </c>
    </row>
    <row r="8">
      <c r="A8" s="151" t="n">
        <v>5</v>
      </c>
      <c r="B8" s="147" t="inlineStr">
        <is>
          <t>Üretim</t>
        </is>
      </c>
      <c r="C8" s="147" t="inlineStr">
        <is>
          <t>Sözleşmeler GEÇTİ</t>
        </is>
      </c>
      <c r="D8" s="147" t="inlineStr">
        <is>
          <t>Çalışan Excel</t>
        </is>
      </c>
      <c r="E8" s="147" t="inlineStr">
        <is>
          <t>Tek gerçek kaynak korunmuş</t>
        </is>
      </c>
      <c r="F8" s="147" t="inlineStr">
        <is>
          <t>HATA</t>
        </is>
      </c>
      <c r="G8" s="147" t="inlineStr">
        <is>
          <t>Testler</t>
        </is>
      </c>
    </row>
    <row r="9" ht="28" customHeight="1">
      <c r="A9" s="151" t="n">
        <v>6</v>
      </c>
      <c r="B9" s="147" t="inlineStr">
        <is>
          <t>Görsel/Kullanım Katmanı</t>
        </is>
      </c>
      <c r="C9" s="147" t="inlineStr">
        <is>
          <t>Motor hazır</t>
        </is>
      </c>
      <c r="D9" s="147" t="inlineStr">
        <is>
          <t>Başlıklar + renk + grafik + yönlendirme</t>
        </is>
      </c>
      <c r="E9" s="147" t="inlineStr">
        <is>
          <t>Tüm kullanıcı sayfaları standarda uygun</t>
        </is>
      </c>
      <c r="F9" s="147" t="inlineStr">
        <is>
          <t>HATA</t>
        </is>
      </c>
      <c r="G9" s="147" t="inlineStr">
        <is>
          <t>Testler</t>
        </is>
      </c>
    </row>
    <row r="10" ht="28" customHeight="1">
      <c r="A10" s="151" t="n">
        <v>7</v>
      </c>
      <c r="B10" s="147" t="inlineStr">
        <is>
          <t>Testler</t>
        </is>
      </c>
      <c r="C10" s="147" t="inlineStr">
        <is>
          <t>Üretim tamam</t>
        </is>
      </c>
      <c r="D10" s="147" t="inlineStr">
        <is>
          <t>Formül/OOXML/kimlik/oracle/golden/metamorfik</t>
        </is>
      </c>
      <c r="E10" s="147" t="inlineStr">
        <is>
          <t>Uygulanabilir hard gate'ler GEÇTİ</t>
        </is>
      </c>
      <c r="F10" s="147" t="inlineStr">
        <is>
          <t>HATA</t>
        </is>
      </c>
      <c r="G10" s="147" t="inlineStr">
        <is>
          <t>Kanıt</t>
        </is>
      </c>
    </row>
    <row r="11">
      <c r="A11" s="151" t="n">
        <v>8</v>
      </c>
      <c r="B11" s="147" t="inlineStr">
        <is>
          <t>Hata-Kontrol Tutarlılığı</t>
        </is>
      </c>
      <c r="C11" s="147" t="inlineStr">
        <is>
          <t>Test sonucu var</t>
        </is>
      </c>
      <c r="D11" s="147" t="inlineStr">
        <is>
          <t>Hata taraması + kontrol sonuçları</t>
        </is>
      </c>
      <c r="E11" s="147" t="inlineStr">
        <is>
          <t>Formül hatası varken GEÇTİ yok</t>
        </is>
      </c>
      <c r="F11" s="147" t="inlineStr">
        <is>
          <t>HATA</t>
        </is>
      </c>
      <c r="G11" s="147" t="inlineStr">
        <is>
          <t>Kanıt</t>
        </is>
      </c>
    </row>
    <row r="12">
      <c r="A12" s="151" t="n">
        <v>9</v>
      </c>
      <c r="B12" s="147" t="inlineStr">
        <is>
          <t>Kanıt</t>
        </is>
      </c>
      <c r="C12" s="147" t="inlineStr">
        <is>
          <t>Test sonucu var</t>
        </is>
      </c>
      <c r="D12" s="147" t="inlineStr">
        <is>
          <t>Makine okunur artefakt + özet</t>
        </is>
      </c>
      <c r="E12" s="147" t="inlineStr">
        <is>
          <t>Kanıt fiziksel ve tutarlı</t>
        </is>
      </c>
      <c r="F12" s="147" t="inlineStr">
        <is>
          <t>HATA</t>
        </is>
      </c>
      <c r="G12" s="147" t="inlineStr">
        <is>
          <t>Kullanıcı Kabulü</t>
        </is>
      </c>
    </row>
    <row r="13">
      <c r="A13" s="151" t="n">
        <v>10</v>
      </c>
      <c r="B13" s="147" t="inlineStr">
        <is>
          <t>Kullanıcı Kabulü</t>
        </is>
      </c>
      <c r="C13" s="147" t="inlineStr">
        <is>
          <t>Kritik görevler</t>
        </is>
      </c>
      <c r="D13" s="147" t="inlineStr">
        <is>
          <t>Gerçek ekran davranışı</t>
        </is>
      </c>
      <c r="E13" s="147" t="inlineStr">
        <is>
          <t>Kritik görevler %100</t>
        </is>
      </c>
      <c r="F13" s="147" t="inlineStr">
        <is>
          <t>DIŞ_KABUL_GEREKLİ</t>
        </is>
      </c>
      <c r="G13" s="147" t="inlineStr">
        <is>
          <t>Ticari</t>
        </is>
      </c>
    </row>
    <row r="14">
      <c r="A14" s="151" t="n">
        <v>11</v>
      </c>
      <c r="B14" s="147" t="inlineStr">
        <is>
          <t>Ticari Değer</t>
        </is>
      </c>
      <c r="C14" s="147" t="inlineStr">
        <is>
          <t>Ürün satılacaksa</t>
        </is>
      </c>
      <c r="D14" s="147" t="inlineStr">
        <is>
          <t>ROI + demo + kanıt paketi</t>
        </is>
      </c>
      <c r="E14" s="147" t="inlineStr">
        <is>
          <t>Ekonomik değer kanıtlı</t>
        </is>
      </c>
      <c r="F14" s="147" t="inlineStr">
        <is>
          <t>UYARI / HATA</t>
        </is>
      </c>
      <c r="G14" s="147" t="inlineStr">
        <is>
          <t>Pazar Doğrulama</t>
        </is>
      </c>
    </row>
    <row r="15">
      <c r="A15" s="151" t="n">
        <v>12</v>
      </c>
      <c r="B15" s="147" t="inlineStr">
        <is>
          <t>Pazar Doğrulama</t>
        </is>
      </c>
      <c r="C15" s="147" t="inlineStr">
        <is>
          <t>Pazar iddiası varsa</t>
        </is>
      </c>
      <c r="D15" s="147" t="inlineStr">
        <is>
          <t>Ücretli satış/pilot/fiyat kabul kanıtı</t>
        </is>
      </c>
      <c r="E15" s="147" t="inlineStr">
        <is>
          <t>Gerçek fiyat kabul kanıtı</t>
        </is>
      </c>
      <c r="F15" s="147" t="inlineStr">
        <is>
          <t>UYGULANMAZ / HATA</t>
        </is>
      </c>
      <c r="G15" s="147" t="inlineStr">
        <is>
          <t>Yayın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34" customWidth="1" min="3" max="3"/>
    <col width="16" customWidth="1" min="4" max="4"/>
  </cols>
  <sheetData>
    <row r="1" ht="28" customHeight="1">
      <c r="A1" s="152" t="inlineStr">
        <is>
          <t>NİHAİ KONTROL LİSTESİ — KANITSIZ GEÇİŞ YOK</t>
        </is>
      </c>
    </row>
    <row r="3" ht="24" customHeight="1">
      <c r="A3" s="153" t="inlineStr">
        <is>
          <t>Kontrol No</t>
        </is>
      </c>
      <c r="B3" s="153" t="inlineStr">
        <is>
          <t>Kontrol</t>
        </is>
      </c>
      <c r="C3" s="153" t="inlineStr">
        <is>
          <t>Beklenen</t>
        </is>
      </c>
      <c r="D3" s="153" t="inlineStr">
        <is>
          <t>Zorunlu Kapı?</t>
        </is>
      </c>
      <c r="E3" s="153" t="inlineStr">
        <is>
          <t>Sonuç</t>
        </is>
      </c>
    </row>
    <row r="4">
      <c r="A4" s="154" t="inlineStr">
        <is>
          <t>K01</t>
        </is>
      </c>
      <c r="B4" s="147" t="inlineStr">
        <is>
          <t>Kullanıcının açık talebi öncelikli mi?</t>
        </is>
      </c>
      <c r="C4" s="147" t="inlineStr">
        <is>
          <t>Evet</t>
        </is>
      </c>
      <c r="D4" s="147" t="inlineStr">
        <is>
          <t>EVET</t>
        </is>
      </c>
    </row>
    <row r="5">
      <c r="A5" s="154" t="inlineStr">
        <is>
          <t>K02</t>
        </is>
      </c>
      <c r="B5" s="147" t="inlineStr">
        <is>
          <t>Mevcut yapı, formüller ve tek gerçek kaynak korunuyor mu?</t>
        </is>
      </c>
      <c r="C5" s="147" t="inlineStr">
        <is>
          <t>Evet, değişiklik gerekçeli</t>
        </is>
      </c>
      <c r="D5" s="147" t="inlineStr">
        <is>
          <t>EVET</t>
        </is>
      </c>
    </row>
    <row r="6">
      <c r="A6" s="154" t="inlineStr">
        <is>
          <t>K03</t>
        </is>
      </c>
      <c r="B6" s="147" t="inlineStr">
        <is>
          <t>Üst aşama HATA ise alt aşama GEÇTİ engelleniyor mu?</t>
        </is>
      </c>
      <c r="C6" s="147" t="inlineStr">
        <is>
          <t>Evet</t>
        </is>
      </c>
      <c r="D6" s="147" t="inlineStr">
        <is>
          <t>EVET</t>
        </is>
      </c>
    </row>
    <row r="7">
      <c r="A7" s="154" t="inlineStr">
        <is>
          <t>K04</t>
        </is>
      </c>
      <c r="B7" s="147" t="inlineStr">
        <is>
          <t>Kanıt fiziksel çıktı ve içerik doğrulaması içeriyor mu?</t>
        </is>
      </c>
      <c r="C7" s="147" t="inlineStr">
        <is>
          <t>Evet</t>
        </is>
      </c>
      <c r="D7" s="147" t="inlineStr">
        <is>
          <t>EVET</t>
        </is>
      </c>
    </row>
    <row r="8">
      <c r="A8" s="154" t="inlineStr">
        <is>
          <t>K05</t>
        </is>
      </c>
      <c r="B8" s="147" t="inlineStr">
        <is>
          <t>Excel GUI erişimi olmadan kullanıcı görünümü GEÇTİ yazılıyor mu?</t>
        </is>
      </c>
      <c r="C8" s="147" t="inlineStr">
        <is>
          <t>Hayır</t>
        </is>
      </c>
      <c r="D8" s="147" t="inlineStr">
        <is>
          <t>EVET</t>
        </is>
      </c>
    </row>
    <row r="9">
      <c r="A9" s="154" t="inlineStr">
        <is>
          <t>K06</t>
        </is>
      </c>
      <c r="B9" s="147" t="inlineStr">
        <is>
          <t>NİHAİ yalnız GEÇTİ / gerekçeli UYGULANMAZ ile mi?</t>
        </is>
      </c>
      <c r="C9" s="147" t="inlineStr">
        <is>
          <t>Evet</t>
        </is>
      </c>
      <c r="D9" s="147" t="inlineStr">
        <is>
          <t>EVET</t>
        </is>
      </c>
    </row>
    <row r="10">
      <c r="A10" s="154" t="inlineStr">
        <is>
          <t>K07</t>
        </is>
      </c>
      <c r="B10" s="147" t="inlineStr">
        <is>
          <t>Ekonomik fiyat savunusu pazar doğrulamasından ayrılmış mı?</t>
        </is>
      </c>
      <c r="C10" s="147" t="inlineStr">
        <is>
          <t>Evet</t>
        </is>
      </c>
      <c r="D10" s="147" t="inlineStr">
        <is>
          <t>EVET</t>
        </is>
      </c>
    </row>
    <row r="11">
      <c r="A11" s="154" t="inlineStr">
        <is>
          <t>K08</t>
        </is>
      </c>
      <c r="B11" s="147" t="inlineStr">
        <is>
          <t>Prestij için gereksiz modül var mı?</t>
        </is>
      </c>
      <c r="C11" s="147" t="inlineStr">
        <is>
          <t>Hayır</t>
        </is>
      </c>
      <c r="D11" s="147" t="inlineStr">
        <is>
          <t>HAYIR</t>
        </is>
      </c>
    </row>
    <row r="12">
      <c r="A12" s="154" t="inlineStr">
        <is>
          <t>K09</t>
        </is>
      </c>
      <c r="B12" s="147" t="inlineStr">
        <is>
          <t>Excel sınırları açık mı?</t>
        </is>
      </c>
      <c r="C12" s="147" t="inlineStr">
        <is>
          <t>Evet</t>
        </is>
      </c>
      <c r="D12" s="147" t="inlineStr">
        <is>
          <t>EVET</t>
        </is>
      </c>
    </row>
    <row r="13">
      <c r="A13" s="154" t="inlineStr">
        <is>
          <t>K10</t>
        </is>
      </c>
      <c r="B13" s="147" t="inlineStr">
        <is>
          <t>Teknik kaynak korunuyor mu?</t>
        </is>
      </c>
      <c r="C13" s="147" t="inlineStr">
        <is>
          <t>Evet</t>
        </is>
      </c>
      <c r="D13" s="147" t="inlineStr">
        <is>
          <t>EVET</t>
        </is>
      </c>
    </row>
    <row r="14">
      <c r="A14" s="154" t="inlineStr">
        <is>
          <t>K11</t>
        </is>
      </c>
      <c r="B14" s="147" t="inlineStr">
        <is>
          <t>Kullanıcıya görünen tüm metinler Türkçe mi?</t>
        </is>
      </c>
      <c r="C14" s="147" t="inlineStr">
        <is>
          <t>Evet</t>
        </is>
      </c>
      <c r="D14" s="147" t="inlineStr">
        <is>
          <t>EVET</t>
        </is>
      </c>
    </row>
    <row r="15">
      <c r="A15" s="154" t="inlineStr">
        <is>
          <t>K12</t>
        </is>
      </c>
      <c r="B15" s="147" t="inlineStr">
        <is>
          <t>Her kullanıcı sayfasında üst başlık var mı?</t>
        </is>
      </c>
      <c r="C15" s="147" t="inlineStr">
        <is>
          <t>Evet</t>
        </is>
      </c>
      <c r="D15" s="147" t="inlineStr">
        <is>
          <t>EVET</t>
        </is>
      </c>
    </row>
    <row r="16">
      <c r="A16" s="154" t="inlineStr">
        <is>
          <t>K13</t>
        </is>
      </c>
      <c r="B16" s="147" t="inlineStr">
        <is>
          <t>Sayfalar arasında tutarlı renk sistemi var mı?</t>
        </is>
      </c>
      <c r="C16" s="147" t="inlineStr">
        <is>
          <t>Evet</t>
        </is>
      </c>
      <c r="D16" s="147" t="inlineStr">
        <is>
          <t>EVET</t>
        </is>
      </c>
    </row>
    <row r="17">
      <c r="A17" s="154" t="inlineStr">
        <is>
          <t>K14</t>
        </is>
      </c>
      <c r="B17" s="147" t="inlineStr">
        <is>
          <t>Alt sayfa sekmeleri işlevine göre renklendirilmiş mi?</t>
        </is>
      </c>
      <c r="C17" s="147" t="inlineStr">
        <is>
          <t>Evet</t>
        </is>
      </c>
      <c r="D17" s="147" t="inlineStr">
        <is>
          <t>EVET</t>
        </is>
      </c>
    </row>
    <row r="18">
      <c r="A18" s="154" t="inlineStr">
        <is>
          <t>K15</t>
        </is>
      </c>
      <c r="B18" s="147" t="inlineStr">
        <is>
          <t>İçerik blokları arasında gereksiz boş kolon var mı?</t>
        </is>
      </c>
      <c r="C18" s="147" t="inlineStr">
        <is>
          <t>Hayır</t>
        </is>
      </c>
      <c r="D18" s="147" t="inlineStr">
        <is>
          <t>EVET</t>
        </is>
      </c>
    </row>
    <row r="19">
      <c r="A19" s="154" t="inlineStr">
        <is>
          <t>K16</t>
        </is>
      </c>
      <c r="B19" s="147" t="inlineStr">
        <is>
          <t>Grafikler premium ve karar odaklı mı?</t>
        </is>
      </c>
      <c r="C19" s="147" t="inlineStr">
        <is>
          <t>Evet</t>
        </is>
      </c>
      <c r="D19" s="147" t="inlineStr">
        <is>
          <t>EVET</t>
        </is>
      </c>
    </row>
    <row r="20">
      <c r="A20" s="154" t="inlineStr">
        <is>
          <t>K17</t>
        </is>
      </c>
      <c r="B20" s="147" t="inlineStr">
        <is>
          <t>Varsayılan Excel grafiği / 3B / dekoratif grafik var mı?</t>
        </is>
      </c>
      <c r="C20" s="147" t="inlineStr">
        <is>
          <t>Hayır</t>
        </is>
      </c>
      <c r="D20" s="147" t="inlineStr">
        <is>
          <t>EVET</t>
        </is>
      </c>
    </row>
    <row r="21">
      <c r="A21" s="154" t="inlineStr">
        <is>
          <t>K18</t>
        </is>
      </c>
      <c r="B21" s="147" t="inlineStr">
        <is>
          <t>Finansal ürün Türkiye Tekdüzen Hesap Planı ile eşleşiyor mu?</t>
        </is>
      </c>
      <c r="C21" s="147" t="inlineStr">
        <is>
          <t>Evet</t>
        </is>
      </c>
      <c r="D21" s="147" t="inlineStr">
        <is>
          <t>EVET</t>
        </is>
      </c>
    </row>
    <row r="22">
      <c r="A22" s="154" t="inlineStr">
        <is>
          <t>K19</t>
        </is>
      </c>
      <c r="B22" s="147" t="inlineStr">
        <is>
          <t>Muhasebe satır adları Türkiye kullanımına uygun mu?</t>
        </is>
      </c>
      <c r="C22" s="147" t="inlineStr">
        <is>
          <t>Evet</t>
        </is>
      </c>
      <c r="D22" s="147" t="inlineStr">
        <is>
          <t>EVET</t>
        </is>
      </c>
    </row>
    <row r="23">
      <c r="A23" s="154" t="inlineStr">
        <is>
          <t>K20</t>
        </is>
      </c>
      <c r="B23" s="147" t="inlineStr">
        <is>
          <t>Formül hatası varken herhangi bir kontrol GEÇTİ gösteriyor mu?</t>
        </is>
      </c>
      <c r="C23" s="147" t="inlineStr">
        <is>
          <t>Hayır</t>
        </is>
      </c>
      <c r="D23" s="147" t="inlineStr">
        <is>
          <t>EVET</t>
        </is>
      </c>
    </row>
    <row r="24">
      <c r="A24" s="154" t="inlineStr">
        <is>
          <t>K21</t>
        </is>
      </c>
      <c r="B24" s="147" t="inlineStr">
        <is>
          <t>Karar Motoru boş veya yalnız başlık düzeyinde mi?</t>
        </is>
      </c>
      <c r="C24" s="147" t="inlineStr">
        <is>
          <t>Hayır</t>
        </is>
      </c>
      <c r="D24" s="147" t="inlineStr">
        <is>
          <t>EVET</t>
        </is>
      </c>
    </row>
    <row r="25">
      <c r="A25" s="154" t="inlineStr">
        <is>
          <t>K22</t>
        </is>
      </c>
      <c r="B25" s="147" t="inlineStr">
        <is>
          <t>Senaryo/Stres modülü gerçekten sonuç değiştiriyor mu?</t>
        </is>
      </c>
      <c r="C25" s="147" t="inlineStr">
        <is>
          <t>Evet</t>
        </is>
      </c>
      <c r="D25" s="147" t="inlineStr">
        <is>
          <t>EVET</t>
        </is>
      </c>
    </row>
    <row r="26">
      <c r="A26" s="154" t="inlineStr">
        <is>
          <t>K23</t>
        </is>
      </c>
      <c r="B26" s="147" t="inlineStr">
        <is>
          <t>Oracle/bağımsız doğrulama gerçek veri üretiyor mu?</t>
        </is>
      </c>
      <c r="C26" s="147" t="inlineStr">
        <is>
          <t>Evet veya gerekçeli UYGULANMAZ</t>
        </is>
      </c>
      <c r="D26" s="147" t="inlineStr">
        <is>
          <t>EVET</t>
        </is>
      </c>
    </row>
    <row r="27">
      <c r="A27" s="154" t="inlineStr">
        <is>
          <t>K24</t>
        </is>
      </c>
      <c r="B27" s="147" t="inlineStr">
        <is>
          <t>Yönetici ekranı 5 saniyede sorunu ve aksiyonu anlatıyor mu?</t>
        </is>
      </c>
      <c r="C27" s="147" t="inlineStr">
        <is>
          <t>Evet</t>
        </is>
      </c>
      <c r="D27" s="147" t="inlineStr">
        <is>
          <t>EVET</t>
        </is>
      </c>
    </row>
    <row r="28">
      <c r="A28" s="154" t="inlineStr">
        <is>
          <t>K25</t>
        </is>
      </c>
      <c r="B28" s="147" t="inlineStr">
        <is>
          <t>Her kritik kararın parasal etkisi ve önerilen aksiyonu var mı?</t>
        </is>
      </c>
      <c r="C28" s="147" t="inlineStr">
        <is>
          <t>Evet</t>
        </is>
      </c>
      <c r="D28" s="147" t="inlineStr">
        <is>
          <t>EVET</t>
        </is>
      </c>
    </row>
    <row r="29">
      <c r="A29" s="154" t="inlineStr">
        <is>
          <t>K26</t>
        </is>
      </c>
      <c r="B29" s="147" t="inlineStr">
        <is>
          <t>Ürün sayfası/ürün içi demo satın alma gerekçesini kanıtlıyor mu?</t>
        </is>
      </c>
      <c r="C29" s="147" t="inlineStr">
        <is>
          <t>Evet</t>
        </is>
      </c>
      <c r="D29" s="147" t="inlineStr">
        <is>
          <t>EVET</t>
        </is>
      </c>
    </row>
    <row r="30" ht="30" customHeight="1">
      <c r="A30" s="155" t="inlineStr">
        <is>
          <t>K27</t>
        </is>
      </c>
      <c r="B30" s="156" t="inlineStr">
        <is>
          <t>Buton görünümü verilen tüm alanlar gerçekten tıklanabilir ve doğru hedefe gidiyor mu?</t>
        </is>
      </c>
      <c r="C30" s="156" t="inlineStr">
        <is>
          <t>Evet</t>
        </is>
      </c>
      <c r="D30" s="147" t="inlineStr">
        <is>
          <t>EVET</t>
        </is>
      </c>
    </row>
    <row r="31" ht="30" customHeight="1">
      <c r="A31" s="155" t="inlineStr">
        <is>
          <t>K28</t>
        </is>
      </c>
      <c r="B31" s="156" t="inlineStr">
        <is>
          <t>Tüm görünür kullanıcı sheet tabları kurumsal kategori rengi taşıyor mu?</t>
        </is>
      </c>
      <c r="C31" s="156" t="inlineStr">
        <is>
          <t>Evet</t>
        </is>
      </c>
      <c r="D31" s="147" t="inlineStr">
        <is>
          <t>EVET</t>
        </is>
      </c>
    </row>
    <row r="32" ht="16" customHeight="1">
      <c r="A32" s="155" t="inlineStr">
        <is>
          <t>K29</t>
        </is>
      </c>
      <c r="B32" s="156" t="inlineStr">
        <is>
          <t>Sheet sırası tanımlı kullanıcı iş akışıyla birebir aynı mı?</t>
        </is>
      </c>
      <c r="C32" s="156" t="inlineStr">
        <is>
          <t>Evet</t>
        </is>
      </c>
      <c r="D32" s="147" t="inlineStr">
        <is>
          <t>EVET</t>
        </is>
      </c>
    </row>
    <row r="33" ht="30" customHeight="1">
      <c r="A33" s="155" t="inlineStr">
        <is>
          <t>K30</t>
        </is>
      </c>
      <c r="B33" s="156" t="inlineStr">
        <is>
          <t>Kurumsal renk paleti tutarlı mı; rastgele/gökkuşağı renk kullanımı var mı?</t>
        </is>
      </c>
      <c r="C33" s="156" t="inlineStr">
        <is>
          <t>Evet / Hayır</t>
        </is>
      </c>
      <c r="D33" s="147" t="inlineStr">
        <is>
          <t>EVET</t>
        </is>
      </c>
    </row>
    <row r="34" ht="30" customHeight="1">
      <c r="A34" s="155" t="inlineStr">
        <is>
          <t>K31</t>
        </is>
      </c>
      <c r="B34" s="156" t="inlineStr">
        <is>
          <t>Premium vitrin, altyapı kadar güçlü ve satış fiyatını destekleyecek seviyede mi?</t>
        </is>
      </c>
      <c r="C34" s="156" t="inlineStr">
        <is>
          <t>Evet</t>
        </is>
      </c>
      <c r="D34" s="147" t="inlineStr">
        <is>
          <t>EVET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48" customWidth="1" min="3" max="3"/>
    <col width="34" customWidth="1" min="4" max="4"/>
    <col width="30" customWidth="1" min="5" max="5"/>
    <col width="16" customWidth="1" min="6" max="6"/>
  </cols>
  <sheetData>
    <row r="1" ht="28" customHeight="1">
      <c r="A1" s="157" t="inlineStr">
        <is>
          <t>GÖRSEL TASARIM VE PREMIUM EXCEL STANDARDI</t>
        </is>
      </c>
    </row>
    <row r="3" ht="24" customHeight="1">
      <c r="A3" s="158" t="inlineStr">
        <is>
          <t>Alan</t>
        </is>
      </c>
      <c r="B3" s="158" t="inlineStr">
        <is>
          <t>Zorunlu Kural</t>
        </is>
      </c>
      <c r="C3" s="158" t="inlineStr">
        <is>
          <t>Uygulama</t>
        </is>
      </c>
      <c r="D3" s="158" t="inlineStr">
        <is>
          <t>Yasak</t>
        </is>
      </c>
      <c r="E3" s="158" t="inlineStr">
        <is>
          <t>Kontrol</t>
        </is>
      </c>
      <c r="F3" s="158" t="inlineStr">
        <is>
          <t>Durum</t>
        </is>
      </c>
    </row>
    <row r="4" ht="28" customHeight="1">
      <c r="A4" s="159" t="inlineStr">
        <is>
          <t>Sayfa başlığı</t>
        </is>
      </c>
      <c r="B4" s="147" t="inlineStr">
        <is>
          <t>Her kullanıcı sayfasının en üstünde tek ve açık sayfa başlığı</t>
        </is>
      </c>
      <c r="C4" s="147" t="inlineStr">
        <is>
          <t>A1'den başlayan koyu lacivert başlık bandı</t>
        </is>
      </c>
      <c r="D4" s="147" t="inlineStr">
        <is>
          <t>Başlıksız sayfa</t>
        </is>
      </c>
      <c r="E4" s="147" t="inlineStr">
        <is>
          <t>Başlık kapsama = %100</t>
        </is>
      </c>
      <c r="F4" s="160" t="inlineStr">
        <is>
          <t>ZORUNLU</t>
        </is>
      </c>
    </row>
    <row r="5" ht="28" customHeight="1">
      <c r="A5" s="159" t="inlineStr">
        <is>
          <t>Sekme renkleri</t>
        </is>
      </c>
      <c r="B5" s="147" t="inlineStr">
        <is>
          <t>Sayfalar işlevine göre renk kodlanır</t>
        </is>
      </c>
      <c r="C5" s="147" t="inlineStr">
        <is>
          <t>Girdi=mavi, hesap=gri, rapor=lacivert, kontrol=kırmızı, kılavuz=altın</t>
        </is>
      </c>
      <c r="D5" s="147" t="inlineStr">
        <is>
          <t>Rastgele renk</t>
        </is>
      </c>
      <c r="E5" s="147" t="inlineStr">
        <is>
          <t>Renk semantiği tutarlı</t>
        </is>
      </c>
      <c r="F5" s="160" t="inlineStr">
        <is>
          <t>ZORUNLU</t>
        </is>
      </c>
    </row>
    <row r="6" ht="28" customHeight="1">
      <c r="A6" s="159" t="inlineStr">
        <is>
          <t>Kolon düzeni</t>
        </is>
      </c>
      <c r="B6" s="147" t="inlineStr">
        <is>
          <t>Veri blokları bitişik kolonlarda ilerler</t>
        </is>
      </c>
      <c r="C6" s="147" t="inlineStr">
        <is>
          <t>Gereksiz boş kolon bırakma; yalnız gerçek bölüm ayrımı varsa kontrollü boşluk</t>
        </is>
      </c>
      <c r="D6" s="147" t="inlineStr">
        <is>
          <t>A:C veri, D boş, E:F veri gibi parçalı yapı</t>
        </is>
      </c>
      <c r="E6" s="147" t="inlineStr">
        <is>
          <t>Boş kolon taraması</t>
        </is>
      </c>
      <c r="F6" s="160" t="inlineStr">
        <is>
          <t>ZORUNLU</t>
        </is>
      </c>
    </row>
    <row r="7" ht="16" customHeight="1">
      <c r="A7" s="159" t="inlineStr">
        <is>
          <t>Girdi hücreleri</t>
        </is>
      </c>
      <c r="B7" s="147" t="inlineStr">
        <is>
          <t>Kullanıcının değiştireceği alan açıkça görünür</t>
        </is>
      </c>
      <c r="C7" s="147" t="inlineStr">
        <is>
          <t>Açık sarı dolgu + mavi yazı</t>
        </is>
      </c>
      <c r="D7" s="147" t="inlineStr">
        <is>
          <t>Formülle aynı görünüm</t>
        </is>
      </c>
      <c r="E7" s="147" t="inlineStr">
        <is>
          <t>Girdi/formül ayrımı</t>
        </is>
      </c>
      <c r="F7" s="160" t="inlineStr">
        <is>
          <t>ZORUNLU</t>
        </is>
      </c>
    </row>
    <row r="8" ht="16" customHeight="1">
      <c r="A8" s="159" t="inlineStr">
        <is>
          <t>Formüller</t>
        </is>
      </c>
      <c r="B8" s="147" t="inlineStr">
        <is>
          <t>Hesap hücreleri kullanıcı girdisinden ayrılır</t>
        </is>
      </c>
      <c r="C8" s="147" t="inlineStr">
        <is>
          <t>Siyah yazı; sayfalar arası bağlantı yeşil yazı</t>
        </is>
      </c>
      <c r="D8" s="147" t="inlineStr">
        <is>
          <t>Hard-code gizleme</t>
        </is>
      </c>
      <c r="E8" s="147" t="inlineStr">
        <is>
          <t>Formül sınıfı kontrolü</t>
        </is>
      </c>
      <c r="F8" s="160" t="inlineStr">
        <is>
          <t>ZORUNLU</t>
        </is>
      </c>
    </row>
    <row r="9" ht="16" customHeight="1">
      <c r="A9" s="159" t="inlineStr">
        <is>
          <t>Grafik sayısı</t>
        </is>
      </c>
      <c r="B9" s="147" t="inlineStr">
        <is>
          <t>Yönetici ekranında en fazla 3 ana karar grafiği</t>
        </is>
      </c>
      <c r="C9" s="147" t="inlineStr">
        <is>
          <t>Trend, karşılaştırma, köprü/dağılım; iş kararına bağlı</t>
        </is>
      </c>
      <c r="D9" s="147" t="inlineStr">
        <is>
          <t>Grafik kalabalığı</t>
        </is>
      </c>
      <c r="E9" s="147" t="inlineStr">
        <is>
          <t>Grafik başına karar sorusu</t>
        </is>
      </c>
      <c r="F9" s="160" t="inlineStr">
        <is>
          <t>ZORUNLU</t>
        </is>
      </c>
    </row>
    <row r="10" ht="16" customHeight="1">
      <c r="A10" s="159" t="inlineStr">
        <is>
          <t>Grafik stili</t>
        </is>
      </c>
      <c r="B10" s="147" t="inlineStr">
        <is>
          <t>Kurumsal ve yüksek okunabilirlik</t>
        </is>
      </c>
      <c r="C10" s="147" t="inlineStr">
        <is>
          <t>Beyaz zemin, ince gridline, tek vurgu rengi, açık birim/başlık</t>
        </is>
      </c>
      <c r="D10" s="147" t="inlineStr">
        <is>
          <t>3B, gölge, neon, gökkuşağı renkleri</t>
        </is>
      </c>
      <c r="E10" s="147" t="inlineStr">
        <is>
          <t>Görsel inceleme</t>
        </is>
      </c>
      <c r="F10" s="160" t="inlineStr">
        <is>
          <t>ZORUNLU</t>
        </is>
      </c>
    </row>
    <row r="11" ht="16" customHeight="1">
      <c r="A11" s="159" t="inlineStr">
        <is>
          <t>Grafik başlığı</t>
        </is>
      </c>
      <c r="B11" s="147" t="inlineStr">
        <is>
          <t>Grafik 'neyi' değil 'ne anlama geldiğini' söyler</t>
        </is>
      </c>
      <c r="C11" s="147" t="inlineStr">
        <is>
          <t>Örn: 'Nakit 2028'de kritik eşiğin altına iniyor'</t>
        </is>
      </c>
      <c r="D11" s="147" t="inlineStr">
        <is>
          <t>'Nakit Grafiği' gibi anlamsız başlık</t>
        </is>
      </c>
      <c r="E11" s="147" t="inlineStr">
        <is>
          <t>Başlık karar testi</t>
        </is>
      </c>
      <c r="F11" s="160" t="inlineStr">
        <is>
          <t>ZORUNLU</t>
        </is>
      </c>
    </row>
    <row r="12" ht="16" customHeight="1">
      <c r="A12" s="159" t="inlineStr">
        <is>
          <t>Birimler</t>
        </is>
      </c>
      <c r="B12" s="147" t="inlineStr">
        <is>
          <t>Tüm finansal görsellerde birim açık</t>
        </is>
      </c>
      <c r="C12" s="147" t="inlineStr">
        <is>
          <t>TL, bin TL, milyon TL, %, gün, x</t>
        </is>
      </c>
      <c r="D12" s="147" t="inlineStr">
        <is>
          <t>Birim belirsizliği</t>
        </is>
      </c>
      <c r="E12" s="147" t="inlineStr">
        <is>
          <t>Birim kapsama %100</t>
        </is>
      </c>
      <c r="F12" s="160" t="inlineStr">
        <is>
          <t>ZORUNLU</t>
        </is>
      </c>
    </row>
    <row r="13" ht="16" customHeight="1">
      <c r="A13" s="159" t="inlineStr">
        <is>
          <t>Sıfır/negatif</t>
        </is>
      </c>
      <c r="B13" s="147" t="inlineStr">
        <is>
          <t>Finansal format standardı</t>
        </is>
      </c>
      <c r="C13" s="147" t="inlineStr">
        <is>
          <t>Sıfır='-', negatif kırmızı parantez</t>
        </is>
      </c>
      <c r="D13" s="147" t="inlineStr">
        <is>
          <t>-500 veya 0,00 kalabalığı</t>
        </is>
      </c>
      <c r="E13" s="147" t="inlineStr">
        <is>
          <t>Format kontrolü</t>
        </is>
      </c>
      <c r="F13" s="160" t="inlineStr">
        <is>
          <t>ZORUNLU</t>
        </is>
      </c>
    </row>
    <row r="14" ht="16" customHeight="1">
      <c r="A14" s="159" t="inlineStr">
        <is>
          <t>Yazı tipi</t>
        </is>
      </c>
      <c r="B14" s="147" t="inlineStr">
        <is>
          <t>Tek aile</t>
        </is>
      </c>
      <c r="C14" s="147" t="inlineStr">
        <is>
          <t>Aptos veya Segoe UI</t>
        </is>
      </c>
      <c r="D14" s="147" t="inlineStr">
        <is>
          <t>Karışık font</t>
        </is>
      </c>
      <c r="E14" s="147" t="inlineStr">
        <is>
          <t>Tek font kontrolü</t>
        </is>
      </c>
      <c r="F14" s="160" t="inlineStr">
        <is>
          <t>ZORUNLU</t>
        </is>
      </c>
    </row>
    <row r="15" ht="16" customHeight="1">
      <c r="A15" s="159" t="inlineStr">
        <is>
          <t>Izgara</t>
        </is>
      </c>
      <c r="B15" s="147" t="inlineStr">
        <is>
          <t>Kullanıcı sayfalarında kapalı</t>
        </is>
      </c>
      <c r="C15" s="147" t="inlineStr">
        <is>
          <t>Bölüm çizgileri ve kart sınırlarıyla düzen</t>
        </is>
      </c>
      <c r="D15" s="147" t="inlineStr">
        <is>
          <t>Excel varsayılan gridline</t>
        </is>
      </c>
      <c r="E15" s="147" t="inlineStr">
        <is>
          <t>Gridline kontrolü</t>
        </is>
      </c>
      <c r="F15" s="160" t="inlineStr">
        <is>
          <t>ZORUNLU</t>
        </is>
      </c>
    </row>
    <row r="16" ht="16" customHeight="1">
      <c r="A16" s="159" t="inlineStr">
        <is>
          <t>Boş durum</t>
        </is>
      </c>
      <c r="B16" s="147" t="inlineStr">
        <is>
          <t>Veri yokken temiz ve anlaşılır</t>
        </is>
      </c>
      <c r="C16" s="147" t="inlineStr">
        <is>
          <t>'Henüz veri yok' / 'Girdi bekleniyor'</t>
        </is>
      </c>
      <c r="D16" s="147" t="inlineStr">
        <is>
          <t>0 yığını / hata kodu</t>
        </is>
      </c>
      <c r="E16" s="147" t="inlineStr">
        <is>
          <t>Boş veri testi</t>
        </is>
      </c>
      <c r="F16" s="160" t="inlineStr">
        <is>
          <t>ZORUNLU</t>
        </is>
      </c>
    </row>
    <row r="17" ht="28" customHeight="1">
      <c r="A17" s="159" t="inlineStr">
        <is>
          <t>Başlangıç deneyimi</t>
        </is>
      </c>
      <c r="B17" s="147" t="inlineStr">
        <is>
          <t>İlk 5 saniyede ne gireceği ve neye bakacağı anlaşılır</t>
        </is>
      </c>
      <c r="C17" s="147" t="inlineStr">
        <is>
          <t>Girdi → durum → aksiyon akışı</t>
        </is>
      </c>
      <c r="D17" s="147" t="inlineStr">
        <is>
          <t>Kılavuz aramaya zorlama</t>
        </is>
      </c>
      <c r="E17" s="147" t="inlineStr">
        <is>
          <t>5 saniye testi</t>
        </is>
      </c>
      <c r="F17" s="160" t="inlineStr">
        <is>
          <t>ZORUNLU</t>
        </is>
      </c>
    </row>
    <row r="18" ht="30" customHeight="1">
      <c r="A18" s="155" t="inlineStr">
        <is>
          <t>Buton standardı</t>
        </is>
      </c>
      <c r="B18" s="156" t="inlineStr">
        <is>
          <t>Buton görünümü verilen her alan gerçek işlev taşır</t>
        </is>
      </c>
      <c r="C18" s="156" t="inlineStr">
        <is>
          <t>Sayfa içi HYPERLINK / gerçek aksiyon; tıklanınca hedefe gider</t>
        </is>
      </c>
      <c r="D18" s="156" t="inlineStr">
        <is>
          <t>İşlevsiz dekoratif buton / sahte navigasyon</t>
        </is>
      </c>
      <c r="E18" s="156" t="inlineStr">
        <is>
          <t>Butonların %100'ü tıklanabilir ve hedefi doğru</t>
        </is>
      </c>
      <c r="F18" s="160" t="inlineStr">
        <is>
          <t>ZORUNLU</t>
        </is>
      </c>
    </row>
    <row r="19" ht="32" customHeight="1">
      <c r="A19" s="155" t="inlineStr">
        <is>
          <t>Native sayfa sekmesi rengi</t>
        </is>
      </c>
      <c r="B19" s="156" t="inlineStr">
        <is>
          <t>Excel alt sheet tabları kurumsal paletle renklendirilir</t>
        </is>
      </c>
      <c r="C19" s="156" t="inlineStr">
        <is>
          <t>Başlangıç/özet=lacivert; girdiler=mavi; hesap/finans=teal; karar/kontrol=burgundy; doküman=gri</t>
        </is>
      </c>
      <c r="D19" s="156" t="inlineStr">
        <is>
          <t>Renksiz sekmeler veya rastgele/gökkuşağı renkleri</t>
        </is>
      </c>
      <c r="E19" s="156" t="inlineStr">
        <is>
          <t>Tüm görünür kullanıcı sheet tabları renkli</t>
        </is>
      </c>
      <c r="F19" s="160" t="inlineStr">
        <is>
          <t>ZORUNLU</t>
        </is>
      </c>
    </row>
    <row r="20" ht="60" customHeight="1">
      <c r="A20" s="155" t="inlineStr">
        <is>
          <t>İş akışı sıralaması</t>
        </is>
      </c>
      <c r="B20" s="156" t="inlineStr">
        <is>
          <t>Sayfalar kullanıcının çalışma sırasına göre fiziksel olarak dizilir</t>
        </is>
      </c>
      <c r="C20" s="156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56" t="inlineStr">
        <is>
          <t>Teknik oluşturma sırasına göre dağınık sheet dizilimi</t>
        </is>
      </c>
      <c r="E20" s="156" t="inlineStr">
        <is>
          <t>Sheet order = tanımlı workflow</t>
        </is>
      </c>
      <c r="F20" s="160" t="inlineStr">
        <is>
          <t>ZORUNLU</t>
        </is>
      </c>
    </row>
    <row r="21" ht="30" customHeight="1">
      <c r="A21" s="155" t="inlineStr">
        <is>
          <t>Kurumsal renk paleti</t>
        </is>
      </c>
      <c r="B21" s="156" t="inlineStr">
        <is>
          <t>Sekme, başlık, buton ve vurgu renkleri tek kurumsal paletten gelir</t>
        </is>
      </c>
      <c r="C21" s="156" t="inlineStr">
        <is>
          <t>Lacivert + mavi + teal + kontrollü burgundy/gri; kategori semantiği sabit</t>
        </is>
      </c>
      <c r="D21" s="156" t="inlineStr">
        <is>
          <t>Neon, rastgele yüksek doygunluk, her sayfada farklı bağımsız renk</t>
        </is>
      </c>
      <c r="E21" s="156" t="inlineStr">
        <is>
          <t>Palette token kontrolü</t>
        </is>
      </c>
      <c r="F21" s="160" t="inlineStr">
        <is>
          <t>ZORUNLU</t>
        </is>
      </c>
    </row>
    <row r="22" ht="45" customHeight="1">
      <c r="A22" s="155" t="inlineStr">
        <is>
          <t>Premium vitrin</t>
        </is>
      </c>
      <c r="B22" s="156" t="inlineStr">
        <is>
          <t>Görsel kalite ürün değerinin zorunlu parçasıdır</t>
        </is>
      </c>
      <c r="C22" s="156" t="inlineStr">
        <is>
          <t>Kaliteli grafik, gerçek KPI kartı, finansal hiyerarşi, tab rengi, fonksiyonel navigasyon</t>
        </is>
      </c>
      <c r="D22" s="156" t="inlineStr">
        <is>
          <t>Sadece doğru hesap yapıp çıplak/varsayılan Excel görünümü bırakmak</t>
        </is>
      </c>
      <c r="E22" s="156" t="inlineStr">
        <is>
          <t>Görsel release incelemesi</t>
        </is>
      </c>
      <c r="F22" s="160" t="inlineStr">
        <is>
          <t>ZORUNLU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30" customWidth="1" min="4" max="4"/>
    <col width="28" customWidth="1" min="5" max="5"/>
    <col width="26" customWidth="1" min="6" max="6"/>
  </cols>
  <sheetData>
    <row r="1" ht="28" customHeight="1">
      <c r="A1" s="161" t="inlineStr">
        <is>
          <t>TÜRKİYE MUHASEBE VE TEKDÜZEN HESAP PLANI STANDARDI</t>
        </is>
      </c>
    </row>
    <row r="3" ht="24" customHeight="1">
      <c r="A3" s="162" t="inlineStr">
        <is>
          <t>Konu</t>
        </is>
      </c>
      <c r="B3" s="162" t="inlineStr">
        <is>
          <t>Zorunlu Standart</t>
        </is>
      </c>
      <c r="C3" s="162" t="inlineStr">
        <is>
          <t>Örnek Türkçe Ad</t>
        </is>
      </c>
      <c r="D3" s="162" t="inlineStr">
        <is>
          <t>THP / Mantık</t>
        </is>
      </c>
      <c r="E3" s="162" t="inlineStr">
        <is>
          <t>Hata Riski</t>
        </is>
      </c>
      <c r="F3" s="162" t="inlineStr">
        <is>
          <t>Kontrol</t>
        </is>
      </c>
    </row>
    <row r="4">
      <c r="A4" s="163" t="inlineStr">
        <is>
          <t>Dil</t>
        </is>
      </c>
      <c r="B4" s="147" t="inlineStr">
        <is>
          <t>Kullanıcıya görünen finansal terimler Türkçe</t>
        </is>
      </c>
      <c r="C4" s="147" t="inlineStr">
        <is>
          <t>Hasılat, Satışların Maliyeti, Brüt Kâr, Faaliyet Giderleri</t>
        </is>
      </c>
      <c r="D4" s="147" t="inlineStr">
        <is>
          <t>Türk işletme kullanımına uygun</t>
        </is>
      </c>
      <c r="E4" s="147" t="inlineStr">
        <is>
          <t>İngilizce jargon</t>
        </is>
      </c>
      <c r="F4" s="147" t="inlineStr">
        <is>
          <t>Terminoloji taraması</t>
        </is>
      </c>
    </row>
    <row r="5" ht="28" customHeight="1">
      <c r="A5" s="163" t="inlineStr">
        <is>
          <t>Gelir Tablosu</t>
        </is>
      </c>
      <c r="B5" s="147" t="inlineStr">
        <is>
          <t>Türk sunum sırası kullanılır</t>
        </is>
      </c>
      <c r="C5" s="147" t="inlineStr">
        <is>
          <t>Net Satışlar → Satışların Maliyeti → Brüt Kâr → Faaliyet Giderleri → Faaliyet Kârı</t>
        </is>
      </c>
      <c r="D5" s="147" t="inlineStr">
        <is>
          <t>600/610/611; 620-623; 63x</t>
        </is>
      </c>
      <c r="E5" s="147" t="inlineStr">
        <is>
          <t>Yanlış sınıflama</t>
        </is>
      </c>
      <c r="F5" s="147" t="inlineStr">
        <is>
          <t>Hesap eşleme</t>
        </is>
      </c>
    </row>
    <row r="6" ht="28" customHeight="1">
      <c r="A6" s="163" t="inlineStr">
        <is>
          <t>Bilanço</t>
        </is>
      </c>
      <c r="B6" s="147" t="inlineStr">
        <is>
          <t>Dönen/Duran Varlık ve Kısa/Uzun Vadeli Yükümlülük ayrımı</t>
        </is>
      </c>
      <c r="C6" s="147" t="inlineStr">
        <is>
          <t>Hazır Değerler, Ticari Alacaklar, Stoklar, Mali Borçlar</t>
        </is>
      </c>
      <c r="D6" s="147" t="inlineStr">
        <is>
          <t>1xx / 2xx / 3xx / 4xx / 5xx</t>
        </is>
      </c>
      <c r="E6" s="147" t="inlineStr">
        <is>
          <t>Vade sınıfı hatası</t>
        </is>
      </c>
      <c r="F6" s="147" t="inlineStr">
        <is>
          <t>Bilanço eşitliği</t>
        </is>
      </c>
    </row>
    <row r="7">
      <c r="A7" s="163" t="inlineStr">
        <is>
          <t>Nakit Akışı</t>
        </is>
      </c>
      <c r="B7" s="147" t="inlineStr">
        <is>
          <t>İşletme/Yatırım/Finansman nakit akışları ayrılır</t>
        </is>
      </c>
      <c r="C7" s="147" t="inlineStr">
        <is>
          <t>Faaliyetlerden Nakit, Yatırım Harcamaları, Finansman Nakit Akışı</t>
        </is>
      </c>
      <c r="D7" s="147" t="inlineStr">
        <is>
          <t>Dolaylı/doğrudan yöntem açık seçilir</t>
        </is>
      </c>
      <c r="E7" s="147" t="inlineStr">
        <is>
          <t>Kâr = nakit sanılması</t>
        </is>
      </c>
      <c r="F7" s="147" t="inlineStr">
        <is>
          <t>Nakit devri</t>
        </is>
      </c>
    </row>
    <row r="8">
      <c r="A8" s="163" t="inlineStr">
        <is>
          <t>Ticari Alacaklar</t>
        </is>
      </c>
      <c r="B8" s="147" t="inlineStr">
        <is>
          <t>Cari ve vade mantığı korunur</t>
        </is>
      </c>
      <c r="C8" s="147" t="inlineStr">
        <is>
          <t>120 Alıcılar</t>
        </is>
      </c>
      <c r="D8" s="147" t="inlineStr">
        <is>
          <t>120</t>
        </is>
      </c>
      <c r="E8" s="147" t="inlineStr">
        <is>
          <t>Tahakkuk/nakit karışması</t>
        </is>
      </c>
      <c r="F8" s="147" t="inlineStr">
        <is>
          <t>Alacak devir kontrolü</t>
        </is>
      </c>
    </row>
    <row r="9">
      <c r="A9" s="163" t="inlineStr">
        <is>
          <t>Ticari Borçlar</t>
        </is>
      </c>
      <c r="B9" s="147" t="inlineStr">
        <is>
          <t>Tedarikçi borcu ayrı izlenir</t>
        </is>
      </c>
      <c r="C9" s="147" t="inlineStr">
        <is>
          <t>320 Satıcılar</t>
        </is>
      </c>
      <c r="D9" s="147" t="inlineStr">
        <is>
          <t>320</t>
        </is>
      </c>
      <c r="E9" s="147" t="inlineStr">
        <is>
          <t>Gider/ödeme karışması</t>
        </is>
      </c>
      <c r="F9" s="147" t="inlineStr">
        <is>
          <t>Borç devir kontrolü</t>
        </is>
      </c>
    </row>
    <row r="10">
      <c r="A10" s="163" t="inlineStr">
        <is>
          <t>Kasa/Banka</t>
        </is>
      </c>
      <c r="B10" s="147" t="inlineStr">
        <is>
          <t>Hazır değerler ayrı izlenir</t>
        </is>
      </c>
      <c r="C10" s="147" t="inlineStr">
        <is>
          <t>100 Kasa, 102 Bankalar</t>
        </is>
      </c>
      <c r="D10" s="147" t="inlineStr">
        <is>
          <t>100 / 102</t>
        </is>
      </c>
      <c r="E10" s="147" t="inlineStr">
        <is>
          <t>Virmanla toplam nakdin değişmesi</t>
        </is>
      </c>
      <c r="F10" s="147" t="inlineStr">
        <is>
          <t>Virman değişmezi</t>
        </is>
      </c>
    </row>
    <row r="11">
      <c r="A11" s="163" t="inlineStr">
        <is>
          <t>Stok</t>
        </is>
      </c>
      <c r="B11" s="147" t="inlineStr">
        <is>
          <t>Dikeye uygun stok türü</t>
        </is>
      </c>
      <c r="C11" s="147" t="inlineStr">
        <is>
          <t>150 İlk Madde ve Malzeme, 153 Ticari Mallar</t>
        </is>
      </c>
      <c r="D11" s="147" t="inlineStr">
        <is>
          <t>15x</t>
        </is>
      </c>
      <c r="E11" s="147" t="inlineStr">
        <is>
          <t>Maliyet ve stok hareketinin kopması</t>
        </is>
      </c>
      <c r="F11" s="147" t="inlineStr">
        <is>
          <t>Stok devri</t>
        </is>
      </c>
    </row>
    <row r="12" ht="28" customHeight="1">
      <c r="A12" s="163" t="inlineStr">
        <is>
          <t>Maddi Duran Varlık</t>
        </is>
      </c>
      <c r="B12" s="147" t="inlineStr">
        <is>
          <t>Yatırım harcaması ve amortisman bağlantılı</t>
        </is>
      </c>
      <c r="C12" s="147" t="inlineStr">
        <is>
          <t>253 Tesis Makine Cihazlar, 255 Demirbaşlar, 257 Birikmiş Amortismanlar</t>
        </is>
      </c>
      <c r="D12" s="147" t="inlineStr">
        <is>
          <t>25x</t>
        </is>
      </c>
      <c r="E12" s="147" t="inlineStr">
        <is>
          <t>Yatırım/gider karışması</t>
        </is>
      </c>
      <c r="F12" s="147" t="inlineStr">
        <is>
          <t>Net defter değeri devri</t>
        </is>
      </c>
    </row>
    <row r="13">
      <c r="A13" s="163" t="inlineStr">
        <is>
          <t>Mali Borçlar</t>
        </is>
      </c>
      <c r="B13" s="147" t="inlineStr">
        <is>
          <t>Kısa/uzun vadeli borç ayrımı</t>
        </is>
      </c>
      <c r="C13" s="147" t="inlineStr">
        <is>
          <t>300 Banka Kredileri / 400 Banka Kredileri</t>
        </is>
      </c>
      <c r="D13" s="147" t="inlineStr">
        <is>
          <t>300 / 400</t>
        </is>
      </c>
      <c r="E13" s="147" t="inlineStr">
        <is>
          <t>Vade sınıfı yanlış</t>
        </is>
      </c>
      <c r="F13" s="147" t="inlineStr">
        <is>
          <t>Borç devri</t>
        </is>
      </c>
    </row>
    <row r="14">
      <c r="A14" s="163" t="inlineStr">
        <is>
          <t>Özkaynak</t>
        </is>
      </c>
      <c r="B14" s="147" t="inlineStr">
        <is>
          <t>Sermaye ve geçmiş yıl kârları ayrı</t>
        </is>
      </c>
      <c r="C14" s="147" t="inlineStr">
        <is>
          <t>500 Sermaye, 570 Geçmiş Yıllar Kârları, 590 Dönem Net Kârı</t>
        </is>
      </c>
      <c r="D14" s="147" t="inlineStr">
        <is>
          <t>5xx</t>
        </is>
      </c>
      <c r="E14" s="147" t="inlineStr">
        <is>
          <t>Net kâr bağının kopması</t>
        </is>
      </c>
      <c r="F14" s="147" t="inlineStr">
        <is>
          <t>Özkaynak devri</t>
        </is>
      </c>
    </row>
    <row r="15">
      <c r="A15" s="163" t="inlineStr">
        <is>
          <t>Vergi</t>
        </is>
      </c>
      <c r="B15" s="147" t="inlineStr">
        <is>
          <t>Vergi satırları Türkiye mantığına uygun</t>
        </is>
      </c>
      <c r="C15" s="147" t="inlineStr">
        <is>
          <t>Dönem Vergi ve Diğer Yasal Yükümlülük Karşılıkları</t>
        </is>
      </c>
      <c r="D15" s="147" t="inlineStr">
        <is>
          <t>37x / ilgili vergi hesapları</t>
        </is>
      </c>
      <c r="E15" s="147" t="inlineStr">
        <is>
          <t>Vergi etkisinin yanlış dönemlenmesi</t>
        </is>
      </c>
      <c r="F15" s="147" t="inlineStr">
        <is>
          <t>Vergi sözleşmesi</t>
        </is>
      </c>
    </row>
    <row r="16">
      <c r="A16" s="163" t="inlineStr">
        <is>
          <t>İsim standardı</t>
        </is>
      </c>
      <c r="B16" s="147" t="inlineStr">
        <is>
          <t>Tablo ve sayfa adları Türkçe ve işlevsel</t>
        </is>
      </c>
      <c r="C16" s="147" t="inlineStr">
        <is>
          <t>GELİR_TABLOSU, BİLANÇO, NAKİT_AKISI, BORC_PLANI</t>
        </is>
      </c>
      <c r="D16" s="147" t="inlineStr">
        <is>
          <t>Tekrarlanabilir standart</t>
        </is>
      </c>
      <c r="E16" s="147" t="inlineStr">
        <is>
          <t>İngilizce/karma isim</t>
        </is>
      </c>
      <c r="F16" s="147" t="inlineStr">
        <is>
          <t>Sayfa ve tablo taraması</t>
        </is>
      </c>
    </row>
    <row r="17">
      <c r="A17" s="163" t="inlineStr">
        <is>
          <t>THP eşleme tablosu</t>
        </is>
      </c>
      <c r="B17" s="147" t="inlineStr">
        <is>
          <t>Her kritik satır en az bir THP hesabına bağlanır</t>
        </is>
      </c>
      <c r="C17" s="147" t="inlineStr">
        <is>
          <t>RaporSatırı → HesapKodu → HesapAdı → İşaret → Dönem</t>
        </is>
      </c>
      <c r="D17" s="147" t="inlineStr">
        <is>
          <t>Kaynak izlenebilirliği</t>
        </is>
      </c>
      <c r="E17" s="147" t="inlineStr">
        <is>
          <t>Rapordan rapora kaynak</t>
        </is>
      </c>
      <c r="F17" s="147" t="inlineStr">
        <is>
          <t>Eşleme kapsama %100</t>
        </is>
      </c>
    </row>
    <row r="18">
      <c r="A18" s="163" t="inlineStr">
        <is>
          <t>İstisna</t>
        </is>
      </c>
      <c r="B18" s="147" t="inlineStr">
        <is>
          <t>TFRS özel ürün varsa fark açık yazılır</t>
        </is>
      </c>
      <c r="C18" s="147" t="inlineStr">
        <is>
          <t>Tekdüzen raporlama ≠ TFRS finansal tablo sunumu</t>
        </is>
      </c>
      <c r="D18" s="147" t="inlineStr">
        <is>
          <t>Amaç belirtilir</t>
        </is>
      </c>
      <c r="E18" s="147" t="inlineStr">
        <is>
          <t>Standartları karıştırma</t>
        </is>
      </c>
      <c r="F18" s="147" t="inlineStr">
        <is>
          <t>Model amacı kontrolü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54" customWidth="1" min="3" max="3"/>
    <col width="34" customWidth="1" min="4" max="4"/>
    <col width="16" customWidth="1" min="6" max="6"/>
  </cols>
  <sheetData>
    <row r="1" ht="28" customHeight="1">
      <c r="A1" s="164" t="inlineStr">
        <is>
          <t>KARAR, GÜVEN VE SATIŞA HAZIRLIK STANDARDI</t>
        </is>
      </c>
    </row>
    <row r="3" ht="24" customHeight="1">
      <c r="A3" s="165" t="inlineStr">
        <is>
          <t>Alan</t>
        </is>
      </c>
      <c r="B3" s="165" t="inlineStr">
        <is>
          <t>Müşteri Sorusu</t>
        </is>
      </c>
      <c r="C3" s="165" t="inlineStr">
        <is>
          <t>Zorunlu Ürün Davranışı</t>
        </is>
      </c>
      <c r="D3" s="165" t="inlineStr">
        <is>
          <t>Kanıt</t>
        </is>
      </c>
      <c r="E3" s="165" t="inlineStr">
        <is>
          <t>Başarısızlık Durumu</t>
        </is>
      </c>
      <c r="F3" s="165" t="inlineStr">
        <is>
          <t>Kapı</t>
        </is>
      </c>
    </row>
    <row r="4">
      <c r="A4" s="166" t="inlineStr">
        <is>
          <t>5 saniye</t>
        </is>
      </c>
      <c r="B4" s="147" t="inlineStr">
        <is>
          <t>Bu ürün neyi çözüyor?</t>
        </is>
      </c>
      <c r="C4" s="147" t="inlineStr">
        <is>
          <t>İlk ekranda hedef kullanıcı + pahalı problem + sonuç görünür</t>
        </is>
      </c>
      <c r="D4" s="147" t="inlineStr">
        <is>
          <t>Başlık + alt mesaj + gerçek ekran</t>
        </is>
      </c>
      <c r="E4" s="147" t="inlineStr">
        <is>
          <t>Ürün yalnız teknik isim</t>
        </is>
      </c>
      <c r="F4" s="167" t="inlineStr">
        <is>
          <t>HATA</t>
        </is>
      </c>
    </row>
    <row r="5">
      <c r="A5" s="166" t="inlineStr">
        <is>
          <t>Acı</t>
        </is>
      </c>
      <c r="B5" s="147" t="inlineStr">
        <is>
          <t>Sorun bana neye mal oluyor?</t>
        </is>
      </c>
      <c r="C5" s="147" t="inlineStr">
        <is>
          <t>Mümkünse müşterinin kendi verisiyle parasal/zaman etkisi hesaplanır</t>
        </is>
      </c>
      <c r="D5" s="147" t="inlineStr">
        <is>
          <t>ROI/acı hesaplama yöntemi</t>
        </is>
      </c>
      <c r="E5" s="147" t="inlineStr">
        <is>
          <t>Uydurma tasarruf</t>
        </is>
      </c>
      <c r="F5" s="167" t="inlineStr">
        <is>
          <t>HATA</t>
        </is>
      </c>
    </row>
    <row r="6">
      <c r="A6" s="166" t="inlineStr">
        <is>
          <t>Karar</t>
        </is>
      </c>
      <c r="B6" s="147" t="inlineStr">
        <is>
          <t>Bu bilgiyle ne yapacağım?</t>
        </is>
      </c>
      <c r="C6" s="147" t="inlineStr">
        <is>
          <t>Her kritik KPI aksiyona bağlanır</t>
        </is>
      </c>
      <c r="D6" s="147" t="inlineStr">
        <is>
          <t>KARAR_KUYRUGU</t>
        </is>
      </c>
      <c r="E6" s="147" t="inlineStr">
        <is>
          <t>Sadece rapor</t>
        </is>
      </c>
      <c r="F6" s="167" t="inlineStr">
        <is>
          <t>HATA</t>
        </is>
      </c>
    </row>
    <row r="7">
      <c r="A7" s="166" t="inlineStr">
        <is>
          <t>Güven</t>
        </is>
      </c>
      <c r="B7" s="147" t="inlineStr">
        <is>
          <t>Bu sayıya neden inanayım?</t>
        </is>
      </c>
      <c r="C7" s="147" t="inlineStr">
        <is>
          <t>Kaynak, formül mantığı, kontrol ve son doğrulama görünür</t>
        </is>
      </c>
      <c r="D7" s="147" t="inlineStr">
        <is>
          <t>Kontroller + kaynak izi + sürüm</t>
        </is>
      </c>
      <c r="E7" s="147" t="inlineStr">
        <is>
          <t>Prestij kelimesi</t>
        </is>
      </c>
      <c r="F7" s="167" t="inlineStr">
        <is>
          <t>HATA</t>
        </is>
      </c>
    </row>
    <row r="8">
      <c r="A8" s="166" t="inlineStr">
        <is>
          <t>Referans</t>
        </is>
      </c>
      <c r="B8" s="147" t="inlineStr">
        <is>
          <t>Müşteri yorumu yoksa ne göstereceğim?</t>
        </is>
      </c>
      <c r="C8" s="147" t="inlineStr">
        <is>
          <t>Önce/Sonra + Karar Vakası + Hata Önleme Vakası üretilir</t>
        </is>
      </c>
      <c r="D8" s="147" t="inlineStr">
        <is>
          <t>Demo/örnek çıktı</t>
        </is>
      </c>
      <c r="E8" s="147" t="inlineStr">
        <is>
          <t>Kanıtsız iddia</t>
        </is>
      </c>
      <c r="F8" s="167" t="inlineStr">
        <is>
          <t>HATA</t>
        </is>
      </c>
    </row>
    <row r="9">
      <c r="A9" s="166" t="inlineStr">
        <is>
          <t>Senaryo</t>
        </is>
      </c>
      <c r="B9" s="147" t="inlineStr">
        <is>
          <t>Ne olursa işler bozulur?</t>
        </is>
      </c>
      <c r="C9" s="147" t="inlineStr">
        <is>
          <t>Baz/Aşağı/Yukarı veya uygun stres senaryosu</t>
        </is>
      </c>
      <c r="D9" s="147" t="inlineStr">
        <is>
          <t>Senaryo karşılaştırma</t>
        </is>
      </c>
      <c r="E9" s="147" t="inlineStr">
        <is>
          <t>Dekoratif senaryo</t>
        </is>
      </c>
      <c r="F9" s="167" t="inlineStr">
        <is>
          <t>HATA</t>
        </is>
      </c>
    </row>
    <row r="10">
      <c r="A10" s="166" t="inlineStr">
        <is>
          <t>Ters stres</t>
        </is>
      </c>
      <c r="B10" s="147" t="inlineStr">
        <is>
          <t>Hangi eşikte karar kırılır?</t>
        </is>
      </c>
      <c r="C10" s="147" t="inlineStr">
        <is>
          <t>En az bir kritik sürücü için kırılma eşiği</t>
        </is>
      </c>
      <c r="D10" s="147" t="inlineStr">
        <is>
          <t>Kırılma eşiği tablosu</t>
        </is>
      </c>
      <c r="E10" s="147" t="inlineStr">
        <is>
          <t>Sadece +/- %10</t>
        </is>
      </c>
      <c r="F10" s="167" t="inlineStr">
        <is>
          <t>UYARI/HATA</t>
        </is>
      </c>
    </row>
    <row r="11">
      <c r="A11" s="166" t="inlineStr">
        <is>
          <t>Hata tutarlılığı</t>
        </is>
      </c>
      <c r="B11" s="147" t="inlineStr">
        <is>
          <t>Formül hata verirse ne olur?</t>
        </is>
      </c>
      <c r="C11" s="147" t="inlineStr">
        <is>
          <t>Kontrol GEÇTİ veremez; BLOKE/HATA üretir</t>
        </is>
      </c>
      <c r="D11" s="147" t="inlineStr">
        <is>
          <t>Hata taraması</t>
        </is>
      </c>
      <c r="E11" s="147" t="inlineStr">
        <is>
          <t>Hata + GEÇTİ birlikte</t>
        </is>
      </c>
      <c r="F11" s="167" t="inlineStr">
        <is>
          <t>HATA</t>
        </is>
      </c>
    </row>
    <row r="12">
      <c r="A12" s="166" t="inlineStr">
        <is>
          <t>Karar motoru</t>
        </is>
      </c>
      <c r="B12" s="147" t="inlineStr">
        <is>
          <t>Ne oldu, neden oldu?</t>
        </is>
      </c>
      <c r="C12" s="147" t="inlineStr">
        <is>
          <t>Sorun + neden + parasal etki + aksiyon + son tarih</t>
        </is>
      </c>
      <c r="D12" s="147" t="inlineStr">
        <is>
          <t>Karar tablosu</t>
        </is>
      </c>
      <c r="E12" s="147" t="inlineStr">
        <is>
          <t>Boş sayfa / isim düzeyi modül</t>
        </is>
      </c>
      <c r="F12" s="167" t="inlineStr">
        <is>
          <t>HATA</t>
        </is>
      </c>
    </row>
    <row r="13">
      <c r="A13" s="166" t="inlineStr">
        <is>
          <t>Yönetici özeti</t>
        </is>
      </c>
      <c r="B13" s="147" t="inlineStr">
        <is>
          <t>5 saniyede ne görmeliyim?</t>
        </is>
      </c>
      <c r="C13" s="147" t="inlineStr">
        <is>
          <t>Bugün / ne değişti / ne bozulacak / neden / ne yapmalıyım / güven</t>
        </is>
      </c>
      <c r="D13" s="147" t="inlineStr">
        <is>
          <t>Yönetici özeti ekranı</t>
        </is>
      </c>
      <c r="E13" s="147" t="inlineStr">
        <is>
          <t>KPI kutusu yığını</t>
        </is>
      </c>
      <c r="F13" s="167" t="inlineStr">
        <is>
          <t>HATA</t>
        </is>
      </c>
    </row>
    <row r="14">
      <c r="A14" s="166" t="inlineStr">
        <is>
          <t>Teklif</t>
        </is>
      </c>
      <c r="B14" s="147" t="inlineStr">
        <is>
          <t>Neden satın almalıyım?</t>
        </is>
      </c>
      <c r="C14" s="147" t="inlineStr">
        <is>
          <t>Dosya özellikleri yerine sonuç ve kaçınılan maliyet sunulur</t>
        </is>
      </c>
      <c r="D14" s="147" t="inlineStr">
        <is>
          <t>Ürün sayfası kanıt eşlemesi</t>
        </is>
      </c>
      <c r="E14" s="147" t="inlineStr">
        <is>
          <t>Özellik listesiyle satış</t>
        </is>
      </c>
      <c r="F14" s="167" t="inlineStr">
        <is>
          <t>HATA</t>
        </is>
      </c>
    </row>
    <row r="15">
      <c r="A15" s="166" t="inlineStr">
        <is>
          <t>Dağıtım</t>
        </is>
      </c>
      <c r="B15" s="147" t="inlineStr">
        <is>
          <t>Beni nasıl bulacaklar?</t>
        </is>
      </c>
      <c r="C15" s="147" t="inlineStr">
        <is>
          <t>Sorun niyetine göre SEO sayfaları, iç bağlantı, temiz yapı, taranabilir metin</t>
        </is>
      </c>
      <c r="D15" s="147" t="inlineStr">
        <is>
          <t>Arama niyeti haritası</t>
        </is>
      </c>
      <c r="E15" s="147" t="inlineStr">
        <is>
          <t>Tek ürün sayfasına bağımlılık</t>
        </is>
      </c>
      <c r="F15" s="167" t="inlineStr">
        <is>
          <t>UYARI</t>
        </is>
      </c>
    </row>
    <row r="16" ht="28" customHeight="1">
      <c r="A16" s="166" t="inlineStr">
        <is>
          <t>LLM görünürlüğü</t>
        </is>
      </c>
      <c r="B16" s="147" t="inlineStr">
        <is>
          <t>AI ürünümü anlayabiliyor mu?</t>
        </is>
      </c>
      <c r="C16" s="147" t="inlineStr">
        <is>
          <t>Ürün tanımı, hedef kullanıcı, girdi/çıktı, metodoloji, sınırlar, SSS açık metindir</t>
        </is>
      </c>
      <c r="D16" s="147" t="inlineStr">
        <is>
          <t>Taranabilir ürün içeriği</t>
        </is>
      </c>
      <c r="E16" s="147" t="inlineStr">
        <is>
          <t>'AI SEO' iddiası</t>
        </is>
      </c>
      <c r="F16" s="167" t="inlineStr">
        <is>
          <t>UYARI</t>
        </is>
      </c>
    </row>
    <row r="17">
      <c r="A17" s="166" t="inlineStr">
        <is>
          <t>Satış kanalı</t>
        </is>
      </c>
      <c r="B17" s="147" t="inlineStr">
        <is>
          <t>Nerede satılmalı?</t>
        </is>
      </c>
      <c r="C17" s="147" t="inlineStr">
        <is>
          <t>Arama, LinkedIn, uzman/partner, demo/video; ürüne göre kanal seçilir</t>
        </is>
      </c>
      <c r="D17" s="147" t="inlineStr">
        <is>
          <t>Kanal matrisi</t>
        </is>
      </c>
      <c r="E17" s="147" t="inlineStr">
        <is>
          <t>Her ürüne aynı kanal</t>
        </is>
      </c>
      <c r="F17" s="167" t="inlineStr">
        <is>
          <t>UYARI</t>
        </is>
      </c>
    </row>
    <row r="18">
      <c r="A18" s="166" t="inlineStr">
        <is>
          <t>Fiyat</t>
        </is>
      </c>
      <c r="B18" s="147" t="inlineStr">
        <is>
          <t>Bu fiyat neden mantıklı?</t>
        </is>
      </c>
      <c r="C18" s="147" t="inlineStr">
        <is>
          <t>Fiyat, ekonomik karar değerine ve kanıtlanmış ürün derinliğine bağlanır</t>
        </is>
      </c>
      <c r="D18" s="147" t="inlineStr">
        <is>
          <t>Değer haritası + demo</t>
        </is>
      </c>
      <c r="E18" s="147" t="inlineStr">
        <is>
          <t>Sırf sayfa/formül sayısı</t>
        </is>
      </c>
      <c r="F18" s="167" t="inlineStr">
        <is>
          <t>HATA</t>
        </is>
      </c>
    </row>
    <row r="19">
      <c r="A19" s="166" t="inlineStr">
        <is>
          <t>Pazar kanıtı</t>
        </is>
      </c>
      <c r="B19" s="147" t="inlineStr">
        <is>
          <t>Piyasa gerçekten ödüyor mu?</t>
        </is>
      </c>
      <c r="C19" s="147" t="inlineStr">
        <is>
          <t>Satış/pilot/LOI/fiyat kabulü olmadan pazar doğrulandı yazılmaz</t>
        </is>
      </c>
      <c r="D19" s="147" t="inlineStr">
        <is>
          <t>Gerçek işlem kanıtı</t>
        </is>
      </c>
      <c r="E19" s="147" t="inlineStr">
        <is>
          <t>Tahmini talep = satış kabulü</t>
        </is>
      </c>
      <c r="F19" s="167" t="inlineStr">
        <is>
          <t>HATA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9"/>
    <outlinePr summaryBelow="1" summaryRight="1"/>
    <pageSetUpPr/>
  </sheetPr>
  <dimension ref="A1:T21"/>
  <sheetViews>
    <sheetView showGridLines="0" workbookViewId="0">
      <selection activeCell="A1" sqref="A1"/>
    </sheetView>
  </sheetViews>
  <sheetFormatPr baseColWidth="8" defaultRowHeight="15"/>
  <cols>
    <col width="70" customWidth="1" min="1" max="1"/>
  </cols>
  <sheetData>
    <row r="1" ht="26" customHeight="1">
      <c r="A1" s="1" t="inlineStr">
        <is>
          <t>KAPAK — İnşaat Hakediş ve Şantiye Maliyet Takip</t>
        </is>
      </c>
    </row>
    <row r="3" ht="30" customHeight="1">
      <c r="A3" s="3" t="inlineStr">
        <is>
          <t>İnşaat Hakediş ve Şantiye Maliyet Takip</t>
        </is>
      </c>
    </row>
    <row r="4">
      <c r="A4" s="4" t="inlineStr">
        <is>
          <t>Hakediş kuyruğu ile şantiye maliyet kartını tek dosyada birleştirir; durum makinesi, yaşlandırma ve bütçe sapması ile karar üretir.</t>
        </is>
      </c>
    </row>
    <row r="6">
      <c r="A6" s="5" t="inlineStr">
        <is>
          <t>Bu ürün ne sağlar?</t>
        </is>
      </c>
    </row>
    <row r="7">
      <c r="A7" s="6" t="inlineStr">
        <is>
          <t>• Makrosuz durum makinesi: Taslak → Bekliyor → Onay → Ödeme / İptal</t>
        </is>
      </c>
    </row>
    <row r="8">
      <c r="A8" s="6" t="inlineStr">
        <is>
          <t>• Hakediş kuyruk + yaşlandırma kovaları (0-7 / 8-30 / 31-60 / 60+)</t>
        </is>
      </c>
    </row>
    <row r="9">
      <c r="A9" s="6" t="inlineStr">
        <is>
          <t>• Şantiye maliyet kartı: bütçe, işçilik, malzeme, makine, genel gider, hakediş</t>
        </is>
      </c>
    </row>
    <row r="10">
      <c r="A10" s="6" t="inlineStr">
        <is>
          <t>• Geçersiz geçiş, yetim kayıt ve zincir kırık uyarıları</t>
        </is>
      </c>
    </row>
    <row r="11">
      <c r="A11" s="6" t="inlineStr">
        <is>
          <t>• Karar kapısı: VERİ YOK / UYGUN / DİKKAT / KRİTİK</t>
        </is>
      </c>
    </row>
    <row r="13">
      <c r="A13" s="5" t="inlineStr">
        <is>
          <t>Kimler için?</t>
        </is>
      </c>
    </row>
    <row r="14">
      <c r="A14" s="7" t="inlineStr">
        <is>
          <t>• Şantiye muhasebesi — kuyruk ve maliyet kartını günceller</t>
        </is>
      </c>
    </row>
    <row r="15">
      <c r="A15" s="7" t="inlineStr">
        <is>
          <t>• Proje müdürü — sapma ve gecikme kararını görür</t>
        </is>
      </c>
    </row>
    <row r="16">
      <c r="A16" s="7" t="inlineStr">
        <is>
          <t>• SMMM — dönemsel kanıt raporunu dosyalar</t>
        </is>
      </c>
    </row>
    <row r="18">
      <c r="A18" s="5" t="inlineStr">
        <is>
          <t>Nasıl başlanır?</t>
        </is>
      </c>
    </row>
    <row r="19">
      <c r="A19" s="8" t="inlineStr">
        <is>
          <t>1) KARTLAR'a taşeron kartı girin. 2) AKIS'e hakediş yazın. 3) SANTIYE_MALIYET kartını doldurun. 4) KUYRUKLAR ve PANO'dan kararı görün.</t>
        </is>
      </c>
    </row>
    <row r="21">
      <c r="A21" s="9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1:T1"/>
    <mergeCell ref="A9:N9"/>
    <mergeCell ref="A8:N8"/>
    <mergeCell ref="A19:L19"/>
    <mergeCell ref="A3:T3"/>
    <mergeCell ref="A7:N7"/>
    <mergeCell ref="A11:N11"/>
    <mergeCell ref="A10:N10"/>
    <mergeCell ref="A4:L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P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1" t="inlineStr">
        <is>
          <t>KARTLAR — İnşaat Hakediş ve Şantiye Maliyet Takip</t>
        </is>
      </c>
    </row>
    <row r="3" ht="20" customHeight="1">
      <c r="A3" s="22" t="inlineStr">
        <is>
          <t>Taşeron / proje kartları — her kaydın tek kimliği vardır</t>
        </is>
      </c>
    </row>
    <row r="4">
      <c r="A4" s="11" t="inlineStr">
        <is>
          <t>Sonraki Kimlik</t>
        </is>
      </c>
      <c r="B4" s="24">
        <f>ihs_sonrakiKimlik</f>
        <v/>
      </c>
    </row>
    <row r="5" ht="30" customHeight="1">
      <c r="A5" s="25" t="inlineStr">
        <is>
          <t>KartId</t>
        </is>
      </c>
      <c r="B5" s="25" t="inlineStr">
        <is>
          <t>Unvan</t>
        </is>
      </c>
      <c r="C5" s="25" t="inlineStr">
        <is>
          <t>Brans</t>
        </is>
      </c>
      <c r="D5" s="25" t="inlineStr">
        <is>
          <t>Sehir</t>
        </is>
      </c>
      <c r="E5" s="25" t="inlineStr">
        <is>
          <t>SozlesmeNo</t>
        </is>
      </c>
      <c r="F5" s="25" t="inlineStr">
        <is>
          <t>LimitTl</t>
        </is>
      </c>
      <c r="G5" s="25" t="inlineStr">
        <is>
          <t>RiskNotu</t>
        </is>
      </c>
      <c r="H5" s="25" t="inlineStr">
        <is>
          <t>Aktif</t>
        </is>
      </c>
      <c r="I5" s="25" t="inlineStr">
        <is>
          <t>SantiyeId</t>
        </is>
      </c>
      <c r="J5" s="25" t="inlineStr">
        <is>
          <t>ToplamHacim</t>
        </is>
      </c>
      <c r="K5" s="25" t="inlineStr">
        <is>
          <t>OrtGecikme</t>
        </is>
      </c>
    </row>
    <row r="6">
      <c r="A6" s="26" t="inlineStr">
        <is>
          <t>KAR-00001</t>
        </is>
      </c>
      <c r="B6" s="26" t="inlineStr">
        <is>
          <t>Atlas Kalıp Ltd.</t>
        </is>
      </c>
      <c r="C6" s="26" t="inlineStr">
        <is>
          <t>Kalıp</t>
        </is>
      </c>
      <c r="D6" s="26" t="inlineStr">
        <is>
          <t>İstanbul</t>
        </is>
      </c>
      <c r="E6" s="26" t="inlineStr">
        <is>
          <t>SZL-2026-001</t>
        </is>
      </c>
      <c r="F6" s="27" t="n">
        <v>2500000</v>
      </c>
      <c r="G6" s="26" t="inlineStr">
        <is>
          <t>Normal</t>
        </is>
      </c>
      <c r="H6" s="26" t="inlineStr">
        <is>
          <t>EVET</t>
        </is>
      </c>
      <c r="I6" s="26" t="inlineStr">
        <is>
          <t>SAN-00001</t>
        </is>
      </c>
      <c r="J6" s="28">
        <f>IF($A6="","",SUMIF(tblAkis[KaynakKartId],$A6,tblAkis[Tutar]))</f>
        <v/>
      </c>
      <c r="K6" s="28">
        <f>IF($A6="","",IFERROR(AVERAGEIF(tblAkis[KaynakKartId],$A6,tblAkis[YasGun]),0))</f>
        <v/>
      </c>
    </row>
    <row r="7">
      <c r="A7" s="26" t="inlineStr">
        <is>
          <t>KAR-00002</t>
        </is>
      </c>
      <c r="B7" s="26" t="inlineStr">
        <is>
          <t>Demir Yapı A.Ş.</t>
        </is>
      </c>
      <c r="C7" s="26" t="inlineStr">
        <is>
          <t>Demir</t>
        </is>
      </c>
      <c r="D7" s="26" t="inlineStr">
        <is>
          <t>Ankara</t>
        </is>
      </c>
      <c r="E7" s="26" t="inlineStr">
        <is>
          <t>SZL-2026-002</t>
        </is>
      </c>
      <c r="F7" s="27" t="n">
        <v>2650000</v>
      </c>
      <c r="G7" s="26" t="inlineStr">
        <is>
          <t>Normal</t>
        </is>
      </c>
      <c r="H7" s="26" t="inlineStr">
        <is>
          <t>EVET</t>
        </is>
      </c>
      <c r="I7" s="26" t="inlineStr">
        <is>
          <t>SAN-00001</t>
        </is>
      </c>
      <c r="J7" s="28">
        <f>IF($A7="","",SUMIF(tblAkis[KaynakKartId],$A7,tblAkis[Tutar]))</f>
        <v/>
      </c>
      <c r="K7" s="28">
        <f>IF($A7="","",IFERROR(AVERAGEIF(tblAkis[KaynakKartId],$A7,tblAkis[YasGun]),0))</f>
        <v/>
      </c>
    </row>
    <row r="8">
      <c r="A8" s="26" t="inlineStr">
        <is>
          <t>KAR-00003</t>
        </is>
      </c>
      <c r="B8" s="26" t="inlineStr">
        <is>
          <t>Nova Beton</t>
        </is>
      </c>
      <c r="C8" s="26" t="inlineStr">
        <is>
          <t>Beton</t>
        </is>
      </c>
      <c r="D8" s="26" t="inlineStr">
        <is>
          <t>İzmir</t>
        </is>
      </c>
      <c r="E8" s="26" t="inlineStr">
        <is>
          <t>SZL-2026-003</t>
        </is>
      </c>
      <c r="F8" s="27" t="n">
        <v>2800000</v>
      </c>
      <c r="G8" s="26" t="inlineStr">
        <is>
          <t>Normal</t>
        </is>
      </c>
      <c r="H8" s="26" t="inlineStr">
        <is>
          <t>EVET</t>
        </is>
      </c>
      <c r="I8" s="26" t="inlineStr">
        <is>
          <t>SAN-00002</t>
        </is>
      </c>
      <c r="J8" s="28">
        <f>IF($A8="","",SUMIF(tblAkis[KaynakKartId],$A8,tblAkis[Tutar]))</f>
        <v/>
      </c>
      <c r="K8" s="28">
        <f>IF($A8="","",IFERROR(AVERAGEIF(tblAkis[KaynakKartId],$A8,tblAkis[YasGun]),0))</f>
        <v/>
      </c>
    </row>
    <row r="9">
      <c r="A9" s="26" t="inlineStr">
        <is>
          <t>KAR-00004</t>
        </is>
      </c>
      <c r="B9" s="26" t="inlineStr">
        <is>
          <t>Proje Elektrik</t>
        </is>
      </c>
      <c r="C9" s="26" t="inlineStr">
        <is>
          <t>Elektrik</t>
        </is>
      </c>
      <c r="D9" s="26" t="inlineStr">
        <is>
          <t>Bursa</t>
        </is>
      </c>
      <c r="E9" s="26" t="inlineStr">
        <is>
          <t>SZL-2026-004</t>
        </is>
      </c>
      <c r="F9" s="27" t="n">
        <v>2950000</v>
      </c>
      <c r="G9" s="26" t="inlineStr">
        <is>
          <t>Normal</t>
        </is>
      </c>
      <c r="H9" s="26" t="inlineStr">
        <is>
          <t>EVET</t>
        </is>
      </c>
      <c r="I9" s="26" t="inlineStr">
        <is>
          <t>SAN-00002</t>
        </is>
      </c>
      <c r="J9" s="28">
        <f>IF($A9="","",SUMIF(tblAkis[KaynakKartId],$A9,tblAkis[Tutar]))</f>
        <v/>
      </c>
      <c r="K9" s="28">
        <f>IF($A9="","",IFERROR(AVERAGEIF(tblAkis[KaynakKartId],$A9,tblAkis[YasGun]),0))</f>
        <v/>
      </c>
    </row>
    <row r="10">
      <c r="A10" s="26" t="inlineStr">
        <is>
          <t>KAR-00005</t>
        </is>
      </c>
      <c r="B10" s="26" t="inlineStr">
        <is>
          <t>Su Tesisat Pro</t>
        </is>
      </c>
      <c r="C10" s="26" t="inlineStr">
        <is>
          <t>Tesisat</t>
        </is>
      </c>
      <c r="D10" s="26" t="inlineStr">
        <is>
          <t>Antalya</t>
        </is>
      </c>
      <c r="E10" s="26" t="inlineStr">
        <is>
          <t>SZL-2026-005</t>
        </is>
      </c>
      <c r="F10" s="27" t="n">
        <v>3100000</v>
      </c>
      <c r="G10" s="26" t="inlineStr">
        <is>
          <t>Normal</t>
        </is>
      </c>
      <c r="H10" s="26" t="inlineStr">
        <is>
          <t>EVET</t>
        </is>
      </c>
      <c r="I10" s="26" t="inlineStr">
        <is>
          <t>SAN-00003</t>
        </is>
      </c>
      <c r="J10" s="28">
        <f>IF($A10="","",SUMIF(tblAkis[KaynakKartId],$A10,tblAkis[Tutar]))</f>
        <v/>
      </c>
      <c r="K10" s="28">
        <f>IF($A10="","",IFERROR(AVERAGEIF(tblAkis[KaynakKartId],$A10,tblAkis[YasGun]),0))</f>
        <v/>
      </c>
    </row>
    <row r="11">
      <c r="A11" s="26" t="inlineStr">
        <is>
          <t>KAR-00006</t>
        </is>
      </c>
      <c r="B11" s="26" t="inlineStr">
        <is>
          <t>Cephe Sistemleri</t>
        </is>
      </c>
      <c r="C11" s="26" t="inlineStr">
        <is>
          <t>Cephe</t>
        </is>
      </c>
      <c r="D11" s="26" t="inlineStr">
        <is>
          <t>Kocaeli</t>
        </is>
      </c>
      <c r="E11" s="26" t="inlineStr">
        <is>
          <t>SZL-2026-006</t>
        </is>
      </c>
      <c r="F11" s="27" t="n">
        <v>3250000</v>
      </c>
      <c r="G11" s="26" t="inlineStr">
        <is>
          <t>Normal</t>
        </is>
      </c>
      <c r="H11" s="26" t="inlineStr">
        <is>
          <t>EVET</t>
        </is>
      </c>
      <c r="I11" s="26" t="inlineStr">
        <is>
          <t>SAN-00003</t>
        </is>
      </c>
      <c r="J11" s="28">
        <f>IF($A11="","",SUMIF(tblAkis[KaynakKartId],$A11,tblAkis[Tutar]))</f>
        <v/>
      </c>
      <c r="K11" s="28">
        <f>IF($A11="","",IFERROR(AVERAGEIF(tblAkis[KaynakKartId],$A11,tblAkis[YasGun]),0))</f>
        <v/>
      </c>
    </row>
    <row r="12">
      <c r="A12" s="26" t="inlineStr">
        <is>
          <t>KAR-00007</t>
        </is>
      </c>
      <c r="B12" s="26" t="inlineStr">
        <is>
          <t>Zemin Stabil</t>
        </is>
      </c>
      <c r="C12" s="26" t="inlineStr">
        <is>
          <t>Zemin</t>
        </is>
      </c>
      <c r="D12" s="26" t="inlineStr">
        <is>
          <t>Adana</t>
        </is>
      </c>
      <c r="E12" s="26" t="inlineStr">
        <is>
          <t>SZL-2026-007</t>
        </is>
      </c>
      <c r="F12" s="27" t="n">
        <v>3400000</v>
      </c>
      <c r="G12" s="26" t="inlineStr">
        <is>
          <t>Normal</t>
        </is>
      </c>
      <c r="H12" s="26" t="inlineStr">
        <is>
          <t>EVET</t>
        </is>
      </c>
      <c r="I12" s="26" t="inlineStr">
        <is>
          <t>SAN-00004</t>
        </is>
      </c>
      <c r="J12" s="28">
        <f>IF($A12="","",SUMIF(tblAkis[KaynakKartId],$A12,tblAkis[Tutar]))</f>
        <v/>
      </c>
      <c r="K12" s="28">
        <f>IF($A12="","",IFERROR(AVERAGEIF(tblAkis[KaynakKartId],$A12,tblAkis[YasGun]),0))</f>
        <v/>
      </c>
    </row>
    <row r="13">
      <c r="A13" s="26" t="inlineStr">
        <is>
          <t>KAR-00008</t>
        </is>
      </c>
      <c r="B13" s="26" t="inlineStr">
        <is>
          <t>İskele Güven</t>
        </is>
      </c>
      <c r="C13" s="26" t="inlineStr">
        <is>
          <t>İskele</t>
        </is>
      </c>
      <c r="D13" s="26" t="inlineStr">
        <is>
          <t>Gaziantep</t>
        </is>
      </c>
      <c r="E13" s="26" t="inlineStr">
        <is>
          <t>SZL-2026-008</t>
        </is>
      </c>
      <c r="F13" s="27" t="n">
        <v>3550000</v>
      </c>
      <c r="G13" s="26" t="inlineStr">
        <is>
          <t>Normal</t>
        </is>
      </c>
      <c r="H13" s="26" t="inlineStr">
        <is>
          <t>EVET</t>
        </is>
      </c>
      <c r="I13" s="26" t="inlineStr">
        <is>
          <t>SAN-00004</t>
        </is>
      </c>
      <c r="J13" s="28">
        <f>IF($A13="","",SUMIF(tblAkis[KaynakKartId],$A13,tblAkis[Tutar]))</f>
        <v/>
      </c>
      <c r="K13" s="28">
        <f>IF($A13="","",IFERROR(AVERAGEIF(tblAkis[KaynakKartId],$A13,tblAkis[YasGun]),0))</f>
        <v/>
      </c>
    </row>
    <row r="14">
      <c r="A14" s="26" t="n"/>
      <c r="B14" s="26" t="n"/>
      <c r="C14" s="26" t="n"/>
      <c r="D14" s="26" t="n"/>
      <c r="E14" s="26" t="n"/>
      <c r="F14" s="27" t="n"/>
      <c r="G14" s="26" t="n"/>
      <c r="H14" s="26" t="n"/>
      <c r="I14" s="26" t="n"/>
      <c r="J14" s="28">
        <f>IF($A14="","",SUMIF(tblAkis[KaynakKartId],$A14,tblAkis[Tutar]))</f>
        <v/>
      </c>
      <c r="K14" s="28">
        <f>IF($A14="","",IFERROR(AVERAGEIF(tblAkis[KaynakKartId],$A14,tblAkis[YasGun]),0))</f>
        <v/>
      </c>
    </row>
    <row r="15">
      <c r="A15" s="26" t="n"/>
      <c r="B15" s="26" t="n"/>
      <c r="C15" s="26" t="n"/>
      <c r="D15" s="26" t="n"/>
      <c r="E15" s="26" t="n"/>
      <c r="F15" s="27" t="n"/>
      <c r="G15" s="26" t="n"/>
      <c r="H15" s="26" t="n"/>
      <c r="I15" s="26" t="n"/>
      <c r="J15" s="28">
        <f>IF($A15="","",SUMIF(tblAkis[KaynakKartId],$A15,tblAkis[Tutar]))</f>
        <v/>
      </c>
      <c r="K15" s="28">
        <f>IF($A15="","",IFERROR(AVERAGEIF(tblAkis[KaynakKartId],$A15,tblAkis[YasGun]),0))</f>
        <v/>
      </c>
    </row>
    <row r="16">
      <c r="A16" s="26" t="n"/>
      <c r="B16" s="26" t="n"/>
      <c r="C16" s="26" t="n"/>
      <c r="D16" s="26" t="n"/>
      <c r="E16" s="26" t="n"/>
      <c r="F16" s="27" t="n"/>
      <c r="G16" s="26" t="n"/>
      <c r="H16" s="26" t="n"/>
      <c r="I16" s="26" t="n"/>
      <c r="J16" s="28">
        <f>IF($A16="","",SUMIF(tblAkis[KaynakKartId],$A16,tblAkis[Tutar]))</f>
        <v/>
      </c>
      <c r="K16" s="28">
        <f>IF($A16="","",IFERROR(AVERAGEIF(tblAkis[KaynakKartId],$A16,tblAkis[YasGun]),0))</f>
        <v/>
      </c>
    </row>
    <row r="17">
      <c r="A17" s="26" t="n"/>
      <c r="B17" s="26" t="n"/>
      <c r="C17" s="26" t="n"/>
      <c r="D17" s="26" t="n"/>
      <c r="E17" s="26" t="n"/>
      <c r="F17" s="27" t="n"/>
      <c r="G17" s="26" t="n"/>
      <c r="H17" s="26" t="n"/>
      <c r="I17" s="26" t="n"/>
      <c r="J17" s="28">
        <f>IF($A17="","",SUMIF(tblAkis[KaynakKartId],$A17,tblAkis[Tutar]))</f>
        <v/>
      </c>
      <c r="K17" s="28">
        <f>IF($A17="","",IFERROR(AVERAGEIF(tblAkis[KaynakKartId],$A17,tblAkis[YasGun]),0))</f>
        <v/>
      </c>
    </row>
    <row r="18">
      <c r="A18" s="26" t="n"/>
      <c r="B18" s="26" t="n"/>
      <c r="C18" s="26" t="n"/>
      <c r="D18" s="26" t="n"/>
      <c r="E18" s="26" t="n"/>
      <c r="F18" s="27" t="n"/>
      <c r="G18" s="26" t="n"/>
      <c r="H18" s="26" t="n"/>
      <c r="I18" s="26" t="n"/>
      <c r="J18" s="28">
        <f>IF($A18="","",SUMIF(tblAkis[KaynakKartId],$A18,tblAkis[Tutar]))</f>
        <v/>
      </c>
      <c r="K18" s="28">
        <f>IF($A18="","",IFERROR(AVERAGEIF(tblAkis[KaynakKartId],$A18,tblAkis[YasGun]),0))</f>
        <v/>
      </c>
    </row>
    <row r="19">
      <c r="A19" s="26" t="n"/>
      <c r="B19" s="26" t="n"/>
      <c r="C19" s="26" t="n"/>
      <c r="D19" s="26" t="n"/>
      <c r="E19" s="26" t="n"/>
      <c r="F19" s="27" t="n"/>
      <c r="G19" s="26" t="n"/>
      <c r="H19" s="26" t="n"/>
      <c r="I19" s="26" t="n"/>
      <c r="J19" s="28">
        <f>IF($A19="","",SUMIF(tblAkis[KaynakKartId],$A19,tblAkis[Tutar]))</f>
        <v/>
      </c>
      <c r="K19" s="28">
        <f>IF($A19="","",IFERROR(AVERAGEIF(tblAkis[KaynakKartId],$A19,tblAkis[YasGun]),0))</f>
        <v/>
      </c>
    </row>
    <row r="20">
      <c r="A20" s="26" t="n"/>
      <c r="B20" s="26" t="n"/>
      <c r="C20" s="26" t="n"/>
      <c r="D20" s="26" t="n"/>
      <c r="E20" s="26" t="n"/>
      <c r="F20" s="27" t="n"/>
      <c r="G20" s="26" t="n"/>
      <c r="H20" s="26" t="n"/>
      <c r="I20" s="26" t="n"/>
      <c r="J20" s="28">
        <f>IF($A20="","",SUMIF(tblAkis[KaynakKartId],$A20,tblAkis[Tutar]))</f>
        <v/>
      </c>
      <c r="K20" s="28">
        <f>IF($A20="","",IFERROR(AVERAGEIF(tblAkis[KaynakKartId],$A20,tblAkis[YasGun]),0))</f>
        <v/>
      </c>
    </row>
    <row r="21">
      <c r="A21" s="26" t="n"/>
      <c r="B21" s="26" t="n"/>
      <c r="C21" s="26" t="n"/>
      <c r="D21" s="26" t="n"/>
      <c r="E21" s="26" t="n"/>
      <c r="F21" s="27" t="n"/>
      <c r="G21" s="26" t="n"/>
      <c r="H21" s="26" t="n"/>
      <c r="I21" s="26" t="n"/>
      <c r="J21" s="28">
        <f>IF($A21="","",SUMIF(tblAkis[KaynakKartId],$A21,tblAkis[Tutar]))</f>
        <v/>
      </c>
      <c r="K21" s="28">
        <f>IF($A21="","",IFERROR(AVERAGEIF(tblAkis[KaynakKartId],$A21,tblAkis[YasGun]),0))</f>
        <v/>
      </c>
    </row>
    <row r="22">
      <c r="A22" s="26" t="n"/>
      <c r="B22" s="26" t="n"/>
      <c r="C22" s="26" t="n"/>
      <c r="D22" s="26" t="n"/>
      <c r="E22" s="26" t="n"/>
      <c r="F22" s="27" t="n"/>
      <c r="G22" s="26" t="n"/>
      <c r="H22" s="26" t="n"/>
      <c r="I22" s="26" t="n"/>
      <c r="J22" s="28">
        <f>IF($A22="","",SUMIF(tblAkis[KaynakKartId],$A22,tblAkis[Tutar]))</f>
        <v/>
      </c>
      <c r="K22" s="28">
        <f>IF($A22="","",IFERROR(AVERAGEIF(tblAkis[KaynakKartId],$A22,tblAkis[YasGun]),0))</f>
        <v/>
      </c>
    </row>
    <row r="23">
      <c r="A23" s="26" t="n"/>
      <c r="B23" s="26" t="n"/>
      <c r="C23" s="26" t="n"/>
      <c r="D23" s="26" t="n"/>
      <c r="E23" s="26" t="n"/>
      <c r="F23" s="27" t="n"/>
      <c r="G23" s="26" t="n"/>
      <c r="H23" s="26" t="n"/>
      <c r="I23" s="26" t="n"/>
      <c r="J23" s="28">
        <f>IF($A23="","",SUMIF(tblAkis[KaynakKartId],$A23,tblAkis[Tutar]))</f>
        <v/>
      </c>
      <c r="K23" s="28">
        <f>IF($A23="","",IFERROR(AVERAGEIF(tblAkis[KaynakKartId],$A23,tblAkis[YasGun]),0))</f>
        <v/>
      </c>
    </row>
    <row r="24">
      <c r="A24" s="26" t="n"/>
      <c r="B24" s="26" t="n"/>
      <c r="C24" s="26" t="n"/>
      <c r="D24" s="26" t="n"/>
      <c r="E24" s="26" t="n"/>
      <c r="F24" s="27" t="n"/>
      <c r="G24" s="26" t="n"/>
      <c r="H24" s="26" t="n"/>
      <c r="I24" s="26" t="n"/>
      <c r="J24" s="28">
        <f>IF($A24="","",SUMIF(tblAkis[KaynakKartId],$A24,tblAkis[Tutar]))</f>
        <v/>
      </c>
      <c r="K24" s="28">
        <f>IF($A24="","",IFERROR(AVERAGEIF(tblAkis[KaynakKartId],$A24,tblAkis[YasGun]),0))</f>
        <v/>
      </c>
    </row>
    <row r="25">
      <c r="A25" s="26" t="n"/>
      <c r="B25" s="26" t="n"/>
      <c r="C25" s="26" t="n"/>
      <c r="D25" s="26" t="n"/>
      <c r="E25" s="26" t="n"/>
      <c r="F25" s="27" t="n"/>
      <c r="G25" s="26" t="n"/>
      <c r="H25" s="26" t="n"/>
      <c r="I25" s="26" t="n"/>
      <c r="J25" s="28">
        <f>IF($A25="","",SUMIF(tblAkis[KaynakKartId],$A25,tblAkis[Tutar]))</f>
        <v/>
      </c>
      <c r="K25" s="28">
        <f>IF($A25="","",IFERROR(AVERAGEIF(tblAkis[KaynakKartId],$A25,tblAkis[YasGun]),0))</f>
        <v/>
      </c>
    </row>
    <row r="26">
      <c r="A26" s="26" t="n"/>
      <c r="B26" s="26" t="n"/>
      <c r="C26" s="26" t="n"/>
      <c r="D26" s="26" t="n"/>
      <c r="E26" s="26" t="n"/>
      <c r="F26" s="27" t="n"/>
      <c r="G26" s="26" t="n"/>
      <c r="H26" s="26" t="n"/>
      <c r="I26" s="26" t="n"/>
      <c r="J26" s="28">
        <f>IF($A26="","",SUMIF(tblAkis[KaynakKartId],$A26,tblAkis[Tutar]))</f>
        <v/>
      </c>
      <c r="K26" s="28">
        <f>IF($A26="","",IFERROR(AVERAGEIF(tblAkis[KaynakKartId],$A26,tblAkis[YasGun]),0))</f>
        <v/>
      </c>
    </row>
    <row r="27">
      <c r="A27" s="26" t="n"/>
      <c r="B27" s="26" t="n"/>
      <c r="C27" s="26" t="n"/>
      <c r="D27" s="26" t="n"/>
      <c r="E27" s="26" t="n"/>
      <c r="F27" s="27" t="n"/>
      <c r="G27" s="26" t="n"/>
      <c r="H27" s="26" t="n"/>
      <c r="I27" s="26" t="n"/>
      <c r="J27" s="28">
        <f>IF($A27="","",SUMIF(tblAkis[KaynakKartId],$A27,tblAkis[Tutar]))</f>
        <v/>
      </c>
      <c r="K27" s="28">
        <f>IF($A27="","",IFERROR(AVERAGEIF(tblAkis[KaynakKartId],$A27,tblAkis[YasGun]),0))</f>
        <v/>
      </c>
    </row>
    <row r="28">
      <c r="A28" s="26" t="n"/>
      <c r="B28" s="26" t="n"/>
      <c r="C28" s="26" t="n"/>
      <c r="D28" s="26" t="n"/>
      <c r="E28" s="26" t="n"/>
      <c r="F28" s="27" t="n"/>
      <c r="G28" s="26" t="n"/>
      <c r="H28" s="26" t="n"/>
      <c r="I28" s="26" t="n"/>
      <c r="J28" s="28">
        <f>IF($A28="","",SUMIF(tblAkis[KaynakKartId],$A28,tblAkis[Tutar]))</f>
        <v/>
      </c>
      <c r="K28" s="28">
        <f>IF($A28="","",IFERROR(AVERAGEIF(tblAkis[KaynakKartId],$A28,tblAkis[YasGun]),0))</f>
        <v/>
      </c>
    </row>
    <row r="29">
      <c r="A29" s="26" t="n"/>
      <c r="B29" s="26" t="n"/>
      <c r="C29" s="26" t="n"/>
      <c r="D29" s="26" t="n"/>
      <c r="E29" s="26" t="n"/>
      <c r="F29" s="27" t="n"/>
      <c r="G29" s="26" t="n"/>
      <c r="H29" s="26" t="n"/>
      <c r="I29" s="26" t="n"/>
      <c r="J29" s="28">
        <f>IF($A29="","",SUMIF(tblAkis[KaynakKartId],$A29,tblAkis[Tutar]))</f>
        <v/>
      </c>
      <c r="K29" s="28">
        <f>IF($A29="","",IFERROR(AVERAGEIF(tblAkis[KaynakKartId],$A29,tblAkis[YasGun]),0))</f>
        <v/>
      </c>
    </row>
    <row r="30">
      <c r="A30" s="26" t="n"/>
      <c r="B30" s="26" t="n"/>
      <c r="C30" s="26" t="n"/>
      <c r="D30" s="26" t="n"/>
      <c r="E30" s="26" t="n"/>
      <c r="F30" s="27" t="n"/>
      <c r="G30" s="26" t="n"/>
      <c r="H30" s="26" t="n"/>
      <c r="I30" s="26" t="n"/>
      <c r="J30" s="28">
        <f>IF($A30="","",SUMIF(tblAkis[KaynakKartId],$A30,tblAkis[Tutar]))</f>
        <v/>
      </c>
      <c r="K30" s="28">
        <f>IF($A30="","",IFERROR(AVERAGEIF(tblAkis[KaynakKartId],$A30,tblAkis[YasGun]),0))</f>
        <v/>
      </c>
    </row>
    <row r="31">
      <c r="A31" s="26" t="n"/>
      <c r="B31" s="26" t="n"/>
      <c r="C31" s="26" t="n"/>
      <c r="D31" s="26" t="n"/>
      <c r="E31" s="26" t="n"/>
      <c r="F31" s="27" t="n"/>
      <c r="G31" s="26" t="n"/>
      <c r="H31" s="26" t="n"/>
      <c r="I31" s="26" t="n"/>
      <c r="J31" s="28">
        <f>IF($A31="","",SUMIF(tblAkis[KaynakKartId],$A31,tblAkis[Tutar]))</f>
        <v/>
      </c>
      <c r="K31" s="28">
        <f>IF($A31="","",IFERROR(AVERAGEIF(tblAkis[KaynakKartId],$A31,tblAkis[YasGun]),0))</f>
        <v/>
      </c>
    </row>
    <row r="32">
      <c r="A32" s="26" t="n"/>
      <c r="B32" s="26" t="n"/>
      <c r="C32" s="26" t="n"/>
      <c r="D32" s="26" t="n"/>
      <c r="E32" s="26" t="n"/>
      <c r="F32" s="27" t="n"/>
      <c r="G32" s="26" t="n"/>
      <c r="H32" s="26" t="n"/>
      <c r="I32" s="26" t="n"/>
      <c r="J32" s="28">
        <f>IF($A32="","",SUMIF(tblAkis[KaynakKartId],$A32,tblAkis[Tutar]))</f>
        <v/>
      </c>
      <c r="K32" s="28">
        <f>IF($A32="","",IFERROR(AVERAGEIF(tblAkis[KaynakKartId],$A32,tblAkis[YasGun]),0))</f>
        <v/>
      </c>
    </row>
    <row r="33">
      <c r="A33" s="26" t="n"/>
      <c r="B33" s="26" t="n"/>
      <c r="C33" s="26" t="n"/>
      <c r="D33" s="26" t="n"/>
      <c r="E33" s="26" t="n"/>
      <c r="F33" s="27" t="n"/>
      <c r="G33" s="26" t="n"/>
      <c r="H33" s="26" t="n"/>
      <c r="I33" s="26" t="n"/>
      <c r="J33" s="28">
        <f>IF($A33="","",SUMIF(tblAkis[KaynakKartId],$A33,tblAkis[Tutar]))</f>
        <v/>
      </c>
      <c r="K33" s="28">
        <f>IF($A33="","",IFERROR(AVERAGEIF(tblAkis[KaynakKartId],$A33,tblAkis[YasGun]),0))</f>
        <v/>
      </c>
    </row>
    <row r="34">
      <c r="A34" s="26" t="n"/>
      <c r="B34" s="26" t="n"/>
      <c r="C34" s="26" t="n"/>
      <c r="D34" s="26" t="n"/>
      <c r="E34" s="26" t="n"/>
      <c r="F34" s="27" t="n"/>
      <c r="G34" s="26" t="n"/>
      <c r="H34" s="26" t="n"/>
      <c r="I34" s="26" t="n"/>
      <c r="J34" s="28">
        <f>IF($A34="","",SUMIF(tblAkis[KaynakKartId],$A34,tblAkis[Tutar]))</f>
        <v/>
      </c>
      <c r="K34" s="28">
        <f>IF($A34="","",IFERROR(AVERAGEIF(tblAkis[KaynakKartId],$A34,tblAkis[YasGun]),0))</f>
        <v/>
      </c>
    </row>
    <row r="35">
      <c r="A35" s="26" t="n"/>
      <c r="B35" s="26" t="n"/>
      <c r="C35" s="26" t="n"/>
      <c r="D35" s="26" t="n"/>
      <c r="E35" s="26" t="n"/>
      <c r="F35" s="27" t="n"/>
      <c r="G35" s="26" t="n"/>
      <c r="H35" s="26" t="n"/>
      <c r="I35" s="26" t="n"/>
      <c r="J35" s="28">
        <f>IF($A35="","",SUMIF(tblAkis[KaynakKartId],$A35,tblAkis[Tutar]))</f>
        <v/>
      </c>
      <c r="K35" s="28">
        <f>IF($A35="","",IFERROR(AVERAGEIF(tblAkis[KaynakKartId],$A35,tblAkis[YasGun]),0))</f>
        <v/>
      </c>
    </row>
    <row r="36">
      <c r="A36" s="26" t="n"/>
      <c r="B36" s="26" t="n"/>
      <c r="C36" s="26" t="n"/>
      <c r="D36" s="26" t="n"/>
      <c r="E36" s="26" t="n"/>
      <c r="F36" s="27" t="n"/>
      <c r="G36" s="26" t="n"/>
      <c r="H36" s="26" t="n"/>
      <c r="I36" s="26" t="n"/>
      <c r="J36" s="28">
        <f>IF($A36="","",SUMIF(tblAkis[KaynakKartId],$A36,tblAkis[Tutar]))</f>
        <v/>
      </c>
      <c r="K36" s="28">
        <f>IF($A36="","",IFERROR(AVERAGEIF(tblAkis[KaynakKartId],$A36,tblAkis[YasGun]),0))</f>
        <v/>
      </c>
    </row>
    <row r="37">
      <c r="A37" s="26" t="n"/>
      <c r="B37" s="26" t="n"/>
      <c r="C37" s="26" t="n"/>
      <c r="D37" s="26" t="n"/>
      <c r="E37" s="26" t="n"/>
      <c r="F37" s="27" t="n"/>
      <c r="G37" s="26" t="n"/>
      <c r="H37" s="26" t="n"/>
      <c r="I37" s="26" t="n"/>
      <c r="J37" s="28">
        <f>IF($A37="","",SUMIF(tblAkis[KaynakKartId],$A37,tblAkis[Tutar]))</f>
        <v/>
      </c>
      <c r="K37" s="28">
        <f>IF($A37="","",IFERROR(AVERAGEIF(tblAkis[KaynakKartId],$A37,tblAkis[YasGun]),0))</f>
        <v/>
      </c>
    </row>
    <row r="38">
      <c r="A38" s="26" t="n"/>
      <c r="B38" s="26" t="n"/>
      <c r="C38" s="26" t="n"/>
      <c r="D38" s="26" t="n"/>
      <c r="E38" s="26" t="n"/>
      <c r="F38" s="27" t="n"/>
      <c r="G38" s="26" t="n"/>
      <c r="H38" s="26" t="n"/>
      <c r="I38" s="26" t="n"/>
      <c r="J38" s="28">
        <f>IF($A38="","",SUMIF(tblAkis[KaynakKartId],$A38,tblAkis[Tutar]))</f>
        <v/>
      </c>
      <c r="K38" s="28">
        <f>IF($A38="","",IFERROR(AVERAGEIF(tblAkis[KaynakKartId],$A38,tblAkis[YasGun]),0))</f>
        <v/>
      </c>
    </row>
    <row r="39">
      <c r="A39" s="26" t="n"/>
      <c r="B39" s="26" t="n"/>
      <c r="C39" s="26" t="n"/>
      <c r="D39" s="26" t="n"/>
      <c r="E39" s="26" t="n"/>
      <c r="F39" s="27" t="n"/>
      <c r="G39" s="26" t="n"/>
      <c r="H39" s="26" t="n"/>
      <c r="I39" s="26" t="n"/>
      <c r="J39" s="28">
        <f>IF($A39="","",SUMIF(tblAkis[KaynakKartId],$A39,tblAkis[Tutar]))</f>
        <v/>
      </c>
      <c r="K39" s="28">
        <f>IF($A39="","",IFERROR(AVERAGEIF(tblAkis[KaynakKartId],$A39,tblAkis[YasGun]),0))</f>
        <v/>
      </c>
    </row>
    <row r="40">
      <c r="A40" s="26" t="n"/>
      <c r="B40" s="26" t="n"/>
      <c r="C40" s="26" t="n"/>
      <c r="D40" s="26" t="n"/>
      <c r="E40" s="26" t="n"/>
      <c r="F40" s="27" t="n"/>
      <c r="G40" s="26" t="n"/>
      <c r="H40" s="26" t="n"/>
      <c r="I40" s="26" t="n"/>
      <c r="J40" s="28">
        <f>IF($A40="","",SUMIF(tblAkis[KaynakKartId],$A40,tblAkis[Tutar]))</f>
        <v/>
      </c>
      <c r="K40" s="28">
        <f>IF($A40="","",IFERROR(AVERAGEIF(tblAkis[KaynakKartId],$A40,tblAkis[YasGun]),0))</f>
        <v/>
      </c>
    </row>
    <row r="41">
      <c r="A41" s="26" t="n"/>
      <c r="B41" s="26" t="n"/>
      <c r="C41" s="26" t="n"/>
      <c r="D41" s="26" t="n"/>
      <c r="E41" s="26" t="n"/>
      <c r="F41" s="27" t="n"/>
      <c r="G41" s="26" t="n"/>
      <c r="H41" s="26" t="n"/>
      <c r="I41" s="26" t="n"/>
      <c r="J41" s="28">
        <f>IF($A41="","",SUMIF(tblAkis[KaynakKartId],$A41,tblAkis[Tutar]))</f>
        <v/>
      </c>
      <c r="K41" s="28">
        <f>IF($A41="","",IFERROR(AVERAGEIF(tblAkis[KaynakKartId],$A41,tblAkis[YasGun]),0))</f>
        <v/>
      </c>
    </row>
    <row r="42">
      <c r="A42" s="26" t="n"/>
      <c r="B42" s="26" t="n"/>
      <c r="C42" s="26" t="n"/>
      <c r="D42" s="26" t="n"/>
      <c r="E42" s="26" t="n"/>
      <c r="F42" s="27" t="n"/>
      <c r="G42" s="26" t="n"/>
      <c r="H42" s="26" t="n"/>
      <c r="I42" s="26" t="n"/>
      <c r="J42" s="28">
        <f>IF($A42="","",SUMIF(tblAkis[KaynakKartId],$A42,tblAkis[Tutar]))</f>
        <v/>
      </c>
      <c r="K42" s="28">
        <f>IF($A42="","",IFERROR(AVERAGEIF(tblAkis[KaynakKartId],$A42,tblAkis[YasGun]),0))</f>
        <v/>
      </c>
    </row>
    <row r="43">
      <c r="A43" s="26" t="n"/>
      <c r="B43" s="26" t="n"/>
      <c r="C43" s="26" t="n"/>
      <c r="D43" s="26" t="n"/>
      <c r="E43" s="26" t="n"/>
      <c r="F43" s="27" t="n"/>
      <c r="G43" s="26" t="n"/>
      <c r="H43" s="26" t="n"/>
      <c r="I43" s="26" t="n"/>
      <c r="J43" s="28">
        <f>IF($A43="","",SUMIF(tblAkis[KaynakKartId],$A43,tblAkis[Tutar]))</f>
        <v/>
      </c>
      <c r="K43" s="28">
        <f>IF($A43="","",IFERROR(AVERAGEIF(tblAkis[KaynakKartId],$A43,tblAkis[YasGun]),0))</f>
        <v/>
      </c>
    </row>
    <row r="44">
      <c r="A44" s="26" t="n"/>
      <c r="B44" s="26" t="n"/>
      <c r="C44" s="26" t="n"/>
      <c r="D44" s="26" t="n"/>
      <c r="E44" s="26" t="n"/>
      <c r="F44" s="27" t="n"/>
      <c r="G44" s="26" t="n"/>
      <c r="H44" s="26" t="n"/>
      <c r="I44" s="26" t="n"/>
      <c r="J44" s="28">
        <f>IF($A44="","",SUMIF(tblAkis[KaynakKartId],$A44,tblAkis[Tutar]))</f>
        <v/>
      </c>
      <c r="K44" s="28">
        <f>IF($A44="","",IFERROR(AVERAGEIF(tblAkis[KaynakKartId],$A44,tblAkis[YasGun]),0))</f>
        <v/>
      </c>
    </row>
    <row r="45">
      <c r="A45" s="26" t="n"/>
      <c r="B45" s="26" t="n"/>
      <c r="C45" s="26" t="n"/>
      <c r="D45" s="26" t="n"/>
      <c r="E45" s="26" t="n"/>
      <c r="F45" s="27" t="n"/>
      <c r="G45" s="26" t="n"/>
      <c r="H45" s="26" t="n"/>
      <c r="I45" s="26" t="n"/>
      <c r="J45" s="28">
        <f>IF($A45="","",SUMIF(tblAkis[KaynakKartId],$A45,tblAkis[Tutar]))</f>
        <v/>
      </c>
      <c r="K45" s="28">
        <f>IF($A45="","",IFERROR(AVERAGEIF(tblAkis[KaynakKartId],$A45,tblAkis[YasGun]),0))</f>
        <v/>
      </c>
    </row>
    <row r="46">
      <c r="A46" s="26" t="n"/>
      <c r="B46" s="26" t="n"/>
      <c r="C46" s="26" t="n"/>
      <c r="D46" s="26" t="n"/>
      <c r="E46" s="26" t="n"/>
      <c r="F46" s="27" t="n"/>
      <c r="G46" s="26" t="n"/>
      <c r="H46" s="26" t="n"/>
      <c r="I46" s="26" t="n"/>
      <c r="J46" s="28">
        <f>IF($A46="","",SUMIF(tblAkis[KaynakKartId],$A46,tblAkis[Tutar]))</f>
        <v/>
      </c>
      <c r="K46" s="28">
        <f>IF($A46="","",IFERROR(AVERAGEIF(tblAkis[KaynakKartId],$A46,tblAkis[YasGun]),0))</f>
        <v/>
      </c>
    </row>
    <row r="47">
      <c r="A47" s="26" t="n"/>
      <c r="B47" s="26" t="n"/>
      <c r="C47" s="26" t="n"/>
      <c r="D47" s="26" t="n"/>
      <c r="E47" s="26" t="n"/>
      <c r="F47" s="27" t="n"/>
      <c r="G47" s="26" t="n"/>
      <c r="H47" s="26" t="n"/>
      <c r="I47" s="26" t="n"/>
      <c r="J47" s="28">
        <f>IF($A47="","",SUMIF(tblAkis[KaynakKartId],$A47,tblAkis[Tutar]))</f>
        <v/>
      </c>
      <c r="K47" s="28">
        <f>IF($A47="","",IFERROR(AVERAGEIF(tblAkis[KaynakKartId],$A47,tblAkis[YasGun]),0))</f>
        <v/>
      </c>
    </row>
    <row r="48">
      <c r="A48" s="26" t="n"/>
      <c r="B48" s="26" t="n"/>
      <c r="C48" s="26" t="n"/>
      <c r="D48" s="26" t="n"/>
      <c r="E48" s="26" t="n"/>
      <c r="F48" s="27" t="n"/>
      <c r="G48" s="26" t="n"/>
      <c r="H48" s="26" t="n"/>
      <c r="I48" s="26" t="n"/>
      <c r="J48" s="28">
        <f>IF($A48="","",SUMIF(tblAkis[KaynakKartId],$A48,tblAkis[Tutar]))</f>
        <v/>
      </c>
      <c r="K48" s="28">
        <f>IF($A48="","",IFERROR(AVERAGEIF(tblAkis[KaynakKartId],$A48,tblAkis[YasGun]),0))</f>
        <v/>
      </c>
    </row>
    <row r="49">
      <c r="A49" s="26" t="n"/>
      <c r="B49" s="26" t="n"/>
      <c r="C49" s="26" t="n"/>
      <c r="D49" s="26" t="n"/>
      <c r="E49" s="26" t="n"/>
      <c r="F49" s="27" t="n"/>
      <c r="G49" s="26" t="n"/>
      <c r="H49" s="26" t="n"/>
      <c r="I49" s="26" t="n"/>
      <c r="J49" s="28">
        <f>IF($A49="","",SUMIF(tblAkis[KaynakKartId],$A49,tblAkis[Tutar]))</f>
        <v/>
      </c>
      <c r="K49" s="28">
        <f>IF($A49="","",IFERROR(AVERAGEIF(tblAkis[KaynakKartId],$A49,tblAkis[YasGun]),0))</f>
        <v/>
      </c>
    </row>
    <row r="50">
      <c r="A50" s="26" t="n"/>
      <c r="B50" s="26" t="n"/>
      <c r="C50" s="26" t="n"/>
      <c r="D50" s="26" t="n"/>
      <c r="E50" s="26" t="n"/>
      <c r="F50" s="27" t="n"/>
      <c r="G50" s="26" t="n"/>
      <c r="H50" s="26" t="n"/>
      <c r="I50" s="26" t="n"/>
      <c r="J50" s="28">
        <f>IF($A50="","",SUMIF(tblAkis[KaynakKartId],$A50,tblAkis[Tutar]))</f>
        <v/>
      </c>
      <c r="K50" s="28">
        <f>IF($A50="","",IFERROR(AVERAGEIF(tblAkis[KaynakKartId],$A50,tblAkis[YasGun]),0))</f>
        <v/>
      </c>
    </row>
    <row r="51">
      <c r="A51" s="26" t="n"/>
      <c r="B51" s="26" t="n"/>
      <c r="C51" s="26" t="n"/>
      <c r="D51" s="26" t="n"/>
      <c r="E51" s="26" t="n"/>
      <c r="F51" s="27" t="n"/>
      <c r="G51" s="26" t="n"/>
      <c r="H51" s="26" t="n"/>
      <c r="I51" s="26" t="n"/>
      <c r="J51" s="28">
        <f>IF($A51="","",SUMIF(tblAkis[KaynakKartId],$A51,tblAkis[Tutar]))</f>
        <v/>
      </c>
      <c r="K51" s="28">
        <f>IF($A51="","",IFERROR(AVERAGEIF(tblAkis[KaynakKartId],$A51,tblAkis[YasGun]),0))</f>
        <v/>
      </c>
    </row>
    <row r="52">
      <c r="A52" s="26" t="n"/>
      <c r="B52" s="26" t="n"/>
      <c r="C52" s="26" t="n"/>
      <c r="D52" s="26" t="n"/>
      <c r="E52" s="26" t="n"/>
      <c r="F52" s="27" t="n"/>
      <c r="G52" s="26" t="n"/>
      <c r="H52" s="26" t="n"/>
      <c r="I52" s="26" t="n"/>
      <c r="J52" s="28">
        <f>IF($A52="","",SUMIF(tblAkis[KaynakKartId],$A52,tblAkis[Tutar]))</f>
        <v/>
      </c>
      <c r="K52" s="28">
        <f>IF($A52="","",IFERROR(AVERAGEIF(tblAkis[KaynakKartId],$A52,tblAkis[YasGun]),0))</f>
        <v/>
      </c>
    </row>
    <row r="53">
      <c r="A53" s="26" t="n"/>
      <c r="B53" s="26" t="n"/>
      <c r="C53" s="26" t="n"/>
      <c r="D53" s="26" t="n"/>
      <c r="E53" s="26" t="n"/>
      <c r="F53" s="27" t="n"/>
      <c r="G53" s="26" t="n"/>
      <c r="H53" s="26" t="n"/>
      <c r="I53" s="26" t="n"/>
      <c r="J53" s="28">
        <f>IF($A53="","",SUMIF(tblAkis[KaynakKartId],$A53,tblAkis[Tutar]))</f>
        <v/>
      </c>
      <c r="K53" s="28">
        <f>IF($A53="","",IFERROR(AVERAGEIF(tblAkis[KaynakKartId],$A53,tblAkis[YasGun]),0))</f>
        <v/>
      </c>
    </row>
    <row r="54">
      <c r="A54" s="26" t="n"/>
      <c r="B54" s="26" t="n"/>
      <c r="C54" s="26" t="n"/>
      <c r="D54" s="26" t="n"/>
      <c r="E54" s="26" t="n"/>
      <c r="F54" s="27" t="n"/>
      <c r="G54" s="26" t="n"/>
      <c r="H54" s="26" t="n"/>
      <c r="I54" s="26" t="n"/>
      <c r="J54" s="28">
        <f>IF($A54="","",SUMIF(tblAkis[KaynakKartId],$A54,tblAkis[Tutar]))</f>
        <v/>
      </c>
      <c r="K54" s="28">
        <f>IF($A54="","",IFERROR(AVERAGEIF(tblAkis[KaynakKartId],$A54,tblAkis[YasGun]),0))</f>
        <v/>
      </c>
    </row>
    <row r="55">
      <c r="A55" s="26" t="n"/>
      <c r="B55" s="26" t="n"/>
      <c r="C55" s="26" t="n"/>
      <c r="D55" s="26" t="n"/>
      <c r="E55" s="26" t="n"/>
      <c r="F55" s="27" t="n"/>
      <c r="G55" s="26" t="n"/>
      <c r="H55" s="26" t="n"/>
      <c r="I55" s="26" t="n"/>
      <c r="J55" s="28">
        <f>IF($A55="","",SUMIF(tblAkis[KaynakKartId],$A55,tblAkis[Tutar]))</f>
        <v/>
      </c>
      <c r="K55" s="28">
        <f>IF($A55="","",IFERROR(AVERAGEIF(tblAkis[KaynakKartId],$A55,tblAkis[YasGun]),0))</f>
        <v/>
      </c>
    </row>
    <row r="56">
      <c r="A56" s="26" t="n"/>
      <c r="B56" s="26" t="n"/>
      <c r="C56" s="26" t="n"/>
      <c r="D56" s="26" t="n"/>
      <c r="E56" s="26" t="n"/>
      <c r="F56" s="27" t="n"/>
      <c r="G56" s="26" t="n"/>
      <c r="H56" s="26" t="n"/>
      <c r="I56" s="26" t="n"/>
      <c r="J56" s="28">
        <f>IF($A56="","",SUMIF(tblAkis[KaynakKartId],$A56,tblAkis[Tutar]))</f>
        <v/>
      </c>
      <c r="K56" s="28">
        <f>IF($A56="","",IFERROR(AVERAGEIF(tblAkis[KaynakKartId],$A56,tblAkis[YasGun]),0))</f>
        <v/>
      </c>
    </row>
    <row r="57">
      <c r="A57" s="26" t="n"/>
      <c r="B57" s="26" t="n"/>
      <c r="C57" s="26" t="n"/>
      <c r="D57" s="26" t="n"/>
      <c r="E57" s="26" t="n"/>
      <c r="F57" s="27" t="n"/>
      <c r="G57" s="26" t="n"/>
      <c r="H57" s="26" t="n"/>
      <c r="I57" s="26" t="n"/>
      <c r="J57" s="28">
        <f>IF($A57="","",SUMIF(tblAkis[KaynakKartId],$A57,tblAkis[Tutar]))</f>
        <v/>
      </c>
      <c r="K57" s="28">
        <f>IF($A57="","",IFERROR(AVERAGEIF(tblAkis[KaynakKartId],$A57,tblAkis[YasGun]),0))</f>
        <v/>
      </c>
    </row>
    <row r="58">
      <c r="A58" s="26" t="n"/>
      <c r="B58" s="26" t="n"/>
      <c r="C58" s="26" t="n"/>
      <c r="D58" s="26" t="n"/>
      <c r="E58" s="26" t="n"/>
      <c r="F58" s="27" t="n"/>
      <c r="G58" s="26" t="n"/>
      <c r="H58" s="26" t="n"/>
      <c r="I58" s="26" t="n"/>
      <c r="J58" s="28">
        <f>IF($A58="","",SUMIF(tblAkis[KaynakKartId],$A58,tblAkis[Tutar]))</f>
        <v/>
      </c>
      <c r="K58" s="28">
        <f>IF($A58="","",IFERROR(AVERAGEIF(tblAkis[KaynakKartId],$A58,tblAkis[YasGun]),0))</f>
        <v/>
      </c>
    </row>
    <row r="59">
      <c r="A59" s="26" t="n"/>
      <c r="B59" s="26" t="n"/>
      <c r="C59" s="26" t="n"/>
      <c r="D59" s="26" t="n"/>
      <c r="E59" s="26" t="n"/>
      <c r="F59" s="27" t="n"/>
      <c r="G59" s="26" t="n"/>
      <c r="H59" s="26" t="n"/>
      <c r="I59" s="26" t="n"/>
      <c r="J59" s="28">
        <f>IF($A59="","",SUMIF(tblAkis[KaynakKartId],$A59,tblAkis[Tutar]))</f>
        <v/>
      </c>
      <c r="K59" s="28">
        <f>IF($A59="","",IFERROR(AVERAGEIF(tblAkis[KaynakKartId],$A59,tblAkis[YasGun]),0))</f>
        <v/>
      </c>
    </row>
    <row r="60">
      <c r="A60" s="26" t="n"/>
      <c r="B60" s="26" t="n"/>
      <c r="C60" s="26" t="n"/>
      <c r="D60" s="26" t="n"/>
      <c r="E60" s="26" t="n"/>
      <c r="F60" s="27" t="n"/>
      <c r="G60" s="26" t="n"/>
      <c r="H60" s="26" t="n"/>
      <c r="I60" s="26" t="n"/>
      <c r="J60" s="28">
        <f>IF($A60="","",SUMIF(tblAkis[KaynakKartId],$A60,tblAkis[Tutar]))</f>
        <v/>
      </c>
      <c r="K60" s="28">
        <f>IF($A60="","",IFERROR(AVERAGEIF(tblAkis[KaynakKartId],$A60,tblAkis[YasGun]),0))</f>
        <v/>
      </c>
    </row>
    <row r="61">
      <c r="A61" s="26" t="n"/>
      <c r="B61" s="26" t="n"/>
      <c r="C61" s="26" t="n"/>
      <c r="D61" s="26" t="n"/>
      <c r="E61" s="26" t="n"/>
      <c r="F61" s="27" t="n"/>
      <c r="G61" s="26" t="n"/>
      <c r="H61" s="26" t="n"/>
      <c r="I61" s="26" t="n"/>
      <c r="J61" s="28">
        <f>IF($A61="","",SUMIF(tblAkis[KaynakKartId],$A61,tblAkis[Tutar]))</f>
        <v/>
      </c>
      <c r="K61" s="28">
        <f>IF($A61="","",IFERROR(AVERAGEIF(tblAkis[KaynakKartId],$A61,tblAkis[YasGun]),0))</f>
        <v/>
      </c>
    </row>
    <row r="62">
      <c r="A62" s="26" t="n"/>
      <c r="B62" s="26" t="n"/>
      <c r="C62" s="26" t="n"/>
      <c r="D62" s="26" t="n"/>
      <c r="E62" s="26" t="n"/>
      <c r="F62" s="27" t="n"/>
      <c r="G62" s="26" t="n"/>
      <c r="H62" s="26" t="n"/>
      <c r="I62" s="26" t="n"/>
      <c r="J62" s="28">
        <f>IF($A62="","",SUMIF(tblAkis[KaynakKartId],$A62,tblAkis[Tutar]))</f>
        <v/>
      </c>
      <c r="K62" s="28">
        <f>IF($A62="","",IFERROR(AVERAGEIF(tblAkis[KaynakKartId],$A62,tblAkis[YasGun]),0))</f>
        <v/>
      </c>
    </row>
    <row r="63">
      <c r="A63" s="26" t="n"/>
      <c r="B63" s="26" t="n"/>
      <c r="C63" s="26" t="n"/>
      <c r="D63" s="26" t="n"/>
      <c r="E63" s="26" t="n"/>
      <c r="F63" s="27" t="n"/>
      <c r="G63" s="26" t="n"/>
      <c r="H63" s="26" t="n"/>
      <c r="I63" s="26" t="n"/>
      <c r="J63" s="28">
        <f>IF($A63="","",SUMIF(tblAkis[KaynakKartId],$A63,tblAkis[Tutar]))</f>
        <v/>
      </c>
      <c r="K63" s="28">
        <f>IF($A63="","",IFERROR(AVERAGEIF(tblAkis[KaynakKartId],$A63,tblAkis[YasGun]),0))</f>
        <v/>
      </c>
    </row>
    <row r="64">
      <c r="A64" s="26" t="n"/>
      <c r="B64" s="26" t="n"/>
      <c r="C64" s="26" t="n"/>
      <c r="D64" s="26" t="n"/>
      <c r="E64" s="26" t="n"/>
      <c r="F64" s="27" t="n"/>
      <c r="G64" s="26" t="n"/>
      <c r="H64" s="26" t="n"/>
      <c r="I64" s="26" t="n"/>
      <c r="J64" s="28">
        <f>IF($A64="","",SUMIF(tblAkis[KaynakKartId],$A64,tblAkis[Tutar]))</f>
        <v/>
      </c>
      <c r="K64" s="28">
        <f>IF($A64="","",IFERROR(AVERAGEIF(tblAkis[KaynakKartId],$A64,tblAkis[YasGun]),0))</f>
        <v/>
      </c>
    </row>
    <row r="65">
      <c r="A65" s="26" t="n"/>
      <c r="B65" s="26" t="n"/>
      <c r="C65" s="26" t="n"/>
      <c r="D65" s="26" t="n"/>
      <c r="E65" s="26" t="n"/>
      <c r="F65" s="27" t="n"/>
      <c r="G65" s="26" t="n"/>
      <c r="H65" s="26" t="n"/>
      <c r="I65" s="26" t="n"/>
      <c r="J65" s="28">
        <f>IF($A65="","",SUMIF(tblAkis[KaynakKartId],$A65,tblAkis[Tutar]))</f>
        <v/>
      </c>
      <c r="K65" s="28">
        <f>IF($A65="","",IFERROR(AVERAGEIF(tblAkis[KaynakKartId],$A65,tblAkis[YasGun]),0))</f>
        <v/>
      </c>
    </row>
    <row r="66">
      <c r="A66" s="26" t="n"/>
      <c r="B66" s="26" t="n"/>
      <c r="C66" s="26" t="n"/>
      <c r="D66" s="26" t="n"/>
      <c r="E66" s="26" t="n"/>
      <c r="F66" s="27" t="n"/>
      <c r="G66" s="26" t="n"/>
      <c r="H66" s="26" t="n"/>
      <c r="I66" s="26" t="n"/>
      <c r="J66" s="28">
        <f>IF($A66="","",SUMIF(tblAkis[KaynakKartId],$A66,tblAkis[Tutar]))</f>
        <v/>
      </c>
      <c r="K66" s="28">
        <f>IF($A66="","",IFERROR(AVERAGEIF(tblAkis[KaynakKartId],$A66,tblAkis[YasGun]),0))</f>
        <v/>
      </c>
    </row>
    <row r="67">
      <c r="A67" s="26" t="n"/>
      <c r="B67" s="26" t="n"/>
      <c r="C67" s="26" t="n"/>
      <c r="D67" s="26" t="n"/>
      <c r="E67" s="26" t="n"/>
      <c r="F67" s="27" t="n"/>
      <c r="G67" s="26" t="n"/>
      <c r="H67" s="26" t="n"/>
      <c r="I67" s="26" t="n"/>
      <c r="J67" s="28">
        <f>IF($A67="","",SUMIF(tblAkis[KaynakKartId],$A67,tblAkis[Tutar]))</f>
        <v/>
      </c>
      <c r="K67" s="28">
        <f>IF($A67="","",IFERROR(AVERAGEIF(tblAkis[KaynakKartId],$A67,tblAkis[YasGun]),0))</f>
        <v/>
      </c>
    </row>
    <row r="68">
      <c r="A68" s="26" t="n"/>
      <c r="B68" s="26" t="n"/>
      <c r="C68" s="26" t="n"/>
      <c r="D68" s="26" t="n"/>
      <c r="E68" s="26" t="n"/>
      <c r="F68" s="27" t="n"/>
      <c r="G68" s="26" t="n"/>
      <c r="H68" s="26" t="n"/>
      <c r="I68" s="26" t="n"/>
      <c r="J68" s="28">
        <f>IF($A68="","",SUMIF(tblAkis[KaynakKartId],$A68,tblAkis[Tutar]))</f>
        <v/>
      </c>
      <c r="K68" s="28">
        <f>IF($A68="","",IFERROR(AVERAGEIF(tblAkis[KaynakKartId],$A68,tblAkis[YasGun]),0))</f>
        <v/>
      </c>
    </row>
    <row r="69">
      <c r="A69" s="26" t="n"/>
      <c r="B69" s="26" t="n"/>
      <c r="C69" s="26" t="n"/>
      <c r="D69" s="26" t="n"/>
      <c r="E69" s="26" t="n"/>
      <c r="F69" s="27" t="n"/>
      <c r="G69" s="26" t="n"/>
      <c r="H69" s="26" t="n"/>
      <c r="I69" s="26" t="n"/>
      <c r="J69" s="28">
        <f>IF($A69="","",SUMIF(tblAkis[KaynakKartId],$A69,tblAkis[Tutar]))</f>
        <v/>
      </c>
      <c r="K69" s="28">
        <f>IF($A69="","",IFERROR(AVERAGEIF(tblAkis[KaynakKartId],$A69,tblAkis[YasGun]),0))</f>
        <v/>
      </c>
    </row>
    <row r="70">
      <c r="A70" s="26" t="n"/>
      <c r="B70" s="26" t="n"/>
      <c r="C70" s="26" t="n"/>
      <c r="D70" s="26" t="n"/>
      <c r="E70" s="26" t="n"/>
      <c r="F70" s="27" t="n"/>
      <c r="G70" s="26" t="n"/>
      <c r="H70" s="26" t="n"/>
      <c r="I70" s="26" t="n"/>
      <c r="J70" s="28">
        <f>IF($A70="","",SUMIF(tblAkis[KaynakKartId],$A70,tblAkis[Tutar]))</f>
        <v/>
      </c>
      <c r="K70" s="28">
        <f>IF($A70="","",IFERROR(AVERAGEIF(tblAkis[KaynakKartId],$A70,tblAkis[YasGun]),0))</f>
        <v/>
      </c>
    </row>
    <row r="71">
      <c r="A71" s="26" t="n"/>
      <c r="B71" s="26" t="n"/>
      <c r="C71" s="26" t="n"/>
      <c r="D71" s="26" t="n"/>
      <c r="E71" s="26" t="n"/>
      <c r="F71" s="27" t="n"/>
      <c r="G71" s="26" t="n"/>
      <c r="H71" s="26" t="n"/>
      <c r="I71" s="26" t="n"/>
      <c r="J71" s="28">
        <f>IF($A71="","",SUMIF(tblAkis[KaynakKartId],$A71,tblAkis[Tutar]))</f>
        <v/>
      </c>
      <c r="K71" s="28">
        <f>IF($A71="","",IFERROR(AVERAGEIF(tblAkis[KaynakKartId],$A71,tblAkis[YasGun]),0))</f>
        <v/>
      </c>
    </row>
    <row r="72">
      <c r="A72" s="26" t="n"/>
      <c r="B72" s="26" t="n"/>
      <c r="C72" s="26" t="n"/>
      <c r="D72" s="26" t="n"/>
      <c r="E72" s="26" t="n"/>
      <c r="F72" s="27" t="n"/>
      <c r="G72" s="26" t="n"/>
      <c r="H72" s="26" t="n"/>
      <c r="I72" s="26" t="n"/>
      <c r="J72" s="28">
        <f>IF($A72="","",SUMIF(tblAkis[KaynakKartId],$A72,tblAkis[Tutar]))</f>
        <v/>
      </c>
      <c r="K72" s="28">
        <f>IF($A72="","",IFERROR(AVERAGEIF(tblAkis[KaynakKartId],$A72,tblAkis[YasGun]),0))</f>
        <v/>
      </c>
    </row>
    <row r="73">
      <c r="A73" s="26" t="n"/>
      <c r="B73" s="26" t="n"/>
      <c r="C73" s="26" t="n"/>
      <c r="D73" s="26" t="n"/>
      <c r="E73" s="26" t="n"/>
      <c r="F73" s="27" t="n"/>
      <c r="G73" s="26" t="n"/>
      <c r="H73" s="26" t="n"/>
      <c r="I73" s="26" t="n"/>
      <c r="J73" s="28">
        <f>IF($A73="","",SUMIF(tblAkis[KaynakKartId],$A73,tblAkis[Tutar]))</f>
        <v/>
      </c>
      <c r="K73" s="28">
        <f>IF($A73="","",IFERROR(AVERAGEIF(tblAkis[KaynakKartId],$A73,tblAkis[YasGun]),0))</f>
        <v/>
      </c>
    </row>
    <row r="74">
      <c r="A74" s="26" t="n"/>
      <c r="B74" s="26" t="n"/>
      <c r="C74" s="26" t="n"/>
      <c r="D74" s="26" t="n"/>
      <c r="E74" s="26" t="n"/>
      <c r="F74" s="27" t="n"/>
      <c r="G74" s="26" t="n"/>
      <c r="H74" s="26" t="n"/>
      <c r="I74" s="26" t="n"/>
      <c r="J74" s="28">
        <f>IF($A74="","",SUMIF(tblAkis[KaynakKartId],$A74,tblAkis[Tutar]))</f>
        <v/>
      </c>
      <c r="K74" s="28">
        <f>IF($A74="","",IFERROR(AVERAGEIF(tblAkis[KaynakKartId],$A74,tblAkis[YasGun]),0))</f>
        <v/>
      </c>
    </row>
    <row r="75">
      <c r="A75" s="26" t="n"/>
      <c r="B75" s="26" t="n"/>
      <c r="C75" s="26" t="n"/>
      <c r="D75" s="26" t="n"/>
      <c r="E75" s="26" t="n"/>
      <c r="F75" s="27" t="n"/>
      <c r="G75" s="26" t="n"/>
      <c r="H75" s="26" t="n"/>
      <c r="I75" s="26" t="n"/>
      <c r="J75" s="28">
        <f>IF($A75="","",SUMIF(tblAkis[KaynakKartId],$A75,tblAkis[Tutar]))</f>
        <v/>
      </c>
      <c r="K75" s="28">
        <f>IF($A75="","",IFERROR(AVERAGEIF(tblAkis[KaynakKartId],$A75,tblAkis[YasGun]),0))</f>
        <v/>
      </c>
    </row>
    <row r="76">
      <c r="A76" s="26" t="n"/>
      <c r="B76" s="26" t="n"/>
      <c r="C76" s="26" t="n"/>
      <c r="D76" s="26" t="n"/>
      <c r="E76" s="26" t="n"/>
      <c r="F76" s="27" t="n"/>
      <c r="G76" s="26" t="n"/>
      <c r="H76" s="26" t="n"/>
      <c r="I76" s="26" t="n"/>
      <c r="J76" s="28">
        <f>IF($A76="","",SUMIF(tblAkis[KaynakKartId],$A76,tblAkis[Tutar]))</f>
        <v/>
      </c>
      <c r="K76" s="28">
        <f>IF($A76="","",IFERROR(AVERAGEIF(tblAkis[KaynakKartId],$A76,tblAkis[YasGun]),0))</f>
        <v/>
      </c>
    </row>
    <row r="77">
      <c r="A77" s="26" t="n"/>
      <c r="B77" s="26" t="n"/>
      <c r="C77" s="26" t="n"/>
      <c r="D77" s="26" t="n"/>
      <c r="E77" s="26" t="n"/>
      <c r="F77" s="27" t="n"/>
      <c r="G77" s="26" t="n"/>
      <c r="H77" s="26" t="n"/>
      <c r="I77" s="26" t="n"/>
      <c r="J77" s="28">
        <f>IF($A77="","",SUMIF(tblAkis[KaynakKartId],$A77,tblAkis[Tutar]))</f>
        <v/>
      </c>
      <c r="K77" s="28">
        <f>IF($A77="","",IFERROR(AVERAGEIF(tblAkis[KaynakKartId],$A77,tblAkis[YasGun]),0))</f>
        <v/>
      </c>
    </row>
    <row r="78">
      <c r="A78" s="26" t="n"/>
      <c r="B78" s="26" t="n"/>
      <c r="C78" s="26" t="n"/>
      <c r="D78" s="26" t="n"/>
      <c r="E78" s="26" t="n"/>
      <c r="F78" s="27" t="n"/>
      <c r="G78" s="26" t="n"/>
      <c r="H78" s="26" t="n"/>
      <c r="I78" s="26" t="n"/>
      <c r="J78" s="28">
        <f>IF($A78="","",SUMIF(tblAkis[KaynakKartId],$A78,tblAkis[Tutar]))</f>
        <v/>
      </c>
      <c r="K78" s="28">
        <f>IF($A78="","",IFERROR(AVERAGEIF(tblAkis[KaynakKartId],$A78,tblAkis[YasGun]),0))</f>
        <v/>
      </c>
    </row>
    <row r="79">
      <c r="A79" s="26" t="n"/>
      <c r="B79" s="26" t="n"/>
      <c r="C79" s="26" t="n"/>
      <c r="D79" s="26" t="n"/>
      <c r="E79" s="26" t="n"/>
      <c r="F79" s="27" t="n"/>
      <c r="G79" s="26" t="n"/>
      <c r="H79" s="26" t="n"/>
      <c r="I79" s="26" t="n"/>
      <c r="J79" s="28">
        <f>IF($A79="","",SUMIF(tblAkis[KaynakKartId],$A79,tblAkis[Tutar]))</f>
        <v/>
      </c>
      <c r="K79" s="28">
        <f>IF($A79="","",IFERROR(AVERAGEIF(tblAkis[KaynakKartId],$A79,tblAkis[YasGun]),0))</f>
        <v/>
      </c>
    </row>
    <row r="80">
      <c r="A80" s="26" t="n"/>
      <c r="B80" s="26" t="n"/>
      <c r="C80" s="26" t="n"/>
      <c r="D80" s="26" t="n"/>
      <c r="E80" s="26" t="n"/>
      <c r="F80" s="27" t="n"/>
      <c r="G80" s="26" t="n"/>
      <c r="H80" s="26" t="n"/>
      <c r="I80" s="26" t="n"/>
      <c r="J80" s="28">
        <f>IF($A80="","",SUMIF(tblAkis[KaynakKartId],$A80,tblAkis[Tutar]))</f>
        <v/>
      </c>
      <c r="K80" s="28">
        <f>IF($A80="","",IFERROR(AVERAGEIF(tblAkis[KaynakKartId],$A80,tblAkis[YasGun]),0))</f>
        <v/>
      </c>
    </row>
    <row r="81">
      <c r="A81" s="26" t="n"/>
      <c r="B81" s="26" t="n"/>
      <c r="C81" s="26" t="n"/>
      <c r="D81" s="26" t="n"/>
      <c r="E81" s="26" t="n"/>
      <c r="F81" s="27" t="n"/>
      <c r="G81" s="26" t="n"/>
      <c r="H81" s="26" t="n"/>
      <c r="I81" s="26" t="n"/>
      <c r="J81" s="28">
        <f>IF($A81="","",SUMIF(tblAkis[KaynakKartId],$A81,tblAkis[Tutar]))</f>
        <v/>
      </c>
      <c r="K81" s="28">
        <f>IF($A81="","",IFERROR(AVERAGEIF(tblAkis[KaynakKartId],$A81,tblAkis[YasGun]),0))</f>
        <v/>
      </c>
    </row>
    <row r="82">
      <c r="A82" s="26" t="n"/>
      <c r="B82" s="26" t="n"/>
      <c r="C82" s="26" t="n"/>
      <c r="D82" s="26" t="n"/>
      <c r="E82" s="26" t="n"/>
      <c r="F82" s="27" t="n"/>
      <c r="G82" s="26" t="n"/>
      <c r="H82" s="26" t="n"/>
      <c r="I82" s="26" t="n"/>
      <c r="J82" s="28">
        <f>IF($A82="","",SUMIF(tblAkis[KaynakKartId],$A82,tblAkis[Tutar]))</f>
        <v/>
      </c>
      <c r="K82" s="28">
        <f>IF($A82="","",IFERROR(AVERAGEIF(tblAkis[KaynakKartId],$A82,tblAkis[YasGun]),0))</f>
        <v/>
      </c>
    </row>
    <row r="83">
      <c r="A83" s="26" t="n"/>
      <c r="B83" s="26" t="n"/>
      <c r="C83" s="26" t="n"/>
      <c r="D83" s="26" t="n"/>
      <c r="E83" s="26" t="n"/>
      <c r="F83" s="27" t="n"/>
      <c r="G83" s="26" t="n"/>
      <c r="H83" s="26" t="n"/>
      <c r="I83" s="26" t="n"/>
      <c r="J83" s="28">
        <f>IF($A83="","",SUMIF(tblAkis[KaynakKartId],$A83,tblAkis[Tutar]))</f>
        <v/>
      </c>
      <c r="K83" s="28">
        <f>IF($A83="","",IFERROR(AVERAGEIF(tblAkis[KaynakKartId],$A83,tblAkis[YasGun]),0))</f>
        <v/>
      </c>
    </row>
    <row r="84">
      <c r="A84" s="26" t="n"/>
      <c r="B84" s="26" t="n"/>
      <c r="C84" s="26" t="n"/>
      <c r="D84" s="26" t="n"/>
      <c r="E84" s="26" t="n"/>
      <c r="F84" s="27" t="n"/>
      <c r="G84" s="26" t="n"/>
      <c r="H84" s="26" t="n"/>
      <c r="I84" s="26" t="n"/>
      <c r="J84" s="28">
        <f>IF($A84="","",SUMIF(tblAkis[KaynakKartId],$A84,tblAkis[Tutar]))</f>
        <v/>
      </c>
      <c r="K84" s="28">
        <f>IF($A84="","",IFERROR(AVERAGEIF(tblAkis[KaynakKartId],$A84,tblAkis[YasGun]),0))</f>
        <v/>
      </c>
    </row>
    <row r="85">
      <c r="A85" s="26" t="n"/>
      <c r="B85" s="26" t="n"/>
      <c r="C85" s="26" t="n"/>
      <c r="D85" s="26" t="n"/>
      <c r="E85" s="26" t="n"/>
      <c r="F85" s="27" t="n"/>
      <c r="G85" s="26" t="n"/>
      <c r="H85" s="26" t="n"/>
      <c r="I85" s="26" t="n"/>
      <c r="J85" s="28">
        <f>IF($A85="","",SUMIF(tblAkis[KaynakKartId],$A85,tblAkis[Tutar]))</f>
        <v/>
      </c>
      <c r="K85" s="28">
        <f>IF($A85="","",IFERROR(AVERAGEIF(tblAkis[KaynakKartId],$A85,tblAkis[YasGun]),0))</f>
        <v/>
      </c>
    </row>
    <row r="86">
      <c r="A86" s="26" t="n"/>
      <c r="B86" s="26" t="n"/>
      <c r="C86" s="26" t="n"/>
      <c r="D86" s="26" t="n"/>
      <c r="E86" s="26" t="n"/>
      <c r="F86" s="27" t="n"/>
      <c r="G86" s="26" t="n"/>
      <c r="H86" s="26" t="n"/>
      <c r="I86" s="26" t="n"/>
      <c r="J86" s="28">
        <f>IF($A86="","",SUMIF(tblAkis[KaynakKartId],$A86,tblAkis[Tutar]))</f>
        <v/>
      </c>
      <c r="K86" s="28">
        <f>IF($A86="","",IFERROR(AVERAGEIF(tblAkis[KaynakKartId],$A86,tblAkis[YasGun]),0))</f>
        <v/>
      </c>
    </row>
    <row r="87">
      <c r="A87" s="26" t="n"/>
      <c r="B87" s="26" t="n"/>
      <c r="C87" s="26" t="n"/>
      <c r="D87" s="26" t="n"/>
      <c r="E87" s="26" t="n"/>
      <c r="F87" s="27" t="n"/>
      <c r="G87" s="26" t="n"/>
      <c r="H87" s="26" t="n"/>
      <c r="I87" s="26" t="n"/>
      <c r="J87" s="28">
        <f>IF($A87="","",SUMIF(tblAkis[KaynakKartId],$A87,tblAkis[Tutar]))</f>
        <v/>
      </c>
      <c r="K87" s="28">
        <f>IF($A87="","",IFERROR(AVERAGEIF(tblAkis[KaynakKartId],$A87,tblAkis[YasGun]),0))</f>
        <v/>
      </c>
    </row>
    <row r="88">
      <c r="A88" s="26" t="n"/>
      <c r="B88" s="26" t="n"/>
      <c r="C88" s="26" t="n"/>
      <c r="D88" s="26" t="n"/>
      <c r="E88" s="26" t="n"/>
      <c r="F88" s="27" t="n"/>
      <c r="G88" s="26" t="n"/>
      <c r="H88" s="26" t="n"/>
      <c r="I88" s="26" t="n"/>
      <c r="J88" s="28">
        <f>IF($A88="","",SUMIF(tblAkis[KaynakKartId],$A88,tblAkis[Tutar]))</f>
        <v/>
      </c>
      <c r="K88" s="28">
        <f>IF($A88="","",IFERROR(AVERAGEIF(tblAkis[KaynakKartId],$A88,tblAkis[YasGun]),0))</f>
        <v/>
      </c>
    </row>
    <row r="89">
      <c r="A89" s="26" t="n"/>
      <c r="B89" s="26" t="n"/>
      <c r="C89" s="26" t="n"/>
      <c r="D89" s="26" t="n"/>
      <c r="E89" s="26" t="n"/>
      <c r="F89" s="27" t="n"/>
      <c r="G89" s="26" t="n"/>
      <c r="H89" s="26" t="n"/>
      <c r="I89" s="26" t="n"/>
      <c r="J89" s="28">
        <f>IF($A89="","",SUMIF(tblAkis[KaynakKartId],$A89,tblAkis[Tutar]))</f>
        <v/>
      </c>
      <c r="K89" s="28">
        <f>IF($A89="","",IFERROR(AVERAGEIF(tblAkis[KaynakKartId],$A89,tblAkis[YasGun]),0))</f>
        <v/>
      </c>
    </row>
    <row r="90">
      <c r="A90" s="26" t="n"/>
      <c r="B90" s="26" t="n"/>
      <c r="C90" s="26" t="n"/>
      <c r="D90" s="26" t="n"/>
      <c r="E90" s="26" t="n"/>
      <c r="F90" s="27" t="n"/>
      <c r="G90" s="26" t="n"/>
      <c r="H90" s="26" t="n"/>
      <c r="I90" s="26" t="n"/>
      <c r="J90" s="28">
        <f>IF($A90="","",SUMIF(tblAkis[KaynakKartId],$A90,tblAkis[Tutar]))</f>
        <v/>
      </c>
      <c r="K90" s="28">
        <f>IF($A90="","",IFERROR(AVERAGEIF(tblAkis[KaynakKartId],$A90,tblAkis[YasGun]),0))</f>
        <v/>
      </c>
    </row>
    <row r="91">
      <c r="A91" s="26" t="n"/>
      <c r="B91" s="26" t="n"/>
      <c r="C91" s="26" t="n"/>
      <c r="D91" s="26" t="n"/>
      <c r="E91" s="26" t="n"/>
      <c r="F91" s="27" t="n"/>
      <c r="G91" s="26" t="n"/>
      <c r="H91" s="26" t="n"/>
      <c r="I91" s="26" t="n"/>
      <c r="J91" s="28">
        <f>IF($A91="","",SUMIF(tblAkis[KaynakKartId],$A91,tblAkis[Tutar]))</f>
        <v/>
      </c>
      <c r="K91" s="28">
        <f>IF($A91="","",IFERROR(AVERAGEIF(tblAkis[KaynakKartId],$A91,tblAkis[YasGun]),0))</f>
        <v/>
      </c>
    </row>
    <row r="92">
      <c r="A92" s="26" t="n"/>
      <c r="B92" s="26" t="n"/>
      <c r="C92" s="26" t="n"/>
      <c r="D92" s="26" t="n"/>
      <c r="E92" s="26" t="n"/>
      <c r="F92" s="27" t="n"/>
      <c r="G92" s="26" t="n"/>
      <c r="H92" s="26" t="n"/>
      <c r="I92" s="26" t="n"/>
      <c r="J92" s="28">
        <f>IF($A92="","",SUMIF(tblAkis[KaynakKartId],$A92,tblAkis[Tutar]))</f>
        <v/>
      </c>
      <c r="K92" s="28">
        <f>IF($A92="","",IFERROR(AVERAGEIF(tblAkis[KaynakKartId],$A92,tblAkis[YasGun]),0))</f>
        <v/>
      </c>
    </row>
    <row r="93">
      <c r="A93" s="26" t="n"/>
      <c r="B93" s="26" t="n"/>
      <c r="C93" s="26" t="n"/>
      <c r="D93" s="26" t="n"/>
      <c r="E93" s="26" t="n"/>
      <c r="F93" s="27" t="n"/>
      <c r="G93" s="26" t="n"/>
      <c r="H93" s="26" t="n"/>
      <c r="I93" s="26" t="n"/>
      <c r="J93" s="28">
        <f>IF($A93="","",SUMIF(tblAkis[KaynakKartId],$A93,tblAkis[Tutar]))</f>
        <v/>
      </c>
      <c r="K93" s="28">
        <f>IF($A93="","",IFERROR(AVERAGEIF(tblAkis[KaynakKartId],$A93,tblAkis[YasGun]),0))</f>
        <v/>
      </c>
    </row>
    <row r="94">
      <c r="A94" s="26" t="n"/>
      <c r="B94" s="26" t="n"/>
      <c r="C94" s="26" t="n"/>
      <c r="D94" s="26" t="n"/>
      <c r="E94" s="26" t="n"/>
      <c r="F94" s="27" t="n"/>
      <c r="G94" s="26" t="n"/>
      <c r="H94" s="26" t="n"/>
      <c r="I94" s="26" t="n"/>
      <c r="J94" s="28">
        <f>IF($A94="","",SUMIF(tblAkis[KaynakKartId],$A94,tblAkis[Tutar]))</f>
        <v/>
      </c>
      <c r="K94" s="28">
        <f>IF($A94="","",IFERROR(AVERAGEIF(tblAkis[KaynakKartId],$A94,tblAkis[YasGun]),0))</f>
        <v/>
      </c>
    </row>
    <row r="95">
      <c r="A95" s="26" t="n"/>
      <c r="B95" s="26" t="n"/>
      <c r="C95" s="26" t="n"/>
      <c r="D95" s="26" t="n"/>
      <c r="E95" s="26" t="n"/>
      <c r="F95" s="27" t="n"/>
      <c r="G95" s="26" t="n"/>
      <c r="H95" s="26" t="n"/>
      <c r="I95" s="26" t="n"/>
      <c r="J95" s="28">
        <f>IF($A95="","",SUMIF(tblAkis[KaynakKartId],$A95,tblAkis[Tutar]))</f>
        <v/>
      </c>
      <c r="K95" s="28">
        <f>IF($A95="","",IFERROR(AVERAGEIF(tblAkis[KaynakKartId],$A95,tblAkis[YasGun]),0))</f>
        <v/>
      </c>
    </row>
    <row r="96">
      <c r="A96" s="26" t="n"/>
      <c r="B96" s="26" t="n"/>
      <c r="C96" s="26" t="n"/>
      <c r="D96" s="26" t="n"/>
      <c r="E96" s="26" t="n"/>
      <c r="F96" s="27" t="n"/>
      <c r="G96" s="26" t="n"/>
      <c r="H96" s="26" t="n"/>
      <c r="I96" s="26" t="n"/>
      <c r="J96" s="28">
        <f>IF($A96="","",SUMIF(tblAkis[KaynakKartId],$A96,tblAkis[Tutar]))</f>
        <v/>
      </c>
      <c r="K96" s="28">
        <f>IF($A96="","",IFERROR(AVERAGEIF(tblAkis[KaynakKartId],$A96,tblAkis[YasGun]),0))</f>
        <v/>
      </c>
    </row>
    <row r="97">
      <c r="A97" s="26" t="n"/>
      <c r="B97" s="26" t="n"/>
      <c r="C97" s="26" t="n"/>
      <c r="D97" s="26" t="n"/>
      <c r="E97" s="26" t="n"/>
      <c r="F97" s="27" t="n"/>
      <c r="G97" s="26" t="n"/>
      <c r="H97" s="26" t="n"/>
      <c r="I97" s="26" t="n"/>
      <c r="J97" s="28">
        <f>IF($A97="","",SUMIF(tblAkis[KaynakKartId],$A97,tblAkis[Tutar]))</f>
        <v/>
      </c>
      <c r="K97" s="28">
        <f>IF($A97="","",IFERROR(AVERAGEIF(tblAkis[KaynakKartId],$A97,tblAkis[YasGun]),0))</f>
        <v/>
      </c>
    </row>
    <row r="98">
      <c r="A98" s="26" t="n"/>
      <c r="B98" s="26" t="n"/>
      <c r="C98" s="26" t="n"/>
      <c r="D98" s="26" t="n"/>
      <c r="E98" s="26" t="n"/>
      <c r="F98" s="27" t="n"/>
      <c r="G98" s="26" t="n"/>
      <c r="H98" s="26" t="n"/>
      <c r="I98" s="26" t="n"/>
      <c r="J98" s="28">
        <f>IF($A98="","",SUMIF(tblAkis[KaynakKartId],$A98,tblAkis[Tutar]))</f>
        <v/>
      </c>
      <c r="K98" s="28">
        <f>IF($A98="","",IFERROR(AVERAGEIF(tblAkis[KaynakKartId],$A98,tblAkis[YasGun]),0))</f>
        <v/>
      </c>
    </row>
    <row r="99">
      <c r="A99" s="26" t="n"/>
      <c r="B99" s="26" t="n"/>
      <c r="C99" s="26" t="n"/>
      <c r="D99" s="26" t="n"/>
      <c r="E99" s="26" t="n"/>
      <c r="F99" s="27" t="n"/>
      <c r="G99" s="26" t="n"/>
      <c r="H99" s="26" t="n"/>
      <c r="I99" s="26" t="n"/>
      <c r="J99" s="28">
        <f>IF($A99="","",SUMIF(tblAkis[KaynakKartId],$A99,tblAkis[Tutar]))</f>
        <v/>
      </c>
      <c r="K99" s="28">
        <f>IF($A99="","",IFERROR(AVERAGEIF(tblAkis[KaynakKartId],$A99,tblAkis[YasGun]),0))</f>
        <v/>
      </c>
    </row>
    <row r="100">
      <c r="A100" s="26" t="n"/>
      <c r="B100" s="26" t="n"/>
      <c r="C100" s="26" t="n"/>
      <c r="D100" s="26" t="n"/>
      <c r="E100" s="26" t="n"/>
      <c r="F100" s="27" t="n"/>
      <c r="G100" s="26" t="n"/>
      <c r="H100" s="26" t="n"/>
      <c r="I100" s="26" t="n"/>
      <c r="J100" s="28">
        <f>IF($A100="","",SUMIF(tblAkis[KaynakKartId],$A100,tblAkis[Tutar]))</f>
        <v/>
      </c>
      <c r="K100" s="28">
        <f>IF($A100="","",IFERROR(AVERAGEIF(tblAkis[KaynakKartId],$A100,tblAkis[YasGun]),0))</f>
        <v/>
      </c>
    </row>
    <row r="101">
      <c r="A101" s="26" t="n"/>
      <c r="B101" s="26" t="n"/>
      <c r="C101" s="26" t="n"/>
      <c r="D101" s="26" t="n"/>
      <c r="E101" s="26" t="n"/>
      <c r="F101" s="27" t="n"/>
      <c r="G101" s="26" t="n"/>
      <c r="H101" s="26" t="n"/>
      <c r="I101" s="26" t="n"/>
      <c r="J101" s="28">
        <f>IF($A101="","",SUMIF(tblAkis[KaynakKartId],$A101,tblAkis[Tutar]))</f>
        <v/>
      </c>
      <c r="K101" s="28">
        <f>IF($A101="","",IFERROR(AVERAGEIF(tblAkis[KaynakKartId],$A101,tblAkis[YasGun]),0))</f>
        <v/>
      </c>
    </row>
    <row r="102">
      <c r="A102" s="26" t="n"/>
      <c r="B102" s="26" t="n"/>
      <c r="C102" s="26" t="n"/>
      <c r="D102" s="26" t="n"/>
      <c r="E102" s="26" t="n"/>
      <c r="F102" s="27" t="n"/>
      <c r="G102" s="26" t="n"/>
      <c r="H102" s="26" t="n"/>
      <c r="I102" s="26" t="n"/>
      <c r="J102" s="28">
        <f>IF($A102="","",SUMIF(tblAkis[KaynakKartId],$A102,tblAkis[Tutar]))</f>
        <v/>
      </c>
      <c r="K102" s="28">
        <f>IF($A102="","",IFERROR(AVERAGEIF(tblAkis[KaynakKartId],$A102,tblAkis[YasGun]),0))</f>
        <v/>
      </c>
    </row>
    <row r="103">
      <c r="A103" s="26" t="n"/>
      <c r="B103" s="26" t="n"/>
      <c r="C103" s="26" t="n"/>
      <c r="D103" s="26" t="n"/>
      <c r="E103" s="26" t="n"/>
      <c r="F103" s="27" t="n"/>
      <c r="G103" s="26" t="n"/>
      <c r="H103" s="26" t="n"/>
      <c r="I103" s="26" t="n"/>
      <c r="J103" s="28">
        <f>IF($A103="","",SUMIF(tblAkis[KaynakKartId],$A103,tblAkis[Tutar]))</f>
        <v/>
      </c>
      <c r="K103" s="28">
        <f>IF($A103="","",IFERROR(AVERAGEIF(tblAkis[KaynakKartId],$A103,tblAkis[YasGun]),0))</f>
        <v/>
      </c>
    </row>
    <row r="104">
      <c r="A104" s="26" t="n"/>
      <c r="B104" s="26" t="n"/>
      <c r="C104" s="26" t="n"/>
      <c r="D104" s="26" t="n"/>
      <c r="E104" s="26" t="n"/>
      <c r="F104" s="27" t="n"/>
      <c r="G104" s="26" t="n"/>
      <c r="H104" s="26" t="n"/>
      <c r="I104" s="26" t="n"/>
      <c r="J104" s="28">
        <f>IF($A104="","",SUMIF(tblAkis[KaynakKartId],$A104,tblAkis[Tutar]))</f>
        <v/>
      </c>
      <c r="K104" s="28">
        <f>IF($A104="","",IFERROR(AVERAGEIF(tblAkis[KaynakKartId],$A104,tblAkis[YasGun]),0))</f>
        <v/>
      </c>
    </row>
    <row r="105">
      <c r="A105" s="26" t="n"/>
      <c r="B105" s="26" t="n"/>
      <c r="C105" s="26" t="n"/>
      <c r="D105" s="26" t="n"/>
      <c r="E105" s="26" t="n"/>
      <c r="F105" s="27" t="n"/>
      <c r="G105" s="26" t="n"/>
      <c r="H105" s="26" t="n"/>
      <c r="I105" s="26" t="n"/>
      <c r="J105" s="28">
        <f>IF($A105="","",SUMIF(tblAkis[KaynakKartId],$A105,tblAkis[Tutar]))</f>
        <v/>
      </c>
      <c r="K105" s="28">
        <f>IF($A105="","",IFERROR(AVERAGEIF(tblAkis[KaynakKartId],$A105,tblAkis[YasGun]),0))</f>
        <v/>
      </c>
    </row>
    <row r="106">
      <c r="A106" s="26" t="n"/>
      <c r="B106" s="26" t="n"/>
      <c r="C106" s="26" t="n"/>
      <c r="D106" s="26" t="n"/>
      <c r="E106" s="26" t="n"/>
      <c r="F106" s="27" t="n"/>
      <c r="G106" s="26" t="n"/>
      <c r="H106" s="26" t="n"/>
      <c r="I106" s="26" t="n"/>
      <c r="J106" s="28">
        <f>IF($A106="","",SUMIF(tblAkis[KaynakKartId],$A106,tblAkis[Tutar]))</f>
        <v/>
      </c>
      <c r="K106" s="28">
        <f>IF($A106="","",IFERROR(AVERAGEIF(tblAkis[KaynakKartId],$A106,tblAkis[YasGun]),0))</f>
        <v/>
      </c>
    </row>
    <row r="107">
      <c r="A107" s="26" t="n"/>
      <c r="B107" s="26" t="n"/>
      <c r="C107" s="26" t="n"/>
      <c r="D107" s="26" t="n"/>
      <c r="E107" s="26" t="n"/>
      <c r="F107" s="27" t="n"/>
      <c r="G107" s="26" t="n"/>
      <c r="H107" s="26" t="n"/>
      <c r="I107" s="26" t="n"/>
      <c r="J107" s="28">
        <f>IF($A107="","",SUMIF(tblAkis[KaynakKartId],$A107,tblAkis[Tutar]))</f>
        <v/>
      </c>
      <c r="K107" s="28">
        <f>IF($A107="","",IFERROR(AVERAGEIF(tblAkis[KaynakKartId],$A107,tblAkis[YasGun]),0))</f>
        <v/>
      </c>
    </row>
    <row r="108">
      <c r="A108" s="26" t="n"/>
      <c r="B108" s="26" t="n"/>
      <c r="C108" s="26" t="n"/>
      <c r="D108" s="26" t="n"/>
      <c r="E108" s="26" t="n"/>
      <c r="F108" s="27" t="n"/>
      <c r="G108" s="26" t="n"/>
      <c r="H108" s="26" t="n"/>
      <c r="I108" s="26" t="n"/>
      <c r="J108" s="28">
        <f>IF($A108="","",SUMIF(tblAkis[KaynakKartId],$A108,tblAkis[Tutar]))</f>
        <v/>
      </c>
      <c r="K108" s="28">
        <f>IF($A108="","",IFERROR(AVERAGEIF(tblAkis[KaynakKartId],$A108,tblAkis[YasGun]),0))</f>
        <v/>
      </c>
    </row>
    <row r="109">
      <c r="A109" s="26" t="n"/>
      <c r="B109" s="26" t="n"/>
      <c r="C109" s="26" t="n"/>
      <c r="D109" s="26" t="n"/>
      <c r="E109" s="26" t="n"/>
      <c r="F109" s="27" t="n"/>
      <c r="G109" s="26" t="n"/>
      <c r="H109" s="26" t="n"/>
      <c r="I109" s="26" t="n"/>
      <c r="J109" s="28">
        <f>IF($A109="","",SUMIF(tblAkis[KaynakKartId],$A109,tblAkis[Tutar]))</f>
        <v/>
      </c>
      <c r="K109" s="28">
        <f>IF($A109="","",IFERROR(AVERAGEIF(tblAkis[KaynakKartId],$A109,tblAkis[YasGun]),0))</f>
        <v/>
      </c>
    </row>
    <row r="110">
      <c r="A110" s="26" t="n"/>
      <c r="B110" s="26" t="n"/>
      <c r="C110" s="26" t="n"/>
      <c r="D110" s="26" t="n"/>
      <c r="E110" s="26" t="n"/>
      <c r="F110" s="27" t="n"/>
      <c r="G110" s="26" t="n"/>
      <c r="H110" s="26" t="n"/>
      <c r="I110" s="26" t="n"/>
      <c r="J110" s="28">
        <f>IF($A110="","",SUMIF(tblAkis[KaynakKartId],$A110,tblAkis[Tutar]))</f>
        <v/>
      </c>
      <c r="K110" s="28">
        <f>IF($A110="","",IFERROR(AVERAGEIF(tblAkis[KaynakKartId],$A110,tblAkis[YasGun]),0))</f>
        <v/>
      </c>
    </row>
    <row r="111">
      <c r="A111" s="26" t="n"/>
      <c r="B111" s="26" t="n"/>
      <c r="C111" s="26" t="n"/>
      <c r="D111" s="26" t="n"/>
      <c r="E111" s="26" t="n"/>
      <c r="F111" s="27" t="n"/>
      <c r="G111" s="26" t="n"/>
      <c r="H111" s="26" t="n"/>
      <c r="I111" s="26" t="n"/>
      <c r="J111" s="28">
        <f>IF($A111="","",SUMIF(tblAkis[KaynakKartId],$A111,tblAkis[Tutar]))</f>
        <v/>
      </c>
      <c r="K111" s="28">
        <f>IF($A111="","",IFERROR(AVERAGEIF(tblAkis[KaynakKartId],$A111,tblAkis[YasGun]),0))</f>
        <v/>
      </c>
    </row>
    <row r="112">
      <c r="A112" s="26" t="n"/>
      <c r="B112" s="26" t="n"/>
      <c r="C112" s="26" t="n"/>
      <c r="D112" s="26" t="n"/>
      <c r="E112" s="26" t="n"/>
      <c r="F112" s="27" t="n"/>
      <c r="G112" s="26" t="n"/>
      <c r="H112" s="26" t="n"/>
      <c r="I112" s="26" t="n"/>
      <c r="J112" s="28">
        <f>IF($A112="","",SUMIF(tblAkis[KaynakKartId],$A112,tblAkis[Tutar]))</f>
        <v/>
      </c>
      <c r="K112" s="28">
        <f>IF($A112="","",IFERROR(AVERAGEIF(tblAkis[KaynakKartId],$A112,tblAkis[YasGun]),0))</f>
        <v/>
      </c>
    </row>
    <row r="113">
      <c r="A113" s="26" t="n"/>
      <c r="B113" s="26" t="n"/>
      <c r="C113" s="26" t="n"/>
      <c r="D113" s="26" t="n"/>
      <c r="E113" s="26" t="n"/>
      <c r="F113" s="27" t="n"/>
      <c r="G113" s="26" t="n"/>
      <c r="H113" s="26" t="n"/>
      <c r="I113" s="26" t="n"/>
      <c r="J113" s="28">
        <f>IF($A113="","",SUMIF(tblAkis[KaynakKartId],$A113,tblAkis[Tutar]))</f>
        <v/>
      </c>
      <c r="K113" s="28">
        <f>IF($A113="","",IFERROR(AVERAGEIF(tblAkis[KaynakKartId],$A113,tblAkis[YasGun]),0))</f>
        <v/>
      </c>
    </row>
    <row r="114">
      <c r="A114" s="26" t="n"/>
      <c r="B114" s="26" t="n"/>
      <c r="C114" s="26" t="n"/>
      <c r="D114" s="26" t="n"/>
      <c r="E114" s="26" t="n"/>
      <c r="F114" s="27" t="n"/>
      <c r="G114" s="26" t="n"/>
      <c r="H114" s="26" t="n"/>
      <c r="I114" s="26" t="n"/>
      <c r="J114" s="28">
        <f>IF($A114="","",SUMIF(tblAkis[KaynakKartId],$A114,tblAkis[Tutar]))</f>
        <v/>
      </c>
      <c r="K114" s="28">
        <f>IF($A114="","",IFERROR(AVERAGEIF(tblAkis[KaynakKartId],$A114,tblAkis[YasGun]),0))</f>
        <v/>
      </c>
    </row>
    <row r="115">
      <c r="A115" s="26" t="n"/>
      <c r="B115" s="26" t="n"/>
      <c r="C115" s="26" t="n"/>
      <c r="D115" s="26" t="n"/>
      <c r="E115" s="26" t="n"/>
      <c r="F115" s="27" t="n"/>
      <c r="G115" s="26" t="n"/>
      <c r="H115" s="26" t="n"/>
      <c r="I115" s="26" t="n"/>
      <c r="J115" s="28">
        <f>IF($A115="","",SUMIF(tblAkis[KaynakKartId],$A115,tblAkis[Tutar]))</f>
        <v/>
      </c>
      <c r="K115" s="28">
        <f>IF($A115="","",IFERROR(AVERAGEIF(tblAkis[KaynakKartId],$A115,tblAkis[YasGun]),0))</f>
        <v/>
      </c>
    </row>
    <row r="116">
      <c r="A116" s="26" t="n"/>
      <c r="B116" s="26" t="n"/>
      <c r="C116" s="26" t="n"/>
      <c r="D116" s="26" t="n"/>
      <c r="E116" s="26" t="n"/>
      <c r="F116" s="27" t="n"/>
      <c r="G116" s="26" t="n"/>
      <c r="H116" s="26" t="n"/>
      <c r="I116" s="26" t="n"/>
      <c r="J116" s="28">
        <f>IF($A116="","",SUMIF(tblAkis[KaynakKartId],$A116,tblAkis[Tutar]))</f>
        <v/>
      </c>
      <c r="K116" s="28">
        <f>IF($A116="","",IFERROR(AVERAGEIF(tblAkis[KaynakKartId],$A116,tblAkis[YasGun]),0))</f>
        <v/>
      </c>
    </row>
    <row r="117">
      <c r="A117" s="26" t="n"/>
      <c r="B117" s="26" t="n"/>
      <c r="C117" s="26" t="n"/>
      <c r="D117" s="26" t="n"/>
      <c r="E117" s="26" t="n"/>
      <c r="F117" s="27" t="n"/>
      <c r="G117" s="26" t="n"/>
      <c r="H117" s="26" t="n"/>
      <c r="I117" s="26" t="n"/>
      <c r="J117" s="28">
        <f>IF($A117="","",SUMIF(tblAkis[KaynakKartId],$A117,tblAkis[Tutar]))</f>
        <v/>
      </c>
      <c r="K117" s="28">
        <f>IF($A117="","",IFERROR(AVERAGEIF(tblAkis[KaynakKartId],$A117,tblAkis[YasGun]),0))</f>
        <v/>
      </c>
    </row>
    <row r="118">
      <c r="A118" s="26" t="n"/>
      <c r="B118" s="26" t="n"/>
      <c r="C118" s="26" t="n"/>
      <c r="D118" s="26" t="n"/>
      <c r="E118" s="26" t="n"/>
      <c r="F118" s="27" t="n"/>
      <c r="G118" s="26" t="n"/>
      <c r="H118" s="26" t="n"/>
      <c r="I118" s="26" t="n"/>
      <c r="J118" s="28">
        <f>IF($A118="","",SUMIF(tblAkis[KaynakKartId],$A118,tblAkis[Tutar]))</f>
        <v/>
      </c>
      <c r="K118" s="28">
        <f>IF($A118="","",IFERROR(AVERAGEIF(tblAkis[KaynakKartId],$A118,tblAkis[YasGun]),0))</f>
        <v/>
      </c>
    </row>
    <row r="119">
      <c r="A119" s="26" t="n"/>
      <c r="B119" s="26" t="n"/>
      <c r="C119" s="26" t="n"/>
      <c r="D119" s="26" t="n"/>
      <c r="E119" s="26" t="n"/>
      <c r="F119" s="27" t="n"/>
      <c r="G119" s="26" t="n"/>
      <c r="H119" s="26" t="n"/>
      <c r="I119" s="26" t="n"/>
      <c r="J119" s="28">
        <f>IF($A119="","",SUMIF(tblAkis[KaynakKartId],$A119,tblAkis[Tutar]))</f>
        <v/>
      </c>
      <c r="K119" s="28">
        <f>IF($A119="","",IFERROR(AVERAGEIF(tblAkis[KaynakKartId],$A119,tblAkis[YasGun]),0))</f>
        <v/>
      </c>
    </row>
    <row r="120">
      <c r="A120" s="26" t="n"/>
      <c r="B120" s="26" t="n"/>
      <c r="C120" s="26" t="n"/>
      <c r="D120" s="26" t="n"/>
      <c r="E120" s="26" t="n"/>
      <c r="F120" s="27" t="n"/>
      <c r="G120" s="26" t="n"/>
      <c r="H120" s="26" t="n"/>
      <c r="I120" s="26" t="n"/>
      <c r="J120" s="28">
        <f>IF($A120="","",SUMIF(tblAkis[KaynakKartId],$A120,tblAkis[Tutar]))</f>
        <v/>
      </c>
      <c r="K120" s="28">
        <f>IF($A120="","",IFERROR(AVERAGEIF(tblAkis[KaynakKartId],$A120,tblAkis[YasGun]),0))</f>
        <v/>
      </c>
    </row>
    <row r="121">
      <c r="A121" s="26" t="n"/>
      <c r="B121" s="26" t="n"/>
      <c r="C121" s="26" t="n"/>
      <c r="D121" s="26" t="n"/>
      <c r="E121" s="26" t="n"/>
      <c r="F121" s="27" t="n"/>
      <c r="G121" s="26" t="n"/>
      <c r="H121" s="26" t="n"/>
      <c r="I121" s="26" t="n"/>
      <c r="J121" s="28">
        <f>IF($A121="","",SUMIF(tblAkis[KaynakKartId],$A121,tblAkis[Tutar]))</f>
        <v/>
      </c>
      <c r="K121" s="28">
        <f>IF($A121="","",IFERROR(AVERAGEIF(tblAkis[KaynakKartId],$A121,tblAkis[YasGun]),0))</f>
        <v/>
      </c>
    </row>
    <row r="122">
      <c r="A122" s="26" t="n"/>
      <c r="B122" s="26" t="n"/>
      <c r="C122" s="26" t="n"/>
      <c r="D122" s="26" t="n"/>
      <c r="E122" s="26" t="n"/>
      <c r="F122" s="27" t="n"/>
      <c r="G122" s="26" t="n"/>
      <c r="H122" s="26" t="n"/>
      <c r="I122" s="26" t="n"/>
      <c r="J122" s="28">
        <f>IF($A122="","",SUMIF(tblAkis[KaynakKartId],$A122,tblAkis[Tutar]))</f>
        <v/>
      </c>
      <c r="K122" s="28">
        <f>IF($A122="","",IFERROR(AVERAGEIF(tblAkis[KaynakKartId],$A122,tblAkis[YasGun]),0))</f>
        <v/>
      </c>
    </row>
    <row r="123">
      <c r="A123" s="26" t="n"/>
      <c r="B123" s="26" t="n"/>
      <c r="C123" s="26" t="n"/>
      <c r="D123" s="26" t="n"/>
      <c r="E123" s="26" t="n"/>
      <c r="F123" s="27" t="n"/>
      <c r="G123" s="26" t="n"/>
      <c r="H123" s="26" t="n"/>
      <c r="I123" s="26" t="n"/>
      <c r="J123" s="28">
        <f>IF($A123="","",SUMIF(tblAkis[KaynakKartId],$A123,tblAkis[Tutar]))</f>
        <v/>
      </c>
      <c r="K123" s="28">
        <f>IF($A123="","",IFERROR(AVERAGEIF(tblAkis[KaynakKartId],$A123,tblAkis[YasGun]),0))</f>
        <v/>
      </c>
    </row>
    <row r="124">
      <c r="A124" s="26" t="n"/>
      <c r="B124" s="26" t="n"/>
      <c r="C124" s="26" t="n"/>
      <c r="D124" s="26" t="n"/>
      <c r="E124" s="26" t="n"/>
      <c r="F124" s="27" t="n"/>
      <c r="G124" s="26" t="n"/>
      <c r="H124" s="26" t="n"/>
      <c r="I124" s="26" t="n"/>
      <c r="J124" s="28">
        <f>IF($A124="","",SUMIF(tblAkis[KaynakKartId],$A124,tblAkis[Tutar]))</f>
        <v/>
      </c>
      <c r="K124" s="28">
        <f>IF($A124="","",IFERROR(AVERAGEIF(tblAkis[KaynakKartId],$A124,tblAkis[YasGun]),0))</f>
        <v/>
      </c>
    </row>
    <row r="125">
      <c r="A125" s="26" t="n"/>
      <c r="B125" s="26" t="n"/>
      <c r="C125" s="26" t="n"/>
      <c r="D125" s="26" t="n"/>
      <c r="E125" s="26" t="n"/>
      <c r="F125" s="27" t="n"/>
      <c r="G125" s="26" t="n"/>
      <c r="H125" s="26" t="n"/>
      <c r="I125" s="26" t="n"/>
      <c r="J125" s="28">
        <f>IF($A125="","",SUMIF(tblAkis[KaynakKartId],$A125,tblAkis[Tutar]))</f>
        <v/>
      </c>
      <c r="K125" s="28">
        <f>IF($A125="","",IFERROR(AVERAGEIF(tblAkis[KaynakKartId],$A125,tblAkis[YasGun]),0))</f>
        <v/>
      </c>
    </row>
    <row r="126">
      <c r="A126" s="26" t="n"/>
      <c r="B126" s="26" t="n"/>
      <c r="C126" s="26" t="n"/>
      <c r="D126" s="26" t="n"/>
      <c r="E126" s="26" t="n"/>
      <c r="F126" s="27" t="n"/>
      <c r="G126" s="26" t="n"/>
      <c r="H126" s="26" t="n"/>
      <c r="I126" s="26" t="n"/>
      <c r="J126" s="28">
        <f>IF($A126="","",SUMIF(tblAkis[KaynakKartId],$A126,tblAkis[Tutar]))</f>
        <v/>
      </c>
      <c r="K126" s="28">
        <f>IF($A126="","",IFERROR(AVERAGEIF(tblAkis[KaynakKartId],$A126,tblAkis[YasGun]),0))</f>
        <v/>
      </c>
    </row>
    <row r="127">
      <c r="A127" s="26" t="n"/>
      <c r="B127" s="26" t="n"/>
      <c r="C127" s="26" t="n"/>
      <c r="D127" s="26" t="n"/>
      <c r="E127" s="26" t="n"/>
      <c r="F127" s="27" t="n"/>
      <c r="G127" s="26" t="n"/>
      <c r="H127" s="26" t="n"/>
      <c r="I127" s="26" t="n"/>
      <c r="J127" s="28">
        <f>IF($A127="","",SUMIF(tblAkis[KaynakKartId],$A127,tblAkis[Tutar]))</f>
        <v/>
      </c>
      <c r="K127" s="28">
        <f>IF($A127="","",IFERROR(AVERAGEIF(tblAkis[KaynakKartId],$A127,tblAkis[YasGun]),0))</f>
        <v/>
      </c>
    </row>
    <row r="128">
      <c r="A128" s="26" t="n"/>
      <c r="B128" s="26" t="n"/>
      <c r="C128" s="26" t="n"/>
      <c r="D128" s="26" t="n"/>
      <c r="E128" s="26" t="n"/>
      <c r="F128" s="27" t="n"/>
      <c r="G128" s="26" t="n"/>
      <c r="H128" s="26" t="n"/>
      <c r="I128" s="26" t="n"/>
      <c r="J128" s="28">
        <f>IF($A128="","",SUMIF(tblAkis[KaynakKartId],$A128,tblAkis[Tutar]))</f>
        <v/>
      </c>
      <c r="K128" s="28">
        <f>IF($A128="","",IFERROR(AVERAGEIF(tblAkis[KaynakKartId],$A128,tblAkis[YasGun]),0))</f>
        <v/>
      </c>
    </row>
    <row r="129">
      <c r="A129" s="26" t="n"/>
      <c r="B129" s="26" t="n"/>
      <c r="C129" s="26" t="n"/>
      <c r="D129" s="26" t="n"/>
      <c r="E129" s="26" t="n"/>
      <c r="F129" s="27" t="n"/>
      <c r="G129" s="26" t="n"/>
      <c r="H129" s="26" t="n"/>
      <c r="I129" s="26" t="n"/>
      <c r="J129" s="28">
        <f>IF($A129="","",SUMIF(tblAkis[KaynakKartId],$A129,tblAkis[Tutar]))</f>
        <v/>
      </c>
      <c r="K129" s="28">
        <f>IF($A129="","",IFERROR(AVERAGEIF(tblAkis[KaynakKartId],$A129,tblAkis[YasGun]),0))</f>
        <v/>
      </c>
    </row>
    <row r="130">
      <c r="A130" s="26" t="n"/>
      <c r="B130" s="26" t="n"/>
      <c r="C130" s="26" t="n"/>
      <c r="D130" s="26" t="n"/>
      <c r="E130" s="26" t="n"/>
      <c r="F130" s="27" t="n"/>
      <c r="G130" s="26" t="n"/>
      <c r="H130" s="26" t="n"/>
      <c r="I130" s="26" t="n"/>
      <c r="J130" s="28">
        <f>IF($A130="","",SUMIF(tblAkis[KaynakKartId],$A130,tblAkis[Tutar]))</f>
        <v/>
      </c>
      <c r="K130" s="28">
        <f>IF($A130="","",IFERROR(AVERAGEIF(tblAkis[KaynakKartId],$A130,tblAkis[YasGun]),0))</f>
        <v/>
      </c>
    </row>
    <row r="131">
      <c r="A131" s="26" t="n"/>
      <c r="B131" s="26" t="n"/>
      <c r="C131" s="26" t="n"/>
      <c r="D131" s="26" t="n"/>
      <c r="E131" s="26" t="n"/>
      <c r="F131" s="27" t="n"/>
      <c r="G131" s="26" t="n"/>
      <c r="H131" s="26" t="n"/>
      <c r="I131" s="26" t="n"/>
      <c r="J131" s="28">
        <f>IF($A131="","",SUMIF(tblAkis[KaynakKartId],$A131,tblAkis[Tutar]))</f>
        <v/>
      </c>
      <c r="K131" s="28">
        <f>IF($A131="","",IFERROR(AVERAGEIF(tblAkis[KaynakKartId],$A131,tblAkis[YasGun]),0))</f>
        <v/>
      </c>
    </row>
    <row r="132">
      <c r="A132" s="26" t="n"/>
      <c r="B132" s="26" t="n"/>
      <c r="C132" s="26" t="n"/>
      <c r="D132" s="26" t="n"/>
      <c r="E132" s="26" t="n"/>
      <c r="F132" s="27" t="n"/>
      <c r="G132" s="26" t="n"/>
      <c r="H132" s="26" t="n"/>
      <c r="I132" s="26" t="n"/>
      <c r="J132" s="28">
        <f>IF($A132="","",SUMIF(tblAkis[KaynakKartId],$A132,tblAkis[Tutar]))</f>
        <v/>
      </c>
      <c r="K132" s="28">
        <f>IF($A132="","",IFERROR(AVERAGEIF(tblAkis[KaynakKartId],$A132,tblAkis[YasGun]),0))</f>
        <v/>
      </c>
    </row>
    <row r="133">
      <c r="A133" s="26" t="n"/>
      <c r="B133" s="26" t="n"/>
      <c r="C133" s="26" t="n"/>
      <c r="D133" s="26" t="n"/>
      <c r="E133" s="26" t="n"/>
      <c r="F133" s="27" t="n"/>
      <c r="G133" s="26" t="n"/>
      <c r="H133" s="26" t="n"/>
      <c r="I133" s="26" t="n"/>
      <c r="J133" s="28">
        <f>IF($A133="","",SUMIF(tblAkis[KaynakKartId],$A133,tblAkis[Tutar]))</f>
        <v/>
      </c>
      <c r="K133" s="28">
        <f>IF($A133="","",IFERROR(AVERAGEIF(tblAkis[KaynakKartId],$A133,tblAkis[YasGun]),0))</f>
        <v/>
      </c>
    </row>
    <row r="134">
      <c r="A134" s="26" t="n"/>
      <c r="B134" s="26" t="n"/>
      <c r="C134" s="26" t="n"/>
      <c r="D134" s="26" t="n"/>
      <c r="E134" s="26" t="n"/>
      <c r="F134" s="27" t="n"/>
      <c r="G134" s="26" t="n"/>
      <c r="H134" s="26" t="n"/>
      <c r="I134" s="26" t="n"/>
      <c r="J134" s="28">
        <f>IF($A134="","",SUMIF(tblAkis[KaynakKartId],$A134,tblAkis[Tutar]))</f>
        <v/>
      </c>
      <c r="K134" s="28">
        <f>IF($A134="","",IFERROR(AVERAGEIF(tblAkis[KaynakKartId],$A134,tblAkis[YasGun]),0))</f>
        <v/>
      </c>
    </row>
    <row r="135">
      <c r="A135" s="26" t="n"/>
      <c r="B135" s="26" t="n"/>
      <c r="C135" s="26" t="n"/>
      <c r="D135" s="26" t="n"/>
      <c r="E135" s="26" t="n"/>
      <c r="F135" s="27" t="n"/>
      <c r="G135" s="26" t="n"/>
      <c r="H135" s="26" t="n"/>
      <c r="I135" s="26" t="n"/>
      <c r="J135" s="28">
        <f>IF($A135="","",SUMIF(tblAkis[KaynakKartId],$A135,tblAkis[Tutar]))</f>
        <v/>
      </c>
      <c r="K135" s="28">
        <f>IF($A135="","",IFERROR(AVERAGEIF(tblAkis[KaynakKartId],$A135,tblAkis[YasGun]),0))</f>
        <v/>
      </c>
    </row>
    <row r="136">
      <c r="A136" s="26" t="n"/>
      <c r="B136" s="26" t="n"/>
      <c r="C136" s="26" t="n"/>
      <c r="D136" s="26" t="n"/>
      <c r="E136" s="26" t="n"/>
      <c r="F136" s="27" t="n"/>
      <c r="G136" s="26" t="n"/>
      <c r="H136" s="26" t="n"/>
      <c r="I136" s="26" t="n"/>
      <c r="J136" s="28">
        <f>IF($A136="","",SUMIF(tblAkis[KaynakKartId],$A136,tblAkis[Tutar]))</f>
        <v/>
      </c>
      <c r="K136" s="28">
        <f>IF($A136="","",IFERROR(AVERAGEIF(tblAkis[KaynakKartId],$A136,tblAkis[YasGun]),0))</f>
        <v/>
      </c>
    </row>
    <row r="137">
      <c r="A137" s="26" t="n"/>
      <c r="B137" s="26" t="n"/>
      <c r="C137" s="26" t="n"/>
      <c r="D137" s="26" t="n"/>
      <c r="E137" s="26" t="n"/>
      <c r="F137" s="27" t="n"/>
      <c r="G137" s="26" t="n"/>
      <c r="H137" s="26" t="n"/>
      <c r="I137" s="26" t="n"/>
      <c r="J137" s="28">
        <f>IF($A137="","",SUMIF(tblAkis[KaynakKartId],$A137,tblAkis[Tutar]))</f>
        <v/>
      </c>
      <c r="K137" s="28">
        <f>IF($A137="","",IFERROR(AVERAGEIF(tblAkis[KaynakKartId],$A137,tblAkis[YasGun]),0))</f>
        <v/>
      </c>
    </row>
    <row r="138">
      <c r="A138" s="26" t="n"/>
      <c r="B138" s="26" t="n"/>
      <c r="C138" s="26" t="n"/>
      <c r="D138" s="26" t="n"/>
      <c r="E138" s="26" t="n"/>
      <c r="F138" s="27" t="n"/>
      <c r="G138" s="26" t="n"/>
      <c r="H138" s="26" t="n"/>
      <c r="I138" s="26" t="n"/>
      <c r="J138" s="28">
        <f>IF($A138="","",SUMIF(tblAkis[KaynakKartId],$A138,tblAkis[Tutar]))</f>
        <v/>
      </c>
      <c r="K138" s="28">
        <f>IF($A138="","",IFERROR(AVERAGEIF(tblAkis[KaynakKartId],$A138,tblAkis[YasGun]),0))</f>
        <v/>
      </c>
    </row>
    <row r="139">
      <c r="A139" s="26" t="n"/>
      <c r="B139" s="26" t="n"/>
      <c r="C139" s="26" t="n"/>
      <c r="D139" s="26" t="n"/>
      <c r="E139" s="26" t="n"/>
      <c r="F139" s="27" t="n"/>
      <c r="G139" s="26" t="n"/>
      <c r="H139" s="26" t="n"/>
      <c r="I139" s="26" t="n"/>
      <c r="J139" s="28">
        <f>IF($A139="","",SUMIF(tblAkis[KaynakKartId],$A139,tblAkis[Tutar]))</f>
        <v/>
      </c>
      <c r="K139" s="28">
        <f>IF($A139="","",IFERROR(AVERAGEIF(tblAkis[KaynakKartId],$A139,tblAkis[YasGun]),0))</f>
        <v/>
      </c>
    </row>
    <row r="140">
      <c r="A140" s="26" t="n"/>
      <c r="B140" s="26" t="n"/>
      <c r="C140" s="26" t="n"/>
      <c r="D140" s="26" t="n"/>
      <c r="E140" s="26" t="n"/>
      <c r="F140" s="27" t="n"/>
      <c r="G140" s="26" t="n"/>
      <c r="H140" s="26" t="n"/>
      <c r="I140" s="26" t="n"/>
      <c r="J140" s="28">
        <f>IF($A140="","",SUMIF(tblAkis[KaynakKartId],$A140,tblAkis[Tutar]))</f>
        <v/>
      </c>
      <c r="K140" s="28">
        <f>IF($A140="","",IFERROR(AVERAGEIF(tblAkis[KaynakKartId],$A140,tblAkis[YasGun]),0))</f>
        <v/>
      </c>
    </row>
    <row r="141">
      <c r="A141" s="26" t="n"/>
      <c r="B141" s="26" t="n"/>
      <c r="C141" s="26" t="n"/>
      <c r="D141" s="26" t="n"/>
      <c r="E141" s="26" t="n"/>
      <c r="F141" s="27" t="n"/>
      <c r="G141" s="26" t="n"/>
      <c r="H141" s="26" t="n"/>
      <c r="I141" s="26" t="n"/>
      <c r="J141" s="28">
        <f>IF($A141="","",SUMIF(tblAkis[KaynakKartId],$A141,tblAkis[Tutar]))</f>
        <v/>
      </c>
      <c r="K141" s="28">
        <f>IF($A141="","",IFERROR(AVERAGEIF(tblAkis[KaynakKartId],$A141,tblAkis[YasGun]),0))</f>
        <v/>
      </c>
    </row>
    <row r="142">
      <c r="A142" s="26" t="n"/>
      <c r="B142" s="26" t="n"/>
      <c r="C142" s="26" t="n"/>
      <c r="D142" s="26" t="n"/>
      <c r="E142" s="26" t="n"/>
      <c r="F142" s="27" t="n"/>
      <c r="G142" s="26" t="n"/>
      <c r="H142" s="26" t="n"/>
      <c r="I142" s="26" t="n"/>
      <c r="J142" s="28">
        <f>IF($A142="","",SUMIF(tblAkis[KaynakKartId],$A142,tblAkis[Tutar]))</f>
        <v/>
      </c>
      <c r="K142" s="28">
        <f>IF($A142="","",IFERROR(AVERAGEIF(tblAkis[KaynakKartId],$A142,tblAkis[YasGun]),0))</f>
        <v/>
      </c>
    </row>
    <row r="143">
      <c r="A143" s="26" t="n"/>
      <c r="B143" s="26" t="n"/>
      <c r="C143" s="26" t="n"/>
      <c r="D143" s="26" t="n"/>
      <c r="E143" s="26" t="n"/>
      <c r="F143" s="27" t="n"/>
      <c r="G143" s="26" t="n"/>
      <c r="H143" s="26" t="n"/>
      <c r="I143" s="26" t="n"/>
      <c r="J143" s="28">
        <f>IF($A143="","",SUMIF(tblAkis[KaynakKartId],$A143,tblAkis[Tutar]))</f>
        <v/>
      </c>
      <c r="K143" s="28">
        <f>IF($A143="","",IFERROR(AVERAGEIF(tblAkis[KaynakKartId],$A143,tblAkis[YasGun]),0))</f>
        <v/>
      </c>
    </row>
    <row r="144">
      <c r="A144" s="26" t="n"/>
      <c r="B144" s="26" t="n"/>
      <c r="C144" s="26" t="n"/>
      <c r="D144" s="26" t="n"/>
      <c r="E144" s="26" t="n"/>
      <c r="F144" s="27" t="n"/>
      <c r="G144" s="26" t="n"/>
      <c r="H144" s="26" t="n"/>
      <c r="I144" s="26" t="n"/>
      <c r="J144" s="28">
        <f>IF($A144="","",SUMIF(tblAkis[KaynakKartId],$A144,tblAkis[Tutar]))</f>
        <v/>
      </c>
      <c r="K144" s="28">
        <f>IF($A144="","",IFERROR(AVERAGEIF(tblAkis[KaynakKartId],$A144,tblAkis[YasGun]),0))</f>
        <v/>
      </c>
    </row>
    <row r="145">
      <c r="A145" s="26" t="n"/>
      <c r="B145" s="26" t="n"/>
      <c r="C145" s="26" t="n"/>
      <c r="D145" s="26" t="n"/>
      <c r="E145" s="26" t="n"/>
      <c r="F145" s="27" t="n"/>
      <c r="G145" s="26" t="n"/>
      <c r="H145" s="26" t="n"/>
      <c r="I145" s="26" t="n"/>
      <c r="J145" s="28">
        <f>IF($A145="","",SUMIF(tblAkis[KaynakKartId],$A145,tblAkis[Tutar]))</f>
        <v/>
      </c>
      <c r="K145" s="28">
        <f>IF($A145="","",IFERROR(AVERAGEIF(tblAkis[KaynakKartId],$A145,tblAkis[YasGun]),0))</f>
        <v/>
      </c>
    </row>
    <row r="146">
      <c r="A146" s="26" t="n"/>
      <c r="B146" s="26" t="n"/>
      <c r="C146" s="26" t="n"/>
      <c r="D146" s="26" t="n"/>
      <c r="E146" s="26" t="n"/>
      <c r="F146" s="27" t="n"/>
      <c r="G146" s="26" t="n"/>
      <c r="H146" s="26" t="n"/>
      <c r="I146" s="26" t="n"/>
      <c r="J146" s="28">
        <f>IF($A146="","",SUMIF(tblAkis[KaynakKartId],$A146,tblAkis[Tutar]))</f>
        <v/>
      </c>
      <c r="K146" s="28">
        <f>IF($A146="","",IFERROR(AVERAGEIF(tblAkis[KaynakKartId],$A146,tblAkis[YasGun]),0))</f>
        <v/>
      </c>
    </row>
    <row r="147">
      <c r="A147" s="26" t="n"/>
      <c r="B147" s="26" t="n"/>
      <c r="C147" s="26" t="n"/>
      <c r="D147" s="26" t="n"/>
      <c r="E147" s="26" t="n"/>
      <c r="F147" s="27" t="n"/>
      <c r="G147" s="26" t="n"/>
      <c r="H147" s="26" t="n"/>
      <c r="I147" s="26" t="n"/>
      <c r="J147" s="28">
        <f>IF($A147="","",SUMIF(tblAkis[KaynakKartId],$A147,tblAkis[Tutar]))</f>
        <v/>
      </c>
      <c r="K147" s="28">
        <f>IF($A147="","",IFERROR(AVERAGEIF(tblAkis[KaynakKartId],$A147,tblAkis[YasGun]),0))</f>
        <v/>
      </c>
    </row>
    <row r="148">
      <c r="A148" s="26" t="n"/>
      <c r="B148" s="26" t="n"/>
      <c r="C148" s="26" t="n"/>
      <c r="D148" s="26" t="n"/>
      <c r="E148" s="26" t="n"/>
      <c r="F148" s="27" t="n"/>
      <c r="G148" s="26" t="n"/>
      <c r="H148" s="26" t="n"/>
      <c r="I148" s="26" t="n"/>
      <c r="J148" s="28">
        <f>IF($A148="","",SUMIF(tblAkis[KaynakKartId],$A148,tblAkis[Tutar]))</f>
        <v/>
      </c>
      <c r="K148" s="28">
        <f>IF($A148="","",IFERROR(AVERAGEIF(tblAkis[KaynakKartId],$A148,tblAkis[YasGun]),0))</f>
        <v/>
      </c>
    </row>
    <row r="149">
      <c r="A149" s="26" t="n"/>
      <c r="B149" s="26" t="n"/>
      <c r="C149" s="26" t="n"/>
      <c r="D149" s="26" t="n"/>
      <c r="E149" s="26" t="n"/>
      <c r="F149" s="27" t="n"/>
      <c r="G149" s="26" t="n"/>
      <c r="H149" s="26" t="n"/>
      <c r="I149" s="26" t="n"/>
      <c r="J149" s="28">
        <f>IF($A149="","",SUMIF(tblAkis[KaynakKartId],$A149,tblAkis[Tutar]))</f>
        <v/>
      </c>
      <c r="K149" s="28">
        <f>IF($A149="","",IFERROR(AVERAGEIF(tblAkis[KaynakKartId],$A149,tblAkis[YasGun]),0))</f>
        <v/>
      </c>
    </row>
    <row r="150">
      <c r="A150" s="26" t="n"/>
      <c r="B150" s="26" t="n"/>
      <c r="C150" s="26" t="n"/>
      <c r="D150" s="26" t="n"/>
      <c r="E150" s="26" t="n"/>
      <c r="F150" s="27" t="n"/>
      <c r="G150" s="26" t="n"/>
      <c r="H150" s="26" t="n"/>
      <c r="I150" s="26" t="n"/>
      <c r="J150" s="28">
        <f>IF($A150="","",SUMIF(tblAkis[KaynakKartId],$A150,tblAkis[Tutar]))</f>
        <v/>
      </c>
      <c r="K150" s="28">
        <f>IF($A150="","",IFERROR(AVERAGEIF(tblAkis[KaynakKartId],$A150,tblAkis[YasGun]),0))</f>
        <v/>
      </c>
    </row>
    <row r="151">
      <c r="A151" s="26" t="n"/>
      <c r="B151" s="26" t="n"/>
      <c r="C151" s="26" t="n"/>
      <c r="D151" s="26" t="n"/>
      <c r="E151" s="26" t="n"/>
      <c r="F151" s="27" t="n"/>
      <c r="G151" s="26" t="n"/>
      <c r="H151" s="26" t="n"/>
      <c r="I151" s="26" t="n"/>
      <c r="J151" s="28">
        <f>IF($A151="","",SUMIF(tblAkis[KaynakKartId],$A151,tblAkis[Tutar]))</f>
        <v/>
      </c>
      <c r="K151" s="28">
        <f>IF($A151="","",IFERROR(AVERAGEIF(tblAkis[KaynakKartId],$A151,tblAkis[YasGun]),0))</f>
        <v/>
      </c>
    </row>
    <row r="152">
      <c r="A152" s="26" t="n"/>
      <c r="B152" s="26" t="n"/>
      <c r="C152" s="26" t="n"/>
      <c r="D152" s="26" t="n"/>
      <c r="E152" s="26" t="n"/>
      <c r="F152" s="27" t="n"/>
      <c r="G152" s="26" t="n"/>
      <c r="H152" s="26" t="n"/>
      <c r="I152" s="26" t="n"/>
      <c r="J152" s="28">
        <f>IF($A152="","",SUMIF(tblAkis[KaynakKartId],$A152,tblAkis[Tutar]))</f>
        <v/>
      </c>
      <c r="K152" s="28">
        <f>IF($A152="","",IFERROR(AVERAGEIF(tblAkis[KaynakKartId],$A152,tblAkis[YasGun]),0))</f>
        <v/>
      </c>
    </row>
    <row r="153">
      <c r="A153" s="26" t="n"/>
      <c r="B153" s="26" t="n"/>
      <c r="C153" s="26" t="n"/>
      <c r="D153" s="26" t="n"/>
      <c r="E153" s="26" t="n"/>
      <c r="F153" s="27" t="n"/>
      <c r="G153" s="26" t="n"/>
      <c r="H153" s="26" t="n"/>
      <c r="I153" s="26" t="n"/>
      <c r="J153" s="28">
        <f>IF($A153="","",SUMIF(tblAkis[KaynakKartId],$A153,tblAkis[Tutar]))</f>
        <v/>
      </c>
      <c r="K153" s="28">
        <f>IF($A153="","",IFERROR(AVERAGEIF(tblAkis[KaynakKartId],$A153,tblAkis[YasGun]),0))</f>
        <v/>
      </c>
    </row>
    <row r="154">
      <c r="A154" s="26" t="n"/>
      <c r="B154" s="26" t="n"/>
      <c r="C154" s="26" t="n"/>
      <c r="D154" s="26" t="n"/>
      <c r="E154" s="26" t="n"/>
      <c r="F154" s="27" t="n"/>
      <c r="G154" s="26" t="n"/>
      <c r="H154" s="26" t="n"/>
      <c r="I154" s="26" t="n"/>
      <c r="J154" s="28">
        <f>IF($A154="","",SUMIF(tblAkis[KaynakKartId],$A154,tblAkis[Tutar]))</f>
        <v/>
      </c>
      <c r="K154" s="28">
        <f>IF($A154="","",IFERROR(AVERAGEIF(tblAkis[KaynakKartId],$A154,tblAkis[YasGun]),0))</f>
        <v/>
      </c>
    </row>
    <row r="155">
      <c r="A155" s="26" t="n"/>
      <c r="B155" s="26" t="n"/>
      <c r="C155" s="26" t="n"/>
      <c r="D155" s="26" t="n"/>
      <c r="E155" s="26" t="n"/>
      <c r="F155" s="27" t="n"/>
      <c r="G155" s="26" t="n"/>
      <c r="H155" s="26" t="n"/>
      <c r="I155" s="26" t="n"/>
      <c r="J155" s="28">
        <f>IF($A155="","",SUMIF(tblAkis[KaynakKartId],$A155,tblAkis[Tutar]))</f>
        <v/>
      </c>
      <c r="K155" s="28">
        <f>IF($A155="","",IFERROR(AVERAGEIF(tblAkis[KaynakKartId],$A155,tblAkis[YasGun]),0))</f>
        <v/>
      </c>
    </row>
    <row r="156">
      <c r="A156" s="26" t="n"/>
      <c r="B156" s="26" t="n"/>
      <c r="C156" s="26" t="n"/>
      <c r="D156" s="26" t="n"/>
      <c r="E156" s="26" t="n"/>
      <c r="F156" s="27" t="n"/>
      <c r="G156" s="26" t="n"/>
      <c r="H156" s="26" t="n"/>
      <c r="I156" s="26" t="n"/>
      <c r="J156" s="28">
        <f>IF($A156="","",SUMIF(tblAkis[KaynakKartId],$A156,tblAkis[Tutar]))</f>
        <v/>
      </c>
      <c r="K156" s="28">
        <f>IF($A156="","",IFERROR(AVERAGEIF(tblAkis[KaynakKartId],$A156,tblAkis[YasGun]),0))</f>
        <v/>
      </c>
    </row>
    <row r="157">
      <c r="A157" s="26" t="n"/>
      <c r="B157" s="26" t="n"/>
      <c r="C157" s="26" t="n"/>
      <c r="D157" s="26" t="n"/>
      <c r="E157" s="26" t="n"/>
      <c r="F157" s="27" t="n"/>
      <c r="G157" s="26" t="n"/>
      <c r="H157" s="26" t="n"/>
      <c r="I157" s="26" t="n"/>
      <c r="J157" s="28">
        <f>IF($A157="","",SUMIF(tblAkis[KaynakKartId],$A157,tblAkis[Tutar]))</f>
        <v/>
      </c>
      <c r="K157" s="28">
        <f>IF($A157="","",IFERROR(AVERAGEIF(tblAkis[KaynakKartId],$A157,tblAkis[YasGun]),0))</f>
        <v/>
      </c>
    </row>
    <row r="158">
      <c r="A158" s="26" t="n"/>
      <c r="B158" s="26" t="n"/>
      <c r="C158" s="26" t="n"/>
      <c r="D158" s="26" t="n"/>
      <c r="E158" s="26" t="n"/>
      <c r="F158" s="27" t="n"/>
      <c r="G158" s="26" t="n"/>
      <c r="H158" s="26" t="n"/>
      <c r="I158" s="26" t="n"/>
      <c r="J158" s="28">
        <f>IF($A158="","",SUMIF(tblAkis[KaynakKartId],$A158,tblAkis[Tutar]))</f>
        <v/>
      </c>
      <c r="K158" s="28">
        <f>IF($A158="","",IFERROR(AVERAGEIF(tblAkis[KaynakKartId],$A158,tblAkis[YasGun]),0))</f>
        <v/>
      </c>
    </row>
    <row r="159">
      <c r="A159" s="26" t="n"/>
      <c r="B159" s="26" t="n"/>
      <c r="C159" s="26" t="n"/>
      <c r="D159" s="26" t="n"/>
      <c r="E159" s="26" t="n"/>
      <c r="F159" s="27" t="n"/>
      <c r="G159" s="26" t="n"/>
      <c r="H159" s="26" t="n"/>
      <c r="I159" s="26" t="n"/>
      <c r="J159" s="28">
        <f>IF($A159="","",SUMIF(tblAkis[KaynakKartId],$A159,tblAkis[Tutar]))</f>
        <v/>
      </c>
      <c r="K159" s="28">
        <f>IF($A159="","",IFERROR(AVERAGEIF(tblAkis[KaynakKartId],$A159,tblAkis[YasGun]),0))</f>
        <v/>
      </c>
    </row>
    <row r="160">
      <c r="A160" s="26" t="n"/>
      <c r="B160" s="26" t="n"/>
      <c r="C160" s="26" t="n"/>
      <c r="D160" s="26" t="n"/>
      <c r="E160" s="26" t="n"/>
      <c r="F160" s="27" t="n"/>
      <c r="G160" s="26" t="n"/>
      <c r="H160" s="26" t="n"/>
      <c r="I160" s="26" t="n"/>
      <c r="J160" s="28">
        <f>IF($A160="","",SUMIF(tblAkis[KaynakKartId],$A160,tblAkis[Tutar]))</f>
        <v/>
      </c>
      <c r="K160" s="28">
        <f>IF($A160="","",IFERROR(AVERAGEIF(tblAkis[KaynakKartId],$A160,tblAkis[YasGun]),0))</f>
        <v/>
      </c>
    </row>
    <row r="161">
      <c r="A161" s="26" t="n"/>
      <c r="B161" s="26" t="n"/>
      <c r="C161" s="26" t="n"/>
      <c r="D161" s="26" t="n"/>
      <c r="E161" s="26" t="n"/>
      <c r="F161" s="27" t="n"/>
      <c r="G161" s="26" t="n"/>
      <c r="H161" s="26" t="n"/>
      <c r="I161" s="26" t="n"/>
      <c r="J161" s="28">
        <f>IF($A161="","",SUMIF(tblAkis[KaynakKartId],$A161,tblAkis[Tutar]))</f>
        <v/>
      </c>
      <c r="K161" s="28">
        <f>IF($A161="","",IFERROR(AVERAGEIF(tblAkis[KaynakKartId],$A161,tblAkis[YasGun]),0))</f>
        <v/>
      </c>
    </row>
    <row r="162">
      <c r="A162" s="26" t="n"/>
      <c r="B162" s="26" t="n"/>
      <c r="C162" s="26" t="n"/>
      <c r="D162" s="26" t="n"/>
      <c r="E162" s="26" t="n"/>
      <c r="F162" s="27" t="n"/>
      <c r="G162" s="26" t="n"/>
      <c r="H162" s="26" t="n"/>
      <c r="I162" s="26" t="n"/>
      <c r="J162" s="28">
        <f>IF($A162="","",SUMIF(tblAkis[KaynakKartId],$A162,tblAkis[Tutar]))</f>
        <v/>
      </c>
      <c r="K162" s="28">
        <f>IF($A162="","",IFERROR(AVERAGEIF(tblAkis[KaynakKartId],$A162,tblAkis[YasGun]),0))</f>
        <v/>
      </c>
    </row>
    <row r="163">
      <c r="A163" s="26" t="n"/>
      <c r="B163" s="26" t="n"/>
      <c r="C163" s="26" t="n"/>
      <c r="D163" s="26" t="n"/>
      <c r="E163" s="26" t="n"/>
      <c r="F163" s="27" t="n"/>
      <c r="G163" s="26" t="n"/>
      <c r="H163" s="26" t="n"/>
      <c r="I163" s="26" t="n"/>
      <c r="J163" s="28">
        <f>IF($A163="","",SUMIF(tblAkis[KaynakKartId],$A163,tblAkis[Tutar]))</f>
        <v/>
      </c>
      <c r="K163" s="28">
        <f>IF($A163="","",IFERROR(AVERAGEIF(tblAkis[KaynakKartId],$A163,tblAkis[YasGun]),0))</f>
        <v/>
      </c>
    </row>
    <row r="164">
      <c r="A164" s="26" t="n"/>
      <c r="B164" s="26" t="n"/>
      <c r="C164" s="26" t="n"/>
      <c r="D164" s="26" t="n"/>
      <c r="E164" s="26" t="n"/>
      <c r="F164" s="27" t="n"/>
      <c r="G164" s="26" t="n"/>
      <c r="H164" s="26" t="n"/>
      <c r="I164" s="26" t="n"/>
      <c r="J164" s="28">
        <f>IF($A164="","",SUMIF(tblAkis[KaynakKartId],$A164,tblAkis[Tutar]))</f>
        <v/>
      </c>
      <c r="K164" s="28">
        <f>IF($A164="","",IFERROR(AVERAGEIF(tblAkis[KaynakKartId],$A164,tblAkis[YasGun]),0))</f>
        <v/>
      </c>
    </row>
    <row r="165">
      <c r="A165" s="26" t="n"/>
      <c r="B165" s="26" t="n"/>
      <c r="C165" s="26" t="n"/>
      <c r="D165" s="26" t="n"/>
      <c r="E165" s="26" t="n"/>
      <c r="F165" s="27" t="n"/>
      <c r="G165" s="26" t="n"/>
      <c r="H165" s="26" t="n"/>
      <c r="I165" s="26" t="n"/>
      <c r="J165" s="28">
        <f>IF($A165="","",SUMIF(tblAkis[KaynakKartId],$A165,tblAkis[Tutar]))</f>
        <v/>
      </c>
      <c r="K165" s="28">
        <f>IF($A165="","",IFERROR(AVERAGEIF(tblAkis[KaynakKartId],$A165,tblAkis[YasGun]),0))</f>
        <v/>
      </c>
    </row>
    <row r="166">
      <c r="A166" s="26" t="n"/>
      <c r="B166" s="26" t="n"/>
      <c r="C166" s="26" t="n"/>
      <c r="D166" s="26" t="n"/>
      <c r="E166" s="26" t="n"/>
      <c r="F166" s="27" t="n"/>
      <c r="G166" s="26" t="n"/>
      <c r="H166" s="26" t="n"/>
      <c r="I166" s="26" t="n"/>
      <c r="J166" s="28">
        <f>IF($A166="","",SUMIF(tblAkis[KaynakKartId],$A166,tblAkis[Tutar]))</f>
        <v/>
      </c>
      <c r="K166" s="28">
        <f>IF($A166="","",IFERROR(AVERAGEIF(tblAkis[KaynakKartId],$A166,tblAkis[YasGun]),0))</f>
        <v/>
      </c>
    </row>
    <row r="167">
      <c r="A167" s="26" t="n"/>
      <c r="B167" s="26" t="n"/>
      <c r="C167" s="26" t="n"/>
      <c r="D167" s="26" t="n"/>
      <c r="E167" s="26" t="n"/>
      <c r="F167" s="27" t="n"/>
      <c r="G167" s="26" t="n"/>
      <c r="H167" s="26" t="n"/>
      <c r="I167" s="26" t="n"/>
      <c r="J167" s="28">
        <f>IF($A167="","",SUMIF(tblAkis[KaynakKartId],$A167,tblAkis[Tutar]))</f>
        <v/>
      </c>
      <c r="K167" s="28">
        <f>IF($A167="","",IFERROR(AVERAGEIF(tblAkis[KaynakKartId],$A167,tblAkis[YasGun]),0))</f>
        <v/>
      </c>
    </row>
    <row r="168">
      <c r="A168" s="26" t="n"/>
      <c r="B168" s="26" t="n"/>
      <c r="C168" s="26" t="n"/>
      <c r="D168" s="26" t="n"/>
      <c r="E168" s="26" t="n"/>
      <c r="F168" s="27" t="n"/>
      <c r="G168" s="26" t="n"/>
      <c r="H168" s="26" t="n"/>
      <c r="I168" s="26" t="n"/>
      <c r="J168" s="28">
        <f>IF($A168="","",SUMIF(tblAkis[KaynakKartId],$A168,tblAkis[Tutar]))</f>
        <v/>
      </c>
      <c r="K168" s="28">
        <f>IF($A168="","",IFERROR(AVERAGEIF(tblAkis[KaynakKartId],$A168,tblAkis[YasGun]),0))</f>
        <v/>
      </c>
    </row>
    <row r="169">
      <c r="A169" s="26" t="n"/>
      <c r="B169" s="26" t="n"/>
      <c r="C169" s="26" t="n"/>
      <c r="D169" s="26" t="n"/>
      <c r="E169" s="26" t="n"/>
      <c r="F169" s="27" t="n"/>
      <c r="G169" s="26" t="n"/>
      <c r="H169" s="26" t="n"/>
      <c r="I169" s="26" t="n"/>
      <c r="J169" s="28">
        <f>IF($A169="","",SUMIF(tblAkis[KaynakKartId],$A169,tblAkis[Tutar]))</f>
        <v/>
      </c>
      <c r="K169" s="28">
        <f>IF($A169="","",IFERROR(AVERAGEIF(tblAkis[KaynakKartId],$A169,tblAkis[YasGun]),0))</f>
        <v/>
      </c>
    </row>
    <row r="170">
      <c r="A170" s="26" t="n"/>
      <c r="B170" s="26" t="n"/>
      <c r="C170" s="26" t="n"/>
      <c r="D170" s="26" t="n"/>
      <c r="E170" s="26" t="n"/>
      <c r="F170" s="27" t="n"/>
      <c r="G170" s="26" t="n"/>
      <c r="H170" s="26" t="n"/>
      <c r="I170" s="26" t="n"/>
      <c r="J170" s="28">
        <f>IF($A170="","",SUMIF(tblAkis[KaynakKartId],$A170,tblAkis[Tutar]))</f>
        <v/>
      </c>
      <c r="K170" s="28">
        <f>IF($A170="","",IFERROR(AVERAGEIF(tblAkis[KaynakKartId],$A170,tblAkis[YasGun]),0))</f>
        <v/>
      </c>
    </row>
    <row r="171">
      <c r="A171" s="26" t="n"/>
      <c r="B171" s="26" t="n"/>
      <c r="C171" s="26" t="n"/>
      <c r="D171" s="26" t="n"/>
      <c r="E171" s="26" t="n"/>
      <c r="F171" s="27" t="n"/>
      <c r="G171" s="26" t="n"/>
      <c r="H171" s="26" t="n"/>
      <c r="I171" s="26" t="n"/>
      <c r="J171" s="28">
        <f>IF($A171="","",SUMIF(tblAkis[KaynakKartId],$A171,tblAkis[Tutar]))</f>
        <v/>
      </c>
      <c r="K171" s="28">
        <f>IF($A171="","",IFERROR(AVERAGEIF(tblAkis[KaynakKartId],$A171,tblAkis[YasGun]),0))</f>
        <v/>
      </c>
    </row>
    <row r="172">
      <c r="A172" s="26" t="n"/>
      <c r="B172" s="26" t="n"/>
      <c r="C172" s="26" t="n"/>
      <c r="D172" s="26" t="n"/>
      <c r="E172" s="26" t="n"/>
      <c r="F172" s="27" t="n"/>
      <c r="G172" s="26" t="n"/>
      <c r="H172" s="26" t="n"/>
      <c r="I172" s="26" t="n"/>
      <c r="J172" s="28">
        <f>IF($A172="","",SUMIF(tblAkis[KaynakKartId],$A172,tblAkis[Tutar]))</f>
        <v/>
      </c>
      <c r="K172" s="28">
        <f>IF($A172="","",IFERROR(AVERAGEIF(tblAkis[KaynakKartId],$A172,tblAkis[YasGun]),0))</f>
        <v/>
      </c>
    </row>
    <row r="173">
      <c r="A173" s="26" t="n"/>
      <c r="B173" s="26" t="n"/>
      <c r="C173" s="26" t="n"/>
      <c r="D173" s="26" t="n"/>
      <c r="E173" s="26" t="n"/>
      <c r="F173" s="27" t="n"/>
      <c r="G173" s="26" t="n"/>
      <c r="H173" s="26" t="n"/>
      <c r="I173" s="26" t="n"/>
      <c r="J173" s="28">
        <f>IF($A173="","",SUMIF(tblAkis[KaynakKartId],$A173,tblAkis[Tutar]))</f>
        <v/>
      </c>
      <c r="K173" s="28">
        <f>IF($A173="","",IFERROR(AVERAGEIF(tblAkis[KaynakKartId],$A173,tblAkis[YasGun]),0))</f>
        <v/>
      </c>
    </row>
    <row r="174">
      <c r="A174" s="26" t="n"/>
      <c r="B174" s="26" t="n"/>
      <c r="C174" s="26" t="n"/>
      <c r="D174" s="26" t="n"/>
      <c r="E174" s="26" t="n"/>
      <c r="F174" s="27" t="n"/>
      <c r="G174" s="26" t="n"/>
      <c r="H174" s="26" t="n"/>
      <c r="I174" s="26" t="n"/>
      <c r="J174" s="28">
        <f>IF($A174="","",SUMIF(tblAkis[KaynakKartId],$A174,tblAkis[Tutar]))</f>
        <v/>
      </c>
      <c r="K174" s="28">
        <f>IF($A174="","",IFERROR(AVERAGEIF(tblAkis[KaynakKartId],$A174,tblAkis[YasGun]),0))</f>
        <v/>
      </c>
    </row>
    <row r="175">
      <c r="A175" s="26" t="n"/>
      <c r="B175" s="26" t="n"/>
      <c r="C175" s="26" t="n"/>
      <c r="D175" s="26" t="n"/>
      <c r="E175" s="26" t="n"/>
      <c r="F175" s="27" t="n"/>
      <c r="G175" s="26" t="n"/>
      <c r="H175" s="26" t="n"/>
      <c r="I175" s="26" t="n"/>
      <c r="J175" s="28">
        <f>IF($A175="","",SUMIF(tblAkis[KaynakKartId],$A175,tblAkis[Tutar]))</f>
        <v/>
      </c>
      <c r="K175" s="28">
        <f>IF($A175="","",IFERROR(AVERAGEIF(tblAkis[KaynakKartId],$A175,tblAkis[YasGun]),0))</f>
        <v/>
      </c>
    </row>
    <row r="176">
      <c r="A176" s="26" t="n"/>
      <c r="B176" s="26" t="n"/>
      <c r="C176" s="26" t="n"/>
      <c r="D176" s="26" t="n"/>
      <c r="E176" s="26" t="n"/>
      <c r="F176" s="27" t="n"/>
      <c r="G176" s="26" t="n"/>
      <c r="H176" s="26" t="n"/>
      <c r="I176" s="26" t="n"/>
      <c r="J176" s="28">
        <f>IF($A176="","",SUMIF(tblAkis[KaynakKartId],$A176,tblAkis[Tutar]))</f>
        <v/>
      </c>
      <c r="K176" s="28">
        <f>IF($A176="","",IFERROR(AVERAGEIF(tblAkis[KaynakKartId],$A176,tblAkis[YasGun]),0))</f>
        <v/>
      </c>
    </row>
    <row r="177">
      <c r="A177" s="26" t="n"/>
      <c r="B177" s="26" t="n"/>
      <c r="C177" s="26" t="n"/>
      <c r="D177" s="26" t="n"/>
      <c r="E177" s="26" t="n"/>
      <c r="F177" s="27" t="n"/>
      <c r="G177" s="26" t="n"/>
      <c r="H177" s="26" t="n"/>
      <c r="I177" s="26" t="n"/>
      <c r="J177" s="28">
        <f>IF($A177="","",SUMIF(tblAkis[KaynakKartId],$A177,tblAkis[Tutar]))</f>
        <v/>
      </c>
      <c r="K177" s="28">
        <f>IF($A177="","",IFERROR(AVERAGEIF(tblAkis[KaynakKartId],$A177,tblAkis[YasGun]),0))</f>
        <v/>
      </c>
    </row>
    <row r="178">
      <c r="A178" s="26" t="n"/>
      <c r="B178" s="26" t="n"/>
      <c r="C178" s="26" t="n"/>
      <c r="D178" s="26" t="n"/>
      <c r="E178" s="26" t="n"/>
      <c r="F178" s="27" t="n"/>
      <c r="G178" s="26" t="n"/>
      <c r="H178" s="26" t="n"/>
      <c r="I178" s="26" t="n"/>
      <c r="J178" s="28">
        <f>IF($A178="","",SUMIF(tblAkis[KaynakKartId],$A178,tblAkis[Tutar]))</f>
        <v/>
      </c>
      <c r="K178" s="28">
        <f>IF($A178="","",IFERROR(AVERAGEIF(tblAkis[KaynakKartId],$A178,tblAkis[YasGun]),0))</f>
        <v/>
      </c>
    </row>
    <row r="179">
      <c r="A179" s="26" t="n"/>
      <c r="B179" s="26" t="n"/>
      <c r="C179" s="26" t="n"/>
      <c r="D179" s="26" t="n"/>
      <c r="E179" s="26" t="n"/>
      <c r="F179" s="27" t="n"/>
      <c r="G179" s="26" t="n"/>
      <c r="H179" s="26" t="n"/>
      <c r="I179" s="26" t="n"/>
      <c r="J179" s="28">
        <f>IF($A179="","",SUMIF(tblAkis[KaynakKartId],$A179,tblAkis[Tutar]))</f>
        <v/>
      </c>
      <c r="K179" s="28">
        <f>IF($A179="","",IFERROR(AVERAGEIF(tblAkis[KaynakKartId],$A179,tblAkis[YasGun]),0))</f>
        <v/>
      </c>
    </row>
    <row r="180">
      <c r="A180" s="26" t="n"/>
      <c r="B180" s="26" t="n"/>
      <c r="C180" s="26" t="n"/>
      <c r="D180" s="26" t="n"/>
      <c r="E180" s="26" t="n"/>
      <c r="F180" s="27" t="n"/>
      <c r="G180" s="26" t="n"/>
      <c r="H180" s="26" t="n"/>
      <c r="I180" s="26" t="n"/>
      <c r="J180" s="28">
        <f>IF($A180="","",SUMIF(tblAkis[KaynakKartId],$A180,tblAkis[Tutar]))</f>
        <v/>
      </c>
      <c r="K180" s="28">
        <f>IF($A180="","",IFERROR(AVERAGEIF(tblAkis[KaynakKartId],$A180,tblAkis[YasGun]),0))</f>
        <v/>
      </c>
    </row>
    <row r="181">
      <c r="A181" s="26" t="n"/>
      <c r="B181" s="26" t="n"/>
      <c r="C181" s="26" t="n"/>
      <c r="D181" s="26" t="n"/>
      <c r="E181" s="26" t="n"/>
      <c r="F181" s="27" t="n"/>
      <c r="G181" s="26" t="n"/>
      <c r="H181" s="26" t="n"/>
      <c r="I181" s="26" t="n"/>
      <c r="J181" s="28">
        <f>IF($A181="","",SUMIF(tblAkis[KaynakKartId],$A181,tblAkis[Tutar]))</f>
        <v/>
      </c>
      <c r="K181" s="28">
        <f>IF($A181="","",IFERROR(AVERAGEIF(tblAkis[KaynakKartId],$A181,tblAkis[YasGun]),0))</f>
        <v/>
      </c>
    </row>
    <row r="182">
      <c r="A182" s="26" t="n"/>
      <c r="B182" s="26" t="n"/>
      <c r="C182" s="26" t="n"/>
      <c r="D182" s="26" t="n"/>
      <c r="E182" s="26" t="n"/>
      <c r="F182" s="27" t="n"/>
      <c r="G182" s="26" t="n"/>
      <c r="H182" s="26" t="n"/>
      <c r="I182" s="26" t="n"/>
      <c r="J182" s="28">
        <f>IF($A182="","",SUMIF(tblAkis[KaynakKartId],$A182,tblAkis[Tutar]))</f>
        <v/>
      </c>
      <c r="K182" s="28">
        <f>IF($A182="","",IFERROR(AVERAGEIF(tblAkis[KaynakKartId],$A182,tblAkis[YasGun]),0))</f>
        <v/>
      </c>
    </row>
    <row r="183">
      <c r="A183" s="26" t="n"/>
      <c r="B183" s="26" t="n"/>
      <c r="C183" s="26" t="n"/>
      <c r="D183" s="26" t="n"/>
      <c r="E183" s="26" t="n"/>
      <c r="F183" s="27" t="n"/>
      <c r="G183" s="26" t="n"/>
      <c r="H183" s="26" t="n"/>
      <c r="I183" s="26" t="n"/>
      <c r="J183" s="28">
        <f>IF($A183="","",SUMIF(tblAkis[KaynakKartId],$A183,tblAkis[Tutar]))</f>
        <v/>
      </c>
      <c r="K183" s="28">
        <f>IF($A183="","",IFERROR(AVERAGEIF(tblAkis[KaynakKartId],$A183,tblAkis[YasGun]),0))</f>
        <v/>
      </c>
    </row>
    <row r="184">
      <c r="A184" s="26" t="n"/>
      <c r="B184" s="26" t="n"/>
      <c r="C184" s="26" t="n"/>
      <c r="D184" s="26" t="n"/>
      <c r="E184" s="26" t="n"/>
      <c r="F184" s="27" t="n"/>
      <c r="G184" s="26" t="n"/>
      <c r="H184" s="26" t="n"/>
      <c r="I184" s="26" t="n"/>
      <c r="J184" s="28">
        <f>IF($A184="","",SUMIF(tblAkis[KaynakKartId],$A184,tblAkis[Tutar]))</f>
        <v/>
      </c>
      <c r="K184" s="28">
        <f>IF($A184="","",IFERROR(AVERAGEIF(tblAkis[KaynakKartId],$A184,tblAkis[YasGun]),0))</f>
        <v/>
      </c>
    </row>
    <row r="185">
      <c r="A185" s="26" t="n"/>
      <c r="B185" s="26" t="n"/>
      <c r="C185" s="26" t="n"/>
      <c r="D185" s="26" t="n"/>
      <c r="E185" s="26" t="n"/>
      <c r="F185" s="27" t="n"/>
      <c r="G185" s="26" t="n"/>
      <c r="H185" s="26" t="n"/>
      <c r="I185" s="26" t="n"/>
      <c r="J185" s="28">
        <f>IF($A185="","",SUMIF(tblAkis[KaynakKartId],$A185,tblAkis[Tutar]))</f>
        <v/>
      </c>
      <c r="K185" s="28">
        <f>IF($A185="","",IFERROR(AVERAGEIF(tblAkis[KaynakKartId],$A185,tblAkis[YasGun]),0))</f>
        <v/>
      </c>
    </row>
    <row r="186">
      <c r="A186" s="26" t="n"/>
      <c r="B186" s="26" t="n"/>
      <c r="C186" s="26" t="n"/>
      <c r="D186" s="26" t="n"/>
      <c r="E186" s="26" t="n"/>
      <c r="F186" s="27" t="n"/>
      <c r="G186" s="26" t="n"/>
      <c r="H186" s="26" t="n"/>
      <c r="I186" s="26" t="n"/>
      <c r="J186" s="28">
        <f>IF($A186="","",SUMIF(tblAkis[KaynakKartId],$A186,tblAkis[Tutar]))</f>
        <v/>
      </c>
      <c r="K186" s="28">
        <f>IF($A186="","",IFERROR(AVERAGEIF(tblAkis[KaynakKartId],$A186,tblAkis[YasGun]),0))</f>
        <v/>
      </c>
    </row>
    <row r="187">
      <c r="A187" s="26" t="n"/>
      <c r="B187" s="26" t="n"/>
      <c r="C187" s="26" t="n"/>
      <c r="D187" s="26" t="n"/>
      <c r="E187" s="26" t="n"/>
      <c r="F187" s="27" t="n"/>
      <c r="G187" s="26" t="n"/>
      <c r="H187" s="26" t="n"/>
      <c r="I187" s="26" t="n"/>
      <c r="J187" s="28">
        <f>IF($A187="","",SUMIF(tblAkis[KaynakKartId],$A187,tblAkis[Tutar]))</f>
        <v/>
      </c>
      <c r="K187" s="28">
        <f>IF($A187="","",IFERROR(AVERAGEIF(tblAkis[KaynakKartId],$A187,tblAkis[YasGun]),0))</f>
        <v/>
      </c>
    </row>
    <row r="188">
      <c r="A188" s="26" t="n"/>
      <c r="B188" s="26" t="n"/>
      <c r="C188" s="26" t="n"/>
      <c r="D188" s="26" t="n"/>
      <c r="E188" s="26" t="n"/>
      <c r="F188" s="27" t="n"/>
      <c r="G188" s="26" t="n"/>
      <c r="H188" s="26" t="n"/>
      <c r="I188" s="26" t="n"/>
      <c r="J188" s="28">
        <f>IF($A188="","",SUMIF(tblAkis[KaynakKartId],$A188,tblAkis[Tutar]))</f>
        <v/>
      </c>
      <c r="K188" s="28">
        <f>IF($A188="","",IFERROR(AVERAGEIF(tblAkis[KaynakKartId],$A188,tblAkis[YasGun]),0))</f>
        <v/>
      </c>
    </row>
    <row r="189">
      <c r="A189" s="26" t="n"/>
      <c r="B189" s="26" t="n"/>
      <c r="C189" s="26" t="n"/>
      <c r="D189" s="26" t="n"/>
      <c r="E189" s="26" t="n"/>
      <c r="F189" s="27" t="n"/>
      <c r="G189" s="26" t="n"/>
      <c r="H189" s="26" t="n"/>
      <c r="I189" s="26" t="n"/>
      <c r="J189" s="28">
        <f>IF($A189="","",SUMIF(tblAkis[KaynakKartId],$A189,tblAkis[Tutar]))</f>
        <v/>
      </c>
      <c r="K189" s="28">
        <f>IF($A189="","",IFERROR(AVERAGEIF(tblAkis[KaynakKartId],$A189,tblAkis[YasGun]),0))</f>
        <v/>
      </c>
    </row>
    <row r="190">
      <c r="A190" s="26" t="n"/>
      <c r="B190" s="26" t="n"/>
      <c r="C190" s="26" t="n"/>
      <c r="D190" s="26" t="n"/>
      <c r="E190" s="26" t="n"/>
      <c r="F190" s="27" t="n"/>
      <c r="G190" s="26" t="n"/>
      <c r="H190" s="26" t="n"/>
      <c r="I190" s="26" t="n"/>
      <c r="J190" s="28">
        <f>IF($A190="","",SUMIF(tblAkis[KaynakKartId],$A190,tblAkis[Tutar]))</f>
        <v/>
      </c>
      <c r="K190" s="28">
        <f>IF($A190="","",IFERROR(AVERAGEIF(tblAkis[KaynakKartId],$A190,tblAkis[YasGun]),0))</f>
        <v/>
      </c>
    </row>
    <row r="191">
      <c r="A191" s="26" t="n"/>
      <c r="B191" s="26" t="n"/>
      <c r="C191" s="26" t="n"/>
      <c r="D191" s="26" t="n"/>
      <c r="E191" s="26" t="n"/>
      <c r="F191" s="27" t="n"/>
      <c r="G191" s="26" t="n"/>
      <c r="H191" s="26" t="n"/>
      <c r="I191" s="26" t="n"/>
      <c r="J191" s="28">
        <f>IF($A191="","",SUMIF(tblAkis[KaynakKartId],$A191,tblAkis[Tutar]))</f>
        <v/>
      </c>
      <c r="K191" s="28">
        <f>IF($A191="","",IFERROR(AVERAGEIF(tblAkis[KaynakKartId],$A191,tblAkis[YasGun]),0))</f>
        <v/>
      </c>
    </row>
    <row r="192">
      <c r="A192" s="26" t="n"/>
      <c r="B192" s="26" t="n"/>
      <c r="C192" s="26" t="n"/>
      <c r="D192" s="26" t="n"/>
      <c r="E192" s="26" t="n"/>
      <c r="F192" s="27" t="n"/>
      <c r="G192" s="26" t="n"/>
      <c r="H192" s="26" t="n"/>
      <c r="I192" s="26" t="n"/>
      <c r="J192" s="28">
        <f>IF($A192="","",SUMIF(tblAkis[KaynakKartId],$A192,tblAkis[Tutar]))</f>
        <v/>
      </c>
      <c r="K192" s="28">
        <f>IF($A192="","",IFERROR(AVERAGEIF(tblAkis[KaynakKartId],$A192,tblAkis[YasGun]),0))</f>
        <v/>
      </c>
    </row>
    <row r="193">
      <c r="A193" s="26" t="n"/>
      <c r="B193" s="26" t="n"/>
      <c r="C193" s="26" t="n"/>
      <c r="D193" s="26" t="n"/>
      <c r="E193" s="26" t="n"/>
      <c r="F193" s="27" t="n"/>
      <c r="G193" s="26" t="n"/>
      <c r="H193" s="26" t="n"/>
      <c r="I193" s="26" t="n"/>
      <c r="J193" s="28">
        <f>IF($A193="","",SUMIF(tblAkis[KaynakKartId],$A193,tblAkis[Tutar]))</f>
        <v/>
      </c>
      <c r="K193" s="28">
        <f>IF($A193="","",IFERROR(AVERAGEIF(tblAkis[KaynakKartId],$A193,tblAkis[YasGun]),0))</f>
        <v/>
      </c>
    </row>
    <row r="194">
      <c r="A194" s="26" t="n"/>
      <c r="B194" s="26" t="n"/>
      <c r="C194" s="26" t="n"/>
      <c r="D194" s="26" t="n"/>
      <c r="E194" s="26" t="n"/>
      <c r="F194" s="27" t="n"/>
      <c r="G194" s="26" t="n"/>
      <c r="H194" s="26" t="n"/>
      <c r="I194" s="26" t="n"/>
      <c r="J194" s="28">
        <f>IF($A194="","",SUMIF(tblAkis[KaynakKartId],$A194,tblAkis[Tutar]))</f>
        <v/>
      </c>
      <c r="K194" s="28">
        <f>IF($A194="","",IFERROR(AVERAGEIF(tblAkis[KaynakKartId],$A194,tblAkis[YasGun]),0))</f>
        <v/>
      </c>
    </row>
    <row r="195">
      <c r="A195" s="26" t="n"/>
      <c r="B195" s="26" t="n"/>
      <c r="C195" s="26" t="n"/>
      <c r="D195" s="26" t="n"/>
      <c r="E195" s="26" t="n"/>
      <c r="F195" s="27" t="n"/>
      <c r="G195" s="26" t="n"/>
      <c r="H195" s="26" t="n"/>
      <c r="I195" s="26" t="n"/>
      <c r="J195" s="28">
        <f>IF($A195="","",SUMIF(tblAkis[KaynakKartId],$A195,tblAkis[Tutar]))</f>
        <v/>
      </c>
      <c r="K195" s="28">
        <f>IF($A195="","",IFERROR(AVERAGEIF(tblAkis[KaynakKartId],$A195,tblAkis[YasGun]),0))</f>
        <v/>
      </c>
    </row>
    <row r="196">
      <c r="A196" s="26" t="n"/>
      <c r="B196" s="26" t="n"/>
      <c r="C196" s="26" t="n"/>
      <c r="D196" s="26" t="n"/>
      <c r="E196" s="26" t="n"/>
      <c r="F196" s="27" t="n"/>
      <c r="G196" s="26" t="n"/>
      <c r="H196" s="26" t="n"/>
      <c r="I196" s="26" t="n"/>
      <c r="J196" s="28">
        <f>IF($A196="","",SUMIF(tblAkis[KaynakKartId],$A196,tblAkis[Tutar]))</f>
        <v/>
      </c>
      <c r="K196" s="28">
        <f>IF($A196="","",IFERROR(AVERAGEIF(tblAkis[KaynakKartId],$A196,tblAkis[YasGun]),0))</f>
        <v/>
      </c>
    </row>
    <row r="197">
      <c r="A197" s="26" t="n"/>
      <c r="B197" s="26" t="n"/>
      <c r="C197" s="26" t="n"/>
      <c r="D197" s="26" t="n"/>
      <c r="E197" s="26" t="n"/>
      <c r="F197" s="27" t="n"/>
      <c r="G197" s="26" t="n"/>
      <c r="H197" s="26" t="n"/>
      <c r="I197" s="26" t="n"/>
      <c r="J197" s="28">
        <f>IF($A197="","",SUMIF(tblAkis[KaynakKartId],$A197,tblAkis[Tutar]))</f>
        <v/>
      </c>
      <c r="K197" s="28">
        <f>IF($A197="","",IFERROR(AVERAGEIF(tblAkis[KaynakKartId],$A197,tblAkis[YasGun]),0))</f>
        <v/>
      </c>
    </row>
    <row r="198">
      <c r="A198" s="26" t="n"/>
      <c r="B198" s="26" t="n"/>
      <c r="C198" s="26" t="n"/>
      <c r="D198" s="26" t="n"/>
      <c r="E198" s="26" t="n"/>
      <c r="F198" s="27" t="n"/>
      <c r="G198" s="26" t="n"/>
      <c r="H198" s="26" t="n"/>
      <c r="I198" s="26" t="n"/>
      <c r="J198" s="28">
        <f>IF($A198="","",SUMIF(tblAkis[KaynakKartId],$A198,tblAkis[Tutar]))</f>
        <v/>
      </c>
      <c r="K198" s="28">
        <f>IF($A198="","",IFERROR(AVERAGEIF(tblAkis[KaynakKartId],$A198,tblAkis[YasGun]),0))</f>
        <v/>
      </c>
    </row>
    <row r="199">
      <c r="A199" s="26" t="n"/>
      <c r="B199" s="26" t="n"/>
      <c r="C199" s="26" t="n"/>
      <c r="D199" s="26" t="n"/>
      <c r="E199" s="26" t="n"/>
      <c r="F199" s="27" t="n"/>
      <c r="G199" s="26" t="n"/>
      <c r="H199" s="26" t="n"/>
      <c r="I199" s="26" t="n"/>
      <c r="J199" s="28">
        <f>IF($A199="","",SUMIF(tblAkis[KaynakKartId],$A199,tblAkis[Tutar]))</f>
        <v/>
      </c>
      <c r="K199" s="28">
        <f>IF($A199="","",IFERROR(AVERAGEIF(tblAkis[KaynakKartId],$A199,tblAkis[YasGun]),0))</f>
        <v/>
      </c>
    </row>
    <row r="200">
      <c r="A200" s="26" t="n"/>
      <c r="B200" s="26" t="n"/>
      <c r="C200" s="26" t="n"/>
      <c r="D200" s="26" t="n"/>
      <c r="E200" s="26" t="n"/>
      <c r="F200" s="27" t="n"/>
      <c r="G200" s="26" t="n"/>
      <c r="H200" s="26" t="n"/>
      <c r="I200" s="26" t="n"/>
      <c r="J200" s="28">
        <f>IF($A200="","",SUMIF(tblAkis[KaynakKartId],$A200,tblAkis[Tutar]))</f>
        <v/>
      </c>
      <c r="K200" s="28">
        <f>IF($A200="","",IFERROR(AVERAGEIF(tblAkis[KaynakKartId],$A200,tblAkis[YasGun]),0))</f>
        <v/>
      </c>
    </row>
    <row r="201">
      <c r="A201" s="26" t="n"/>
      <c r="B201" s="26" t="n"/>
      <c r="C201" s="26" t="n"/>
      <c r="D201" s="26" t="n"/>
      <c r="E201" s="26" t="n"/>
      <c r="F201" s="27" t="n"/>
      <c r="G201" s="26" t="n"/>
      <c r="H201" s="26" t="n"/>
      <c r="I201" s="26" t="n"/>
      <c r="J201" s="28">
        <f>IF($A201="","",SUMIF(tblAkis[KaynakKartId],$A201,tblAkis[Tutar]))</f>
        <v/>
      </c>
      <c r="K201" s="28">
        <f>IF($A201="","",IFERROR(AVERAGEIF(tblAkis[KaynakKartId],$A201,tblAkis[YasGun]),0))</f>
        <v/>
      </c>
    </row>
    <row r="202">
      <c r="A202" s="26" t="n"/>
      <c r="B202" s="26" t="n"/>
      <c r="C202" s="26" t="n"/>
      <c r="D202" s="26" t="n"/>
      <c r="E202" s="26" t="n"/>
      <c r="F202" s="27" t="n"/>
      <c r="G202" s="26" t="n"/>
      <c r="H202" s="26" t="n"/>
      <c r="I202" s="26" t="n"/>
      <c r="J202" s="28">
        <f>IF($A202="","",SUMIF(tblAkis[KaynakKartId],$A202,tblAkis[Tutar]))</f>
        <v/>
      </c>
      <c r="K202" s="28">
        <f>IF($A202="","",IFERROR(AVERAGEIF(tblAkis[KaynakKartId],$A202,tblAkis[YasGun]),0))</f>
        <v/>
      </c>
    </row>
    <row r="203">
      <c r="A203" s="26" t="n"/>
      <c r="B203" s="26" t="n"/>
      <c r="C203" s="26" t="n"/>
      <c r="D203" s="26" t="n"/>
      <c r="E203" s="26" t="n"/>
      <c r="F203" s="27" t="n"/>
      <c r="G203" s="26" t="n"/>
      <c r="H203" s="26" t="n"/>
      <c r="I203" s="26" t="n"/>
      <c r="J203" s="28">
        <f>IF($A203="","",SUMIF(tblAkis[KaynakKartId],$A203,tblAkis[Tutar]))</f>
        <v/>
      </c>
      <c r="K203" s="28">
        <f>IF($A203="","",IFERROR(AVERAGEIF(tblAkis[KaynakKartId],$A203,tblAkis[YasGun]),0))</f>
        <v/>
      </c>
    </row>
    <row r="204">
      <c r="A204" s="26" t="n"/>
      <c r="B204" s="26" t="n"/>
      <c r="C204" s="26" t="n"/>
      <c r="D204" s="26" t="n"/>
      <c r="E204" s="26" t="n"/>
      <c r="F204" s="27" t="n"/>
      <c r="G204" s="26" t="n"/>
      <c r="H204" s="26" t="n"/>
      <c r="I204" s="26" t="n"/>
      <c r="J204" s="28">
        <f>IF($A204="","",SUMIF(tblAkis[KaynakKartId],$A204,tblAkis[Tutar]))</f>
        <v/>
      </c>
      <c r="K204" s="28">
        <f>IF($A204="","",IFERROR(AVERAGEIF(tblAkis[KaynakKartId],$A204,tblAkis[YasGun]),0))</f>
        <v/>
      </c>
    </row>
    <row r="205">
      <c r="A205" s="26" t="n"/>
      <c r="B205" s="26" t="n"/>
      <c r="C205" s="26" t="n"/>
      <c r="D205" s="26" t="n"/>
      <c r="E205" s="26" t="n"/>
      <c r="F205" s="27" t="n"/>
      <c r="G205" s="26" t="n"/>
      <c r="H205" s="26" t="n"/>
      <c r="I205" s="26" t="n"/>
      <c r="J205" s="28">
        <f>IF($A205="","",SUMIF(tblAkis[KaynakKartId],$A205,tblAkis[Tutar]))</f>
        <v/>
      </c>
      <c r="K205" s="28">
        <f>IF($A205="","",IFERROR(AVERAGEIF(tblAkis[KaynakKartId],$A205,tblAkis[YasGun]),0))</f>
        <v/>
      </c>
    </row>
    <row r="206">
      <c r="A206" s="26" t="n"/>
      <c r="B206" s="26" t="n"/>
      <c r="C206" s="26" t="n"/>
      <c r="D206" s="26" t="n"/>
      <c r="E206" s="26" t="n"/>
      <c r="F206" s="27" t="n"/>
      <c r="G206" s="26" t="n"/>
      <c r="H206" s="26" t="n"/>
      <c r="I206" s="26" t="n"/>
      <c r="J206" s="28">
        <f>IF($A206="","",SUMIF(tblAkis[KaynakKartId],$A206,tblAkis[Tutar]))</f>
        <v/>
      </c>
      <c r="K206" s="28">
        <f>IF($A206="","",IFERROR(AVERAGEIF(tblAkis[KaynakKartId],$A206,tblAkis[YasGun]),0))</f>
        <v/>
      </c>
    </row>
    <row r="207">
      <c r="A207" s="26" t="n"/>
      <c r="B207" s="26" t="n"/>
      <c r="C207" s="26" t="n"/>
      <c r="D207" s="26" t="n"/>
      <c r="E207" s="26" t="n"/>
      <c r="F207" s="27" t="n"/>
      <c r="G207" s="26" t="n"/>
      <c r="H207" s="26" t="n"/>
      <c r="I207" s="26" t="n"/>
      <c r="J207" s="28">
        <f>IF($A207="","",SUMIF(tblAkis[KaynakKartId],$A207,tblAkis[Tutar]))</f>
        <v/>
      </c>
      <c r="K207" s="28">
        <f>IF($A207="","",IFERROR(AVERAGEIF(tblAkis[KaynakKartId],$A207,tblAkis[YasGun]),0))</f>
        <v/>
      </c>
    </row>
    <row r="208">
      <c r="A208" s="26" t="n"/>
      <c r="B208" s="26" t="n"/>
      <c r="C208" s="26" t="n"/>
      <c r="D208" s="26" t="n"/>
      <c r="E208" s="26" t="n"/>
      <c r="F208" s="27" t="n"/>
      <c r="G208" s="26" t="n"/>
      <c r="H208" s="26" t="n"/>
      <c r="I208" s="26" t="n"/>
      <c r="J208" s="28">
        <f>IF($A208="","",SUMIF(tblAkis[KaynakKartId],$A208,tblAkis[Tutar]))</f>
        <v/>
      </c>
      <c r="K208" s="28">
        <f>IF($A208="","",IFERROR(AVERAGEIF(tblAkis[KaynakKartId],$A208,tblAkis[YasGun]),0))</f>
        <v/>
      </c>
    </row>
    <row r="209">
      <c r="A209" s="26" t="n"/>
      <c r="B209" s="26" t="n"/>
      <c r="C209" s="26" t="n"/>
      <c r="D209" s="26" t="n"/>
      <c r="E209" s="26" t="n"/>
      <c r="F209" s="27" t="n"/>
      <c r="G209" s="26" t="n"/>
      <c r="H209" s="26" t="n"/>
      <c r="I209" s="26" t="n"/>
      <c r="J209" s="28">
        <f>IF($A209="","",SUMIF(tblAkis[KaynakKartId],$A209,tblAkis[Tutar]))</f>
        <v/>
      </c>
      <c r="K209" s="28">
        <f>IF($A209="","",IFERROR(AVERAGEIF(tblAkis[KaynakKartId],$A209,tblAkis[YasGun]),0))</f>
        <v/>
      </c>
    </row>
    <row r="210">
      <c r="A210" s="26" t="n"/>
      <c r="B210" s="26" t="n"/>
      <c r="C210" s="26" t="n"/>
      <c r="D210" s="26" t="n"/>
      <c r="E210" s="26" t="n"/>
      <c r="F210" s="27" t="n"/>
      <c r="G210" s="26" t="n"/>
      <c r="H210" s="26" t="n"/>
      <c r="I210" s="26" t="n"/>
      <c r="J210" s="28">
        <f>IF($A210="","",SUMIF(tblAkis[KaynakKartId],$A210,tblAkis[Tutar]))</f>
        <v/>
      </c>
      <c r="K210" s="28">
        <f>IF($A210="","",IFERROR(AVERAGEIF(tblAkis[KaynakKartId],$A210,tblAkis[YasGun]),0))</f>
        <v/>
      </c>
    </row>
    <row r="211">
      <c r="A211" s="26" t="n"/>
      <c r="B211" s="26" t="n"/>
      <c r="C211" s="26" t="n"/>
      <c r="D211" s="26" t="n"/>
      <c r="E211" s="26" t="n"/>
      <c r="F211" s="27" t="n"/>
      <c r="G211" s="26" t="n"/>
      <c r="H211" s="26" t="n"/>
      <c r="I211" s="26" t="n"/>
      <c r="J211" s="28">
        <f>IF($A211="","",SUMIF(tblAkis[KaynakKartId],$A211,tblAkis[Tutar]))</f>
        <v/>
      </c>
      <c r="K211" s="28">
        <f>IF($A211="","",IFERROR(AVERAGEIF(tblAkis[KaynakKartId],$A211,tblAkis[YasGun]),0))</f>
        <v/>
      </c>
    </row>
    <row r="212">
      <c r="A212" s="26" t="n"/>
      <c r="B212" s="26" t="n"/>
      <c r="C212" s="26" t="n"/>
      <c r="D212" s="26" t="n"/>
      <c r="E212" s="26" t="n"/>
      <c r="F212" s="27" t="n"/>
      <c r="G212" s="26" t="n"/>
      <c r="H212" s="26" t="n"/>
      <c r="I212" s="26" t="n"/>
      <c r="J212" s="28">
        <f>IF($A212="","",SUMIF(tblAkis[KaynakKartId],$A212,tblAkis[Tutar]))</f>
        <v/>
      </c>
      <c r="K212" s="28">
        <f>IF($A212="","",IFERROR(AVERAGEIF(tblAkis[KaynakKartId],$A212,tblAkis[YasGun]),0))</f>
        <v/>
      </c>
    </row>
    <row r="213">
      <c r="A213" s="26" t="n"/>
      <c r="B213" s="26" t="n"/>
      <c r="C213" s="26" t="n"/>
      <c r="D213" s="26" t="n"/>
      <c r="E213" s="26" t="n"/>
      <c r="F213" s="27" t="n"/>
      <c r="G213" s="26" t="n"/>
      <c r="H213" s="26" t="n"/>
      <c r="I213" s="26" t="n"/>
      <c r="J213" s="28">
        <f>IF($A213="","",SUMIF(tblAkis[KaynakKartId],$A213,tblAkis[Tutar]))</f>
        <v/>
      </c>
      <c r="K213" s="28">
        <f>IF($A213="","",IFERROR(AVERAGEIF(tblAkis[KaynakKartId],$A213,tblAkis[YasGun]),0))</f>
        <v/>
      </c>
    </row>
    <row r="214">
      <c r="A214" s="26" t="n"/>
      <c r="B214" s="26" t="n"/>
      <c r="C214" s="26" t="n"/>
      <c r="D214" s="26" t="n"/>
      <c r="E214" s="26" t="n"/>
      <c r="F214" s="27" t="n"/>
      <c r="G214" s="26" t="n"/>
      <c r="H214" s="26" t="n"/>
      <c r="I214" s="26" t="n"/>
      <c r="J214" s="28">
        <f>IF($A214="","",SUMIF(tblAkis[KaynakKartId],$A214,tblAkis[Tutar]))</f>
        <v/>
      </c>
      <c r="K214" s="28">
        <f>IF($A214="","",IFERROR(AVERAGEIF(tblAkis[KaynakKartId],$A214,tblAkis[YasGun]),0))</f>
        <v/>
      </c>
    </row>
    <row r="215">
      <c r="A215" s="26" t="n"/>
      <c r="B215" s="26" t="n"/>
      <c r="C215" s="26" t="n"/>
      <c r="D215" s="26" t="n"/>
      <c r="E215" s="26" t="n"/>
      <c r="F215" s="27" t="n"/>
      <c r="G215" s="26" t="n"/>
      <c r="H215" s="26" t="n"/>
      <c r="I215" s="26" t="n"/>
      <c r="J215" s="28">
        <f>IF($A215="","",SUMIF(tblAkis[KaynakKartId],$A215,tblAkis[Tutar]))</f>
        <v/>
      </c>
      <c r="K215" s="28">
        <f>IF($A215="","",IFERROR(AVERAGEIF(tblAkis[KaynakKartId],$A215,tblAkis[YasGun]),0))</f>
        <v/>
      </c>
    </row>
    <row r="216">
      <c r="A216" s="26" t="n"/>
      <c r="B216" s="26" t="n"/>
      <c r="C216" s="26" t="n"/>
      <c r="D216" s="26" t="n"/>
      <c r="E216" s="26" t="n"/>
      <c r="F216" s="27" t="n"/>
      <c r="G216" s="26" t="n"/>
      <c r="H216" s="26" t="n"/>
      <c r="I216" s="26" t="n"/>
      <c r="J216" s="28">
        <f>IF($A216="","",SUMIF(tblAkis[KaynakKartId],$A216,tblAkis[Tutar]))</f>
        <v/>
      </c>
      <c r="K216" s="28">
        <f>IF($A216="","",IFERROR(AVERAGEIF(tblAkis[KaynakKartId],$A216,tblAkis[YasGun]),0))</f>
        <v/>
      </c>
    </row>
    <row r="217">
      <c r="A217" s="26" t="n"/>
      <c r="B217" s="26" t="n"/>
      <c r="C217" s="26" t="n"/>
      <c r="D217" s="26" t="n"/>
      <c r="E217" s="26" t="n"/>
      <c r="F217" s="27" t="n"/>
      <c r="G217" s="26" t="n"/>
      <c r="H217" s="26" t="n"/>
      <c r="I217" s="26" t="n"/>
      <c r="J217" s="28">
        <f>IF($A217="","",SUMIF(tblAkis[KaynakKartId],$A217,tblAkis[Tutar]))</f>
        <v/>
      </c>
      <c r="K217" s="28">
        <f>IF($A217="","",IFERROR(AVERAGEIF(tblAkis[KaynakKartId],$A217,tblAkis[YasGun]),0))</f>
        <v/>
      </c>
    </row>
    <row r="218">
      <c r="A218" s="26" t="n"/>
      <c r="B218" s="26" t="n"/>
      <c r="C218" s="26" t="n"/>
      <c r="D218" s="26" t="n"/>
      <c r="E218" s="26" t="n"/>
      <c r="F218" s="27" t="n"/>
      <c r="G218" s="26" t="n"/>
      <c r="H218" s="26" t="n"/>
      <c r="I218" s="26" t="n"/>
      <c r="J218" s="28">
        <f>IF($A218="","",SUMIF(tblAkis[KaynakKartId],$A218,tblAkis[Tutar]))</f>
        <v/>
      </c>
      <c r="K218" s="28">
        <f>IF($A218="","",IFERROR(AVERAGEIF(tblAkis[KaynakKartId],$A218,tblAkis[YasGun]),0))</f>
        <v/>
      </c>
    </row>
    <row r="219">
      <c r="A219" s="26" t="n"/>
      <c r="B219" s="26" t="n"/>
      <c r="C219" s="26" t="n"/>
      <c r="D219" s="26" t="n"/>
      <c r="E219" s="26" t="n"/>
      <c r="F219" s="27" t="n"/>
      <c r="G219" s="26" t="n"/>
      <c r="H219" s="26" t="n"/>
      <c r="I219" s="26" t="n"/>
      <c r="J219" s="28">
        <f>IF($A219="","",SUMIF(tblAkis[KaynakKartId],$A219,tblAkis[Tutar]))</f>
        <v/>
      </c>
      <c r="K219" s="28">
        <f>IF($A219="","",IFERROR(AVERAGEIF(tblAkis[KaynakKartId],$A219,tblAkis[YasGun]),0))</f>
        <v/>
      </c>
    </row>
    <row r="220">
      <c r="A220" s="26" t="n"/>
      <c r="B220" s="26" t="n"/>
      <c r="C220" s="26" t="n"/>
      <c r="D220" s="26" t="n"/>
      <c r="E220" s="26" t="n"/>
      <c r="F220" s="27" t="n"/>
      <c r="G220" s="26" t="n"/>
      <c r="H220" s="26" t="n"/>
      <c r="I220" s="26" t="n"/>
      <c r="J220" s="28">
        <f>IF($A220="","",SUMIF(tblAkis[KaynakKartId],$A220,tblAkis[Tutar]))</f>
        <v/>
      </c>
      <c r="K220" s="28">
        <f>IF($A220="","",IFERROR(AVERAGEIF(tblAkis[KaynakKartId],$A220,tblAkis[YasGun]),0))</f>
        <v/>
      </c>
    </row>
    <row r="221">
      <c r="A221" s="26" t="n"/>
      <c r="B221" s="26" t="n"/>
      <c r="C221" s="26" t="n"/>
      <c r="D221" s="26" t="n"/>
      <c r="E221" s="26" t="n"/>
      <c r="F221" s="27" t="n"/>
      <c r="G221" s="26" t="n"/>
      <c r="H221" s="26" t="n"/>
      <c r="I221" s="26" t="n"/>
      <c r="J221" s="28">
        <f>IF($A221="","",SUMIF(tblAkis[KaynakKartId],$A221,tblAkis[Tutar]))</f>
        <v/>
      </c>
      <c r="K221" s="28">
        <f>IF($A221="","",IFERROR(AVERAGEIF(tblAkis[KaynakKartId],$A221,tblAkis[YasGun]),0))</f>
        <v/>
      </c>
    </row>
    <row r="222">
      <c r="A222" s="26" t="n"/>
      <c r="B222" s="26" t="n"/>
      <c r="C222" s="26" t="n"/>
      <c r="D222" s="26" t="n"/>
      <c r="E222" s="26" t="n"/>
      <c r="F222" s="27" t="n"/>
      <c r="G222" s="26" t="n"/>
      <c r="H222" s="26" t="n"/>
      <c r="I222" s="26" t="n"/>
      <c r="J222" s="28">
        <f>IF($A222="","",SUMIF(tblAkis[KaynakKartId],$A222,tblAkis[Tutar]))</f>
        <v/>
      </c>
      <c r="K222" s="28">
        <f>IF($A222="","",IFERROR(AVERAGEIF(tblAkis[KaynakKartId],$A222,tblAkis[YasGun]),0))</f>
        <v/>
      </c>
    </row>
    <row r="223">
      <c r="A223" s="26" t="n"/>
      <c r="B223" s="26" t="n"/>
      <c r="C223" s="26" t="n"/>
      <c r="D223" s="26" t="n"/>
      <c r="E223" s="26" t="n"/>
      <c r="F223" s="27" t="n"/>
      <c r="G223" s="26" t="n"/>
      <c r="H223" s="26" t="n"/>
      <c r="I223" s="26" t="n"/>
      <c r="J223" s="28">
        <f>IF($A223="","",SUMIF(tblAkis[KaynakKartId],$A223,tblAkis[Tutar]))</f>
        <v/>
      </c>
      <c r="K223" s="28">
        <f>IF($A223="","",IFERROR(AVERAGEIF(tblAkis[KaynakKartId],$A223,tblAkis[YasGun]),0))</f>
        <v/>
      </c>
    </row>
    <row r="224">
      <c r="A224" s="26" t="n"/>
      <c r="B224" s="26" t="n"/>
      <c r="C224" s="26" t="n"/>
      <c r="D224" s="26" t="n"/>
      <c r="E224" s="26" t="n"/>
      <c r="F224" s="27" t="n"/>
      <c r="G224" s="26" t="n"/>
      <c r="H224" s="26" t="n"/>
      <c r="I224" s="26" t="n"/>
      <c r="J224" s="28">
        <f>IF($A224="","",SUMIF(tblAkis[KaynakKartId],$A224,tblAkis[Tutar]))</f>
        <v/>
      </c>
      <c r="K224" s="28">
        <f>IF($A224="","",IFERROR(AVERAGEIF(tblAkis[KaynakKartId],$A224,tblAkis[YasGun]),0))</f>
        <v/>
      </c>
    </row>
    <row r="225">
      <c r="A225" s="26" t="n"/>
      <c r="B225" s="26" t="n"/>
      <c r="C225" s="26" t="n"/>
      <c r="D225" s="26" t="n"/>
      <c r="E225" s="26" t="n"/>
      <c r="F225" s="27" t="n"/>
      <c r="G225" s="26" t="n"/>
      <c r="H225" s="26" t="n"/>
      <c r="I225" s="26" t="n"/>
      <c r="J225" s="28">
        <f>IF($A225="","",SUMIF(tblAkis[KaynakKartId],$A225,tblAkis[Tutar]))</f>
        <v/>
      </c>
      <c r="K225" s="28">
        <f>IF($A225="","",IFERROR(AVERAGEIF(tblAkis[KaynakKartId],$A225,tblAkis[YasGun]),0))</f>
        <v/>
      </c>
    </row>
    <row r="226">
      <c r="A226" s="26" t="n"/>
      <c r="B226" s="26" t="n"/>
      <c r="C226" s="26" t="n"/>
      <c r="D226" s="26" t="n"/>
      <c r="E226" s="26" t="n"/>
      <c r="F226" s="27" t="n"/>
      <c r="G226" s="26" t="n"/>
      <c r="H226" s="26" t="n"/>
      <c r="I226" s="26" t="n"/>
      <c r="J226" s="28">
        <f>IF($A226="","",SUMIF(tblAkis[KaynakKartId],$A226,tblAkis[Tutar]))</f>
        <v/>
      </c>
      <c r="K226" s="28">
        <f>IF($A226="","",IFERROR(AVERAGEIF(tblAkis[KaynakKartId],$A226,tblAkis[YasGun]),0))</f>
        <v/>
      </c>
    </row>
    <row r="227">
      <c r="A227" s="26" t="n"/>
      <c r="B227" s="26" t="n"/>
      <c r="C227" s="26" t="n"/>
      <c r="D227" s="26" t="n"/>
      <c r="E227" s="26" t="n"/>
      <c r="F227" s="27" t="n"/>
      <c r="G227" s="26" t="n"/>
      <c r="H227" s="26" t="n"/>
      <c r="I227" s="26" t="n"/>
      <c r="J227" s="28">
        <f>IF($A227="","",SUMIF(tblAkis[KaynakKartId],$A227,tblAkis[Tutar]))</f>
        <v/>
      </c>
      <c r="K227" s="28">
        <f>IF($A227="","",IFERROR(AVERAGEIF(tblAkis[KaynakKartId],$A227,tblAkis[YasGun]),0))</f>
        <v/>
      </c>
    </row>
    <row r="228">
      <c r="A228" s="26" t="n"/>
      <c r="B228" s="26" t="n"/>
      <c r="C228" s="26" t="n"/>
      <c r="D228" s="26" t="n"/>
      <c r="E228" s="26" t="n"/>
      <c r="F228" s="27" t="n"/>
      <c r="G228" s="26" t="n"/>
      <c r="H228" s="26" t="n"/>
      <c r="I228" s="26" t="n"/>
      <c r="J228" s="28">
        <f>IF($A228="","",SUMIF(tblAkis[KaynakKartId],$A228,tblAkis[Tutar]))</f>
        <v/>
      </c>
      <c r="K228" s="28">
        <f>IF($A228="","",IFERROR(AVERAGEIF(tblAkis[KaynakKartId],$A228,tblAkis[YasGun]),0))</f>
        <v/>
      </c>
    </row>
    <row r="229">
      <c r="A229" s="26" t="n"/>
      <c r="B229" s="26" t="n"/>
      <c r="C229" s="26" t="n"/>
      <c r="D229" s="26" t="n"/>
      <c r="E229" s="26" t="n"/>
      <c r="F229" s="27" t="n"/>
      <c r="G229" s="26" t="n"/>
      <c r="H229" s="26" t="n"/>
      <c r="I229" s="26" t="n"/>
      <c r="J229" s="28">
        <f>IF($A229="","",SUMIF(tblAkis[KaynakKartId],$A229,tblAkis[Tutar]))</f>
        <v/>
      </c>
      <c r="K229" s="28">
        <f>IF($A229="","",IFERROR(AVERAGEIF(tblAkis[KaynakKartId],$A229,tblAkis[YasGun]),0))</f>
        <v/>
      </c>
    </row>
    <row r="230">
      <c r="A230" s="26" t="n"/>
      <c r="B230" s="26" t="n"/>
      <c r="C230" s="26" t="n"/>
      <c r="D230" s="26" t="n"/>
      <c r="E230" s="26" t="n"/>
      <c r="F230" s="27" t="n"/>
      <c r="G230" s="26" t="n"/>
      <c r="H230" s="26" t="n"/>
      <c r="I230" s="26" t="n"/>
      <c r="J230" s="28">
        <f>IF($A230="","",SUMIF(tblAkis[KaynakKartId],$A230,tblAkis[Tutar]))</f>
        <v/>
      </c>
      <c r="K230" s="28">
        <f>IF($A230="","",IFERROR(AVERAGEIF(tblAkis[KaynakKartId],$A230,tblAkis[YasGun]),0))</f>
        <v/>
      </c>
    </row>
    <row r="231">
      <c r="A231" s="26" t="n"/>
      <c r="B231" s="26" t="n"/>
      <c r="C231" s="26" t="n"/>
      <c r="D231" s="26" t="n"/>
      <c r="E231" s="26" t="n"/>
      <c r="F231" s="27" t="n"/>
      <c r="G231" s="26" t="n"/>
      <c r="H231" s="26" t="n"/>
      <c r="I231" s="26" t="n"/>
      <c r="J231" s="28">
        <f>IF($A231="","",SUMIF(tblAkis[KaynakKartId],$A231,tblAkis[Tutar]))</f>
        <v/>
      </c>
      <c r="K231" s="28">
        <f>IF($A231="","",IFERROR(AVERAGEIF(tblAkis[KaynakKartId],$A231,tblAkis[YasGun]),0))</f>
        <v/>
      </c>
    </row>
    <row r="232">
      <c r="A232" s="26" t="n"/>
      <c r="B232" s="26" t="n"/>
      <c r="C232" s="26" t="n"/>
      <c r="D232" s="26" t="n"/>
      <c r="E232" s="26" t="n"/>
      <c r="F232" s="27" t="n"/>
      <c r="G232" s="26" t="n"/>
      <c r="H232" s="26" t="n"/>
      <c r="I232" s="26" t="n"/>
      <c r="J232" s="28">
        <f>IF($A232="","",SUMIF(tblAkis[KaynakKartId],$A232,tblAkis[Tutar]))</f>
        <v/>
      </c>
      <c r="K232" s="28">
        <f>IF($A232="","",IFERROR(AVERAGEIF(tblAkis[KaynakKartId],$A232,tblAkis[YasGun]),0))</f>
        <v/>
      </c>
    </row>
    <row r="233">
      <c r="A233" s="26" t="n"/>
      <c r="B233" s="26" t="n"/>
      <c r="C233" s="26" t="n"/>
      <c r="D233" s="26" t="n"/>
      <c r="E233" s="26" t="n"/>
      <c r="F233" s="27" t="n"/>
      <c r="G233" s="26" t="n"/>
      <c r="H233" s="26" t="n"/>
      <c r="I233" s="26" t="n"/>
      <c r="J233" s="28">
        <f>IF($A233="","",SUMIF(tblAkis[KaynakKartId],$A233,tblAkis[Tutar]))</f>
        <v/>
      </c>
      <c r="K233" s="28">
        <f>IF($A233="","",IFERROR(AVERAGEIF(tblAkis[KaynakKartId],$A233,tblAkis[YasGun]),0))</f>
        <v/>
      </c>
    </row>
    <row r="234">
      <c r="A234" s="26" t="n"/>
      <c r="B234" s="26" t="n"/>
      <c r="C234" s="26" t="n"/>
      <c r="D234" s="26" t="n"/>
      <c r="E234" s="26" t="n"/>
      <c r="F234" s="27" t="n"/>
      <c r="G234" s="26" t="n"/>
      <c r="H234" s="26" t="n"/>
      <c r="I234" s="26" t="n"/>
      <c r="J234" s="28">
        <f>IF($A234="","",SUMIF(tblAkis[KaynakKartId],$A234,tblAkis[Tutar]))</f>
        <v/>
      </c>
      <c r="K234" s="28">
        <f>IF($A234="","",IFERROR(AVERAGEIF(tblAkis[KaynakKartId],$A234,tblAkis[YasGun]),0))</f>
        <v/>
      </c>
    </row>
    <row r="235">
      <c r="A235" s="26" t="n"/>
      <c r="B235" s="26" t="n"/>
      <c r="C235" s="26" t="n"/>
      <c r="D235" s="26" t="n"/>
      <c r="E235" s="26" t="n"/>
      <c r="F235" s="27" t="n"/>
      <c r="G235" s="26" t="n"/>
      <c r="H235" s="26" t="n"/>
      <c r="I235" s="26" t="n"/>
      <c r="J235" s="28">
        <f>IF($A235="","",SUMIF(tblAkis[KaynakKartId],$A235,tblAkis[Tutar]))</f>
        <v/>
      </c>
      <c r="K235" s="28">
        <f>IF($A235="","",IFERROR(AVERAGEIF(tblAkis[KaynakKartId],$A235,tblAkis[YasGun]),0))</f>
        <v/>
      </c>
    </row>
    <row r="236">
      <c r="A236" s="26" t="n"/>
      <c r="B236" s="26" t="n"/>
      <c r="C236" s="26" t="n"/>
      <c r="D236" s="26" t="n"/>
      <c r="E236" s="26" t="n"/>
      <c r="F236" s="27" t="n"/>
      <c r="G236" s="26" t="n"/>
      <c r="H236" s="26" t="n"/>
      <c r="I236" s="26" t="n"/>
      <c r="J236" s="28">
        <f>IF($A236="","",SUMIF(tblAkis[KaynakKartId],$A236,tblAkis[Tutar]))</f>
        <v/>
      </c>
      <c r="K236" s="28">
        <f>IF($A236="","",IFERROR(AVERAGEIF(tblAkis[KaynakKartId],$A236,tblAkis[YasGun]),0))</f>
        <v/>
      </c>
    </row>
    <row r="237">
      <c r="A237" s="26" t="n"/>
      <c r="B237" s="26" t="n"/>
      <c r="C237" s="26" t="n"/>
      <c r="D237" s="26" t="n"/>
      <c r="E237" s="26" t="n"/>
      <c r="F237" s="27" t="n"/>
      <c r="G237" s="26" t="n"/>
      <c r="H237" s="26" t="n"/>
      <c r="I237" s="26" t="n"/>
      <c r="J237" s="28">
        <f>IF($A237="","",SUMIF(tblAkis[KaynakKartId],$A237,tblAkis[Tutar]))</f>
        <v/>
      </c>
      <c r="K237" s="28">
        <f>IF($A237="","",IFERROR(AVERAGEIF(tblAkis[KaynakKartId],$A237,tblAkis[YasGun]),0))</f>
        <v/>
      </c>
    </row>
    <row r="238">
      <c r="A238" s="26" t="n"/>
      <c r="B238" s="26" t="n"/>
      <c r="C238" s="26" t="n"/>
      <c r="D238" s="26" t="n"/>
      <c r="E238" s="26" t="n"/>
      <c r="F238" s="27" t="n"/>
      <c r="G238" s="26" t="n"/>
      <c r="H238" s="26" t="n"/>
      <c r="I238" s="26" t="n"/>
      <c r="J238" s="28">
        <f>IF($A238="","",SUMIF(tblAkis[KaynakKartId],$A238,tblAkis[Tutar]))</f>
        <v/>
      </c>
      <c r="K238" s="28">
        <f>IF($A238="","",IFERROR(AVERAGEIF(tblAkis[KaynakKartId],$A238,tblAkis[YasGun]),0))</f>
        <v/>
      </c>
    </row>
    <row r="239">
      <c r="A239" s="26" t="n"/>
      <c r="B239" s="26" t="n"/>
      <c r="C239" s="26" t="n"/>
      <c r="D239" s="26" t="n"/>
      <c r="E239" s="26" t="n"/>
      <c r="F239" s="27" t="n"/>
      <c r="G239" s="26" t="n"/>
      <c r="H239" s="26" t="n"/>
      <c r="I239" s="26" t="n"/>
      <c r="J239" s="28">
        <f>IF($A239="","",SUMIF(tblAkis[KaynakKartId],$A239,tblAkis[Tutar]))</f>
        <v/>
      </c>
      <c r="K239" s="28">
        <f>IF($A239="","",IFERROR(AVERAGEIF(tblAkis[KaynakKartId],$A239,tblAkis[YasGun]),0))</f>
        <v/>
      </c>
    </row>
    <row r="240">
      <c r="A240" s="26" t="n"/>
      <c r="B240" s="26" t="n"/>
      <c r="C240" s="26" t="n"/>
      <c r="D240" s="26" t="n"/>
      <c r="E240" s="26" t="n"/>
      <c r="F240" s="27" t="n"/>
      <c r="G240" s="26" t="n"/>
      <c r="H240" s="26" t="n"/>
      <c r="I240" s="26" t="n"/>
      <c r="J240" s="28">
        <f>IF($A240="","",SUMIF(tblAkis[KaynakKartId],$A240,tblAkis[Tutar]))</f>
        <v/>
      </c>
      <c r="K240" s="28">
        <f>IF($A240="","",IFERROR(AVERAGEIF(tblAkis[KaynakKartId],$A240,tblAkis[YasGun]),0))</f>
        <v/>
      </c>
    </row>
    <row r="241">
      <c r="A241" s="26" t="n"/>
      <c r="B241" s="26" t="n"/>
      <c r="C241" s="26" t="n"/>
      <c r="D241" s="26" t="n"/>
      <c r="E241" s="26" t="n"/>
      <c r="F241" s="27" t="n"/>
      <c r="G241" s="26" t="n"/>
      <c r="H241" s="26" t="n"/>
      <c r="I241" s="26" t="n"/>
      <c r="J241" s="28">
        <f>IF($A241="","",SUMIF(tblAkis[KaynakKartId],$A241,tblAkis[Tutar]))</f>
        <v/>
      </c>
      <c r="K241" s="28">
        <f>IF($A241="","",IFERROR(AVERAGEIF(tblAkis[KaynakKartId],$A241,tblAkis[YasGun]),0))</f>
        <v/>
      </c>
    </row>
    <row r="242">
      <c r="A242" s="26" t="n"/>
      <c r="B242" s="26" t="n"/>
      <c r="C242" s="26" t="n"/>
      <c r="D242" s="26" t="n"/>
      <c r="E242" s="26" t="n"/>
      <c r="F242" s="27" t="n"/>
      <c r="G242" s="26" t="n"/>
      <c r="H242" s="26" t="n"/>
      <c r="I242" s="26" t="n"/>
      <c r="J242" s="28">
        <f>IF($A242="","",SUMIF(tblAkis[KaynakKartId],$A242,tblAkis[Tutar]))</f>
        <v/>
      </c>
      <c r="K242" s="28">
        <f>IF($A242="","",IFERROR(AVERAGEIF(tblAkis[KaynakKartId],$A242,tblAkis[YasGun]),0))</f>
        <v/>
      </c>
    </row>
    <row r="243">
      <c r="A243" s="26" t="n"/>
      <c r="B243" s="26" t="n"/>
      <c r="C243" s="26" t="n"/>
      <c r="D243" s="26" t="n"/>
      <c r="E243" s="26" t="n"/>
      <c r="F243" s="27" t="n"/>
      <c r="G243" s="26" t="n"/>
      <c r="H243" s="26" t="n"/>
      <c r="I243" s="26" t="n"/>
      <c r="J243" s="28">
        <f>IF($A243="","",SUMIF(tblAkis[KaynakKartId],$A243,tblAkis[Tutar]))</f>
        <v/>
      </c>
      <c r="K243" s="28">
        <f>IF($A243="","",IFERROR(AVERAGEIF(tblAkis[KaynakKartId],$A243,tblAkis[YasGun]),0))</f>
        <v/>
      </c>
    </row>
    <row r="244">
      <c r="A244" s="26" t="n"/>
      <c r="B244" s="26" t="n"/>
      <c r="C244" s="26" t="n"/>
      <c r="D244" s="26" t="n"/>
      <c r="E244" s="26" t="n"/>
      <c r="F244" s="27" t="n"/>
      <c r="G244" s="26" t="n"/>
      <c r="H244" s="26" t="n"/>
      <c r="I244" s="26" t="n"/>
      <c r="J244" s="28">
        <f>IF($A244="","",SUMIF(tblAkis[KaynakKartId],$A244,tblAkis[Tutar]))</f>
        <v/>
      </c>
      <c r="K244" s="28">
        <f>IF($A244="","",IFERROR(AVERAGEIF(tblAkis[KaynakKartId],$A244,tblAkis[YasGun]),0))</f>
        <v/>
      </c>
    </row>
    <row r="245">
      <c r="A245" s="26" t="n"/>
      <c r="B245" s="26" t="n"/>
      <c r="C245" s="26" t="n"/>
      <c r="D245" s="26" t="n"/>
      <c r="E245" s="26" t="n"/>
      <c r="F245" s="27" t="n"/>
      <c r="G245" s="26" t="n"/>
      <c r="H245" s="26" t="n"/>
      <c r="I245" s="26" t="n"/>
      <c r="J245" s="28">
        <f>IF($A245="","",SUMIF(tblAkis[KaynakKartId],$A245,tblAkis[Tutar]))</f>
        <v/>
      </c>
      <c r="K245" s="28">
        <f>IF($A245="","",IFERROR(AVERAGEIF(tblAkis[KaynakKartId],$A245,tblAkis[YasGun]),0))</f>
        <v/>
      </c>
    </row>
    <row r="246">
      <c r="A246" s="26" t="n"/>
      <c r="B246" s="26" t="n"/>
      <c r="C246" s="26" t="n"/>
      <c r="D246" s="26" t="n"/>
      <c r="E246" s="26" t="n"/>
      <c r="F246" s="27" t="n"/>
      <c r="G246" s="26" t="n"/>
      <c r="H246" s="26" t="n"/>
      <c r="I246" s="26" t="n"/>
      <c r="J246" s="28">
        <f>IF($A246="","",SUMIF(tblAkis[KaynakKartId],$A246,tblAkis[Tutar]))</f>
        <v/>
      </c>
      <c r="K246" s="28">
        <f>IF($A246="","",IFERROR(AVERAGEIF(tblAkis[KaynakKartId],$A246,tblAkis[YasGun]),0))</f>
        <v/>
      </c>
    </row>
    <row r="247">
      <c r="A247" s="26" t="n"/>
      <c r="B247" s="26" t="n"/>
      <c r="C247" s="26" t="n"/>
      <c r="D247" s="26" t="n"/>
      <c r="E247" s="26" t="n"/>
      <c r="F247" s="27" t="n"/>
      <c r="G247" s="26" t="n"/>
      <c r="H247" s="26" t="n"/>
      <c r="I247" s="26" t="n"/>
      <c r="J247" s="28">
        <f>IF($A247="","",SUMIF(tblAkis[KaynakKartId],$A247,tblAkis[Tutar]))</f>
        <v/>
      </c>
      <c r="K247" s="28">
        <f>IF($A247="","",IFERROR(AVERAGEIF(tblAkis[KaynakKartId],$A247,tblAkis[YasGun]),0))</f>
        <v/>
      </c>
    </row>
    <row r="248">
      <c r="A248" s="26" t="n"/>
      <c r="B248" s="26" t="n"/>
      <c r="C248" s="26" t="n"/>
      <c r="D248" s="26" t="n"/>
      <c r="E248" s="26" t="n"/>
      <c r="F248" s="27" t="n"/>
      <c r="G248" s="26" t="n"/>
      <c r="H248" s="26" t="n"/>
      <c r="I248" s="26" t="n"/>
      <c r="J248" s="28">
        <f>IF($A248="","",SUMIF(tblAkis[KaynakKartId],$A248,tblAkis[Tutar]))</f>
        <v/>
      </c>
      <c r="K248" s="28">
        <f>IF($A248="","",IFERROR(AVERAGEIF(tblAkis[KaynakKartId],$A248,tblAkis[YasGun]),0))</f>
        <v/>
      </c>
    </row>
    <row r="249">
      <c r="A249" s="26" t="n"/>
      <c r="B249" s="26" t="n"/>
      <c r="C249" s="26" t="n"/>
      <c r="D249" s="26" t="n"/>
      <c r="E249" s="26" t="n"/>
      <c r="F249" s="27" t="n"/>
      <c r="G249" s="26" t="n"/>
      <c r="H249" s="26" t="n"/>
      <c r="I249" s="26" t="n"/>
      <c r="J249" s="28">
        <f>IF($A249="","",SUMIF(tblAkis[KaynakKartId],$A249,tblAkis[Tutar]))</f>
        <v/>
      </c>
      <c r="K249" s="28">
        <f>IF($A249="","",IFERROR(AVERAGEIF(tblAkis[KaynakKartId],$A249,tblAkis[YasGun]),0))</f>
        <v/>
      </c>
    </row>
    <row r="250">
      <c r="A250" s="26" t="n"/>
      <c r="B250" s="26" t="n"/>
      <c r="C250" s="26" t="n"/>
      <c r="D250" s="26" t="n"/>
      <c r="E250" s="26" t="n"/>
      <c r="F250" s="27" t="n"/>
      <c r="G250" s="26" t="n"/>
      <c r="H250" s="26" t="n"/>
      <c r="I250" s="26" t="n"/>
      <c r="J250" s="28">
        <f>IF($A250="","",SUMIF(tblAkis[KaynakKartId],$A250,tblAkis[Tutar]))</f>
        <v/>
      </c>
      <c r="K250" s="28">
        <f>IF($A250="","",IFERROR(AVERAGEIF(tblAkis[KaynakKartId],$A250,tblAkis[YasGun]),0))</f>
        <v/>
      </c>
    </row>
    <row r="251">
      <c r="A251" s="26" t="n"/>
      <c r="B251" s="26" t="n"/>
      <c r="C251" s="26" t="n"/>
      <c r="D251" s="26" t="n"/>
      <c r="E251" s="26" t="n"/>
      <c r="F251" s="27" t="n"/>
      <c r="G251" s="26" t="n"/>
      <c r="H251" s="26" t="n"/>
      <c r="I251" s="26" t="n"/>
      <c r="J251" s="28">
        <f>IF($A251="","",SUMIF(tblAkis[KaynakKartId],$A251,tblAkis[Tutar]))</f>
        <v/>
      </c>
      <c r="K251" s="28">
        <f>IF($A251="","",IFERROR(AVERAGEIF(tblAkis[KaynakKartId],$A251,tblAkis[YasGun]),0))</f>
        <v/>
      </c>
    </row>
    <row r="252">
      <c r="A252" s="26" t="n"/>
      <c r="B252" s="26" t="n"/>
      <c r="C252" s="26" t="n"/>
      <c r="D252" s="26" t="n"/>
      <c r="E252" s="26" t="n"/>
      <c r="F252" s="27" t="n"/>
      <c r="G252" s="26" t="n"/>
      <c r="H252" s="26" t="n"/>
      <c r="I252" s="26" t="n"/>
      <c r="J252" s="28">
        <f>IF($A252="","",SUMIF(tblAkis[KaynakKartId],$A252,tblAkis[Tutar]))</f>
        <v/>
      </c>
      <c r="K252" s="28">
        <f>IF($A252="","",IFERROR(AVERAGEIF(tblAkis[KaynakKartId],$A252,tblAkis[YasGun]),0))</f>
        <v/>
      </c>
    </row>
    <row r="253">
      <c r="A253" s="26" t="n"/>
      <c r="B253" s="26" t="n"/>
      <c r="C253" s="26" t="n"/>
      <c r="D253" s="26" t="n"/>
      <c r="E253" s="26" t="n"/>
      <c r="F253" s="27" t="n"/>
      <c r="G253" s="26" t="n"/>
      <c r="H253" s="26" t="n"/>
      <c r="I253" s="26" t="n"/>
      <c r="J253" s="28">
        <f>IF($A253="","",SUMIF(tblAkis[KaynakKartId],$A253,tblAkis[Tutar]))</f>
        <v/>
      </c>
      <c r="K253" s="28">
        <f>IF($A253="","",IFERROR(AVERAGEIF(tblAkis[KaynakKartId],$A253,tblAkis[YasGun]),0))</f>
        <v/>
      </c>
    </row>
    <row r="254">
      <c r="A254" s="26" t="n"/>
      <c r="B254" s="26" t="n"/>
      <c r="C254" s="26" t="n"/>
      <c r="D254" s="26" t="n"/>
      <c r="E254" s="26" t="n"/>
      <c r="F254" s="27" t="n"/>
      <c r="G254" s="26" t="n"/>
      <c r="H254" s="26" t="n"/>
      <c r="I254" s="26" t="n"/>
      <c r="J254" s="28">
        <f>IF($A254="","",SUMIF(tblAkis[KaynakKartId],$A254,tblAkis[Tutar]))</f>
        <v/>
      </c>
      <c r="K254" s="28">
        <f>IF($A254="","",IFERROR(AVERAGEIF(tblAkis[KaynakKartId],$A254,tblAkis[YasGun]),0))</f>
        <v/>
      </c>
    </row>
    <row r="255">
      <c r="A255" s="26" t="n"/>
      <c r="B255" s="26" t="n"/>
      <c r="C255" s="26" t="n"/>
      <c r="D255" s="26" t="n"/>
      <c r="E255" s="26" t="n"/>
      <c r="F255" s="27" t="n"/>
      <c r="G255" s="26" t="n"/>
      <c r="H255" s="26" t="n"/>
      <c r="I255" s="26" t="n"/>
      <c r="J255" s="28">
        <f>IF($A255="","",SUMIF(tblAkis[KaynakKartId],$A255,tblAkis[Tutar]))</f>
        <v/>
      </c>
      <c r="K255" s="28">
        <f>IF($A255="","",IFERROR(AVERAGEIF(tblAkis[KaynakKartId],$A255,tblAkis[YasGun]),0))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P1"/>
  </mergeCells>
  <conditionalFormatting sqref="H6:H255">
    <cfRule type="cellIs" priority="1" operator="equal" dxfId="1">
      <formula>"HAYIR"</formula>
    </cfRule>
  </conditionalFormatting>
  <conditionalFormatting sqref="F6:F255">
    <cfRule type="cellIs" priority="2" operator="greaterThan" dxfId="3">
      <formula>5000000</formula>
    </cfRule>
  </conditionalFormatting>
  <dataValidations count="9">
    <dataValidation sqref="A6:A255" showDropDown="0" showInputMessage="1" showErrorMessage="1" allowBlank="1" errorTitle="Kimlik" error="En az 1 karakter" promptTitle="Kart Kimliği" prompt="KAR-##### girin" type="textLength" errorStyle="stop" operator="greaterThan">
      <formula1>1</formula1>
      <formula2>40</formula2>
    </dataValidation>
    <dataValidation sqref="B6:B255" showDropDown="0" showInputMessage="1" showErrorMessage="1" allowBlank="1" errorTitle="Unvan" error="Geçersiz" promptTitle="Unvan" prompt="Unvan girin" type="textLength" errorStyle="stop" operator="greaterThanOrEqual">
      <formula1>0</formula1>
      <formula2>80</formula2>
    </dataValidation>
    <dataValidation sqref="C6:C255" showDropDown="0" showInputMessage="1" showErrorMessage="1" allowBlank="1" errorTitle="Branş" error="Geçersiz" promptTitle="Branş" prompt="Branş girin" type="textLength" errorStyle="stop" operator="greaterThanOrEqual">
      <formula1>0</formula1>
      <formula2>80</formula2>
    </dataValidation>
    <dataValidation sqref="D6:D255" showDropDown="0" showInputMessage="1" showErrorMessage="1" allowBlank="1" errorTitle="Şehir" error="Geçersiz" promptTitle="Şehir" prompt="Şehir girin" type="textLength" errorStyle="stop" operator="greaterThanOrEqual">
      <formula1>0</formula1>
      <formula2>80</formula2>
    </dataValidation>
    <dataValidation sqref="E6:E255" showDropDown="0" showInputMessage="1" showErrorMessage="1" allowBlank="1" errorTitle="Sözleşme" error="Geçersiz" promptTitle="Sözleşme" prompt="Sözleşme girin" type="textLength" errorStyle="stop" operator="greaterThanOrEqual">
      <formula1>0</formula1>
      <formula2>80</formula2>
    </dataValidation>
    <dataValidation sqref="G6:G255" showDropDown="0" showInputMessage="1" showErrorMessage="1" allowBlank="1" errorTitle="Risk" error="Geçersiz" promptTitle="Risk" prompt="Risk girin" type="textLength" errorStyle="stop" operator="greaterThanOrEqual">
      <formula1>0</formula1>
      <formula2>80</formula2>
    </dataValidation>
    <dataValidation sqref="F6:F255" showDropDown="0" showInputMessage="1" showErrorMessage="1" allowBlank="1" errorTitle="Limit" error="0 veya üzeri" promptTitle="Limit" prompt="Limit ≥ 0" type="decimal" errorStyle="stop" operator="greaterThanOrEqual">
      <formula1>0</formula1>
    </dataValidation>
    <dataValidation sqref="H6:H255" showDropDown="0" showInputMessage="1" showErrorMessage="1" allowBlank="1" errorTitle="Liste" error="Listeden seçin" promptTitle="Aktif" prompt="EVET veya HAYIR" type="list" errorStyle="stop">
      <formula1>ListeEvetHayir</formula1>
    </dataValidation>
    <dataValidation sqref="I6:I255" showDropDown="0" showInputMessage="1" showErrorMessage="1" allowBlank="1" errorTitle="Şantiye" error="Geçersiz" promptTitle="Şantiye" prompt="SAN-##### veya boş" type="textLength" errorStyle="stop" operator="greaterThanOrEqual">
      <formula1>0</formula1>
      <formula2>40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1F4E79"/>
    <outlinePr summaryBelow="1" summaryRight="1"/>
    <pageSetUpPr/>
  </sheetPr>
  <dimension ref="A1:V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8" customWidth="1" min="14" max="14"/>
    <col width="12" customWidth="1" min="15" max="15"/>
    <col width="12" customWidth="1" min="16" max="16"/>
    <col width="12" customWidth="1" min="17" max="17"/>
    <col width="16" customWidth="1" min="18" max="18"/>
    <col width="12" customWidth="1" min="19" max="19"/>
    <col width="12" customWidth="1" min="20" max="20"/>
  </cols>
  <sheetData>
    <row r="1" ht="26" customHeight="1">
      <c r="A1" s="1" t="inlineStr">
        <is>
          <t>AKIS — İnşaat Hakediş ve Şantiye Maliyet Takip</t>
        </is>
      </c>
    </row>
    <row r="3" ht="20" customHeight="1">
      <c r="A3" s="22" t="inlineStr">
        <is>
          <t>İşlem satırları — durum makinesi + yetim + geçersiz geçiş + zincir bayrakları</t>
        </is>
      </c>
    </row>
    <row r="5" ht="30" customHeight="1">
      <c r="A5" s="25" t="inlineStr">
        <is>
          <t>IslemId</t>
        </is>
      </c>
      <c r="B5" s="25" t="inlineStr">
        <is>
          <t>KaynakKartId</t>
        </is>
      </c>
      <c r="C5" s="25" t="inlineStr">
        <is>
          <t>SantiyeId</t>
        </is>
      </c>
      <c r="D5" s="25" t="inlineStr">
        <is>
          <t>Tarih</t>
        </is>
      </c>
      <c r="E5" s="25" t="inlineStr">
        <is>
          <t>OncekiDurum</t>
        </is>
      </c>
      <c r="F5" s="25" t="inlineStr">
        <is>
          <t>Durum</t>
        </is>
      </c>
      <c r="G5" s="25" t="inlineStr">
        <is>
          <t>Teklif</t>
        </is>
      </c>
      <c r="H5" s="25" t="inlineStr">
        <is>
          <t>Siparis</t>
        </is>
      </c>
      <c r="I5" s="25" t="inlineStr">
        <is>
          <t>Hakedis</t>
        </is>
      </c>
      <c r="J5" s="25" t="inlineStr">
        <is>
          <t>Fatura</t>
        </is>
      </c>
      <c r="K5" s="25" t="inlineStr">
        <is>
          <t>Odeme</t>
        </is>
      </c>
      <c r="L5" s="25" t="inlineStr">
        <is>
          <t>Tutar</t>
        </is>
      </c>
      <c r="M5" s="25" t="inlineStr">
        <is>
          <t>Donem</t>
        </is>
      </c>
      <c r="N5" s="25" t="inlineStr">
        <is>
          <t>Aciklama</t>
        </is>
      </c>
      <c r="O5" s="25" t="inlineStr">
        <is>
          <t>YasGun</t>
        </is>
      </c>
      <c r="P5" s="25" t="inlineStr">
        <is>
          <t>YasKova</t>
        </is>
      </c>
      <c r="Q5" s="25" t="inlineStr">
        <is>
          <t>YetimBayrak</t>
        </is>
      </c>
      <c r="R5" s="25" t="inlineStr">
        <is>
          <t>GecisUyarisi</t>
        </is>
      </c>
      <c r="S5" s="25" t="inlineStr">
        <is>
          <t>ZincirBayrak</t>
        </is>
      </c>
      <c r="T5" s="25" t="inlineStr">
        <is>
          <t>KayitDolu</t>
        </is>
      </c>
    </row>
    <row r="6">
      <c r="A6" s="26" t="inlineStr">
        <is>
          <t>HAK-00001</t>
        </is>
      </c>
      <c r="B6" s="26" t="inlineStr">
        <is>
          <t>KAR-00001</t>
        </is>
      </c>
      <c r="C6" s="26" t="inlineStr">
        <is>
          <t>SAN-00001</t>
        </is>
      </c>
      <c r="D6" s="29" t="n">
        <v>46245</v>
      </c>
      <c r="E6" s="26" t="n"/>
      <c r="F6" s="26" t="inlineStr">
        <is>
          <t>DRAFT</t>
        </is>
      </c>
      <c r="G6" s="27" t="n">
        <v>112500</v>
      </c>
      <c r="H6" s="27" t="n">
        <v>112500</v>
      </c>
      <c r="I6" s="27" t="n">
        <v>112500</v>
      </c>
      <c r="J6" s="27" t="n">
        <v>112500</v>
      </c>
      <c r="K6" s="27" t="n">
        <v>0</v>
      </c>
      <c r="L6" s="27" t="n">
        <v>112500</v>
      </c>
      <c r="M6" s="26" t="inlineStr">
        <is>
          <t>2026-08</t>
        </is>
      </c>
      <c r="N6" s="26" t="inlineStr">
        <is>
          <t>Hakediş kalemi 1</t>
        </is>
      </c>
      <c r="O6" s="28">
        <f>IF($A6="","",IF($D6="","",raporTarihi-$D6))</f>
        <v/>
      </c>
      <c r="P6" s="28">
        <f>IF($A6="","",IF($O6="","",IF($O6&lt;=7,"0-7",IF($O6&lt;=30,"8-30",IF($O6&lt;=60,"31-60","60+")))))</f>
        <v/>
      </c>
      <c r="Q6" s="28">
        <f>IF($A6="","",IF($B6="","YETİM",IF(COUNTIF(tblKartlar[KartId],$B6)=0,"YETİM","")))</f>
        <v/>
      </c>
      <c r="R6" s="28">
        <f>IF(OR($A6="",$E6=""),"",IF(OR($E6&amp;"|"&amp;$F6="",COUNTIF(ListeIzinliGecis,$E6&amp;"|"&amp;$F6)&gt;0),"","GEÇERSİZ GEÇİŞ"))</f>
        <v/>
      </c>
      <c r="S6" s="28">
        <f>IF($A6="","",IF(OR($G6="",$I6=""),"",IF(ABS($I6-$G6)&gt;zincirTolerans,"ZİNCİR KIRIK","OK")))</f>
        <v/>
      </c>
      <c r="T6" s="28">
        <f>IF($A6="","",1)</f>
        <v/>
      </c>
    </row>
    <row r="7">
      <c r="A7" s="26" t="inlineStr">
        <is>
          <t>HAK-00002</t>
        </is>
      </c>
      <c r="B7" s="26" t="inlineStr">
        <is>
          <t>KAR-00002</t>
        </is>
      </c>
      <c r="C7" s="26" t="inlineStr">
        <is>
          <t>SAN-00001</t>
        </is>
      </c>
      <c r="D7" s="29" t="n">
        <v>46242</v>
      </c>
      <c r="E7" s="26" t="inlineStr">
        <is>
          <t>DRAFT</t>
        </is>
      </c>
      <c r="F7" s="26" t="inlineStr">
        <is>
          <t>BEKLIYOR</t>
        </is>
      </c>
      <c r="G7" s="27" t="n">
        <v>125000</v>
      </c>
      <c r="H7" s="27" t="n">
        <v>125000</v>
      </c>
      <c r="I7" s="27" t="n">
        <v>125000</v>
      </c>
      <c r="J7" s="27" t="n">
        <v>125000</v>
      </c>
      <c r="K7" s="27" t="n">
        <v>0</v>
      </c>
      <c r="L7" s="27" t="n">
        <v>125000</v>
      </c>
      <c r="M7" s="26" t="inlineStr">
        <is>
          <t>2026-08</t>
        </is>
      </c>
      <c r="N7" s="26" t="inlineStr">
        <is>
          <t>Hakediş kalemi 2</t>
        </is>
      </c>
      <c r="O7" s="28">
        <f>IF($A7="","",IF($D7="","",raporTarihi-$D7))</f>
        <v/>
      </c>
      <c r="P7" s="28">
        <f>IF($A7="","",IF($O7="","",IF($O7&lt;=7,"0-7",IF($O7&lt;=30,"8-30",IF($O7&lt;=60,"31-60","60+")))))</f>
        <v/>
      </c>
      <c r="Q7" s="28">
        <f>IF($A7="","",IF($B7="","YETİM",IF(COUNTIF(tblKartlar[KartId],$B7)=0,"YETİM","")))</f>
        <v/>
      </c>
      <c r="R7" s="28">
        <f>IF(OR($A7="",$E7=""),"",IF(OR($E7&amp;"|"&amp;$F7="",COUNTIF(ListeIzinliGecis,$E7&amp;"|"&amp;$F7)&gt;0),"","GEÇERSİZ GEÇİŞ"))</f>
        <v/>
      </c>
      <c r="S7" s="28">
        <f>IF($A7="","",IF(OR($G7="",$I7=""),"",IF(ABS($I7-$G7)&gt;zincirTolerans,"ZİNCİR KIRIK","OK")))</f>
        <v/>
      </c>
      <c r="T7" s="28">
        <f>IF($A7="","",1)</f>
        <v/>
      </c>
    </row>
    <row r="8">
      <c r="A8" s="26" t="inlineStr">
        <is>
          <t>HAK-00003</t>
        </is>
      </c>
      <c r="B8" s="26" t="inlineStr">
        <is>
          <t>KAR-00003</t>
        </is>
      </c>
      <c r="C8" s="26" t="inlineStr">
        <is>
          <t>SAN-00002</t>
        </is>
      </c>
      <c r="D8" s="29" t="n">
        <v>46239</v>
      </c>
      <c r="E8" s="26" t="inlineStr">
        <is>
          <t>BEKLIYOR</t>
        </is>
      </c>
      <c r="F8" s="26" t="inlineStr">
        <is>
          <t>ONAY</t>
        </is>
      </c>
      <c r="G8" s="27" t="n">
        <v>137500</v>
      </c>
      <c r="H8" s="27" t="n">
        <v>137500</v>
      </c>
      <c r="I8" s="27" t="n">
        <v>137500</v>
      </c>
      <c r="J8" s="27" t="n">
        <v>137500</v>
      </c>
      <c r="K8" s="27" t="n">
        <v>0</v>
      </c>
      <c r="L8" s="27" t="n">
        <v>137500</v>
      </c>
      <c r="M8" s="26" t="inlineStr">
        <is>
          <t>2026-08</t>
        </is>
      </c>
      <c r="N8" s="26" t="inlineStr">
        <is>
          <t>Hakediş kalemi 3</t>
        </is>
      </c>
      <c r="O8" s="28">
        <f>IF($A8="","",IF($D8="","",raporTarihi-$D8))</f>
        <v/>
      </c>
      <c r="P8" s="28">
        <f>IF($A8="","",IF($O8="","",IF($O8&lt;=7,"0-7",IF($O8&lt;=30,"8-30",IF($O8&lt;=60,"31-60","60+")))))</f>
        <v/>
      </c>
      <c r="Q8" s="28">
        <f>IF($A8="","",IF($B8="","YETİM",IF(COUNTIF(tblKartlar[KartId],$B8)=0,"YETİM","")))</f>
        <v/>
      </c>
      <c r="R8" s="28">
        <f>IF(OR($A8="",$E8=""),"",IF(OR($E8&amp;"|"&amp;$F8="",COUNTIF(ListeIzinliGecis,$E8&amp;"|"&amp;$F8)&gt;0),"","GEÇERSİZ GEÇİŞ"))</f>
        <v/>
      </c>
      <c r="S8" s="28">
        <f>IF($A8="","",IF(OR($G8="",$I8=""),"",IF(ABS($I8-$G8)&gt;zincirTolerans,"ZİNCİR KIRIK","OK")))</f>
        <v/>
      </c>
      <c r="T8" s="28">
        <f>IF($A8="","",1)</f>
        <v/>
      </c>
    </row>
    <row r="9">
      <c r="A9" s="26" t="inlineStr">
        <is>
          <t>HAK-00004</t>
        </is>
      </c>
      <c r="B9" s="26" t="inlineStr">
        <is>
          <t>KAR-00004</t>
        </is>
      </c>
      <c r="C9" s="26" t="inlineStr">
        <is>
          <t>SAN-00002</t>
        </is>
      </c>
      <c r="D9" s="29" t="n">
        <v>46236</v>
      </c>
      <c r="E9" s="26" t="inlineStr">
        <is>
          <t>ONAY</t>
        </is>
      </c>
      <c r="F9" s="26" t="inlineStr">
        <is>
          <t>ODEME</t>
        </is>
      </c>
      <c r="G9" s="27" t="n">
        <v>150000</v>
      </c>
      <c r="H9" s="27" t="n">
        <v>150000</v>
      </c>
      <c r="I9" s="27" t="n">
        <v>150000</v>
      </c>
      <c r="J9" s="27" t="n">
        <v>150000</v>
      </c>
      <c r="K9" s="27" t="n">
        <v>150000</v>
      </c>
      <c r="L9" s="27" t="n">
        <v>150000</v>
      </c>
      <c r="M9" s="26" t="inlineStr">
        <is>
          <t>2026-08</t>
        </is>
      </c>
      <c r="N9" s="26" t="inlineStr">
        <is>
          <t>Hakediş kalemi 4</t>
        </is>
      </c>
      <c r="O9" s="28">
        <f>IF($A9="","",IF($D9="","",raporTarihi-$D9))</f>
        <v/>
      </c>
      <c r="P9" s="28">
        <f>IF($A9="","",IF($O9="","",IF($O9&lt;=7,"0-7",IF($O9&lt;=30,"8-30",IF($O9&lt;=60,"31-60","60+")))))</f>
        <v/>
      </c>
      <c r="Q9" s="28">
        <f>IF($A9="","",IF($B9="","YETİM",IF(COUNTIF(tblKartlar[KartId],$B9)=0,"YETİM","")))</f>
        <v/>
      </c>
      <c r="R9" s="28">
        <f>IF(OR($A9="",$E9=""),"",IF(OR($E9&amp;"|"&amp;$F9="",COUNTIF(ListeIzinliGecis,$E9&amp;"|"&amp;$F9)&gt;0),"","GEÇERSİZ GEÇİŞ"))</f>
        <v/>
      </c>
      <c r="S9" s="28">
        <f>IF($A9="","",IF(OR($G9="",$I9=""),"",IF(ABS($I9-$G9)&gt;zincirTolerans,"ZİNCİR KIRIK","OK")))</f>
        <v/>
      </c>
      <c r="T9" s="28">
        <f>IF($A9="","",1)</f>
        <v/>
      </c>
    </row>
    <row r="10">
      <c r="A10" s="26" t="inlineStr">
        <is>
          <t>HAK-00005</t>
        </is>
      </c>
      <c r="B10" s="26" t="inlineStr">
        <is>
          <t>KAR-00005</t>
        </is>
      </c>
      <c r="C10" s="26" t="inlineStr">
        <is>
          <t>SAN-00003</t>
        </is>
      </c>
      <c r="D10" s="29" t="n">
        <v>46233</v>
      </c>
      <c r="E10" s="26" t="inlineStr">
        <is>
          <t>BEKLIYOR</t>
        </is>
      </c>
      <c r="F10" s="26" t="inlineStr">
        <is>
          <t>IPTAL</t>
        </is>
      </c>
      <c r="G10" s="27" t="n">
        <v>162500</v>
      </c>
      <c r="H10" s="27" t="n">
        <v>162500</v>
      </c>
      <c r="I10" s="27" t="n">
        <v>162500</v>
      </c>
      <c r="J10" s="27" t="n">
        <v>162500</v>
      </c>
      <c r="K10" s="27" t="n">
        <v>0</v>
      </c>
      <c r="L10" s="27" t="n">
        <v>162500</v>
      </c>
      <c r="M10" s="26" t="inlineStr">
        <is>
          <t>2026-08</t>
        </is>
      </c>
      <c r="N10" s="26" t="inlineStr">
        <is>
          <t>Hakediş kalemi 5</t>
        </is>
      </c>
      <c r="O10" s="28">
        <f>IF($A10="","",IF($D10="","",raporTarihi-$D10))</f>
        <v/>
      </c>
      <c r="P10" s="28">
        <f>IF($A10="","",IF($O10="","",IF($O10&lt;=7,"0-7",IF($O10&lt;=30,"8-30",IF($O10&lt;=60,"31-60","60+")))))</f>
        <v/>
      </c>
      <c r="Q10" s="28">
        <f>IF($A10="","",IF($B10="","YETİM",IF(COUNTIF(tblKartlar[KartId],$B10)=0,"YETİM","")))</f>
        <v/>
      </c>
      <c r="R10" s="28">
        <f>IF(OR($A10="",$E10=""),"",IF(OR($E10&amp;"|"&amp;$F10="",COUNTIF(ListeIzinliGecis,$E10&amp;"|"&amp;$F10)&gt;0),"","GEÇERSİZ GEÇİŞ"))</f>
        <v/>
      </c>
      <c r="S10" s="28">
        <f>IF($A10="","",IF(OR($G10="",$I10=""),"",IF(ABS($I10-$G10)&gt;zincirTolerans,"ZİNCİR KIRIK","OK")))</f>
        <v/>
      </c>
      <c r="T10" s="28">
        <f>IF($A10="","",1)</f>
        <v/>
      </c>
    </row>
    <row r="11">
      <c r="A11" s="26" t="inlineStr">
        <is>
          <t>HAK-00006</t>
        </is>
      </c>
      <c r="B11" s="26" t="inlineStr">
        <is>
          <t>KAR-00006</t>
        </is>
      </c>
      <c r="C11" s="26" t="inlineStr">
        <is>
          <t>SAN-00003</t>
        </is>
      </c>
      <c r="D11" s="29" t="n">
        <v>46230</v>
      </c>
      <c r="E11" s="26" t="inlineStr">
        <is>
          <t>DRAFT</t>
        </is>
      </c>
      <c r="F11" s="26" t="inlineStr">
        <is>
          <t>BEKLIYOR</t>
        </is>
      </c>
      <c r="G11" s="27" t="n">
        <v>175000</v>
      </c>
      <c r="H11" s="27" t="n">
        <v>175000</v>
      </c>
      <c r="I11" s="27" t="n">
        <v>175000</v>
      </c>
      <c r="J11" s="27" t="n">
        <v>175000</v>
      </c>
      <c r="K11" s="27" t="n">
        <v>0</v>
      </c>
      <c r="L11" s="27" t="n">
        <v>175000</v>
      </c>
      <c r="M11" s="26" t="inlineStr">
        <is>
          <t>2026-08</t>
        </is>
      </c>
      <c r="N11" s="26" t="inlineStr">
        <is>
          <t>Hakediş kalemi 6</t>
        </is>
      </c>
      <c r="O11" s="28">
        <f>IF($A11="","",IF($D11="","",raporTarihi-$D11))</f>
        <v/>
      </c>
      <c r="P11" s="28">
        <f>IF($A11="","",IF($O11="","",IF($O11&lt;=7,"0-7",IF($O11&lt;=30,"8-30",IF($O11&lt;=60,"31-60","60+")))))</f>
        <v/>
      </c>
      <c r="Q11" s="28">
        <f>IF($A11="","",IF($B11="","YETİM",IF(COUNTIF(tblKartlar[KartId],$B11)=0,"YETİM","")))</f>
        <v/>
      </c>
      <c r="R11" s="28">
        <f>IF(OR($A11="",$E11=""),"",IF(OR($E11&amp;"|"&amp;$F11="",COUNTIF(ListeIzinliGecis,$E11&amp;"|"&amp;$F11)&gt;0),"","GEÇERSİZ GEÇİŞ"))</f>
        <v/>
      </c>
      <c r="S11" s="28">
        <f>IF($A11="","",IF(OR($G11="",$I11=""),"",IF(ABS($I11-$G11)&gt;zincirTolerans,"ZİNCİR KIRIK","OK")))</f>
        <v/>
      </c>
      <c r="T11" s="28">
        <f>IF($A11="","",1)</f>
        <v/>
      </c>
    </row>
    <row r="12">
      <c r="A12" s="26" t="inlineStr">
        <is>
          <t>HAK-00007</t>
        </is>
      </c>
      <c r="B12" s="26" t="inlineStr">
        <is>
          <t>KAR-00007</t>
        </is>
      </c>
      <c r="C12" s="26" t="inlineStr">
        <is>
          <t>SAN-00004</t>
        </is>
      </c>
      <c r="D12" s="29" t="n">
        <v>46227</v>
      </c>
      <c r="E12" s="26" t="inlineStr">
        <is>
          <t>BEKLIYOR</t>
        </is>
      </c>
      <c r="F12" s="26" t="inlineStr">
        <is>
          <t>ONAY</t>
        </is>
      </c>
      <c r="G12" s="27" t="n">
        <v>187500</v>
      </c>
      <c r="H12" s="27" t="n">
        <v>187500</v>
      </c>
      <c r="I12" s="27" t="n">
        <v>187500</v>
      </c>
      <c r="J12" s="27" t="n">
        <v>187500</v>
      </c>
      <c r="K12" s="27" t="n">
        <v>0</v>
      </c>
      <c r="L12" s="27" t="n">
        <v>187500</v>
      </c>
      <c r="M12" s="26" t="inlineStr">
        <is>
          <t>2026-08</t>
        </is>
      </c>
      <c r="N12" s="26" t="inlineStr">
        <is>
          <t>Hakediş kalemi 7</t>
        </is>
      </c>
      <c r="O12" s="28">
        <f>IF($A12="","",IF($D12="","",raporTarihi-$D12))</f>
        <v/>
      </c>
      <c r="P12" s="28">
        <f>IF($A12="","",IF($O12="","",IF($O12&lt;=7,"0-7",IF($O12&lt;=30,"8-30",IF($O12&lt;=60,"31-60","60+")))))</f>
        <v/>
      </c>
      <c r="Q12" s="28">
        <f>IF($A12="","",IF($B12="","YETİM",IF(COUNTIF(tblKartlar[KartId],$B12)=0,"YETİM","")))</f>
        <v/>
      </c>
      <c r="R12" s="28">
        <f>IF(OR($A12="",$E12=""),"",IF(OR($E12&amp;"|"&amp;$F12="",COUNTIF(ListeIzinliGecis,$E12&amp;"|"&amp;$F12)&gt;0),"","GEÇERSİZ GEÇİŞ"))</f>
        <v/>
      </c>
      <c r="S12" s="28">
        <f>IF($A12="","",IF(OR($G12="",$I12=""),"",IF(ABS($I12-$G12)&gt;zincirTolerans,"ZİNCİR KIRIK","OK")))</f>
        <v/>
      </c>
      <c r="T12" s="28">
        <f>IF($A12="","",1)</f>
        <v/>
      </c>
    </row>
    <row r="13">
      <c r="A13" s="26" t="inlineStr">
        <is>
          <t>HAK-00008</t>
        </is>
      </c>
      <c r="B13" s="26" t="inlineStr">
        <is>
          <t>KAR-00008</t>
        </is>
      </c>
      <c r="C13" s="26" t="inlineStr">
        <is>
          <t>SAN-00004</t>
        </is>
      </c>
      <c r="D13" s="29" t="n">
        <v>46224</v>
      </c>
      <c r="E13" s="26" t="inlineStr">
        <is>
          <t>ONAY</t>
        </is>
      </c>
      <c r="F13" s="26" t="inlineStr">
        <is>
          <t>BEKLIYOR</t>
        </is>
      </c>
      <c r="G13" s="27" t="n">
        <v>200000</v>
      </c>
      <c r="H13" s="27" t="n">
        <v>200000</v>
      </c>
      <c r="I13" s="27" t="n">
        <v>200000</v>
      </c>
      <c r="J13" s="27" t="n">
        <v>200000</v>
      </c>
      <c r="K13" s="27" t="n">
        <v>0</v>
      </c>
      <c r="L13" s="27" t="n">
        <v>200000</v>
      </c>
      <c r="M13" s="26" t="inlineStr">
        <is>
          <t>2026-08</t>
        </is>
      </c>
      <c r="N13" s="26" t="inlineStr">
        <is>
          <t>Hakediş kalemi 8</t>
        </is>
      </c>
      <c r="O13" s="28">
        <f>IF($A13="","",IF($D13="","",raporTarihi-$D13))</f>
        <v/>
      </c>
      <c r="P13" s="28">
        <f>IF($A13="","",IF($O13="","",IF($O13&lt;=7,"0-7",IF($O13&lt;=30,"8-30",IF($O13&lt;=60,"31-60","60+")))))</f>
        <v/>
      </c>
      <c r="Q13" s="28">
        <f>IF($A13="","",IF($B13="","YETİM",IF(COUNTIF(tblKartlar[KartId],$B13)=0,"YETİM","")))</f>
        <v/>
      </c>
      <c r="R13" s="28">
        <f>IF(OR($A13="",$E13=""),"",IF(OR($E13&amp;"|"&amp;$F13="",COUNTIF(ListeIzinliGecis,$E13&amp;"|"&amp;$F13)&gt;0),"","GEÇERSİZ GEÇİŞ"))</f>
        <v/>
      </c>
      <c r="S13" s="28">
        <f>IF($A13="","",IF(OR($G13="",$I13=""),"",IF(ABS($I13-$G13)&gt;zincirTolerans,"ZİNCİR KIRIK","OK")))</f>
        <v/>
      </c>
      <c r="T13" s="28">
        <f>IF($A13="","",1)</f>
        <v/>
      </c>
    </row>
    <row r="14">
      <c r="A14" s="26" t="inlineStr">
        <is>
          <t>HAK-00009</t>
        </is>
      </c>
      <c r="B14" s="26" t="inlineStr">
        <is>
          <t>KAR-00001</t>
        </is>
      </c>
      <c r="C14" s="26" t="inlineStr">
        <is>
          <t>SAN-00001</t>
        </is>
      </c>
      <c r="D14" s="29" t="n">
        <v>46221</v>
      </c>
      <c r="E14" s="26" t="n"/>
      <c r="F14" s="26" t="inlineStr">
        <is>
          <t>DRAFT</t>
        </is>
      </c>
      <c r="G14" s="27" t="n">
        <v>212500</v>
      </c>
      <c r="H14" s="27" t="n">
        <v>212500</v>
      </c>
      <c r="I14" s="27" t="n">
        <v>212500</v>
      </c>
      <c r="J14" s="27" t="n">
        <v>212500</v>
      </c>
      <c r="K14" s="27" t="n">
        <v>0</v>
      </c>
      <c r="L14" s="27" t="n">
        <v>212500</v>
      </c>
      <c r="M14" s="26" t="inlineStr">
        <is>
          <t>2026-08</t>
        </is>
      </c>
      <c r="N14" s="26" t="inlineStr">
        <is>
          <t>Hakediş kalemi 9</t>
        </is>
      </c>
      <c r="O14" s="28">
        <f>IF($A14="","",IF($D14="","",raporTarihi-$D14))</f>
        <v/>
      </c>
      <c r="P14" s="28">
        <f>IF($A14="","",IF($O14="","",IF($O14&lt;=7,"0-7",IF($O14&lt;=30,"8-30",IF($O14&lt;=60,"31-60","60+")))))</f>
        <v/>
      </c>
      <c r="Q14" s="28">
        <f>IF($A14="","",IF($B14="","YETİM",IF(COUNTIF(tblKartlar[KartId],$B14)=0,"YETİM","")))</f>
        <v/>
      </c>
      <c r="R14" s="28">
        <f>IF(OR($A14="",$E14=""),"",IF(OR($E14&amp;"|"&amp;$F14="",COUNTIF(ListeIzinliGecis,$E14&amp;"|"&amp;$F14)&gt;0),"","GEÇERSİZ GEÇİŞ"))</f>
        <v/>
      </c>
      <c r="S14" s="28">
        <f>IF($A14="","",IF(OR($G14="",$I14=""),"",IF(ABS($I14-$G14)&gt;zincirTolerans,"ZİNCİR KIRIK","OK")))</f>
        <v/>
      </c>
      <c r="T14" s="28">
        <f>IF($A14="","",1)</f>
        <v/>
      </c>
    </row>
    <row r="15">
      <c r="A15" s="26" t="inlineStr">
        <is>
          <t>HAK-00010</t>
        </is>
      </c>
      <c r="B15" s="26" t="inlineStr">
        <is>
          <t>KAR-00002</t>
        </is>
      </c>
      <c r="C15" s="26" t="inlineStr">
        <is>
          <t>SAN-00001</t>
        </is>
      </c>
      <c r="D15" s="29" t="n">
        <v>46218</v>
      </c>
      <c r="E15" s="26" t="inlineStr">
        <is>
          <t>DRAFT</t>
        </is>
      </c>
      <c r="F15" s="26" t="inlineStr">
        <is>
          <t>BEKLIYOR</t>
        </is>
      </c>
      <c r="G15" s="27" t="n">
        <v>225000</v>
      </c>
      <c r="H15" s="27" t="n">
        <v>225000</v>
      </c>
      <c r="I15" s="27" t="n">
        <v>225000</v>
      </c>
      <c r="J15" s="27" t="n">
        <v>225000</v>
      </c>
      <c r="K15" s="27" t="n">
        <v>0</v>
      </c>
      <c r="L15" s="27" t="n">
        <v>225000</v>
      </c>
      <c r="M15" s="26" t="inlineStr">
        <is>
          <t>2026-08</t>
        </is>
      </c>
      <c r="N15" s="26" t="inlineStr">
        <is>
          <t>Hakediş kalemi 10</t>
        </is>
      </c>
      <c r="O15" s="28">
        <f>IF($A15="","",IF($D15="","",raporTarihi-$D15))</f>
        <v/>
      </c>
      <c r="P15" s="28">
        <f>IF($A15="","",IF($O15="","",IF($O15&lt;=7,"0-7",IF($O15&lt;=30,"8-30",IF($O15&lt;=60,"31-60","60+")))))</f>
        <v/>
      </c>
      <c r="Q15" s="28">
        <f>IF($A15="","",IF($B15="","YETİM",IF(COUNTIF(tblKartlar[KartId],$B15)=0,"YETİM","")))</f>
        <v/>
      </c>
      <c r="R15" s="28">
        <f>IF(OR($A15="",$E15=""),"",IF(OR($E15&amp;"|"&amp;$F15="",COUNTIF(ListeIzinliGecis,$E15&amp;"|"&amp;$F15)&gt;0),"","GEÇERSİZ GEÇİŞ"))</f>
        <v/>
      </c>
      <c r="S15" s="28">
        <f>IF($A15="","",IF(OR($G15="",$I15=""),"",IF(ABS($I15-$G15)&gt;zincirTolerans,"ZİNCİR KIRIK","OK")))</f>
        <v/>
      </c>
      <c r="T15" s="28">
        <f>IF($A15="","",1)</f>
        <v/>
      </c>
    </row>
    <row r="16">
      <c r="A16" s="26" t="inlineStr">
        <is>
          <t>HAK-00011</t>
        </is>
      </c>
      <c r="B16" s="26" t="inlineStr">
        <is>
          <t>KAR-00003</t>
        </is>
      </c>
      <c r="C16" s="26" t="inlineStr">
        <is>
          <t>SAN-00002</t>
        </is>
      </c>
      <c r="D16" s="29" t="n">
        <v>46215</v>
      </c>
      <c r="E16" s="26" t="inlineStr">
        <is>
          <t>BEKLIYOR</t>
        </is>
      </c>
      <c r="F16" s="26" t="inlineStr">
        <is>
          <t>ONAY</t>
        </is>
      </c>
      <c r="G16" s="27" t="n">
        <v>237500</v>
      </c>
      <c r="H16" s="27" t="n">
        <v>237500</v>
      </c>
      <c r="I16" s="27" t="n">
        <v>237500</v>
      </c>
      <c r="J16" s="27" t="n">
        <v>237500</v>
      </c>
      <c r="K16" s="27" t="n">
        <v>0</v>
      </c>
      <c r="L16" s="27" t="n">
        <v>237500</v>
      </c>
      <c r="M16" s="26" t="inlineStr">
        <is>
          <t>2026-08</t>
        </is>
      </c>
      <c r="N16" s="26" t="inlineStr">
        <is>
          <t>Hakediş kalemi 11</t>
        </is>
      </c>
      <c r="O16" s="28">
        <f>IF($A16="","",IF($D16="","",raporTarihi-$D16))</f>
        <v/>
      </c>
      <c r="P16" s="28">
        <f>IF($A16="","",IF($O16="","",IF($O16&lt;=7,"0-7",IF($O16&lt;=30,"8-30",IF($O16&lt;=60,"31-60","60+")))))</f>
        <v/>
      </c>
      <c r="Q16" s="28">
        <f>IF($A16="","",IF($B16="","YETİM",IF(COUNTIF(tblKartlar[KartId],$B16)=0,"YETİM","")))</f>
        <v/>
      </c>
      <c r="R16" s="28">
        <f>IF(OR($A16="",$E16=""),"",IF(OR($E16&amp;"|"&amp;$F16="",COUNTIF(ListeIzinliGecis,$E16&amp;"|"&amp;$F16)&gt;0),"","GEÇERSİZ GEÇİŞ"))</f>
        <v/>
      </c>
      <c r="S16" s="28">
        <f>IF($A16="","",IF(OR($G16="",$I16=""),"",IF(ABS($I16-$G16)&gt;zincirTolerans,"ZİNCİR KIRIK","OK")))</f>
        <v/>
      </c>
      <c r="T16" s="28">
        <f>IF($A16="","",1)</f>
        <v/>
      </c>
    </row>
    <row r="17">
      <c r="A17" s="26" t="inlineStr">
        <is>
          <t>HAK-00012</t>
        </is>
      </c>
      <c r="B17" s="26" t="inlineStr">
        <is>
          <t>KAR-00004</t>
        </is>
      </c>
      <c r="C17" s="26" t="inlineStr">
        <is>
          <t>SAN-00002</t>
        </is>
      </c>
      <c r="D17" s="29" t="n">
        <v>46212</v>
      </c>
      <c r="E17" s="26" t="inlineStr">
        <is>
          <t>ONAY</t>
        </is>
      </c>
      <c r="F17" s="26" t="inlineStr">
        <is>
          <t>ODEME</t>
        </is>
      </c>
      <c r="G17" s="27" t="n">
        <v>250000</v>
      </c>
      <c r="H17" s="27" t="n">
        <v>250000</v>
      </c>
      <c r="I17" s="27" t="n">
        <v>295000</v>
      </c>
      <c r="J17" s="27" t="n">
        <v>295000</v>
      </c>
      <c r="K17" s="27" t="n">
        <v>295000</v>
      </c>
      <c r="L17" s="27" t="n">
        <v>295000</v>
      </c>
      <c r="M17" s="26" t="inlineStr">
        <is>
          <t>2026-08</t>
        </is>
      </c>
      <c r="N17" s="26" t="inlineStr">
        <is>
          <t>Hakediş kalemi 12</t>
        </is>
      </c>
      <c r="O17" s="28">
        <f>IF($A17="","",IF($D17="","",raporTarihi-$D17))</f>
        <v/>
      </c>
      <c r="P17" s="28">
        <f>IF($A17="","",IF($O17="","",IF($O17&lt;=7,"0-7",IF($O17&lt;=30,"8-30",IF($O17&lt;=60,"31-60","60+")))))</f>
        <v/>
      </c>
      <c r="Q17" s="28">
        <f>IF($A17="","",IF($B17="","YETİM",IF(COUNTIF(tblKartlar[KartId],$B17)=0,"YETİM","")))</f>
        <v/>
      </c>
      <c r="R17" s="28">
        <f>IF(OR($A17="",$E17=""),"",IF(OR($E17&amp;"|"&amp;$F17="",COUNTIF(ListeIzinliGecis,$E17&amp;"|"&amp;$F17)&gt;0),"","GEÇERSİZ GEÇİŞ"))</f>
        <v/>
      </c>
      <c r="S17" s="28">
        <f>IF($A17="","",IF(OR($G17="",$I17=""),"",IF(ABS($I17-$G17)&gt;zincirTolerans,"ZİNCİR KIRIK","OK")))</f>
        <v/>
      </c>
      <c r="T17" s="28">
        <f>IF($A17="","",1)</f>
        <v/>
      </c>
    </row>
    <row r="18">
      <c r="A18" s="26" t="inlineStr">
        <is>
          <t>HAK-00013</t>
        </is>
      </c>
      <c r="B18" s="26" t="inlineStr">
        <is>
          <t>KAR-00005</t>
        </is>
      </c>
      <c r="C18" s="26" t="inlineStr">
        <is>
          <t>SAN-00003</t>
        </is>
      </c>
      <c r="D18" s="29" t="n">
        <v>46209</v>
      </c>
      <c r="E18" s="26" t="inlineStr">
        <is>
          <t>BEKLIYOR</t>
        </is>
      </c>
      <c r="F18" s="26" t="inlineStr">
        <is>
          <t>IPTAL</t>
        </is>
      </c>
      <c r="G18" s="27" t="n">
        <v>262500</v>
      </c>
      <c r="H18" s="27" t="n">
        <v>262500</v>
      </c>
      <c r="I18" s="27" t="n">
        <v>262500</v>
      </c>
      <c r="J18" s="27" t="n">
        <v>262500</v>
      </c>
      <c r="K18" s="27" t="n">
        <v>0</v>
      </c>
      <c r="L18" s="27" t="n">
        <v>262500</v>
      </c>
      <c r="M18" s="26" t="inlineStr">
        <is>
          <t>2026-08</t>
        </is>
      </c>
      <c r="N18" s="26" t="inlineStr">
        <is>
          <t>Hakediş kalemi 13</t>
        </is>
      </c>
      <c r="O18" s="28">
        <f>IF($A18="","",IF($D18="","",raporTarihi-$D18))</f>
        <v/>
      </c>
      <c r="P18" s="28">
        <f>IF($A18="","",IF($O18="","",IF($O18&lt;=7,"0-7",IF($O18&lt;=30,"8-30",IF($O18&lt;=60,"31-60","60+")))))</f>
        <v/>
      </c>
      <c r="Q18" s="28">
        <f>IF($A18="","",IF($B18="","YETİM",IF(COUNTIF(tblKartlar[KartId],$B18)=0,"YETİM","")))</f>
        <v/>
      </c>
      <c r="R18" s="28">
        <f>IF(OR($A18="",$E18=""),"",IF(OR($E18&amp;"|"&amp;$F18="",COUNTIF(ListeIzinliGecis,$E18&amp;"|"&amp;$F18)&gt;0),"","GEÇERSİZ GEÇİŞ"))</f>
        <v/>
      </c>
      <c r="S18" s="28">
        <f>IF($A18="","",IF(OR($G18="",$I18=""),"",IF(ABS($I18-$G18)&gt;zincirTolerans,"ZİNCİR KIRIK","OK")))</f>
        <v/>
      </c>
      <c r="T18" s="28">
        <f>IF($A18="","",1)</f>
        <v/>
      </c>
    </row>
    <row r="19">
      <c r="A19" s="26" t="inlineStr">
        <is>
          <t>HAK-00014</t>
        </is>
      </c>
      <c r="B19" s="26" t="inlineStr">
        <is>
          <t>KAR-00006</t>
        </is>
      </c>
      <c r="C19" s="26" t="inlineStr">
        <is>
          <t>SAN-00003</t>
        </is>
      </c>
      <c r="D19" s="29" t="n">
        <v>46206</v>
      </c>
      <c r="E19" s="26" t="inlineStr">
        <is>
          <t>DRAFT</t>
        </is>
      </c>
      <c r="F19" s="26" t="inlineStr">
        <is>
          <t>BEKLIYOR</t>
        </is>
      </c>
      <c r="G19" s="27" t="n">
        <v>275000</v>
      </c>
      <c r="H19" s="27" t="n">
        <v>275000</v>
      </c>
      <c r="I19" s="27" t="n">
        <v>275000</v>
      </c>
      <c r="J19" s="27" t="n">
        <v>275000</v>
      </c>
      <c r="K19" s="27" t="n">
        <v>0</v>
      </c>
      <c r="L19" s="27" t="n">
        <v>275000</v>
      </c>
      <c r="M19" s="26" t="inlineStr">
        <is>
          <t>2026-08</t>
        </is>
      </c>
      <c r="N19" s="26" t="inlineStr">
        <is>
          <t>Hakediş kalemi 14</t>
        </is>
      </c>
      <c r="O19" s="28">
        <f>IF($A19="","",IF($D19="","",raporTarihi-$D19))</f>
        <v/>
      </c>
      <c r="P19" s="28">
        <f>IF($A19="","",IF($O19="","",IF($O19&lt;=7,"0-7",IF($O19&lt;=30,"8-30",IF($O19&lt;=60,"31-60","60+")))))</f>
        <v/>
      </c>
      <c r="Q19" s="28">
        <f>IF($A19="","",IF($B19="","YETİM",IF(COUNTIF(tblKartlar[KartId],$B19)=0,"YETİM","")))</f>
        <v/>
      </c>
      <c r="R19" s="28">
        <f>IF(OR($A19="",$E19=""),"",IF(OR($E19&amp;"|"&amp;$F19="",COUNTIF(ListeIzinliGecis,$E19&amp;"|"&amp;$F19)&gt;0),"","GEÇERSİZ GEÇİŞ"))</f>
        <v/>
      </c>
      <c r="S19" s="28">
        <f>IF($A19="","",IF(OR($G19="",$I19=""),"",IF(ABS($I19-$G19)&gt;zincirTolerans,"ZİNCİR KIRIK","OK")))</f>
        <v/>
      </c>
      <c r="T19" s="28">
        <f>IF($A19="","",1)</f>
        <v/>
      </c>
    </row>
    <row r="20">
      <c r="A20" s="26" t="inlineStr">
        <is>
          <t>HAK-00015</t>
        </is>
      </c>
      <c r="B20" s="26" t="inlineStr">
        <is>
          <t>KAR-00007</t>
        </is>
      </c>
      <c r="C20" s="26" t="inlineStr">
        <is>
          <t>SAN-00004</t>
        </is>
      </c>
      <c r="D20" s="29" t="n">
        <v>46203</v>
      </c>
      <c r="E20" s="26" t="inlineStr">
        <is>
          <t>BEKLIYOR</t>
        </is>
      </c>
      <c r="F20" s="26" t="inlineStr">
        <is>
          <t>ONAY</t>
        </is>
      </c>
      <c r="G20" s="27" t="n">
        <v>287500</v>
      </c>
      <c r="H20" s="27" t="n">
        <v>287500</v>
      </c>
      <c r="I20" s="27" t="n">
        <v>287500</v>
      </c>
      <c r="J20" s="27" t="n">
        <v>279500</v>
      </c>
      <c r="K20" s="27" t="n">
        <v>0</v>
      </c>
      <c r="L20" s="27" t="n">
        <v>287500</v>
      </c>
      <c r="M20" s="26" t="inlineStr">
        <is>
          <t>2026-08</t>
        </is>
      </c>
      <c r="N20" s="26" t="inlineStr">
        <is>
          <t>Hakediş kalemi 15</t>
        </is>
      </c>
      <c r="O20" s="28">
        <f>IF($A20="","",IF($D20="","",raporTarihi-$D20))</f>
        <v/>
      </c>
      <c r="P20" s="28">
        <f>IF($A20="","",IF($O20="","",IF($O20&lt;=7,"0-7",IF($O20&lt;=30,"8-30",IF($O20&lt;=60,"31-60","60+")))))</f>
        <v/>
      </c>
      <c r="Q20" s="28">
        <f>IF($A20="","",IF($B20="","YETİM",IF(COUNTIF(tblKartlar[KartId],$B20)=0,"YETİM","")))</f>
        <v/>
      </c>
      <c r="R20" s="28">
        <f>IF(OR($A20="",$E20=""),"",IF(OR($E20&amp;"|"&amp;$F20="",COUNTIF(ListeIzinliGecis,$E20&amp;"|"&amp;$F20)&gt;0),"","GEÇERSİZ GEÇİŞ"))</f>
        <v/>
      </c>
      <c r="S20" s="28">
        <f>IF($A20="","",IF(OR($G20="",$I20=""),"",IF(ABS($I20-$G20)&gt;zincirTolerans,"ZİNCİR KIRIK","OK")))</f>
        <v/>
      </c>
      <c r="T20" s="28">
        <f>IF($A20="","",1)</f>
        <v/>
      </c>
    </row>
    <row r="21">
      <c r="A21" s="26" t="inlineStr">
        <is>
          <t>HAK-00016</t>
        </is>
      </c>
      <c r="B21" s="26" t="inlineStr">
        <is>
          <t>KAR-00008</t>
        </is>
      </c>
      <c r="C21" s="26" t="inlineStr">
        <is>
          <t>SAN-00004</t>
        </is>
      </c>
      <c r="D21" s="29" t="n">
        <v>46200</v>
      </c>
      <c r="E21" s="26" t="inlineStr">
        <is>
          <t>ONAY</t>
        </is>
      </c>
      <c r="F21" s="26" t="inlineStr">
        <is>
          <t>BEKLIYOR</t>
        </is>
      </c>
      <c r="G21" s="27" t="n">
        <v>300000</v>
      </c>
      <c r="H21" s="27" t="n">
        <v>300000</v>
      </c>
      <c r="I21" s="27" t="n">
        <v>300000</v>
      </c>
      <c r="J21" s="27" t="n">
        <v>300000</v>
      </c>
      <c r="K21" s="27" t="n">
        <v>0</v>
      </c>
      <c r="L21" s="27" t="n">
        <v>300000</v>
      </c>
      <c r="M21" s="26" t="inlineStr">
        <is>
          <t>2026-08</t>
        </is>
      </c>
      <c r="N21" s="26" t="inlineStr">
        <is>
          <t>Hakediş kalemi 16</t>
        </is>
      </c>
      <c r="O21" s="28">
        <f>IF($A21="","",IF($D21="","",raporTarihi-$D21))</f>
        <v/>
      </c>
      <c r="P21" s="28">
        <f>IF($A21="","",IF($O21="","",IF($O21&lt;=7,"0-7",IF($O21&lt;=30,"8-30",IF($O21&lt;=60,"31-60","60+")))))</f>
        <v/>
      </c>
      <c r="Q21" s="28">
        <f>IF($A21="","",IF($B21="","YETİM",IF(COUNTIF(tblKartlar[KartId],$B21)=0,"YETİM","")))</f>
        <v/>
      </c>
      <c r="R21" s="28">
        <f>IF(OR($A21="",$E21=""),"",IF(OR($E21&amp;"|"&amp;$F21="",COUNTIF(ListeIzinliGecis,$E21&amp;"|"&amp;$F21)&gt;0),"","GEÇERSİZ GEÇİŞ"))</f>
        <v/>
      </c>
      <c r="S21" s="28">
        <f>IF($A21="","",IF(OR($G21="",$I21=""),"",IF(ABS($I21-$G21)&gt;zincirTolerans,"ZİNCİR KIRIK","OK")))</f>
        <v/>
      </c>
      <c r="T21" s="28">
        <f>IF($A21="","",1)</f>
        <v/>
      </c>
    </row>
    <row r="22">
      <c r="A22" s="26" t="inlineStr">
        <is>
          <t>HAK-00017</t>
        </is>
      </c>
      <c r="B22" s="26" t="inlineStr">
        <is>
          <t>KAR-00001</t>
        </is>
      </c>
      <c r="C22" s="26" t="inlineStr">
        <is>
          <t>SAN-00001</t>
        </is>
      </c>
      <c r="D22" s="29" t="n">
        <v>46197</v>
      </c>
      <c r="E22" s="26" t="n"/>
      <c r="F22" s="26" t="inlineStr">
        <is>
          <t>DRAFT</t>
        </is>
      </c>
      <c r="G22" s="27" t="n">
        <v>312500</v>
      </c>
      <c r="H22" s="27" t="n">
        <v>312500</v>
      </c>
      <c r="I22" s="27" t="n">
        <v>312500</v>
      </c>
      <c r="J22" s="27" t="n">
        <v>312500</v>
      </c>
      <c r="K22" s="27" t="n">
        <v>0</v>
      </c>
      <c r="L22" s="27" t="n">
        <v>312500</v>
      </c>
      <c r="M22" s="26" t="inlineStr">
        <is>
          <t>2026-08</t>
        </is>
      </c>
      <c r="N22" s="26" t="inlineStr">
        <is>
          <t>Hakediş kalemi 17</t>
        </is>
      </c>
      <c r="O22" s="28">
        <f>IF($A22="","",IF($D22="","",raporTarihi-$D22))</f>
        <v/>
      </c>
      <c r="P22" s="28">
        <f>IF($A22="","",IF($O22="","",IF($O22&lt;=7,"0-7",IF($O22&lt;=30,"8-30",IF($O22&lt;=60,"31-60","60+")))))</f>
        <v/>
      </c>
      <c r="Q22" s="28">
        <f>IF($A22="","",IF($B22="","YETİM",IF(COUNTIF(tblKartlar[KartId],$B22)=0,"YETİM","")))</f>
        <v/>
      </c>
      <c r="R22" s="28">
        <f>IF(OR($A22="",$E22=""),"",IF(OR($E22&amp;"|"&amp;$F22="",COUNTIF(ListeIzinliGecis,$E22&amp;"|"&amp;$F22)&gt;0),"","GEÇERSİZ GEÇİŞ"))</f>
        <v/>
      </c>
      <c r="S22" s="28">
        <f>IF($A22="","",IF(OR($G22="",$I22=""),"",IF(ABS($I22-$G22)&gt;zincirTolerans,"ZİNCİR KIRIK","OK")))</f>
        <v/>
      </c>
      <c r="T22" s="28">
        <f>IF($A22="","",1)</f>
        <v/>
      </c>
    </row>
    <row r="23">
      <c r="A23" s="26" t="inlineStr">
        <is>
          <t>HAK-00018</t>
        </is>
      </c>
      <c r="B23" s="26" t="inlineStr">
        <is>
          <t>KAR-00002</t>
        </is>
      </c>
      <c r="C23" s="26" t="inlineStr">
        <is>
          <t>SAN-00001</t>
        </is>
      </c>
      <c r="D23" s="29" t="n">
        <v>46194</v>
      </c>
      <c r="E23" s="26" t="inlineStr">
        <is>
          <t>DRAFT</t>
        </is>
      </c>
      <c r="F23" s="26" t="inlineStr">
        <is>
          <t>ONAY</t>
        </is>
      </c>
      <c r="G23" s="27" t="n">
        <v>325000</v>
      </c>
      <c r="H23" s="27" t="n">
        <v>325000</v>
      </c>
      <c r="I23" s="27" t="n">
        <v>325000</v>
      </c>
      <c r="J23" s="27" t="n">
        <v>325000</v>
      </c>
      <c r="K23" s="27" t="n">
        <v>0</v>
      </c>
      <c r="L23" s="27" t="n">
        <v>325000</v>
      </c>
      <c r="M23" s="26" t="inlineStr">
        <is>
          <t>2026-08</t>
        </is>
      </c>
      <c r="N23" s="26" t="inlineStr">
        <is>
          <t>Hakediş kalemi 18</t>
        </is>
      </c>
      <c r="O23" s="28">
        <f>IF($A23="","",IF($D23="","",raporTarihi-$D23))</f>
        <v/>
      </c>
      <c r="P23" s="28">
        <f>IF($A23="","",IF($O23="","",IF($O23&lt;=7,"0-7",IF($O23&lt;=30,"8-30",IF($O23&lt;=60,"31-60","60+")))))</f>
        <v/>
      </c>
      <c r="Q23" s="28">
        <f>IF($A23="","",IF($B23="","YETİM",IF(COUNTIF(tblKartlar[KartId],$B23)=0,"YETİM","")))</f>
        <v/>
      </c>
      <c r="R23" s="28">
        <f>IF(OR($A23="",$E23=""),"",IF(OR($E23&amp;"|"&amp;$F23="",COUNTIF(ListeIzinliGecis,$E23&amp;"|"&amp;$F23)&gt;0),"","GEÇERSİZ GEÇİŞ"))</f>
        <v/>
      </c>
      <c r="S23" s="28">
        <f>IF($A23="","",IF(OR($G23="",$I23=""),"",IF(ABS($I23-$G23)&gt;zincirTolerans,"ZİNCİR KIRIK","OK")))</f>
        <v/>
      </c>
      <c r="T23" s="28">
        <f>IF($A23="","",1)</f>
        <v/>
      </c>
    </row>
    <row r="24">
      <c r="A24" s="26" t="inlineStr">
        <is>
          <t>HAK-00019</t>
        </is>
      </c>
      <c r="B24" s="26" t="inlineStr">
        <is>
          <t>KAR-00003</t>
        </is>
      </c>
      <c r="C24" s="26" t="inlineStr">
        <is>
          <t>SAN-00002</t>
        </is>
      </c>
      <c r="D24" s="29" t="n">
        <v>46191</v>
      </c>
      <c r="E24" s="26" t="inlineStr">
        <is>
          <t>BEKLIYOR</t>
        </is>
      </c>
      <c r="F24" s="26" t="inlineStr">
        <is>
          <t>ONAY</t>
        </is>
      </c>
      <c r="G24" s="27" t="n">
        <v>337500</v>
      </c>
      <c r="H24" s="27" t="n">
        <v>337500</v>
      </c>
      <c r="I24" s="27" t="n">
        <v>382500</v>
      </c>
      <c r="J24" s="27" t="n">
        <v>382500</v>
      </c>
      <c r="K24" s="27" t="n">
        <v>0</v>
      </c>
      <c r="L24" s="27" t="n">
        <v>382500</v>
      </c>
      <c r="M24" s="26" t="inlineStr">
        <is>
          <t>2026-08</t>
        </is>
      </c>
      <c r="N24" s="26" t="inlineStr">
        <is>
          <t>Hakediş kalemi 19</t>
        </is>
      </c>
      <c r="O24" s="28">
        <f>IF($A24="","",IF($D24="","",raporTarihi-$D24))</f>
        <v/>
      </c>
      <c r="P24" s="28">
        <f>IF($A24="","",IF($O24="","",IF($O24&lt;=7,"0-7",IF($O24&lt;=30,"8-30",IF($O24&lt;=60,"31-60","60+")))))</f>
        <v/>
      </c>
      <c r="Q24" s="28">
        <f>IF($A24="","",IF($B24="","YETİM",IF(COUNTIF(tblKartlar[KartId],$B24)=0,"YETİM","")))</f>
        <v/>
      </c>
      <c r="R24" s="28">
        <f>IF(OR($A24="",$E24=""),"",IF(OR($E24&amp;"|"&amp;$F24="",COUNTIF(ListeIzinliGecis,$E24&amp;"|"&amp;$F24)&gt;0),"","GEÇERSİZ GEÇİŞ"))</f>
        <v/>
      </c>
      <c r="S24" s="28">
        <f>IF($A24="","",IF(OR($G24="",$I24=""),"",IF(ABS($I24-$G24)&gt;zincirTolerans,"ZİNCİR KIRIK","OK")))</f>
        <v/>
      </c>
      <c r="T24" s="28">
        <f>IF($A24="","",1)</f>
        <v/>
      </c>
    </row>
    <row r="25">
      <c r="A25" s="26" t="inlineStr">
        <is>
          <t>HAK-00020</t>
        </is>
      </c>
      <c r="B25" s="26" t="inlineStr">
        <is>
          <t>KAR-00004</t>
        </is>
      </c>
      <c r="C25" s="26" t="inlineStr">
        <is>
          <t>SAN-00002</t>
        </is>
      </c>
      <c r="D25" s="29" t="n">
        <v>46188</v>
      </c>
      <c r="E25" s="26" t="inlineStr">
        <is>
          <t>ONAY</t>
        </is>
      </c>
      <c r="F25" s="26" t="inlineStr">
        <is>
          <t>BEKLIYOR</t>
        </is>
      </c>
      <c r="G25" s="27" t="n">
        <v>350000</v>
      </c>
      <c r="H25" s="27" t="n">
        <v>350000</v>
      </c>
      <c r="I25" s="27" t="n">
        <v>350000</v>
      </c>
      <c r="J25" s="27" t="n">
        <v>350000</v>
      </c>
      <c r="K25" s="27" t="n">
        <v>0</v>
      </c>
      <c r="L25" s="27" t="n">
        <v>350000</v>
      </c>
      <c r="M25" s="26" t="inlineStr">
        <is>
          <t>2026-08</t>
        </is>
      </c>
      <c r="N25" s="26" t="inlineStr">
        <is>
          <t>Hakediş kalemi 20</t>
        </is>
      </c>
      <c r="O25" s="28">
        <f>IF($A25="","",IF($D25="","",raporTarihi-$D25))</f>
        <v/>
      </c>
      <c r="P25" s="28">
        <f>IF($A25="","",IF($O25="","",IF($O25&lt;=7,"0-7",IF($O25&lt;=30,"8-30",IF($O25&lt;=60,"31-60","60+")))))</f>
        <v/>
      </c>
      <c r="Q25" s="28">
        <f>IF($A25="","",IF($B25="","YETİM",IF(COUNTIF(tblKartlar[KartId],$B25)=0,"YETİM","")))</f>
        <v/>
      </c>
      <c r="R25" s="28">
        <f>IF(OR($A25="",$E25=""),"",IF(OR($E25&amp;"|"&amp;$F25="",COUNTIF(ListeIzinliGecis,$E25&amp;"|"&amp;$F25)&gt;0),"","GEÇERSİZ GEÇİŞ"))</f>
        <v/>
      </c>
      <c r="S25" s="28">
        <f>IF($A25="","",IF(OR($G25="",$I25=""),"",IF(ABS($I25-$G25)&gt;zincirTolerans,"ZİNCİR KIRIK","OK")))</f>
        <v/>
      </c>
      <c r="T25" s="28">
        <f>IF($A25="","",1)</f>
        <v/>
      </c>
    </row>
    <row r="26">
      <c r="A26" s="26" t="inlineStr">
        <is>
          <t>HAK-00021</t>
        </is>
      </c>
      <c r="B26" s="26" t="inlineStr">
        <is>
          <t>KAR-00005</t>
        </is>
      </c>
      <c r="C26" s="26" t="inlineStr">
        <is>
          <t>SAN-00003</t>
        </is>
      </c>
      <c r="D26" s="29" t="n">
        <v>46185</v>
      </c>
      <c r="E26" s="26" t="inlineStr">
        <is>
          <t>BEKLIYOR</t>
        </is>
      </c>
      <c r="F26" s="26" t="inlineStr">
        <is>
          <t>IPTAL</t>
        </is>
      </c>
      <c r="G26" s="27" t="n">
        <v>362500</v>
      </c>
      <c r="H26" s="27" t="n">
        <v>362500</v>
      </c>
      <c r="I26" s="27" t="n">
        <v>362500</v>
      </c>
      <c r="J26" s="27" t="n">
        <v>362500</v>
      </c>
      <c r="K26" s="27" t="n">
        <v>0</v>
      </c>
      <c r="L26" s="27" t="n">
        <v>362500</v>
      </c>
      <c r="M26" s="26" t="inlineStr">
        <is>
          <t>2026-08</t>
        </is>
      </c>
      <c r="N26" s="26" t="inlineStr">
        <is>
          <t>Hakediş kalemi 21</t>
        </is>
      </c>
      <c r="O26" s="28">
        <f>IF($A26="","",IF($D26="","",raporTarihi-$D26))</f>
        <v/>
      </c>
      <c r="P26" s="28">
        <f>IF($A26="","",IF($O26="","",IF($O26&lt;=7,"0-7",IF($O26&lt;=30,"8-30",IF($O26&lt;=60,"31-60","60+")))))</f>
        <v/>
      </c>
      <c r="Q26" s="28">
        <f>IF($A26="","",IF($B26="","YETİM",IF(COUNTIF(tblKartlar[KartId],$B26)=0,"YETİM","")))</f>
        <v/>
      </c>
      <c r="R26" s="28">
        <f>IF(OR($A26="",$E26=""),"",IF(OR($E26&amp;"|"&amp;$F26="",COUNTIF(ListeIzinliGecis,$E26&amp;"|"&amp;$F26)&gt;0),"","GEÇERSİZ GEÇİŞ"))</f>
        <v/>
      </c>
      <c r="S26" s="28">
        <f>IF($A26="","",IF(OR($G26="",$I26=""),"",IF(ABS($I26-$G26)&gt;zincirTolerans,"ZİNCİR KIRIK","OK")))</f>
        <v/>
      </c>
      <c r="T26" s="28">
        <f>IF($A26="","",1)</f>
        <v/>
      </c>
    </row>
    <row r="27">
      <c r="A27" s="26" t="inlineStr">
        <is>
          <t>HAK-00022</t>
        </is>
      </c>
      <c r="B27" s="26" t="n"/>
      <c r="C27" s="26" t="inlineStr">
        <is>
          <t>SAN-00001</t>
        </is>
      </c>
      <c r="D27" s="29" t="n">
        <v>46182</v>
      </c>
      <c r="E27" s="26" t="inlineStr">
        <is>
          <t>DRAFT</t>
        </is>
      </c>
      <c r="F27" s="26" t="inlineStr">
        <is>
          <t>BEKLIYOR</t>
        </is>
      </c>
      <c r="G27" s="27" t="n">
        <v>375000</v>
      </c>
      <c r="H27" s="27" t="n">
        <v>375000</v>
      </c>
      <c r="I27" s="27" t="n">
        <v>375000</v>
      </c>
      <c r="J27" s="27" t="n">
        <v>375000</v>
      </c>
      <c r="K27" s="27" t="n">
        <v>0</v>
      </c>
      <c r="L27" s="27" t="n">
        <v>375000</v>
      </c>
      <c r="M27" s="26" t="inlineStr">
        <is>
          <t>2026-08</t>
        </is>
      </c>
      <c r="N27" s="26" t="inlineStr">
        <is>
          <t>Hakediş kalemi 22</t>
        </is>
      </c>
      <c r="O27" s="28">
        <f>IF($A27="","",IF($D27="","",raporTarihi-$D27))</f>
        <v/>
      </c>
      <c r="P27" s="28">
        <f>IF($A27="","",IF($O27="","",IF($O27&lt;=7,"0-7",IF($O27&lt;=30,"8-30",IF($O27&lt;=60,"31-60","60+")))))</f>
        <v/>
      </c>
      <c r="Q27" s="28">
        <f>IF($A27="","",IF($B27="","YETİM",IF(COUNTIF(tblKartlar[KartId],$B27)=0,"YETİM","")))</f>
        <v/>
      </c>
      <c r="R27" s="28">
        <f>IF(OR($A27="",$E27=""),"",IF(OR($E27&amp;"|"&amp;$F27="",COUNTIF(ListeIzinliGecis,$E27&amp;"|"&amp;$F27)&gt;0),"","GEÇERSİZ GEÇİŞ"))</f>
        <v/>
      </c>
      <c r="S27" s="28">
        <f>IF($A27="","",IF(OR($G27="",$I27=""),"",IF(ABS($I27-$G27)&gt;zincirTolerans,"ZİNCİR KIRIK","OK")))</f>
        <v/>
      </c>
      <c r="T27" s="28">
        <f>IF($A27="","",1)</f>
        <v/>
      </c>
    </row>
    <row r="28">
      <c r="A28" s="26" t="inlineStr">
        <is>
          <t>HAK-00023</t>
        </is>
      </c>
      <c r="B28" s="26" t="inlineStr">
        <is>
          <t>KAR-00007</t>
        </is>
      </c>
      <c r="C28" s="26" t="inlineStr">
        <is>
          <t>SAN-00004</t>
        </is>
      </c>
      <c r="D28" s="29" t="n">
        <v>46179</v>
      </c>
      <c r="E28" s="26" t="inlineStr">
        <is>
          <t>BEKLIYOR</t>
        </is>
      </c>
      <c r="F28" s="26" t="inlineStr">
        <is>
          <t>ONAY</t>
        </is>
      </c>
      <c r="G28" s="27" t="n">
        <v>387500</v>
      </c>
      <c r="H28" s="27" t="n">
        <v>387500</v>
      </c>
      <c r="I28" s="27" t="n">
        <v>387500</v>
      </c>
      <c r="J28" s="27" t="n">
        <v>387500</v>
      </c>
      <c r="K28" s="27" t="n">
        <v>0</v>
      </c>
      <c r="L28" s="27" t="n">
        <v>387500</v>
      </c>
      <c r="M28" s="26" t="inlineStr">
        <is>
          <t>2026-08</t>
        </is>
      </c>
      <c r="N28" s="26" t="inlineStr">
        <is>
          <t>Hakediş kalemi 23</t>
        </is>
      </c>
      <c r="O28" s="28">
        <f>IF($A28="","",IF($D28="","",raporTarihi-$D28))</f>
        <v/>
      </c>
      <c r="P28" s="28">
        <f>IF($A28="","",IF($O28="","",IF($O28&lt;=7,"0-7",IF($O28&lt;=30,"8-30",IF($O28&lt;=60,"31-60","60+")))))</f>
        <v/>
      </c>
      <c r="Q28" s="28">
        <f>IF($A28="","",IF($B28="","YETİM",IF(COUNTIF(tblKartlar[KartId],$B28)=0,"YETİM","")))</f>
        <v/>
      </c>
      <c r="R28" s="28">
        <f>IF(OR($A28="",$E28=""),"",IF(OR($E28&amp;"|"&amp;$F28="",COUNTIF(ListeIzinliGecis,$E28&amp;"|"&amp;$F28)&gt;0),"","GEÇERSİZ GEÇİŞ"))</f>
        <v/>
      </c>
      <c r="S28" s="28">
        <f>IF($A28="","",IF(OR($G28="",$I28=""),"",IF(ABS($I28-$G28)&gt;zincirTolerans,"ZİNCİR KIRIK","OK")))</f>
        <v/>
      </c>
      <c r="T28" s="28">
        <f>IF($A28="","",1)</f>
        <v/>
      </c>
    </row>
    <row r="29">
      <c r="A29" s="26" t="inlineStr">
        <is>
          <t>HAK-00024</t>
        </is>
      </c>
      <c r="B29" s="26" t="inlineStr">
        <is>
          <t>KAR-00008</t>
        </is>
      </c>
      <c r="C29" s="26" t="inlineStr">
        <is>
          <t>SAN-00004</t>
        </is>
      </c>
      <c r="D29" s="29" t="n">
        <v>46176</v>
      </c>
      <c r="E29" s="26" t="inlineStr">
        <is>
          <t>ONAY</t>
        </is>
      </c>
      <c r="F29" s="26" t="inlineStr">
        <is>
          <t>BEKLIYOR</t>
        </is>
      </c>
      <c r="G29" s="27" t="n">
        <v>400000</v>
      </c>
      <c r="H29" s="27" t="n">
        <v>400000</v>
      </c>
      <c r="I29" s="27" t="n">
        <v>400000</v>
      </c>
      <c r="J29" s="27" t="n">
        <v>400000</v>
      </c>
      <c r="K29" s="27" t="n">
        <v>0</v>
      </c>
      <c r="L29" s="27" t="n">
        <v>400000</v>
      </c>
      <c r="M29" s="26" t="inlineStr">
        <is>
          <t>2026-08</t>
        </is>
      </c>
      <c r="N29" s="26" t="inlineStr">
        <is>
          <t>Hakediş kalemi 24</t>
        </is>
      </c>
      <c r="O29" s="28">
        <f>IF($A29="","",IF($D29="","",raporTarihi-$D29))</f>
        <v/>
      </c>
      <c r="P29" s="28">
        <f>IF($A29="","",IF($O29="","",IF($O29&lt;=7,"0-7",IF($O29&lt;=30,"8-30",IF($O29&lt;=60,"31-60","60+")))))</f>
        <v/>
      </c>
      <c r="Q29" s="28">
        <f>IF($A29="","",IF($B29="","YETİM",IF(COUNTIF(tblKartlar[KartId],$B29)=0,"YETİM","")))</f>
        <v/>
      </c>
      <c r="R29" s="28">
        <f>IF(OR($A29="",$E29=""),"",IF(OR($E29&amp;"|"&amp;$F29="",COUNTIF(ListeIzinliGecis,$E29&amp;"|"&amp;$F29)&gt;0),"","GEÇERSİZ GEÇİŞ"))</f>
        <v/>
      </c>
      <c r="S29" s="28">
        <f>IF($A29="","",IF(OR($G29="",$I29=""),"",IF(ABS($I29-$G29)&gt;zincirTolerans,"ZİNCİR KIRIK","OK")))</f>
        <v/>
      </c>
      <c r="T29" s="28">
        <f>IF($A29="","",1)</f>
        <v/>
      </c>
    </row>
    <row r="30">
      <c r="A30" s="26" t="inlineStr">
        <is>
          <t>HAK-00025</t>
        </is>
      </c>
      <c r="B30" s="26" t="inlineStr">
        <is>
          <t>KAR-99999</t>
        </is>
      </c>
      <c r="C30" s="26" t="inlineStr">
        <is>
          <t>SAN-00001</t>
        </is>
      </c>
      <c r="D30" s="29" t="n">
        <v>46248</v>
      </c>
      <c r="E30" s="26" t="n"/>
      <c r="F30" s="26" t="inlineStr">
        <is>
          <t>DRAFT</t>
        </is>
      </c>
      <c r="G30" s="27" t="n">
        <v>412500</v>
      </c>
      <c r="H30" s="27" t="n">
        <v>412500</v>
      </c>
      <c r="I30" s="27" t="n">
        <v>412500</v>
      </c>
      <c r="J30" s="27" t="n">
        <v>412500</v>
      </c>
      <c r="K30" s="27" t="n">
        <v>0</v>
      </c>
      <c r="L30" s="27" t="n">
        <v>412500</v>
      </c>
      <c r="M30" s="26" t="inlineStr">
        <is>
          <t>2026-08</t>
        </is>
      </c>
      <c r="N30" s="26" t="inlineStr">
        <is>
          <t>Hakediş kalemi 25</t>
        </is>
      </c>
      <c r="O30" s="28">
        <f>IF($A30="","",IF($D30="","",raporTarihi-$D30))</f>
        <v/>
      </c>
      <c r="P30" s="28">
        <f>IF($A30="","",IF($O30="","",IF($O30&lt;=7,"0-7",IF($O30&lt;=30,"8-30",IF($O30&lt;=60,"31-60","60+")))))</f>
        <v/>
      </c>
      <c r="Q30" s="28">
        <f>IF($A30="","",IF($B30="","YETİM",IF(COUNTIF(tblKartlar[KartId],$B30)=0,"YETİM","")))</f>
        <v/>
      </c>
      <c r="R30" s="28">
        <f>IF(OR($A30="",$E30=""),"",IF(OR($E30&amp;"|"&amp;$F30="",COUNTIF(ListeIzinliGecis,$E30&amp;"|"&amp;$F30)&gt;0),"","GEÇERSİZ GEÇİŞ"))</f>
        <v/>
      </c>
      <c r="S30" s="28">
        <f>IF($A30="","",IF(OR($G30="",$I30=""),"",IF(ABS($I30-$G30)&gt;zincirTolerans,"ZİNCİR KIRIK","OK")))</f>
        <v/>
      </c>
      <c r="T30" s="28">
        <f>IF($A30="","",1)</f>
        <v/>
      </c>
    </row>
    <row r="31">
      <c r="A31" s="26" t="inlineStr">
        <is>
          <t>HAK-00026</t>
        </is>
      </c>
      <c r="B31" s="26" t="inlineStr">
        <is>
          <t>KAR-00002</t>
        </is>
      </c>
      <c r="C31" s="26" t="inlineStr">
        <is>
          <t>SAN-00001</t>
        </is>
      </c>
      <c r="D31" s="29" t="n">
        <v>46245</v>
      </c>
      <c r="E31" s="26" t="inlineStr">
        <is>
          <t>DRAFT</t>
        </is>
      </c>
      <c r="F31" s="26" t="inlineStr">
        <is>
          <t>BEKLIYOR</t>
        </is>
      </c>
      <c r="G31" s="27" t="n">
        <v>425000</v>
      </c>
      <c r="H31" s="27" t="n">
        <v>425000</v>
      </c>
      <c r="I31" s="27" t="n">
        <v>425000</v>
      </c>
      <c r="J31" s="27" t="n">
        <v>425000</v>
      </c>
      <c r="K31" s="27" t="n">
        <v>0</v>
      </c>
      <c r="L31" s="27" t="n">
        <v>425000</v>
      </c>
      <c r="M31" s="26" t="inlineStr">
        <is>
          <t>2026-08</t>
        </is>
      </c>
      <c r="N31" s="26" t="inlineStr">
        <is>
          <t>Hakediş kalemi 26</t>
        </is>
      </c>
      <c r="O31" s="28">
        <f>IF($A31="","",IF($D31="","",raporTarihi-$D31))</f>
        <v/>
      </c>
      <c r="P31" s="28">
        <f>IF($A31="","",IF($O31="","",IF($O31&lt;=7,"0-7",IF($O31&lt;=30,"8-30",IF($O31&lt;=60,"31-60","60+")))))</f>
        <v/>
      </c>
      <c r="Q31" s="28">
        <f>IF($A31="","",IF($B31="","YETİM",IF(COUNTIF(tblKartlar[KartId],$B31)=0,"YETİM","")))</f>
        <v/>
      </c>
      <c r="R31" s="28">
        <f>IF(OR($A31="",$E31=""),"",IF(OR($E31&amp;"|"&amp;$F31="",COUNTIF(ListeIzinliGecis,$E31&amp;"|"&amp;$F31)&gt;0),"","GEÇERSİZ GEÇİŞ"))</f>
        <v/>
      </c>
      <c r="S31" s="28">
        <f>IF($A31="","",IF(OR($G31="",$I31=""),"",IF(ABS($I31-$G31)&gt;zincirTolerans,"ZİNCİR KIRIK","OK")))</f>
        <v/>
      </c>
      <c r="T31" s="28">
        <f>IF($A31="","",1)</f>
        <v/>
      </c>
    </row>
    <row r="32">
      <c r="A32" s="26" t="inlineStr">
        <is>
          <t>HAK-00027</t>
        </is>
      </c>
      <c r="B32" s="26" t="inlineStr">
        <is>
          <t>KAR-00003</t>
        </is>
      </c>
      <c r="C32" s="26" t="inlineStr">
        <is>
          <t>SAN-00002</t>
        </is>
      </c>
      <c r="D32" s="29" t="n">
        <v>46242</v>
      </c>
      <c r="E32" s="26" t="inlineStr">
        <is>
          <t>BEKLIYOR</t>
        </is>
      </c>
      <c r="F32" s="26" t="inlineStr">
        <is>
          <t>ONAY</t>
        </is>
      </c>
      <c r="G32" s="27" t="n">
        <v>437500</v>
      </c>
      <c r="H32" s="27" t="n">
        <v>437500</v>
      </c>
      <c r="I32" s="27" t="n">
        <v>437500</v>
      </c>
      <c r="J32" s="27" t="n">
        <v>437500</v>
      </c>
      <c r="K32" s="27" t="n">
        <v>0</v>
      </c>
      <c r="L32" s="27" t="n">
        <v>437500</v>
      </c>
      <c r="M32" s="26" t="inlineStr">
        <is>
          <t>2026-08</t>
        </is>
      </c>
      <c r="N32" s="26" t="inlineStr">
        <is>
          <t>Hakediş kalemi 27</t>
        </is>
      </c>
      <c r="O32" s="28">
        <f>IF($A32="","",IF($D32="","",raporTarihi-$D32))</f>
        <v/>
      </c>
      <c r="P32" s="28">
        <f>IF($A32="","",IF($O32="","",IF($O32&lt;=7,"0-7",IF($O32&lt;=30,"8-30",IF($O32&lt;=60,"31-60","60+")))))</f>
        <v/>
      </c>
      <c r="Q32" s="28">
        <f>IF($A32="","",IF($B32="","YETİM",IF(COUNTIF(tblKartlar[KartId],$B32)=0,"YETİM","")))</f>
        <v/>
      </c>
      <c r="R32" s="28">
        <f>IF(OR($A32="",$E32=""),"",IF(OR($E32&amp;"|"&amp;$F32="",COUNTIF(ListeIzinliGecis,$E32&amp;"|"&amp;$F32)&gt;0),"","GEÇERSİZ GEÇİŞ"))</f>
        <v/>
      </c>
      <c r="S32" s="28">
        <f>IF($A32="","",IF(OR($G32="",$I32=""),"",IF(ABS($I32-$G32)&gt;zincirTolerans,"ZİNCİR KIRIK","OK")))</f>
        <v/>
      </c>
      <c r="T32" s="28">
        <f>IF($A32="","",1)</f>
        <v/>
      </c>
    </row>
    <row r="33">
      <c r="A33" s="26" t="inlineStr">
        <is>
          <t>HAK-00028</t>
        </is>
      </c>
      <c r="B33" s="26" t="inlineStr">
        <is>
          <t>KAR-00004</t>
        </is>
      </c>
      <c r="C33" s="26" t="inlineStr">
        <is>
          <t>SAN-00002</t>
        </is>
      </c>
      <c r="D33" s="29" t="n">
        <v>46239</v>
      </c>
      <c r="E33" s="26" t="inlineStr">
        <is>
          <t>ONAY</t>
        </is>
      </c>
      <c r="F33" s="26" t="inlineStr">
        <is>
          <t>ODEME</t>
        </is>
      </c>
      <c r="G33" s="27" t="n">
        <v>450000</v>
      </c>
      <c r="H33" s="27" t="n">
        <v>450000</v>
      </c>
      <c r="I33" s="27" t="n">
        <v>450000</v>
      </c>
      <c r="J33" s="27" t="n">
        <v>450000</v>
      </c>
      <c r="K33" s="27" t="n">
        <v>450000</v>
      </c>
      <c r="L33" s="27" t="n">
        <v>450000</v>
      </c>
      <c r="M33" s="26" t="inlineStr">
        <is>
          <t>2026-08</t>
        </is>
      </c>
      <c r="N33" s="26" t="inlineStr">
        <is>
          <t>Hakediş kalemi 28</t>
        </is>
      </c>
      <c r="O33" s="28">
        <f>IF($A33="","",IF($D33="","",raporTarihi-$D33))</f>
        <v/>
      </c>
      <c r="P33" s="28">
        <f>IF($A33="","",IF($O33="","",IF($O33&lt;=7,"0-7",IF($O33&lt;=30,"8-30",IF($O33&lt;=60,"31-60","60+")))))</f>
        <v/>
      </c>
      <c r="Q33" s="28">
        <f>IF($A33="","",IF($B33="","YETİM",IF(COUNTIF(tblKartlar[KartId],$B33)=0,"YETİM","")))</f>
        <v/>
      </c>
      <c r="R33" s="28">
        <f>IF(OR($A33="",$E33=""),"",IF(OR($E33&amp;"|"&amp;$F33="",COUNTIF(ListeIzinliGecis,$E33&amp;"|"&amp;$F33)&gt;0),"","GEÇERSİZ GEÇİŞ"))</f>
        <v/>
      </c>
      <c r="S33" s="28">
        <f>IF($A33="","",IF(OR($G33="",$I33=""),"",IF(ABS($I33-$G33)&gt;zincirTolerans,"ZİNCİR KIRIK","OK")))</f>
        <v/>
      </c>
      <c r="T33" s="28">
        <f>IF($A33="","",1)</f>
        <v/>
      </c>
    </row>
    <row r="34">
      <c r="A34" s="26" t="n"/>
      <c r="B34" s="26" t="n"/>
      <c r="C34" s="26" t="n"/>
      <c r="D34" s="29" t="n"/>
      <c r="E34" s="26" t="n"/>
      <c r="F34" s="26" t="n"/>
      <c r="G34" s="27" t="n"/>
      <c r="H34" s="27" t="n"/>
      <c r="I34" s="27" t="n"/>
      <c r="J34" s="27" t="n"/>
      <c r="K34" s="27" t="n"/>
      <c r="L34" s="27" t="n"/>
      <c r="M34" s="26" t="n"/>
      <c r="N34" s="26" t="n"/>
      <c r="O34" s="28">
        <f>IF($A34="","",IF($D34="","",raporTarihi-$D34))</f>
        <v/>
      </c>
      <c r="P34" s="28">
        <f>IF($A34="","",IF($O34="","",IF($O34&lt;=7,"0-7",IF($O34&lt;=30,"8-30",IF($O34&lt;=60,"31-60","60+")))))</f>
        <v/>
      </c>
      <c r="Q34" s="28">
        <f>IF($A34="","",IF($B34="","YETİM",IF(COUNTIF(tblKartlar[KartId],$B34)=0,"YETİM","")))</f>
        <v/>
      </c>
      <c r="R34" s="28">
        <f>IF(OR($A34="",$E34=""),"",IF(OR($E34&amp;"|"&amp;$F34="",COUNTIF(ListeIzinliGecis,$E34&amp;"|"&amp;$F34)&gt;0),"","GEÇERSİZ GEÇİŞ"))</f>
        <v/>
      </c>
      <c r="S34" s="28">
        <f>IF($A34="","",IF(OR($G34="",$I34=""),"",IF(ABS($I34-$G34)&gt;zincirTolerans,"ZİNCİR KIRIK","OK")))</f>
        <v/>
      </c>
      <c r="T34" s="28">
        <f>IF($A34="","",1)</f>
        <v/>
      </c>
    </row>
    <row r="35">
      <c r="A35" s="26" t="n"/>
      <c r="B35" s="26" t="n"/>
      <c r="C35" s="26" t="n"/>
      <c r="D35" s="29" t="n"/>
      <c r="E35" s="26" t="n"/>
      <c r="F35" s="26" t="n"/>
      <c r="G35" s="27" t="n"/>
      <c r="H35" s="27" t="n"/>
      <c r="I35" s="27" t="n"/>
      <c r="J35" s="27" t="n"/>
      <c r="K35" s="27" t="n"/>
      <c r="L35" s="27" t="n"/>
      <c r="M35" s="26" t="n"/>
      <c r="N35" s="26" t="n"/>
      <c r="O35" s="28">
        <f>IF($A35="","",IF($D35="","",raporTarihi-$D35))</f>
        <v/>
      </c>
      <c r="P35" s="28">
        <f>IF($A35="","",IF($O35="","",IF($O35&lt;=7,"0-7",IF($O35&lt;=30,"8-30",IF($O35&lt;=60,"31-60","60+")))))</f>
        <v/>
      </c>
      <c r="Q35" s="28">
        <f>IF($A35="","",IF($B35="","YETİM",IF(COUNTIF(tblKartlar[KartId],$B35)=0,"YETİM","")))</f>
        <v/>
      </c>
      <c r="R35" s="28">
        <f>IF(OR($A35="",$E35=""),"",IF(OR($E35&amp;"|"&amp;$F35="",COUNTIF(ListeIzinliGecis,$E35&amp;"|"&amp;$F35)&gt;0),"","GEÇERSİZ GEÇİŞ"))</f>
        <v/>
      </c>
      <c r="S35" s="28">
        <f>IF($A35="","",IF(OR($G35="",$I35=""),"",IF(ABS($I35-$G35)&gt;zincirTolerans,"ZİNCİR KIRIK","OK")))</f>
        <v/>
      </c>
      <c r="T35" s="28">
        <f>IF($A35="","",1)</f>
        <v/>
      </c>
    </row>
    <row r="36">
      <c r="A36" s="26" t="n"/>
      <c r="B36" s="26" t="n"/>
      <c r="C36" s="26" t="n"/>
      <c r="D36" s="29" t="n"/>
      <c r="E36" s="26" t="n"/>
      <c r="F36" s="26" t="n"/>
      <c r="G36" s="27" t="n"/>
      <c r="H36" s="27" t="n"/>
      <c r="I36" s="27" t="n"/>
      <c r="J36" s="27" t="n"/>
      <c r="K36" s="27" t="n"/>
      <c r="L36" s="27" t="n"/>
      <c r="M36" s="26" t="n"/>
      <c r="N36" s="26" t="n"/>
      <c r="O36" s="28">
        <f>IF($A36="","",IF($D36="","",raporTarihi-$D36))</f>
        <v/>
      </c>
      <c r="P36" s="28">
        <f>IF($A36="","",IF($O36="","",IF($O36&lt;=7,"0-7",IF($O36&lt;=30,"8-30",IF($O36&lt;=60,"31-60","60+")))))</f>
        <v/>
      </c>
      <c r="Q36" s="28">
        <f>IF($A36="","",IF($B36="","YETİM",IF(COUNTIF(tblKartlar[KartId],$B36)=0,"YETİM","")))</f>
        <v/>
      </c>
      <c r="R36" s="28">
        <f>IF(OR($A36="",$E36=""),"",IF(OR($E36&amp;"|"&amp;$F36="",COUNTIF(ListeIzinliGecis,$E36&amp;"|"&amp;$F36)&gt;0),"","GEÇERSİZ GEÇİŞ"))</f>
        <v/>
      </c>
      <c r="S36" s="28">
        <f>IF($A36="","",IF(OR($G36="",$I36=""),"",IF(ABS($I36-$G36)&gt;zincirTolerans,"ZİNCİR KIRIK","OK")))</f>
        <v/>
      </c>
      <c r="T36" s="28">
        <f>IF($A36="","",1)</f>
        <v/>
      </c>
    </row>
    <row r="37">
      <c r="A37" s="26" t="n"/>
      <c r="B37" s="26" t="n"/>
      <c r="C37" s="26" t="n"/>
      <c r="D37" s="29" t="n"/>
      <c r="E37" s="26" t="n"/>
      <c r="F37" s="26" t="n"/>
      <c r="G37" s="27" t="n"/>
      <c r="H37" s="27" t="n"/>
      <c r="I37" s="27" t="n"/>
      <c r="J37" s="27" t="n"/>
      <c r="K37" s="27" t="n"/>
      <c r="L37" s="27" t="n"/>
      <c r="M37" s="26" t="n"/>
      <c r="N37" s="26" t="n"/>
      <c r="O37" s="28">
        <f>IF($A37="","",IF($D37="","",raporTarihi-$D37))</f>
        <v/>
      </c>
      <c r="P37" s="28">
        <f>IF($A37="","",IF($O37="","",IF($O37&lt;=7,"0-7",IF($O37&lt;=30,"8-30",IF($O37&lt;=60,"31-60","60+")))))</f>
        <v/>
      </c>
      <c r="Q37" s="28">
        <f>IF($A37="","",IF($B37="","YETİM",IF(COUNTIF(tblKartlar[KartId],$B37)=0,"YETİM","")))</f>
        <v/>
      </c>
      <c r="R37" s="28">
        <f>IF(OR($A37="",$E37=""),"",IF(OR($E37&amp;"|"&amp;$F37="",COUNTIF(ListeIzinliGecis,$E37&amp;"|"&amp;$F37)&gt;0),"","GEÇERSİZ GEÇİŞ"))</f>
        <v/>
      </c>
      <c r="S37" s="28">
        <f>IF($A37="","",IF(OR($G37="",$I37=""),"",IF(ABS($I37-$G37)&gt;zincirTolerans,"ZİNCİR KIRIK","OK")))</f>
        <v/>
      </c>
      <c r="T37" s="28">
        <f>IF($A37="","",1)</f>
        <v/>
      </c>
    </row>
    <row r="38">
      <c r="A38" s="26" t="n"/>
      <c r="B38" s="26" t="n"/>
      <c r="C38" s="26" t="n"/>
      <c r="D38" s="29" t="n"/>
      <c r="E38" s="26" t="n"/>
      <c r="F38" s="26" t="n"/>
      <c r="G38" s="27" t="n"/>
      <c r="H38" s="27" t="n"/>
      <c r="I38" s="27" t="n"/>
      <c r="J38" s="27" t="n"/>
      <c r="K38" s="27" t="n"/>
      <c r="L38" s="27" t="n"/>
      <c r="M38" s="26" t="n"/>
      <c r="N38" s="26" t="n"/>
      <c r="O38" s="28">
        <f>IF($A38="","",IF($D38="","",raporTarihi-$D38))</f>
        <v/>
      </c>
      <c r="P38" s="28">
        <f>IF($A38="","",IF($O38="","",IF($O38&lt;=7,"0-7",IF($O38&lt;=30,"8-30",IF($O38&lt;=60,"31-60","60+")))))</f>
        <v/>
      </c>
      <c r="Q38" s="28">
        <f>IF($A38="","",IF($B38="","YETİM",IF(COUNTIF(tblKartlar[KartId],$B38)=0,"YETİM","")))</f>
        <v/>
      </c>
      <c r="R38" s="28">
        <f>IF(OR($A38="",$E38=""),"",IF(OR($E38&amp;"|"&amp;$F38="",COUNTIF(ListeIzinliGecis,$E38&amp;"|"&amp;$F38)&gt;0),"","GEÇERSİZ GEÇİŞ"))</f>
        <v/>
      </c>
      <c r="S38" s="28">
        <f>IF($A38="","",IF(OR($G38="",$I38=""),"",IF(ABS($I38-$G38)&gt;zincirTolerans,"ZİNCİR KIRIK","OK")))</f>
        <v/>
      </c>
      <c r="T38" s="28">
        <f>IF($A38="","",1)</f>
        <v/>
      </c>
    </row>
    <row r="39">
      <c r="A39" s="26" t="n"/>
      <c r="B39" s="26" t="n"/>
      <c r="C39" s="26" t="n"/>
      <c r="D39" s="29" t="n"/>
      <c r="E39" s="26" t="n"/>
      <c r="F39" s="26" t="n"/>
      <c r="G39" s="27" t="n"/>
      <c r="H39" s="27" t="n"/>
      <c r="I39" s="27" t="n"/>
      <c r="J39" s="27" t="n"/>
      <c r="K39" s="27" t="n"/>
      <c r="L39" s="27" t="n"/>
      <c r="M39" s="26" t="n"/>
      <c r="N39" s="26" t="n"/>
      <c r="O39" s="28">
        <f>IF($A39="","",IF($D39="","",raporTarihi-$D39))</f>
        <v/>
      </c>
      <c r="P39" s="28">
        <f>IF($A39="","",IF($O39="","",IF($O39&lt;=7,"0-7",IF($O39&lt;=30,"8-30",IF($O39&lt;=60,"31-60","60+")))))</f>
        <v/>
      </c>
      <c r="Q39" s="28">
        <f>IF($A39="","",IF($B39="","YETİM",IF(COUNTIF(tblKartlar[KartId],$B39)=0,"YETİM","")))</f>
        <v/>
      </c>
      <c r="R39" s="28">
        <f>IF(OR($A39="",$E39=""),"",IF(OR($E39&amp;"|"&amp;$F39="",COUNTIF(ListeIzinliGecis,$E39&amp;"|"&amp;$F39)&gt;0),"","GEÇERSİZ GEÇİŞ"))</f>
        <v/>
      </c>
      <c r="S39" s="28">
        <f>IF($A39="","",IF(OR($G39="",$I39=""),"",IF(ABS($I39-$G39)&gt;zincirTolerans,"ZİNCİR KIRIK","OK")))</f>
        <v/>
      </c>
      <c r="T39" s="28">
        <f>IF($A39="","",1)</f>
        <v/>
      </c>
    </row>
    <row r="40">
      <c r="A40" s="26" t="n"/>
      <c r="B40" s="26" t="n"/>
      <c r="C40" s="26" t="n"/>
      <c r="D40" s="29" t="n"/>
      <c r="E40" s="26" t="n"/>
      <c r="F40" s="26" t="n"/>
      <c r="G40" s="27" t="n"/>
      <c r="H40" s="27" t="n"/>
      <c r="I40" s="27" t="n"/>
      <c r="J40" s="27" t="n"/>
      <c r="K40" s="27" t="n"/>
      <c r="L40" s="27" t="n"/>
      <c r="M40" s="26" t="n"/>
      <c r="N40" s="26" t="n"/>
      <c r="O40" s="28">
        <f>IF($A40="","",IF($D40="","",raporTarihi-$D40))</f>
        <v/>
      </c>
      <c r="P40" s="28">
        <f>IF($A40="","",IF($O40="","",IF($O40&lt;=7,"0-7",IF($O40&lt;=30,"8-30",IF($O40&lt;=60,"31-60","60+")))))</f>
        <v/>
      </c>
      <c r="Q40" s="28">
        <f>IF($A40="","",IF($B40="","YETİM",IF(COUNTIF(tblKartlar[KartId],$B40)=0,"YETİM","")))</f>
        <v/>
      </c>
      <c r="R40" s="28">
        <f>IF(OR($A40="",$E40=""),"",IF(OR($E40&amp;"|"&amp;$F40="",COUNTIF(ListeIzinliGecis,$E40&amp;"|"&amp;$F40)&gt;0),"","GEÇERSİZ GEÇİŞ"))</f>
        <v/>
      </c>
      <c r="S40" s="28">
        <f>IF($A40="","",IF(OR($G40="",$I40=""),"",IF(ABS($I40-$G40)&gt;zincirTolerans,"ZİNCİR KIRIK","OK")))</f>
        <v/>
      </c>
      <c r="T40" s="28">
        <f>IF($A40="","",1)</f>
        <v/>
      </c>
    </row>
    <row r="41">
      <c r="A41" s="26" t="n"/>
      <c r="B41" s="26" t="n"/>
      <c r="C41" s="26" t="n"/>
      <c r="D41" s="29" t="n"/>
      <c r="E41" s="26" t="n"/>
      <c r="F41" s="26" t="n"/>
      <c r="G41" s="27" t="n"/>
      <c r="H41" s="27" t="n"/>
      <c r="I41" s="27" t="n"/>
      <c r="J41" s="27" t="n"/>
      <c r="K41" s="27" t="n"/>
      <c r="L41" s="27" t="n"/>
      <c r="M41" s="26" t="n"/>
      <c r="N41" s="26" t="n"/>
      <c r="O41" s="28">
        <f>IF($A41="","",IF($D41="","",raporTarihi-$D41))</f>
        <v/>
      </c>
      <c r="P41" s="28">
        <f>IF($A41="","",IF($O41="","",IF($O41&lt;=7,"0-7",IF($O41&lt;=30,"8-30",IF($O41&lt;=60,"31-60","60+")))))</f>
        <v/>
      </c>
      <c r="Q41" s="28">
        <f>IF($A41="","",IF($B41="","YETİM",IF(COUNTIF(tblKartlar[KartId],$B41)=0,"YETİM","")))</f>
        <v/>
      </c>
      <c r="R41" s="28">
        <f>IF(OR($A41="",$E41=""),"",IF(OR($E41&amp;"|"&amp;$F41="",COUNTIF(ListeIzinliGecis,$E41&amp;"|"&amp;$F41)&gt;0),"","GEÇERSİZ GEÇİŞ"))</f>
        <v/>
      </c>
      <c r="S41" s="28">
        <f>IF($A41="","",IF(OR($G41="",$I41=""),"",IF(ABS($I41-$G41)&gt;zincirTolerans,"ZİNCİR KIRIK","OK")))</f>
        <v/>
      </c>
      <c r="T41" s="28">
        <f>IF($A41="","",1)</f>
        <v/>
      </c>
    </row>
    <row r="42">
      <c r="A42" s="26" t="n"/>
      <c r="B42" s="26" t="n"/>
      <c r="C42" s="26" t="n"/>
      <c r="D42" s="29" t="n"/>
      <c r="E42" s="26" t="n"/>
      <c r="F42" s="26" t="n"/>
      <c r="G42" s="27" t="n"/>
      <c r="H42" s="27" t="n"/>
      <c r="I42" s="27" t="n"/>
      <c r="J42" s="27" t="n"/>
      <c r="K42" s="27" t="n"/>
      <c r="L42" s="27" t="n"/>
      <c r="M42" s="26" t="n"/>
      <c r="N42" s="26" t="n"/>
      <c r="O42" s="28">
        <f>IF($A42="","",IF($D42="","",raporTarihi-$D42))</f>
        <v/>
      </c>
      <c r="P42" s="28">
        <f>IF($A42="","",IF($O42="","",IF($O42&lt;=7,"0-7",IF($O42&lt;=30,"8-30",IF($O42&lt;=60,"31-60","60+")))))</f>
        <v/>
      </c>
      <c r="Q42" s="28">
        <f>IF($A42="","",IF($B42="","YETİM",IF(COUNTIF(tblKartlar[KartId],$B42)=0,"YETİM","")))</f>
        <v/>
      </c>
      <c r="R42" s="28">
        <f>IF(OR($A42="",$E42=""),"",IF(OR($E42&amp;"|"&amp;$F42="",COUNTIF(ListeIzinliGecis,$E42&amp;"|"&amp;$F42)&gt;0),"","GEÇERSİZ GEÇİŞ"))</f>
        <v/>
      </c>
      <c r="S42" s="28">
        <f>IF($A42="","",IF(OR($G42="",$I42=""),"",IF(ABS($I42-$G42)&gt;zincirTolerans,"ZİNCİR KIRIK","OK")))</f>
        <v/>
      </c>
      <c r="T42" s="28">
        <f>IF($A42="","",1)</f>
        <v/>
      </c>
    </row>
    <row r="43">
      <c r="A43" s="26" t="n"/>
      <c r="B43" s="26" t="n"/>
      <c r="C43" s="26" t="n"/>
      <c r="D43" s="29" t="n"/>
      <c r="E43" s="26" t="n"/>
      <c r="F43" s="26" t="n"/>
      <c r="G43" s="27" t="n"/>
      <c r="H43" s="27" t="n"/>
      <c r="I43" s="27" t="n"/>
      <c r="J43" s="27" t="n"/>
      <c r="K43" s="27" t="n"/>
      <c r="L43" s="27" t="n"/>
      <c r="M43" s="26" t="n"/>
      <c r="N43" s="26" t="n"/>
      <c r="O43" s="28">
        <f>IF($A43="","",IF($D43="","",raporTarihi-$D43))</f>
        <v/>
      </c>
      <c r="P43" s="28">
        <f>IF($A43="","",IF($O43="","",IF($O43&lt;=7,"0-7",IF($O43&lt;=30,"8-30",IF($O43&lt;=60,"31-60","60+")))))</f>
        <v/>
      </c>
      <c r="Q43" s="28">
        <f>IF($A43="","",IF($B43="","YETİM",IF(COUNTIF(tblKartlar[KartId],$B43)=0,"YETİM","")))</f>
        <v/>
      </c>
      <c r="R43" s="28">
        <f>IF(OR($A43="",$E43=""),"",IF(OR($E43&amp;"|"&amp;$F43="",COUNTIF(ListeIzinliGecis,$E43&amp;"|"&amp;$F43)&gt;0),"","GEÇERSİZ GEÇİŞ"))</f>
        <v/>
      </c>
      <c r="S43" s="28">
        <f>IF($A43="","",IF(OR($G43="",$I43=""),"",IF(ABS($I43-$G43)&gt;zincirTolerans,"ZİNCİR KIRIK","OK")))</f>
        <v/>
      </c>
      <c r="T43" s="28">
        <f>IF($A43="","",1)</f>
        <v/>
      </c>
    </row>
    <row r="44">
      <c r="A44" s="26" t="n"/>
      <c r="B44" s="26" t="n"/>
      <c r="C44" s="26" t="n"/>
      <c r="D44" s="29" t="n"/>
      <c r="E44" s="26" t="n"/>
      <c r="F44" s="26" t="n"/>
      <c r="G44" s="27" t="n"/>
      <c r="H44" s="27" t="n"/>
      <c r="I44" s="27" t="n"/>
      <c r="J44" s="27" t="n"/>
      <c r="K44" s="27" t="n"/>
      <c r="L44" s="27" t="n"/>
      <c r="M44" s="26" t="n"/>
      <c r="N44" s="26" t="n"/>
      <c r="O44" s="28">
        <f>IF($A44="","",IF($D44="","",raporTarihi-$D44))</f>
        <v/>
      </c>
      <c r="P44" s="28">
        <f>IF($A44="","",IF($O44="","",IF($O44&lt;=7,"0-7",IF($O44&lt;=30,"8-30",IF($O44&lt;=60,"31-60","60+")))))</f>
        <v/>
      </c>
      <c r="Q44" s="28">
        <f>IF($A44="","",IF($B44="","YETİM",IF(COUNTIF(tblKartlar[KartId],$B44)=0,"YETİM","")))</f>
        <v/>
      </c>
      <c r="R44" s="28">
        <f>IF(OR($A44="",$E44=""),"",IF(OR($E44&amp;"|"&amp;$F44="",COUNTIF(ListeIzinliGecis,$E44&amp;"|"&amp;$F44)&gt;0),"","GEÇERSİZ GEÇİŞ"))</f>
        <v/>
      </c>
      <c r="S44" s="28">
        <f>IF($A44="","",IF(OR($G44="",$I44=""),"",IF(ABS($I44-$G44)&gt;zincirTolerans,"ZİNCİR KIRIK","OK")))</f>
        <v/>
      </c>
      <c r="T44" s="28">
        <f>IF($A44="","",1)</f>
        <v/>
      </c>
    </row>
    <row r="45">
      <c r="A45" s="26" t="n"/>
      <c r="B45" s="26" t="n"/>
      <c r="C45" s="26" t="n"/>
      <c r="D45" s="29" t="n"/>
      <c r="E45" s="26" t="n"/>
      <c r="F45" s="26" t="n"/>
      <c r="G45" s="27" t="n"/>
      <c r="H45" s="27" t="n"/>
      <c r="I45" s="27" t="n"/>
      <c r="J45" s="27" t="n"/>
      <c r="K45" s="27" t="n"/>
      <c r="L45" s="27" t="n"/>
      <c r="M45" s="26" t="n"/>
      <c r="N45" s="26" t="n"/>
      <c r="O45" s="28">
        <f>IF($A45="","",IF($D45="","",raporTarihi-$D45))</f>
        <v/>
      </c>
      <c r="P45" s="28">
        <f>IF($A45="","",IF($O45="","",IF($O45&lt;=7,"0-7",IF($O45&lt;=30,"8-30",IF($O45&lt;=60,"31-60","60+")))))</f>
        <v/>
      </c>
      <c r="Q45" s="28">
        <f>IF($A45="","",IF($B45="","YETİM",IF(COUNTIF(tblKartlar[KartId],$B45)=0,"YETİM","")))</f>
        <v/>
      </c>
      <c r="R45" s="28">
        <f>IF(OR($A45="",$E45=""),"",IF(OR($E45&amp;"|"&amp;$F45="",COUNTIF(ListeIzinliGecis,$E45&amp;"|"&amp;$F45)&gt;0),"","GEÇERSİZ GEÇİŞ"))</f>
        <v/>
      </c>
      <c r="S45" s="28">
        <f>IF($A45="","",IF(OR($G45="",$I45=""),"",IF(ABS($I45-$G45)&gt;zincirTolerans,"ZİNCİR KIRIK","OK")))</f>
        <v/>
      </c>
      <c r="T45" s="28">
        <f>IF($A45="","",1)</f>
        <v/>
      </c>
    </row>
    <row r="46">
      <c r="A46" s="26" t="n"/>
      <c r="B46" s="26" t="n"/>
      <c r="C46" s="26" t="n"/>
      <c r="D46" s="29" t="n"/>
      <c r="E46" s="26" t="n"/>
      <c r="F46" s="26" t="n"/>
      <c r="G46" s="27" t="n"/>
      <c r="H46" s="27" t="n"/>
      <c r="I46" s="27" t="n"/>
      <c r="J46" s="27" t="n"/>
      <c r="K46" s="27" t="n"/>
      <c r="L46" s="27" t="n"/>
      <c r="M46" s="26" t="n"/>
      <c r="N46" s="26" t="n"/>
      <c r="O46" s="28">
        <f>IF($A46="","",IF($D46="","",raporTarihi-$D46))</f>
        <v/>
      </c>
      <c r="P46" s="28">
        <f>IF($A46="","",IF($O46="","",IF($O46&lt;=7,"0-7",IF($O46&lt;=30,"8-30",IF($O46&lt;=60,"31-60","60+")))))</f>
        <v/>
      </c>
      <c r="Q46" s="28">
        <f>IF($A46="","",IF($B46="","YETİM",IF(COUNTIF(tblKartlar[KartId],$B46)=0,"YETİM","")))</f>
        <v/>
      </c>
      <c r="R46" s="28">
        <f>IF(OR($A46="",$E46=""),"",IF(OR($E46&amp;"|"&amp;$F46="",COUNTIF(ListeIzinliGecis,$E46&amp;"|"&amp;$F46)&gt;0),"","GEÇERSİZ GEÇİŞ"))</f>
        <v/>
      </c>
      <c r="S46" s="28">
        <f>IF($A46="","",IF(OR($G46="",$I46=""),"",IF(ABS($I46-$G46)&gt;zincirTolerans,"ZİNCİR KIRIK","OK")))</f>
        <v/>
      </c>
      <c r="T46" s="28">
        <f>IF($A46="","",1)</f>
        <v/>
      </c>
    </row>
    <row r="47">
      <c r="A47" s="26" t="n"/>
      <c r="B47" s="26" t="n"/>
      <c r="C47" s="26" t="n"/>
      <c r="D47" s="29" t="n"/>
      <c r="E47" s="26" t="n"/>
      <c r="F47" s="26" t="n"/>
      <c r="G47" s="27" t="n"/>
      <c r="H47" s="27" t="n"/>
      <c r="I47" s="27" t="n"/>
      <c r="J47" s="27" t="n"/>
      <c r="K47" s="27" t="n"/>
      <c r="L47" s="27" t="n"/>
      <c r="M47" s="26" t="n"/>
      <c r="N47" s="26" t="n"/>
      <c r="O47" s="28">
        <f>IF($A47="","",IF($D47="","",raporTarihi-$D47))</f>
        <v/>
      </c>
      <c r="P47" s="28">
        <f>IF($A47="","",IF($O47="","",IF($O47&lt;=7,"0-7",IF($O47&lt;=30,"8-30",IF($O47&lt;=60,"31-60","60+")))))</f>
        <v/>
      </c>
      <c r="Q47" s="28">
        <f>IF($A47="","",IF($B47="","YETİM",IF(COUNTIF(tblKartlar[KartId],$B47)=0,"YETİM","")))</f>
        <v/>
      </c>
      <c r="R47" s="28">
        <f>IF(OR($A47="",$E47=""),"",IF(OR($E47&amp;"|"&amp;$F47="",COUNTIF(ListeIzinliGecis,$E47&amp;"|"&amp;$F47)&gt;0),"","GEÇERSİZ GEÇİŞ"))</f>
        <v/>
      </c>
      <c r="S47" s="28">
        <f>IF($A47="","",IF(OR($G47="",$I47=""),"",IF(ABS($I47-$G47)&gt;zincirTolerans,"ZİNCİR KIRIK","OK")))</f>
        <v/>
      </c>
      <c r="T47" s="28">
        <f>IF($A47="","",1)</f>
        <v/>
      </c>
    </row>
    <row r="48">
      <c r="A48" s="26" t="n"/>
      <c r="B48" s="26" t="n"/>
      <c r="C48" s="26" t="n"/>
      <c r="D48" s="29" t="n"/>
      <c r="E48" s="26" t="n"/>
      <c r="F48" s="26" t="n"/>
      <c r="G48" s="27" t="n"/>
      <c r="H48" s="27" t="n"/>
      <c r="I48" s="27" t="n"/>
      <c r="J48" s="27" t="n"/>
      <c r="K48" s="27" t="n"/>
      <c r="L48" s="27" t="n"/>
      <c r="M48" s="26" t="n"/>
      <c r="N48" s="26" t="n"/>
      <c r="O48" s="28">
        <f>IF($A48="","",IF($D48="","",raporTarihi-$D48))</f>
        <v/>
      </c>
      <c r="P48" s="28">
        <f>IF($A48="","",IF($O48="","",IF($O48&lt;=7,"0-7",IF($O48&lt;=30,"8-30",IF($O48&lt;=60,"31-60","60+")))))</f>
        <v/>
      </c>
      <c r="Q48" s="28">
        <f>IF($A48="","",IF($B48="","YETİM",IF(COUNTIF(tblKartlar[KartId],$B48)=0,"YETİM","")))</f>
        <v/>
      </c>
      <c r="R48" s="28">
        <f>IF(OR($A48="",$E48=""),"",IF(OR($E48&amp;"|"&amp;$F48="",COUNTIF(ListeIzinliGecis,$E48&amp;"|"&amp;$F48)&gt;0),"","GEÇERSİZ GEÇİŞ"))</f>
        <v/>
      </c>
      <c r="S48" s="28">
        <f>IF($A48="","",IF(OR($G48="",$I48=""),"",IF(ABS($I48-$G48)&gt;zincirTolerans,"ZİNCİR KIRIK","OK")))</f>
        <v/>
      </c>
      <c r="T48" s="28">
        <f>IF($A48="","",1)</f>
        <v/>
      </c>
    </row>
    <row r="49">
      <c r="A49" s="26" t="n"/>
      <c r="B49" s="26" t="n"/>
      <c r="C49" s="26" t="n"/>
      <c r="D49" s="29" t="n"/>
      <c r="E49" s="26" t="n"/>
      <c r="F49" s="26" t="n"/>
      <c r="G49" s="27" t="n"/>
      <c r="H49" s="27" t="n"/>
      <c r="I49" s="27" t="n"/>
      <c r="J49" s="27" t="n"/>
      <c r="K49" s="27" t="n"/>
      <c r="L49" s="27" t="n"/>
      <c r="M49" s="26" t="n"/>
      <c r="N49" s="26" t="n"/>
      <c r="O49" s="28">
        <f>IF($A49="","",IF($D49="","",raporTarihi-$D49))</f>
        <v/>
      </c>
      <c r="P49" s="28">
        <f>IF($A49="","",IF($O49="","",IF($O49&lt;=7,"0-7",IF($O49&lt;=30,"8-30",IF($O49&lt;=60,"31-60","60+")))))</f>
        <v/>
      </c>
      <c r="Q49" s="28">
        <f>IF($A49="","",IF($B49="","YETİM",IF(COUNTIF(tblKartlar[KartId],$B49)=0,"YETİM","")))</f>
        <v/>
      </c>
      <c r="R49" s="28">
        <f>IF(OR($A49="",$E49=""),"",IF(OR($E49&amp;"|"&amp;$F49="",COUNTIF(ListeIzinliGecis,$E49&amp;"|"&amp;$F49)&gt;0),"","GEÇERSİZ GEÇİŞ"))</f>
        <v/>
      </c>
      <c r="S49" s="28">
        <f>IF($A49="","",IF(OR($G49="",$I49=""),"",IF(ABS($I49-$G49)&gt;zincirTolerans,"ZİNCİR KIRIK","OK")))</f>
        <v/>
      </c>
      <c r="T49" s="28">
        <f>IF($A49="","",1)</f>
        <v/>
      </c>
    </row>
    <row r="50">
      <c r="A50" s="26" t="n"/>
      <c r="B50" s="26" t="n"/>
      <c r="C50" s="26" t="n"/>
      <c r="D50" s="29" t="n"/>
      <c r="E50" s="26" t="n"/>
      <c r="F50" s="26" t="n"/>
      <c r="G50" s="27" t="n"/>
      <c r="H50" s="27" t="n"/>
      <c r="I50" s="27" t="n"/>
      <c r="J50" s="27" t="n"/>
      <c r="K50" s="27" t="n"/>
      <c r="L50" s="27" t="n"/>
      <c r="M50" s="26" t="n"/>
      <c r="N50" s="26" t="n"/>
      <c r="O50" s="28">
        <f>IF($A50="","",IF($D50="","",raporTarihi-$D50))</f>
        <v/>
      </c>
      <c r="P50" s="28">
        <f>IF($A50="","",IF($O50="","",IF($O50&lt;=7,"0-7",IF($O50&lt;=30,"8-30",IF($O50&lt;=60,"31-60","60+")))))</f>
        <v/>
      </c>
      <c r="Q50" s="28">
        <f>IF($A50="","",IF($B50="","YETİM",IF(COUNTIF(tblKartlar[KartId],$B50)=0,"YETİM","")))</f>
        <v/>
      </c>
      <c r="R50" s="28">
        <f>IF(OR($A50="",$E50=""),"",IF(OR($E50&amp;"|"&amp;$F50="",COUNTIF(ListeIzinliGecis,$E50&amp;"|"&amp;$F50)&gt;0),"","GEÇERSİZ GEÇİŞ"))</f>
        <v/>
      </c>
      <c r="S50" s="28">
        <f>IF($A50="","",IF(OR($G50="",$I50=""),"",IF(ABS($I50-$G50)&gt;zincirTolerans,"ZİNCİR KIRIK","OK")))</f>
        <v/>
      </c>
      <c r="T50" s="28">
        <f>IF($A50="","",1)</f>
        <v/>
      </c>
    </row>
    <row r="51">
      <c r="A51" s="26" t="n"/>
      <c r="B51" s="26" t="n"/>
      <c r="C51" s="26" t="n"/>
      <c r="D51" s="29" t="n"/>
      <c r="E51" s="26" t="n"/>
      <c r="F51" s="26" t="n"/>
      <c r="G51" s="27" t="n"/>
      <c r="H51" s="27" t="n"/>
      <c r="I51" s="27" t="n"/>
      <c r="J51" s="27" t="n"/>
      <c r="K51" s="27" t="n"/>
      <c r="L51" s="27" t="n"/>
      <c r="M51" s="26" t="n"/>
      <c r="N51" s="26" t="n"/>
      <c r="O51" s="28">
        <f>IF($A51="","",IF($D51="","",raporTarihi-$D51))</f>
        <v/>
      </c>
      <c r="P51" s="28">
        <f>IF($A51="","",IF($O51="","",IF($O51&lt;=7,"0-7",IF($O51&lt;=30,"8-30",IF($O51&lt;=60,"31-60","60+")))))</f>
        <v/>
      </c>
      <c r="Q51" s="28">
        <f>IF($A51="","",IF($B51="","YETİM",IF(COUNTIF(tblKartlar[KartId],$B51)=0,"YETİM","")))</f>
        <v/>
      </c>
      <c r="R51" s="28">
        <f>IF(OR($A51="",$E51=""),"",IF(OR($E51&amp;"|"&amp;$F51="",COUNTIF(ListeIzinliGecis,$E51&amp;"|"&amp;$F51)&gt;0),"","GEÇERSİZ GEÇİŞ"))</f>
        <v/>
      </c>
      <c r="S51" s="28">
        <f>IF($A51="","",IF(OR($G51="",$I51=""),"",IF(ABS($I51-$G51)&gt;zincirTolerans,"ZİNCİR KIRIK","OK")))</f>
        <v/>
      </c>
      <c r="T51" s="28">
        <f>IF($A51="","",1)</f>
        <v/>
      </c>
    </row>
    <row r="52">
      <c r="A52" s="26" t="n"/>
      <c r="B52" s="26" t="n"/>
      <c r="C52" s="26" t="n"/>
      <c r="D52" s="29" t="n"/>
      <c r="E52" s="26" t="n"/>
      <c r="F52" s="26" t="n"/>
      <c r="G52" s="27" t="n"/>
      <c r="H52" s="27" t="n"/>
      <c r="I52" s="27" t="n"/>
      <c r="J52" s="27" t="n"/>
      <c r="K52" s="27" t="n"/>
      <c r="L52" s="27" t="n"/>
      <c r="M52" s="26" t="n"/>
      <c r="N52" s="26" t="n"/>
      <c r="O52" s="28">
        <f>IF($A52="","",IF($D52="","",raporTarihi-$D52))</f>
        <v/>
      </c>
      <c r="P52" s="28">
        <f>IF($A52="","",IF($O52="","",IF($O52&lt;=7,"0-7",IF($O52&lt;=30,"8-30",IF($O52&lt;=60,"31-60","60+")))))</f>
        <v/>
      </c>
      <c r="Q52" s="28">
        <f>IF($A52="","",IF($B52="","YETİM",IF(COUNTIF(tblKartlar[KartId],$B52)=0,"YETİM","")))</f>
        <v/>
      </c>
      <c r="R52" s="28">
        <f>IF(OR($A52="",$E52=""),"",IF(OR($E52&amp;"|"&amp;$F52="",COUNTIF(ListeIzinliGecis,$E52&amp;"|"&amp;$F52)&gt;0),"","GEÇERSİZ GEÇİŞ"))</f>
        <v/>
      </c>
      <c r="S52" s="28">
        <f>IF($A52="","",IF(OR($G52="",$I52=""),"",IF(ABS($I52-$G52)&gt;zincirTolerans,"ZİNCİR KIRIK","OK")))</f>
        <v/>
      </c>
      <c r="T52" s="28">
        <f>IF($A52="","",1)</f>
        <v/>
      </c>
    </row>
    <row r="53">
      <c r="A53" s="26" t="n"/>
      <c r="B53" s="26" t="n"/>
      <c r="C53" s="26" t="n"/>
      <c r="D53" s="29" t="n"/>
      <c r="E53" s="26" t="n"/>
      <c r="F53" s="26" t="n"/>
      <c r="G53" s="27" t="n"/>
      <c r="H53" s="27" t="n"/>
      <c r="I53" s="27" t="n"/>
      <c r="J53" s="27" t="n"/>
      <c r="K53" s="27" t="n"/>
      <c r="L53" s="27" t="n"/>
      <c r="M53" s="26" t="n"/>
      <c r="N53" s="26" t="n"/>
      <c r="O53" s="28">
        <f>IF($A53="","",IF($D53="","",raporTarihi-$D53))</f>
        <v/>
      </c>
      <c r="P53" s="28">
        <f>IF($A53="","",IF($O53="","",IF($O53&lt;=7,"0-7",IF($O53&lt;=30,"8-30",IF($O53&lt;=60,"31-60","60+")))))</f>
        <v/>
      </c>
      <c r="Q53" s="28">
        <f>IF($A53="","",IF($B53="","YETİM",IF(COUNTIF(tblKartlar[KartId],$B53)=0,"YETİM","")))</f>
        <v/>
      </c>
      <c r="R53" s="28">
        <f>IF(OR($A53="",$E53=""),"",IF(OR($E53&amp;"|"&amp;$F53="",COUNTIF(ListeIzinliGecis,$E53&amp;"|"&amp;$F53)&gt;0),"","GEÇERSİZ GEÇİŞ"))</f>
        <v/>
      </c>
      <c r="S53" s="28">
        <f>IF($A53="","",IF(OR($G53="",$I53=""),"",IF(ABS($I53-$G53)&gt;zincirTolerans,"ZİNCİR KIRIK","OK")))</f>
        <v/>
      </c>
      <c r="T53" s="28">
        <f>IF($A53="","",1)</f>
        <v/>
      </c>
    </row>
    <row r="54">
      <c r="A54" s="26" t="n"/>
      <c r="B54" s="26" t="n"/>
      <c r="C54" s="26" t="n"/>
      <c r="D54" s="29" t="n"/>
      <c r="E54" s="26" t="n"/>
      <c r="F54" s="26" t="n"/>
      <c r="G54" s="27" t="n"/>
      <c r="H54" s="27" t="n"/>
      <c r="I54" s="27" t="n"/>
      <c r="J54" s="27" t="n"/>
      <c r="K54" s="27" t="n"/>
      <c r="L54" s="27" t="n"/>
      <c r="M54" s="26" t="n"/>
      <c r="N54" s="26" t="n"/>
      <c r="O54" s="28">
        <f>IF($A54="","",IF($D54="","",raporTarihi-$D54))</f>
        <v/>
      </c>
      <c r="P54" s="28">
        <f>IF($A54="","",IF($O54="","",IF($O54&lt;=7,"0-7",IF($O54&lt;=30,"8-30",IF($O54&lt;=60,"31-60","60+")))))</f>
        <v/>
      </c>
      <c r="Q54" s="28">
        <f>IF($A54="","",IF($B54="","YETİM",IF(COUNTIF(tblKartlar[KartId],$B54)=0,"YETİM","")))</f>
        <v/>
      </c>
      <c r="R54" s="28">
        <f>IF(OR($A54="",$E54=""),"",IF(OR($E54&amp;"|"&amp;$F54="",COUNTIF(ListeIzinliGecis,$E54&amp;"|"&amp;$F54)&gt;0),"","GEÇERSİZ GEÇİŞ"))</f>
        <v/>
      </c>
      <c r="S54" s="28">
        <f>IF($A54="","",IF(OR($G54="",$I54=""),"",IF(ABS($I54-$G54)&gt;zincirTolerans,"ZİNCİR KIRIK","OK")))</f>
        <v/>
      </c>
      <c r="T54" s="28">
        <f>IF($A54="","",1)</f>
        <v/>
      </c>
    </row>
    <row r="55">
      <c r="A55" s="26" t="n"/>
      <c r="B55" s="26" t="n"/>
      <c r="C55" s="26" t="n"/>
      <c r="D55" s="29" t="n"/>
      <c r="E55" s="26" t="n"/>
      <c r="F55" s="26" t="n"/>
      <c r="G55" s="27" t="n"/>
      <c r="H55" s="27" t="n"/>
      <c r="I55" s="27" t="n"/>
      <c r="J55" s="27" t="n"/>
      <c r="K55" s="27" t="n"/>
      <c r="L55" s="27" t="n"/>
      <c r="M55" s="26" t="n"/>
      <c r="N55" s="26" t="n"/>
      <c r="O55" s="28">
        <f>IF($A55="","",IF($D55="","",raporTarihi-$D55))</f>
        <v/>
      </c>
      <c r="P55" s="28">
        <f>IF($A55="","",IF($O55="","",IF($O55&lt;=7,"0-7",IF($O55&lt;=30,"8-30",IF($O55&lt;=60,"31-60","60+")))))</f>
        <v/>
      </c>
      <c r="Q55" s="28">
        <f>IF($A55="","",IF($B55="","YETİM",IF(COUNTIF(tblKartlar[KartId],$B55)=0,"YETİM","")))</f>
        <v/>
      </c>
      <c r="R55" s="28">
        <f>IF(OR($A55="",$E55=""),"",IF(OR($E55&amp;"|"&amp;$F55="",COUNTIF(ListeIzinliGecis,$E55&amp;"|"&amp;$F55)&gt;0),"","GEÇERSİZ GEÇİŞ"))</f>
        <v/>
      </c>
      <c r="S55" s="28">
        <f>IF($A55="","",IF(OR($G55="",$I55=""),"",IF(ABS($I55-$G55)&gt;zincirTolerans,"ZİNCİR KIRIK","OK")))</f>
        <v/>
      </c>
      <c r="T55" s="28">
        <f>IF($A55="","",1)</f>
        <v/>
      </c>
    </row>
    <row r="56">
      <c r="A56" s="26" t="n"/>
      <c r="B56" s="26" t="n"/>
      <c r="C56" s="26" t="n"/>
      <c r="D56" s="29" t="n"/>
      <c r="E56" s="26" t="n"/>
      <c r="F56" s="26" t="n"/>
      <c r="G56" s="27" t="n"/>
      <c r="H56" s="27" t="n"/>
      <c r="I56" s="27" t="n"/>
      <c r="J56" s="27" t="n"/>
      <c r="K56" s="27" t="n"/>
      <c r="L56" s="27" t="n"/>
      <c r="M56" s="26" t="n"/>
      <c r="N56" s="26" t="n"/>
      <c r="O56" s="28">
        <f>IF($A56="","",IF($D56="","",raporTarihi-$D56))</f>
        <v/>
      </c>
      <c r="P56" s="28">
        <f>IF($A56="","",IF($O56="","",IF($O56&lt;=7,"0-7",IF($O56&lt;=30,"8-30",IF($O56&lt;=60,"31-60","60+")))))</f>
        <v/>
      </c>
      <c r="Q56" s="28">
        <f>IF($A56="","",IF($B56="","YETİM",IF(COUNTIF(tblKartlar[KartId],$B56)=0,"YETİM","")))</f>
        <v/>
      </c>
      <c r="R56" s="28">
        <f>IF(OR($A56="",$E56=""),"",IF(OR($E56&amp;"|"&amp;$F56="",COUNTIF(ListeIzinliGecis,$E56&amp;"|"&amp;$F56)&gt;0),"","GEÇERSİZ GEÇİŞ"))</f>
        <v/>
      </c>
      <c r="S56" s="28">
        <f>IF($A56="","",IF(OR($G56="",$I56=""),"",IF(ABS($I56-$G56)&gt;zincirTolerans,"ZİNCİR KIRIK","OK")))</f>
        <v/>
      </c>
      <c r="T56" s="28">
        <f>IF($A56="","",1)</f>
        <v/>
      </c>
    </row>
    <row r="57">
      <c r="A57" s="26" t="n"/>
      <c r="B57" s="26" t="n"/>
      <c r="C57" s="26" t="n"/>
      <c r="D57" s="29" t="n"/>
      <c r="E57" s="26" t="n"/>
      <c r="F57" s="26" t="n"/>
      <c r="G57" s="27" t="n"/>
      <c r="H57" s="27" t="n"/>
      <c r="I57" s="27" t="n"/>
      <c r="J57" s="27" t="n"/>
      <c r="K57" s="27" t="n"/>
      <c r="L57" s="27" t="n"/>
      <c r="M57" s="26" t="n"/>
      <c r="N57" s="26" t="n"/>
      <c r="O57" s="28">
        <f>IF($A57="","",IF($D57="","",raporTarihi-$D57))</f>
        <v/>
      </c>
      <c r="P57" s="28">
        <f>IF($A57="","",IF($O57="","",IF($O57&lt;=7,"0-7",IF($O57&lt;=30,"8-30",IF($O57&lt;=60,"31-60","60+")))))</f>
        <v/>
      </c>
      <c r="Q57" s="28">
        <f>IF($A57="","",IF($B57="","YETİM",IF(COUNTIF(tblKartlar[KartId],$B57)=0,"YETİM","")))</f>
        <v/>
      </c>
      <c r="R57" s="28">
        <f>IF(OR($A57="",$E57=""),"",IF(OR($E57&amp;"|"&amp;$F57="",COUNTIF(ListeIzinliGecis,$E57&amp;"|"&amp;$F57)&gt;0),"","GEÇERSİZ GEÇİŞ"))</f>
        <v/>
      </c>
      <c r="S57" s="28">
        <f>IF($A57="","",IF(OR($G57="",$I57=""),"",IF(ABS($I57-$G57)&gt;zincirTolerans,"ZİNCİR KIRIK","OK")))</f>
        <v/>
      </c>
      <c r="T57" s="28">
        <f>IF($A57="","",1)</f>
        <v/>
      </c>
    </row>
    <row r="58">
      <c r="A58" s="26" t="n"/>
      <c r="B58" s="26" t="n"/>
      <c r="C58" s="26" t="n"/>
      <c r="D58" s="29" t="n"/>
      <c r="E58" s="26" t="n"/>
      <c r="F58" s="26" t="n"/>
      <c r="G58" s="27" t="n"/>
      <c r="H58" s="27" t="n"/>
      <c r="I58" s="27" t="n"/>
      <c r="J58" s="27" t="n"/>
      <c r="K58" s="27" t="n"/>
      <c r="L58" s="27" t="n"/>
      <c r="M58" s="26" t="n"/>
      <c r="N58" s="26" t="n"/>
      <c r="O58" s="28">
        <f>IF($A58="","",IF($D58="","",raporTarihi-$D58))</f>
        <v/>
      </c>
      <c r="P58" s="28">
        <f>IF($A58="","",IF($O58="","",IF($O58&lt;=7,"0-7",IF($O58&lt;=30,"8-30",IF($O58&lt;=60,"31-60","60+")))))</f>
        <v/>
      </c>
      <c r="Q58" s="28">
        <f>IF($A58="","",IF($B58="","YETİM",IF(COUNTIF(tblKartlar[KartId],$B58)=0,"YETİM","")))</f>
        <v/>
      </c>
      <c r="R58" s="28">
        <f>IF(OR($A58="",$E58=""),"",IF(OR($E58&amp;"|"&amp;$F58="",COUNTIF(ListeIzinliGecis,$E58&amp;"|"&amp;$F58)&gt;0),"","GEÇERSİZ GEÇİŞ"))</f>
        <v/>
      </c>
      <c r="S58" s="28">
        <f>IF($A58="","",IF(OR($G58="",$I58=""),"",IF(ABS($I58-$G58)&gt;zincirTolerans,"ZİNCİR KIRIK","OK")))</f>
        <v/>
      </c>
      <c r="T58" s="28">
        <f>IF($A58="","",1)</f>
        <v/>
      </c>
    </row>
    <row r="59">
      <c r="A59" s="26" t="n"/>
      <c r="B59" s="26" t="n"/>
      <c r="C59" s="26" t="n"/>
      <c r="D59" s="29" t="n"/>
      <c r="E59" s="26" t="n"/>
      <c r="F59" s="26" t="n"/>
      <c r="G59" s="27" t="n"/>
      <c r="H59" s="27" t="n"/>
      <c r="I59" s="27" t="n"/>
      <c r="J59" s="27" t="n"/>
      <c r="K59" s="27" t="n"/>
      <c r="L59" s="27" t="n"/>
      <c r="M59" s="26" t="n"/>
      <c r="N59" s="26" t="n"/>
      <c r="O59" s="28">
        <f>IF($A59="","",IF($D59="","",raporTarihi-$D59))</f>
        <v/>
      </c>
      <c r="P59" s="28">
        <f>IF($A59="","",IF($O59="","",IF($O59&lt;=7,"0-7",IF($O59&lt;=30,"8-30",IF($O59&lt;=60,"31-60","60+")))))</f>
        <v/>
      </c>
      <c r="Q59" s="28">
        <f>IF($A59="","",IF($B59="","YETİM",IF(COUNTIF(tblKartlar[KartId],$B59)=0,"YETİM","")))</f>
        <v/>
      </c>
      <c r="R59" s="28">
        <f>IF(OR($A59="",$E59=""),"",IF(OR($E59&amp;"|"&amp;$F59="",COUNTIF(ListeIzinliGecis,$E59&amp;"|"&amp;$F59)&gt;0),"","GEÇERSİZ GEÇİŞ"))</f>
        <v/>
      </c>
      <c r="S59" s="28">
        <f>IF($A59="","",IF(OR($G59="",$I59=""),"",IF(ABS($I59-$G59)&gt;zincirTolerans,"ZİNCİR KIRIK","OK")))</f>
        <v/>
      </c>
      <c r="T59" s="28">
        <f>IF($A59="","",1)</f>
        <v/>
      </c>
    </row>
    <row r="60">
      <c r="A60" s="26" t="n"/>
      <c r="B60" s="26" t="n"/>
      <c r="C60" s="26" t="n"/>
      <c r="D60" s="29" t="n"/>
      <c r="E60" s="26" t="n"/>
      <c r="F60" s="26" t="n"/>
      <c r="G60" s="27" t="n"/>
      <c r="H60" s="27" t="n"/>
      <c r="I60" s="27" t="n"/>
      <c r="J60" s="27" t="n"/>
      <c r="K60" s="27" t="n"/>
      <c r="L60" s="27" t="n"/>
      <c r="M60" s="26" t="n"/>
      <c r="N60" s="26" t="n"/>
      <c r="O60" s="28">
        <f>IF($A60="","",IF($D60="","",raporTarihi-$D60))</f>
        <v/>
      </c>
      <c r="P60" s="28">
        <f>IF($A60="","",IF($O60="","",IF($O60&lt;=7,"0-7",IF($O60&lt;=30,"8-30",IF($O60&lt;=60,"31-60","60+")))))</f>
        <v/>
      </c>
      <c r="Q60" s="28">
        <f>IF($A60="","",IF($B60="","YETİM",IF(COUNTIF(tblKartlar[KartId],$B60)=0,"YETİM","")))</f>
        <v/>
      </c>
      <c r="R60" s="28">
        <f>IF(OR($A60="",$E60=""),"",IF(OR($E60&amp;"|"&amp;$F60="",COUNTIF(ListeIzinliGecis,$E60&amp;"|"&amp;$F60)&gt;0),"","GEÇERSİZ GEÇİŞ"))</f>
        <v/>
      </c>
      <c r="S60" s="28">
        <f>IF($A60="","",IF(OR($G60="",$I60=""),"",IF(ABS($I60-$G60)&gt;zincirTolerans,"ZİNCİR KIRIK","OK")))</f>
        <v/>
      </c>
      <c r="T60" s="28">
        <f>IF($A60="","",1)</f>
        <v/>
      </c>
    </row>
    <row r="61">
      <c r="A61" s="26" t="n"/>
      <c r="B61" s="26" t="n"/>
      <c r="C61" s="26" t="n"/>
      <c r="D61" s="29" t="n"/>
      <c r="E61" s="26" t="n"/>
      <c r="F61" s="26" t="n"/>
      <c r="G61" s="27" t="n"/>
      <c r="H61" s="27" t="n"/>
      <c r="I61" s="27" t="n"/>
      <c r="J61" s="27" t="n"/>
      <c r="K61" s="27" t="n"/>
      <c r="L61" s="27" t="n"/>
      <c r="M61" s="26" t="n"/>
      <c r="N61" s="26" t="n"/>
      <c r="O61" s="28">
        <f>IF($A61="","",IF($D61="","",raporTarihi-$D61))</f>
        <v/>
      </c>
      <c r="P61" s="28">
        <f>IF($A61="","",IF($O61="","",IF($O61&lt;=7,"0-7",IF($O61&lt;=30,"8-30",IF($O61&lt;=60,"31-60","60+")))))</f>
        <v/>
      </c>
      <c r="Q61" s="28">
        <f>IF($A61="","",IF($B61="","YETİM",IF(COUNTIF(tblKartlar[KartId],$B61)=0,"YETİM","")))</f>
        <v/>
      </c>
      <c r="R61" s="28">
        <f>IF(OR($A61="",$E61=""),"",IF(OR($E61&amp;"|"&amp;$F61="",COUNTIF(ListeIzinliGecis,$E61&amp;"|"&amp;$F61)&gt;0),"","GEÇERSİZ GEÇİŞ"))</f>
        <v/>
      </c>
      <c r="S61" s="28">
        <f>IF($A61="","",IF(OR($G61="",$I61=""),"",IF(ABS($I61-$G61)&gt;zincirTolerans,"ZİNCİR KIRIK","OK")))</f>
        <v/>
      </c>
      <c r="T61" s="28">
        <f>IF($A61="","",1)</f>
        <v/>
      </c>
    </row>
    <row r="62">
      <c r="A62" s="26" t="n"/>
      <c r="B62" s="26" t="n"/>
      <c r="C62" s="26" t="n"/>
      <c r="D62" s="29" t="n"/>
      <c r="E62" s="26" t="n"/>
      <c r="F62" s="26" t="n"/>
      <c r="G62" s="27" t="n"/>
      <c r="H62" s="27" t="n"/>
      <c r="I62" s="27" t="n"/>
      <c r="J62" s="27" t="n"/>
      <c r="K62" s="27" t="n"/>
      <c r="L62" s="27" t="n"/>
      <c r="M62" s="26" t="n"/>
      <c r="N62" s="26" t="n"/>
      <c r="O62" s="28">
        <f>IF($A62="","",IF($D62="","",raporTarihi-$D62))</f>
        <v/>
      </c>
      <c r="P62" s="28">
        <f>IF($A62="","",IF($O62="","",IF($O62&lt;=7,"0-7",IF($O62&lt;=30,"8-30",IF($O62&lt;=60,"31-60","60+")))))</f>
        <v/>
      </c>
      <c r="Q62" s="28">
        <f>IF($A62="","",IF($B62="","YETİM",IF(COUNTIF(tblKartlar[KartId],$B62)=0,"YETİM","")))</f>
        <v/>
      </c>
      <c r="R62" s="28">
        <f>IF(OR($A62="",$E62=""),"",IF(OR($E62&amp;"|"&amp;$F62="",COUNTIF(ListeIzinliGecis,$E62&amp;"|"&amp;$F62)&gt;0),"","GEÇERSİZ GEÇİŞ"))</f>
        <v/>
      </c>
      <c r="S62" s="28">
        <f>IF($A62="","",IF(OR($G62="",$I62=""),"",IF(ABS($I62-$G62)&gt;zincirTolerans,"ZİNCİR KIRIK","OK")))</f>
        <v/>
      </c>
      <c r="T62" s="28">
        <f>IF($A62="","",1)</f>
        <v/>
      </c>
    </row>
    <row r="63">
      <c r="A63" s="26" t="n"/>
      <c r="B63" s="26" t="n"/>
      <c r="C63" s="26" t="n"/>
      <c r="D63" s="29" t="n"/>
      <c r="E63" s="26" t="n"/>
      <c r="F63" s="26" t="n"/>
      <c r="G63" s="27" t="n"/>
      <c r="H63" s="27" t="n"/>
      <c r="I63" s="27" t="n"/>
      <c r="J63" s="27" t="n"/>
      <c r="K63" s="27" t="n"/>
      <c r="L63" s="27" t="n"/>
      <c r="M63" s="26" t="n"/>
      <c r="N63" s="26" t="n"/>
      <c r="O63" s="28">
        <f>IF($A63="","",IF($D63="","",raporTarihi-$D63))</f>
        <v/>
      </c>
      <c r="P63" s="28">
        <f>IF($A63="","",IF($O63="","",IF($O63&lt;=7,"0-7",IF($O63&lt;=30,"8-30",IF($O63&lt;=60,"31-60","60+")))))</f>
        <v/>
      </c>
      <c r="Q63" s="28">
        <f>IF($A63="","",IF($B63="","YETİM",IF(COUNTIF(tblKartlar[KartId],$B63)=0,"YETİM","")))</f>
        <v/>
      </c>
      <c r="R63" s="28">
        <f>IF(OR($A63="",$E63=""),"",IF(OR($E63&amp;"|"&amp;$F63="",COUNTIF(ListeIzinliGecis,$E63&amp;"|"&amp;$F63)&gt;0),"","GEÇERSİZ GEÇİŞ"))</f>
        <v/>
      </c>
      <c r="S63" s="28">
        <f>IF($A63="","",IF(OR($G63="",$I63=""),"",IF(ABS($I63-$G63)&gt;zincirTolerans,"ZİNCİR KIRIK","OK")))</f>
        <v/>
      </c>
      <c r="T63" s="28">
        <f>IF($A63="","",1)</f>
        <v/>
      </c>
    </row>
    <row r="64">
      <c r="A64" s="26" t="n"/>
      <c r="B64" s="26" t="n"/>
      <c r="C64" s="26" t="n"/>
      <c r="D64" s="29" t="n"/>
      <c r="E64" s="26" t="n"/>
      <c r="F64" s="26" t="n"/>
      <c r="G64" s="27" t="n"/>
      <c r="H64" s="27" t="n"/>
      <c r="I64" s="27" t="n"/>
      <c r="J64" s="27" t="n"/>
      <c r="K64" s="27" t="n"/>
      <c r="L64" s="27" t="n"/>
      <c r="M64" s="26" t="n"/>
      <c r="N64" s="26" t="n"/>
      <c r="O64" s="28">
        <f>IF($A64="","",IF($D64="","",raporTarihi-$D64))</f>
        <v/>
      </c>
      <c r="P64" s="28">
        <f>IF($A64="","",IF($O64="","",IF($O64&lt;=7,"0-7",IF($O64&lt;=30,"8-30",IF($O64&lt;=60,"31-60","60+")))))</f>
        <v/>
      </c>
      <c r="Q64" s="28">
        <f>IF($A64="","",IF($B64="","YETİM",IF(COUNTIF(tblKartlar[KartId],$B64)=0,"YETİM","")))</f>
        <v/>
      </c>
      <c r="R64" s="28">
        <f>IF(OR($A64="",$E64=""),"",IF(OR($E64&amp;"|"&amp;$F64="",COUNTIF(ListeIzinliGecis,$E64&amp;"|"&amp;$F64)&gt;0),"","GEÇERSİZ GEÇİŞ"))</f>
        <v/>
      </c>
      <c r="S64" s="28">
        <f>IF($A64="","",IF(OR($G64="",$I64=""),"",IF(ABS($I64-$G64)&gt;zincirTolerans,"ZİNCİR KIRIK","OK")))</f>
        <v/>
      </c>
      <c r="T64" s="28">
        <f>IF($A64="","",1)</f>
        <v/>
      </c>
    </row>
    <row r="65">
      <c r="A65" s="26" t="n"/>
      <c r="B65" s="26" t="n"/>
      <c r="C65" s="26" t="n"/>
      <c r="D65" s="29" t="n"/>
      <c r="E65" s="26" t="n"/>
      <c r="F65" s="26" t="n"/>
      <c r="G65" s="27" t="n"/>
      <c r="H65" s="27" t="n"/>
      <c r="I65" s="27" t="n"/>
      <c r="J65" s="27" t="n"/>
      <c r="K65" s="27" t="n"/>
      <c r="L65" s="27" t="n"/>
      <c r="M65" s="26" t="n"/>
      <c r="N65" s="26" t="n"/>
      <c r="O65" s="28">
        <f>IF($A65="","",IF($D65="","",raporTarihi-$D65))</f>
        <v/>
      </c>
      <c r="P65" s="28">
        <f>IF($A65="","",IF($O65="","",IF($O65&lt;=7,"0-7",IF($O65&lt;=30,"8-30",IF($O65&lt;=60,"31-60","60+")))))</f>
        <v/>
      </c>
      <c r="Q65" s="28">
        <f>IF($A65="","",IF($B65="","YETİM",IF(COUNTIF(tblKartlar[KartId],$B65)=0,"YETİM","")))</f>
        <v/>
      </c>
      <c r="R65" s="28">
        <f>IF(OR($A65="",$E65=""),"",IF(OR($E65&amp;"|"&amp;$F65="",COUNTIF(ListeIzinliGecis,$E65&amp;"|"&amp;$F65)&gt;0),"","GEÇERSİZ GEÇİŞ"))</f>
        <v/>
      </c>
      <c r="S65" s="28">
        <f>IF($A65="","",IF(OR($G65="",$I65=""),"",IF(ABS($I65-$G65)&gt;zincirTolerans,"ZİNCİR KIRIK","OK")))</f>
        <v/>
      </c>
      <c r="T65" s="28">
        <f>IF($A65="","",1)</f>
        <v/>
      </c>
    </row>
    <row r="66">
      <c r="A66" s="26" t="n"/>
      <c r="B66" s="26" t="n"/>
      <c r="C66" s="26" t="n"/>
      <c r="D66" s="29" t="n"/>
      <c r="E66" s="26" t="n"/>
      <c r="F66" s="26" t="n"/>
      <c r="G66" s="27" t="n"/>
      <c r="H66" s="27" t="n"/>
      <c r="I66" s="27" t="n"/>
      <c r="J66" s="27" t="n"/>
      <c r="K66" s="27" t="n"/>
      <c r="L66" s="27" t="n"/>
      <c r="M66" s="26" t="n"/>
      <c r="N66" s="26" t="n"/>
      <c r="O66" s="28">
        <f>IF($A66="","",IF($D66="","",raporTarihi-$D66))</f>
        <v/>
      </c>
      <c r="P66" s="28">
        <f>IF($A66="","",IF($O66="","",IF($O66&lt;=7,"0-7",IF($O66&lt;=30,"8-30",IF($O66&lt;=60,"31-60","60+")))))</f>
        <v/>
      </c>
      <c r="Q66" s="28">
        <f>IF($A66="","",IF($B66="","YETİM",IF(COUNTIF(tblKartlar[KartId],$B66)=0,"YETİM","")))</f>
        <v/>
      </c>
      <c r="R66" s="28">
        <f>IF(OR($A66="",$E66=""),"",IF(OR($E66&amp;"|"&amp;$F66="",COUNTIF(ListeIzinliGecis,$E66&amp;"|"&amp;$F66)&gt;0),"","GEÇERSİZ GEÇİŞ"))</f>
        <v/>
      </c>
      <c r="S66" s="28">
        <f>IF($A66="","",IF(OR($G66="",$I66=""),"",IF(ABS($I66-$G66)&gt;zincirTolerans,"ZİNCİR KIRIK","OK")))</f>
        <v/>
      </c>
      <c r="T66" s="28">
        <f>IF($A66="","",1)</f>
        <v/>
      </c>
    </row>
    <row r="67">
      <c r="A67" s="26" t="n"/>
      <c r="B67" s="26" t="n"/>
      <c r="C67" s="26" t="n"/>
      <c r="D67" s="29" t="n"/>
      <c r="E67" s="26" t="n"/>
      <c r="F67" s="26" t="n"/>
      <c r="G67" s="27" t="n"/>
      <c r="H67" s="27" t="n"/>
      <c r="I67" s="27" t="n"/>
      <c r="J67" s="27" t="n"/>
      <c r="K67" s="27" t="n"/>
      <c r="L67" s="27" t="n"/>
      <c r="M67" s="26" t="n"/>
      <c r="N67" s="26" t="n"/>
      <c r="O67" s="28">
        <f>IF($A67="","",IF($D67="","",raporTarihi-$D67))</f>
        <v/>
      </c>
      <c r="P67" s="28">
        <f>IF($A67="","",IF($O67="","",IF($O67&lt;=7,"0-7",IF($O67&lt;=30,"8-30",IF($O67&lt;=60,"31-60","60+")))))</f>
        <v/>
      </c>
      <c r="Q67" s="28">
        <f>IF($A67="","",IF($B67="","YETİM",IF(COUNTIF(tblKartlar[KartId],$B67)=0,"YETİM","")))</f>
        <v/>
      </c>
      <c r="R67" s="28">
        <f>IF(OR($A67="",$E67=""),"",IF(OR($E67&amp;"|"&amp;$F67="",COUNTIF(ListeIzinliGecis,$E67&amp;"|"&amp;$F67)&gt;0),"","GEÇERSİZ GEÇİŞ"))</f>
        <v/>
      </c>
      <c r="S67" s="28">
        <f>IF($A67="","",IF(OR($G67="",$I67=""),"",IF(ABS($I67-$G67)&gt;zincirTolerans,"ZİNCİR KIRIK","OK")))</f>
        <v/>
      </c>
      <c r="T67" s="28">
        <f>IF($A67="","",1)</f>
        <v/>
      </c>
    </row>
    <row r="68">
      <c r="A68" s="26" t="n"/>
      <c r="B68" s="26" t="n"/>
      <c r="C68" s="26" t="n"/>
      <c r="D68" s="29" t="n"/>
      <c r="E68" s="26" t="n"/>
      <c r="F68" s="26" t="n"/>
      <c r="G68" s="27" t="n"/>
      <c r="H68" s="27" t="n"/>
      <c r="I68" s="27" t="n"/>
      <c r="J68" s="27" t="n"/>
      <c r="K68" s="27" t="n"/>
      <c r="L68" s="27" t="n"/>
      <c r="M68" s="26" t="n"/>
      <c r="N68" s="26" t="n"/>
      <c r="O68" s="28">
        <f>IF($A68="","",IF($D68="","",raporTarihi-$D68))</f>
        <v/>
      </c>
      <c r="P68" s="28">
        <f>IF($A68="","",IF($O68="","",IF($O68&lt;=7,"0-7",IF($O68&lt;=30,"8-30",IF($O68&lt;=60,"31-60","60+")))))</f>
        <v/>
      </c>
      <c r="Q68" s="28">
        <f>IF($A68="","",IF($B68="","YETİM",IF(COUNTIF(tblKartlar[KartId],$B68)=0,"YETİM","")))</f>
        <v/>
      </c>
      <c r="R68" s="28">
        <f>IF(OR($A68="",$E68=""),"",IF(OR($E68&amp;"|"&amp;$F68="",COUNTIF(ListeIzinliGecis,$E68&amp;"|"&amp;$F68)&gt;0),"","GEÇERSİZ GEÇİŞ"))</f>
        <v/>
      </c>
      <c r="S68" s="28">
        <f>IF($A68="","",IF(OR($G68="",$I68=""),"",IF(ABS($I68-$G68)&gt;zincirTolerans,"ZİNCİR KIRIK","OK")))</f>
        <v/>
      </c>
      <c r="T68" s="28">
        <f>IF($A68="","",1)</f>
        <v/>
      </c>
    </row>
    <row r="69">
      <c r="A69" s="26" t="n"/>
      <c r="B69" s="26" t="n"/>
      <c r="C69" s="26" t="n"/>
      <c r="D69" s="29" t="n"/>
      <c r="E69" s="26" t="n"/>
      <c r="F69" s="26" t="n"/>
      <c r="G69" s="27" t="n"/>
      <c r="H69" s="27" t="n"/>
      <c r="I69" s="27" t="n"/>
      <c r="J69" s="27" t="n"/>
      <c r="K69" s="27" t="n"/>
      <c r="L69" s="27" t="n"/>
      <c r="M69" s="26" t="n"/>
      <c r="N69" s="26" t="n"/>
      <c r="O69" s="28">
        <f>IF($A69="","",IF($D69="","",raporTarihi-$D69))</f>
        <v/>
      </c>
      <c r="P69" s="28">
        <f>IF($A69="","",IF($O69="","",IF($O69&lt;=7,"0-7",IF($O69&lt;=30,"8-30",IF($O69&lt;=60,"31-60","60+")))))</f>
        <v/>
      </c>
      <c r="Q69" s="28">
        <f>IF($A69="","",IF($B69="","YETİM",IF(COUNTIF(tblKartlar[KartId],$B69)=0,"YETİM","")))</f>
        <v/>
      </c>
      <c r="R69" s="28">
        <f>IF(OR($A69="",$E69=""),"",IF(OR($E69&amp;"|"&amp;$F69="",COUNTIF(ListeIzinliGecis,$E69&amp;"|"&amp;$F69)&gt;0),"","GEÇERSİZ GEÇİŞ"))</f>
        <v/>
      </c>
      <c r="S69" s="28">
        <f>IF($A69="","",IF(OR($G69="",$I69=""),"",IF(ABS($I69-$G69)&gt;zincirTolerans,"ZİNCİR KIRIK","OK")))</f>
        <v/>
      </c>
      <c r="T69" s="28">
        <f>IF($A69="","",1)</f>
        <v/>
      </c>
    </row>
    <row r="70">
      <c r="A70" s="26" t="n"/>
      <c r="B70" s="26" t="n"/>
      <c r="C70" s="26" t="n"/>
      <c r="D70" s="29" t="n"/>
      <c r="E70" s="26" t="n"/>
      <c r="F70" s="26" t="n"/>
      <c r="G70" s="27" t="n"/>
      <c r="H70" s="27" t="n"/>
      <c r="I70" s="27" t="n"/>
      <c r="J70" s="27" t="n"/>
      <c r="K70" s="27" t="n"/>
      <c r="L70" s="27" t="n"/>
      <c r="M70" s="26" t="n"/>
      <c r="N70" s="26" t="n"/>
      <c r="O70" s="28">
        <f>IF($A70="","",IF($D70="","",raporTarihi-$D70))</f>
        <v/>
      </c>
      <c r="P70" s="28">
        <f>IF($A70="","",IF($O70="","",IF($O70&lt;=7,"0-7",IF($O70&lt;=30,"8-30",IF($O70&lt;=60,"31-60","60+")))))</f>
        <v/>
      </c>
      <c r="Q70" s="28">
        <f>IF($A70="","",IF($B70="","YETİM",IF(COUNTIF(tblKartlar[KartId],$B70)=0,"YETİM","")))</f>
        <v/>
      </c>
      <c r="R70" s="28">
        <f>IF(OR($A70="",$E70=""),"",IF(OR($E70&amp;"|"&amp;$F70="",COUNTIF(ListeIzinliGecis,$E70&amp;"|"&amp;$F70)&gt;0),"","GEÇERSİZ GEÇİŞ"))</f>
        <v/>
      </c>
      <c r="S70" s="28">
        <f>IF($A70="","",IF(OR($G70="",$I70=""),"",IF(ABS($I70-$G70)&gt;zincirTolerans,"ZİNCİR KIRIK","OK")))</f>
        <v/>
      </c>
      <c r="T70" s="28">
        <f>IF($A70="","",1)</f>
        <v/>
      </c>
    </row>
    <row r="71">
      <c r="A71" s="26" t="n"/>
      <c r="B71" s="26" t="n"/>
      <c r="C71" s="26" t="n"/>
      <c r="D71" s="29" t="n"/>
      <c r="E71" s="26" t="n"/>
      <c r="F71" s="26" t="n"/>
      <c r="G71" s="27" t="n"/>
      <c r="H71" s="27" t="n"/>
      <c r="I71" s="27" t="n"/>
      <c r="J71" s="27" t="n"/>
      <c r="K71" s="27" t="n"/>
      <c r="L71" s="27" t="n"/>
      <c r="M71" s="26" t="n"/>
      <c r="N71" s="26" t="n"/>
      <c r="O71" s="28">
        <f>IF($A71="","",IF($D71="","",raporTarihi-$D71))</f>
        <v/>
      </c>
      <c r="P71" s="28">
        <f>IF($A71="","",IF($O71="","",IF($O71&lt;=7,"0-7",IF($O71&lt;=30,"8-30",IF($O71&lt;=60,"31-60","60+")))))</f>
        <v/>
      </c>
      <c r="Q71" s="28">
        <f>IF($A71="","",IF($B71="","YETİM",IF(COUNTIF(tblKartlar[KartId],$B71)=0,"YETİM","")))</f>
        <v/>
      </c>
      <c r="R71" s="28">
        <f>IF(OR($A71="",$E71=""),"",IF(OR($E71&amp;"|"&amp;$F71="",COUNTIF(ListeIzinliGecis,$E71&amp;"|"&amp;$F71)&gt;0),"","GEÇERSİZ GEÇİŞ"))</f>
        <v/>
      </c>
      <c r="S71" s="28">
        <f>IF($A71="","",IF(OR($G71="",$I71=""),"",IF(ABS($I71-$G71)&gt;zincirTolerans,"ZİNCİR KIRIK","OK")))</f>
        <v/>
      </c>
      <c r="T71" s="28">
        <f>IF($A71="","",1)</f>
        <v/>
      </c>
    </row>
    <row r="72">
      <c r="A72" s="26" t="n"/>
      <c r="B72" s="26" t="n"/>
      <c r="C72" s="26" t="n"/>
      <c r="D72" s="29" t="n"/>
      <c r="E72" s="26" t="n"/>
      <c r="F72" s="26" t="n"/>
      <c r="G72" s="27" t="n"/>
      <c r="H72" s="27" t="n"/>
      <c r="I72" s="27" t="n"/>
      <c r="J72" s="27" t="n"/>
      <c r="K72" s="27" t="n"/>
      <c r="L72" s="27" t="n"/>
      <c r="M72" s="26" t="n"/>
      <c r="N72" s="26" t="n"/>
      <c r="O72" s="28">
        <f>IF($A72="","",IF($D72="","",raporTarihi-$D72))</f>
        <v/>
      </c>
      <c r="P72" s="28">
        <f>IF($A72="","",IF($O72="","",IF($O72&lt;=7,"0-7",IF($O72&lt;=30,"8-30",IF($O72&lt;=60,"31-60","60+")))))</f>
        <v/>
      </c>
      <c r="Q72" s="28">
        <f>IF($A72="","",IF($B72="","YETİM",IF(COUNTIF(tblKartlar[KartId],$B72)=0,"YETİM","")))</f>
        <v/>
      </c>
      <c r="R72" s="28">
        <f>IF(OR($A72="",$E72=""),"",IF(OR($E72&amp;"|"&amp;$F72="",COUNTIF(ListeIzinliGecis,$E72&amp;"|"&amp;$F72)&gt;0),"","GEÇERSİZ GEÇİŞ"))</f>
        <v/>
      </c>
      <c r="S72" s="28">
        <f>IF($A72="","",IF(OR($G72="",$I72=""),"",IF(ABS($I72-$G72)&gt;zincirTolerans,"ZİNCİR KIRIK","OK")))</f>
        <v/>
      </c>
      <c r="T72" s="28">
        <f>IF($A72="","",1)</f>
        <v/>
      </c>
    </row>
    <row r="73">
      <c r="A73" s="26" t="n"/>
      <c r="B73" s="26" t="n"/>
      <c r="C73" s="26" t="n"/>
      <c r="D73" s="29" t="n"/>
      <c r="E73" s="26" t="n"/>
      <c r="F73" s="26" t="n"/>
      <c r="G73" s="27" t="n"/>
      <c r="H73" s="27" t="n"/>
      <c r="I73" s="27" t="n"/>
      <c r="J73" s="27" t="n"/>
      <c r="K73" s="27" t="n"/>
      <c r="L73" s="27" t="n"/>
      <c r="M73" s="26" t="n"/>
      <c r="N73" s="26" t="n"/>
      <c r="O73" s="28">
        <f>IF($A73="","",IF($D73="","",raporTarihi-$D73))</f>
        <v/>
      </c>
      <c r="P73" s="28">
        <f>IF($A73="","",IF($O73="","",IF($O73&lt;=7,"0-7",IF($O73&lt;=30,"8-30",IF($O73&lt;=60,"31-60","60+")))))</f>
        <v/>
      </c>
      <c r="Q73" s="28">
        <f>IF($A73="","",IF($B73="","YETİM",IF(COUNTIF(tblKartlar[KartId],$B73)=0,"YETİM","")))</f>
        <v/>
      </c>
      <c r="R73" s="28">
        <f>IF(OR($A73="",$E73=""),"",IF(OR($E73&amp;"|"&amp;$F73="",COUNTIF(ListeIzinliGecis,$E73&amp;"|"&amp;$F73)&gt;0),"","GEÇERSİZ GEÇİŞ"))</f>
        <v/>
      </c>
      <c r="S73" s="28">
        <f>IF($A73="","",IF(OR($G73="",$I73=""),"",IF(ABS($I73-$G73)&gt;zincirTolerans,"ZİNCİR KIRIK","OK")))</f>
        <v/>
      </c>
      <c r="T73" s="28">
        <f>IF($A73="","",1)</f>
        <v/>
      </c>
    </row>
    <row r="74">
      <c r="A74" s="26" t="n"/>
      <c r="B74" s="26" t="n"/>
      <c r="C74" s="26" t="n"/>
      <c r="D74" s="29" t="n"/>
      <c r="E74" s="26" t="n"/>
      <c r="F74" s="26" t="n"/>
      <c r="G74" s="27" t="n"/>
      <c r="H74" s="27" t="n"/>
      <c r="I74" s="27" t="n"/>
      <c r="J74" s="27" t="n"/>
      <c r="K74" s="27" t="n"/>
      <c r="L74" s="27" t="n"/>
      <c r="M74" s="26" t="n"/>
      <c r="N74" s="26" t="n"/>
      <c r="O74" s="28">
        <f>IF($A74="","",IF($D74="","",raporTarihi-$D74))</f>
        <v/>
      </c>
      <c r="P74" s="28">
        <f>IF($A74="","",IF($O74="","",IF($O74&lt;=7,"0-7",IF($O74&lt;=30,"8-30",IF($O74&lt;=60,"31-60","60+")))))</f>
        <v/>
      </c>
      <c r="Q74" s="28">
        <f>IF($A74="","",IF($B74="","YETİM",IF(COUNTIF(tblKartlar[KartId],$B74)=0,"YETİM","")))</f>
        <v/>
      </c>
      <c r="R74" s="28">
        <f>IF(OR($A74="",$E74=""),"",IF(OR($E74&amp;"|"&amp;$F74="",COUNTIF(ListeIzinliGecis,$E74&amp;"|"&amp;$F74)&gt;0),"","GEÇERSİZ GEÇİŞ"))</f>
        <v/>
      </c>
      <c r="S74" s="28">
        <f>IF($A74="","",IF(OR($G74="",$I74=""),"",IF(ABS($I74-$G74)&gt;zincirTolerans,"ZİNCİR KIRIK","OK")))</f>
        <v/>
      </c>
      <c r="T74" s="28">
        <f>IF($A74="","",1)</f>
        <v/>
      </c>
    </row>
    <row r="75">
      <c r="A75" s="26" t="n"/>
      <c r="B75" s="26" t="n"/>
      <c r="C75" s="26" t="n"/>
      <c r="D75" s="29" t="n"/>
      <c r="E75" s="26" t="n"/>
      <c r="F75" s="26" t="n"/>
      <c r="G75" s="27" t="n"/>
      <c r="H75" s="27" t="n"/>
      <c r="I75" s="27" t="n"/>
      <c r="J75" s="27" t="n"/>
      <c r="K75" s="27" t="n"/>
      <c r="L75" s="27" t="n"/>
      <c r="M75" s="26" t="n"/>
      <c r="N75" s="26" t="n"/>
      <c r="O75" s="28">
        <f>IF($A75="","",IF($D75="","",raporTarihi-$D75))</f>
        <v/>
      </c>
      <c r="P75" s="28">
        <f>IF($A75="","",IF($O75="","",IF($O75&lt;=7,"0-7",IF($O75&lt;=30,"8-30",IF($O75&lt;=60,"31-60","60+")))))</f>
        <v/>
      </c>
      <c r="Q75" s="28">
        <f>IF($A75="","",IF($B75="","YETİM",IF(COUNTIF(tblKartlar[KartId],$B75)=0,"YETİM","")))</f>
        <v/>
      </c>
      <c r="R75" s="28">
        <f>IF(OR($A75="",$E75=""),"",IF(OR($E75&amp;"|"&amp;$F75="",COUNTIF(ListeIzinliGecis,$E75&amp;"|"&amp;$F75)&gt;0),"","GEÇERSİZ GEÇİŞ"))</f>
        <v/>
      </c>
      <c r="S75" s="28">
        <f>IF($A75="","",IF(OR($G75="",$I75=""),"",IF(ABS($I75-$G75)&gt;zincirTolerans,"ZİNCİR KIRIK","OK")))</f>
        <v/>
      </c>
      <c r="T75" s="28">
        <f>IF($A75="","",1)</f>
        <v/>
      </c>
    </row>
    <row r="76">
      <c r="A76" s="26" t="n"/>
      <c r="B76" s="26" t="n"/>
      <c r="C76" s="26" t="n"/>
      <c r="D76" s="29" t="n"/>
      <c r="E76" s="26" t="n"/>
      <c r="F76" s="26" t="n"/>
      <c r="G76" s="27" t="n"/>
      <c r="H76" s="27" t="n"/>
      <c r="I76" s="27" t="n"/>
      <c r="J76" s="27" t="n"/>
      <c r="K76" s="27" t="n"/>
      <c r="L76" s="27" t="n"/>
      <c r="M76" s="26" t="n"/>
      <c r="N76" s="26" t="n"/>
      <c r="O76" s="28">
        <f>IF($A76="","",IF($D76="","",raporTarihi-$D76))</f>
        <v/>
      </c>
      <c r="P76" s="28">
        <f>IF($A76="","",IF($O76="","",IF($O76&lt;=7,"0-7",IF($O76&lt;=30,"8-30",IF($O76&lt;=60,"31-60","60+")))))</f>
        <v/>
      </c>
      <c r="Q76" s="28">
        <f>IF($A76="","",IF($B76="","YETİM",IF(COUNTIF(tblKartlar[KartId],$B76)=0,"YETİM","")))</f>
        <v/>
      </c>
      <c r="R76" s="28">
        <f>IF(OR($A76="",$E76=""),"",IF(OR($E76&amp;"|"&amp;$F76="",COUNTIF(ListeIzinliGecis,$E76&amp;"|"&amp;$F76)&gt;0),"","GEÇERSİZ GEÇİŞ"))</f>
        <v/>
      </c>
      <c r="S76" s="28">
        <f>IF($A76="","",IF(OR($G76="",$I76=""),"",IF(ABS($I76-$G76)&gt;zincirTolerans,"ZİNCİR KIRIK","OK")))</f>
        <v/>
      </c>
      <c r="T76" s="28">
        <f>IF($A76="","",1)</f>
        <v/>
      </c>
    </row>
    <row r="77">
      <c r="A77" s="26" t="n"/>
      <c r="B77" s="26" t="n"/>
      <c r="C77" s="26" t="n"/>
      <c r="D77" s="29" t="n"/>
      <c r="E77" s="26" t="n"/>
      <c r="F77" s="26" t="n"/>
      <c r="G77" s="27" t="n"/>
      <c r="H77" s="27" t="n"/>
      <c r="I77" s="27" t="n"/>
      <c r="J77" s="27" t="n"/>
      <c r="K77" s="27" t="n"/>
      <c r="L77" s="27" t="n"/>
      <c r="M77" s="26" t="n"/>
      <c r="N77" s="26" t="n"/>
      <c r="O77" s="28">
        <f>IF($A77="","",IF($D77="","",raporTarihi-$D77))</f>
        <v/>
      </c>
      <c r="P77" s="28">
        <f>IF($A77="","",IF($O77="","",IF($O77&lt;=7,"0-7",IF($O77&lt;=30,"8-30",IF($O77&lt;=60,"31-60","60+")))))</f>
        <v/>
      </c>
      <c r="Q77" s="28">
        <f>IF($A77="","",IF($B77="","YETİM",IF(COUNTIF(tblKartlar[KartId],$B77)=0,"YETİM","")))</f>
        <v/>
      </c>
      <c r="R77" s="28">
        <f>IF(OR($A77="",$E77=""),"",IF(OR($E77&amp;"|"&amp;$F77="",COUNTIF(ListeIzinliGecis,$E77&amp;"|"&amp;$F77)&gt;0),"","GEÇERSİZ GEÇİŞ"))</f>
        <v/>
      </c>
      <c r="S77" s="28">
        <f>IF($A77="","",IF(OR($G77="",$I77=""),"",IF(ABS($I77-$G77)&gt;zincirTolerans,"ZİNCİR KIRIK","OK")))</f>
        <v/>
      </c>
      <c r="T77" s="28">
        <f>IF($A77="","",1)</f>
        <v/>
      </c>
    </row>
    <row r="78">
      <c r="A78" s="26" t="n"/>
      <c r="B78" s="26" t="n"/>
      <c r="C78" s="26" t="n"/>
      <c r="D78" s="29" t="n"/>
      <c r="E78" s="26" t="n"/>
      <c r="F78" s="26" t="n"/>
      <c r="G78" s="27" t="n"/>
      <c r="H78" s="27" t="n"/>
      <c r="I78" s="27" t="n"/>
      <c r="J78" s="27" t="n"/>
      <c r="K78" s="27" t="n"/>
      <c r="L78" s="27" t="n"/>
      <c r="M78" s="26" t="n"/>
      <c r="N78" s="26" t="n"/>
      <c r="O78" s="28">
        <f>IF($A78="","",IF($D78="","",raporTarihi-$D78))</f>
        <v/>
      </c>
      <c r="P78" s="28">
        <f>IF($A78="","",IF($O78="","",IF($O78&lt;=7,"0-7",IF($O78&lt;=30,"8-30",IF($O78&lt;=60,"31-60","60+")))))</f>
        <v/>
      </c>
      <c r="Q78" s="28">
        <f>IF($A78="","",IF($B78="","YETİM",IF(COUNTIF(tblKartlar[KartId],$B78)=0,"YETİM","")))</f>
        <v/>
      </c>
      <c r="R78" s="28">
        <f>IF(OR($A78="",$E78=""),"",IF(OR($E78&amp;"|"&amp;$F78="",COUNTIF(ListeIzinliGecis,$E78&amp;"|"&amp;$F78)&gt;0),"","GEÇERSİZ GEÇİŞ"))</f>
        <v/>
      </c>
      <c r="S78" s="28">
        <f>IF($A78="","",IF(OR($G78="",$I78=""),"",IF(ABS($I78-$G78)&gt;zincirTolerans,"ZİNCİR KIRIK","OK")))</f>
        <v/>
      </c>
      <c r="T78" s="28">
        <f>IF($A78="","",1)</f>
        <v/>
      </c>
    </row>
    <row r="79">
      <c r="A79" s="26" t="n"/>
      <c r="B79" s="26" t="n"/>
      <c r="C79" s="26" t="n"/>
      <c r="D79" s="29" t="n"/>
      <c r="E79" s="26" t="n"/>
      <c r="F79" s="26" t="n"/>
      <c r="G79" s="27" t="n"/>
      <c r="H79" s="27" t="n"/>
      <c r="I79" s="27" t="n"/>
      <c r="J79" s="27" t="n"/>
      <c r="K79" s="27" t="n"/>
      <c r="L79" s="27" t="n"/>
      <c r="M79" s="26" t="n"/>
      <c r="N79" s="26" t="n"/>
      <c r="O79" s="28">
        <f>IF($A79="","",IF($D79="","",raporTarihi-$D79))</f>
        <v/>
      </c>
      <c r="P79" s="28">
        <f>IF($A79="","",IF($O79="","",IF($O79&lt;=7,"0-7",IF($O79&lt;=30,"8-30",IF($O79&lt;=60,"31-60","60+")))))</f>
        <v/>
      </c>
      <c r="Q79" s="28">
        <f>IF($A79="","",IF($B79="","YETİM",IF(COUNTIF(tblKartlar[KartId],$B79)=0,"YETİM","")))</f>
        <v/>
      </c>
      <c r="R79" s="28">
        <f>IF(OR($A79="",$E79=""),"",IF(OR($E79&amp;"|"&amp;$F79="",COUNTIF(ListeIzinliGecis,$E79&amp;"|"&amp;$F79)&gt;0),"","GEÇERSİZ GEÇİŞ"))</f>
        <v/>
      </c>
      <c r="S79" s="28">
        <f>IF($A79="","",IF(OR($G79="",$I79=""),"",IF(ABS($I79-$G79)&gt;zincirTolerans,"ZİNCİR KIRIK","OK")))</f>
        <v/>
      </c>
      <c r="T79" s="28">
        <f>IF($A79="","",1)</f>
        <v/>
      </c>
    </row>
    <row r="80">
      <c r="A80" s="26" t="n"/>
      <c r="B80" s="26" t="n"/>
      <c r="C80" s="26" t="n"/>
      <c r="D80" s="29" t="n"/>
      <c r="E80" s="26" t="n"/>
      <c r="F80" s="26" t="n"/>
      <c r="G80" s="27" t="n"/>
      <c r="H80" s="27" t="n"/>
      <c r="I80" s="27" t="n"/>
      <c r="J80" s="27" t="n"/>
      <c r="K80" s="27" t="n"/>
      <c r="L80" s="27" t="n"/>
      <c r="M80" s="26" t="n"/>
      <c r="N80" s="26" t="n"/>
      <c r="O80" s="28">
        <f>IF($A80="","",IF($D80="","",raporTarihi-$D80))</f>
        <v/>
      </c>
      <c r="P80" s="28">
        <f>IF($A80="","",IF($O80="","",IF($O80&lt;=7,"0-7",IF($O80&lt;=30,"8-30",IF($O80&lt;=60,"31-60","60+")))))</f>
        <v/>
      </c>
      <c r="Q80" s="28">
        <f>IF($A80="","",IF($B80="","YETİM",IF(COUNTIF(tblKartlar[KartId],$B80)=0,"YETİM","")))</f>
        <v/>
      </c>
      <c r="R80" s="28">
        <f>IF(OR($A80="",$E80=""),"",IF(OR($E80&amp;"|"&amp;$F80="",COUNTIF(ListeIzinliGecis,$E80&amp;"|"&amp;$F80)&gt;0),"","GEÇERSİZ GEÇİŞ"))</f>
        <v/>
      </c>
      <c r="S80" s="28">
        <f>IF($A80="","",IF(OR($G80="",$I80=""),"",IF(ABS($I80-$G80)&gt;zincirTolerans,"ZİNCİR KIRIK","OK")))</f>
        <v/>
      </c>
      <c r="T80" s="28">
        <f>IF($A80="","",1)</f>
        <v/>
      </c>
    </row>
    <row r="81">
      <c r="A81" s="26" t="n"/>
      <c r="B81" s="26" t="n"/>
      <c r="C81" s="26" t="n"/>
      <c r="D81" s="29" t="n"/>
      <c r="E81" s="26" t="n"/>
      <c r="F81" s="26" t="n"/>
      <c r="G81" s="27" t="n"/>
      <c r="H81" s="27" t="n"/>
      <c r="I81" s="27" t="n"/>
      <c r="J81" s="27" t="n"/>
      <c r="K81" s="27" t="n"/>
      <c r="L81" s="27" t="n"/>
      <c r="M81" s="26" t="n"/>
      <c r="N81" s="26" t="n"/>
      <c r="O81" s="28">
        <f>IF($A81="","",IF($D81="","",raporTarihi-$D81))</f>
        <v/>
      </c>
      <c r="P81" s="28">
        <f>IF($A81="","",IF($O81="","",IF($O81&lt;=7,"0-7",IF($O81&lt;=30,"8-30",IF($O81&lt;=60,"31-60","60+")))))</f>
        <v/>
      </c>
      <c r="Q81" s="28">
        <f>IF($A81="","",IF($B81="","YETİM",IF(COUNTIF(tblKartlar[KartId],$B81)=0,"YETİM","")))</f>
        <v/>
      </c>
      <c r="R81" s="28">
        <f>IF(OR($A81="",$E81=""),"",IF(OR($E81&amp;"|"&amp;$F81="",COUNTIF(ListeIzinliGecis,$E81&amp;"|"&amp;$F81)&gt;0),"","GEÇERSİZ GEÇİŞ"))</f>
        <v/>
      </c>
      <c r="S81" s="28">
        <f>IF($A81="","",IF(OR($G81="",$I81=""),"",IF(ABS($I81-$G81)&gt;zincirTolerans,"ZİNCİR KIRIK","OK")))</f>
        <v/>
      </c>
      <c r="T81" s="28">
        <f>IF($A81="","",1)</f>
        <v/>
      </c>
    </row>
    <row r="82">
      <c r="A82" s="26" t="n"/>
      <c r="B82" s="26" t="n"/>
      <c r="C82" s="26" t="n"/>
      <c r="D82" s="29" t="n"/>
      <c r="E82" s="26" t="n"/>
      <c r="F82" s="26" t="n"/>
      <c r="G82" s="27" t="n"/>
      <c r="H82" s="27" t="n"/>
      <c r="I82" s="27" t="n"/>
      <c r="J82" s="27" t="n"/>
      <c r="K82" s="27" t="n"/>
      <c r="L82" s="27" t="n"/>
      <c r="M82" s="26" t="n"/>
      <c r="N82" s="26" t="n"/>
      <c r="O82" s="28">
        <f>IF($A82="","",IF($D82="","",raporTarihi-$D82))</f>
        <v/>
      </c>
      <c r="P82" s="28">
        <f>IF($A82="","",IF($O82="","",IF($O82&lt;=7,"0-7",IF($O82&lt;=30,"8-30",IF($O82&lt;=60,"31-60","60+")))))</f>
        <v/>
      </c>
      <c r="Q82" s="28">
        <f>IF($A82="","",IF($B82="","YETİM",IF(COUNTIF(tblKartlar[KartId],$B82)=0,"YETİM","")))</f>
        <v/>
      </c>
      <c r="R82" s="28">
        <f>IF(OR($A82="",$E82=""),"",IF(OR($E82&amp;"|"&amp;$F82="",COUNTIF(ListeIzinliGecis,$E82&amp;"|"&amp;$F82)&gt;0),"","GEÇERSİZ GEÇİŞ"))</f>
        <v/>
      </c>
      <c r="S82" s="28">
        <f>IF($A82="","",IF(OR($G82="",$I82=""),"",IF(ABS($I82-$G82)&gt;zincirTolerans,"ZİNCİR KIRIK","OK")))</f>
        <v/>
      </c>
      <c r="T82" s="28">
        <f>IF($A82="","",1)</f>
        <v/>
      </c>
    </row>
    <row r="83">
      <c r="A83" s="26" t="n"/>
      <c r="B83" s="26" t="n"/>
      <c r="C83" s="26" t="n"/>
      <c r="D83" s="29" t="n"/>
      <c r="E83" s="26" t="n"/>
      <c r="F83" s="26" t="n"/>
      <c r="G83" s="27" t="n"/>
      <c r="H83" s="27" t="n"/>
      <c r="I83" s="27" t="n"/>
      <c r="J83" s="27" t="n"/>
      <c r="K83" s="27" t="n"/>
      <c r="L83" s="27" t="n"/>
      <c r="M83" s="26" t="n"/>
      <c r="N83" s="26" t="n"/>
      <c r="O83" s="28">
        <f>IF($A83="","",IF($D83="","",raporTarihi-$D83))</f>
        <v/>
      </c>
      <c r="P83" s="28">
        <f>IF($A83="","",IF($O83="","",IF($O83&lt;=7,"0-7",IF($O83&lt;=30,"8-30",IF($O83&lt;=60,"31-60","60+")))))</f>
        <v/>
      </c>
      <c r="Q83" s="28">
        <f>IF($A83="","",IF($B83="","YETİM",IF(COUNTIF(tblKartlar[KartId],$B83)=0,"YETİM","")))</f>
        <v/>
      </c>
      <c r="R83" s="28">
        <f>IF(OR($A83="",$E83=""),"",IF(OR($E83&amp;"|"&amp;$F83="",COUNTIF(ListeIzinliGecis,$E83&amp;"|"&amp;$F83)&gt;0),"","GEÇERSİZ GEÇİŞ"))</f>
        <v/>
      </c>
      <c r="S83" s="28">
        <f>IF($A83="","",IF(OR($G83="",$I83=""),"",IF(ABS($I83-$G83)&gt;zincirTolerans,"ZİNCİR KIRIK","OK")))</f>
        <v/>
      </c>
      <c r="T83" s="28">
        <f>IF($A83="","",1)</f>
        <v/>
      </c>
    </row>
    <row r="84">
      <c r="A84" s="26" t="n"/>
      <c r="B84" s="26" t="n"/>
      <c r="C84" s="26" t="n"/>
      <c r="D84" s="29" t="n"/>
      <c r="E84" s="26" t="n"/>
      <c r="F84" s="26" t="n"/>
      <c r="G84" s="27" t="n"/>
      <c r="H84" s="27" t="n"/>
      <c r="I84" s="27" t="n"/>
      <c r="J84" s="27" t="n"/>
      <c r="K84" s="27" t="n"/>
      <c r="L84" s="27" t="n"/>
      <c r="M84" s="26" t="n"/>
      <c r="N84" s="26" t="n"/>
      <c r="O84" s="28">
        <f>IF($A84="","",IF($D84="","",raporTarihi-$D84))</f>
        <v/>
      </c>
      <c r="P84" s="28">
        <f>IF($A84="","",IF($O84="","",IF($O84&lt;=7,"0-7",IF($O84&lt;=30,"8-30",IF($O84&lt;=60,"31-60","60+")))))</f>
        <v/>
      </c>
      <c r="Q84" s="28">
        <f>IF($A84="","",IF($B84="","YETİM",IF(COUNTIF(tblKartlar[KartId],$B84)=0,"YETİM","")))</f>
        <v/>
      </c>
      <c r="R84" s="28">
        <f>IF(OR($A84="",$E84=""),"",IF(OR($E84&amp;"|"&amp;$F84="",COUNTIF(ListeIzinliGecis,$E84&amp;"|"&amp;$F84)&gt;0),"","GEÇERSİZ GEÇİŞ"))</f>
        <v/>
      </c>
      <c r="S84" s="28">
        <f>IF($A84="","",IF(OR($G84="",$I84=""),"",IF(ABS($I84-$G84)&gt;zincirTolerans,"ZİNCİR KIRIK","OK")))</f>
        <v/>
      </c>
      <c r="T84" s="28">
        <f>IF($A84="","",1)</f>
        <v/>
      </c>
    </row>
    <row r="85">
      <c r="A85" s="26" t="n"/>
      <c r="B85" s="26" t="n"/>
      <c r="C85" s="26" t="n"/>
      <c r="D85" s="29" t="n"/>
      <c r="E85" s="26" t="n"/>
      <c r="F85" s="26" t="n"/>
      <c r="G85" s="27" t="n"/>
      <c r="H85" s="27" t="n"/>
      <c r="I85" s="27" t="n"/>
      <c r="J85" s="27" t="n"/>
      <c r="K85" s="27" t="n"/>
      <c r="L85" s="27" t="n"/>
      <c r="M85" s="26" t="n"/>
      <c r="N85" s="26" t="n"/>
      <c r="O85" s="28">
        <f>IF($A85="","",IF($D85="","",raporTarihi-$D85))</f>
        <v/>
      </c>
      <c r="P85" s="28">
        <f>IF($A85="","",IF($O85="","",IF($O85&lt;=7,"0-7",IF($O85&lt;=30,"8-30",IF($O85&lt;=60,"31-60","60+")))))</f>
        <v/>
      </c>
      <c r="Q85" s="28">
        <f>IF($A85="","",IF($B85="","YETİM",IF(COUNTIF(tblKartlar[KartId],$B85)=0,"YETİM","")))</f>
        <v/>
      </c>
      <c r="R85" s="28">
        <f>IF(OR($A85="",$E85=""),"",IF(OR($E85&amp;"|"&amp;$F85="",COUNTIF(ListeIzinliGecis,$E85&amp;"|"&amp;$F85)&gt;0),"","GEÇERSİZ GEÇİŞ"))</f>
        <v/>
      </c>
      <c r="S85" s="28">
        <f>IF($A85="","",IF(OR($G85="",$I85=""),"",IF(ABS($I85-$G85)&gt;zincirTolerans,"ZİNCİR KIRIK","OK")))</f>
        <v/>
      </c>
      <c r="T85" s="28">
        <f>IF($A85="","",1)</f>
        <v/>
      </c>
    </row>
    <row r="86">
      <c r="A86" s="26" t="n"/>
      <c r="B86" s="26" t="n"/>
      <c r="C86" s="26" t="n"/>
      <c r="D86" s="29" t="n"/>
      <c r="E86" s="26" t="n"/>
      <c r="F86" s="26" t="n"/>
      <c r="G86" s="27" t="n"/>
      <c r="H86" s="27" t="n"/>
      <c r="I86" s="27" t="n"/>
      <c r="J86" s="27" t="n"/>
      <c r="K86" s="27" t="n"/>
      <c r="L86" s="27" t="n"/>
      <c r="M86" s="26" t="n"/>
      <c r="N86" s="26" t="n"/>
      <c r="O86" s="28">
        <f>IF($A86="","",IF($D86="","",raporTarihi-$D86))</f>
        <v/>
      </c>
      <c r="P86" s="28">
        <f>IF($A86="","",IF($O86="","",IF($O86&lt;=7,"0-7",IF($O86&lt;=30,"8-30",IF($O86&lt;=60,"31-60","60+")))))</f>
        <v/>
      </c>
      <c r="Q86" s="28">
        <f>IF($A86="","",IF($B86="","YETİM",IF(COUNTIF(tblKartlar[KartId],$B86)=0,"YETİM","")))</f>
        <v/>
      </c>
      <c r="R86" s="28">
        <f>IF(OR($A86="",$E86=""),"",IF(OR($E86&amp;"|"&amp;$F86="",COUNTIF(ListeIzinliGecis,$E86&amp;"|"&amp;$F86)&gt;0),"","GEÇERSİZ GEÇİŞ"))</f>
        <v/>
      </c>
      <c r="S86" s="28">
        <f>IF($A86="","",IF(OR($G86="",$I86=""),"",IF(ABS($I86-$G86)&gt;zincirTolerans,"ZİNCİR KIRIK","OK")))</f>
        <v/>
      </c>
      <c r="T86" s="28">
        <f>IF($A86="","",1)</f>
        <v/>
      </c>
    </row>
    <row r="87">
      <c r="A87" s="26" t="n"/>
      <c r="B87" s="26" t="n"/>
      <c r="C87" s="26" t="n"/>
      <c r="D87" s="29" t="n"/>
      <c r="E87" s="26" t="n"/>
      <c r="F87" s="26" t="n"/>
      <c r="G87" s="27" t="n"/>
      <c r="H87" s="27" t="n"/>
      <c r="I87" s="27" t="n"/>
      <c r="J87" s="27" t="n"/>
      <c r="K87" s="27" t="n"/>
      <c r="L87" s="27" t="n"/>
      <c r="M87" s="26" t="n"/>
      <c r="N87" s="26" t="n"/>
      <c r="O87" s="28">
        <f>IF($A87="","",IF($D87="","",raporTarihi-$D87))</f>
        <v/>
      </c>
      <c r="P87" s="28">
        <f>IF($A87="","",IF($O87="","",IF($O87&lt;=7,"0-7",IF($O87&lt;=30,"8-30",IF($O87&lt;=60,"31-60","60+")))))</f>
        <v/>
      </c>
      <c r="Q87" s="28">
        <f>IF($A87="","",IF($B87="","YETİM",IF(COUNTIF(tblKartlar[KartId],$B87)=0,"YETİM","")))</f>
        <v/>
      </c>
      <c r="R87" s="28">
        <f>IF(OR($A87="",$E87=""),"",IF(OR($E87&amp;"|"&amp;$F87="",COUNTIF(ListeIzinliGecis,$E87&amp;"|"&amp;$F87)&gt;0),"","GEÇERSİZ GEÇİŞ"))</f>
        <v/>
      </c>
      <c r="S87" s="28">
        <f>IF($A87="","",IF(OR($G87="",$I87=""),"",IF(ABS($I87-$G87)&gt;zincirTolerans,"ZİNCİR KIRIK","OK")))</f>
        <v/>
      </c>
      <c r="T87" s="28">
        <f>IF($A87="","",1)</f>
        <v/>
      </c>
    </row>
    <row r="88">
      <c r="A88" s="26" t="n"/>
      <c r="B88" s="26" t="n"/>
      <c r="C88" s="26" t="n"/>
      <c r="D88" s="29" t="n"/>
      <c r="E88" s="26" t="n"/>
      <c r="F88" s="26" t="n"/>
      <c r="G88" s="27" t="n"/>
      <c r="H88" s="27" t="n"/>
      <c r="I88" s="27" t="n"/>
      <c r="J88" s="27" t="n"/>
      <c r="K88" s="27" t="n"/>
      <c r="L88" s="27" t="n"/>
      <c r="M88" s="26" t="n"/>
      <c r="N88" s="26" t="n"/>
      <c r="O88" s="28">
        <f>IF($A88="","",IF($D88="","",raporTarihi-$D88))</f>
        <v/>
      </c>
      <c r="P88" s="28">
        <f>IF($A88="","",IF($O88="","",IF($O88&lt;=7,"0-7",IF($O88&lt;=30,"8-30",IF($O88&lt;=60,"31-60","60+")))))</f>
        <v/>
      </c>
      <c r="Q88" s="28">
        <f>IF($A88="","",IF($B88="","YETİM",IF(COUNTIF(tblKartlar[KartId],$B88)=0,"YETİM","")))</f>
        <v/>
      </c>
      <c r="R88" s="28">
        <f>IF(OR($A88="",$E88=""),"",IF(OR($E88&amp;"|"&amp;$F88="",COUNTIF(ListeIzinliGecis,$E88&amp;"|"&amp;$F88)&gt;0),"","GEÇERSİZ GEÇİŞ"))</f>
        <v/>
      </c>
      <c r="S88" s="28">
        <f>IF($A88="","",IF(OR($G88="",$I88=""),"",IF(ABS($I88-$G88)&gt;zincirTolerans,"ZİNCİR KIRIK","OK")))</f>
        <v/>
      </c>
      <c r="T88" s="28">
        <f>IF($A88="","",1)</f>
        <v/>
      </c>
    </row>
    <row r="89">
      <c r="A89" s="26" t="n"/>
      <c r="B89" s="26" t="n"/>
      <c r="C89" s="26" t="n"/>
      <c r="D89" s="29" t="n"/>
      <c r="E89" s="26" t="n"/>
      <c r="F89" s="26" t="n"/>
      <c r="G89" s="27" t="n"/>
      <c r="H89" s="27" t="n"/>
      <c r="I89" s="27" t="n"/>
      <c r="J89" s="27" t="n"/>
      <c r="K89" s="27" t="n"/>
      <c r="L89" s="27" t="n"/>
      <c r="M89" s="26" t="n"/>
      <c r="N89" s="26" t="n"/>
      <c r="O89" s="28">
        <f>IF($A89="","",IF($D89="","",raporTarihi-$D89))</f>
        <v/>
      </c>
      <c r="P89" s="28">
        <f>IF($A89="","",IF($O89="","",IF($O89&lt;=7,"0-7",IF($O89&lt;=30,"8-30",IF($O89&lt;=60,"31-60","60+")))))</f>
        <v/>
      </c>
      <c r="Q89" s="28">
        <f>IF($A89="","",IF($B89="","YETİM",IF(COUNTIF(tblKartlar[KartId],$B89)=0,"YETİM","")))</f>
        <v/>
      </c>
      <c r="R89" s="28">
        <f>IF(OR($A89="",$E89=""),"",IF(OR($E89&amp;"|"&amp;$F89="",COUNTIF(ListeIzinliGecis,$E89&amp;"|"&amp;$F89)&gt;0),"","GEÇERSİZ GEÇİŞ"))</f>
        <v/>
      </c>
      <c r="S89" s="28">
        <f>IF($A89="","",IF(OR($G89="",$I89=""),"",IF(ABS($I89-$G89)&gt;zincirTolerans,"ZİNCİR KIRIK","OK")))</f>
        <v/>
      </c>
      <c r="T89" s="28">
        <f>IF($A89="","",1)</f>
        <v/>
      </c>
    </row>
    <row r="90">
      <c r="A90" s="26" t="n"/>
      <c r="B90" s="26" t="n"/>
      <c r="C90" s="26" t="n"/>
      <c r="D90" s="29" t="n"/>
      <c r="E90" s="26" t="n"/>
      <c r="F90" s="26" t="n"/>
      <c r="G90" s="27" t="n"/>
      <c r="H90" s="27" t="n"/>
      <c r="I90" s="27" t="n"/>
      <c r="J90" s="27" t="n"/>
      <c r="K90" s="27" t="n"/>
      <c r="L90" s="27" t="n"/>
      <c r="M90" s="26" t="n"/>
      <c r="N90" s="26" t="n"/>
      <c r="O90" s="28">
        <f>IF($A90="","",IF($D90="","",raporTarihi-$D90))</f>
        <v/>
      </c>
      <c r="P90" s="28">
        <f>IF($A90="","",IF($O90="","",IF($O90&lt;=7,"0-7",IF($O90&lt;=30,"8-30",IF($O90&lt;=60,"31-60","60+")))))</f>
        <v/>
      </c>
      <c r="Q90" s="28">
        <f>IF($A90="","",IF($B90="","YETİM",IF(COUNTIF(tblKartlar[KartId],$B90)=0,"YETİM","")))</f>
        <v/>
      </c>
      <c r="R90" s="28">
        <f>IF(OR($A90="",$E90=""),"",IF(OR($E90&amp;"|"&amp;$F90="",COUNTIF(ListeIzinliGecis,$E90&amp;"|"&amp;$F90)&gt;0),"","GEÇERSİZ GEÇİŞ"))</f>
        <v/>
      </c>
      <c r="S90" s="28">
        <f>IF($A90="","",IF(OR($G90="",$I90=""),"",IF(ABS($I90-$G90)&gt;zincirTolerans,"ZİNCİR KIRIK","OK")))</f>
        <v/>
      </c>
      <c r="T90" s="28">
        <f>IF($A90="","",1)</f>
        <v/>
      </c>
    </row>
    <row r="91">
      <c r="A91" s="26" t="n"/>
      <c r="B91" s="26" t="n"/>
      <c r="C91" s="26" t="n"/>
      <c r="D91" s="29" t="n"/>
      <c r="E91" s="26" t="n"/>
      <c r="F91" s="26" t="n"/>
      <c r="G91" s="27" t="n"/>
      <c r="H91" s="27" t="n"/>
      <c r="I91" s="27" t="n"/>
      <c r="J91" s="27" t="n"/>
      <c r="K91" s="27" t="n"/>
      <c r="L91" s="27" t="n"/>
      <c r="M91" s="26" t="n"/>
      <c r="N91" s="26" t="n"/>
      <c r="O91" s="28">
        <f>IF($A91="","",IF($D91="","",raporTarihi-$D91))</f>
        <v/>
      </c>
      <c r="P91" s="28">
        <f>IF($A91="","",IF($O91="","",IF($O91&lt;=7,"0-7",IF($O91&lt;=30,"8-30",IF($O91&lt;=60,"31-60","60+")))))</f>
        <v/>
      </c>
      <c r="Q91" s="28">
        <f>IF($A91="","",IF($B91="","YETİM",IF(COUNTIF(tblKartlar[KartId],$B91)=0,"YETİM","")))</f>
        <v/>
      </c>
      <c r="R91" s="28">
        <f>IF(OR($A91="",$E91=""),"",IF(OR($E91&amp;"|"&amp;$F91="",COUNTIF(ListeIzinliGecis,$E91&amp;"|"&amp;$F91)&gt;0),"","GEÇERSİZ GEÇİŞ"))</f>
        <v/>
      </c>
      <c r="S91" s="28">
        <f>IF($A91="","",IF(OR($G91="",$I91=""),"",IF(ABS($I91-$G91)&gt;zincirTolerans,"ZİNCİR KIRIK","OK")))</f>
        <v/>
      </c>
      <c r="T91" s="28">
        <f>IF($A91="","",1)</f>
        <v/>
      </c>
    </row>
    <row r="92">
      <c r="A92" s="26" t="n"/>
      <c r="B92" s="26" t="n"/>
      <c r="C92" s="26" t="n"/>
      <c r="D92" s="29" t="n"/>
      <c r="E92" s="26" t="n"/>
      <c r="F92" s="26" t="n"/>
      <c r="G92" s="27" t="n"/>
      <c r="H92" s="27" t="n"/>
      <c r="I92" s="27" t="n"/>
      <c r="J92" s="27" t="n"/>
      <c r="K92" s="27" t="n"/>
      <c r="L92" s="27" t="n"/>
      <c r="M92" s="26" t="n"/>
      <c r="N92" s="26" t="n"/>
      <c r="O92" s="28">
        <f>IF($A92="","",IF($D92="","",raporTarihi-$D92))</f>
        <v/>
      </c>
      <c r="P92" s="28">
        <f>IF($A92="","",IF($O92="","",IF($O92&lt;=7,"0-7",IF($O92&lt;=30,"8-30",IF($O92&lt;=60,"31-60","60+")))))</f>
        <v/>
      </c>
      <c r="Q92" s="28">
        <f>IF($A92="","",IF($B92="","YETİM",IF(COUNTIF(tblKartlar[KartId],$B92)=0,"YETİM","")))</f>
        <v/>
      </c>
      <c r="R92" s="28">
        <f>IF(OR($A92="",$E92=""),"",IF(OR($E92&amp;"|"&amp;$F92="",COUNTIF(ListeIzinliGecis,$E92&amp;"|"&amp;$F92)&gt;0),"","GEÇERSİZ GEÇİŞ"))</f>
        <v/>
      </c>
      <c r="S92" s="28">
        <f>IF($A92="","",IF(OR($G92="",$I92=""),"",IF(ABS($I92-$G92)&gt;zincirTolerans,"ZİNCİR KIRIK","OK")))</f>
        <v/>
      </c>
      <c r="T92" s="28">
        <f>IF($A92="","",1)</f>
        <v/>
      </c>
    </row>
    <row r="93">
      <c r="A93" s="26" t="n"/>
      <c r="B93" s="26" t="n"/>
      <c r="C93" s="26" t="n"/>
      <c r="D93" s="29" t="n"/>
      <c r="E93" s="26" t="n"/>
      <c r="F93" s="26" t="n"/>
      <c r="G93" s="27" t="n"/>
      <c r="H93" s="27" t="n"/>
      <c r="I93" s="27" t="n"/>
      <c r="J93" s="27" t="n"/>
      <c r="K93" s="27" t="n"/>
      <c r="L93" s="27" t="n"/>
      <c r="M93" s="26" t="n"/>
      <c r="N93" s="26" t="n"/>
      <c r="O93" s="28">
        <f>IF($A93="","",IF($D93="","",raporTarihi-$D93))</f>
        <v/>
      </c>
      <c r="P93" s="28">
        <f>IF($A93="","",IF($O93="","",IF($O93&lt;=7,"0-7",IF($O93&lt;=30,"8-30",IF($O93&lt;=60,"31-60","60+")))))</f>
        <v/>
      </c>
      <c r="Q93" s="28">
        <f>IF($A93="","",IF($B93="","YETİM",IF(COUNTIF(tblKartlar[KartId],$B93)=0,"YETİM","")))</f>
        <v/>
      </c>
      <c r="R93" s="28">
        <f>IF(OR($A93="",$E93=""),"",IF(OR($E93&amp;"|"&amp;$F93="",COUNTIF(ListeIzinliGecis,$E93&amp;"|"&amp;$F93)&gt;0),"","GEÇERSİZ GEÇİŞ"))</f>
        <v/>
      </c>
      <c r="S93" s="28">
        <f>IF($A93="","",IF(OR($G93="",$I93=""),"",IF(ABS($I93-$G93)&gt;zincirTolerans,"ZİNCİR KIRIK","OK")))</f>
        <v/>
      </c>
      <c r="T93" s="28">
        <f>IF($A93="","",1)</f>
        <v/>
      </c>
    </row>
    <row r="94">
      <c r="A94" s="26" t="n"/>
      <c r="B94" s="26" t="n"/>
      <c r="C94" s="26" t="n"/>
      <c r="D94" s="29" t="n"/>
      <c r="E94" s="26" t="n"/>
      <c r="F94" s="26" t="n"/>
      <c r="G94" s="27" t="n"/>
      <c r="H94" s="27" t="n"/>
      <c r="I94" s="27" t="n"/>
      <c r="J94" s="27" t="n"/>
      <c r="K94" s="27" t="n"/>
      <c r="L94" s="27" t="n"/>
      <c r="M94" s="26" t="n"/>
      <c r="N94" s="26" t="n"/>
      <c r="O94" s="28">
        <f>IF($A94="","",IF($D94="","",raporTarihi-$D94))</f>
        <v/>
      </c>
      <c r="P94" s="28">
        <f>IF($A94="","",IF($O94="","",IF($O94&lt;=7,"0-7",IF($O94&lt;=30,"8-30",IF($O94&lt;=60,"31-60","60+")))))</f>
        <v/>
      </c>
      <c r="Q94" s="28">
        <f>IF($A94="","",IF($B94="","YETİM",IF(COUNTIF(tblKartlar[KartId],$B94)=0,"YETİM","")))</f>
        <v/>
      </c>
      <c r="R94" s="28">
        <f>IF(OR($A94="",$E94=""),"",IF(OR($E94&amp;"|"&amp;$F94="",COUNTIF(ListeIzinliGecis,$E94&amp;"|"&amp;$F94)&gt;0),"","GEÇERSİZ GEÇİŞ"))</f>
        <v/>
      </c>
      <c r="S94" s="28">
        <f>IF($A94="","",IF(OR($G94="",$I94=""),"",IF(ABS($I94-$G94)&gt;zincirTolerans,"ZİNCİR KIRIK","OK")))</f>
        <v/>
      </c>
      <c r="T94" s="28">
        <f>IF($A94="","",1)</f>
        <v/>
      </c>
    </row>
    <row r="95">
      <c r="A95" s="26" t="n"/>
      <c r="B95" s="26" t="n"/>
      <c r="C95" s="26" t="n"/>
      <c r="D95" s="29" t="n"/>
      <c r="E95" s="26" t="n"/>
      <c r="F95" s="26" t="n"/>
      <c r="G95" s="27" t="n"/>
      <c r="H95" s="27" t="n"/>
      <c r="I95" s="27" t="n"/>
      <c r="J95" s="27" t="n"/>
      <c r="K95" s="27" t="n"/>
      <c r="L95" s="27" t="n"/>
      <c r="M95" s="26" t="n"/>
      <c r="N95" s="26" t="n"/>
      <c r="O95" s="28">
        <f>IF($A95="","",IF($D95="","",raporTarihi-$D95))</f>
        <v/>
      </c>
      <c r="P95" s="28">
        <f>IF($A95="","",IF($O95="","",IF($O95&lt;=7,"0-7",IF($O95&lt;=30,"8-30",IF($O95&lt;=60,"31-60","60+")))))</f>
        <v/>
      </c>
      <c r="Q95" s="28">
        <f>IF($A95="","",IF($B95="","YETİM",IF(COUNTIF(tblKartlar[KartId],$B95)=0,"YETİM","")))</f>
        <v/>
      </c>
      <c r="R95" s="28">
        <f>IF(OR($A95="",$E95=""),"",IF(OR($E95&amp;"|"&amp;$F95="",COUNTIF(ListeIzinliGecis,$E95&amp;"|"&amp;$F95)&gt;0),"","GEÇERSİZ GEÇİŞ"))</f>
        <v/>
      </c>
      <c r="S95" s="28">
        <f>IF($A95="","",IF(OR($G95="",$I95=""),"",IF(ABS($I95-$G95)&gt;zincirTolerans,"ZİNCİR KIRIK","OK")))</f>
        <v/>
      </c>
      <c r="T95" s="28">
        <f>IF($A95="","",1)</f>
        <v/>
      </c>
    </row>
    <row r="96">
      <c r="A96" s="26" t="n"/>
      <c r="B96" s="26" t="n"/>
      <c r="C96" s="26" t="n"/>
      <c r="D96" s="29" t="n"/>
      <c r="E96" s="26" t="n"/>
      <c r="F96" s="26" t="n"/>
      <c r="G96" s="27" t="n"/>
      <c r="H96" s="27" t="n"/>
      <c r="I96" s="27" t="n"/>
      <c r="J96" s="27" t="n"/>
      <c r="K96" s="27" t="n"/>
      <c r="L96" s="27" t="n"/>
      <c r="M96" s="26" t="n"/>
      <c r="N96" s="26" t="n"/>
      <c r="O96" s="28">
        <f>IF($A96="","",IF($D96="","",raporTarihi-$D96))</f>
        <v/>
      </c>
      <c r="P96" s="28">
        <f>IF($A96="","",IF($O96="","",IF($O96&lt;=7,"0-7",IF($O96&lt;=30,"8-30",IF($O96&lt;=60,"31-60","60+")))))</f>
        <v/>
      </c>
      <c r="Q96" s="28">
        <f>IF($A96="","",IF($B96="","YETİM",IF(COUNTIF(tblKartlar[KartId],$B96)=0,"YETİM","")))</f>
        <v/>
      </c>
      <c r="R96" s="28">
        <f>IF(OR($A96="",$E96=""),"",IF(OR($E96&amp;"|"&amp;$F96="",COUNTIF(ListeIzinliGecis,$E96&amp;"|"&amp;$F96)&gt;0),"","GEÇERSİZ GEÇİŞ"))</f>
        <v/>
      </c>
      <c r="S96" s="28">
        <f>IF($A96="","",IF(OR($G96="",$I96=""),"",IF(ABS($I96-$G96)&gt;zincirTolerans,"ZİNCİR KIRIK","OK")))</f>
        <v/>
      </c>
      <c r="T96" s="28">
        <f>IF($A96="","",1)</f>
        <v/>
      </c>
    </row>
    <row r="97">
      <c r="A97" s="26" t="n"/>
      <c r="B97" s="26" t="n"/>
      <c r="C97" s="26" t="n"/>
      <c r="D97" s="29" t="n"/>
      <c r="E97" s="26" t="n"/>
      <c r="F97" s="26" t="n"/>
      <c r="G97" s="27" t="n"/>
      <c r="H97" s="27" t="n"/>
      <c r="I97" s="27" t="n"/>
      <c r="J97" s="27" t="n"/>
      <c r="K97" s="27" t="n"/>
      <c r="L97" s="27" t="n"/>
      <c r="M97" s="26" t="n"/>
      <c r="N97" s="26" t="n"/>
      <c r="O97" s="28">
        <f>IF($A97="","",IF($D97="","",raporTarihi-$D97))</f>
        <v/>
      </c>
      <c r="P97" s="28">
        <f>IF($A97="","",IF($O97="","",IF($O97&lt;=7,"0-7",IF($O97&lt;=30,"8-30",IF($O97&lt;=60,"31-60","60+")))))</f>
        <v/>
      </c>
      <c r="Q97" s="28">
        <f>IF($A97="","",IF($B97="","YETİM",IF(COUNTIF(tblKartlar[KartId],$B97)=0,"YETİM","")))</f>
        <v/>
      </c>
      <c r="R97" s="28">
        <f>IF(OR($A97="",$E97=""),"",IF(OR($E97&amp;"|"&amp;$F97="",COUNTIF(ListeIzinliGecis,$E97&amp;"|"&amp;$F97)&gt;0),"","GEÇERSİZ GEÇİŞ"))</f>
        <v/>
      </c>
      <c r="S97" s="28">
        <f>IF($A97="","",IF(OR($G97="",$I97=""),"",IF(ABS($I97-$G97)&gt;zincirTolerans,"ZİNCİR KIRIK","OK")))</f>
        <v/>
      </c>
      <c r="T97" s="28">
        <f>IF($A97="","",1)</f>
        <v/>
      </c>
    </row>
    <row r="98">
      <c r="A98" s="26" t="n"/>
      <c r="B98" s="26" t="n"/>
      <c r="C98" s="26" t="n"/>
      <c r="D98" s="29" t="n"/>
      <c r="E98" s="26" t="n"/>
      <c r="F98" s="26" t="n"/>
      <c r="G98" s="27" t="n"/>
      <c r="H98" s="27" t="n"/>
      <c r="I98" s="27" t="n"/>
      <c r="J98" s="27" t="n"/>
      <c r="K98" s="27" t="n"/>
      <c r="L98" s="27" t="n"/>
      <c r="M98" s="26" t="n"/>
      <c r="N98" s="26" t="n"/>
      <c r="O98" s="28">
        <f>IF($A98="","",IF($D98="","",raporTarihi-$D98))</f>
        <v/>
      </c>
      <c r="P98" s="28">
        <f>IF($A98="","",IF($O98="","",IF($O98&lt;=7,"0-7",IF($O98&lt;=30,"8-30",IF($O98&lt;=60,"31-60","60+")))))</f>
        <v/>
      </c>
      <c r="Q98" s="28">
        <f>IF($A98="","",IF($B98="","YETİM",IF(COUNTIF(tblKartlar[KartId],$B98)=0,"YETİM","")))</f>
        <v/>
      </c>
      <c r="R98" s="28">
        <f>IF(OR($A98="",$E98=""),"",IF(OR($E98&amp;"|"&amp;$F98="",COUNTIF(ListeIzinliGecis,$E98&amp;"|"&amp;$F98)&gt;0),"","GEÇERSİZ GEÇİŞ"))</f>
        <v/>
      </c>
      <c r="S98" s="28">
        <f>IF($A98="","",IF(OR($G98="",$I98=""),"",IF(ABS($I98-$G98)&gt;zincirTolerans,"ZİNCİR KIRIK","OK")))</f>
        <v/>
      </c>
      <c r="T98" s="28">
        <f>IF($A98="","",1)</f>
        <v/>
      </c>
    </row>
    <row r="99">
      <c r="A99" s="26" t="n"/>
      <c r="B99" s="26" t="n"/>
      <c r="C99" s="26" t="n"/>
      <c r="D99" s="29" t="n"/>
      <c r="E99" s="26" t="n"/>
      <c r="F99" s="26" t="n"/>
      <c r="G99" s="27" t="n"/>
      <c r="H99" s="27" t="n"/>
      <c r="I99" s="27" t="n"/>
      <c r="J99" s="27" t="n"/>
      <c r="K99" s="27" t="n"/>
      <c r="L99" s="27" t="n"/>
      <c r="M99" s="26" t="n"/>
      <c r="N99" s="26" t="n"/>
      <c r="O99" s="28">
        <f>IF($A99="","",IF($D99="","",raporTarihi-$D99))</f>
        <v/>
      </c>
      <c r="P99" s="28">
        <f>IF($A99="","",IF($O99="","",IF($O99&lt;=7,"0-7",IF($O99&lt;=30,"8-30",IF($O99&lt;=60,"31-60","60+")))))</f>
        <v/>
      </c>
      <c r="Q99" s="28">
        <f>IF($A99="","",IF($B99="","YETİM",IF(COUNTIF(tblKartlar[KartId],$B99)=0,"YETİM","")))</f>
        <v/>
      </c>
      <c r="R99" s="28">
        <f>IF(OR($A99="",$E99=""),"",IF(OR($E99&amp;"|"&amp;$F99="",COUNTIF(ListeIzinliGecis,$E99&amp;"|"&amp;$F99)&gt;0),"","GEÇERSİZ GEÇİŞ"))</f>
        <v/>
      </c>
      <c r="S99" s="28">
        <f>IF($A99="","",IF(OR($G99="",$I99=""),"",IF(ABS($I99-$G99)&gt;zincirTolerans,"ZİNCİR KIRIK","OK")))</f>
        <v/>
      </c>
      <c r="T99" s="28">
        <f>IF($A99="","",1)</f>
        <v/>
      </c>
    </row>
    <row r="100">
      <c r="A100" s="26" t="n"/>
      <c r="B100" s="26" t="n"/>
      <c r="C100" s="26" t="n"/>
      <c r="D100" s="29" t="n"/>
      <c r="E100" s="26" t="n"/>
      <c r="F100" s="26" t="n"/>
      <c r="G100" s="27" t="n"/>
      <c r="H100" s="27" t="n"/>
      <c r="I100" s="27" t="n"/>
      <c r="J100" s="27" t="n"/>
      <c r="K100" s="27" t="n"/>
      <c r="L100" s="27" t="n"/>
      <c r="M100" s="26" t="n"/>
      <c r="N100" s="26" t="n"/>
      <c r="O100" s="28">
        <f>IF($A100="","",IF($D100="","",raporTarihi-$D100))</f>
        <v/>
      </c>
      <c r="P100" s="28">
        <f>IF($A100="","",IF($O100="","",IF($O100&lt;=7,"0-7",IF($O100&lt;=30,"8-30",IF($O100&lt;=60,"31-60","60+")))))</f>
        <v/>
      </c>
      <c r="Q100" s="28">
        <f>IF($A100="","",IF($B100="","YETİM",IF(COUNTIF(tblKartlar[KartId],$B100)=0,"YETİM","")))</f>
        <v/>
      </c>
      <c r="R100" s="28">
        <f>IF(OR($A100="",$E100=""),"",IF(OR($E100&amp;"|"&amp;$F100="",COUNTIF(ListeIzinliGecis,$E100&amp;"|"&amp;$F100)&gt;0),"","GEÇERSİZ GEÇİŞ"))</f>
        <v/>
      </c>
      <c r="S100" s="28">
        <f>IF($A100="","",IF(OR($G100="",$I100=""),"",IF(ABS($I100-$G100)&gt;zincirTolerans,"ZİNCİR KIRIK","OK")))</f>
        <v/>
      </c>
      <c r="T100" s="28">
        <f>IF($A100="","",1)</f>
        <v/>
      </c>
    </row>
    <row r="101">
      <c r="A101" s="26" t="n"/>
      <c r="B101" s="26" t="n"/>
      <c r="C101" s="26" t="n"/>
      <c r="D101" s="29" t="n"/>
      <c r="E101" s="26" t="n"/>
      <c r="F101" s="26" t="n"/>
      <c r="G101" s="27" t="n"/>
      <c r="H101" s="27" t="n"/>
      <c r="I101" s="27" t="n"/>
      <c r="J101" s="27" t="n"/>
      <c r="K101" s="27" t="n"/>
      <c r="L101" s="27" t="n"/>
      <c r="M101" s="26" t="n"/>
      <c r="N101" s="26" t="n"/>
      <c r="O101" s="28">
        <f>IF($A101="","",IF($D101="","",raporTarihi-$D101))</f>
        <v/>
      </c>
      <c r="P101" s="28">
        <f>IF($A101="","",IF($O101="","",IF($O101&lt;=7,"0-7",IF($O101&lt;=30,"8-30",IF($O101&lt;=60,"31-60","60+")))))</f>
        <v/>
      </c>
      <c r="Q101" s="28">
        <f>IF($A101="","",IF($B101="","YETİM",IF(COUNTIF(tblKartlar[KartId],$B101)=0,"YETİM","")))</f>
        <v/>
      </c>
      <c r="R101" s="28">
        <f>IF(OR($A101="",$E101=""),"",IF(OR($E101&amp;"|"&amp;$F101="",COUNTIF(ListeIzinliGecis,$E101&amp;"|"&amp;$F101)&gt;0),"","GEÇERSİZ GEÇİŞ"))</f>
        <v/>
      </c>
      <c r="S101" s="28">
        <f>IF($A101="","",IF(OR($G101="",$I101=""),"",IF(ABS($I101-$G101)&gt;zincirTolerans,"ZİNCİR KIRIK","OK")))</f>
        <v/>
      </c>
      <c r="T101" s="28">
        <f>IF($A101="","",1)</f>
        <v/>
      </c>
    </row>
    <row r="102">
      <c r="A102" s="26" t="n"/>
      <c r="B102" s="26" t="n"/>
      <c r="C102" s="26" t="n"/>
      <c r="D102" s="29" t="n"/>
      <c r="E102" s="26" t="n"/>
      <c r="F102" s="26" t="n"/>
      <c r="G102" s="27" t="n"/>
      <c r="H102" s="27" t="n"/>
      <c r="I102" s="27" t="n"/>
      <c r="J102" s="27" t="n"/>
      <c r="K102" s="27" t="n"/>
      <c r="L102" s="27" t="n"/>
      <c r="M102" s="26" t="n"/>
      <c r="N102" s="26" t="n"/>
      <c r="O102" s="28">
        <f>IF($A102="","",IF($D102="","",raporTarihi-$D102))</f>
        <v/>
      </c>
      <c r="P102" s="28">
        <f>IF($A102="","",IF($O102="","",IF($O102&lt;=7,"0-7",IF($O102&lt;=30,"8-30",IF($O102&lt;=60,"31-60","60+")))))</f>
        <v/>
      </c>
      <c r="Q102" s="28">
        <f>IF($A102="","",IF($B102="","YETİM",IF(COUNTIF(tblKartlar[KartId],$B102)=0,"YETİM","")))</f>
        <v/>
      </c>
      <c r="R102" s="28">
        <f>IF(OR($A102="",$E102=""),"",IF(OR($E102&amp;"|"&amp;$F102="",COUNTIF(ListeIzinliGecis,$E102&amp;"|"&amp;$F102)&gt;0),"","GEÇERSİZ GEÇİŞ"))</f>
        <v/>
      </c>
      <c r="S102" s="28">
        <f>IF($A102="","",IF(OR($G102="",$I102=""),"",IF(ABS($I102-$G102)&gt;zincirTolerans,"ZİNCİR KIRIK","OK")))</f>
        <v/>
      </c>
      <c r="T102" s="28">
        <f>IF($A102="","",1)</f>
        <v/>
      </c>
    </row>
    <row r="103">
      <c r="A103" s="26" t="n"/>
      <c r="B103" s="26" t="n"/>
      <c r="C103" s="26" t="n"/>
      <c r="D103" s="29" t="n"/>
      <c r="E103" s="26" t="n"/>
      <c r="F103" s="26" t="n"/>
      <c r="G103" s="27" t="n"/>
      <c r="H103" s="27" t="n"/>
      <c r="I103" s="27" t="n"/>
      <c r="J103" s="27" t="n"/>
      <c r="K103" s="27" t="n"/>
      <c r="L103" s="27" t="n"/>
      <c r="M103" s="26" t="n"/>
      <c r="N103" s="26" t="n"/>
      <c r="O103" s="28">
        <f>IF($A103="","",IF($D103="","",raporTarihi-$D103))</f>
        <v/>
      </c>
      <c r="P103" s="28">
        <f>IF($A103="","",IF($O103="","",IF($O103&lt;=7,"0-7",IF($O103&lt;=30,"8-30",IF($O103&lt;=60,"31-60","60+")))))</f>
        <v/>
      </c>
      <c r="Q103" s="28">
        <f>IF($A103="","",IF($B103="","YETİM",IF(COUNTIF(tblKartlar[KartId],$B103)=0,"YETİM","")))</f>
        <v/>
      </c>
      <c r="R103" s="28">
        <f>IF(OR($A103="",$E103=""),"",IF(OR($E103&amp;"|"&amp;$F103="",COUNTIF(ListeIzinliGecis,$E103&amp;"|"&amp;$F103)&gt;0),"","GEÇERSİZ GEÇİŞ"))</f>
        <v/>
      </c>
      <c r="S103" s="28">
        <f>IF($A103="","",IF(OR($G103="",$I103=""),"",IF(ABS($I103-$G103)&gt;zincirTolerans,"ZİNCİR KIRIK","OK")))</f>
        <v/>
      </c>
      <c r="T103" s="28">
        <f>IF($A103="","",1)</f>
        <v/>
      </c>
    </row>
    <row r="104">
      <c r="A104" s="26" t="n"/>
      <c r="B104" s="26" t="n"/>
      <c r="C104" s="26" t="n"/>
      <c r="D104" s="29" t="n"/>
      <c r="E104" s="26" t="n"/>
      <c r="F104" s="26" t="n"/>
      <c r="G104" s="27" t="n"/>
      <c r="H104" s="27" t="n"/>
      <c r="I104" s="27" t="n"/>
      <c r="J104" s="27" t="n"/>
      <c r="K104" s="27" t="n"/>
      <c r="L104" s="27" t="n"/>
      <c r="M104" s="26" t="n"/>
      <c r="N104" s="26" t="n"/>
      <c r="O104" s="28">
        <f>IF($A104="","",IF($D104="","",raporTarihi-$D104))</f>
        <v/>
      </c>
      <c r="P104" s="28">
        <f>IF($A104="","",IF($O104="","",IF($O104&lt;=7,"0-7",IF($O104&lt;=30,"8-30",IF($O104&lt;=60,"31-60","60+")))))</f>
        <v/>
      </c>
      <c r="Q104" s="28">
        <f>IF($A104="","",IF($B104="","YETİM",IF(COUNTIF(tblKartlar[KartId],$B104)=0,"YETİM","")))</f>
        <v/>
      </c>
      <c r="R104" s="28">
        <f>IF(OR($A104="",$E104=""),"",IF(OR($E104&amp;"|"&amp;$F104="",COUNTIF(ListeIzinliGecis,$E104&amp;"|"&amp;$F104)&gt;0),"","GEÇERSİZ GEÇİŞ"))</f>
        <v/>
      </c>
      <c r="S104" s="28">
        <f>IF($A104="","",IF(OR($G104="",$I104=""),"",IF(ABS($I104-$G104)&gt;zincirTolerans,"ZİNCİR KIRIK","OK")))</f>
        <v/>
      </c>
      <c r="T104" s="28">
        <f>IF($A104="","",1)</f>
        <v/>
      </c>
    </row>
    <row r="105">
      <c r="A105" s="26" t="n"/>
      <c r="B105" s="26" t="n"/>
      <c r="C105" s="26" t="n"/>
      <c r="D105" s="29" t="n"/>
      <c r="E105" s="26" t="n"/>
      <c r="F105" s="26" t="n"/>
      <c r="G105" s="27" t="n"/>
      <c r="H105" s="27" t="n"/>
      <c r="I105" s="27" t="n"/>
      <c r="J105" s="27" t="n"/>
      <c r="K105" s="27" t="n"/>
      <c r="L105" s="27" t="n"/>
      <c r="M105" s="26" t="n"/>
      <c r="N105" s="26" t="n"/>
      <c r="O105" s="28">
        <f>IF($A105="","",IF($D105="","",raporTarihi-$D105))</f>
        <v/>
      </c>
      <c r="P105" s="28">
        <f>IF($A105="","",IF($O105="","",IF($O105&lt;=7,"0-7",IF($O105&lt;=30,"8-30",IF($O105&lt;=60,"31-60","60+")))))</f>
        <v/>
      </c>
      <c r="Q105" s="28">
        <f>IF($A105="","",IF($B105="","YETİM",IF(COUNTIF(tblKartlar[KartId],$B105)=0,"YETİM","")))</f>
        <v/>
      </c>
      <c r="R105" s="28">
        <f>IF(OR($A105="",$E105=""),"",IF(OR($E105&amp;"|"&amp;$F105="",COUNTIF(ListeIzinliGecis,$E105&amp;"|"&amp;$F105)&gt;0),"","GEÇERSİZ GEÇİŞ"))</f>
        <v/>
      </c>
      <c r="S105" s="28">
        <f>IF($A105="","",IF(OR($G105="",$I105=""),"",IF(ABS($I105-$G105)&gt;zincirTolerans,"ZİNCİR KIRIK","OK")))</f>
        <v/>
      </c>
      <c r="T105" s="28">
        <f>IF($A105="","",1)</f>
        <v/>
      </c>
    </row>
    <row r="106">
      <c r="A106" s="26" t="n"/>
      <c r="B106" s="26" t="n"/>
      <c r="C106" s="26" t="n"/>
      <c r="D106" s="29" t="n"/>
      <c r="E106" s="26" t="n"/>
      <c r="F106" s="26" t="n"/>
      <c r="G106" s="27" t="n"/>
      <c r="H106" s="27" t="n"/>
      <c r="I106" s="27" t="n"/>
      <c r="J106" s="27" t="n"/>
      <c r="K106" s="27" t="n"/>
      <c r="L106" s="27" t="n"/>
      <c r="M106" s="26" t="n"/>
      <c r="N106" s="26" t="n"/>
      <c r="O106" s="28">
        <f>IF($A106="","",IF($D106="","",raporTarihi-$D106))</f>
        <v/>
      </c>
      <c r="P106" s="28">
        <f>IF($A106="","",IF($O106="","",IF($O106&lt;=7,"0-7",IF($O106&lt;=30,"8-30",IF($O106&lt;=60,"31-60","60+")))))</f>
        <v/>
      </c>
      <c r="Q106" s="28">
        <f>IF($A106="","",IF($B106="","YETİM",IF(COUNTIF(tblKartlar[KartId],$B106)=0,"YETİM","")))</f>
        <v/>
      </c>
      <c r="R106" s="28">
        <f>IF(OR($A106="",$E106=""),"",IF(OR($E106&amp;"|"&amp;$F106="",COUNTIF(ListeIzinliGecis,$E106&amp;"|"&amp;$F106)&gt;0),"","GEÇERSİZ GEÇİŞ"))</f>
        <v/>
      </c>
      <c r="S106" s="28">
        <f>IF($A106="","",IF(OR($G106="",$I106=""),"",IF(ABS($I106-$G106)&gt;zincirTolerans,"ZİNCİR KIRIK","OK")))</f>
        <v/>
      </c>
      <c r="T106" s="28">
        <f>IF($A106="","",1)</f>
        <v/>
      </c>
    </row>
    <row r="107">
      <c r="A107" s="26" t="n"/>
      <c r="B107" s="26" t="n"/>
      <c r="C107" s="26" t="n"/>
      <c r="D107" s="29" t="n"/>
      <c r="E107" s="26" t="n"/>
      <c r="F107" s="26" t="n"/>
      <c r="G107" s="27" t="n"/>
      <c r="H107" s="27" t="n"/>
      <c r="I107" s="27" t="n"/>
      <c r="J107" s="27" t="n"/>
      <c r="K107" s="27" t="n"/>
      <c r="L107" s="27" t="n"/>
      <c r="M107" s="26" t="n"/>
      <c r="N107" s="26" t="n"/>
      <c r="O107" s="28">
        <f>IF($A107="","",IF($D107="","",raporTarihi-$D107))</f>
        <v/>
      </c>
      <c r="P107" s="28">
        <f>IF($A107="","",IF($O107="","",IF($O107&lt;=7,"0-7",IF($O107&lt;=30,"8-30",IF($O107&lt;=60,"31-60","60+")))))</f>
        <v/>
      </c>
      <c r="Q107" s="28">
        <f>IF($A107="","",IF($B107="","YETİM",IF(COUNTIF(tblKartlar[KartId],$B107)=0,"YETİM","")))</f>
        <v/>
      </c>
      <c r="R107" s="28">
        <f>IF(OR($A107="",$E107=""),"",IF(OR($E107&amp;"|"&amp;$F107="",COUNTIF(ListeIzinliGecis,$E107&amp;"|"&amp;$F107)&gt;0),"","GEÇERSİZ GEÇİŞ"))</f>
        <v/>
      </c>
      <c r="S107" s="28">
        <f>IF($A107="","",IF(OR($G107="",$I107=""),"",IF(ABS($I107-$G107)&gt;zincirTolerans,"ZİNCİR KIRIK","OK")))</f>
        <v/>
      </c>
      <c r="T107" s="28">
        <f>IF($A107="","",1)</f>
        <v/>
      </c>
    </row>
    <row r="108">
      <c r="A108" s="26" t="n"/>
      <c r="B108" s="26" t="n"/>
      <c r="C108" s="26" t="n"/>
      <c r="D108" s="29" t="n"/>
      <c r="E108" s="26" t="n"/>
      <c r="F108" s="26" t="n"/>
      <c r="G108" s="27" t="n"/>
      <c r="H108" s="27" t="n"/>
      <c r="I108" s="27" t="n"/>
      <c r="J108" s="27" t="n"/>
      <c r="K108" s="27" t="n"/>
      <c r="L108" s="27" t="n"/>
      <c r="M108" s="26" t="n"/>
      <c r="N108" s="26" t="n"/>
      <c r="O108" s="28">
        <f>IF($A108="","",IF($D108="","",raporTarihi-$D108))</f>
        <v/>
      </c>
      <c r="P108" s="28">
        <f>IF($A108="","",IF($O108="","",IF($O108&lt;=7,"0-7",IF($O108&lt;=30,"8-30",IF($O108&lt;=60,"31-60","60+")))))</f>
        <v/>
      </c>
      <c r="Q108" s="28">
        <f>IF($A108="","",IF($B108="","YETİM",IF(COUNTIF(tblKartlar[KartId],$B108)=0,"YETİM","")))</f>
        <v/>
      </c>
      <c r="R108" s="28">
        <f>IF(OR($A108="",$E108=""),"",IF(OR($E108&amp;"|"&amp;$F108="",COUNTIF(ListeIzinliGecis,$E108&amp;"|"&amp;$F108)&gt;0),"","GEÇERSİZ GEÇİŞ"))</f>
        <v/>
      </c>
      <c r="S108" s="28">
        <f>IF($A108="","",IF(OR($G108="",$I108=""),"",IF(ABS($I108-$G108)&gt;zincirTolerans,"ZİNCİR KIRIK","OK")))</f>
        <v/>
      </c>
      <c r="T108" s="28">
        <f>IF($A108="","",1)</f>
        <v/>
      </c>
    </row>
    <row r="109">
      <c r="A109" s="26" t="n"/>
      <c r="B109" s="26" t="n"/>
      <c r="C109" s="26" t="n"/>
      <c r="D109" s="29" t="n"/>
      <c r="E109" s="26" t="n"/>
      <c r="F109" s="26" t="n"/>
      <c r="G109" s="27" t="n"/>
      <c r="H109" s="27" t="n"/>
      <c r="I109" s="27" t="n"/>
      <c r="J109" s="27" t="n"/>
      <c r="K109" s="27" t="n"/>
      <c r="L109" s="27" t="n"/>
      <c r="M109" s="26" t="n"/>
      <c r="N109" s="26" t="n"/>
      <c r="O109" s="28">
        <f>IF($A109="","",IF($D109="","",raporTarihi-$D109))</f>
        <v/>
      </c>
      <c r="P109" s="28">
        <f>IF($A109="","",IF($O109="","",IF($O109&lt;=7,"0-7",IF($O109&lt;=30,"8-30",IF($O109&lt;=60,"31-60","60+")))))</f>
        <v/>
      </c>
      <c r="Q109" s="28">
        <f>IF($A109="","",IF($B109="","YETİM",IF(COUNTIF(tblKartlar[KartId],$B109)=0,"YETİM","")))</f>
        <v/>
      </c>
      <c r="R109" s="28">
        <f>IF(OR($A109="",$E109=""),"",IF(OR($E109&amp;"|"&amp;$F109="",COUNTIF(ListeIzinliGecis,$E109&amp;"|"&amp;$F109)&gt;0),"","GEÇERSİZ GEÇİŞ"))</f>
        <v/>
      </c>
      <c r="S109" s="28">
        <f>IF($A109="","",IF(OR($G109="",$I109=""),"",IF(ABS($I109-$G109)&gt;zincirTolerans,"ZİNCİR KIRIK","OK")))</f>
        <v/>
      </c>
      <c r="T109" s="28">
        <f>IF($A109="","",1)</f>
        <v/>
      </c>
    </row>
    <row r="110">
      <c r="A110" s="26" t="n"/>
      <c r="B110" s="26" t="n"/>
      <c r="C110" s="26" t="n"/>
      <c r="D110" s="29" t="n"/>
      <c r="E110" s="26" t="n"/>
      <c r="F110" s="26" t="n"/>
      <c r="G110" s="27" t="n"/>
      <c r="H110" s="27" t="n"/>
      <c r="I110" s="27" t="n"/>
      <c r="J110" s="27" t="n"/>
      <c r="K110" s="27" t="n"/>
      <c r="L110" s="27" t="n"/>
      <c r="M110" s="26" t="n"/>
      <c r="N110" s="26" t="n"/>
      <c r="O110" s="28">
        <f>IF($A110="","",IF($D110="","",raporTarihi-$D110))</f>
        <v/>
      </c>
      <c r="P110" s="28">
        <f>IF($A110="","",IF($O110="","",IF($O110&lt;=7,"0-7",IF($O110&lt;=30,"8-30",IF($O110&lt;=60,"31-60","60+")))))</f>
        <v/>
      </c>
      <c r="Q110" s="28">
        <f>IF($A110="","",IF($B110="","YETİM",IF(COUNTIF(tblKartlar[KartId],$B110)=0,"YETİM","")))</f>
        <v/>
      </c>
      <c r="R110" s="28">
        <f>IF(OR($A110="",$E110=""),"",IF(OR($E110&amp;"|"&amp;$F110="",COUNTIF(ListeIzinliGecis,$E110&amp;"|"&amp;$F110)&gt;0),"","GEÇERSİZ GEÇİŞ"))</f>
        <v/>
      </c>
      <c r="S110" s="28">
        <f>IF($A110="","",IF(OR($G110="",$I110=""),"",IF(ABS($I110-$G110)&gt;zincirTolerans,"ZİNCİR KIRIK","OK")))</f>
        <v/>
      </c>
      <c r="T110" s="28">
        <f>IF($A110="","",1)</f>
        <v/>
      </c>
    </row>
    <row r="111">
      <c r="A111" s="26" t="n"/>
      <c r="B111" s="26" t="n"/>
      <c r="C111" s="26" t="n"/>
      <c r="D111" s="29" t="n"/>
      <c r="E111" s="26" t="n"/>
      <c r="F111" s="26" t="n"/>
      <c r="G111" s="27" t="n"/>
      <c r="H111" s="27" t="n"/>
      <c r="I111" s="27" t="n"/>
      <c r="J111" s="27" t="n"/>
      <c r="K111" s="27" t="n"/>
      <c r="L111" s="27" t="n"/>
      <c r="M111" s="26" t="n"/>
      <c r="N111" s="26" t="n"/>
      <c r="O111" s="28">
        <f>IF($A111="","",IF($D111="","",raporTarihi-$D111))</f>
        <v/>
      </c>
      <c r="P111" s="28">
        <f>IF($A111="","",IF($O111="","",IF($O111&lt;=7,"0-7",IF($O111&lt;=30,"8-30",IF($O111&lt;=60,"31-60","60+")))))</f>
        <v/>
      </c>
      <c r="Q111" s="28">
        <f>IF($A111="","",IF($B111="","YETİM",IF(COUNTIF(tblKartlar[KartId],$B111)=0,"YETİM","")))</f>
        <v/>
      </c>
      <c r="R111" s="28">
        <f>IF(OR($A111="",$E111=""),"",IF(OR($E111&amp;"|"&amp;$F111="",COUNTIF(ListeIzinliGecis,$E111&amp;"|"&amp;$F111)&gt;0),"","GEÇERSİZ GEÇİŞ"))</f>
        <v/>
      </c>
      <c r="S111" s="28">
        <f>IF($A111="","",IF(OR($G111="",$I111=""),"",IF(ABS($I111-$G111)&gt;zincirTolerans,"ZİNCİR KIRIK","OK")))</f>
        <v/>
      </c>
      <c r="T111" s="28">
        <f>IF($A111="","",1)</f>
        <v/>
      </c>
    </row>
    <row r="112">
      <c r="A112" s="26" t="n"/>
      <c r="B112" s="26" t="n"/>
      <c r="C112" s="26" t="n"/>
      <c r="D112" s="29" t="n"/>
      <c r="E112" s="26" t="n"/>
      <c r="F112" s="26" t="n"/>
      <c r="G112" s="27" t="n"/>
      <c r="H112" s="27" t="n"/>
      <c r="I112" s="27" t="n"/>
      <c r="J112" s="27" t="n"/>
      <c r="K112" s="27" t="n"/>
      <c r="L112" s="27" t="n"/>
      <c r="M112" s="26" t="n"/>
      <c r="N112" s="26" t="n"/>
      <c r="O112" s="28">
        <f>IF($A112="","",IF($D112="","",raporTarihi-$D112))</f>
        <v/>
      </c>
      <c r="P112" s="28">
        <f>IF($A112="","",IF($O112="","",IF($O112&lt;=7,"0-7",IF($O112&lt;=30,"8-30",IF($O112&lt;=60,"31-60","60+")))))</f>
        <v/>
      </c>
      <c r="Q112" s="28">
        <f>IF($A112="","",IF($B112="","YETİM",IF(COUNTIF(tblKartlar[KartId],$B112)=0,"YETİM","")))</f>
        <v/>
      </c>
      <c r="R112" s="28">
        <f>IF(OR($A112="",$E112=""),"",IF(OR($E112&amp;"|"&amp;$F112="",COUNTIF(ListeIzinliGecis,$E112&amp;"|"&amp;$F112)&gt;0),"","GEÇERSİZ GEÇİŞ"))</f>
        <v/>
      </c>
      <c r="S112" s="28">
        <f>IF($A112="","",IF(OR($G112="",$I112=""),"",IF(ABS($I112-$G112)&gt;zincirTolerans,"ZİNCİR KIRIK","OK")))</f>
        <v/>
      </c>
      <c r="T112" s="28">
        <f>IF($A112="","",1)</f>
        <v/>
      </c>
    </row>
    <row r="113">
      <c r="A113" s="26" t="n"/>
      <c r="B113" s="26" t="n"/>
      <c r="C113" s="26" t="n"/>
      <c r="D113" s="29" t="n"/>
      <c r="E113" s="26" t="n"/>
      <c r="F113" s="26" t="n"/>
      <c r="G113" s="27" t="n"/>
      <c r="H113" s="27" t="n"/>
      <c r="I113" s="27" t="n"/>
      <c r="J113" s="27" t="n"/>
      <c r="K113" s="27" t="n"/>
      <c r="L113" s="27" t="n"/>
      <c r="M113" s="26" t="n"/>
      <c r="N113" s="26" t="n"/>
      <c r="O113" s="28">
        <f>IF($A113="","",IF($D113="","",raporTarihi-$D113))</f>
        <v/>
      </c>
      <c r="P113" s="28">
        <f>IF($A113="","",IF($O113="","",IF($O113&lt;=7,"0-7",IF($O113&lt;=30,"8-30",IF($O113&lt;=60,"31-60","60+")))))</f>
        <v/>
      </c>
      <c r="Q113" s="28">
        <f>IF($A113="","",IF($B113="","YETİM",IF(COUNTIF(tblKartlar[KartId],$B113)=0,"YETİM","")))</f>
        <v/>
      </c>
      <c r="R113" s="28">
        <f>IF(OR($A113="",$E113=""),"",IF(OR($E113&amp;"|"&amp;$F113="",COUNTIF(ListeIzinliGecis,$E113&amp;"|"&amp;$F113)&gt;0),"","GEÇERSİZ GEÇİŞ"))</f>
        <v/>
      </c>
      <c r="S113" s="28">
        <f>IF($A113="","",IF(OR($G113="",$I113=""),"",IF(ABS($I113-$G113)&gt;zincirTolerans,"ZİNCİR KIRIK","OK")))</f>
        <v/>
      </c>
      <c r="T113" s="28">
        <f>IF($A113="","",1)</f>
        <v/>
      </c>
    </row>
    <row r="114">
      <c r="A114" s="26" t="n"/>
      <c r="B114" s="26" t="n"/>
      <c r="C114" s="26" t="n"/>
      <c r="D114" s="29" t="n"/>
      <c r="E114" s="26" t="n"/>
      <c r="F114" s="26" t="n"/>
      <c r="G114" s="27" t="n"/>
      <c r="H114" s="27" t="n"/>
      <c r="I114" s="27" t="n"/>
      <c r="J114" s="27" t="n"/>
      <c r="K114" s="27" t="n"/>
      <c r="L114" s="27" t="n"/>
      <c r="M114" s="26" t="n"/>
      <c r="N114" s="26" t="n"/>
      <c r="O114" s="28">
        <f>IF($A114="","",IF($D114="","",raporTarihi-$D114))</f>
        <v/>
      </c>
      <c r="P114" s="28">
        <f>IF($A114="","",IF($O114="","",IF($O114&lt;=7,"0-7",IF($O114&lt;=30,"8-30",IF($O114&lt;=60,"31-60","60+")))))</f>
        <v/>
      </c>
      <c r="Q114" s="28">
        <f>IF($A114="","",IF($B114="","YETİM",IF(COUNTIF(tblKartlar[KartId],$B114)=0,"YETİM","")))</f>
        <v/>
      </c>
      <c r="R114" s="28">
        <f>IF(OR($A114="",$E114=""),"",IF(OR($E114&amp;"|"&amp;$F114="",COUNTIF(ListeIzinliGecis,$E114&amp;"|"&amp;$F114)&gt;0),"","GEÇERSİZ GEÇİŞ"))</f>
        <v/>
      </c>
      <c r="S114" s="28">
        <f>IF($A114="","",IF(OR($G114="",$I114=""),"",IF(ABS($I114-$G114)&gt;zincirTolerans,"ZİNCİR KIRIK","OK")))</f>
        <v/>
      </c>
      <c r="T114" s="28">
        <f>IF($A114="","",1)</f>
        <v/>
      </c>
    </row>
    <row r="115">
      <c r="A115" s="26" t="n"/>
      <c r="B115" s="26" t="n"/>
      <c r="C115" s="26" t="n"/>
      <c r="D115" s="29" t="n"/>
      <c r="E115" s="26" t="n"/>
      <c r="F115" s="26" t="n"/>
      <c r="G115" s="27" t="n"/>
      <c r="H115" s="27" t="n"/>
      <c r="I115" s="27" t="n"/>
      <c r="J115" s="27" t="n"/>
      <c r="K115" s="27" t="n"/>
      <c r="L115" s="27" t="n"/>
      <c r="M115" s="26" t="n"/>
      <c r="N115" s="26" t="n"/>
      <c r="O115" s="28">
        <f>IF($A115="","",IF($D115="","",raporTarihi-$D115))</f>
        <v/>
      </c>
      <c r="P115" s="28">
        <f>IF($A115="","",IF($O115="","",IF($O115&lt;=7,"0-7",IF($O115&lt;=30,"8-30",IF($O115&lt;=60,"31-60","60+")))))</f>
        <v/>
      </c>
      <c r="Q115" s="28">
        <f>IF($A115="","",IF($B115="","YETİM",IF(COUNTIF(tblKartlar[KartId],$B115)=0,"YETİM","")))</f>
        <v/>
      </c>
      <c r="R115" s="28">
        <f>IF(OR($A115="",$E115=""),"",IF(OR($E115&amp;"|"&amp;$F115="",COUNTIF(ListeIzinliGecis,$E115&amp;"|"&amp;$F115)&gt;0),"","GEÇERSİZ GEÇİŞ"))</f>
        <v/>
      </c>
      <c r="S115" s="28">
        <f>IF($A115="","",IF(OR($G115="",$I115=""),"",IF(ABS($I115-$G115)&gt;zincirTolerans,"ZİNCİR KIRIK","OK")))</f>
        <v/>
      </c>
      <c r="T115" s="28">
        <f>IF($A115="","",1)</f>
        <v/>
      </c>
    </row>
    <row r="116">
      <c r="A116" s="26" t="n"/>
      <c r="B116" s="26" t="n"/>
      <c r="C116" s="26" t="n"/>
      <c r="D116" s="29" t="n"/>
      <c r="E116" s="26" t="n"/>
      <c r="F116" s="26" t="n"/>
      <c r="G116" s="27" t="n"/>
      <c r="H116" s="27" t="n"/>
      <c r="I116" s="27" t="n"/>
      <c r="J116" s="27" t="n"/>
      <c r="K116" s="27" t="n"/>
      <c r="L116" s="27" t="n"/>
      <c r="M116" s="26" t="n"/>
      <c r="N116" s="26" t="n"/>
      <c r="O116" s="28">
        <f>IF($A116="","",IF($D116="","",raporTarihi-$D116))</f>
        <v/>
      </c>
      <c r="P116" s="28">
        <f>IF($A116="","",IF($O116="","",IF($O116&lt;=7,"0-7",IF($O116&lt;=30,"8-30",IF($O116&lt;=60,"31-60","60+")))))</f>
        <v/>
      </c>
      <c r="Q116" s="28">
        <f>IF($A116="","",IF($B116="","YETİM",IF(COUNTIF(tblKartlar[KartId],$B116)=0,"YETİM","")))</f>
        <v/>
      </c>
      <c r="R116" s="28">
        <f>IF(OR($A116="",$E116=""),"",IF(OR($E116&amp;"|"&amp;$F116="",COUNTIF(ListeIzinliGecis,$E116&amp;"|"&amp;$F116)&gt;0),"","GEÇERSİZ GEÇİŞ"))</f>
        <v/>
      </c>
      <c r="S116" s="28">
        <f>IF($A116="","",IF(OR($G116="",$I116=""),"",IF(ABS($I116-$G116)&gt;zincirTolerans,"ZİNCİR KIRIK","OK")))</f>
        <v/>
      </c>
      <c r="T116" s="28">
        <f>IF($A116="","",1)</f>
        <v/>
      </c>
    </row>
    <row r="117">
      <c r="A117" s="26" t="n"/>
      <c r="B117" s="26" t="n"/>
      <c r="C117" s="26" t="n"/>
      <c r="D117" s="29" t="n"/>
      <c r="E117" s="26" t="n"/>
      <c r="F117" s="26" t="n"/>
      <c r="G117" s="27" t="n"/>
      <c r="H117" s="27" t="n"/>
      <c r="I117" s="27" t="n"/>
      <c r="J117" s="27" t="n"/>
      <c r="K117" s="27" t="n"/>
      <c r="L117" s="27" t="n"/>
      <c r="M117" s="26" t="n"/>
      <c r="N117" s="26" t="n"/>
      <c r="O117" s="28">
        <f>IF($A117="","",IF($D117="","",raporTarihi-$D117))</f>
        <v/>
      </c>
      <c r="P117" s="28">
        <f>IF($A117="","",IF($O117="","",IF($O117&lt;=7,"0-7",IF($O117&lt;=30,"8-30",IF($O117&lt;=60,"31-60","60+")))))</f>
        <v/>
      </c>
      <c r="Q117" s="28">
        <f>IF($A117="","",IF($B117="","YETİM",IF(COUNTIF(tblKartlar[KartId],$B117)=0,"YETİM","")))</f>
        <v/>
      </c>
      <c r="R117" s="28">
        <f>IF(OR($A117="",$E117=""),"",IF(OR($E117&amp;"|"&amp;$F117="",COUNTIF(ListeIzinliGecis,$E117&amp;"|"&amp;$F117)&gt;0),"","GEÇERSİZ GEÇİŞ"))</f>
        <v/>
      </c>
      <c r="S117" s="28">
        <f>IF($A117="","",IF(OR($G117="",$I117=""),"",IF(ABS($I117-$G117)&gt;zincirTolerans,"ZİNCİR KIRIK","OK")))</f>
        <v/>
      </c>
      <c r="T117" s="28">
        <f>IF($A117="","",1)</f>
        <v/>
      </c>
    </row>
    <row r="118">
      <c r="A118" s="26" t="n"/>
      <c r="B118" s="26" t="n"/>
      <c r="C118" s="26" t="n"/>
      <c r="D118" s="29" t="n"/>
      <c r="E118" s="26" t="n"/>
      <c r="F118" s="26" t="n"/>
      <c r="G118" s="27" t="n"/>
      <c r="H118" s="27" t="n"/>
      <c r="I118" s="27" t="n"/>
      <c r="J118" s="27" t="n"/>
      <c r="K118" s="27" t="n"/>
      <c r="L118" s="27" t="n"/>
      <c r="M118" s="26" t="n"/>
      <c r="N118" s="26" t="n"/>
      <c r="O118" s="28">
        <f>IF($A118="","",IF($D118="","",raporTarihi-$D118))</f>
        <v/>
      </c>
      <c r="P118" s="28">
        <f>IF($A118="","",IF($O118="","",IF($O118&lt;=7,"0-7",IF($O118&lt;=30,"8-30",IF($O118&lt;=60,"31-60","60+")))))</f>
        <v/>
      </c>
      <c r="Q118" s="28">
        <f>IF($A118="","",IF($B118="","YETİM",IF(COUNTIF(tblKartlar[KartId],$B118)=0,"YETİM","")))</f>
        <v/>
      </c>
      <c r="R118" s="28">
        <f>IF(OR($A118="",$E118=""),"",IF(OR($E118&amp;"|"&amp;$F118="",COUNTIF(ListeIzinliGecis,$E118&amp;"|"&amp;$F118)&gt;0),"","GEÇERSİZ GEÇİŞ"))</f>
        <v/>
      </c>
      <c r="S118" s="28">
        <f>IF($A118="","",IF(OR($G118="",$I118=""),"",IF(ABS($I118-$G118)&gt;zincirTolerans,"ZİNCİR KIRIK","OK")))</f>
        <v/>
      </c>
      <c r="T118" s="28">
        <f>IF($A118="","",1)</f>
        <v/>
      </c>
    </row>
    <row r="119">
      <c r="A119" s="26" t="n"/>
      <c r="B119" s="26" t="n"/>
      <c r="C119" s="26" t="n"/>
      <c r="D119" s="29" t="n"/>
      <c r="E119" s="26" t="n"/>
      <c r="F119" s="26" t="n"/>
      <c r="G119" s="27" t="n"/>
      <c r="H119" s="27" t="n"/>
      <c r="I119" s="27" t="n"/>
      <c r="J119" s="27" t="n"/>
      <c r="K119" s="27" t="n"/>
      <c r="L119" s="27" t="n"/>
      <c r="M119" s="26" t="n"/>
      <c r="N119" s="26" t="n"/>
      <c r="O119" s="28">
        <f>IF($A119="","",IF($D119="","",raporTarihi-$D119))</f>
        <v/>
      </c>
      <c r="P119" s="28">
        <f>IF($A119="","",IF($O119="","",IF($O119&lt;=7,"0-7",IF($O119&lt;=30,"8-30",IF($O119&lt;=60,"31-60","60+")))))</f>
        <v/>
      </c>
      <c r="Q119" s="28">
        <f>IF($A119="","",IF($B119="","YETİM",IF(COUNTIF(tblKartlar[KartId],$B119)=0,"YETİM","")))</f>
        <v/>
      </c>
      <c r="R119" s="28">
        <f>IF(OR($A119="",$E119=""),"",IF(OR($E119&amp;"|"&amp;$F119="",COUNTIF(ListeIzinliGecis,$E119&amp;"|"&amp;$F119)&gt;0),"","GEÇERSİZ GEÇİŞ"))</f>
        <v/>
      </c>
      <c r="S119" s="28">
        <f>IF($A119="","",IF(OR($G119="",$I119=""),"",IF(ABS($I119-$G119)&gt;zincirTolerans,"ZİNCİR KIRIK","OK")))</f>
        <v/>
      </c>
      <c r="T119" s="28">
        <f>IF($A119="","",1)</f>
        <v/>
      </c>
    </row>
    <row r="120">
      <c r="A120" s="26" t="n"/>
      <c r="B120" s="26" t="n"/>
      <c r="C120" s="26" t="n"/>
      <c r="D120" s="29" t="n"/>
      <c r="E120" s="26" t="n"/>
      <c r="F120" s="26" t="n"/>
      <c r="G120" s="27" t="n"/>
      <c r="H120" s="27" t="n"/>
      <c r="I120" s="27" t="n"/>
      <c r="J120" s="27" t="n"/>
      <c r="K120" s="27" t="n"/>
      <c r="L120" s="27" t="n"/>
      <c r="M120" s="26" t="n"/>
      <c r="N120" s="26" t="n"/>
      <c r="O120" s="28">
        <f>IF($A120="","",IF($D120="","",raporTarihi-$D120))</f>
        <v/>
      </c>
      <c r="P120" s="28">
        <f>IF($A120="","",IF($O120="","",IF($O120&lt;=7,"0-7",IF($O120&lt;=30,"8-30",IF($O120&lt;=60,"31-60","60+")))))</f>
        <v/>
      </c>
      <c r="Q120" s="28">
        <f>IF($A120="","",IF($B120="","YETİM",IF(COUNTIF(tblKartlar[KartId],$B120)=0,"YETİM","")))</f>
        <v/>
      </c>
      <c r="R120" s="28">
        <f>IF(OR($A120="",$E120=""),"",IF(OR($E120&amp;"|"&amp;$F120="",COUNTIF(ListeIzinliGecis,$E120&amp;"|"&amp;$F120)&gt;0),"","GEÇERSİZ GEÇİŞ"))</f>
        <v/>
      </c>
      <c r="S120" s="28">
        <f>IF($A120="","",IF(OR($G120="",$I120=""),"",IF(ABS($I120-$G120)&gt;zincirTolerans,"ZİNCİR KIRIK","OK")))</f>
        <v/>
      </c>
      <c r="T120" s="28">
        <f>IF($A120="","",1)</f>
        <v/>
      </c>
    </row>
    <row r="121">
      <c r="A121" s="26" t="n"/>
      <c r="B121" s="26" t="n"/>
      <c r="C121" s="26" t="n"/>
      <c r="D121" s="29" t="n"/>
      <c r="E121" s="26" t="n"/>
      <c r="F121" s="26" t="n"/>
      <c r="G121" s="27" t="n"/>
      <c r="H121" s="27" t="n"/>
      <c r="I121" s="27" t="n"/>
      <c r="J121" s="27" t="n"/>
      <c r="K121" s="27" t="n"/>
      <c r="L121" s="27" t="n"/>
      <c r="M121" s="26" t="n"/>
      <c r="N121" s="26" t="n"/>
      <c r="O121" s="28">
        <f>IF($A121="","",IF($D121="","",raporTarihi-$D121))</f>
        <v/>
      </c>
      <c r="P121" s="28">
        <f>IF($A121="","",IF($O121="","",IF($O121&lt;=7,"0-7",IF($O121&lt;=30,"8-30",IF($O121&lt;=60,"31-60","60+")))))</f>
        <v/>
      </c>
      <c r="Q121" s="28">
        <f>IF($A121="","",IF($B121="","YETİM",IF(COUNTIF(tblKartlar[KartId],$B121)=0,"YETİM","")))</f>
        <v/>
      </c>
      <c r="R121" s="28">
        <f>IF(OR($A121="",$E121=""),"",IF(OR($E121&amp;"|"&amp;$F121="",COUNTIF(ListeIzinliGecis,$E121&amp;"|"&amp;$F121)&gt;0),"","GEÇERSİZ GEÇİŞ"))</f>
        <v/>
      </c>
      <c r="S121" s="28">
        <f>IF($A121="","",IF(OR($G121="",$I121=""),"",IF(ABS($I121-$G121)&gt;zincirTolerans,"ZİNCİR KIRIK","OK")))</f>
        <v/>
      </c>
      <c r="T121" s="28">
        <f>IF($A121="","",1)</f>
        <v/>
      </c>
    </row>
    <row r="122">
      <c r="A122" s="26" t="n"/>
      <c r="B122" s="26" t="n"/>
      <c r="C122" s="26" t="n"/>
      <c r="D122" s="29" t="n"/>
      <c r="E122" s="26" t="n"/>
      <c r="F122" s="26" t="n"/>
      <c r="G122" s="27" t="n"/>
      <c r="H122" s="27" t="n"/>
      <c r="I122" s="27" t="n"/>
      <c r="J122" s="27" t="n"/>
      <c r="K122" s="27" t="n"/>
      <c r="L122" s="27" t="n"/>
      <c r="M122" s="26" t="n"/>
      <c r="N122" s="26" t="n"/>
      <c r="O122" s="28">
        <f>IF($A122="","",IF($D122="","",raporTarihi-$D122))</f>
        <v/>
      </c>
      <c r="P122" s="28">
        <f>IF($A122="","",IF($O122="","",IF($O122&lt;=7,"0-7",IF($O122&lt;=30,"8-30",IF($O122&lt;=60,"31-60","60+")))))</f>
        <v/>
      </c>
      <c r="Q122" s="28">
        <f>IF($A122="","",IF($B122="","YETİM",IF(COUNTIF(tblKartlar[KartId],$B122)=0,"YETİM","")))</f>
        <v/>
      </c>
      <c r="R122" s="28">
        <f>IF(OR($A122="",$E122=""),"",IF(OR($E122&amp;"|"&amp;$F122="",COUNTIF(ListeIzinliGecis,$E122&amp;"|"&amp;$F122)&gt;0),"","GEÇERSİZ GEÇİŞ"))</f>
        <v/>
      </c>
      <c r="S122" s="28">
        <f>IF($A122="","",IF(OR($G122="",$I122=""),"",IF(ABS($I122-$G122)&gt;zincirTolerans,"ZİNCİR KIRIK","OK")))</f>
        <v/>
      </c>
      <c r="T122" s="28">
        <f>IF($A122="","",1)</f>
        <v/>
      </c>
    </row>
    <row r="123">
      <c r="A123" s="26" t="n"/>
      <c r="B123" s="26" t="n"/>
      <c r="C123" s="26" t="n"/>
      <c r="D123" s="29" t="n"/>
      <c r="E123" s="26" t="n"/>
      <c r="F123" s="26" t="n"/>
      <c r="G123" s="27" t="n"/>
      <c r="H123" s="27" t="n"/>
      <c r="I123" s="27" t="n"/>
      <c r="J123" s="27" t="n"/>
      <c r="K123" s="27" t="n"/>
      <c r="L123" s="27" t="n"/>
      <c r="M123" s="26" t="n"/>
      <c r="N123" s="26" t="n"/>
      <c r="O123" s="28">
        <f>IF($A123="","",IF($D123="","",raporTarihi-$D123))</f>
        <v/>
      </c>
      <c r="P123" s="28">
        <f>IF($A123="","",IF($O123="","",IF($O123&lt;=7,"0-7",IF($O123&lt;=30,"8-30",IF($O123&lt;=60,"31-60","60+")))))</f>
        <v/>
      </c>
      <c r="Q123" s="28">
        <f>IF($A123="","",IF($B123="","YETİM",IF(COUNTIF(tblKartlar[KartId],$B123)=0,"YETİM","")))</f>
        <v/>
      </c>
      <c r="R123" s="28">
        <f>IF(OR($A123="",$E123=""),"",IF(OR($E123&amp;"|"&amp;$F123="",COUNTIF(ListeIzinliGecis,$E123&amp;"|"&amp;$F123)&gt;0),"","GEÇERSİZ GEÇİŞ"))</f>
        <v/>
      </c>
      <c r="S123" s="28">
        <f>IF($A123="","",IF(OR($G123="",$I123=""),"",IF(ABS($I123-$G123)&gt;zincirTolerans,"ZİNCİR KIRIK","OK")))</f>
        <v/>
      </c>
      <c r="T123" s="28">
        <f>IF($A123="","",1)</f>
        <v/>
      </c>
    </row>
    <row r="124">
      <c r="A124" s="26" t="n"/>
      <c r="B124" s="26" t="n"/>
      <c r="C124" s="26" t="n"/>
      <c r="D124" s="29" t="n"/>
      <c r="E124" s="26" t="n"/>
      <c r="F124" s="26" t="n"/>
      <c r="G124" s="27" t="n"/>
      <c r="H124" s="27" t="n"/>
      <c r="I124" s="27" t="n"/>
      <c r="J124" s="27" t="n"/>
      <c r="K124" s="27" t="n"/>
      <c r="L124" s="27" t="n"/>
      <c r="M124" s="26" t="n"/>
      <c r="N124" s="26" t="n"/>
      <c r="O124" s="28">
        <f>IF($A124="","",IF($D124="","",raporTarihi-$D124))</f>
        <v/>
      </c>
      <c r="P124" s="28">
        <f>IF($A124="","",IF($O124="","",IF($O124&lt;=7,"0-7",IF($O124&lt;=30,"8-30",IF($O124&lt;=60,"31-60","60+")))))</f>
        <v/>
      </c>
      <c r="Q124" s="28">
        <f>IF($A124="","",IF($B124="","YETİM",IF(COUNTIF(tblKartlar[KartId],$B124)=0,"YETİM","")))</f>
        <v/>
      </c>
      <c r="R124" s="28">
        <f>IF(OR($A124="",$E124=""),"",IF(OR($E124&amp;"|"&amp;$F124="",COUNTIF(ListeIzinliGecis,$E124&amp;"|"&amp;$F124)&gt;0),"","GEÇERSİZ GEÇİŞ"))</f>
        <v/>
      </c>
      <c r="S124" s="28">
        <f>IF($A124="","",IF(OR($G124="",$I124=""),"",IF(ABS($I124-$G124)&gt;zincirTolerans,"ZİNCİR KIRIK","OK")))</f>
        <v/>
      </c>
      <c r="T124" s="28">
        <f>IF($A124="","",1)</f>
        <v/>
      </c>
    </row>
    <row r="125">
      <c r="A125" s="26" t="n"/>
      <c r="B125" s="26" t="n"/>
      <c r="C125" s="26" t="n"/>
      <c r="D125" s="29" t="n"/>
      <c r="E125" s="26" t="n"/>
      <c r="F125" s="26" t="n"/>
      <c r="G125" s="27" t="n"/>
      <c r="H125" s="27" t="n"/>
      <c r="I125" s="27" t="n"/>
      <c r="J125" s="27" t="n"/>
      <c r="K125" s="27" t="n"/>
      <c r="L125" s="27" t="n"/>
      <c r="M125" s="26" t="n"/>
      <c r="N125" s="26" t="n"/>
      <c r="O125" s="28">
        <f>IF($A125="","",IF($D125="","",raporTarihi-$D125))</f>
        <v/>
      </c>
      <c r="P125" s="28">
        <f>IF($A125="","",IF($O125="","",IF($O125&lt;=7,"0-7",IF($O125&lt;=30,"8-30",IF($O125&lt;=60,"31-60","60+")))))</f>
        <v/>
      </c>
      <c r="Q125" s="28">
        <f>IF($A125="","",IF($B125="","YETİM",IF(COUNTIF(tblKartlar[KartId],$B125)=0,"YETİM","")))</f>
        <v/>
      </c>
      <c r="R125" s="28">
        <f>IF(OR($A125="",$E125=""),"",IF(OR($E125&amp;"|"&amp;$F125="",COUNTIF(ListeIzinliGecis,$E125&amp;"|"&amp;$F125)&gt;0),"","GEÇERSİZ GEÇİŞ"))</f>
        <v/>
      </c>
      <c r="S125" s="28">
        <f>IF($A125="","",IF(OR($G125="",$I125=""),"",IF(ABS($I125-$G125)&gt;zincirTolerans,"ZİNCİR KIRIK","OK")))</f>
        <v/>
      </c>
      <c r="T125" s="28">
        <f>IF($A125="","",1)</f>
        <v/>
      </c>
    </row>
    <row r="126">
      <c r="A126" s="26" t="n"/>
      <c r="B126" s="26" t="n"/>
      <c r="C126" s="26" t="n"/>
      <c r="D126" s="29" t="n"/>
      <c r="E126" s="26" t="n"/>
      <c r="F126" s="26" t="n"/>
      <c r="G126" s="27" t="n"/>
      <c r="H126" s="27" t="n"/>
      <c r="I126" s="27" t="n"/>
      <c r="J126" s="27" t="n"/>
      <c r="K126" s="27" t="n"/>
      <c r="L126" s="27" t="n"/>
      <c r="M126" s="26" t="n"/>
      <c r="N126" s="26" t="n"/>
      <c r="O126" s="28">
        <f>IF($A126="","",IF($D126="","",raporTarihi-$D126))</f>
        <v/>
      </c>
      <c r="P126" s="28">
        <f>IF($A126="","",IF($O126="","",IF($O126&lt;=7,"0-7",IF($O126&lt;=30,"8-30",IF($O126&lt;=60,"31-60","60+")))))</f>
        <v/>
      </c>
      <c r="Q126" s="28">
        <f>IF($A126="","",IF($B126="","YETİM",IF(COUNTIF(tblKartlar[KartId],$B126)=0,"YETİM","")))</f>
        <v/>
      </c>
      <c r="R126" s="28">
        <f>IF(OR($A126="",$E126=""),"",IF(OR($E126&amp;"|"&amp;$F126="",COUNTIF(ListeIzinliGecis,$E126&amp;"|"&amp;$F126)&gt;0),"","GEÇERSİZ GEÇİŞ"))</f>
        <v/>
      </c>
      <c r="S126" s="28">
        <f>IF($A126="","",IF(OR($G126="",$I126=""),"",IF(ABS($I126-$G126)&gt;zincirTolerans,"ZİNCİR KIRIK","OK")))</f>
        <v/>
      </c>
      <c r="T126" s="28">
        <f>IF($A126="","",1)</f>
        <v/>
      </c>
    </row>
    <row r="127">
      <c r="A127" s="26" t="n"/>
      <c r="B127" s="26" t="n"/>
      <c r="C127" s="26" t="n"/>
      <c r="D127" s="29" t="n"/>
      <c r="E127" s="26" t="n"/>
      <c r="F127" s="26" t="n"/>
      <c r="G127" s="27" t="n"/>
      <c r="H127" s="27" t="n"/>
      <c r="I127" s="27" t="n"/>
      <c r="J127" s="27" t="n"/>
      <c r="K127" s="27" t="n"/>
      <c r="L127" s="27" t="n"/>
      <c r="M127" s="26" t="n"/>
      <c r="N127" s="26" t="n"/>
      <c r="O127" s="28">
        <f>IF($A127="","",IF($D127="","",raporTarihi-$D127))</f>
        <v/>
      </c>
      <c r="P127" s="28">
        <f>IF($A127="","",IF($O127="","",IF($O127&lt;=7,"0-7",IF($O127&lt;=30,"8-30",IF($O127&lt;=60,"31-60","60+")))))</f>
        <v/>
      </c>
      <c r="Q127" s="28">
        <f>IF($A127="","",IF($B127="","YETİM",IF(COUNTIF(tblKartlar[KartId],$B127)=0,"YETİM","")))</f>
        <v/>
      </c>
      <c r="R127" s="28">
        <f>IF(OR($A127="",$E127=""),"",IF(OR($E127&amp;"|"&amp;$F127="",COUNTIF(ListeIzinliGecis,$E127&amp;"|"&amp;$F127)&gt;0),"","GEÇERSİZ GEÇİŞ"))</f>
        <v/>
      </c>
      <c r="S127" s="28">
        <f>IF($A127="","",IF(OR($G127="",$I127=""),"",IF(ABS($I127-$G127)&gt;zincirTolerans,"ZİNCİR KIRIK","OK")))</f>
        <v/>
      </c>
      <c r="T127" s="28">
        <f>IF($A127="","",1)</f>
        <v/>
      </c>
    </row>
    <row r="128">
      <c r="A128" s="26" t="n"/>
      <c r="B128" s="26" t="n"/>
      <c r="C128" s="26" t="n"/>
      <c r="D128" s="29" t="n"/>
      <c r="E128" s="26" t="n"/>
      <c r="F128" s="26" t="n"/>
      <c r="G128" s="27" t="n"/>
      <c r="H128" s="27" t="n"/>
      <c r="I128" s="27" t="n"/>
      <c r="J128" s="27" t="n"/>
      <c r="K128" s="27" t="n"/>
      <c r="L128" s="27" t="n"/>
      <c r="M128" s="26" t="n"/>
      <c r="N128" s="26" t="n"/>
      <c r="O128" s="28">
        <f>IF($A128="","",IF($D128="","",raporTarihi-$D128))</f>
        <v/>
      </c>
      <c r="P128" s="28">
        <f>IF($A128="","",IF($O128="","",IF($O128&lt;=7,"0-7",IF($O128&lt;=30,"8-30",IF($O128&lt;=60,"31-60","60+")))))</f>
        <v/>
      </c>
      <c r="Q128" s="28">
        <f>IF($A128="","",IF($B128="","YETİM",IF(COUNTIF(tblKartlar[KartId],$B128)=0,"YETİM","")))</f>
        <v/>
      </c>
      <c r="R128" s="28">
        <f>IF(OR($A128="",$E128=""),"",IF(OR($E128&amp;"|"&amp;$F128="",COUNTIF(ListeIzinliGecis,$E128&amp;"|"&amp;$F128)&gt;0),"","GEÇERSİZ GEÇİŞ"))</f>
        <v/>
      </c>
      <c r="S128" s="28">
        <f>IF($A128="","",IF(OR($G128="",$I128=""),"",IF(ABS($I128-$G128)&gt;zincirTolerans,"ZİNCİR KIRIK","OK")))</f>
        <v/>
      </c>
      <c r="T128" s="28">
        <f>IF($A128="","",1)</f>
        <v/>
      </c>
    </row>
    <row r="129">
      <c r="A129" s="26" t="n"/>
      <c r="B129" s="26" t="n"/>
      <c r="C129" s="26" t="n"/>
      <c r="D129" s="29" t="n"/>
      <c r="E129" s="26" t="n"/>
      <c r="F129" s="26" t="n"/>
      <c r="G129" s="27" t="n"/>
      <c r="H129" s="27" t="n"/>
      <c r="I129" s="27" t="n"/>
      <c r="J129" s="27" t="n"/>
      <c r="K129" s="27" t="n"/>
      <c r="L129" s="27" t="n"/>
      <c r="M129" s="26" t="n"/>
      <c r="N129" s="26" t="n"/>
      <c r="O129" s="28">
        <f>IF($A129="","",IF($D129="","",raporTarihi-$D129))</f>
        <v/>
      </c>
      <c r="P129" s="28">
        <f>IF($A129="","",IF($O129="","",IF($O129&lt;=7,"0-7",IF($O129&lt;=30,"8-30",IF($O129&lt;=60,"31-60","60+")))))</f>
        <v/>
      </c>
      <c r="Q129" s="28">
        <f>IF($A129="","",IF($B129="","YETİM",IF(COUNTIF(tblKartlar[KartId],$B129)=0,"YETİM","")))</f>
        <v/>
      </c>
      <c r="R129" s="28">
        <f>IF(OR($A129="",$E129=""),"",IF(OR($E129&amp;"|"&amp;$F129="",COUNTIF(ListeIzinliGecis,$E129&amp;"|"&amp;$F129)&gt;0),"","GEÇERSİZ GEÇİŞ"))</f>
        <v/>
      </c>
      <c r="S129" s="28">
        <f>IF($A129="","",IF(OR($G129="",$I129=""),"",IF(ABS($I129-$G129)&gt;zincirTolerans,"ZİNCİR KIRIK","OK")))</f>
        <v/>
      </c>
      <c r="T129" s="28">
        <f>IF($A129="","",1)</f>
        <v/>
      </c>
    </row>
    <row r="130">
      <c r="A130" s="26" t="n"/>
      <c r="B130" s="26" t="n"/>
      <c r="C130" s="26" t="n"/>
      <c r="D130" s="29" t="n"/>
      <c r="E130" s="26" t="n"/>
      <c r="F130" s="26" t="n"/>
      <c r="G130" s="27" t="n"/>
      <c r="H130" s="27" t="n"/>
      <c r="I130" s="27" t="n"/>
      <c r="J130" s="27" t="n"/>
      <c r="K130" s="27" t="n"/>
      <c r="L130" s="27" t="n"/>
      <c r="M130" s="26" t="n"/>
      <c r="N130" s="26" t="n"/>
      <c r="O130" s="28">
        <f>IF($A130="","",IF($D130="","",raporTarihi-$D130))</f>
        <v/>
      </c>
      <c r="P130" s="28">
        <f>IF($A130="","",IF($O130="","",IF($O130&lt;=7,"0-7",IF($O130&lt;=30,"8-30",IF($O130&lt;=60,"31-60","60+")))))</f>
        <v/>
      </c>
      <c r="Q130" s="28">
        <f>IF($A130="","",IF($B130="","YETİM",IF(COUNTIF(tblKartlar[KartId],$B130)=0,"YETİM","")))</f>
        <v/>
      </c>
      <c r="R130" s="28">
        <f>IF(OR($A130="",$E130=""),"",IF(OR($E130&amp;"|"&amp;$F130="",COUNTIF(ListeIzinliGecis,$E130&amp;"|"&amp;$F130)&gt;0),"","GEÇERSİZ GEÇİŞ"))</f>
        <v/>
      </c>
      <c r="S130" s="28">
        <f>IF($A130="","",IF(OR($G130="",$I130=""),"",IF(ABS($I130-$G130)&gt;zincirTolerans,"ZİNCİR KIRIK","OK")))</f>
        <v/>
      </c>
      <c r="T130" s="28">
        <f>IF($A130="","",1)</f>
        <v/>
      </c>
    </row>
    <row r="131">
      <c r="A131" s="26" t="n"/>
      <c r="B131" s="26" t="n"/>
      <c r="C131" s="26" t="n"/>
      <c r="D131" s="29" t="n"/>
      <c r="E131" s="26" t="n"/>
      <c r="F131" s="26" t="n"/>
      <c r="G131" s="27" t="n"/>
      <c r="H131" s="27" t="n"/>
      <c r="I131" s="27" t="n"/>
      <c r="J131" s="27" t="n"/>
      <c r="K131" s="27" t="n"/>
      <c r="L131" s="27" t="n"/>
      <c r="M131" s="26" t="n"/>
      <c r="N131" s="26" t="n"/>
      <c r="O131" s="28">
        <f>IF($A131="","",IF($D131="","",raporTarihi-$D131))</f>
        <v/>
      </c>
      <c r="P131" s="28">
        <f>IF($A131="","",IF($O131="","",IF($O131&lt;=7,"0-7",IF($O131&lt;=30,"8-30",IF($O131&lt;=60,"31-60","60+")))))</f>
        <v/>
      </c>
      <c r="Q131" s="28">
        <f>IF($A131="","",IF($B131="","YETİM",IF(COUNTIF(tblKartlar[KartId],$B131)=0,"YETİM","")))</f>
        <v/>
      </c>
      <c r="R131" s="28">
        <f>IF(OR($A131="",$E131=""),"",IF(OR($E131&amp;"|"&amp;$F131="",COUNTIF(ListeIzinliGecis,$E131&amp;"|"&amp;$F131)&gt;0),"","GEÇERSİZ GEÇİŞ"))</f>
        <v/>
      </c>
      <c r="S131" s="28">
        <f>IF($A131="","",IF(OR($G131="",$I131=""),"",IF(ABS($I131-$G131)&gt;zincirTolerans,"ZİNCİR KIRIK","OK")))</f>
        <v/>
      </c>
      <c r="T131" s="28">
        <f>IF($A131="","",1)</f>
        <v/>
      </c>
    </row>
    <row r="132">
      <c r="A132" s="26" t="n"/>
      <c r="B132" s="26" t="n"/>
      <c r="C132" s="26" t="n"/>
      <c r="D132" s="29" t="n"/>
      <c r="E132" s="26" t="n"/>
      <c r="F132" s="26" t="n"/>
      <c r="G132" s="27" t="n"/>
      <c r="H132" s="27" t="n"/>
      <c r="I132" s="27" t="n"/>
      <c r="J132" s="27" t="n"/>
      <c r="K132" s="27" t="n"/>
      <c r="L132" s="27" t="n"/>
      <c r="M132" s="26" t="n"/>
      <c r="N132" s="26" t="n"/>
      <c r="O132" s="28">
        <f>IF($A132="","",IF($D132="","",raporTarihi-$D132))</f>
        <v/>
      </c>
      <c r="P132" s="28">
        <f>IF($A132="","",IF($O132="","",IF($O132&lt;=7,"0-7",IF($O132&lt;=30,"8-30",IF($O132&lt;=60,"31-60","60+")))))</f>
        <v/>
      </c>
      <c r="Q132" s="28">
        <f>IF($A132="","",IF($B132="","YETİM",IF(COUNTIF(tblKartlar[KartId],$B132)=0,"YETİM","")))</f>
        <v/>
      </c>
      <c r="R132" s="28">
        <f>IF(OR($A132="",$E132=""),"",IF(OR($E132&amp;"|"&amp;$F132="",COUNTIF(ListeIzinliGecis,$E132&amp;"|"&amp;$F132)&gt;0),"","GEÇERSİZ GEÇİŞ"))</f>
        <v/>
      </c>
      <c r="S132" s="28">
        <f>IF($A132="","",IF(OR($G132="",$I132=""),"",IF(ABS($I132-$G132)&gt;zincirTolerans,"ZİNCİR KIRIK","OK")))</f>
        <v/>
      </c>
      <c r="T132" s="28">
        <f>IF($A132="","",1)</f>
        <v/>
      </c>
    </row>
    <row r="133">
      <c r="A133" s="26" t="n"/>
      <c r="B133" s="26" t="n"/>
      <c r="C133" s="26" t="n"/>
      <c r="D133" s="29" t="n"/>
      <c r="E133" s="26" t="n"/>
      <c r="F133" s="26" t="n"/>
      <c r="G133" s="27" t="n"/>
      <c r="H133" s="27" t="n"/>
      <c r="I133" s="27" t="n"/>
      <c r="J133" s="27" t="n"/>
      <c r="K133" s="27" t="n"/>
      <c r="L133" s="27" t="n"/>
      <c r="M133" s="26" t="n"/>
      <c r="N133" s="26" t="n"/>
      <c r="O133" s="28">
        <f>IF($A133="","",IF($D133="","",raporTarihi-$D133))</f>
        <v/>
      </c>
      <c r="P133" s="28">
        <f>IF($A133="","",IF($O133="","",IF($O133&lt;=7,"0-7",IF($O133&lt;=30,"8-30",IF($O133&lt;=60,"31-60","60+")))))</f>
        <v/>
      </c>
      <c r="Q133" s="28">
        <f>IF($A133="","",IF($B133="","YETİM",IF(COUNTIF(tblKartlar[KartId],$B133)=0,"YETİM","")))</f>
        <v/>
      </c>
      <c r="R133" s="28">
        <f>IF(OR($A133="",$E133=""),"",IF(OR($E133&amp;"|"&amp;$F133="",COUNTIF(ListeIzinliGecis,$E133&amp;"|"&amp;$F133)&gt;0),"","GEÇERSİZ GEÇİŞ"))</f>
        <v/>
      </c>
      <c r="S133" s="28">
        <f>IF($A133="","",IF(OR($G133="",$I133=""),"",IF(ABS($I133-$G133)&gt;zincirTolerans,"ZİNCİR KIRIK","OK")))</f>
        <v/>
      </c>
      <c r="T133" s="28">
        <f>IF($A133="","",1)</f>
        <v/>
      </c>
    </row>
    <row r="134">
      <c r="A134" s="26" t="n"/>
      <c r="B134" s="26" t="n"/>
      <c r="C134" s="26" t="n"/>
      <c r="D134" s="29" t="n"/>
      <c r="E134" s="26" t="n"/>
      <c r="F134" s="26" t="n"/>
      <c r="G134" s="27" t="n"/>
      <c r="H134" s="27" t="n"/>
      <c r="I134" s="27" t="n"/>
      <c r="J134" s="27" t="n"/>
      <c r="K134" s="27" t="n"/>
      <c r="L134" s="27" t="n"/>
      <c r="M134" s="26" t="n"/>
      <c r="N134" s="26" t="n"/>
      <c r="O134" s="28">
        <f>IF($A134="","",IF($D134="","",raporTarihi-$D134))</f>
        <v/>
      </c>
      <c r="P134" s="28">
        <f>IF($A134="","",IF($O134="","",IF($O134&lt;=7,"0-7",IF($O134&lt;=30,"8-30",IF($O134&lt;=60,"31-60","60+")))))</f>
        <v/>
      </c>
      <c r="Q134" s="28">
        <f>IF($A134="","",IF($B134="","YETİM",IF(COUNTIF(tblKartlar[KartId],$B134)=0,"YETİM","")))</f>
        <v/>
      </c>
      <c r="R134" s="28">
        <f>IF(OR($A134="",$E134=""),"",IF(OR($E134&amp;"|"&amp;$F134="",COUNTIF(ListeIzinliGecis,$E134&amp;"|"&amp;$F134)&gt;0),"","GEÇERSİZ GEÇİŞ"))</f>
        <v/>
      </c>
      <c r="S134" s="28">
        <f>IF($A134="","",IF(OR($G134="",$I134=""),"",IF(ABS($I134-$G134)&gt;zincirTolerans,"ZİNCİR KIRIK","OK")))</f>
        <v/>
      </c>
      <c r="T134" s="28">
        <f>IF($A134="","",1)</f>
        <v/>
      </c>
    </row>
    <row r="135">
      <c r="A135" s="26" t="n"/>
      <c r="B135" s="26" t="n"/>
      <c r="C135" s="26" t="n"/>
      <c r="D135" s="29" t="n"/>
      <c r="E135" s="26" t="n"/>
      <c r="F135" s="26" t="n"/>
      <c r="G135" s="27" t="n"/>
      <c r="H135" s="27" t="n"/>
      <c r="I135" s="27" t="n"/>
      <c r="J135" s="27" t="n"/>
      <c r="K135" s="27" t="n"/>
      <c r="L135" s="27" t="n"/>
      <c r="M135" s="26" t="n"/>
      <c r="N135" s="26" t="n"/>
      <c r="O135" s="28">
        <f>IF($A135="","",IF($D135="","",raporTarihi-$D135))</f>
        <v/>
      </c>
      <c r="P135" s="28">
        <f>IF($A135="","",IF($O135="","",IF($O135&lt;=7,"0-7",IF($O135&lt;=30,"8-30",IF($O135&lt;=60,"31-60","60+")))))</f>
        <v/>
      </c>
      <c r="Q135" s="28">
        <f>IF($A135="","",IF($B135="","YETİM",IF(COUNTIF(tblKartlar[KartId],$B135)=0,"YETİM","")))</f>
        <v/>
      </c>
      <c r="R135" s="28">
        <f>IF(OR($A135="",$E135=""),"",IF(OR($E135&amp;"|"&amp;$F135="",COUNTIF(ListeIzinliGecis,$E135&amp;"|"&amp;$F135)&gt;0),"","GEÇERSİZ GEÇİŞ"))</f>
        <v/>
      </c>
      <c r="S135" s="28">
        <f>IF($A135="","",IF(OR($G135="",$I135=""),"",IF(ABS($I135-$G135)&gt;zincirTolerans,"ZİNCİR KIRIK","OK")))</f>
        <v/>
      </c>
      <c r="T135" s="28">
        <f>IF($A135="","",1)</f>
        <v/>
      </c>
    </row>
    <row r="136">
      <c r="A136" s="26" t="n"/>
      <c r="B136" s="26" t="n"/>
      <c r="C136" s="26" t="n"/>
      <c r="D136" s="29" t="n"/>
      <c r="E136" s="26" t="n"/>
      <c r="F136" s="26" t="n"/>
      <c r="G136" s="27" t="n"/>
      <c r="H136" s="27" t="n"/>
      <c r="I136" s="27" t="n"/>
      <c r="J136" s="27" t="n"/>
      <c r="K136" s="27" t="n"/>
      <c r="L136" s="27" t="n"/>
      <c r="M136" s="26" t="n"/>
      <c r="N136" s="26" t="n"/>
      <c r="O136" s="28">
        <f>IF($A136="","",IF($D136="","",raporTarihi-$D136))</f>
        <v/>
      </c>
      <c r="P136" s="28">
        <f>IF($A136="","",IF($O136="","",IF($O136&lt;=7,"0-7",IF($O136&lt;=30,"8-30",IF($O136&lt;=60,"31-60","60+")))))</f>
        <v/>
      </c>
      <c r="Q136" s="28">
        <f>IF($A136="","",IF($B136="","YETİM",IF(COUNTIF(tblKartlar[KartId],$B136)=0,"YETİM","")))</f>
        <v/>
      </c>
      <c r="R136" s="28">
        <f>IF(OR($A136="",$E136=""),"",IF(OR($E136&amp;"|"&amp;$F136="",COUNTIF(ListeIzinliGecis,$E136&amp;"|"&amp;$F136)&gt;0),"","GEÇERSİZ GEÇİŞ"))</f>
        <v/>
      </c>
      <c r="S136" s="28">
        <f>IF($A136="","",IF(OR($G136="",$I136=""),"",IF(ABS($I136-$G136)&gt;zincirTolerans,"ZİNCİR KIRIK","OK")))</f>
        <v/>
      </c>
      <c r="T136" s="28">
        <f>IF($A136="","",1)</f>
        <v/>
      </c>
    </row>
    <row r="137">
      <c r="A137" s="26" t="n"/>
      <c r="B137" s="26" t="n"/>
      <c r="C137" s="26" t="n"/>
      <c r="D137" s="29" t="n"/>
      <c r="E137" s="26" t="n"/>
      <c r="F137" s="26" t="n"/>
      <c r="G137" s="27" t="n"/>
      <c r="H137" s="27" t="n"/>
      <c r="I137" s="27" t="n"/>
      <c r="J137" s="27" t="n"/>
      <c r="K137" s="27" t="n"/>
      <c r="L137" s="27" t="n"/>
      <c r="M137" s="26" t="n"/>
      <c r="N137" s="26" t="n"/>
      <c r="O137" s="28">
        <f>IF($A137="","",IF($D137="","",raporTarihi-$D137))</f>
        <v/>
      </c>
      <c r="P137" s="28">
        <f>IF($A137="","",IF($O137="","",IF($O137&lt;=7,"0-7",IF($O137&lt;=30,"8-30",IF($O137&lt;=60,"31-60","60+")))))</f>
        <v/>
      </c>
      <c r="Q137" s="28">
        <f>IF($A137="","",IF($B137="","YETİM",IF(COUNTIF(tblKartlar[KartId],$B137)=0,"YETİM","")))</f>
        <v/>
      </c>
      <c r="R137" s="28">
        <f>IF(OR($A137="",$E137=""),"",IF(OR($E137&amp;"|"&amp;$F137="",COUNTIF(ListeIzinliGecis,$E137&amp;"|"&amp;$F137)&gt;0),"","GEÇERSİZ GEÇİŞ"))</f>
        <v/>
      </c>
      <c r="S137" s="28">
        <f>IF($A137="","",IF(OR($G137="",$I137=""),"",IF(ABS($I137-$G137)&gt;zincirTolerans,"ZİNCİR KIRIK","OK")))</f>
        <v/>
      </c>
      <c r="T137" s="28">
        <f>IF($A137="","",1)</f>
        <v/>
      </c>
    </row>
    <row r="138">
      <c r="A138" s="26" t="n"/>
      <c r="B138" s="26" t="n"/>
      <c r="C138" s="26" t="n"/>
      <c r="D138" s="29" t="n"/>
      <c r="E138" s="26" t="n"/>
      <c r="F138" s="26" t="n"/>
      <c r="G138" s="27" t="n"/>
      <c r="H138" s="27" t="n"/>
      <c r="I138" s="27" t="n"/>
      <c r="J138" s="27" t="n"/>
      <c r="K138" s="27" t="n"/>
      <c r="L138" s="27" t="n"/>
      <c r="M138" s="26" t="n"/>
      <c r="N138" s="26" t="n"/>
      <c r="O138" s="28">
        <f>IF($A138="","",IF($D138="","",raporTarihi-$D138))</f>
        <v/>
      </c>
      <c r="P138" s="28">
        <f>IF($A138="","",IF($O138="","",IF($O138&lt;=7,"0-7",IF($O138&lt;=30,"8-30",IF($O138&lt;=60,"31-60","60+")))))</f>
        <v/>
      </c>
      <c r="Q138" s="28">
        <f>IF($A138="","",IF($B138="","YETİM",IF(COUNTIF(tblKartlar[KartId],$B138)=0,"YETİM","")))</f>
        <v/>
      </c>
      <c r="R138" s="28">
        <f>IF(OR($A138="",$E138=""),"",IF(OR($E138&amp;"|"&amp;$F138="",COUNTIF(ListeIzinliGecis,$E138&amp;"|"&amp;$F138)&gt;0),"","GEÇERSİZ GEÇİŞ"))</f>
        <v/>
      </c>
      <c r="S138" s="28">
        <f>IF($A138="","",IF(OR($G138="",$I138=""),"",IF(ABS($I138-$G138)&gt;zincirTolerans,"ZİNCİR KIRIK","OK")))</f>
        <v/>
      </c>
      <c r="T138" s="28">
        <f>IF($A138="","",1)</f>
        <v/>
      </c>
    </row>
    <row r="139">
      <c r="A139" s="26" t="n"/>
      <c r="B139" s="26" t="n"/>
      <c r="C139" s="26" t="n"/>
      <c r="D139" s="29" t="n"/>
      <c r="E139" s="26" t="n"/>
      <c r="F139" s="26" t="n"/>
      <c r="G139" s="27" t="n"/>
      <c r="H139" s="27" t="n"/>
      <c r="I139" s="27" t="n"/>
      <c r="J139" s="27" t="n"/>
      <c r="K139" s="27" t="n"/>
      <c r="L139" s="27" t="n"/>
      <c r="M139" s="26" t="n"/>
      <c r="N139" s="26" t="n"/>
      <c r="O139" s="28">
        <f>IF($A139="","",IF($D139="","",raporTarihi-$D139))</f>
        <v/>
      </c>
      <c r="P139" s="28">
        <f>IF($A139="","",IF($O139="","",IF($O139&lt;=7,"0-7",IF($O139&lt;=30,"8-30",IF($O139&lt;=60,"31-60","60+")))))</f>
        <v/>
      </c>
      <c r="Q139" s="28">
        <f>IF($A139="","",IF($B139="","YETİM",IF(COUNTIF(tblKartlar[KartId],$B139)=0,"YETİM","")))</f>
        <v/>
      </c>
      <c r="R139" s="28">
        <f>IF(OR($A139="",$E139=""),"",IF(OR($E139&amp;"|"&amp;$F139="",COUNTIF(ListeIzinliGecis,$E139&amp;"|"&amp;$F139)&gt;0),"","GEÇERSİZ GEÇİŞ"))</f>
        <v/>
      </c>
      <c r="S139" s="28">
        <f>IF($A139="","",IF(OR($G139="",$I139=""),"",IF(ABS($I139-$G139)&gt;zincirTolerans,"ZİNCİR KIRIK","OK")))</f>
        <v/>
      </c>
      <c r="T139" s="28">
        <f>IF($A139="","",1)</f>
        <v/>
      </c>
    </row>
    <row r="140">
      <c r="A140" s="26" t="n"/>
      <c r="B140" s="26" t="n"/>
      <c r="C140" s="26" t="n"/>
      <c r="D140" s="29" t="n"/>
      <c r="E140" s="26" t="n"/>
      <c r="F140" s="26" t="n"/>
      <c r="G140" s="27" t="n"/>
      <c r="H140" s="27" t="n"/>
      <c r="I140" s="27" t="n"/>
      <c r="J140" s="27" t="n"/>
      <c r="K140" s="27" t="n"/>
      <c r="L140" s="27" t="n"/>
      <c r="M140" s="26" t="n"/>
      <c r="N140" s="26" t="n"/>
      <c r="O140" s="28">
        <f>IF($A140="","",IF($D140="","",raporTarihi-$D140))</f>
        <v/>
      </c>
      <c r="P140" s="28">
        <f>IF($A140="","",IF($O140="","",IF($O140&lt;=7,"0-7",IF($O140&lt;=30,"8-30",IF($O140&lt;=60,"31-60","60+")))))</f>
        <v/>
      </c>
      <c r="Q140" s="28">
        <f>IF($A140="","",IF($B140="","YETİM",IF(COUNTIF(tblKartlar[KartId],$B140)=0,"YETİM","")))</f>
        <v/>
      </c>
      <c r="R140" s="28">
        <f>IF(OR($A140="",$E140=""),"",IF(OR($E140&amp;"|"&amp;$F140="",COUNTIF(ListeIzinliGecis,$E140&amp;"|"&amp;$F140)&gt;0),"","GEÇERSİZ GEÇİŞ"))</f>
        <v/>
      </c>
      <c r="S140" s="28">
        <f>IF($A140="","",IF(OR($G140="",$I140=""),"",IF(ABS($I140-$G140)&gt;zincirTolerans,"ZİNCİR KIRIK","OK")))</f>
        <v/>
      </c>
      <c r="T140" s="28">
        <f>IF($A140="","",1)</f>
        <v/>
      </c>
    </row>
    <row r="141">
      <c r="A141" s="26" t="n"/>
      <c r="B141" s="26" t="n"/>
      <c r="C141" s="26" t="n"/>
      <c r="D141" s="29" t="n"/>
      <c r="E141" s="26" t="n"/>
      <c r="F141" s="26" t="n"/>
      <c r="G141" s="27" t="n"/>
      <c r="H141" s="27" t="n"/>
      <c r="I141" s="27" t="n"/>
      <c r="J141" s="27" t="n"/>
      <c r="K141" s="27" t="n"/>
      <c r="L141" s="27" t="n"/>
      <c r="M141" s="26" t="n"/>
      <c r="N141" s="26" t="n"/>
      <c r="O141" s="28">
        <f>IF($A141="","",IF($D141="","",raporTarihi-$D141))</f>
        <v/>
      </c>
      <c r="P141" s="28">
        <f>IF($A141="","",IF($O141="","",IF($O141&lt;=7,"0-7",IF($O141&lt;=30,"8-30",IF($O141&lt;=60,"31-60","60+")))))</f>
        <v/>
      </c>
      <c r="Q141" s="28">
        <f>IF($A141="","",IF($B141="","YETİM",IF(COUNTIF(tblKartlar[KartId],$B141)=0,"YETİM","")))</f>
        <v/>
      </c>
      <c r="R141" s="28">
        <f>IF(OR($A141="",$E141=""),"",IF(OR($E141&amp;"|"&amp;$F141="",COUNTIF(ListeIzinliGecis,$E141&amp;"|"&amp;$F141)&gt;0),"","GEÇERSİZ GEÇİŞ"))</f>
        <v/>
      </c>
      <c r="S141" s="28">
        <f>IF($A141="","",IF(OR($G141="",$I141=""),"",IF(ABS($I141-$G141)&gt;zincirTolerans,"ZİNCİR KIRIK","OK")))</f>
        <v/>
      </c>
      <c r="T141" s="28">
        <f>IF($A141="","",1)</f>
        <v/>
      </c>
    </row>
    <row r="142">
      <c r="A142" s="26" t="n"/>
      <c r="B142" s="26" t="n"/>
      <c r="C142" s="26" t="n"/>
      <c r="D142" s="29" t="n"/>
      <c r="E142" s="26" t="n"/>
      <c r="F142" s="26" t="n"/>
      <c r="G142" s="27" t="n"/>
      <c r="H142" s="27" t="n"/>
      <c r="I142" s="27" t="n"/>
      <c r="J142" s="27" t="n"/>
      <c r="K142" s="27" t="n"/>
      <c r="L142" s="27" t="n"/>
      <c r="M142" s="26" t="n"/>
      <c r="N142" s="26" t="n"/>
      <c r="O142" s="28">
        <f>IF($A142="","",IF($D142="","",raporTarihi-$D142))</f>
        <v/>
      </c>
      <c r="P142" s="28">
        <f>IF($A142="","",IF($O142="","",IF($O142&lt;=7,"0-7",IF($O142&lt;=30,"8-30",IF($O142&lt;=60,"31-60","60+")))))</f>
        <v/>
      </c>
      <c r="Q142" s="28">
        <f>IF($A142="","",IF($B142="","YETİM",IF(COUNTIF(tblKartlar[KartId],$B142)=0,"YETİM","")))</f>
        <v/>
      </c>
      <c r="R142" s="28">
        <f>IF(OR($A142="",$E142=""),"",IF(OR($E142&amp;"|"&amp;$F142="",COUNTIF(ListeIzinliGecis,$E142&amp;"|"&amp;$F142)&gt;0),"","GEÇERSİZ GEÇİŞ"))</f>
        <v/>
      </c>
      <c r="S142" s="28">
        <f>IF($A142="","",IF(OR($G142="",$I142=""),"",IF(ABS($I142-$G142)&gt;zincirTolerans,"ZİNCİR KIRIK","OK")))</f>
        <v/>
      </c>
      <c r="T142" s="28">
        <f>IF($A142="","",1)</f>
        <v/>
      </c>
    </row>
    <row r="143">
      <c r="A143" s="26" t="n"/>
      <c r="B143" s="26" t="n"/>
      <c r="C143" s="26" t="n"/>
      <c r="D143" s="29" t="n"/>
      <c r="E143" s="26" t="n"/>
      <c r="F143" s="26" t="n"/>
      <c r="G143" s="27" t="n"/>
      <c r="H143" s="27" t="n"/>
      <c r="I143" s="27" t="n"/>
      <c r="J143" s="27" t="n"/>
      <c r="K143" s="27" t="n"/>
      <c r="L143" s="27" t="n"/>
      <c r="M143" s="26" t="n"/>
      <c r="N143" s="26" t="n"/>
      <c r="O143" s="28">
        <f>IF($A143="","",IF($D143="","",raporTarihi-$D143))</f>
        <v/>
      </c>
      <c r="P143" s="28">
        <f>IF($A143="","",IF($O143="","",IF($O143&lt;=7,"0-7",IF($O143&lt;=30,"8-30",IF($O143&lt;=60,"31-60","60+")))))</f>
        <v/>
      </c>
      <c r="Q143" s="28">
        <f>IF($A143="","",IF($B143="","YETİM",IF(COUNTIF(tblKartlar[KartId],$B143)=0,"YETİM","")))</f>
        <v/>
      </c>
      <c r="R143" s="28">
        <f>IF(OR($A143="",$E143=""),"",IF(OR($E143&amp;"|"&amp;$F143="",COUNTIF(ListeIzinliGecis,$E143&amp;"|"&amp;$F143)&gt;0),"","GEÇERSİZ GEÇİŞ"))</f>
        <v/>
      </c>
      <c r="S143" s="28">
        <f>IF($A143="","",IF(OR($G143="",$I143=""),"",IF(ABS($I143-$G143)&gt;zincirTolerans,"ZİNCİR KIRIK","OK")))</f>
        <v/>
      </c>
      <c r="T143" s="28">
        <f>IF($A143="","",1)</f>
        <v/>
      </c>
    </row>
    <row r="144">
      <c r="A144" s="26" t="n"/>
      <c r="B144" s="26" t="n"/>
      <c r="C144" s="26" t="n"/>
      <c r="D144" s="29" t="n"/>
      <c r="E144" s="26" t="n"/>
      <c r="F144" s="26" t="n"/>
      <c r="G144" s="27" t="n"/>
      <c r="H144" s="27" t="n"/>
      <c r="I144" s="27" t="n"/>
      <c r="J144" s="27" t="n"/>
      <c r="K144" s="27" t="n"/>
      <c r="L144" s="27" t="n"/>
      <c r="M144" s="26" t="n"/>
      <c r="N144" s="26" t="n"/>
      <c r="O144" s="28">
        <f>IF($A144="","",IF($D144="","",raporTarihi-$D144))</f>
        <v/>
      </c>
      <c r="P144" s="28">
        <f>IF($A144="","",IF($O144="","",IF($O144&lt;=7,"0-7",IF($O144&lt;=30,"8-30",IF($O144&lt;=60,"31-60","60+")))))</f>
        <v/>
      </c>
      <c r="Q144" s="28">
        <f>IF($A144="","",IF($B144="","YETİM",IF(COUNTIF(tblKartlar[KartId],$B144)=0,"YETİM","")))</f>
        <v/>
      </c>
      <c r="R144" s="28">
        <f>IF(OR($A144="",$E144=""),"",IF(OR($E144&amp;"|"&amp;$F144="",COUNTIF(ListeIzinliGecis,$E144&amp;"|"&amp;$F144)&gt;0),"","GEÇERSİZ GEÇİŞ"))</f>
        <v/>
      </c>
      <c r="S144" s="28">
        <f>IF($A144="","",IF(OR($G144="",$I144=""),"",IF(ABS($I144-$G144)&gt;zincirTolerans,"ZİNCİR KIRIK","OK")))</f>
        <v/>
      </c>
      <c r="T144" s="28">
        <f>IF($A144="","",1)</f>
        <v/>
      </c>
    </row>
    <row r="145">
      <c r="A145" s="26" t="n"/>
      <c r="B145" s="26" t="n"/>
      <c r="C145" s="26" t="n"/>
      <c r="D145" s="29" t="n"/>
      <c r="E145" s="26" t="n"/>
      <c r="F145" s="26" t="n"/>
      <c r="G145" s="27" t="n"/>
      <c r="H145" s="27" t="n"/>
      <c r="I145" s="27" t="n"/>
      <c r="J145" s="27" t="n"/>
      <c r="K145" s="27" t="n"/>
      <c r="L145" s="27" t="n"/>
      <c r="M145" s="26" t="n"/>
      <c r="N145" s="26" t="n"/>
      <c r="O145" s="28">
        <f>IF($A145="","",IF($D145="","",raporTarihi-$D145))</f>
        <v/>
      </c>
      <c r="P145" s="28">
        <f>IF($A145="","",IF($O145="","",IF($O145&lt;=7,"0-7",IF($O145&lt;=30,"8-30",IF($O145&lt;=60,"31-60","60+")))))</f>
        <v/>
      </c>
      <c r="Q145" s="28">
        <f>IF($A145="","",IF($B145="","YETİM",IF(COUNTIF(tblKartlar[KartId],$B145)=0,"YETİM","")))</f>
        <v/>
      </c>
      <c r="R145" s="28">
        <f>IF(OR($A145="",$E145=""),"",IF(OR($E145&amp;"|"&amp;$F145="",COUNTIF(ListeIzinliGecis,$E145&amp;"|"&amp;$F145)&gt;0),"","GEÇERSİZ GEÇİŞ"))</f>
        <v/>
      </c>
      <c r="S145" s="28">
        <f>IF($A145="","",IF(OR($G145="",$I145=""),"",IF(ABS($I145-$G145)&gt;zincirTolerans,"ZİNCİR KIRIK","OK")))</f>
        <v/>
      </c>
      <c r="T145" s="28">
        <f>IF($A145="","",1)</f>
        <v/>
      </c>
    </row>
    <row r="146">
      <c r="A146" s="26" t="n"/>
      <c r="B146" s="26" t="n"/>
      <c r="C146" s="26" t="n"/>
      <c r="D146" s="29" t="n"/>
      <c r="E146" s="26" t="n"/>
      <c r="F146" s="26" t="n"/>
      <c r="G146" s="27" t="n"/>
      <c r="H146" s="27" t="n"/>
      <c r="I146" s="27" t="n"/>
      <c r="J146" s="27" t="n"/>
      <c r="K146" s="27" t="n"/>
      <c r="L146" s="27" t="n"/>
      <c r="M146" s="26" t="n"/>
      <c r="N146" s="26" t="n"/>
      <c r="O146" s="28">
        <f>IF($A146="","",IF($D146="","",raporTarihi-$D146))</f>
        <v/>
      </c>
      <c r="P146" s="28">
        <f>IF($A146="","",IF($O146="","",IF($O146&lt;=7,"0-7",IF($O146&lt;=30,"8-30",IF($O146&lt;=60,"31-60","60+")))))</f>
        <v/>
      </c>
      <c r="Q146" s="28">
        <f>IF($A146="","",IF($B146="","YETİM",IF(COUNTIF(tblKartlar[KartId],$B146)=0,"YETİM","")))</f>
        <v/>
      </c>
      <c r="R146" s="28">
        <f>IF(OR($A146="",$E146=""),"",IF(OR($E146&amp;"|"&amp;$F146="",COUNTIF(ListeIzinliGecis,$E146&amp;"|"&amp;$F146)&gt;0),"","GEÇERSİZ GEÇİŞ"))</f>
        <v/>
      </c>
      <c r="S146" s="28">
        <f>IF($A146="","",IF(OR($G146="",$I146=""),"",IF(ABS($I146-$G146)&gt;zincirTolerans,"ZİNCİR KIRIK","OK")))</f>
        <v/>
      </c>
      <c r="T146" s="28">
        <f>IF($A146="","",1)</f>
        <v/>
      </c>
    </row>
    <row r="147">
      <c r="A147" s="26" t="n"/>
      <c r="B147" s="26" t="n"/>
      <c r="C147" s="26" t="n"/>
      <c r="D147" s="29" t="n"/>
      <c r="E147" s="26" t="n"/>
      <c r="F147" s="26" t="n"/>
      <c r="G147" s="27" t="n"/>
      <c r="H147" s="27" t="n"/>
      <c r="I147" s="27" t="n"/>
      <c r="J147" s="27" t="n"/>
      <c r="K147" s="27" t="n"/>
      <c r="L147" s="27" t="n"/>
      <c r="M147" s="26" t="n"/>
      <c r="N147" s="26" t="n"/>
      <c r="O147" s="28">
        <f>IF($A147="","",IF($D147="","",raporTarihi-$D147))</f>
        <v/>
      </c>
      <c r="P147" s="28">
        <f>IF($A147="","",IF($O147="","",IF($O147&lt;=7,"0-7",IF($O147&lt;=30,"8-30",IF($O147&lt;=60,"31-60","60+")))))</f>
        <v/>
      </c>
      <c r="Q147" s="28">
        <f>IF($A147="","",IF($B147="","YETİM",IF(COUNTIF(tblKartlar[KartId],$B147)=0,"YETİM","")))</f>
        <v/>
      </c>
      <c r="R147" s="28">
        <f>IF(OR($A147="",$E147=""),"",IF(OR($E147&amp;"|"&amp;$F147="",COUNTIF(ListeIzinliGecis,$E147&amp;"|"&amp;$F147)&gt;0),"","GEÇERSİZ GEÇİŞ"))</f>
        <v/>
      </c>
      <c r="S147" s="28">
        <f>IF($A147="","",IF(OR($G147="",$I147=""),"",IF(ABS($I147-$G147)&gt;zincirTolerans,"ZİNCİR KIRIK","OK")))</f>
        <v/>
      </c>
      <c r="T147" s="28">
        <f>IF($A147="","",1)</f>
        <v/>
      </c>
    </row>
    <row r="148">
      <c r="A148" s="26" t="n"/>
      <c r="B148" s="26" t="n"/>
      <c r="C148" s="26" t="n"/>
      <c r="D148" s="29" t="n"/>
      <c r="E148" s="26" t="n"/>
      <c r="F148" s="26" t="n"/>
      <c r="G148" s="27" t="n"/>
      <c r="H148" s="27" t="n"/>
      <c r="I148" s="27" t="n"/>
      <c r="J148" s="27" t="n"/>
      <c r="K148" s="27" t="n"/>
      <c r="L148" s="27" t="n"/>
      <c r="M148" s="26" t="n"/>
      <c r="N148" s="26" t="n"/>
      <c r="O148" s="28">
        <f>IF($A148="","",IF($D148="","",raporTarihi-$D148))</f>
        <v/>
      </c>
      <c r="P148" s="28">
        <f>IF($A148="","",IF($O148="","",IF($O148&lt;=7,"0-7",IF($O148&lt;=30,"8-30",IF($O148&lt;=60,"31-60","60+")))))</f>
        <v/>
      </c>
      <c r="Q148" s="28">
        <f>IF($A148="","",IF($B148="","YETİM",IF(COUNTIF(tblKartlar[KartId],$B148)=0,"YETİM","")))</f>
        <v/>
      </c>
      <c r="R148" s="28">
        <f>IF(OR($A148="",$E148=""),"",IF(OR($E148&amp;"|"&amp;$F148="",COUNTIF(ListeIzinliGecis,$E148&amp;"|"&amp;$F148)&gt;0),"","GEÇERSİZ GEÇİŞ"))</f>
        <v/>
      </c>
      <c r="S148" s="28">
        <f>IF($A148="","",IF(OR($G148="",$I148=""),"",IF(ABS($I148-$G148)&gt;zincirTolerans,"ZİNCİR KIRIK","OK")))</f>
        <v/>
      </c>
      <c r="T148" s="28">
        <f>IF($A148="","",1)</f>
        <v/>
      </c>
    </row>
    <row r="149">
      <c r="A149" s="26" t="n"/>
      <c r="B149" s="26" t="n"/>
      <c r="C149" s="26" t="n"/>
      <c r="D149" s="29" t="n"/>
      <c r="E149" s="26" t="n"/>
      <c r="F149" s="26" t="n"/>
      <c r="G149" s="27" t="n"/>
      <c r="H149" s="27" t="n"/>
      <c r="I149" s="27" t="n"/>
      <c r="J149" s="27" t="n"/>
      <c r="K149" s="27" t="n"/>
      <c r="L149" s="27" t="n"/>
      <c r="M149" s="26" t="n"/>
      <c r="N149" s="26" t="n"/>
      <c r="O149" s="28">
        <f>IF($A149="","",IF($D149="","",raporTarihi-$D149))</f>
        <v/>
      </c>
      <c r="P149" s="28">
        <f>IF($A149="","",IF($O149="","",IF($O149&lt;=7,"0-7",IF($O149&lt;=30,"8-30",IF($O149&lt;=60,"31-60","60+")))))</f>
        <v/>
      </c>
      <c r="Q149" s="28">
        <f>IF($A149="","",IF($B149="","YETİM",IF(COUNTIF(tblKartlar[KartId],$B149)=0,"YETİM","")))</f>
        <v/>
      </c>
      <c r="R149" s="28">
        <f>IF(OR($A149="",$E149=""),"",IF(OR($E149&amp;"|"&amp;$F149="",COUNTIF(ListeIzinliGecis,$E149&amp;"|"&amp;$F149)&gt;0),"","GEÇERSİZ GEÇİŞ"))</f>
        <v/>
      </c>
      <c r="S149" s="28">
        <f>IF($A149="","",IF(OR($G149="",$I149=""),"",IF(ABS($I149-$G149)&gt;zincirTolerans,"ZİNCİR KIRIK","OK")))</f>
        <v/>
      </c>
      <c r="T149" s="28">
        <f>IF($A149="","",1)</f>
        <v/>
      </c>
    </row>
    <row r="150">
      <c r="A150" s="26" t="n"/>
      <c r="B150" s="26" t="n"/>
      <c r="C150" s="26" t="n"/>
      <c r="D150" s="29" t="n"/>
      <c r="E150" s="26" t="n"/>
      <c r="F150" s="26" t="n"/>
      <c r="G150" s="27" t="n"/>
      <c r="H150" s="27" t="n"/>
      <c r="I150" s="27" t="n"/>
      <c r="J150" s="27" t="n"/>
      <c r="K150" s="27" t="n"/>
      <c r="L150" s="27" t="n"/>
      <c r="M150" s="26" t="n"/>
      <c r="N150" s="26" t="n"/>
      <c r="O150" s="28">
        <f>IF($A150="","",IF($D150="","",raporTarihi-$D150))</f>
        <v/>
      </c>
      <c r="P150" s="28">
        <f>IF($A150="","",IF($O150="","",IF($O150&lt;=7,"0-7",IF($O150&lt;=30,"8-30",IF($O150&lt;=60,"31-60","60+")))))</f>
        <v/>
      </c>
      <c r="Q150" s="28">
        <f>IF($A150="","",IF($B150="","YETİM",IF(COUNTIF(tblKartlar[KartId],$B150)=0,"YETİM","")))</f>
        <v/>
      </c>
      <c r="R150" s="28">
        <f>IF(OR($A150="",$E150=""),"",IF(OR($E150&amp;"|"&amp;$F150="",COUNTIF(ListeIzinliGecis,$E150&amp;"|"&amp;$F150)&gt;0),"","GEÇERSİZ GEÇİŞ"))</f>
        <v/>
      </c>
      <c r="S150" s="28">
        <f>IF($A150="","",IF(OR($G150="",$I150=""),"",IF(ABS($I150-$G150)&gt;zincirTolerans,"ZİNCİR KIRIK","OK")))</f>
        <v/>
      </c>
      <c r="T150" s="28">
        <f>IF($A150="","",1)</f>
        <v/>
      </c>
    </row>
    <row r="151">
      <c r="A151" s="26" t="n"/>
      <c r="B151" s="26" t="n"/>
      <c r="C151" s="26" t="n"/>
      <c r="D151" s="29" t="n"/>
      <c r="E151" s="26" t="n"/>
      <c r="F151" s="26" t="n"/>
      <c r="G151" s="27" t="n"/>
      <c r="H151" s="27" t="n"/>
      <c r="I151" s="27" t="n"/>
      <c r="J151" s="27" t="n"/>
      <c r="K151" s="27" t="n"/>
      <c r="L151" s="27" t="n"/>
      <c r="M151" s="26" t="n"/>
      <c r="N151" s="26" t="n"/>
      <c r="O151" s="28">
        <f>IF($A151="","",IF($D151="","",raporTarihi-$D151))</f>
        <v/>
      </c>
      <c r="P151" s="28">
        <f>IF($A151="","",IF($O151="","",IF($O151&lt;=7,"0-7",IF($O151&lt;=30,"8-30",IF($O151&lt;=60,"31-60","60+")))))</f>
        <v/>
      </c>
      <c r="Q151" s="28">
        <f>IF($A151="","",IF($B151="","YETİM",IF(COUNTIF(tblKartlar[KartId],$B151)=0,"YETİM","")))</f>
        <v/>
      </c>
      <c r="R151" s="28">
        <f>IF(OR($A151="",$E151=""),"",IF(OR($E151&amp;"|"&amp;$F151="",COUNTIF(ListeIzinliGecis,$E151&amp;"|"&amp;$F151)&gt;0),"","GEÇERSİZ GEÇİŞ"))</f>
        <v/>
      </c>
      <c r="S151" s="28">
        <f>IF($A151="","",IF(OR($G151="",$I151=""),"",IF(ABS($I151-$G151)&gt;zincirTolerans,"ZİNCİR KIRIK","OK")))</f>
        <v/>
      </c>
      <c r="T151" s="28">
        <f>IF($A151="","",1)</f>
        <v/>
      </c>
    </row>
    <row r="152">
      <c r="A152" s="26" t="n"/>
      <c r="B152" s="26" t="n"/>
      <c r="C152" s="26" t="n"/>
      <c r="D152" s="29" t="n"/>
      <c r="E152" s="26" t="n"/>
      <c r="F152" s="26" t="n"/>
      <c r="G152" s="27" t="n"/>
      <c r="H152" s="27" t="n"/>
      <c r="I152" s="27" t="n"/>
      <c r="J152" s="27" t="n"/>
      <c r="K152" s="27" t="n"/>
      <c r="L152" s="27" t="n"/>
      <c r="M152" s="26" t="n"/>
      <c r="N152" s="26" t="n"/>
      <c r="O152" s="28">
        <f>IF($A152="","",IF($D152="","",raporTarihi-$D152))</f>
        <v/>
      </c>
      <c r="P152" s="28">
        <f>IF($A152="","",IF($O152="","",IF($O152&lt;=7,"0-7",IF($O152&lt;=30,"8-30",IF($O152&lt;=60,"31-60","60+")))))</f>
        <v/>
      </c>
      <c r="Q152" s="28">
        <f>IF($A152="","",IF($B152="","YETİM",IF(COUNTIF(tblKartlar[KartId],$B152)=0,"YETİM","")))</f>
        <v/>
      </c>
      <c r="R152" s="28">
        <f>IF(OR($A152="",$E152=""),"",IF(OR($E152&amp;"|"&amp;$F152="",COUNTIF(ListeIzinliGecis,$E152&amp;"|"&amp;$F152)&gt;0),"","GEÇERSİZ GEÇİŞ"))</f>
        <v/>
      </c>
      <c r="S152" s="28">
        <f>IF($A152="","",IF(OR($G152="",$I152=""),"",IF(ABS($I152-$G152)&gt;zincirTolerans,"ZİNCİR KIRIK","OK")))</f>
        <v/>
      </c>
      <c r="T152" s="28">
        <f>IF($A152="","",1)</f>
        <v/>
      </c>
    </row>
    <row r="153">
      <c r="A153" s="26" t="n"/>
      <c r="B153" s="26" t="n"/>
      <c r="C153" s="26" t="n"/>
      <c r="D153" s="29" t="n"/>
      <c r="E153" s="26" t="n"/>
      <c r="F153" s="26" t="n"/>
      <c r="G153" s="27" t="n"/>
      <c r="H153" s="27" t="n"/>
      <c r="I153" s="27" t="n"/>
      <c r="J153" s="27" t="n"/>
      <c r="K153" s="27" t="n"/>
      <c r="L153" s="27" t="n"/>
      <c r="M153" s="26" t="n"/>
      <c r="N153" s="26" t="n"/>
      <c r="O153" s="28">
        <f>IF($A153="","",IF($D153="","",raporTarihi-$D153))</f>
        <v/>
      </c>
      <c r="P153" s="28">
        <f>IF($A153="","",IF($O153="","",IF($O153&lt;=7,"0-7",IF($O153&lt;=30,"8-30",IF($O153&lt;=60,"31-60","60+")))))</f>
        <v/>
      </c>
      <c r="Q153" s="28">
        <f>IF($A153="","",IF($B153="","YETİM",IF(COUNTIF(tblKartlar[KartId],$B153)=0,"YETİM","")))</f>
        <v/>
      </c>
      <c r="R153" s="28">
        <f>IF(OR($A153="",$E153=""),"",IF(OR($E153&amp;"|"&amp;$F153="",COUNTIF(ListeIzinliGecis,$E153&amp;"|"&amp;$F153)&gt;0),"","GEÇERSİZ GEÇİŞ"))</f>
        <v/>
      </c>
      <c r="S153" s="28">
        <f>IF($A153="","",IF(OR($G153="",$I153=""),"",IF(ABS($I153-$G153)&gt;zincirTolerans,"ZİNCİR KIRIK","OK")))</f>
        <v/>
      </c>
      <c r="T153" s="28">
        <f>IF($A153="","",1)</f>
        <v/>
      </c>
    </row>
    <row r="154">
      <c r="A154" s="26" t="n"/>
      <c r="B154" s="26" t="n"/>
      <c r="C154" s="26" t="n"/>
      <c r="D154" s="29" t="n"/>
      <c r="E154" s="26" t="n"/>
      <c r="F154" s="26" t="n"/>
      <c r="G154" s="27" t="n"/>
      <c r="H154" s="27" t="n"/>
      <c r="I154" s="27" t="n"/>
      <c r="J154" s="27" t="n"/>
      <c r="K154" s="27" t="n"/>
      <c r="L154" s="27" t="n"/>
      <c r="M154" s="26" t="n"/>
      <c r="N154" s="26" t="n"/>
      <c r="O154" s="28">
        <f>IF($A154="","",IF($D154="","",raporTarihi-$D154))</f>
        <v/>
      </c>
      <c r="P154" s="28">
        <f>IF($A154="","",IF($O154="","",IF($O154&lt;=7,"0-7",IF($O154&lt;=30,"8-30",IF($O154&lt;=60,"31-60","60+")))))</f>
        <v/>
      </c>
      <c r="Q154" s="28">
        <f>IF($A154="","",IF($B154="","YETİM",IF(COUNTIF(tblKartlar[KartId],$B154)=0,"YETİM","")))</f>
        <v/>
      </c>
      <c r="R154" s="28">
        <f>IF(OR($A154="",$E154=""),"",IF(OR($E154&amp;"|"&amp;$F154="",COUNTIF(ListeIzinliGecis,$E154&amp;"|"&amp;$F154)&gt;0),"","GEÇERSİZ GEÇİŞ"))</f>
        <v/>
      </c>
      <c r="S154" s="28">
        <f>IF($A154="","",IF(OR($G154="",$I154=""),"",IF(ABS($I154-$G154)&gt;zincirTolerans,"ZİNCİR KIRIK","OK")))</f>
        <v/>
      </c>
      <c r="T154" s="28">
        <f>IF($A154="","",1)</f>
        <v/>
      </c>
    </row>
    <row r="155">
      <c r="A155" s="26" t="n"/>
      <c r="B155" s="26" t="n"/>
      <c r="C155" s="26" t="n"/>
      <c r="D155" s="29" t="n"/>
      <c r="E155" s="26" t="n"/>
      <c r="F155" s="26" t="n"/>
      <c r="G155" s="27" t="n"/>
      <c r="H155" s="27" t="n"/>
      <c r="I155" s="27" t="n"/>
      <c r="J155" s="27" t="n"/>
      <c r="K155" s="27" t="n"/>
      <c r="L155" s="27" t="n"/>
      <c r="M155" s="26" t="n"/>
      <c r="N155" s="26" t="n"/>
      <c r="O155" s="28">
        <f>IF($A155="","",IF($D155="","",raporTarihi-$D155))</f>
        <v/>
      </c>
      <c r="P155" s="28">
        <f>IF($A155="","",IF($O155="","",IF($O155&lt;=7,"0-7",IF($O155&lt;=30,"8-30",IF($O155&lt;=60,"31-60","60+")))))</f>
        <v/>
      </c>
      <c r="Q155" s="28">
        <f>IF($A155="","",IF($B155="","YETİM",IF(COUNTIF(tblKartlar[KartId],$B155)=0,"YETİM","")))</f>
        <v/>
      </c>
      <c r="R155" s="28">
        <f>IF(OR($A155="",$E155=""),"",IF(OR($E155&amp;"|"&amp;$F155="",COUNTIF(ListeIzinliGecis,$E155&amp;"|"&amp;$F155)&gt;0),"","GEÇERSİZ GEÇİŞ"))</f>
        <v/>
      </c>
      <c r="S155" s="28">
        <f>IF($A155="","",IF(OR($G155="",$I155=""),"",IF(ABS($I155-$G155)&gt;zincirTolerans,"ZİNCİR KIRIK","OK")))</f>
        <v/>
      </c>
      <c r="T155" s="28">
        <f>IF($A155="","",1)</f>
        <v/>
      </c>
    </row>
    <row r="156">
      <c r="A156" s="26" t="n"/>
      <c r="B156" s="26" t="n"/>
      <c r="C156" s="26" t="n"/>
      <c r="D156" s="29" t="n"/>
      <c r="E156" s="26" t="n"/>
      <c r="F156" s="26" t="n"/>
      <c r="G156" s="27" t="n"/>
      <c r="H156" s="27" t="n"/>
      <c r="I156" s="27" t="n"/>
      <c r="J156" s="27" t="n"/>
      <c r="K156" s="27" t="n"/>
      <c r="L156" s="27" t="n"/>
      <c r="M156" s="26" t="n"/>
      <c r="N156" s="26" t="n"/>
      <c r="O156" s="28">
        <f>IF($A156="","",IF($D156="","",raporTarihi-$D156))</f>
        <v/>
      </c>
      <c r="P156" s="28">
        <f>IF($A156="","",IF($O156="","",IF($O156&lt;=7,"0-7",IF($O156&lt;=30,"8-30",IF($O156&lt;=60,"31-60","60+")))))</f>
        <v/>
      </c>
      <c r="Q156" s="28">
        <f>IF($A156="","",IF($B156="","YETİM",IF(COUNTIF(tblKartlar[KartId],$B156)=0,"YETİM","")))</f>
        <v/>
      </c>
      <c r="R156" s="28">
        <f>IF(OR($A156="",$E156=""),"",IF(OR($E156&amp;"|"&amp;$F156="",COUNTIF(ListeIzinliGecis,$E156&amp;"|"&amp;$F156)&gt;0),"","GEÇERSİZ GEÇİŞ"))</f>
        <v/>
      </c>
      <c r="S156" s="28">
        <f>IF($A156="","",IF(OR($G156="",$I156=""),"",IF(ABS($I156-$G156)&gt;zincirTolerans,"ZİNCİR KIRIK","OK")))</f>
        <v/>
      </c>
      <c r="T156" s="28">
        <f>IF($A156="","",1)</f>
        <v/>
      </c>
    </row>
    <row r="157">
      <c r="A157" s="26" t="n"/>
      <c r="B157" s="26" t="n"/>
      <c r="C157" s="26" t="n"/>
      <c r="D157" s="29" t="n"/>
      <c r="E157" s="26" t="n"/>
      <c r="F157" s="26" t="n"/>
      <c r="G157" s="27" t="n"/>
      <c r="H157" s="27" t="n"/>
      <c r="I157" s="27" t="n"/>
      <c r="J157" s="27" t="n"/>
      <c r="K157" s="27" t="n"/>
      <c r="L157" s="27" t="n"/>
      <c r="M157" s="26" t="n"/>
      <c r="N157" s="26" t="n"/>
      <c r="O157" s="28">
        <f>IF($A157="","",IF($D157="","",raporTarihi-$D157))</f>
        <v/>
      </c>
      <c r="P157" s="28">
        <f>IF($A157="","",IF($O157="","",IF($O157&lt;=7,"0-7",IF($O157&lt;=30,"8-30",IF($O157&lt;=60,"31-60","60+")))))</f>
        <v/>
      </c>
      <c r="Q157" s="28">
        <f>IF($A157="","",IF($B157="","YETİM",IF(COUNTIF(tblKartlar[KartId],$B157)=0,"YETİM","")))</f>
        <v/>
      </c>
      <c r="R157" s="28">
        <f>IF(OR($A157="",$E157=""),"",IF(OR($E157&amp;"|"&amp;$F157="",COUNTIF(ListeIzinliGecis,$E157&amp;"|"&amp;$F157)&gt;0),"","GEÇERSİZ GEÇİŞ"))</f>
        <v/>
      </c>
      <c r="S157" s="28">
        <f>IF($A157="","",IF(OR($G157="",$I157=""),"",IF(ABS($I157-$G157)&gt;zincirTolerans,"ZİNCİR KIRIK","OK")))</f>
        <v/>
      </c>
      <c r="T157" s="28">
        <f>IF($A157="","",1)</f>
        <v/>
      </c>
    </row>
    <row r="158">
      <c r="A158" s="26" t="n"/>
      <c r="B158" s="26" t="n"/>
      <c r="C158" s="26" t="n"/>
      <c r="D158" s="29" t="n"/>
      <c r="E158" s="26" t="n"/>
      <c r="F158" s="26" t="n"/>
      <c r="G158" s="27" t="n"/>
      <c r="H158" s="27" t="n"/>
      <c r="I158" s="27" t="n"/>
      <c r="J158" s="27" t="n"/>
      <c r="K158" s="27" t="n"/>
      <c r="L158" s="27" t="n"/>
      <c r="M158" s="26" t="n"/>
      <c r="N158" s="26" t="n"/>
      <c r="O158" s="28">
        <f>IF($A158="","",IF($D158="","",raporTarihi-$D158))</f>
        <v/>
      </c>
      <c r="P158" s="28">
        <f>IF($A158="","",IF($O158="","",IF($O158&lt;=7,"0-7",IF($O158&lt;=30,"8-30",IF($O158&lt;=60,"31-60","60+")))))</f>
        <v/>
      </c>
      <c r="Q158" s="28">
        <f>IF($A158="","",IF($B158="","YETİM",IF(COUNTIF(tblKartlar[KartId],$B158)=0,"YETİM","")))</f>
        <v/>
      </c>
      <c r="R158" s="28">
        <f>IF(OR($A158="",$E158=""),"",IF(OR($E158&amp;"|"&amp;$F158="",COUNTIF(ListeIzinliGecis,$E158&amp;"|"&amp;$F158)&gt;0),"","GEÇERSİZ GEÇİŞ"))</f>
        <v/>
      </c>
      <c r="S158" s="28">
        <f>IF($A158="","",IF(OR($G158="",$I158=""),"",IF(ABS($I158-$G158)&gt;zincirTolerans,"ZİNCİR KIRIK","OK")))</f>
        <v/>
      </c>
      <c r="T158" s="28">
        <f>IF($A158="","",1)</f>
        <v/>
      </c>
    </row>
    <row r="159">
      <c r="A159" s="26" t="n"/>
      <c r="B159" s="26" t="n"/>
      <c r="C159" s="26" t="n"/>
      <c r="D159" s="29" t="n"/>
      <c r="E159" s="26" t="n"/>
      <c r="F159" s="26" t="n"/>
      <c r="G159" s="27" t="n"/>
      <c r="H159" s="27" t="n"/>
      <c r="I159" s="27" t="n"/>
      <c r="J159" s="27" t="n"/>
      <c r="K159" s="27" t="n"/>
      <c r="L159" s="27" t="n"/>
      <c r="M159" s="26" t="n"/>
      <c r="N159" s="26" t="n"/>
      <c r="O159" s="28">
        <f>IF($A159="","",IF($D159="","",raporTarihi-$D159))</f>
        <v/>
      </c>
      <c r="P159" s="28">
        <f>IF($A159="","",IF($O159="","",IF($O159&lt;=7,"0-7",IF($O159&lt;=30,"8-30",IF($O159&lt;=60,"31-60","60+")))))</f>
        <v/>
      </c>
      <c r="Q159" s="28">
        <f>IF($A159="","",IF($B159="","YETİM",IF(COUNTIF(tblKartlar[KartId],$B159)=0,"YETİM","")))</f>
        <v/>
      </c>
      <c r="R159" s="28">
        <f>IF(OR($A159="",$E159=""),"",IF(OR($E159&amp;"|"&amp;$F159="",COUNTIF(ListeIzinliGecis,$E159&amp;"|"&amp;$F159)&gt;0),"","GEÇERSİZ GEÇİŞ"))</f>
        <v/>
      </c>
      <c r="S159" s="28">
        <f>IF($A159="","",IF(OR($G159="",$I159=""),"",IF(ABS($I159-$G159)&gt;zincirTolerans,"ZİNCİR KIRIK","OK")))</f>
        <v/>
      </c>
      <c r="T159" s="28">
        <f>IF($A159="","",1)</f>
        <v/>
      </c>
    </row>
    <row r="160">
      <c r="A160" s="26" t="n"/>
      <c r="B160" s="26" t="n"/>
      <c r="C160" s="26" t="n"/>
      <c r="D160" s="29" t="n"/>
      <c r="E160" s="26" t="n"/>
      <c r="F160" s="26" t="n"/>
      <c r="G160" s="27" t="n"/>
      <c r="H160" s="27" t="n"/>
      <c r="I160" s="27" t="n"/>
      <c r="J160" s="27" t="n"/>
      <c r="K160" s="27" t="n"/>
      <c r="L160" s="27" t="n"/>
      <c r="M160" s="26" t="n"/>
      <c r="N160" s="26" t="n"/>
      <c r="O160" s="28">
        <f>IF($A160="","",IF($D160="","",raporTarihi-$D160))</f>
        <v/>
      </c>
      <c r="P160" s="28">
        <f>IF($A160="","",IF($O160="","",IF($O160&lt;=7,"0-7",IF($O160&lt;=30,"8-30",IF($O160&lt;=60,"31-60","60+")))))</f>
        <v/>
      </c>
      <c r="Q160" s="28">
        <f>IF($A160="","",IF($B160="","YETİM",IF(COUNTIF(tblKartlar[KartId],$B160)=0,"YETİM","")))</f>
        <v/>
      </c>
      <c r="R160" s="28">
        <f>IF(OR($A160="",$E160=""),"",IF(OR($E160&amp;"|"&amp;$F160="",COUNTIF(ListeIzinliGecis,$E160&amp;"|"&amp;$F160)&gt;0),"","GEÇERSİZ GEÇİŞ"))</f>
        <v/>
      </c>
      <c r="S160" s="28">
        <f>IF($A160="","",IF(OR($G160="",$I160=""),"",IF(ABS($I160-$G160)&gt;zincirTolerans,"ZİNCİR KIRIK","OK")))</f>
        <v/>
      </c>
      <c r="T160" s="28">
        <f>IF($A160="","",1)</f>
        <v/>
      </c>
    </row>
    <row r="161">
      <c r="A161" s="26" t="n"/>
      <c r="B161" s="26" t="n"/>
      <c r="C161" s="26" t="n"/>
      <c r="D161" s="29" t="n"/>
      <c r="E161" s="26" t="n"/>
      <c r="F161" s="26" t="n"/>
      <c r="G161" s="27" t="n"/>
      <c r="H161" s="27" t="n"/>
      <c r="I161" s="27" t="n"/>
      <c r="J161" s="27" t="n"/>
      <c r="K161" s="27" t="n"/>
      <c r="L161" s="27" t="n"/>
      <c r="M161" s="26" t="n"/>
      <c r="N161" s="26" t="n"/>
      <c r="O161" s="28">
        <f>IF($A161="","",IF($D161="","",raporTarihi-$D161))</f>
        <v/>
      </c>
      <c r="P161" s="28">
        <f>IF($A161="","",IF($O161="","",IF($O161&lt;=7,"0-7",IF($O161&lt;=30,"8-30",IF($O161&lt;=60,"31-60","60+")))))</f>
        <v/>
      </c>
      <c r="Q161" s="28">
        <f>IF($A161="","",IF($B161="","YETİM",IF(COUNTIF(tblKartlar[KartId],$B161)=0,"YETİM","")))</f>
        <v/>
      </c>
      <c r="R161" s="28">
        <f>IF(OR($A161="",$E161=""),"",IF(OR($E161&amp;"|"&amp;$F161="",COUNTIF(ListeIzinliGecis,$E161&amp;"|"&amp;$F161)&gt;0),"","GEÇERSİZ GEÇİŞ"))</f>
        <v/>
      </c>
      <c r="S161" s="28">
        <f>IF($A161="","",IF(OR($G161="",$I161=""),"",IF(ABS($I161-$G161)&gt;zincirTolerans,"ZİNCİR KIRIK","OK")))</f>
        <v/>
      </c>
      <c r="T161" s="28">
        <f>IF($A161="","",1)</f>
        <v/>
      </c>
    </row>
    <row r="162">
      <c r="A162" s="26" t="n"/>
      <c r="B162" s="26" t="n"/>
      <c r="C162" s="26" t="n"/>
      <c r="D162" s="29" t="n"/>
      <c r="E162" s="26" t="n"/>
      <c r="F162" s="26" t="n"/>
      <c r="G162" s="27" t="n"/>
      <c r="H162" s="27" t="n"/>
      <c r="I162" s="27" t="n"/>
      <c r="J162" s="27" t="n"/>
      <c r="K162" s="27" t="n"/>
      <c r="L162" s="27" t="n"/>
      <c r="M162" s="26" t="n"/>
      <c r="N162" s="26" t="n"/>
      <c r="O162" s="28">
        <f>IF($A162="","",IF($D162="","",raporTarihi-$D162))</f>
        <v/>
      </c>
      <c r="P162" s="28">
        <f>IF($A162="","",IF($O162="","",IF($O162&lt;=7,"0-7",IF($O162&lt;=30,"8-30",IF($O162&lt;=60,"31-60","60+")))))</f>
        <v/>
      </c>
      <c r="Q162" s="28">
        <f>IF($A162="","",IF($B162="","YETİM",IF(COUNTIF(tblKartlar[KartId],$B162)=0,"YETİM","")))</f>
        <v/>
      </c>
      <c r="R162" s="28">
        <f>IF(OR($A162="",$E162=""),"",IF(OR($E162&amp;"|"&amp;$F162="",COUNTIF(ListeIzinliGecis,$E162&amp;"|"&amp;$F162)&gt;0),"","GEÇERSİZ GEÇİŞ"))</f>
        <v/>
      </c>
      <c r="S162" s="28">
        <f>IF($A162="","",IF(OR($G162="",$I162=""),"",IF(ABS($I162-$G162)&gt;zincirTolerans,"ZİNCİR KIRIK","OK")))</f>
        <v/>
      </c>
      <c r="T162" s="28">
        <f>IF($A162="","",1)</f>
        <v/>
      </c>
    </row>
    <row r="163">
      <c r="A163" s="26" t="n"/>
      <c r="B163" s="26" t="n"/>
      <c r="C163" s="26" t="n"/>
      <c r="D163" s="29" t="n"/>
      <c r="E163" s="26" t="n"/>
      <c r="F163" s="26" t="n"/>
      <c r="G163" s="27" t="n"/>
      <c r="H163" s="27" t="n"/>
      <c r="I163" s="27" t="n"/>
      <c r="J163" s="27" t="n"/>
      <c r="K163" s="27" t="n"/>
      <c r="L163" s="27" t="n"/>
      <c r="M163" s="26" t="n"/>
      <c r="N163" s="26" t="n"/>
      <c r="O163" s="28">
        <f>IF($A163="","",IF($D163="","",raporTarihi-$D163))</f>
        <v/>
      </c>
      <c r="P163" s="28">
        <f>IF($A163="","",IF($O163="","",IF($O163&lt;=7,"0-7",IF($O163&lt;=30,"8-30",IF($O163&lt;=60,"31-60","60+")))))</f>
        <v/>
      </c>
      <c r="Q163" s="28">
        <f>IF($A163="","",IF($B163="","YETİM",IF(COUNTIF(tblKartlar[KartId],$B163)=0,"YETİM","")))</f>
        <v/>
      </c>
      <c r="R163" s="28">
        <f>IF(OR($A163="",$E163=""),"",IF(OR($E163&amp;"|"&amp;$F163="",COUNTIF(ListeIzinliGecis,$E163&amp;"|"&amp;$F163)&gt;0),"","GEÇERSİZ GEÇİŞ"))</f>
        <v/>
      </c>
      <c r="S163" s="28">
        <f>IF($A163="","",IF(OR($G163="",$I163=""),"",IF(ABS($I163-$G163)&gt;zincirTolerans,"ZİNCİR KIRIK","OK")))</f>
        <v/>
      </c>
      <c r="T163" s="28">
        <f>IF($A163="","",1)</f>
        <v/>
      </c>
    </row>
    <row r="164">
      <c r="A164" s="26" t="n"/>
      <c r="B164" s="26" t="n"/>
      <c r="C164" s="26" t="n"/>
      <c r="D164" s="29" t="n"/>
      <c r="E164" s="26" t="n"/>
      <c r="F164" s="26" t="n"/>
      <c r="G164" s="27" t="n"/>
      <c r="H164" s="27" t="n"/>
      <c r="I164" s="27" t="n"/>
      <c r="J164" s="27" t="n"/>
      <c r="K164" s="27" t="n"/>
      <c r="L164" s="27" t="n"/>
      <c r="M164" s="26" t="n"/>
      <c r="N164" s="26" t="n"/>
      <c r="O164" s="28">
        <f>IF($A164="","",IF($D164="","",raporTarihi-$D164))</f>
        <v/>
      </c>
      <c r="P164" s="28">
        <f>IF($A164="","",IF($O164="","",IF($O164&lt;=7,"0-7",IF($O164&lt;=30,"8-30",IF($O164&lt;=60,"31-60","60+")))))</f>
        <v/>
      </c>
      <c r="Q164" s="28">
        <f>IF($A164="","",IF($B164="","YETİM",IF(COUNTIF(tblKartlar[KartId],$B164)=0,"YETİM","")))</f>
        <v/>
      </c>
      <c r="R164" s="28">
        <f>IF(OR($A164="",$E164=""),"",IF(OR($E164&amp;"|"&amp;$F164="",COUNTIF(ListeIzinliGecis,$E164&amp;"|"&amp;$F164)&gt;0),"","GEÇERSİZ GEÇİŞ"))</f>
        <v/>
      </c>
      <c r="S164" s="28">
        <f>IF($A164="","",IF(OR($G164="",$I164=""),"",IF(ABS($I164-$G164)&gt;zincirTolerans,"ZİNCİR KIRIK","OK")))</f>
        <v/>
      </c>
      <c r="T164" s="28">
        <f>IF($A164="","",1)</f>
        <v/>
      </c>
    </row>
    <row r="165">
      <c r="A165" s="26" t="n"/>
      <c r="B165" s="26" t="n"/>
      <c r="C165" s="26" t="n"/>
      <c r="D165" s="29" t="n"/>
      <c r="E165" s="26" t="n"/>
      <c r="F165" s="26" t="n"/>
      <c r="G165" s="27" t="n"/>
      <c r="H165" s="27" t="n"/>
      <c r="I165" s="27" t="n"/>
      <c r="J165" s="27" t="n"/>
      <c r="K165" s="27" t="n"/>
      <c r="L165" s="27" t="n"/>
      <c r="M165" s="26" t="n"/>
      <c r="N165" s="26" t="n"/>
      <c r="O165" s="28">
        <f>IF($A165="","",IF($D165="","",raporTarihi-$D165))</f>
        <v/>
      </c>
      <c r="P165" s="28">
        <f>IF($A165="","",IF($O165="","",IF($O165&lt;=7,"0-7",IF($O165&lt;=30,"8-30",IF($O165&lt;=60,"31-60","60+")))))</f>
        <v/>
      </c>
      <c r="Q165" s="28">
        <f>IF($A165="","",IF($B165="","YETİM",IF(COUNTIF(tblKartlar[KartId],$B165)=0,"YETİM","")))</f>
        <v/>
      </c>
      <c r="R165" s="28">
        <f>IF(OR($A165="",$E165=""),"",IF(OR($E165&amp;"|"&amp;$F165="",COUNTIF(ListeIzinliGecis,$E165&amp;"|"&amp;$F165)&gt;0),"","GEÇERSİZ GEÇİŞ"))</f>
        <v/>
      </c>
      <c r="S165" s="28">
        <f>IF($A165="","",IF(OR($G165="",$I165=""),"",IF(ABS($I165-$G165)&gt;zincirTolerans,"ZİNCİR KIRIK","OK")))</f>
        <v/>
      </c>
      <c r="T165" s="28">
        <f>IF($A165="","",1)</f>
        <v/>
      </c>
    </row>
    <row r="166">
      <c r="A166" s="26" t="n"/>
      <c r="B166" s="26" t="n"/>
      <c r="C166" s="26" t="n"/>
      <c r="D166" s="29" t="n"/>
      <c r="E166" s="26" t="n"/>
      <c r="F166" s="26" t="n"/>
      <c r="G166" s="27" t="n"/>
      <c r="H166" s="27" t="n"/>
      <c r="I166" s="27" t="n"/>
      <c r="J166" s="27" t="n"/>
      <c r="K166" s="27" t="n"/>
      <c r="L166" s="27" t="n"/>
      <c r="M166" s="26" t="n"/>
      <c r="N166" s="26" t="n"/>
      <c r="O166" s="28">
        <f>IF($A166="","",IF($D166="","",raporTarihi-$D166))</f>
        <v/>
      </c>
      <c r="P166" s="28">
        <f>IF($A166="","",IF($O166="","",IF($O166&lt;=7,"0-7",IF($O166&lt;=30,"8-30",IF($O166&lt;=60,"31-60","60+")))))</f>
        <v/>
      </c>
      <c r="Q166" s="28">
        <f>IF($A166="","",IF($B166="","YETİM",IF(COUNTIF(tblKartlar[KartId],$B166)=0,"YETİM","")))</f>
        <v/>
      </c>
      <c r="R166" s="28">
        <f>IF(OR($A166="",$E166=""),"",IF(OR($E166&amp;"|"&amp;$F166="",COUNTIF(ListeIzinliGecis,$E166&amp;"|"&amp;$F166)&gt;0),"","GEÇERSİZ GEÇİŞ"))</f>
        <v/>
      </c>
      <c r="S166" s="28">
        <f>IF($A166="","",IF(OR($G166="",$I166=""),"",IF(ABS($I166-$G166)&gt;zincirTolerans,"ZİNCİR KIRIK","OK")))</f>
        <v/>
      </c>
      <c r="T166" s="28">
        <f>IF($A166="","",1)</f>
        <v/>
      </c>
    </row>
    <row r="167">
      <c r="A167" s="26" t="n"/>
      <c r="B167" s="26" t="n"/>
      <c r="C167" s="26" t="n"/>
      <c r="D167" s="29" t="n"/>
      <c r="E167" s="26" t="n"/>
      <c r="F167" s="26" t="n"/>
      <c r="G167" s="27" t="n"/>
      <c r="H167" s="27" t="n"/>
      <c r="I167" s="27" t="n"/>
      <c r="J167" s="27" t="n"/>
      <c r="K167" s="27" t="n"/>
      <c r="L167" s="27" t="n"/>
      <c r="M167" s="26" t="n"/>
      <c r="N167" s="26" t="n"/>
      <c r="O167" s="28">
        <f>IF($A167="","",IF($D167="","",raporTarihi-$D167))</f>
        <v/>
      </c>
      <c r="P167" s="28">
        <f>IF($A167="","",IF($O167="","",IF($O167&lt;=7,"0-7",IF($O167&lt;=30,"8-30",IF($O167&lt;=60,"31-60","60+")))))</f>
        <v/>
      </c>
      <c r="Q167" s="28">
        <f>IF($A167="","",IF($B167="","YETİM",IF(COUNTIF(tblKartlar[KartId],$B167)=0,"YETİM","")))</f>
        <v/>
      </c>
      <c r="R167" s="28">
        <f>IF(OR($A167="",$E167=""),"",IF(OR($E167&amp;"|"&amp;$F167="",COUNTIF(ListeIzinliGecis,$E167&amp;"|"&amp;$F167)&gt;0),"","GEÇERSİZ GEÇİŞ"))</f>
        <v/>
      </c>
      <c r="S167" s="28">
        <f>IF($A167="","",IF(OR($G167="",$I167=""),"",IF(ABS($I167-$G167)&gt;zincirTolerans,"ZİNCİR KIRIK","OK")))</f>
        <v/>
      </c>
      <c r="T167" s="28">
        <f>IF($A167="","",1)</f>
        <v/>
      </c>
    </row>
    <row r="168">
      <c r="A168" s="26" t="n"/>
      <c r="B168" s="26" t="n"/>
      <c r="C168" s="26" t="n"/>
      <c r="D168" s="29" t="n"/>
      <c r="E168" s="26" t="n"/>
      <c r="F168" s="26" t="n"/>
      <c r="G168" s="27" t="n"/>
      <c r="H168" s="27" t="n"/>
      <c r="I168" s="27" t="n"/>
      <c r="J168" s="27" t="n"/>
      <c r="K168" s="27" t="n"/>
      <c r="L168" s="27" t="n"/>
      <c r="M168" s="26" t="n"/>
      <c r="N168" s="26" t="n"/>
      <c r="O168" s="28">
        <f>IF($A168="","",IF($D168="","",raporTarihi-$D168))</f>
        <v/>
      </c>
      <c r="P168" s="28">
        <f>IF($A168="","",IF($O168="","",IF($O168&lt;=7,"0-7",IF($O168&lt;=30,"8-30",IF($O168&lt;=60,"31-60","60+")))))</f>
        <v/>
      </c>
      <c r="Q168" s="28">
        <f>IF($A168="","",IF($B168="","YETİM",IF(COUNTIF(tblKartlar[KartId],$B168)=0,"YETİM","")))</f>
        <v/>
      </c>
      <c r="R168" s="28">
        <f>IF(OR($A168="",$E168=""),"",IF(OR($E168&amp;"|"&amp;$F168="",COUNTIF(ListeIzinliGecis,$E168&amp;"|"&amp;$F168)&gt;0),"","GEÇERSİZ GEÇİŞ"))</f>
        <v/>
      </c>
      <c r="S168" s="28">
        <f>IF($A168="","",IF(OR($G168="",$I168=""),"",IF(ABS($I168-$G168)&gt;zincirTolerans,"ZİNCİR KIRIK","OK")))</f>
        <v/>
      </c>
      <c r="T168" s="28">
        <f>IF($A168="","",1)</f>
        <v/>
      </c>
    </row>
    <row r="169">
      <c r="A169" s="26" t="n"/>
      <c r="B169" s="26" t="n"/>
      <c r="C169" s="26" t="n"/>
      <c r="D169" s="29" t="n"/>
      <c r="E169" s="26" t="n"/>
      <c r="F169" s="26" t="n"/>
      <c r="G169" s="27" t="n"/>
      <c r="H169" s="27" t="n"/>
      <c r="I169" s="27" t="n"/>
      <c r="J169" s="27" t="n"/>
      <c r="K169" s="27" t="n"/>
      <c r="L169" s="27" t="n"/>
      <c r="M169" s="26" t="n"/>
      <c r="N169" s="26" t="n"/>
      <c r="O169" s="28">
        <f>IF($A169="","",IF($D169="","",raporTarihi-$D169))</f>
        <v/>
      </c>
      <c r="P169" s="28">
        <f>IF($A169="","",IF($O169="","",IF($O169&lt;=7,"0-7",IF($O169&lt;=30,"8-30",IF($O169&lt;=60,"31-60","60+")))))</f>
        <v/>
      </c>
      <c r="Q169" s="28">
        <f>IF($A169="","",IF($B169="","YETİM",IF(COUNTIF(tblKartlar[KartId],$B169)=0,"YETİM","")))</f>
        <v/>
      </c>
      <c r="R169" s="28">
        <f>IF(OR($A169="",$E169=""),"",IF(OR($E169&amp;"|"&amp;$F169="",COUNTIF(ListeIzinliGecis,$E169&amp;"|"&amp;$F169)&gt;0),"","GEÇERSİZ GEÇİŞ"))</f>
        <v/>
      </c>
      <c r="S169" s="28">
        <f>IF($A169="","",IF(OR($G169="",$I169=""),"",IF(ABS($I169-$G169)&gt;zincirTolerans,"ZİNCİR KIRIK","OK")))</f>
        <v/>
      </c>
      <c r="T169" s="28">
        <f>IF($A169="","",1)</f>
        <v/>
      </c>
    </row>
    <row r="170">
      <c r="A170" s="26" t="n"/>
      <c r="B170" s="26" t="n"/>
      <c r="C170" s="26" t="n"/>
      <c r="D170" s="29" t="n"/>
      <c r="E170" s="26" t="n"/>
      <c r="F170" s="26" t="n"/>
      <c r="G170" s="27" t="n"/>
      <c r="H170" s="27" t="n"/>
      <c r="I170" s="27" t="n"/>
      <c r="J170" s="27" t="n"/>
      <c r="K170" s="27" t="n"/>
      <c r="L170" s="27" t="n"/>
      <c r="M170" s="26" t="n"/>
      <c r="N170" s="26" t="n"/>
      <c r="O170" s="28">
        <f>IF($A170="","",IF($D170="","",raporTarihi-$D170))</f>
        <v/>
      </c>
      <c r="P170" s="28">
        <f>IF($A170="","",IF($O170="","",IF($O170&lt;=7,"0-7",IF($O170&lt;=30,"8-30",IF($O170&lt;=60,"31-60","60+")))))</f>
        <v/>
      </c>
      <c r="Q170" s="28">
        <f>IF($A170="","",IF($B170="","YETİM",IF(COUNTIF(tblKartlar[KartId],$B170)=0,"YETİM","")))</f>
        <v/>
      </c>
      <c r="R170" s="28">
        <f>IF(OR($A170="",$E170=""),"",IF(OR($E170&amp;"|"&amp;$F170="",COUNTIF(ListeIzinliGecis,$E170&amp;"|"&amp;$F170)&gt;0),"","GEÇERSİZ GEÇİŞ"))</f>
        <v/>
      </c>
      <c r="S170" s="28">
        <f>IF($A170="","",IF(OR($G170="",$I170=""),"",IF(ABS($I170-$G170)&gt;zincirTolerans,"ZİNCİR KIRIK","OK")))</f>
        <v/>
      </c>
      <c r="T170" s="28">
        <f>IF($A170="","",1)</f>
        <v/>
      </c>
    </row>
    <row r="171">
      <c r="A171" s="26" t="n"/>
      <c r="B171" s="26" t="n"/>
      <c r="C171" s="26" t="n"/>
      <c r="D171" s="29" t="n"/>
      <c r="E171" s="26" t="n"/>
      <c r="F171" s="26" t="n"/>
      <c r="G171" s="27" t="n"/>
      <c r="H171" s="27" t="n"/>
      <c r="I171" s="27" t="n"/>
      <c r="J171" s="27" t="n"/>
      <c r="K171" s="27" t="n"/>
      <c r="L171" s="27" t="n"/>
      <c r="M171" s="26" t="n"/>
      <c r="N171" s="26" t="n"/>
      <c r="O171" s="28">
        <f>IF($A171="","",IF($D171="","",raporTarihi-$D171))</f>
        <v/>
      </c>
      <c r="P171" s="28">
        <f>IF($A171="","",IF($O171="","",IF($O171&lt;=7,"0-7",IF($O171&lt;=30,"8-30",IF($O171&lt;=60,"31-60","60+")))))</f>
        <v/>
      </c>
      <c r="Q171" s="28">
        <f>IF($A171="","",IF($B171="","YETİM",IF(COUNTIF(tblKartlar[KartId],$B171)=0,"YETİM","")))</f>
        <v/>
      </c>
      <c r="R171" s="28">
        <f>IF(OR($A171="",$E171=""),"",IF(OR($E171&amp;"|"&amp;$F171="",COUNTIF(ListeIzinliGecis,$E171&amp;"|"&amp;$F171)&gt;0),"","GEÇERSİZ GEÇİŞ"))</f>
        <v/>
      </c>
      <c r="S171" s="28">
        <f>IF($A171="","",IF(OR($G171="",$I171=""),"",IF(ABS($I171-$G171)&gt;zincirTolerans,"ZİNCİR KIRIK","OK")))</f>
        <v/>
      </c>
      <c r="T171" s="28">
        <f>IF($A171="","",1)</f>
        <v/>
      </c>
    </row>
    <row r="172">
      <c r="A172" s="26" t="n"/>
      <c r="B172" s="26" t="n"/>
      <c r="C172" s="26" t="n"/>
      <c r="D172" s="29" t="n"/>
      <c r="E172" s="26" t="n"/>
      <c r="F172" s="26" t="n"/>
      <c r="G172" s="27" t="n"/>
      <c r="H172" s="27" t="n"/>
      <c r="I172" s="27" t="n"/>
      <c r="J172" s="27" t="n"/>
      <c r="K172" s="27" t="n"/>
      <c r="L172" s="27" t="n"/>
      <c r="M172" s="26" t="n"/>
      <c r="N172" s="26" t="n"/>
      <c r="O172" s="28">
        <f>IF($A172="","",IF($D172="","",raporTarihi-$D172))</f>
        <v/>
      </c>
      <c r="P172" s="28">
        <f>IF($A172="","",IF($O172="","",IF($O172&lt;=7,"0-7",IF($O172&lt;=30,"8-30",IF($O172&lt;=60,"31-60","60+")))))</f>
        <v/>
      </c>
      <c r="Q172" s="28">
        <f>IF($A172="","",IF($B172="","YETİM",IF(COUNTIF(tblKartlar[KartId],$B172)=0,"YETİM","")))</f>
        <v/>
      </c>
      <c r="R172" s="28">
        <f>IF(OR($A172="",$E172=""),"",IF(OR($E172&amp;"|"&amp;$F172="",COUNTIF(ListeIzinliGecis,$E172&amp;"|"&amp;$F172)&gt;0),"","GEÇERSİZ GEÇİŞ"))</f>
        <v/>
      </c>
      <c r="S172" s="28">
        <f>IF($A172="","",IF(OR($G172="",$I172=""),"",IF(ABS($I172-$G172)&gt;zincirTolerans,"ZİNCİR KIRIK","OK")))</f>
        <v/>
      </c>
      <c r="T172" s="28">
        <f>IF($A172="","",1)</f>
        <v/>
      </c>
    </row>
    <row r="173">
      <c r="A173" s="26" t="n"/>
      <c r="B173" s="26" t="n"/>
      <c r="C173" s="26" t="n"/>
      <c r="D173" s="29" t="n"/>
      <c r="E173" s="26" t="n"/>
      <c r="F173" s="26" t="n"/>
      <c r="G173" s="27" t="n"/>
      <c r="H173" s="27" t="n"/>
      <c r="I173" s="27" t="n"/>
      <c r="J173" s="27" t="n"/>
      <c r="K173" s="27" t="n"/>
      <c r="L173" s="27" t="n"/>
      <c r="M173" s="26" t="n"/>
      <c r="N173" s="26" t="n"/>
      <c r="O173" s="28">
        <f>IF($A173="","",IF($D173="","",raporTarihi-$D173))</f>
        <v/>
      </c>
      <c r="P173" s="28">
        <f>IF($A173="","",IF($O173="","",IF($O173&lt;=7,"0-7",IF($O173&lt;=30,"8-30",IF($O173&lt;=60,"31-60","60+")))))</f>
        <v/>
      </c>
      <c r="Q173" s="28">
        <f>IF($A173="","",IF($B173="","YETİM",IF(COUNTIF(tblKartlar[KartId],$B173)=0,"YETİM","")))</f>
        <v/>
      </c>
      <c r="R173" s="28">
        <f>IF(OR($A173="",$E173=""),"",IF(OR($E173&amp;"|"&amp;$F173="",COUNTIF(ListeIzinliGecis,$E173&amp;"|"&amp;$F173)&gt;0),"","GEÇERSİZ GEÇİŞ"))</f>
        <v/>
      </c>
      <c r="S173" s="28">
        <f>IF($A173="","",IF(OR($G173="",$I173=""),"",IF(ABS($I173-$G173)&gt;zincirTolerans,"ZİNCİR KIRIK","OK")))</f>
        <v/>
      </c>
      <c r="T173" s="28">
        <f>IF($A173="","",1)</f>
        <v/>
      </c>
    </row>
    <row r="174">
      <c r="A174" s="26" t="n"/>
      <c r="B174" s="26" t="n"/>
      <c r="C174" s="26" t="n"/>
      <c r="D174" s="29" t="n"/>
      <c r="E174" s="26" t="n"/>
      <c r="F174" s="26" t="n"/>
      <c r="G174" s="27" t="n"/>
      <c r="H174" s="27" t="n"/>
      <c r="I174" s="27" t="n"/>
      <c r="J174" s="27" t="n"/>
      <c r="K174" s="27" t="n"/>
      <c r="L174" s="27" t="n"/>
      <c r="M174" s="26" t="n"/>
      <c r="N174" s="26" t="n"/>
      <c r="O174" s="28">
        <f>IF($A174="","",IF($D174="","",raporTarihi-$D174))</f>
        <v/>
      </c>
      <c r="P174" s="28">
        <f>IF($A174="","",IF($O174="","",IF($O174&lt;=7,"0-7",IF($O174&lt;=30,"8-30",IF($O174&lt;=60,"31-60","60+")))))</f>
        <v/>
      </c>
      <c r="Q174" s="28">
        <f>IF($A174="","",IF($B174="","YETİM",IF(COUNTIF(tblKartlar[KartId],$B174)=0,"YETİM","")))</f>
        <v/>
      </c>
      <c r="R174" s="28">
        <f>IF(OR($A174="",$E174=""),"",IF(OR($E174&amp;"|"&amp;$F174="",COUNTIF(ListeIzinliGecis,$E174&amp;"|"&amp;$F174)&gt;0),"","GEÇERSİZ GEÇİŞ"))</f>
        <v/>
      </c>
      <c r="S174" s="28">
        <f>IF($A174="","",IF(OR($G174="",$I174=""),"",IF(ABS($I174-$G174)&gt;zincirTolerans,"ZİNCİR KIRIK","OK")))</f>
        <v/>
      </c>
      <c r="T174" s="28">
        <f>IF($A174="","",1)</f>
        <v/>
      </c>
    </row>
    <row r="175">
      <c r="A175" s="26" t="n"/>
      <c r="B175" s="26" t="n"/>
      <c r="C175" s="26" t="n"/>
      <c r="D175" s="29" t="n"/>
      <c r="E175" s="26" t="n"/>
      <c r="F175" s="26" t="n"/>
      <c r="G175" s="27" t="n"/>
      <c r="H175" s="27" t="n"/>
      <c r="I175" s="27" t="n"/>
      <c r="J175" s="27" t="n"/>
      <c r="K175" s="27" t="n"/>
      <c r="L175" s="27" t="n"/>
      <c r="M175" s="26" t="n"/>
      <c r="N175" s="26" t="n"/>
      <c r="O175" s="28">
        <f>IF($A175="","",IF($D175="","",raporTarihi-$D175))</f>
        <v/>
      </c>
      <c r="P175" s="28">
        <f>IF($A175="","",IF($O175="","",IF($O175&lt;=7,"0-7",IF($O175&lt;=30,"8-30",IF($O175&lt;=60,"31-60","60+")))))</f>
        <v/>
      </c>
      <c r="Q175" s="28">
        <f>IF($A175="","",IF($B175="","YETİM",IF(COUNTIF(tblKartlar[KartId],$B175)=0,"YETİM","")))</f>
        <v/>
      </c>
      <c r="R175" s="28">
        <f>IF(OR($A175="",$E175=""),"",IF(OR($E175&amp;"|"&amp;$F175="",COUNTIF(ListeIzinliGecis,$E175&amp;"|"&amp;$F175)&gt;0),"","GEÇERSİZ GEÇİŞ"))</f>
        <v/>
      </c>
      <c r="S175" s="28">
        <f>IF($A175="","",IF(OR($G175="",$I175=""),"",IF(ABS($I175-$G175)&gt;zincirTolerans,"ZİNCİR KIRIK","OK")))</f>
        <v/>
      </c>
      <c r="T175" s="28">
        <f>IF($A175="","",1)</f>
        <v/>
      </c>
    </row>
    <row r="176">
      <c r="A176" s="26" t="n"/>
      <c r="B176" s="26" t="n"/>
      <c r="C176" s="26" t="n"/>
      <c r="D176" s="29" t="n"/>
      <c r="E176" s="26" t="n"/>
      <c r="F176" s="26" t="n"/>
      <c r="G176" s="27" t="n"/>
      <c r="H176" s="27" t="n"/>
      <c r="I176" s="27" t="n"/>
      <c r="J176" s="27" t="n"/>
      <c r="K176" s="27" t="n"/>
      <c r="L176" s="27" t="n"/>
      <c r="M176" s="26" t="n"/>
      <c r="N176" s="26" t="n"/>
      <c r="O176" s="28">
        <f>IF($A176="","",IF($D176="","",raporTarihi-$D176))</f>
        <v/>
      </c>
      <c r="P176" s="28">
        <f>IF($A176="","",IF($O176="","",IF($O176&lt;=7,"0-7",IF($O176&lt;=30,"8-30",IF($O176&lt;=60,"31-60","60+")))))</f>
        <v/>
      </c>
      <c r="Q176" s="28">
        <f>IF($A176="","",IF($B176="","YETİM",IF(COUNTIF(tblKartlar[KartId],$B176)=0,"YETİM","")))</f>
        <v/>
      </c>
      <c r="R176" s="28">
        <f>IF(OR($A176="",$E176=""),"",IF(OR($E176&amp;"|"&amp;$F176="",COUNTIF(ListeIzinliGecis,$E176&amp;"|"&amp;$F176)&gt;0),"","GEÇERSİZ GEÇİŞ"))</f>
        <v/>
      </c>
      <c r="S176" s="28">
        <f>IF($A176="","",IF(OR($G176="",$I176=""),"",IF(ABS($I176-$G176)&gt;zincirTolerans,"ZİNCİR KIRIK","OK")))</f>
        <v/>
      </c>
      <c r="T176" s="28">
        <f>IF($A176="","",1)</f>
        <v/>
      </c>
    </row>
    <row r="177">
      <c r="A177" s="26" t="n"/>
      <c r="B177" s="26" t="n"/>
      <c r="C177" s="26" t="n"/>
      <c r="D177" s="29" t="n"/>
      <c r="E177" s="26" t="n"/>
      <c r="F177" s="26" t="n"/>
      <c r="G177" s="27" t="n"/>
      <c r="H177" s="27" t="n"/>
      <c r="I177" s="27" t="n"/>
      <c r="J177" s="27" t="n"/>
      <c r="K177" s="27" t="n"/>
      <c r="L177" s="27" t="n"/>
      <c r="M177" s="26" t="n"/>
      <c r="N177" s="26" t="n"/>
      <c r="O177" s="28">
        <f>IF($A177="","",IF($D177="","",raporTarihi-$D177))</f>
        <v/>
      </c>
      <c r="P177" s="28">
        <f>IF($A177="","",IF($O177="","",IF($O177&lt;=7,"0-7",IF($O177&lt;=30,"8-30",IF($O177&lt;=60,"31-60","60+")))))</f>
        <v/>
      </c>
      <c r="Q177" s="28">
        <f>IF($A177="","",IF($B177="","YETİM",IF(COUNTIF(tblKartlar[KartId],$B177)=0,"YETİM","")))</f>
        <v/>
      </c>
      <c r="R177" s="28">
        <f>IF(OR($A177="",$E177=""),"",IF(OR($E177&amp;"|"&amp;$F177="",COUNTIF(ListeIzinliGecis,$E177&amp;"|"&amp;$F177)&gt;0),"","GEÇERSİZ GEÇİŞ"))</f>
        <v/>
      </c>
      <c r="S177" s="28">
        <f>IF($A177="","",IF(OR($G177="",$I177=""),"",IF(ABS($I177-$G177)&gt;zincirTolerans,"ZİNCİR KIRIK","OK")))</f>
        <v/>
      </c>
      <c r="T177" s="28">
        <f>IF($A177="","",1)</f>
        <v/>
      </c>
    </row>
    <row r="178">
      <c r="A178" s="26" t="n"/>
      <c r="B178" s="26" t="n"/>
      <c r="C178" s="26" t="n"/>
      <c r="D178" s="29" t="n"/>
      <c r="E178" s="26" t="n"/>
      <c r="F178" s="26" t="n"/>
      <c r="G178" s="27" t="n"/>
      <c r="H178" s="27" t="n"/>
      <c r="I178" s="27" t="n"/>
      <c r="J178" s="27" t="n"/>
      <c r="K178" s="27" t="n"/>
      <c r="L178" s="27" t="n"/>
      <c r="M178" s="26" t="n"/>
      <c r="N178" s="26" t="n"/>
      <c r="O178" s="28">
        <f>IF($A178="","",IF($D178="","",raporTarihi-$D178))</f>
        <v/>
      </c>
      <c r="P178" s="28">
        <f>IF($A178="","",IF($O178="","",IF($O178&lt;=7,"0-7",IF($O178&lt;=30,"8-30",IF($O178&lt;=60,"31-60","60+")))))</f>
        <v/>
      </c>
      <c r="Q178" s="28">
        <f>IF($A178="","",IF($B178="","YETİM",IF(COUNTIF(tblKartlar[KartId],$B178)=0,"YETİM","")))</f>
        <v/>
      </c>
      <c r="R178" s="28">
        <f>IF(OR($A178="",$E178=""),"",IF(OR($E178&amp;"|"&amp;$F178="",COUNTIF(ListeIzinliGecis,$E178&amp;"|"&amp;$F178)&gt;0),"","GEÇERSİZ GEÇİŞ"))</f>
        <v/>
      </c>
      <c r="S178" s="28">
        <f>IF($A178="","",IF(OR($G178="",$I178=""),"",IF(ABS($I178-$G178)&gt;zincirTolerans,"ZİNCİR KIRIK","OK")))</f>
        <v/>
      </c>
      <c r="T178" s="28">
        <f>IF($A178="","",1)</f>
        <v/>
      </c>
    </row>
    <row r="179">
      <c r="A179" s="26" t="n"/>
      <c r="B179" s="26" t="n"/>
      <c r="C179" s="26" t="n"/>
      <c r="D179" s="29" t="n"/>
      <c r="E179" s="26" t="n"/>
      <c r="F179" s="26" t="n"/>
      <c r="G179" s="27" t="n"/>
      <c r="H179" s="27" t="n"/>
      <c r="I179" s="27" t="n"/>
      <c r="J179" s="27" t="n"/>
      <c r="K179" s="27" t="n"/>
      <c r="L179" s="27" t="n"/>
      <c r="M179" s="26" t="n"/>
      <c r="N179" s="26" t="n"/>
      <c r="O179" s="28">
        <f>IF($A179="","",IF($D179="","",raporTarihi-$D179))</f>
        <v/>
      </c>
      <c r="P179" s="28">
        <f>IF($A179="","",IF($O179="","",IF($O179&lt;=7,"0-7",IF($O179&lt;=30,"8-30",IF($O179&lt;=60,"31-60","60+")))))</f>
        <v/>
      </c>
      <c r="Q179" s="28">
        <f>IF($A179="","",IF($B179="","YETİM",IF(COUNTIF(tblKartlar[KartId],$B179)=0,"YETİM","")))</f>
        <v/>
      </c>
      <c r="R179" s="28">
        <f>IF(OR($A179="",$E179=""),"",IF(OR($E179&amp;"|"&amp;$F179="",COUNTIF(ListeIzinliGecis,$E179&amp;"|"&amp;$F179)&gt;0),"","GEÇERSİZ GEÇİŞ"))</f>
        <v/>
      </c>
      <c r="S179" s="28">
        <f>IF($A179="","",IF(OR($G179="",$I179=""),"",IF(ABS($I179-$G179)&gt;zincirTolerans,"ZİNCİR KIRIK","OK")))</f>
        <v/>
      </c>
      <c r="T179" s="28">
        <f>IF($A179="","",1)</f>
        <v/>
      </c>
    </row>
    <row r="180">
      <c r="A180" s="26" t="n"/>
      <c r="B180" s="26" t="n"/>
      <c r="C180" s="26" t="n"/>
      <c r="D180" s="29" t="n"/>
      <c r="E180" s="26" t="n"/>
      <c r="F180" s="26" t="n"/>
      <c r="G180" s="27" t="n"/>
      <c r="H180" s="27" t="n"/>
      <c r="I180" s="27" t="n"/>
      <c r="J180" s="27" t="n"/>
      <c r="K180" s="27" t="n"/>
      <c r="L180" s="27" t="n"/>
      <c r="M180" s="26" t="n"/>
      <c r="N180" s="26" t="n"/>
      <c r="O180" s="28">
        <f>IF($A180="","",IF($D180="","",raporTarihi-$D180))</f>
        <v/>
      </c>
      <c r="P180" s="28">
        <f>IF($A180="","",IF($O180="","",IF($O180&lt;=7,"0-7",IF($O180&lt;=30,"8-30",IF($O180&lt;=60,"31-60","60+")))))</f>
        <v/>
      </c>
      <c r="Q180" s="28">
        <f>IF($A180="","",IF($B180="","YETİM",IF(COUNTIF(tblKartlar[KartId],$B180)=0,"YETİM","")))</f>
        <v/>
      </c>
      <c r="R180" s="28">
        <f>IF(OR($A180="",$E180=""),"",IF(OR($E180&amp;"|"&amp;$F180="",COUNTIF(ListeIzinliGecis,$E180&amp;"|"&amp;$F180)&gt;0),"","GEÇERSİZ GEÇİŞ"))</f>
        <v/>
      </c>
      <c r="S180" s="28">
        <f>IF($A180="","",IF(OR($G180="",$I180=""),"",IF(ABS($I180-$G180)&gt;zincirTolerans,"ZİNCİR KIRIK","OK")))</f>
        <v/>
      </c>
      <c r="T180" s="28">
        <f>IF($A180="","",1)</f>
        <v/>
      </c>
    </row>
    <row r="181">
      <c r="A181" s="26" t="n"/>
      <c r="B181" s="26" t="n"/>
      <c r="C181" s="26" t="n"/>
      <c r="D181" s="29" t="n"/>
      <c r="E181" s="26" t="n"/>
      <c r="F181" s="26" t="n"/>
      <c r="G181" s="27" t="n"/>
      <c r="H181" s="27" t="n"/>
      <c r="I181" s="27" t="n"/>
      <c r="J181" s="27" t="n"/>
      <c r="K181" s="27" t="n"/>
      <c r="L181" s="27" t="n"/>
      <c r="M181" s="26" t="n"/>
      <c r="N181" s="26" t="n"/>
      <c r="O181" s="28">
        <f>IF($A181="","",IF($D181="","",raporTarihi-$D181))</f>
        <v/>
      </c>
      <c r="P181" s="28">
        <f>IF($A181="","",IF($O181="","",IF($O181&lt;=7,"0-7",IF($O181&lt;=30,"8-30",IF($O181&lt;=60,"31-60","60+")))))</f>
        <v/>
      </c>
      <c r="Q181" s="28">
        <f>IF($A181="","",IF($B181="","YETİM",IF(COUNTIF(tblKartlar[KartId],$B181)=0,"YETİM","")))</f>
        <v/>
      </c>
      <c r="R181" s="28">
        <f>IF(OR($A181="",$E181=""),"",IF(OR($E181&amp;"|"&amp;$F181="",COUNTIF(ListeIzinliGecis,$E181&amp;"|"&amp;$F181)&gt;0),"","GEÇERSİZ GEÇİŞ"))</f>
        <v/>
      </c>
      <c r="S181" s="28">
        <f>IF($A181="","",IF(OR($G181="",$I181=""),"",IF(ABS($I181-$G181)&gt;zincirTolerans,"ZİNCİR KIRIK","OK")))</f>
        <v/>
      </c>
      <c r="T181" s="28">
        <f>IF($A181="","",1)</f>
        <v/>
      </c>
    </row>
    <row r="182">
      <c r="A182" s="26" t="n"/>
      <c r="B182" s="26" t="n"/>
      <c r="C182" s="26" t="n"/>
      <c r="D182" s="29" t="n"/>
      <c r="E182" s="26" t="n"/>
      <c r="F182" s="26" t="n"/>
      <c r="G182" s="27" t="n"/>
      <c r="H182" s="27" t="n"/>
      <c r="I182" s="27" t="n"/>
      <c r="J182" s="27" t="n"/>
      <c r="K182" s="27" t="n"/>
      <c r="L182" s="27" t="n"/>
      <c r="M182" s="26" t="n"/>
      <c r="N182" s="26" t="n"/>
      <c r="O182" s="28">
        <f>IF($A182="","",IF($D182="","",raporTarihi-$D182))</f>
        <v/>
      </c>
      <c r="P182" s="28">
        <f>IF($A182="","",IF($O182="","",IF($O182&lt;=7,"0-7",IF($O182&lt;=30,"8-30",IF($O182&lt;=60,"31-60","60+")))))</f>
        <v/>
      </c>
      <c r="Q182" s="28">
        <f>IF($A182="","",IF($B182="","YETİM",IF(COUNTIF(tblKartlar[KartId],$B182)=0,"YETİM","")))</f>
        <v/>
      </c>
      <c r="R182" s="28">
        <f>IF(OR($A182="",$E182=""),"",IF(OR($E182&amp;"|"&amp;$F182="",COUNTIF(ListeIzinliGecis,$E182&amp;"|"&amp;$F182)&gt;0),"","GEÇERSİZ GEÇİŞ"))</f>
        <v/>
      </c>
      <c r="S182" s="28">
        <f>IF($A182="","",IF(OR($G182="",$I182=""),"",IF(ABS($I182-$G182)&gt;zincirTolerans,"ZİNCİR KIRIK","OK")))</f>
        <v/>
      </c>
      <c r="T182" s="28">
        <f>IF($A182="","",1)</f>
        <v/>
      </c>
    </row>
    <row r="183">
      <c r="A183" s="26" t="n"/>
      <c r="B183" s="26" t="n"/>
      <c r="C183" s="26" t="n"/>
      <c r="D183" s="29" t="n"/>
      <c r="E183" s="26" t="n"/>
      <c r="F183" s="26" t="n"/>
      <c r="G183" s="27" t="n"/>
      <c r="H183" s="27" t="n"/>
      <c r="I183" s="27" t="n"/>
      <c r="J183" s="27" t="n"/>
      <c r="K183" s="27" t="n"/>
      <c r="L183" s="27" t="n"/>
      <c r="M183" s="26" t="n"/>
      <c r="N183" s="26" t="n"/>
      <c r="O183" s="28">
        <f>IF($A183="","",IF($D183="","",raporTarihi-$D183))</f>
        <v/>
      </c>
      <c r="P183" s="28">
        <f>IF($A183="","",IF($O183="","",IF($O183&lt;=7,"0-7",IF($O183&lt;=30,"8-30",IF($O183&lt;=60,"31-60","60+")))))</f>
        <v/>
      </c>
      <c r="Q183" s="28">
        <f>IF($A183="","",IF($B183="","YETİM",IF(COUNTIF(tblKartlar[KartId],$B183)=0,"YETİM","")))</f>
        <v/>
      </c>
      <c r="R183" s="28">
        <f>IF(OR($A183="",$E183=""),"",IF(OR($E183&amp;"|"&amp;$F183="",COUNTIF(ListeIzinliGecis,$E183&amp;"|"&amp;$F183)&gt;0),"","GEÇERSİZ GEÇİŞ"))</f>
        <v/>
      </c>
      <c r="S183" s="28">
        <f>IF($A183="","",IF(OR($G183="",$I183=""),"",IF(ABS($I183-$G183)&gt;zincirTolerans,"ZİNCİR KIRIK","OK")))</f>
        <v/>
      </c>
      <c r="T183" s="28">
        <f>IF($A183="","",1)</f>
        <v/>
      </c>
    </row>
    <row r="184">
      <c r="A184" s="26" t="n"/>
      <c r="B184" s="26" t="n"/>
      <c r="C184" s="26" t="n"/>
      <c r="D184" s="29" t="n"/>
      <c r="E184" s="26" t="n"/>
      <c r="F184" s="26" t="n"/>
      <c r="G184" s="27" t="n"/>
      <c r="H184" s="27" t="n"/>
      <c r="I184" s="27" t="n"/>
      <c r="J184" s="27" t="n"/>
      <c r="K184" s="27" t="n"/>
      <c r="L184" s="27" t="n"/>
      <c r="M184" s="26" t="n"/>
      <c r="N184" s="26" t="n"/>
      <c r="O184" s="28">
        <f>IF($A184="","",IF($D184="","",raporTarihi-$D184))</f>
        <v/>
      </c>
      <c r="P184" s="28">
        <f>IF($A184="","",IF($O184="","",IF($O184&lt;=7,"0-7",IF($O184&lt;=30,"8-30",IF($O184&lt;=60,"31-60","60+")))))</f>
        <v/>
      </c>
      <c r="Q184" s="28">
        <f>IF($A184="","",IF($B184="","YETİM",IF(COUNTIF(tblKartlar[KartId],$B184)=0,"YETİM","")))</f>
        <v/>
      </c>
      <c r="R184" s="28">
        <f>IF(OR($A184="",$E184=""),"",IF(OR($E184&amp;"|"&amp;$F184="",COUNTIF(ListeIzinliGecis,$E184&amp;"|"&amp;$F184)&gt;0),"","GEÇERSİZ GEÇİŞ"))</f>
        <v/>
      </c>
      <c r="S184" s="28">
        <f>IF($A184="","",IF(OR($G184="",$I184=""),"",IF(ABS($I184-$G184)&gt;zincirTolerans,"ZİNCİR KIRIK","OK")))</f>
        <v/>
      </c>
      <c r="T184" s="28">
        <f>IF($A184="","",1)</f>
        <v/>
      </c>
    </row>
    <row r="185">
      <c r="A185" s="26" t="n"/>
      <c r="B185" s="26" t="n"/>
      <c r="C185" s="26" t="n"/>
      <c r="D185" s="29" t="n"/>
      <c r="E185" s="26" t="n"/>
      <c r="F185" s="26" t="n"/>
      <c r="G185" s="27" t="n"/>
      <c r="H185" s="27" t="n"/>
      <c r="I185" s="27" t="n"/>
      <c r="J185" s="27" t="n"/>
      <c r="K185" s="27" t="n"/>
      <c r="L185" s="27" t="n"/>
      <c r="M185" s="26" t="n"/>
      <c r="N185" s="26" t="n"/>
      <c r="O185" s="28">
        <f>IF($A185="","",IF($D185="","",raporTarihi-$D185))</f>
        <v/>
      </c>
      <c r="P185" s="28">
        <f>IF($A185="","",IF($O185="","",IF($O185&lt;=7,"0-7",IF($O185&lt;=30,"8-30",IF($O185&lt;=60,"31-60","60+")))))</f>
        <v/>
      </c>
      <c r="Q185" s="28">
        <f>IF($A185="","",IF($B185="","YETİM",IF(COUNTIF(tblKartlar[KartId],$B185)=0,"YETİM","")))</f>
        <v/>
      </c>
      <c r="R185" s="28">
        <f>IF(OR($A185="",$E185=""),"",IF(OR($E185&amp;"|"&amp;$F185="",COUNTIF(ListeIzinliGecis,$E185&amp;"|"&amp;$F185)&gt;0),"","GEÇERSİZ GEÇİŞ"))</f>
        <v/>
      </c>
      <c r="S185" s="28">
        <f>IF($A185="","",IF(OR($G185="",$I185=""),"",IF(ABS($I185-$G185)&gt;zincirTolerans,"ZİNCİR KIRIK","OK")))</f>
        <v/>
      </c>
      <c r="T185" s="28">
        <f>IF($A185="","",1)</f>
        <v/>
      </c>
    </row>
    <row r="186">
      <c r="A186" s="26" t="n"/>
      <c r="B186" s="26" t="n"/>
      <c r="C186" s="26" t="n"/>
      <c r="D186" s="29" t="n"/>
      <c r="E186" s="26" t="n"/>
      <c r="F186" s="26" t="n"/>
      <c r="G186" s="27" t="n"/>
      <c r="H186" s="27" t="n"/>
      <c r="I186" s="27" t="n"/>
      <c r="J186" s="27" t="n"/>
      <c r="K186" s="27" t="n"/>
      <c r="L186" s="27" t="n"/>
      <c r="M186" s="26" t="n"/>
      <c r="N186" s="26" t="n"/>
      <c r="O186" s="28">
        <f>IF($A186="","",IF($D186="","",raporTarihi-$D186))</f>
        <v/>
      </c>
      <c r="P186" s="28">
        <f>IF($A186="","",IF($O186="","",IF($O186&lt;=7,"0-7",IF($O186&lt;=30,"8-30",IF($O186&lt;=60,"31-60","60+")))))</f>
        <v/>
      </c>
      <c r="Q186" s="28">
        <f>IF($A186="","",IF($B186="","YETİM",IF(COUNTIF(tblKartlar[KartId],$B186)=0,"YETİM","")))</f>
        <v/>
      </c>
      <c r="R186" s="28">
        <f>IF(OR($A186="",$E186=""),"",IF(OR($E186&amp;"|"&amp;$F186="",COUNTIF(ListeIzinliGecis,$E186&amp;"|"&amp;$F186)&gt;0),"","GEÇERSİZ GEÇİŞ"))</f>
        <v/>
      </c>
      <c r="S186" s="28">
        <f>IF($A186="","",IF(OR($G186="",$I186=""),"",IF(ABS($I186-$G186)&gt;zincirTolerans,"ZİNCİR KIRIK","OK")))</f>
        <v/>
      </c>
      <c r="T186" s="28">
        <f>IF($A186="","",1)</f>
        <v/>
      </c>
    </row>
    <row r="187">
      <c r="A187" s="26" t="n"/>
      <c r="B187" s="26" t="n"/>
      <c r="C187" s="26" t="n"/>
      <c r="D187" s="29" t="n"/>
      <c r="E187" s="26" t="n"/>
      <c r="F187" s="26" t="n"/>
      <c r="G187" s="27" t="n"/>
      <c r="H187" s="27" t="n"/>
      <c r="I187" s="27" t="n"/>
      <c r="J187" s="27" t="n"/>
      <c r="K187" s="27" t="n"/>
      <c r="L187" s="27" t="n"/>
      <c r="M187" s="26" t="n"/>
      <c r="N187" s="26" t="n"/>
      <c r="O187" s="28">
        <f>IF($A187="","",IF($D187="","",raporTarihi-$D187))</f>
        <v/>
      </c>
      <c r="P187" s="28">
        <f>IF($A187="","",IF($O187="","",IF($O187&lt;=7,"0-7",IF($O187&lt;=30,"8-30",IF($O187&lt;=60,"31-60","60+")))))</f>
        <v/>
      </c>
      <c r="Q187" s="28">
        <f>IF($A187="","",IF($B187="","YETİM",IF(COUNTIF(tblKartlar[KartId],$B187)=0,"YETİM","")))</f>
        <v/>
      </c>
      <c r="R187" s="28">
        <f>IF(OR($A187="",$E187=""),"",IF(OR($E187&amp;"|"&amp;$F187="",COUNTIF(ListeIzinliGecis,$E187&amp;"|"&amp;$F187)&gt;0),"","GEÇERSİZ GEÇİŞ"))</f>
        <v/>
      </c>
      <c r="S187" s="28">
        <f>IF($A187="","",IF(OR($G187="",$I187=""),"",IF(ABS($I187-$G187)&gt;zincirTolerans,"ZİNCİR KIRIK","OK")))</f>
        <v/>
      </c>
      <c r="T187" s="28">
        <f>IF($A187="","",1)</f>
        <v/>
      </c>
    </row>
    <row r="188">
      <c r="A188" s="26" t="n"/>
      <c r="B188" s="26" t="n"/>
      <c r="C188" s="26" t="n"/>
      <c r="D188" s="29" t="n"/>
      <c r="E188" s="26" t="n"/>
      <c r="F188" s="26" t="n"/>
      <c r="G188" s="27" t="n"/>
      <c r="H188" s="27" t="n"/>
      <c r="I188" s="27" t="n"/>
      <c r="J188" s="27" t="n"/>
      <c r="K188" s="27" t="n"/>
      <c r="L188" s="27" t="n"/>
      <c r="M188" s="26" t="n"/>
      <c r="N188" s="26" t="n"/>
      <c r="O188" s="28">
        <f>IF($A188="","",IF($D188="","",raporTarihi-$D188))</f>
        <v/>
      </c>
      <c r="P188" s="28">
        <f>IF($A188="","",IF($O188="","",IF($O188&lt;=7,"0-7",IF($O188&lt;=30,"8-30",IF($O188&lt;=60,"31-60","60+")))))</f>
        <v/>
      </c>
      <c r="Q188" s="28">
        <f>IF($A188="","",IF($B188="","YETİM",IF(COUNTIF(tblKartlar[KartId],$B188)=0,"YETİM","")))</f>
        <v/>
      </c>
      <c r="R188" s="28">
        <f>IF(OR($A188="",$E188=""),"",IF(OR($E188&amp;"|"&amp;$F188="",COUNTIF(ListeIzinliGecis,$E188&amp;"|"&amp;$F188)&gt;0),"","GEÇERSİZ GEÇİŞ"))</f>
        <v/>
      </c>
      <c r="S188" s="28">
        <f>IF($A188="","",IF(OR($G188="",$I188=""),"",IF(ABS($I188-$G188)&gt;zincirTolerans,"ZİNCİR KIRIK","OK")))</f>
        <v/>
      </c>
      <c r="T188" s="28">
        <f>IF($A188="","",1)</f>
        <v/>
      </c>
    </row>
    <row r="189">
      <c r="A189" s="26" t="n"/>
      <c r="B189" s="26" t="n"/>
      <c r="C189" s="26" t="n"/>
      <c r="D189" s="29" t="n"/>
      <c r="E189" s="26" t="n"/>
      <c r="F189" s="26" t="n"/>
      <c r="G189" s="27" t="n"/>
      <c r="H189" s="27" t="n"/>
      <c r="I189" s="27" t="n"/>
      <c r="J189" s="27" t="n"/>
      <c r="K189" s="27" t="n"/>
      <c r="L189" s="27" t="n"/>
      <c r="M189" s="26" t="n"/>
      <c r="N189" s="26" t="n"/>
      <c r="O189" s="28">
        <f>IF($A189="","",IF($D189="","",raporTarihi-$D189))</f>
        <v/>
      </c>
      <c r="P189" s="28">
        <f>IF($A189="","",IF($O189="","",IF($O189&lt;=7,"0-7",IF($O189&lt;=30,"8-30",IF($O189&lt;=60,"31-60","60+")))))</f>
        <v/>
      </c>
      <c r="Q189" s="28">
        <f>IF($A189="","",IF($B189="","YETİM",IF(COUNTIF(tblKartlar[KartId],$B189)=0,"YETİM","")))</f>
        <v/>
      </c>
      <c r="R189" s="28">
        <f>IF(OR($A189="",$E189=""),"",IF(OR($E189&amp;"|"&amp;$F189="",COUNTIF(ListeIzinliGecis,$E189&amp;"|"&amp;$F189)&gt;0),"","GEÇERSİZ GEÇİŞ"))</f>
        <v/>
      </c>
      <c r="S189" s="28">
        <f>IF($A189="","",IF(OR($G189="",$I189=""),"",IF(ABS($I189-$G189)&gt;zincirTolerans,"ZİNCİR KIRIK","OK")))</f>
        <v/>
      </c>
      <c r="T189" s="28">
        <f>IF($A189="","",1)</f>
        <v/>
      </c>
    </row>
    <row r="190">
      <c r="A190" s="26" t="n"/>
      <c r="B190" s="26" t="n"/>
      <c r="C190" s="26" t="n"/>
      <c r="D190" s="29" t="n"/>
      <c r="E190" s="26" t="n"/>
      <c r="F190" s="26" t="n"/>
      <c r="G190" s="27" t="n"/>
      <c r="H190" s="27" t="n"/>
      <c r="I190" s="27" t="n"/>
      <c r="J190" s="27" t="n"/>
      <c r="K190" s="27" t="n"/>
      <c r="L190" s="27" t="n"/>
      <c r="M190" s="26" t="n"/>
      <c r="N190" s="26" t="n"/>
      <c r="O190" s="28">
        <f>IF($A190="","",IF($D190="","",raporTarihi-$D190))</f>
        <v/>
      </c>
      <c r="P190" s="28">
        <f>IF($A190="","",IF($O190="","",IF($O190&lt;=7,"0-7",IF($O190&lt;=30,"8-30",IF($O190&lt;=60,"31-60","60+")))))</f>
        <v/>
      </c>
      <c r="Q190" s="28">
        <f>IF($A190="","",IF($B190="","YETİM",IF(COUNTIF(tblKartlar[KartId],$B190)=0,"YETİM","")))</f>
        <v/>
      </c>
      <c r="R190" s="28">
        <f>IF(OR($A190="",$E190=""),"",IF(OR($E190&amp;"|"&amp;$F190="",COUNTIF(ListeIzinliGecis,$E190&amp;"|"&amp;$F190)&gt;0),"","GEÇERSİZ GEÇİŞ"))</f>
        <v/>
      </c>
      <c r="S190" s="28">
        <f>IF($A190="","",IF(OR($G190="",$I190=""),"",IF(ABS($I190-$G190)&gt;zincirTolerans,"ZİNCİR KIRIK","OK")))</f>
        <v/>
      </c>
      <c r="T190" s="28">
        <f>IF($A190="","",1)</f>
        <v/>
      </c>
    </row>
    <row r="191">
      <c r="A191" s="26" t="n"/>
      <c r="B191" s="26" t="n"/>
      <c r="C191" s="26" t="n"/>
      <c r="D191" s="29" t="n"/>
      <c r="E191" s="26" t="n"/>
      <c r="F191" s="26" t="n"/>
      <c r="G191" s="27" t="n"/>
      <c r="H191" s="27" t="n"/>
      <c r="I191" s="27" t="n"/>
      <c r="J191" s="27" t="n"/>
      <c r="K191" s="27" t="n"/>
      <c r="L191" s="27" t="n"/>
      <c r="M191" s="26" t="n"/>
      <c r="N191" s="26" t="n"/>
      <c r="O191" s="28">
        <f>IF($A191="","",IF($D191="","",raporTarihi-$D191))</f>
        <v/>
      </c>
      <c r="P191" s="28">
        <f>IF($A191="","",IF($O191="","",IF($O191&lt;=7,"0-7",IF($O191&lt;=30,"8-30",IF($O191&lt;=60,"31-60","60+")))))</f>
        <v/>
      </c>
      <c r="Q191" s="28">
        <f>IF($A191="","",IF($B191="","YETİM",IF(COUNTIF(tblKartlar[KartId],$B191)=0,"YETİM","")))</f>
        <v/>
      </c>
      <c r="R191" s="28">
        <f>IF(OR($A191="",$E191=""),"",IF(OR($E191&amp;"|"&amp;$F191="",COUNTIF(ListeIzinliGecis,$E191&amp;"|"&amp;$F191)&gt;0),"","GEÇERSİZ GEÇİŞ"))</f>
        <v/>
      </c>
      <c r="S191" s="28">
        <f>IF($A191="","",IF(OR($G191="",$I191=""),"",IF(ABS($I191-$G191)&gt;zincirTolerans,"ZİNCİR KIRIK","OK")))</f>
        <v/>
      </c>
      <c r="T191" s="28">
        <f>IF($A191="","",1)</f>
        <v/>
      </c>
    </row>
    <row r="192">
      <c r="A192" s="26" t="n"/>
      <c r="B192" s="26" t="n"/>
      <c r="C192" s="26" t="n"/>
      <c r="D192" s="29" t="n"/>
      <c r="E192" s="26" t="n"/>
      <c r="F192" s="26" t="n"/>
      <c r="G192" s="27" t="n"/>
      <c r="H192" s="27" t="n"/>
      <c r="I192" s="27" t="n"/>
      <c r="J192" s="27" t="n"/>
      <c r="K192" s="27" t="n"/>
      <c r="L192" s="27" t="n"/>
      <c r="M192" s="26" t="n"/>
      <c r="N192" s="26" t="n"/>
      <c r="O192" s="28">
        <f>IF($A192="","",IF($D192="","",raporTarihi-$D192))</f>
        <v/>
      </c>
      <c r="P192" s="28">
        <f>IF($A192="","",IF($O192="","",IF($O192&lt;=7,"0-7",IF($O192&lt;=30,"8-30",IF($O192&lt;=60,"31-60","60+")))))</f>
        <v/>
      </c>
      <c r="Q192" s="28">
        <f>IF($A192="","",IF($B192="","YETİM",IF(COUNTIF(tblKartlar[KartId],$B192)=0,"YETİM","")))</f>
        <v/>
      </c>
      <c r="R192" s="28">
        <f>IF(OR($A192="",$E192=""),"",IF(OR($E192&amp;"|"&amp;$F192="",COUNTIF(ListeIzinliGecis,$E192&amp;"|"&amp;$F192)&gt;0),"","GEÇERSİZ GEÇİŞ"))</f>
        <v/>
      </c>
      <c r="S192" s="28">
        <f>IF($A192="","",IF(OR($G192="",$I192=""),"",IF(ABS($I192-$G192)&gt;zincirTolerans,"ZİNCİR KIRIK","OK")))</f>
        <v/>
      </c>
      <c r="T192" s="28">
        <f>IF($A192="","",1)</f>
        <v/>
      </c>
    </row>
    <row r="193">
      <c r="A193" s="26" t="n"/>
      <c r="B193" s="26" t="n"/>
      <c r="C193" s="26" t="n"/>
      <c r="D193" s="29" t="n"/>
      <c r="E193" s="26" t="n"/>
      <c r="F193" s="26" t="n"/>
      <c r="G193" s="27" t="n"/>
      <c r="H193" s="27" t="n"/>
      <c r="I193" s="27" t="n"/>
      <c r="J193" s="27" t="n"/>
      <c r="K193" s="27" t="n"/>
      <c r="L193" s="27" t="n"/>
      <c r="M193" s="26" t="n"/>
      <c r="N193" s="26" t="n"/>
      <c r="O193" s="28">
        <f>IF($A193="","",IF($D193="","",raporTarihi-$D193))</f>
        <v/>
      </c>
      <c r="P193" s="28">
        <f>IF($A193="","",IF($O193="","",IF($O193&lt;=7,"0-7",IF($O193&lt;=30,"8-30",IF($O193&lt;=60,"31-60","60+")))))</f>
        <v/>
      </c>
      <c r="Q193" s="28">
        <f>IF($A193="","",IF($B193="","YETİM",IF(COUNTIF(tblKartlar[KartId],$B193)=0,"YETİM","")))</f>
        <v/>
      </c>
      <c r="R193" s="28">
        <f>IF(OR($A193="",$E193=""),"",IF(OR($E193&amp;"|"&amp;$F193="",COUNTIF(ListeIzinliGecis,$E193&amp;"|"&amp;$F193)&gt;0),"","GEÇERSİZ GEÇİŞ"))</f>
        <v/>
      </c>
      <c r="S193" s="28">
        <f>IF($A193="","",IF(OR($G193="",$I193=""),"",IF(ABS($I193-$G193)&gt;zincirTolerans,"ZİNCİR KIRIK","OK")))</f>
        <v/>
      </c>
      <c r="T193" s="28">
        <f>IF($A193="","",1)</f>
        <v/>
      </c>
    </row>
    <row r="194">
      <c r="A194" s="26" t="n"/>
      <c r="B194" s="26" t="n"/>
      <c r="C194" s="26" t="n"/>
      <c r="D194" s="29" t="n"/>
      <c r="E194" s="26" t="n"/>
      <c r="F194" s="26" t="n"/>
      <c r="G194" s="27" t="n"/>
      <c r="H194" s="27" t="n"/>
      <c r="I194" s="27" t="n"/>
      <c r="J194" s="27" t="n"/>
      <c r="K194" s="27" t="n"/>
      <c r="L194" s="27" t="n"/>
      <c r="M194" s="26" t="n"/>
      <c r="N194" s="26" t="n"/>
      <c r="O194" s="28">
        <f>IF($A194="","",IF($D194="","",raporTarihi-$D194))</f>
        <v/>
      </c>
      <c r="P194" s="28">
        <f>IF($A194="","",IF($O194="","",IF($O194&lt;=7,"0-7",IF($O194&lt;=30,"8-30",IF($O194&lt;=60,"31-60","60+")))))</f>
        <v/>
      </c>
      <c r="Q194" s="28">
        <f>IF($A194="","",IF($B194="","YETİM",IF(COUNTIF(tblKartlar[KartId],$B194)=0,"YETİM","")))</f>
        <v/>
      </c>
      <c r="R194" s="28">
        <f>IF(OR($A194="",$E194=""),"",IF(OR($E194&amp;"|"&amp;$F194="",COUNTIF(ListeIzinliGecis,$E194&amp;"|"&amp;$F194)&gt;0),"","GEÇERSİZ GEÇİŞ"))</f>
        <v/>
      </c>
      <c r="S194" s="28">
        <f>IF($A194="","",IF(OR($G194="",$I194=""),"",IF(ABS($I194-$G194)&gt;zincirTolerans,"ZİNCİR KIRIK","OK")))</f>
        <v/>
      </c>
      <c r="T194" s="28">
        <f>IF($A194="","",1)</f>
        <v/>
      </c>
    </row>
    <row r="195">
      <c r="A195" s="26" t="n"/>
      <c r="B195" s="26" t="n"/>
      <c r="C195" s="26" t="n"/>
      <c r="D195" s="29" t="n"/>
      <c r="E195" s="26" t="n"/>
      <c r="F195" s="26" t="n"/>
      <c r="G195" s="27" t="n"/>
      <c r="H195" s="27" t="n"/>
      <c r="I195" s="27" t="n"/>
      <c r="J195" s="27" t="n"/>
      <c r="K195" s="27" t="n"/>
      <c r="L195" s="27" t="n"/>
      <c r="M195" s="26" t="n"/>
      <c r="N195" s="26" t="n"/>
      <c r="O195" s="28">
        <f>IF($A195="","",IF($D195="","",raporTarihi-$D195))</f>
        <v/>
      </c>
      <c r="P195" s="28">
        <f>IF($A195="","",IF($O195="","",IF($O195&lt;=7,"0-7",IF($O195&lt;=30,"8-30",IF($O195&lt;=60,"31-60","60+")))))</f>
        <v/>
      </c>
      <c r="Q195" s="28">
        <f>IF($A195="","",IF($B195="","YETİM",IF(COUNTIF(tblKartlar[KartId],$B195)=0,"YETİM","")))</f>
        <v/>
      </c>
      <c r="R195" s="28">
        <f>IF(OR($A195="",$E195=""),"",IF(OR($E195&amp;"|"&amp;$F195="",COUNTIF(ListeIzinliGecis,$E195&amp;"|"&amp;$F195)&gt;0),"","GEÇERSİZ GEÇİŞ"))</f>
        <v/>
      </c>
      <c r="S195" s="28">
        <f>IF($A195="","",IF(OR($G195="",$I195=""),"",IF(ABS($I195-$G195)&gt;zincirTolerans,"ZİNCİR KIRIK","OK")))</f>
        <v/>
      </c>
      <c r="T195" s="28">
        <f>IF($A195="","",1)</f>
        <v/>
      </c>
    </row>
    <row r="196">
      <c r="A196" s="26" t="n"/>
      <c r="B196" s="26" t="n"/>
      <c r="C196" s="26" t="n"/>
      <c r="D196" s="29" t="n"/>
      <c r="E196" s="26" t="n"/>
      <c r="F196" s="26" t="n"/>
      <c r="G196" s="27" t="n"/>
      <c r="H196" s="27" t="n"/>
      <c r="I196" s="27" t="n"/>
      <c r="J196" s="27" t="n"/>
      <c r="K196" s="27" t="n"/>
      <c r="L196" s="27" t="n"/>
      <c r="M196" s="26" t="n"/>
      <c r="N196" s="26" t="n"/>
      <c r="O196" s="28">
        <f>IF($A196="","",IF($D196="","",raporTarihi-$D196))</f>
        <v/>
      </c>
      <c r="P196" s="28">
        <f>IF($A196="","",IF($O196="","",IF($O196&lt;=7,"0-7",IF($O196&lt;=30,"8-30",IF($O196&lt;=60,"31-60","60+")))))</f>
        <v/>
      </c>
      <c r="Q196" s="28">
        <f>IF($A196="","",IF($B196="","YETİM",IF(COUNTIF(tblKartlar[KartId],$B196)=0,"YETİM","")))</f>
        <v/>
      </c>
      <c r="R196" s="28">
        <f>IF(OR($A196="",$E196=""),"",IF(OR($E196&amp;"|"&amp;$F196="",COUNTIF(ListeIzinliGecis,$E196&amp;"|"&amp;$F196)&gt;0),"","GEÇERSİZ GEÇİŞ"))</f>
        <v/>
      </c>
      <c r="S196" s="28">
        <f>IF($A196="","",IF(OR($G196="",$I196=""),"",IF(ABS($I196-$G196)&gt;zincirTolerans,"ZİNCİR KIRIK","OK")))</f>
        <v/>
      </c>
      <c r="T196" s="28">
        <f>IF($A196="","",1)</f>
        <v/>
      </c>
    </row>
    <row r="197">
      <c r="A197" s="26" t="n"/>
      <c r="B197" s="26" t="n"/>
      <c r="C197" s="26" t="n"/>
      <c r="D197" s="29" t="n"/>
      <c r="E197" s="26" t="n"/>
      <c r="F197" s="26" t="n"/>
      <c r="G197" s="27" t="n"/>
      <c r="H197" s="27" t="n"/>
      <c r="I197" s="27" t="n"/>
      <c r="J197" s="27" t="n"/>
      <c r="K197" s="27" t="n"/>
      <c r="L197" s="27" t="n"/>
      <c r="M197" s="26" t="n"/>
      <c r="N197" s="26" t="n"/>
      <c r="O197" s="28">
        <f>IF($A197="","",IF($D197="","",raporTarihi-$D197))</f>
        <v/>
      </c>
      <c r="P197" s="28">
        <f>IF($A197="","",IF($O197="","",IF($O197&lt;=7,"0-7",IF($O197&lt;=30,"8-30",IF($O197&lt;=60,"31-60","60+")))))</f>
        <v/>
      </c>
      <c r="Q197" s="28">
        <f>IF($A197="","",IF($B197="","YETİM",IF(COUNTIF(tblKartlar[KartId],$B197)=0,"YETİM","")))</f>
        <v/>
      </c>
      <c r="R197" s="28">
        <f>IF(OR($A197="",$E197=""),"",IF(OR($E197&amp;"|"&amp;$F197="",COUNTIF(ListeIzinliGecis,$E197&amp;"|"&amp;$F197)&gt;0),"","GEÇERSİZ GEÇİŞ"))</f>
        <v/>
      </c>
      <c r="S197" s="28">
        <f>IF($A197="","",IF(OR($G197="",$I197=""),"",IF(ABS($I197-$G197)&gt;zincirTolerans,"ZİNCİR KIRIK","OK")))</f>
        <v/>
      </c>
      <c r="T197" s="28">
        <f>IF($A197="","",1)</f>
        <v/>
      </c>
    </row>
    <row r="198">
      <c r="A198" s="26" t="n"/>
      <c r="B198" s="26" t="n"/>
      <c r="C198" s="26" t="n"/>
      <c r="D198" s="29" t="n"/>
      <c r="E198" s="26" t="n"/>
      <c r="F198" s="26" t="n"/>
      <c r="G198" s="27" t="n"/>
      <c r="H198" s="27" t="n"/>
      <c r="I198" s="27" t="n"/>
      <c r="J198" s="27" t="n"/>
      <c r="K198" s="27" t="n"/>
      <c r="L198" s="27" t="n"/>
      <c r="M198" s="26" t="n"/>
      <c r="N198" s="26" t="n"/>
      <c r="O198" s="28">
        <f>IF($A198="","",IF($D198="","",raporTarihi-$D198))</f>
        <v/>
      </c>
      <c r="P198" s="28">
        <f>IF($A198="","",IF($O198="","",IF($O198&lt;=7,"0-7",IF($O198&lt;=30,"8-30",IF($O198&lt;=60,"31-60","60+")))))</f>
        <v/>
      </c>
      <c r="Q198" s="28">
        <f>IF($A198="","",IF($B198="","YETİM",IF(COUNTIF(tblKartlar[KartId],$B198)=0,"YETİM","")))</f>
        <v/>
      </c>
      <c r="R198" s="28">
        <f>IF(OR($A198="",$E198=""),"",IF(OR($E198&amp;"|"&amp;$F198="",COUNTIF(ListeIzinliGecis,$E198&amp;"|"&amp;$F198)&gt;0),"","GEÇERSİZ GEÇİŞ"))</f>
        <v/>
      </c>
      <c r="S198" s="28">
        <f>IF($A198="","",IF(OR($G198="",$I198=""),"",IF(ABS($I198-$G198)&gt;zincirTolerans,"ZİNCİR KIRIK","OK")))</f>
        <v/>
      </c>
      <c r="T198" s="28">
        <f>IF($A198="","",1)</f>
        <v/>
      </c>
    </row>
    <row r="199">
      <c r="A199" s="26" t="n"/>
      <c r="B199" s="26" t="n"/>
      <c r="C199" s="26" t="n"/>
      <c r="D199" s="29" t="n"/>
      <c r="E199" s="26" t="n"/>
      <c r="F199" s="26" t="n"/>
      <c r="G199" s="27" t="n"/>
      <c r="H199" s="27" t="n"/>
      <c r="I199" s="27" t="n"/>
      <c r="J199" s="27" t="n"/>
      <c r="K199" s="27" t="n"/>
      <c r="L199" s="27" t="n"/>
      <c r="M199" s="26" t="n"/>
      <c r="N199" s="26" t="n"/>
      <c r="O199" s="28">
        <f>IF($A199="","",IF($D199="","",raporTarihi-$D199))</f>
        <v/>
      </c>
      <c r="P199" s="28">
        <f>IF($A199="","",IF($O199="","",IF($O199&lt;=7,"0-7",IF($O199&lt;=30,"8-30",IF($O199&lt;=60,"31-60","60+")))))</f>
        <v/>
      </c>
      <c r="Q199" s="28">
        <f>IF($A199="","",IF($B199="","YETİM",IF(COUNTIF(tblKartlar[KartId],$B199)=0,"YETİM","")))</f>
        <v/>
      </c>
      <c r="R199" s="28">
        <f>IF(OR($A199="",$E199=""),"",IF(OR($E199&amp;"|"&amp;$F199="",COUNTIF(ListeIzinliGecis,$E199&amp;"|"&amp;$F199)&gt;0),"","GEÇERSİZ GEÇİŞ"))</f>
        <v/>
      </c>
      <c r="S199" s="28">
        <f>IF($A199="","",IF(OR($G199="",$I199=""),"",IF(ABS($I199-$G199)&gt;zincirTolerans,"ZİNCİR KIRIK","OK")))</f>
        <v/>
      </c>
      <c r="T199" s="28">
        <f>IF($A199="","",1)</f>
        <v/>
      </c>
    </row>
    <row r="200">
      <c r="A200" s="26" t="n"/>
      <c r="B200" s="26" t="n"/>
      <c r="C200" s="26" t="n"/>
      <c r="D200" s="29" t="n"/>
      <c r="E200" s="26" t="n"/>
      <c r="F200" s="26" t="n"/>
      <c r="G200" s="27" t="n"/>
      <c r="H200" s="27" t="n"/>
      <c r="I200" s="27" t="n"/>
      <c r="J200" s="27" t="n"/>
      <c r="K200" s="27" t="n"/>
      <c r="L200" s="27" t="n"/>
      <c r="M200" s="26" t="n"/>
      <c r="N200" s="26" t="n"/>
      <c r="O200" s="28">
        <f>IF($A200="","",IF($D200="","",raporTarihi-$D200))</f>
        <v/>
      </c>
      <c r="P200" s="28">
        <f>IF($A200="","",IF($O200="","",IF($O200&lt;=7,"0-7",IF($O200&lt;=30,"8-30",IF($O200&lt;=60,"31-60","60+")))))</f>
        <v/>
      </c>
      <c r="Q200" s="28">
        <f>IF($A200="","",IF($B200="","YETİM",IF(COUNTIF(tblKartlar[KartId],$B200)=0,"YETİM","")))</f>
        <v/>
      </c>
      <c r="R200" s="28">
        <f>IF(OR($A200="",$E200=""),"",IF(OR($E200&amp;"|"&amp;$F200="",COUNTIF(ListeIzinliGecis,$E200&amp;"|"&amp;$F200)&gt;0),"","GEÇERSİZ GEÇİŞ"))</f>
        <v/>
      </c>
      <c r="S200" s="28">
        <f>IF($A200="","",IF(OR($G200="",$I200=""),"",IF(ABS($I200-$G200)&gt;zincirTolerans,"ZİNCİR KIRIK","OK")))</f>
        <v/>
      </c>
      <c r="T200" s="28">
        <f>IF($A200="","",1)</f>
        <v/>
      </c>
    </row>
    <row r="201">
      <c r="A201" s="26" t="n"/>
      <c r="B201" s="26" t="n"/>
      <c r="C201" s="26" t="n"/>
      <c r="D201" s="29" t="n"/>
      <c r="E201" s="26" t="n"/>
      <c r="F201" s="26" t="n"/>
      <c r="G201" s="27" t="n"/>
      <c r="H201" s="27" t="n"/>
      <c r="I201" s="27" t="n"/>
      <c r="J201" s="27" t="n"/>
      <c r="K201" s="27" t="n"/>
      <c r="L201" s="27" t="n"/>
      <c r="M201" s="26" t="n"/>
      <c r="N201" s="26" t="n"/>
      <c r="O201" s="28">
        <f>IF($A201="","",IF($D201="","",raporTarihi-$D201))</f>
        <v/>
      </c>
      <c r="P201" s="28">
        <f>IF($A201="","",IF($O201="","",IF($O201&lt;=7,"0-7",IF($O201&lt;=30,"8-30",IF($O201&lt;=60,"31-60","60+")))))</f>
        <v/>
      </c>
      <c r="Q201" s="28">
        <f>IF($A201="","",IF($B201="","YETİM",IF(COUNTIF(tblKartlar[KartId],$B201)=0,"YETİM","")))</f>
        <v/>
      </c>
      <c r="R201" s="28">
        <f>IF(OR($A201="",$E201=""),"",IF(OR($E201&amp;"|"&amp;$F201="",COUNTIF(ListeIzinliGecis,$E201&amp;"|"&amp;$F201)&gt;0),"","GEÇERSİZ GEÇİŞ"))</f>
        <v/>
      </c>
      <c r="S201" s="28">
        <f>IF($A201="","",IF(OR($G201="",$I201=""),"",IF(ABS($I201-$G201)&gt;zincirTolerans,"ZİNCİR KIRIK","OK")))</f>
        <v/>
      </c>
      <c r="T201" s="28">
        <f>IF($A201="","",1)</f>
        <v/>
      </c>
    </row>
    <row r="202">
      <c r="A202" s="26" t="n"/>
      <c r="B202" s="26" t="n"/>
      <c r="C202" s="26" t="n"/>
      <c r="D202" s="29" t="n"/>
      <c r="E202" s="26" t="n"/>
      <c r="F202" s="26" t="n"/>
      <c r="G202" s="27" t="n"/>
      <c r="H202" s="27" t="n"/>
      <c r="I202" s="27" t="n"/>
      <c r="J202" s="27" t="n"/>
      <c r="K202" s="27" t="n"/>
      <c r="L202" s="27" t="n"/>
      <c r="M202" s="26" t="n"/>
      <c r="N202" s="26" t="n"/>
      <c r="O202" s="28">
        <f>IF($A202="","",IF($D202="","",raporTarihi-$D202))</f>
        <v/>
      </c>
      <c r="P202" s="28">
        <f>IF($A202="","",IF($O202="","",IF($O202&lt;=7,"0-7",IF($O202&lt;=30,"8-30",IF($O202&lt;=60,"31-60","60+")))))</f>
        <v/>
      </c>
      <c r="Q202" s="28">
        <f>IF($A202="","",IF($B202="","YETİM",IF(COUNTIF(tblKartlar[KartId],$B202)=0,"YETİM","")))</f>
        <v/>
      </c>
      <c r="R202" s="28">
        <f>IF(OR($A202="",$E202=""),"",IF(OR($E202&amp;"|"&amp;$F202="",COUNTIF(ListeIzinliGecis,$E202&amp;"|"&amp;$F202)&gt;0),"","GEÇERSİZ GEÇİŞ"))</f>
        <v/>
      </c>
      <c r="S202" s="28">
        <f>IF($A202="","",IF(OR($G202="",$I202=""),"",IF(ABS($I202-$G202)&gt;zincirTolerans,"ZİNCİR KIRIK","OK")))</f>
        <v/>
      </c>
      <c r="T202" s="28">
        <f>IF($A202="","",1)</f>
        <v/>
      </c>
    </row>
    <row r="203">
      <c r="A203" s="26" t="n"/>
      <c r="B203" s="26" t="n"/>
      <c r="C203" s="26" t="n"/>
      <c r="D203" s="29" t="n"/>
      <c r="E203" s="26" t="n"/>
      <c r="F203" s="26" t="n"/>
      <c r="G203" s="27" t="n"/>
      <c r="H203" s="27" t="n"/>
      <c r="I203" s="27" t="n"/>
      <c r="J203" s="27" t="n"/>
      <c r="K203" s="27" t="n"/>
      <c r="L203" s="27" t="n"/>
      <c r="M203" s="26" t="n"/>
      <c r="N203" s="26" t="n"/>
      <c r="O203" s="28">
        <f>IF($A203="","",IF($D203="","",raporTarihi-$D203))</f>
        <v/>
      </c>
      <c r="P203" s="28">
        <f>IF($A203="","",IF($O203="","",IF($O203&lt;=7,"0-7",IF($O203&lt;=30,"8-30",IF($O203&lt;=60,"31-60","60+")))))</f>
        <v/>
      </c>
      <c r="Q203" s="28">
        <f>IF($A203="","",IF($B203="","YETİM",IF(COUNTIF(tblKartlar[KartId],$B203)=0,"YETİM","")))</f>
        <v/>
      </c>
      <c r="R203" s="28">
        <f>IF(OR($A203="",$E203=""),"",IF(OR($E203&amp;"|"&amp;$F203="",COUNTIF(ListeIzinliGecis,$E203&amp;"|"&amp;$F203)&gt;0),"","GEÇERSİZ GEÇİŞ"))</f>
        <v/>
      </c>
      <c r="S203" s="28">
        <f>IF($A203="","",IF(OR($G203="",$I203=""),"",IF(ABS($I203-$G203)&gt;zincirTolerans,"ZİNCİR KIRIK","OK")))</f>
        <v/>
      </c>
      <c r="T203" s="28">
        <f>IF($A203="","",1)</f>
        <v/>
      </c>
    </row>
    <row r="204">
      <c r="A204" s="26" t="n"/>
      <c r="B204" s="26" t="n"/>
      <c r="C204" s="26" t="n"/>
      <c r="D204" s="29" t="n"/>
      <c r="E204" s="26" t="n"/>
      <c r="F204" s="26" t="n"/>
      <c r="G204" s="27" t="n"/>
      <c r="H204" s="27" t="n"/>
      <c r="I204" s="27" t="n"/>
      <c r="J204" s="27" t="n"/>
      <c r="K204" s="27" t="n"/>
      <c r="L204" s="27" t="n"/>
      <c r="M204" s="26" t="n"/>
      <c r="N204" s="26" t="n"/>
      <c r="O204" s="28">
        <f>IF($A204="","",IF($D204="","",raporTarihi-$D204))</f>
        <v/>
      </c>
      <c r="P204" s="28">
        <f>IF($A204="","",IF($O204="","",IF($O204&lt;=7,"0-7",IF($O204&lt;=30,"8-30",IF($O204&lt;=60,"31-60","60+")))))</f>
        <v/>
      </c>
      <c r="Q204" s="28">
        <f>IF($A204="","",IF($B204="","YETİM",IF(COUNTIF(tblKartlar[KartId],$B204)=0,"YETİM","")))</f>
        <v/>
      </c>
      <c r="R204" s="28">
        <f>IF(OR($A204="",$E204=""),"",IF(OR($E204&amp;"|"&amp;$F204="",COUNTIF(ListeIzinliGecis,$E204&amp;"|"&amp;$F204)&gt;0),"","GEÇERSİZ GEÇİŞ"))</f>
        <v/>
      </c>
      <c r="S204" s="28">
        <f>IF($A204="","",IF(OR($G204="",$I204=""),"",IF(ABS($I204-$G204)&gt;zincirTolerans,"ZİNCİR KIRIK","OK")))</f>
        <v/>
      </c>
      <c r="T204" s="28">
        <f>IF($A204="","",1)</f>
        <v/>
      </c>
    </row>
    <row r="205">
      <c r="A205" s="26" t="n"/>
      <c r="B205" s="26" t="n"/>
      <c r="C205" s="26" t="n"/>
      <c r="D205" s="29" t="n"/>
      <c r="E205" s="26" t="n"/>
      <c r="F205" s="26" t="n"/>
      <c r="G205" s="27" t="n"/>
      <c r="H205" s="27" t="n"/>
      <c r="I205" s="27" t="n"/>
      <c r="J205" s="27" t="n"/>
      <c r="K205" s="27" t="n"/>
      <c r="L205" s="27" t="n"/>
      <c r="M205" s="26" t="n"/>
      <c r="N205" s="26" t="n"/>
      <c r="O205" s="28">
        <f>IF($A205="","",IF($D205="","",raporTarihi-$D205))</f>
        <v/>
      </c>
      <c r="P205" s="28">
        <f>IF($A205="","",IF($O205="","",IF($O205&lt;=7,"0-7",IF($O205&lt;=30,"8-30",IF($O205&lt;=60,"31-60","60+")))))</f>
        <v/>
      </c>
      <c r="Q205" s="28">
        <f>IF($A205="","",IF($B205="","YETİM",IF(COUNTIF(tblKartlar[KartId],$B205)=0,"YETİM","")))</f>
        <v/>
      </c>
      <c r="R205" s="28">
        <f>IF(OR($A205="",$E205=""),"",IF(OR($E205&amp;"|"&amp;$F205="",COUNTIF(ListeIzinliGecis,$E205&amp;"|"&amp;$F205)&gt;0),"","GEÇERSİZ GEÇİŞ"))</f>
        <v/>
      </c>
      <c r="S205" s="28">
        <f>IF($A205="","",IF(OR($G205="",$I205=""),"",IF(ABS($I205-$G205)&gt;zincirTolerans,"ZİNCİR KIRIK","OK")))</f>
        <v/>
      </c>
      <c r="T205" s="28">
        <f>IF($A205="","",1)</f>
        <v/>
      </c>
    </row>
    <row r="206">
      <c r="A206" s="26" t="n"/>
      <c r="B206" s="26" t="n"/>
      <c r="C206" s="26" t="n"/>
      <c r="D206" s="29" t="n"/>
      <c r="E206" s="26" t="n"/>
      <c r="F206" s="26" t="n"/>
      <c r="G206" s="27" t="n"/>
      <c r="H206" s="27" t="n"/>
      <c r="I206" s="27" t="n"/>
      <c r="J206" s="27" t="n"/>
      <c r="K206" s="27" t="n"/>
      <c r="L206" s="27" t="n"/>
      <c r="M206" s="26" t="n"/>
      <c r="N206" s="26" t="n"/>
      <c r="O206" s="28">
        <f>IF($A206="","",IF($D206="","",raporTarihi-$D206))</f>
        <v/>
      </c>
      <c r="P206" s="28">
        <f>IF($A206="","",IF($O206="","",IF($O206&lt;=7,"0-7",IF($O206&lt;=30,"8-30",IF($O206&lt;=60,"31-60","60+")))))</f>
        <v/>
      </c>
      <c r="Q206" s="28">
        <f>IF($A206="","",IF($B206="","YETİM",IF(COUNTIF(tblKartlar[KartId],$B206)=0,"YETİM","")))</f>
        <v/>
      </c>
      <c r="R206" s="28">
        <f>IF(OR($A206="",$E206=""),"",IF(OR($E206&amp;"|"&amp;$F206="",COUNTIF(ListeIzinliGecis,$E206&amp;"|"&amp;$F206)&gt;0),"","GEÇERSİZ GEÇİŞ"))</f>
        <v/>
      </c>
      <c r="S206" s="28">
        <f>IF($A206="","",IF(OR($G206="",$I206=""),"",IF(ABS($I206-$G206)&gt;zincirTolerans,"ZİNCİR KIRIK","OK")))</f>
        <v/>
      </c>
      <c r="T206" s="28">
        <f>IF($A206="","",1)</f>
        <v/>
      </c>
    </row>
    <row r="207">
      <c r="A207" s="26" t="n"/>
      <c r="B207" s="26" t="n"/>
      <c r="C207" s="26" t="n"/>
      <c r="D207" s="29" t="n"/>
      <c r="E207" s="26" t="n"/>
      <c r="F207" s="26" t="n"/>
      <c r="G207" s="27" t="n"/>
      <c r="H207" s="27" t="n"/>
      <c r="I207" s="27" t="n"/>
      <c r="J207" s="27" t="n"/>
      <c r="K207" s="27" t="n"/>
      <c r="L207" s="27" t="n"/>
      <c r="M207" s="26" t="n"/>
      <c r="N207" s="26" t="n"/>
      <c r="O207" s="28">
        <f>IF($A207="","",IF($D207="","",raporTarihi-$D207))</f>
        <v/>
      </c>
      <c r="P207" s="28">
        <f>IF($A207="","",IF($O207="","",IF($O207&lt;=7,"0-7",IF($O207&lt;=30,"8-30",IF($O207&lt;=60,"31-60","60+")))))</f>
        <v/>
      </c>
      <c r="Q207" s="28">
        <f>IF($A207="","",IF($B207="","YETİM",IF(COUNTIF(tblKartlar[KartId],$B207)=0,"YETİM","")))</f>
        <v/>
      </c>
      <c r="R207" s="28">
        <f>IF(OR($A207="",$E207=""),"",IF(OR($E207&amp;"|"&amp;$F207="",COUNTIF(ListeIzinliGecis,$E207&amp;"|"&amp;$F207)&gt;0),"","GEÇERSİZ GEÇİŞ"))</f>
        <v/>
      </c>
      <c r="S207" s="28">
        <f>IF($A207="","",IF(OR($G207="",$I207=""),"",IF(ABS($I207-$G207)&gt;zincirTolerans,"ZİNCİR KIRIK","OK")))</f>
        <v/>
      </c>
      <c r="T207" s="28">
        <f>IF($A207="","",1)</f>
        <v/>
      </c>
    </row>
    <row r="208">
      <c r="A208" s="26" t="n"/>
      <c r="B208" s="26" t="n"/>
      <c r="C208" s="26" t="n"/>
      <c r="D208" s="29" t="n"/>
      <c r="E208" s="26" t="n"/>
      <c r="F208" s="26" t="n"/>
      <c r="G208" s="27" t="n"/>
      <c r="H208" s="27" t="n"/>
      <c r="I208" s="27" t="n"/>
      <c r="J208" s="27" t="n"/>
      <c r="K208" s="27" t="n"/>
      <c r="L208" s="27" t="n"/>
      <c r="M208" s="26" t="n"/>
      <c r="N208" s="26" t="n"/>
      <c r="O208" s="28">
        <f>IF($A208="","",IF($D208="","",raporTarihi-$D208))</f>
        <v/>
      </c>
      <c r="P208" s="28">
        <f>IF($A208="","",IF($O208="","",IF($O208&lt;=7,"0-7",IF($O208&lt;=30,"8-30",IF($O208&lt;=60,"31-60","60+")))))</f>
        <v/>
      </c>
      <c r="Q208" s="28">
        <f>IF($A208="","",IF($B208="","YETİM",IF(COUNTIF(tblKartlar[KartId],$B208)=0,"YETİM","")))</f>
        <v/>
      </c>
      <c r="R208" s="28">
        <f>IF(OR($A208="",$E208=""),"",IF(OR($E208&amp;"|"&amp;$F208="",COUNTIF(ListeIzinliGecis,$E208&amp;"|"&amp;$F208)&gt;0),"","GEÇERSİZ GEÇİŞ"))</f>
        <v/>
      </c>
      <c r="S208" s="28">
        <f>IF($A208="","",IF(OR($G208="",$I208=""),"",IF(ABS($I208-$G208)&gt;zincirTolerans,"ZİNCİR KIRIK","OK")))</f>
        <v/>
      </c>
      <c r="T208" s="28">
        <f>IF($A208="","",1)</f>
        <v/>
      </c>
    </row>
    <row r="209">
      <c r="A209" s="26" t="n"/>
      <c r="B209" s="26" t="n"/>
      <c r="C209" s="26" t="n"/>
      <c r="D209" s="29" t="n"/>
      <c r="E209" s="26" t="n"/>
      <c r="F209" s="26" t="n"/>
      <c r="G209" s="27" t="n"/>
      <c r="H209" s="27" t="n"/>
      <c r="I209" s="27" t="n"/>
      <c r="J209" s="27" t="n"/>
      <c r="K209" s="27" t="n"/>
      <c r="L209" s="27" t="n"/>
      <c r="M209" s="26" t="n"/>
      <c r="N209" s="26" t="n"/>
      <c r="O209" s="28">
        <f>IF($A209="","",IF($D209="","",raporTarihi-$D209))</f>
        <v/>
      </c>
      <c r="P209" s="28">
        <f>IF($A209="","",IF($O209="","",IF($O209&lt;=7,"0-7",IF($O209&lt;=30,"8-30",IF($O209&lt;=60,"31-60","60+")))))</f>
        <v/>
      </c>
      <c r="Q209" s="28">
        <f>IF($A209="","",IF($B209="","YETİM",IF(COUNTIF(tblKartlar[KartId],$B209)=0,"YETİM","")))</f>
        <v/>
      </c>
      <c r="R209" s="28">
        <f>IF(OR($A209="",$E209=""),"",IF(OR($E209&amp;"|"&amp;$F209="",COUNTIF(ListeIzinliGecis,$E209&amp;"|"&amp;$F209)&gt;0),"","GEÇERSİZ GEÇİŞ"))</f>
        <v/>
      </c>
      <c r="S209" s="28">
        <f>IF($A209="","",IF(OR($G209="",$I209=""),"",IF(ABS($I209-$G209)&gt;zincirTolerans,"ZİNCİR KIRIK","OK")))</f>
        <v/>
      </c>
      <c r="T209" s="28">
        <f>IF($A209="","",1)</f>
        <v/>
      </c>
    </row>
    <row r="210">
      <c r="A210" s="26" t="n"/>
      <c r="B210" s="26" t="n"/>
      <c r="C210" s="26" t="n"/>
      <c r="D210" s="29" t="n"/>
      <c r="E210" s="26" t="n"/>
      <c r="F210" s="26" t="n"/>
      <c r="G210" s="27" t="n"/>
      <c r="H210" s="27" t="n"/>
      <c r="I210" s="27" t="n"/>
      <c r="J210" s="27" t="n"/>
      <c r="K210" s="27" t="n"/>
      <c r="L210" s="27" t="n"/>
      <c r="M210" s="26" t="n"/>
      <c r="N210" s="26" t="n"/>
      <c r="O210" s="28">
        <f>IF($A210="","",IF($D210="","",raporTarihi-$D210))</f>
        <v/>
      </c>
      <c r="P210" s="28">
        <f>IF($A210="","",IF($O210="","",IF($O210&lt;=7,"0-7",IF($O210&lt;=30,"8-30",IF($O210&lt;=60,"31-60","60+")))))</f>
        <v/>
      </c>
      <c r="Q210" s="28">
        <f>IF($A210="","",IF($B210="","YETİM",IF(COUNTIF(tblKartlar[KartId],$B210)=0,"YETİM","")))</f>
        <v/>
      </c>
      <c r="R210" s="28">
        <f>IF(OR($A210="",$E210=""),"",IF(OR($E210&amp;"|"&amp;$F210="",COUNTIF(ListeIzinliGecis,$E210&amp;"|"&amp;$F210)&gt;0),"","GEÇERSİZ GEÇİŞ"))</f>
        <v/>
      </c>
      <c r="S210" s="28">
        <f>IF($A210="","",IF(OR($G210="",$I210=""),"",IF(ABS($I210-$G210)&gt;zincirTolerans,"ZİNCİR KIRIK","OK")))</f>
        <v/>
      </c>
      <c r="T210" s="28">
        <f>IF($A210="","",1)</f>
        <v/>
      </c>
    </row>
    <row r="211">
      <c r="A211" s="26" t="n"/>
      <c r="B211" s="26" t="n"/>
      <c r="C211" s="26" t="n"/>
      <c r="D211" s="29" t="n"/>
      <c r="E211" s="26" t="n"/>
      <c r="F211" s="26" t="n"/>
      <c r="G211" s="27" t="n"/>
      <c r="H211" s="27" t="n"/>
      <c r="I211" s="27" t="n"/>
      <c r="J211" s="27" t="n"/>
      <c r="K211" s="27" t="n"/>
      <c r="L211" s="27" t="n"/>
      <c r="M211" s="26" t="n"/>
      <c r="N211" s="26" t="n"/>
      <c r="O211" s="28">
        <f>IF($A211="","",IF($D211="","",raporTarihi-$D211))</f>
        <v/>
      </c>
      <c r="P211" s="28">
        <f>IF($A211="","",IF($O211="","",IF($O211&lt;=7,"0-7",IF($O211&lt;=30,"8-30",IF($O211&lt;=60,"31-60","60+")))))</f>
        <v/>
      </c>
      <c r="Q211" s="28">
        <f>IF($A211="","",IF($B211="","YETİM",IF(COUNTIF(tblKartlar[KartId],$B211)=0,"YETİM","")))</f>
        <v/>
      </c>
      <c r="R211" s="28">
        <f>IF(OR($A211="",$E211=""),"",IF(OR($E211&amp;"|"&amp;$F211="",COUNTIF(ListeIzinliGecis,$E211&amp;"|"&amp;$F211)&gt;0),"","GEÇERSİZ GEÇİŞ"))</f>
        <v/>
      </c>
      <c r="S211" s="28">
        <f>IF($A211="","",IF(OR($G211="",$I211=""),"",IF(ABS($I211-$G211)&gt;zincirTolerans,"ZİNCİR KIRIK","OK")))</f>
        <v/>
      </c>
      <c r="T211" s="28">
        <f>IF($A211="","",1)</f>
        <v/>
      </c>
    </row>
    <row r="212">
      <c r="A212" s="26" t="n"/>
      <c r="B212" s="26" t="n"/>
      <c r="C212" s="26" t="n"/>
      <c r="D212" s="29" t="n"/>
      <c r="E212" s="26" t="n"/>
      <c r="F212" s="26" t="n"/>
      <c r="G212" s="27" t="n"/>
      <c r="H212" s="27" t="n"/>
      <c r="I212" s="27" t="n"/>
      <c r="J212" s="27" t="n"/>
      <c r="K212" s="27" t="n"/>
      <c r="L212" s="27" t="n"/>
      <c r="M212" s="26" t="n"/>
      <c r="N212" s="26" t="n"/>
      <c r="O212" s="28">
        <f>IF($A212="","",IF($D212="","",raporTarihi-$D212))</f>
        <v/>
      </c>
      <c r="P212" s="28">
        <f>IF($A212="","",IF($O212="","",IF($O212&lt;=7,"0-7",IF($O212&lt;=30,"8-30",IF($O212&lt;=60,"31-60","60+")))))</f>
        <v/>
      </c>
      <c r="Q212" s="28">
        <f>IF($A212="","",IF($B212="","YETİM",IF(COUNTIF(tblKartlar[KartId],$B212)=0,"YETİM","")))</f>
        <v/>
      </c>
      <c r="R212" s="28">
        <f>IF(OR($A212="",$E212=""),"",IF(OR($E212&amp;"|"&amp;$F212="",COUNTIF(ListeIzinliGecis,$E212&amp;"|"&amp;$F212)&gt;0),"","GEÇERSİZ GEÇİŞ"))</f>
        <v/>
      </c>
      <c r="S212" s="28">
        <f>IF($A212="","",IF(OR($G212="",$I212=""),"",IF(ABS($I212-$G212)&gt;zincirTolerans,"ZİNCİR KIRIK","OK")))</f>
        <v/>
      </c>
      <c r="T212" s="28">
        <f>IF($A212="","",1)</f>
        <v/>
      </c>
    </row>
    <row r="213">
      <c r="A213" s="26" t="n"/>
      <c r="B213" s="26" t="n"/>
      <c r="C213" s="26" t="n"/>
      <c r="D213" s="29" t="n"/>
      <c r="E213" s="26" t="n"/>
      <c r="F213" s="26" t="n"/>
      <c r="G213" s="27" t="n"/>
      <c r="H213" s="27" t="n"/>
      <c r="I213" s="27" t="n"/>
      <c r="J213" s="27" t="n"/>
      <c r="K213" s="27" t="n"/>
      <c r="L213" s="27" t="n"/>
      <c r="M213" s="26" t="n"/>
      <c r="N213" s="26" t="n"/>
      <c r="O213" s="28">
        <f>IF($A213="","",IF($D213="","",raporTarihi-$D213))</f>
        <v/>
      </c>
      <c r="P213" s="28">
        <f>IF($A213="","",IF($O213="","",IF($O213&lt;=7,"0-7",IF($O213&lt;=30,"8-30",IF($O213&lt;=60,"31-60","60+")))))</f>
        <v/>
      </c>
      <c r="Q213" s="28">
        <f>IF($A213="","",IF($B213="","YETİM",IF(COUNTIF(tblKartlar[KartId],$B213)=0,"YETİM","")))</f>
        <v/>
      </c>
      <c r="R213" s="28">
        <f>IF(OR($A213="",$E213=""),"",IF(OR($E213&amp;"|"&amp;$F213="",COUNTIF(ListeIzinliGecis,$E213&amp;"|"&amp;$F213)&gt;0),"","GEÇERSİZ GEÇİŞ"))</f>
        <v/>
      </c>
      <c r="S213" s="28">
        <f>IF($A213="","",IF(OR($G213="",$I213=""),"",IF(ABS($I213-$G213)&gt;zincirTolerans,"ZİNCİR KIRIK","OK")))</f>
        <v/>
      </c>
      <c r="T213" s="28">
        <f>IF($A213="","",1)</f>
        <v/>
      </c>
    </row>
    <row r="214">
      <c r="A214" s="26" t="n"/>
      <c r="B214" s="26" t="n"/>
      <c r="C214" s="26" t="n"/>
      <c r="D214" s="29" t="n"/>
      <c r="E214" s="26" t="n"/>
      <c r="F214" s="26" t="n"/>
      <c r="G214" s="27" t="n"/>
      <c r="H214" s="27" t="n"/>
      <c r="I214" s="27" t="n"/>
      <c r="J214" s="27" t="n"/>
      <c r="K214" s="27" t="n"/>
      <c r="L214" s="27" t="n"/>
      <c r="M214" s="26" t="n"/>
      <c r="N214" s="26" t="n"/>
      <c r="O214" s="28">
        <f>IF($A214="","",IF($D214="","",raporTarihi-$D214))</f>
        <v/>
      </c>
      <c r="P214" s="28">
        <f>IF($A214="","",IF($O214="","",IF($O214&lt;=7,"0-7",IF($O214&lt;=30,"8-30",IF($O214&lt;=60,"31-60","60+")))))</f>
        <v/>
      </c>
      <c r="Q214" s="28">
        <f>IF($A214="","",IF($B214="","YETİM",IF(COUNTIF(tblKartlar[KartId],$B214)=0,"YETİM","")))</f>
        <v/>
      </c>
      <c r="R214" s="28">
        <f>IF(OR($A214="",$E214=""),"",IF(OR($E214&amp;"|"&amp;$F214="",COUNTIF(ListeIzinliGecis,$E214&amp;"|"&amp;$F214)&gt;0),"","GEÇERSİZ GEÇİŞ"))</f>
        <v/>
      </c>
      <c r="S214" s="28">
        <f>IF($A214="","",IF(OR($G214="",$I214=""),"",IF(ABS($I214-$G214)&gt;zincirTolerans,"ZİNCİR KIRIK","OK")))</f>
        <v/>
      </c>
      <c r="T214" s="28">
        <f>IF($A214="","",1)</f>
        <v/>
      </c>
    </row>
    <row r="215">
      <c r="A215" s="26" t="n"/>
      <c r="B215" s="26" t="n"/>
      <c r="C215" s="26" t="n"/>
      <c r="D215" s="29" t="n"/>
      <c r="E215" s="26" t="n"/>
      <c r="F215" s="26" t="n"/>
      <c r="G215" s="27" t="n"/>
      <c r="H215" s="27" t="n"/>
      <c r="I215" s="27" t="n"/>
      <c r="J215" s="27" t="n"/>
      <c r="K215" s="27" t="n"/>
      <c r="L215" s="27" t="n"/>
      <c r="M215" s="26" t="n"/>
      <c r="N215" s="26" t="n"/>
      <c r="O215" s="28">
        <f>IF($A215="","",IF($D215="","",raporTarihi-$D215))</f>
        <v/>
      </c>
      <c r="P215" s="28">
        <f>IF($A215="","",IF($O215="","",IF($O215&lt;=7,"0-7",IF($O215&lt;=30,"8-30",IF($O215&lt;=60,"31-60","60+")))))</f>
        <v/>
      </c>
      <c r="Q215" s="28">
        <f>IF($A215="","",IF($B215="","YETİM",IF(COUNTIF(tblKartlar[KartId],$B215)=0,"YETİM","")))</f>
        <v/>
      </c>
      <c r="R215" s="28">
        <f>IF(OR($A215="",$E215=""),"",IF(OR($E215&amp;"|"&amp;$F215="",COUNTIF(ListeIzinliGecis,$E215&amp;"|"&amp;$F215)&gt;0),"","GEÇERSİZ GEÇİŞ"))</f>
        <v/>
      </c>
      <c r="S215" s="28">
        <f>IF($A215="","",IF(OR($G215="",$I215=""),"",IF(ABS($I215-$G215)&gt;zincirTolerans,"ZİNCİR KIRIK","OK")))</f>
        <v/>
      </c>
      <c r="T215" s="28">
        <f>IF($A215="","",1)</f>
        <v/>
      </c>
    </row>
    <row r="216">
      <c r="A216" s="26" t="n"/>
      <c r="B216" s="26" t="n"/>
      <c r="C216" s="26" t="n"/>
      <c r="D216" s="29" t="n"/>
      <c r="E216" s="26" t="n"/>
      <c r="F216" s="26" t="n"/>
      <c r="G216" s="27" t="n"/>
      <c r="H216" s="27" t="n"/>
      <c r="I216" s="27" t="n"/>
      <c r="J216" s="27" t="n"/>
      <c r="K216" s="27" t="n"/>
      <c r="L216" s="27" t="n"/>
      <c r="M216" s="26" t="n"/>
      <c r="N216" s="26" t="n"/>
      <c r="O216" s="28">
        <f>IF($A216="","",IF($D216="","",raporTarihi-$D216))</f>
        <v/>
      </c>
      <c r="P216" s="28">
        <f>IF($A216="","",IF($O216="","",IF($O216&lt;=7,"0-7",IF($O216&lt;=30,"8-30",IF($O216&lt;=60,"31-60","60+")))))</f>
        <v/>
      </c>
      <c r="Q216" s="28">
        <f>IF($A216="","",IF($B216="","YETİM",IF(COUNTIF(tblKartlar[KartId],$B216)=0,"YETİM","")))</f>
        <v/>
      </c>
      <c r="R216" s="28">
        <f>IF(OR($A216="",$E216=""),"",IF(OR($E216&amp;"|"&amp;$F216="",COUNTIF(ListeIzinliGecis,$E216&amp;"|"&amp;$F216)&gt;0),"","GEÇERSİZ GEÇİŞ"))</f>
        <v/>
      </c>
      <c r="S216" s="28">
        <f>IF($A216="","",IF(OR($G216="",$I216=""),"",IF(ABS($I216-$G216)&gt;zincirTolerans,"ZİNCİR KIRIK","OK")))</f>
        <v/>
      </c>
      <c r="T216" s="28">
        <f>IF($A216="","",1)</f>
        <v/>
      </c>
    </row>
    <row r="217">
      <c r="A217" s="26" t="n"/>
      <c r="B217" s="26" t="n"/>
      <c r="C217" s="26" t="n"/>
      <c r="D217" s="29" t="n"/>
      <c r="E217" s="26" t="n"/>
      <c r="F217" s="26" t="n"/>
      <c r="G217" s="27" t="n"/>
      <c r="H217" s="27" t="n"/>
      <c r="I217" s="27" t="n"/>
      <c r="J217" s="27" t="n"/>
      <c r="K217" s="27" t="n"/>
      <c r="L217" s="27" t="n"/>
      <c r="M217" s="26" t="n"/>
      <c r="N217" s="26" t="n"/>
      <c r="O217" s="28">
        <f>IF($A217="","",IF($D217="","",raporTarihi-$D217))</f>
        <v/>
      </c>
      <c r="P217" s="28">
        <f>IF($A217="","",IF($O217="","",IF($O217&lt;=7,"0-7",IF($O217&lt;=30,"8-30",IF($O217&lt;=60,"31-60","60+")))))</f>
        <v/>
      </c>
      <c r="Q217" s="28">
        <f>IF($A217="","",IF($B217="","YETİM",IF(COUNTIF(tblKartlar[KartId],$B217)=0,"YETİM","")))</f>
        <v/>
      </c>
      <c r="R217" s="28">
        <f>IF(OR($A217="",$E217=""),"",IF(OR($E217&amp;"|"&amp;$F217="",COUNTIF(ListeIzinliGecis,$E217&amp;"|"&amp;$F217)&gt;0),"","GEÇERSİZ GEÇİŞ"))</f>
        <v/>
      </c>
      <c r="S217" s="28">
        <f>IF($A217="","",IF(OR($G217="",$I217=""),"",IF(ABS($I217-$G217)&gt;zincirTolerans,"ZİNCİR KIRIK","OK")))</f>
        <v/>
      </c>
      <c r="T217" s="28">
        <f>IF($A217="","",1)</f>
        <v/>
      </c>
    </row>
    <row r="218">
      <c r="A218" s="26" t="n"/>
      <c r="B218" s="26" t="n"/>
      <c r="C218" s="26" t="n"/>
      <c r="D218" s="29" t="n"/>
      <c r="E218" s="26" t="n"/>
      <c r="F218" s="26" t="n"/>
      <c r="G218" s="27" t="n"/>
      <c r="H218" s="27" t="n"/>
      <c r="I218" s="27" t="n"/>
      <c r="J218" s="27" t="n"/>
      <c r="K218" s="27" t="n"/>
      <c r="L218" s="27" t="n"/>
      <c r="M218" s="26" t="n"/>
      <c r="N218" s="26" t="n"/>
      <c r="O218" s="28">
        <f>IF($A218="","",IF($D218="","",raporTarihi-$D218))</f>
        <v/>
      </c>
      <c r="P218" s="28">
        <f>IF($A218="","",IF($O218="","",IF($O218&lt;=7,"0-7",IF($O218&lt;=30,"8-30",IF($O218&lt;=60,"31-60","60+")))))</f>
        <v/>
      </c>
      <c r="Q218" s="28">
        <f>IF($A218="","",IF($B218="","YETİM",IF(COUNTIF(tblKartlar[KartId],$B218)=0,"YETİM","")))</f>
        <v/>
      </c>
      <c r="R218" s="28">
        <f>IF(OR($A218="",$E218=""),"",IF(OR($E218&amp;"|"&amp;$F218="",COUNTIF(ListeIzinliGecis,$E218&amp;"|"&amp;$F218)&gt;0),"","GEÇERSİZ GEÇİŞ"))</f>
        <v/>
      </c>
      <c r="S218" s="28">
        <f>IF($A218="","",IF(OR($G218="",$I218=""),"",IF(ABS($I218-$G218)&gt;zincirTolerans,"ZİNCİR KIRIK","OK")))</f>
        <v/>
      </c>
      <c r="T218" s="28">
        <f>IF($A218="","",1)</f>
        <v/>
      </c>
    </row>
    <row r="219">
      <c r="A219" s="26" t="n"/>
      <c r="B219" s="26" t="n"/>
      <c r="C219" s="26" t="n"/>
      <c r="D219" s="29" t="n"/>
      <c r="E219" s="26" t="n"/>
      <c r="F219" s="26" t="n"/>
      <c r="G219" s="27" t="n"/>
      <c r="H219" s="27" t="n"/>
      <c r="I219" s="27" t="n"/>
      <c r="J219" s="27" t="n"/>
      <c r="K219" s="27" t="n"/>
      <c r="L219" s="27" t="n"/>
      <c r="M219" s="26" t="n"/>
      <c r="N219" s="26" t="n"/>
      <c r="O219" s="28">
        <f>IF($A219="","",IF($D219="","",raporTarihi-$D219))</f>
        <v/>
      </c>
      <c r="P219" s="28">
        <f>IF($A219="","",IF($O219="","",IF($O219&lt;=7,"0-7",IF($O219&lt;=30,"8-30",IF($O219&lt;=60,"31-60","60+")))))</f>
        <v/>
      </c>
      <c r="Q219" s="28">
        <f>IF($A219="","",IF($B219="","YETİM",IF(COUNTIF(tblKartlar[KartId],$B219)=0,"YETİM","")))</f>
        <v/>
      </c>
      <c r="R219" s="28">
        <f>IF(OR($A219="",$E219=""),"",IF(OR($E219&amp;"|"&amp;$F219="",COUNTIF(ListeIzinliGecis,$E219&amp;"|"&amp;$F219)&gt;0),"","GEÇERSİZ GEÇİŞ"))</f>
        <v/>
      </c>
      <c r="S219" s="28">
        <f>IF($A219="","",IF(OR($G219="",$I219=""),"",IF(ABS($I219-$G219)&gt;zincirTolerans,"ZİNCİR KIRIK","OK")))</f>
        <v/>
      </c>
      <c r="T219" s="28">
        <f>IF($A219="","",1)</f>
        <v/>
      </c>
    </row>
    <row r="220">
      <c r="A220" s="26" t="n"/>
      <c r="B220" s="26" t="n"/>
      <c r="C220" s="26" t="n"/>
      <c r="D220" s="29" t="n"/>
      <c r="E220" s="26" t="n"/>
      <c r="F220" s="26" t="n"/>
      <c r="G220" s="27" t="n"/>
      <c r="H220" s="27" t="n"/>
      <c r="I220" s="27" t="n"/>
      <c r="J220" s="27" t="n"/>
      <c r="K220" s="27" t="n"/>
      <c r="L220" s="27" t="n"/>
      <c r="M220" s="26" t="n"/>
      <c r="N220" s="26" t="n"/>
      <c r="O220" s="28">
        <f>IF($A220="","",IF($D220="","",raporTarihi-$D220))</f>
        <v/>
      </c>
      <c r="P220" s="28">
        <f>IF($A220="","",IF($O220="","",IF($O220&lt;=7,"0-7",IF($O220&lt;=30,"8-30",IF($O220&lt;=60,"31-60","60+")))))</f>
        <v/>
      </c>
      <c r="Q220" s="28">
        <f>IF($A220="","",IF($B220="","YETİM",IF(COUNTIF(tblKartlar[KartId],$B220)=0,"YETİM","")))</f>
        <v/>
      </c>
      <c r="R220" s="28">
        <f>IF(OR($A220="",$E220=""),"",IF(OR($E220&amp;"|"&amp;$F220="",COUNTIF(ListeIzinliGecis,$E220&amp;"|"&amp;$F220)&gt;0),"","GEÇERSİZ GEÇİŞ"))</f>
        <v/>
      </c>
      <c r="S220" s="28">
        <f>IF($A220="","",IF(OR($G220="",$I220=""),"",IF(ABS($I220-$G220)&gt;zincirTolerans,"ZİNCİR KIRIK","OK")))</f>
        <v/>
      </c>
      <c r="T220" s="28">
        <f>IF($A220="","",1)</f>
        <v/>
      </c>
    </row>
    <row r="221">
      <c r="A221" s="26" t="n"/>
      <c r="B221" s="26" t="n"/>
      <c r="C221" s="26" t="n"/>
      <c r="D221" s="29" t="n"/>
      <c r="E221" s="26" t="n"/>
      <c r="F221" s="26" t="n"/>
      <c r="G221" s="27" t="n"/>
      <c r="H221" s="27" t="n"/>
      <c r="I221" s="27" t="n"/>
      <c r="J221" s="27" t="n"/>
      <c r="K221" s="27" t="n"/>
      <c r="L221" s="27" t="n"/>
      <c r="M221" s="26" t="n"/>
      <c r="N221" s="26" t="n"/>
      <c r="O221" s="28">
        <f>IF($A221="","",IF($D221="","",raporTarihi-$D221))</f>
        <v/>
      </c>
      <c r="P221" s="28">
        <f>IF($A221="","",IF($O221="","",IF($O221&lt;=7,"0-7",IF($O221&lt;=30,"8-30",IF($O221&lt;=60,"31-60","60+")))))</f>
        <v/>
      </c>
      <c r="Q221" s="28">
        <f>IF($A221="","",IF($B221="","YETİM",IF(COUNTIF(tblKartlar[KartId],$B221)=0,"YETİM","")))</f>
        <v/>
      </c>
      <c r="R221" s="28">
        <f>IF(OR($A221="",$E221=""),"",IF(OR($E221&amp;"|"&amp;$F221="",COUNTIF(ListeIzinliGecis,$E221&amp;"|"&amp;$F221)&gt;0),"","GEÇERSİZ GEÇİŞ"))</f>
        <v/>
      </c>
      <c r="S221" s="28">
        <f>IF($A221="","",IF(OR($G221="",$I221=""),"",IF(ABS($I221-$G221)&gt;zincirTolerans,"ZİNCİR KIRIK","OK")))</f>
        <v/>
      </c>
      <c r="T221" s="28">
        <f>IF($A221="","",1)</f>
        <v/>
      </c>
    </row>
    <row r="222">
      <c r="A222" s="26" t="n"/>
      <c r="B222" s="26" t="n"/>
      <c r="C222" s="26" t="n"/>
      <c r="D222" s="29" t="n"/>
      <c r="E222" s="26" t="n"/>
      <c r="F222" s="26" t="n"/>
      <c r="G222" s="27" t="n"/>
      <c r="H222" s="27" t="n"/>
      <c r="I222" s="27" t="n"/>
      <c r="J222" s="27" t="n"/>
      <c r="K222" s="27" t="n"/>
      <c r="L222" s="27" t="n"/>
      <c r="M222" s="26" t="n"/>
      <c r="N222" s="26" t="n"/>
      <c r="O222" s="28">
        <f>IF($A222="","",IF($D222="","",raporTarihi-$D222))</f>
        <v/>
      </c>
      <c r="P222" s="28">
        <f>IF($A222="","",IF($O222="","",IF($O222&lt;=7,"0-7",IF($O222&lt;=30,"8-30",IF($O222&lt;=60,"31-60","60+")))))</f>
        <v/>
      </c>
      <c r="Q222" s="28">
        <f>IF($A222="","",IF($B222="","YETİM",IF(COUNTIF(tblKartlar[KartId],$B222)=0,"YETİM","")))</f>
        <v/>
      </c>
      <c r="R222" s="28">
        <f>IF(OR($A222="",$E222=""),"",IF(OR($E222&amp;"|"&amp;$F222="",COUNTIF(ListeIzinliGecis,$E222&amp;"|"&amp;$F222)&gt;0),"","GEÇERSİZ GEÇİŞ"))</f>
        <v/>
      </c>
      <c r="S222" s="28">
        <f>IF($A222="","",IF(OR($G222="",$I222=""),"",IF(ABS($I222-$G222)&gt;zincirTolerans,"ZİNCİR KIRIK","OK")))</f>
        <v/>
      </c>
      <c r="T222" s="28">
        <f>IF($A222="","",1)</f>
        <v/>
      </c>
    </row>
    <row r="223">
      <c r="A223" s="26" t="n"/>
      <c r="B223" s="26" t="n"/>
      <c r="C223" s="26" t="n"/>
      <c r="D223" s="29" t="n"/>
      <c r="E223" s="26" t="n"/>
      <c r="F223" s="26" t="n"/>
      <c r="G223" s="27" t="n"/>
      <c r="H223" s="27" t="n"/>
      <c r="I223" s="27" t="n"/>
      <c r="J223" s="27" t="n"/>
      <c r="K223" s="27" t="n"/>
      <c r="L223" s="27" t="n"/>
      <c r="M223" s="26" t="n"/>
      <c r="N223" s="26" t="n"/>
      <c r="O223" s="28">
        <f>IF($A223="","",IF($D223="","",raporTarihi-$D223))</f>
        <v/>
      </c>
      <c r="P223" s="28">
        <f>IF($A223="","",IF($O223="","",IF($O223&lt;=7,"0-7",IF($O223&lt;=30,"8-30",IF($O223&lt;=60,"31-60","60+")))))</f>
        <v/>
      </c>
      <c r="Q223" s="28">
        <f>IF($A223="","",IF($B223="","YETİM",IF(COUNTIF(tblKartlar[KartId],$B223)=0,"YETİM","")))</f>
        <v/>
      </c>
      <c r="R223" s="28">
        <f>IF(OR($A223="",$E223=""),"",IF(OR($E223&amp;"|"&amp;$F223="",COUNTIF(ListeIzinliGecis,$E223&amp;"|"&amp;$F223)&gt;0),"","GEÇERSİZ GEÇİŞ"))</f>
        <v/>
      </c>
      <c r="S223" s="28">
        <f>IF($A223="","",IF(OR($G223="",$I223=""),"",IF(ABS($I223-$G223)&gt;zincirTolerans,"ZİNCİR KIRIK","OK")))</f>
        <v/>
      </c>
      <c r="T223" s="28">
        <f>IF($A223="","",1)</f>
        <v/>
      </c>
    </row>
    <row r="224">
      <c r="A224" s="26" t="n"/>
      <c r="B224" s="26" t="n"/>
      <c r="C224" s="26" t="n"/>
      <c r="D224" s="29" t="n"/>
      <c r="E224" s="26" t="n"/>
      <c r="F224" s="26" t="n"/>
      <c r="G224" s="27" t="n"/>
      <c r="H224" s="27" t="n"/>
      <c r="I224" s="27" t="n"/>
      <c r="J224" s="27" t="n"/>
      <c r="K224" s="27" t="n"/>
      <c r="L224" s="27" t="n"/>
      <c r="M224" s="26" t="n"/>
      <c r="N224" s="26" t="n"/>
      <c r="O224" s="28">
        <f>IF($A224="","",IF($D224="","",raporTarihi-$D224))</f>
        <v/>
      </c>
      <c r="P224" s="28">
        <f>IF($A224="","",IF($O224="","",IF($O224&lt;=7,"0-7",IF($O224&lt;=30,"8-30",IF($O224&lt;=60,"31-60","60+")))))</f>
        <v/>
      </c>
      <c r="Q224" s="28">
        <f>IF($A224="","",IF($B224="","YETİM",IF(COUNTIF(tblKartlar[KartId],$B224)=0,"YETİM","")))</f>
        <v/>
      </c>
      <c r="R224" s="28">
        <f>IF(OR($A224="",$E224=""),"",IF(OR($E224&amp;"|"&amp;$F224="",COUNTIF(ListeIzinliGecis,$E224&amp;"|"&amp;$F224)&gt;0),"","GEÇERSİZ GEÇİŞ"))</f>
        <v/>
      </c>
      <c r="S224" s="28">
        <f>IF($A224="","",IF(OR($G224="",$I224=""),"",IF(ABS($I224-$G224)&gt;zincirTolerans,"ZİNCİR KIRIK","OK")))</f>
        <v/>
      </c>
      <c r="T224" s="28">
        <f>IF($A224="","",1)</f>
        <v/>
      </c>
    </row>
    <row r="225">
      <c r="A225" s="26" t="n"/>
      <c r="B225" s="26" t="n"/>
      <c r="C225" s="26" t="n"/>
      <c r="D225" s="29" t="n"/>
      <c r="E225" s="26" t="n"/>
      <c r="F225" s="26" t="n"/>
      <c r="G225" s="27" t="n"/>
      <c r="H225" s="27" t="n"/>
      <c r="I225" s="27" t="n"/>
      <c r="J225" s="27" t="n"/>
      <c r="K225" s="27" t="n"/>
      <c r="L225" s="27" t="n"/>
      <c r="M225" s="26" t="n"/>
      <c r="N225" s="26" t="n"/>
      <c r="O225" s="28">
        <f>IF($A225="","",IF($D225="","",raporTarihi-$D225))</f>
        <v/>
      </c>
      <c r="P225" s="28">
        <f>IF($A225="","",IF($O225="","",IF($O225&lt;=7,"0-7",IF($O225&lt;=30,"8-30",IF($O225&lt;=60,"31-60","60+")))))</f>
        <v/>
      </c>
      <c r="Q225" s="28">
        <f>IF($A225="","",IF($B225="","YETİM",IF(COUNTIF(tblKartlar[KartId],$B225)=0,"YETİM","")))</f>
        <v/>
      </c>
      <c r="R225" s="28">
        <f>IF(OR($A225="",$E225=""),"",IF(OR($E225&amp;"|"&amp;$F225="",COUNTIF(ListeIzinliGecis,$E225&amp;"|"&amp;$F225)&gt;0),"","GEÇERSİZ GEÇİŞ"))</f>
        <v/>
      </c>
      <c r="S225" s="28">
        <f>IF($A225="","",IF(OR($G225="",$I225=""),"",IF(ABS($I225-$G225)&gt;zincirTolerans,"ZİNCİR KIRIK","OK")))</f>
        <v/>
      </c>
      <c r="T225" s="28">
        <f>IF($A225="","",1)</f>
        <v/>
      </c>
    </row>
    <row r="226">
      <c r="A226" s="26" t="n"/>
      <c r="B226" s="26" t="n"/>
      <c r="C226" s="26" t="n"/>
      <c r="D226" s="29" t="n"/>
      <c r="E226" s="26" t="n"/>
      <c r="F226" s="26" t="n"/>
      <c r="G226" s="27" t="n"/>
      <c r="H226" s="27" t="n"/>
      <c r="I226" s="27" t="n"/>
      <c r="J226" s="27" t="n"/>
      <c r="K226" s="27" t="n"/>
      <c r="L226" s="27" t="n"/>
      <c r="M226" s="26" t="n"/>
      <c r="N226" s="26" t="n"/>
      <c r="O226" s="28">
        <f>IF($A226="","",IF($D226="","",raporTarihi-$D226))</f>
        <v/>
      </c>
      <c r="P226" s="28">
        <f>IF($A226="","",IF($O226="","",IF($O226&lt;=7,"0-7",IF($O226&lt;=30,"8-30",IF($O226&lt;=60,"31-60","60+")))))</f>
        <v/>
      </c>
      <c r="Q226" s="28">
        <f>IF($A226="","",IF($B226="","YETİM",IF(COUNTIF(tblKartlar[KartId],$B226)=0,"YETİM","")))</f>
        <v/>
      </c>
      <c r="R226" s="28">
        <f>IF(OR($A226="",$E226=""),"",IF(OR($E226&amp;"|"&amp;$F226="",COUNTIF(ListeIzinliGecis,$E226&amp;"|"&amp;$F226)&gt;0),"","GEÇERSİZ GEÇİŞ"))</f>
        <v/>
      </c>
      <c r="S226" s="28">
        <f>IF($A226="","",IF(OR($G226="",$I226=""),"",IF(ABS($I226-$G226)&gt;zincirTolerans,"ZİNCİR KIRIK","OK")))</f>
        <v/>
      </c>
      <c r="T226" s="28">
        <f>IF($A226="","",1)</f>
        <v/>
      </c>
    </row>
    <row r="227">
      <c r="A227" s="26" t="n"/>
      <c r="B227" s="26" t="n"/>
      <c r="C227" s="26" t="n"/>
      <c r="D227" s="29" t="n"/>
      <c r="E227" s="26" t="n"/>
      <c r="F227" s="26" t="n"/>
      <c r="G227" s="27" t="n"/>
      <c r="H227" s="27" t="n"/>
      <c r="I227" s="27" t="n"/>
      <c r="J227" s="27" t="n"/>
      <c r="K227" s="27" t="n"/>
      <c r="L227" s="27" t="n"/>
      <c r="M227" s="26" t="n"/>
      <c r="N227" s="26" t="n"/>
      <c r="O227" s="28">
        <f>IF($A227="","",IF($D227="","",raporTarihi-$D227))</f>
        <v/>
      </c>
      <c r="P227" s="28">
        <f>IF($A227="","",IF($O227="","",IF($O227&lt;=7,"0-7",IF($O227&lt;=30,"8-30",IF($O227&lt;=60,"31-60","60+")))))</f>
        <v/>
      </c>
      <c r="Q227" s="28">
        <f>IF($A227="","",IF($B227="","YETİM",IF(COUNTIF(tblKartlar[KartId],$B227)=0,"YETİM","")))</f>
        <v/>
      </c>
      <c r="R227" s="28">
        <f>IF(OR($A227="",$E227=""),"",IF(OR($E227&amp;"|"&amp;$F227="",COUNTIF(ListeIzinliGecis,$E227&amp;"|"&amp;$F227)&gt;0),"","GEÇERSİZ GEÇİŞ"))</f>
        <v/>
      </c>
      <c r="S227" s="28">
        <f>IF($A227="","",IF(OR($G227="",$I227=""),"",IF(ABS($I227-$G227)&gt;zincirTolerans,"ZİNCİR KIRIK","OK")))</f>
        <v/>
      </c>
      <c r="T227" s="28">
        <f>IF($A227="","",1)</f>
        <v/>
      </c>
    </row>
    <row r="228">
      <c r="A228" s="26" t="n"/>
      <c r="B228" s="26" t="n"/>
      <c r="C228" s="26" t="n"/>
      <c r="D228" s="29" t="n"/>
      <c r="E228" s="26" t="n"/>
      <c r="F228" s="26" t="n"/>
      <c r="G228" s="27" t="n"/>
      <c r="H228" s="27" t="n"/>
      <c r="I228" s="27" t="n"/>
      <c r="J228" s="27" t="n"/>
      <c r="K228" s="27" t="n"/>
      <c r="L228" s="27" t="n"/>
      <c r="M228" s="26" t="n"/>
      <c r="N228" s="26" t="n"/>
      <c r="O228" s="28">
        <f>IF($A228="","",IF($D228="","",raporTarihi-$D228))</f>
        <v/>
      </c>
      <c r="P228" s="28">
        <f>IF($A228="","",IF($O228="","",IF($O228&lt;=7,"0-7",IF($O228&lt;=30,"8-30",IF($O228&lt;=60,"31-60","60+")))))</f>
        <v/>
      </c>
      <c r="Q228" s="28">
        <f>IF($A228="","",IF($B228="","YETİM",IF(COUNTIF(tblKartlar[KartId],$B228)=0,"YETİM","")))</f>
        <v/>
      </c>
      <c r="R228" s="28">
        <f>IF(OR($A228="",$E228=""),"",IF(OR($E228&amp;"|"&amp;$F228="",COUNTIF(ListeIzinliGecis,$E228&amp;"|"&amp;$F228)&gt;0),"","GEÇERSİZ GEÇİŞ"))</f>
        <v/>
      </c>
      <c r="S228" s="28">
        <f>IF($A228="","",IF(OR($G228="",$I228=""),"",IF(ABS($I228-$G228)&gt;zincirTolerans,"ZİNCİR KIRIK","OK")))</f>
        <v/>
      </c>
      <c r="T228" s="28">
        <f>IF($A228="","",1)</f>
        <v/>
      </c>
    </row>
    <row r="229">
      <c r="A229" s="26" t="n"/>
      <c r="B229" s="26" t="n"/>
      <c r="C229" s="26" t="n"/>
      <c r="D229" s="29" t="n"/>
      <c r="E229" s="26" t="n"/>
      <c r="F229" s="26" t="n"/>
      <c r="G229" s="27" t="n"/>
      <c r="H229" s="27" t="n"/>
      <c r="I229" s="27" t="n"/>
      <c r="J229" s="27" t="n"/>
      <c r="K229" s="27" t="n"/>
      <c r="L229" s="27" t="n"/>
      <c r="M229" s="26" t="n"/>
      <c r="N229" s="26" t="n"/>
      <c r="O229" s="28">
        <f>IF($A229="","",IF($D229="","",raporTarihi-$D229))</f>
        <v/>
      </c>
      <c r="P229" s="28">
        <f>IF($A229="","",IF($O229="","",IF($O229&lt;=7,"0-7",IF($O229&lt;=30,"8-30",IF($O229&lt;=60,"31-60","60+")))))</f>
        <v/>
      </c>
      <c r="Q229" s="28">
        <f>IF($A229="","",IF($B229="","YETİM",IF(COUNTIF(tblKartlar[KartId],$B229)=0,"YETİM","")))</f>
        <v/>
      </c>
      <c r="R229" s="28">
        <f>IF(OR($A229="",$E229=""),"",IF(OR($E229&amp;"|"&amp;$F229="",COUNTIF(ListeIzinliGecis,$E229&amp;"|"&amp;$F229)&gt;0),"","GEÇERSİZ GEÇİŞ"))</f>
        <v/>
      </c>
      <c r="S229" s="28">
        <f>IF($A229="","",IF(OR($G229="",$I229=""),"",IF(ABS($I229-$G229)&gt;zincirTolerans,"ZİNCİR KIRIK","OK")))</f>
        <v/>
      </c>
      <c r="T229" s="28">
        <f>IF($A229="","",1)</f>
        <v/>
      </c>
    </row>
    <row r="230">
      <c r="A230" s="26" t="n"/>
      <c r="B230" s="26" t="n"/>
      <c r="C230" s="26" t="n"/>
      <c r="D230" s="29" t="n"/>
      <c r="E230" s="26" t="n"/>
      <c r="F230" s="26" t="n"/>
      <c r="G230" s="27" t="n"/>
      <c r="H230" s="27" t="n"/>
      <c r="I230" s="27" t="n"/>
      <c r="J230" s="27" t="n"/>
      <c r="K230" s="27" t="n"/>
      <c r="L230" s="27" t="n"/>
      <c r="M230" s="26" t="n"/>
      <c r="N230" s="26" t="n"/>
      <c r="O230" s="28">
        <f>IF($A230="","",IF($D230="","",raporTarihi-$D230))</f>
        <v/>
      </c>
      <c r="P230" s="28">
        <f>IF($A230="","",IF($O230="","",IF($O230&lt;=7,"0-7",IF($O230&lt;=30,"8-30",IF($O230&lt;=60,"31-60","60+")))))</f>
        <v/>
      </c>
      <c r="Q230" s="28">
        <f>IF($A230="","",IF($B230="","YETİM",IF(COUNTIF(tblKartlar[KartId],$B230)=0,"YETİM","")))</f>
        <v/>
      </c>
      <c r="R230" s="28">
        <f>IF(OR($A230="",$E230=""),"",IF(OR($E230&amp;"|"&amp;$F230="",COUNTIF(ListeIzinliGecis,$E230&amp;"|"&amp;$F230)&gt;0),"","GEÇERSİZ GEÇİŞ"))</f>
        <v/>
      </c>
      <c r="S230" s="28">
        <f>IF($A230="","",IF(OR($G230="",$I230=""),"",IF(ABS($I230-$G230)&gt;zincirTolerans,"ZİNCİR KIRIK","OK")))</f>
        <v/>
      </c>
      <c r="T230" s="28">
        <f>IF($A230="","",1)</f>
        <v/>
      </c>
    </row>
    <row r="231">
      <c r="A231" s="26" t="n"/>
      <c r="B231" s="26" t="n"/>
      <c r="C231" s="26" t="n"/>
      <c r="D231" s="29" t="n"/>
      <c r="E231" s="26" t="n"/>
      <c r="F231" s="26" t="n"/>
      <c r="G231" s="27" t="n"/>
      <c r="H231" s="27" t="n"/>
      <c r="I231" s="27" t="n"/>
      <c r="J231" s="27" t="n"/>
      <c r="K231" s="27" t="n"/>
      <c r="L231" s="27" t="n"/>
      <c r="M231" s="26" t="n"/>
      <c r="N231" s="26" t="n"/>
      <c r="O231" s="28">
        <f>IF($A231="","",IF($D231="","",raporTarihi-$D231))</f>
        <v/>
      </c>
      <c r="P231" s="28">
        <f>IF($A231="","",IF($O231="","",IF($O231&lt;=7,"0-7",IF($O231&lt;=30,"8-30",IF($O231&lt;=60,"31-60","60+")))))</f>
        <v/>
      </c>
      <c r="Q231" s="28">
        <f>IF($A231="","",IF($B231="","YETİM",IF(COUNTIF(tblKartlar[KartId],$B231)=0,"YETİM","")))</f>
        <v/>
      </c>
      <c r="R231" s="28">
        <f>IF(OR($A231="",$E231=""),"",IF(OR($E231&amp;"|"&amp;$F231="",COUNTIF(ListeIzinliGecis,$E231&amp;"|"&amp;$F231)&gt;0),"","GEÇERSİZ GEÇİŞ"))</f>
        <v/>
      </c>
      <c r="S231" s="28">
        <f>IF($A231="","",IF(OR($G231="",$I231=""),"",IF(ABS($I231-$G231)&gt;zincirTolerans,"ZİNCİR KIRIK","OK")))</f>
        <v/>
      </c>
      <c r="T231" s="28">
        <f>IF($A231="","",1)</f>
        <v/>
      </c>
    </row>
    <row r="232">
      <c r="A232" s="26" t="n"/>
      <c r="B232" s="26" t="n"/>
      <c r="C232" s="26" t="n"/>
      <c r="D232" s="29" t="n"/>
      <c r="E232" s="26" t="n"/>
      <c r="F232" s="26" t="n"/>
      <c r="G232" s="27" t="n"/>
      <c r="H232" s="27" t="n"/>
      <c r="I232" s="27" t="n"/>
      <c r="J232" s="27" t="n"/>
      <c r="K232" s="27" t="n"/>
      <c r="L232" s="27" t="n"/>
      <c r="M232" s="26" t="n"/>
      <c r="N232" s="26" t="n"/>
      <c r="O232" s="28">
        <f>IF($A232="","",IF($D232="","",raporTarihi-$D232))</f>
        <v/>
      </c>
      <c r="P232" s="28">
        <f>IF($A232="","",IF($O232="","",IF($O232&lt;=7,"0-7",IF($O232&lt;=30,"8-30",IF($O232&lt;=60,"31-60","60+")))))</f>
        <v/>
      </c>
      <c r="Q232" s="28">
        <f>IF($A232="","",IF($B232="","YETİM",IF(COUNTIF(tblKartlar[KartId],$B232)=0,"YETİM","")))</f>
        <v/>
      </c>
      <c r="R232" s="28">
        <f>IF(OR($A232="",$E232=""),"",IF(OR($E232&amp;"|"&amp;$F232="",COUNTIF(ListeIzinliGecis,$E232&amp;"|"&amp;$F232)&gt;0),"","GEÇERSİZ GEÇİŞ"))</f>
        <v/>
      </c>
      <c r="S232" s="28">
        <f>IF($A232="","",IF(OR($G232="",$I232=""),"",IF(ABS($I232-$G232)&gt;zincirTolerans,"ZİNCİR KIRIK","OK")))</f>
        <v/>
      </c>
      <c r="T232" s="28">
        <f>IF($A232="","",1)</f>
        <v/>
      </c>
    </row>
    <row r="233">
      <c r="A233" s="26" t="n"/>
      <c r="B233" s="26" t="n"/>
      <c r="C233" s="26" t="n"/>
      <c r="D233" s="29" t="n"/>
      <c r="E233" s="26" t="n"/>
      <c r="F233" s="26" t="n"/>
      <c r="G233" s="27" t="n"/>
      <c r="H233" s="27" t="n"/>
      <c r="I233" s="27" t="n"/>
      <c r="J233" s="27" t="n"/>
      <c r="K233" s="27" t="n"/>
      <c r="L233" s="27" t="n"/>
      <c r="M233" s="26" t="n"/>
      <c r="N233" s="26" t="n"/>
      <c r="O233" s="28">
        <f>IF($A233="","",IF($D233="","",raporTarihi-$D233))</f>
        <v/>
      </c>
      <c r="P233" s="28">
        <f>IF($A233="","",IF($O233="","",IF($O233&lt;=7,"0-7",IF($O233&lt;=30,"8-30",IF($O233&lt;=60,"31-60","60+")))))</f>
        <v/>
      </c>
      <c r="Q233" s="28">
        <f>IF($A233="","",IF($B233="","YETİM",IF(COUNTIF(tblKartlar[KartId],$B233)=0,"YETİM","")))</f>
        <v/>
      </c>
      <c r="R233" s="28">
        <f>IF(OR($A233="",$E233=""),"",IF(OR($E233&amp;"|"&amp;$F233="",COUNTIF(ListeIzinliGecis,$E233&amp;"|"&amp;$F233)&gt;0),"","GEÇERSİZ GEÇİŞ"))</f>
        <v/>
      </c>
      <c r="S233" s="28">
        <f>IF($A233="","",IF(OR($G233="",$I233=""),"",IF(ABS($I233-$G233)&gt;zincirTolerans,"ZİNCİR KIRIK","OK")))</f>
        <v/>
      </c>
      <c r="T233" s="28">
        <f>IF($A233="","",1)</f>
        <v/>
      </c>
    </row>
    <row r="234">
      <c r="A234" s="26" t="n"/>
      <c r="B234" s="26" t="n"/>
      <c r="C234" s="26" t="n"/>
      <c r="D234" s="29" t="n"/>
      <c r="E234" s="26" t="n"/>
      <c r="F234" s="26" t="n"/>
      <c r="G234" s="27" t="n"/>
      <c r="H234" s="27" t="n"/>
      <c r="I234" s="27" t="n"/>
      <c r="J234" s="27" t="n"/>
      <c r="K234" s="27" t="n"/>
      <c r="L234" s="27" t="n"/>
      <c r="M234" s="26" t="n"/>
      <c r="N234" s="26" t="n"/>
      <c r="O234" s="28">
        <f>IF($A234="","",IF($D234="","",raporTarihi-$D234))</f>
        <v/>
      </c>
      <c r="P234" s="28">
        <f>IF($A234="","",IF($O234="","",IF($O234&lt;=7,"0-7",IF($O234&lt;=30,"8-30",IF($O234&lt;=60,"31-60","60+")))))</f>
        <v/>
      </c>
      <c r="Q234" s="28">
        <f>IF($A234="","",IF($B234="","YETİM",IF(COUNTIF(tblKartlar[KartId],$B234)=0,"YETİM","")))</f>
        <v/>
      </c>
      <c r="R234" s="28">
        <f>IF(OR($A234="",$E234=""),"",IF(OR($E234&amp;"|"&amp;$F234="",COUNTIF(ListeIzinliGecis,$E234&amp;"|"&amp;$F234)&gt;0),"","GEÇERSİZ GEÇİŞ"))</f>
        <v/>
      </c>
      <c r="S234" s="28">
        <f>IF($A234="","",IF(OR($G234="",$I234=""),"",IF(ABS($I234-$G234)&gt;zincirTolerans,"ZİNCİR KIRIK","OK")))</f>
        <v/>
      </c>
      <c r="T234" s="28">
        <f>IF($A234="","",1)</f>
        <v/>
      </c>
    </row>
    <row r="235">
      <c r="A235" s="26" t="n"/>
      <c r="B235" s="26" t="n"/>
      <c r="C235" s="26" t="n"/>
      <c r="D235" s="29" t="n"/>
      <c r="E235" s="26" t="n"/>
      <c r="F235" s="26" t="n"/>
      <c r="G235" s="27" t="n"/>
      <c r="H235" s="27" t="n"/>
      <c r="I235" s="27" t="n"/>
      <c r="J235" s="27" t="n"/>
      <c r="K235" s="27" t="n"/>
      <c r="L235" s="27" t="n"/>
      <c r="M235" s="26" t="n"/>
      <c r="N235" s="26" t="n"/>
      <c r="O235" s="28">
        <f>IF($A235="","",IF($D235="","",raporTarihi-$D235))</f>
        <v/>
      </c>
      <c r="P235" s="28">
        <f>IF($A235="","",IF($O235="","",IF($O235&lt;=7,"0-7",IF($O235&lt;=30,"8-30",IF($O235&lt;=60,"31-60","60+")))))</f>
        <v/>
      </c>
      <c r="Q235" s="28">
        <f>IF($A235="","",IF($B235="","YETİM",IF(COUNTIF(tblKartlar[KartId],$B235)=0,"YETİM","")))</f>
        <v/>
      </c>
      <c r="R235" s="28">
        <f>IF(OR($A235="",$E235=""),"",IF(OR($E235&amp;"|"&amp;$F235="",COUNTIF(ListeIzinliGecis,$E235&amp;"|"&amp;$F235)&gt;0),"","GEÇERSİZ GEÇİŞ"))</f>
        <v/>
      </c>
      <c r="S235" s="28">
        <f>IF($A235="","",IF(OR($G235="",$I235=""),"",IF(ABS($I235-$G235)&gt;zincirTolerans,"ZİNCİR KIRIK","OK")))</f>
        <v/>
      </c>
      <c r="T235" s="28">
        <f>IF($A235="","",1)</f>
        <v/>
      </c>
    </row>
    <row r="236">
      <c r="A236" s="26" t="n"/>
      <c r="B236" s="26" t="n"/>
      <c r="C236" s="26" t="n"/>
      <c r="D236" s="29" t="n"/>
      <c r="E236" s="26" t="n"/>
      <c r="F236" s="26" t="n"/>
      <c r="G236" s="27" t="n"/>
      <c r="H236" s="27" t="n"/>
      <c r="I236" s="27" t="n"/>
      <c r="J236" s="27" t="n"/>
      <c r="K236" s="27" t="n"/>
      <c r="L236" s="27" t="n"/>
      <c r="M236" s="26" t="n"/>
      <c r="N236" s="26" t="n"/>
      <c r="O236" s="28">
        <f>IF($A236="","",IF($D236="","",raporTarihi-$D236))</f>
        <v/>
      </c>
      <c r="P236" s="28">
        <f>IF($A236="","",IF($O236="","",IF($O236&lt;=7,"0-7",IF($O236&lt;=30,"8-30",IF($O236&lt;=60,"31-60","60+")))))</f>
        <v/>
      </c>
      <c r="Q236" s="28">
        <f>IF($A236="","",IF($B236="","YETİM",IF(COUNTIF(tblKartlar[KartId],$B236)=0,"YETİM","")))</f>
        <v/>
      </c>
      <c r="R236" s="28">
        <f>IF(OR($A236="",$E236=""),"",IF(OR($E236&amp;"|"&amp;$F236="",COUNTIF(ListeIzinliGecis,$E236&amp;"|"&amp;$F236)&gt;0),"","GEÇERSİZ GEÇİŞ"))</f>
        <v/>
      </c>
      <c r="S236" s="28">
        <f>IF($A236="","",IF(OR($G236="",$I236=""),"",IF(ABS($I236-$G236)&gt;zincirTolerans,"ZİNCİR KIRIK","OK")))</f>
        <v/>
      </c>
      <c r="T236" s="28">
        <f>IF($A236="","",1)</f>
        <v/>
      </c>
    </row>
    <row r="237">
      <c r="A237" s="26" t="n"/>
      <c r="B237" s="26" t="n"/>
      <c r="C237" s="26" t="n"/>
      <c r="D237" s="29" t="n"/>
      <c r="E237" s="26" t="n"/>
      <c r="F237" s="26" t="n"/>
      <c r="G237" s="27" t="n"/>
      <c r="H237" s="27" t="n"/>
      <c r="I237" s="27" t="n"/>
      <c r="J237" s="27" t="n"/>
      <c r="K237" s="27" t="n"/>
      <c r="L237" s="27" t="n"/>
      <c r="M237" s="26" t="n"/>
      <c r="N237" s="26" t="n"/>
      <c r="O237" s="28">
        <f>IF($A237="","",IF($D237="","",raporTarihi-$D237))</f>
        <v/>
      </c>
      <c r="P237" s="28">
        <f>IF($A237="","",IF($O237="","",IF($O237&lt;=7,"0-7",IF($O237&lt;=30,"8-30",IF($O237&lt;=60,"31-60","60+")))))</f>
        <v/>
      </c>
      <c r="Q237" s="28">
        <f>IF($A237="","",IF($B237="","YETİM",IF(COUNTIF(tblKartlar[KartId],$B237)=0,"YETİM","")))</f>
        <v/>
      </c>
      <c r="R237" s="28">
        <f>IF(OR($A237="",$E237=""),"",IF(OR($E237&amp;"|"&amp;$F237="",COUNTIF(ListeIzinliGecis,$E237&amp;"|"&amp;$F237)&gt;0),"","GEÇERSİZ GEÇİŞ"))</f>
        <v/>
      </c>
      <c r="S237" s="28">
        <f>IF($A237="","",IF(OR($G237="",$I237=""),"",IF(ABS($I237-$G237)&gt;zincirTolerans,"ZİNCİR KIRIK","OK")))</f>
        <v/>
      </c>
      <c r="T237" s="28">
        <f>IF($A237="","",1)</f>
        <v/>
      </c>
    </row>
    <row r="238">
      <c r="A238" s="26" t="n"/>
      <c r="B238" s="26" t="n"/>
      <c r="C238" s="26" t="n"/>
      <c r="D238" s="29" t="n"/>
      <c r="E238" s="26" t="n"/>
      <c r="F238" s="26" t="n"/>
      <c r="G238" s="27" t="n"/>
      <c r="H238" s="27" t="n"/>
      <c r="I238" s="27" t="n"/>
      <c r="J238" s="27" t="n"/>
      <c r="K238" s="27" t="n"/>
      <c r="L238" s="27" t="n"/>
      <c r="M238" s="26" t="n"/>
      <c r="N238" s="26" t="n"/>
      <c r="O238" s="28">
        <f>IF($A238="","",IF($D238="","",raporTarihi-$D238))</f>
        <v/>
      </c>
      <c r="P238" s="28">
        <f>IF($A238="","",IF($O238="","",IF($O238&lt;=7,"0-7",IF($O238&lt;=30,"8-30",IF($O238&lt;=60,"31-60","60+")))))</f>
        <v/>
      </c>
      <c r="Q238" s="28">
        <f>IF($A238="","",IF($B238="","YETİM",IF(COUNTIF(tblKartlar[KartId],$B238)=0,"YETİM","")))</f>
        <v/>
      </c>
      <c r="R238" s="28">
        <f>IF(OR($A238="",$E238=""),"",IF(OR($E238&amp;"|"&amp;$F238="",COUNTIF(ListeIzinliGecis,$E238&amp;"|"&amp;$F238)&gt;0),"","GEÇERSİZ GEÇİŞ"))</f>
        <v/>
      </c>
      <c r="S238" s="28">
        <f>IF($A238="","",IF(OR($G238="",$I238=""),"",IF(ABS($I238-$G238)&gt;zincirTolerans,"ZİNCİR KIRIK","OK")))</f>
        <v/>
      </c>
      <c r="T238" s="28">
        <f>IF($A238="","",1)</f>
        <v/>
      </c>
    </row>
    <row r="239">
      <c r="A239" s="26" t="n"/>
      <c r="B239" s="26" t="n"/>
      <c r="C239" s="26" t="n"/>
      <c r="D239" s="29" t="n"/>
      <c r="E239" s="26" t="n"/>
      <c r="F239" s="26" t="n"/>
      <c r="G239" s="27" t="n"/>
      <c r="H239" s="27" t="n"/>
      <c r="I239" s="27" t="n"/>
      <c r="J239" s="27" t="n"/>
      <c r="K239" s="27" t="n"/>
      <c r="L239" s="27" t="n"/>
      <c r="M239" s="26" t="n"/>
      <c r="N239" s="26" t="n"/>
      <c r="O239" s="28">
        <f>IF($A239="","",IF($D239="","",raporTarihi-$D239))</f>
        <v/>
      </c>
      <c r="P239" s="28">
        <f>IF($A239="","",IF($O239="","",IF($O239&lt;=7,"0-7",IF($O239&lt;=30,"8-30",IF($O239&lt;=60,"31-60","60+")))))</f>
        <v/>
      </c>
      <c r="Q239" s="28">
        <f>IF($A239="","",IF($B239="","YETİM",IF(COUNTIF(tblKartlar[KartId],$B239)=0,"YETİM","")))</f>
        <v/>
      </c>
      <c r="R239" s="28">
        <f>IF(OR($A239="",$E239=""),"",IF(OR($E239&amp;"|"&amp;$F239="",COUNTIF(ListeIzinliGecis,$E239&amp;"|"&amp;$F239)&gt;0),"","GEÇERSİZ GEÇİŞ"))</f>
        <v/>
      </c>
      <c r="S239" s="28">
        <f>IF($A239="","",IF(OR($G239="",$I239=""),"",IF(ABS($I239-$G239)&gt;zincirTolerans,"ZİNCİR KIRIK","OK")))</f>
        <v/>
      </c>
      <c r="T239" s="28">
        <f>IF($A239="","",1)</f>
        <v/>
      </c>
    </row>
    <row r="240">
      <c r="A240" s="26" t="n"/>
      <c r="B240" s="26" t="n"/>
      <c r="C240" s="26" t="n"/>
      <c r="D240" s="29" t="n"/>
      <c r="E240" s="26" t="n"/>
      <c r="F240" s="26" t="n"/>
      <c r="G240" s="27" t="n"/>
      <c r="H240" s="27" t="n"/>
      <c r="I240" s="27" t="n"/>
      <c r="J240" s="27" t="n"/>
      <c r="K240" s="27" t="n"/>
      <c r="L240" s="27" t="n"/>
      <c r="M240" s="26" t="n"/>
      <c r="N240" s="26" t="n"/>
      <c r="O240" s="28">
        <f>IF($A240="","",IF($D240="","",raporTarihi-$D240))</f>
        <v/>
      </c>
      <c r="P240" s="28">
        <f>IF($A240="","",IF($O240="","",IF($O240&lt;=7,"0-7",IF($O240&lt;=30,"8-30",IF($O240&lt;=60,"31-60","60+")))))</f>
        <v/>
      </c>
      <c r="Q240" s="28">
        <f>IF($A240="","",IF($B240="","YETİM",IF(COUNTIF(tblKartlar[KartId],$B240)=0,"YETİM","")))</f>
        <v/>
      </c>
      <c r="R240" s="28">
        <f>IF(OR($A240="",$E240=""),"",IF(OR($E240&amp;"|"&amp;$F240="",COUNTIF(ListeIzinliGecis,$E240&amp;"|"&amp;$F240)&gt;0),"","GEÇERSİZ GEÇİŞ"))</f>
        <v/>
      </c>
      <c r="S240" s="28">
        <f>IF($A240="","",IF(OR($G240="",$I240=""),"",IF(ABS($I240-$G240)&gt;zincirTolerans,"ZİNCİR KIRIK","OK")))</f>
        <v/>
      </c>
      <c r="T240" s="28">
        <f>IF($A240="","",1)</f>
        <v/>
      </c>
    </row>
    <row r="241">
      <c r="A241" s="26" t="n"/>
      <c r="B241" s="26" t="n"/>
      <c r="C241" s="26" t="n"/>
      <c r="D241" s="29" t="n"/>
      <c r="E241" s="26" t="n"/>
      <c r="F241" s="26" t="n"/>
      <c r="G241" s="27" t="n"/>
      <c r="H241" s="27" t="n"/>
      <c r="I241" s="27" t="n"/>
      <c r="J241" s="27" t="n"/>
      <c r="K241" s="27" t="n"/>
      <c r="L241" s="27" t="n"/>
      <c r="M241" s="26" t="n"/>
      <c r="N241" s="26" t="n"/>
      <c r="O241" s="28">
        <f>IF($A241="","",IF($D241="","",raporTarihi-$D241))</f>
        <v/>
      </c>
      <c r="P241" s="28">
        <f>IF($A241="","",IF($O241="","",IF($O241&lt;=7,"0-7",IF($O241&lt;=30,"8-30",IF($O241&lt;=60,"31-60","60+")))))</f>
        <v/>
      </c>
      <c r="Q241" s="28">
        <f>IF($A241="","",IF($B241="","YETİM",IF(COUNTIF(tblKartlar[KartId],$B241)=0,"YETİM","")))</f>
        <v/>
      </c>
      <c r="R241" s="28">
        <f>IF(OR($A241="",$E241=""),"",IF(OR($E241&amp;"|"&amp;$F241="",COUNTIF(ListeIzinliGecis,$E241&amp;"|"&amp;$F241)&gt;0),"","GEÇERSİZ GEÇİŞ"))</f>
        <v/>
      </c>
      <c r="S241" s="28">
        <f>IF($A241="","",IF(OR($G241="",$I241=""),"",IF(ABS($I241-$G241)&gt;zincirTolerans,"ZİNCİR KIRIK","OK")))</f>
        <v/>
      </c>
      <c r="T241" s="28">
        <f>IF($A241="","",1)</f>
        <v/>
      </c>
    </row>
    <row r="242">
      <c r="A242" s="26" t="n"/>
      <c r="B242" s="26" t="n"/>
      <c r="C242" s="26" t="n"/>
      <c r="D242" s="29" t="n"/>
      <c r="E242" s="26" t="n"/>
      <c r="F242" s="26" t="n"/>
      <c r="G242" s="27" t="n"/>
      <c r="H242" s="27" t="n"/>
      <c r="I242" s="27" t="n"/>
      <c r="J242" s="27" t="n"/>
      <c r="K242" s="27" t="n"/>
      <c r="L242" s="27" t="n"/>
      <c r="M242" s="26" t="n"/>
      <c r="N242" s="26" t="n"/>
      <c r="O242" s="28">
        <f>IF($A242="","",IF($D242="","",raporTarihi-$D242))</f>
        <v/>
      </c>
      <c r="P242" s="28">
        <f>IF($A242="","",IF($O242="","",IF($O242&lt;=7,"0-7",IF($O242&lt;=30,"8-30",IF($O242&lt;=60,"31-60","60+")))))</f>
        <v/>
      </c>
      <c r="Q242" s="28">
        <f>IF($A242="","",IF($B242="","YETİM",IF(COUNTIF(tblKartlar[KartId],$B242)=0,"YETİM","")))</f>
        <v/>
      </c>
      <c r="R242" s="28">
        <f>IF(OR($A242="",$E242=""),"",IF(OR($E242&amp;"|"&amp;$F242="",COUNTIF(ListeIzinliGecis,$E242&amp;"|"&amp;$F242)&gt;0),"","GEÇERSİZ GEÇİŞ"))</f>
        <v/>
      </c>
      <c r="S242" s="28">
        <f>IF($A242="","",IF(OR($G242="",$I242=""),"",IF(ABS($I242-$G242)&gt;zincirTolerans,"ZİNCİR KIRIK","OK")))</f>
        <v/>
      </c>
      <c r="T242" s="28">
        <f>IF($A242="","",1)</f>
        <v/>
      </c>
    </row>
    <row r="243">
      <c r="A243" s="26" t="n"/>
      <c r="B243" s="26" t="n"/>
      <c r="C243" s="26" t="n"/>
      <c r="D243" s="29" t="n"/>
      <c r="E243" s="26" t="n"/>
      <c r="F243" s="26" t="n"/>
      <c r="G243" s="27" t="n"/>
      <c r="H243" s="27" t="n"/>
      <c r="I243" s="27" t="n"/>
      <c r="J243" s="27" t="n"/>
      <c r="K243" s="27" t="n"/>
      <c r="L243" s="27" t="n"/>
      <c r="M243" s="26" t="n"/>
      <c r="N243" s="26" t="n"/>
      <c r="O243" s="28">
        <f>IF($A243="","",IF($D243="","",raporTarihi-$D243))</f>
        <v/>
      </c>
      <c r="P243" s="28">
        <f>IF($A243="","",IF($O243="","",IF($O243&lt;=7,"0-7",IF($O243&lt;=30,"8-30",IF($O243&lt;=60,"31-60","60+")))))</f>
        <v/>
      </c>
      <c r="Q243" s="28">
        <f>IF($A243="","",IF($B243="","YETİM",IF(COUNTIF(tblKartlar[KartId],$B243)=0,"YETİM","")))</f>
        <v/>
      </c>
      <c r="R243" s="28">
        <f>IF(OR($A243="",$E243=""),"",IF(OR($E243&amp;"|"&amp;$F243="",COUNTIF(ListeIzinliGecis,$E243&amp;"|"&amp;$F243)&gt;0),"","GEÇERSİZ GEÇİŞ"))</f>
        <v/>
      </c>
      <c r="S243" s="28">
        <f>IF($A243="","",IF(OR($G243="",$I243=""),"",IF(ABS($I243-$G243)&gt;zincirTolerans,"ZİNCİR KIRIK","OK")))</f>
        <v/>
      </c>
      <c r="T243" s="28">
        <f>IF($A243="","",1)</f>
        <v/>
      </c>
    </row>
    <row r="244">
      <c r="A244" s="26" t="n"/>
      <c r="B244" s="26" t="n"/>
      <c r="C244" s="26" t="n"/>
      <c r="D244" s="29" t="n"/>
      <c r="E244" s="26" t="n"/>
      <c r="F244" s="26" t="n"/>
      <c r="G244" s="27" t="n"/>
      <c r="H244" s="27" t="n"/>
      <c r="I244" s="27" t="n"/>
      <c r="J244" s="27" t="n"/>
      <c r="K244" s="27" t="n"/>
      <c r="L244" s="27" t="n"/>
      <c r="M244" s="26" t="n"/>
      <c r="N244" s="26" t="n"/>
      <c r="O244" s="28">
        <f>IF($A244="","",IF($D244="","",raporTarihi-$D244))</f>
        <v/>
      </c>
      <c r="P244" s="28">
        <f>IF($A244="","",IF($O244="","",IF($O244&lt;=7,"0-7",IF($O244&lt;=30,"8-30",IF($O244&lt;=60,"31-60","60+")))))</f>
        <v/>
      </c>
      <c r="Q244" s="28">
        <f>IF($A244="","",IF($B244="","YETİM",IF(COUNTIF(tblKartlar[KartId],$B244)=0,"YETİM","")))</f>
        <v/>
      </c>
      <c r="R244" s="28">
        <f>IF(OR($A244="",$E244=""),"",IF(OR($E244&amp;"|"&amp;$F244="",COUNTIF(ListeIzinliGecis,$E244&amp;"|"&amp;$F244)&gt;0),"","GEÇERSİZ GEÇİŞ"))</f>
        <v/>
      </c>
      <c r="S244" s="28">
        <f>IF($A244="","",IF(OR($G244="",$I244=""),"",IF(ABS($I244-$G244)&gt;zincirTolerans,"ZİNCİR KIRIK","OK")))</f>
        <v/>
      </c>
      <c r="T244" s="28">
        <f>IF($A244="","",1)</f>
        <v/>
      </c>
    </row>
    <row r="245">
      <c r="A245" s="26" t="n"/>
      <c r="B245" s="26" t="n"/>
      <c r="C245" s="26" t="n"/>
      <c r="D245" s="29" t="n"/>
      <c r="E245" s="26" t="n"/>
      <c r="F245" s="26" t="n"/>
      <c r="G245" s="27" t="n"/>
      <c r="H245" s="27" t="n"/>
      <c r="I245" s="27" t="n"/>
      <c r="J245" s="27" t="n"/>
      <c r="K245" s="27" t="n"/>
      <c r="L245" s="27" t="n"/>
      <c r="M245" s="26" t="n"/>
      <c r="N245" s="26" t="n"/>
      <c r="O245" s="28">
        <f>IF($A245="","",IF($D245="","",raporTarihi-$D245))</f>
        <v/>
      </c>
      <c r="P245" s="28">
        <f>IF($A245="","",IF($O245="","",IF($O245&lt;=7,"0-7",IF($O245&lt;=30,"8-30",IF($O245&lt;=60,"31-60","60+")))))</f>
        <v/>
      </c>
      <c r="Q245" s="28">
        <f>IF($A245="","",IF($B245="","YETİM",IF(COUNTIF(tblKartlar[KartId],$B245)=0,"YETİM","")))</f>
        <v/>
      </c>
      <c r="R245" s="28">
        <f>IF(OR($A245="",$E245=""),"",IF(OR($E245&amp;"|"&amp;$F245="",COUNTIF(ListeIzinliGecis,$E245&amp;"|"&amp;$F245)&gt;0),"","GEÇERSİZ GEÇİŞ"))</f>
        <v/>
      </c>
      <c r="S245" s="28">
        <f>IF($A245="","",IF(OR($G245="",$I245=""),"",IF(ABS($I245-$G245)&gt;zincirTolerans,"ZİNCİR KIRIK","OK")))</f>
        <v/>
      </c>
      <c r="T245" s="28">
        <f>IF($A245="","",1)</f>
        <v/>
      </c>
    </row>
    <row r="246">
      <c r="A246" s="26" t="n"/>
      <c r="B246" s="26" t="n"/>
      <c r="C246" s="26" t="n"/>
      <c r="D246" s="29" t="n"/>
      <c r="E246" s="26" t="n"/>
      <c r="F246" s="26" t="n"/>
      <c r="G246" s="27" t="n"/>
      <c r="H246" s="27" t="n"/>
      <c r="I246" s="27" t="n"/>
      <c r="J246" s="27" t="n"/>
      <c r="K246" s="27" t="n"/>
      <c r="L246" s="27" t="n"/>
      <c r="M246" s="26" t="n"/>
      <c r="N246" s="26" t="n"/>
      <c r="O246" s="28">
        <f>IF($A246="","",IF($D246="","",raporTarihi-$D246))</f>
        <v/>
      </c>
      <c r="P246" s="28">
        <f>IF($A246="","",IF($O246="","",IF($O246&lt;=7,"0-7",IF($O246&lt;=30,"8-30",IF($O246&lt;=60,"31-60","60+")))))</f>
        <v/>
      </c>
      <c r="Q246" s="28">
        <f>IF($A246="","",IF($B246="","YETİM",IF(COUNTIF(tblKartlar[KartId],$B246)=0,"YETİM","")))</f>
        <v/>
      </c>
      <c r="R246" s="28">
        <f>IF(OR($A246="",$E246=""),"",IF(OR($E246&amp;"|"&amp;$F246="",COUNTIF(ListeIzinliGecis,$E246&amp;"|"&amp;$F246)&gt;0),"","GEÇERSİZ GEÇİŞ"))</f>
        <v/>
      </c>
      <c r="S246" s="28">
        <f>IF($A246="","",IF(OR($G246="",$I246=""),"",IF(ABS($I246-$G246)&gt;zincirTolerans,"ZİNCİR KIRIK","OK")))</f>
        <v/>
      </c>
      <c r="T246" s="28">
        <f>IF($A246="","",1)</f>
        <v/>
      </c>
    </row>
    <row r="247">
      <c r="A247" s="26" t="n"/>
      <c r="B247" s="26" t="n"/>
      <c r="C247" s="26" t="n"/>
      <c r="D247" s="29" t="n"/>
      <c r="E247" s="26" t="n"/>
      <c r="F247" s="26" t="n"/>
      <c r="G247" s="27" t="n"/>
      <c r="H247" s="27" t="n"/>
      <c r="I247" s="27" t="n"/>
      <c r="J247" s="27" t="n"/>
      <c r="K247" s="27" t="n"/>
      <c r="L247" s="27" t="n"/>
      <c r="M247" s="26" t="n"/>
      <c r="N247" s="26" t="n"/>
      <c r="O247" s="28">
        <f>IF($A247="","",IF($D247="","",raporTarihi-$D247))</f>
        <v/>
      </c>
      <c r="P247" s="28">
        <f>IF($A247="","",IF($O247="","",IF($O247&lt;=7,"0-7",IF($O247&lt;=30,"8-30",IF($O247&lt;=60,"31-60","60+")))))</f>
        <v/>
      </c>
      <c r="Q247" s="28">
        <f>IF($A247="","",IF($B247="","YETİM",IF(COUNTIF(tblKartlar[KartId],$B247)=0,"YETİM","")))</f>
        <v/>
      </c>
      <c r="R247" s="28">
        <f>IF(OR($A247="",$E247=""),"",IF(OR($E247&amp;"|"&amp;$F247="",COUNTIF(ListeIzinliGecis,$E247&amp;"|"&amp;$F247)&gt;0),"","GEÇERSİZ GEÇİŞ"))</f>
        <v/>
      </c>
      <c r="S247" s="28">
        <f>IF($A247="","",IF(OR($G247="",$I247=""),"",IF(ABS($I247-$G247)&gt;zincirTolerans,"ZİNCİR KIRIK","OK")))</f>
        <v/>
      </c>
      <c r="T247" s="28">
        <f>IF($A247="","",1)</f>
        <v/>
      </c>
    </row>
    <row r="248">
      <c r="A248" s="26" t="n"/>
      <c r="B248" s="26" t="n"/>
      <c r="C248" s="26" t="n"/>
      <c r="D248" s="29" t="n"/>
      <c r="E248" s="26" t="n"/>
      <c r="F248" s="26" t="n"/>
      <c r="G248" s="27" t="n"/>
      <c r="H248" s="27" t="n"/>
      <c r="I248" s="27" t="n"/>
      <c r="J248" s="27" t="n"/>
      <c r="K248" s="27" t="n"/>
      <c r="L248" s="27" t="n"/>
      <c r="M248" s="26" t="n"/>
      <c r="N248" s="26" t="n"/>
      <c r="O248" s="28">
        <f>IF($A248="","",IF($D248="","",raporTarihi-$D248))</f>
        <v/>
      </c>
      <c r="P248" s="28">
        <f>IF($A248="","",IF($O248="","",IF($O248&lt;=7,"0-7",IF($O248&lt;=30,"8-30",IF($O248&lt;=60,"31-60","60+")))))</f>
        <v/>
      </c>
      <c r="Q248" s="28">
        <f>IF($A248="","",IF($B248="","YETİM",IF(COUNTIF(tblKartlar[KartId],$B248)=0,"YETİM","")))</f>
        <v/>
      </c>
      <c r="R248" s="28">
        <f>IF(OR($A248="",$E248=""),"",IF(OR($E248&amp;"|"&amp;$F248="",COUNTIF(ListeIzinliGecis,$E248&amp;"|"&amp;$F248)&gt;0),"","GEÇERSİZ GEÇİŞ"))</f>
        <v/>
      </c>
      <c r="S248" s="28">
        <f>IF($A248="","",IF(OR($G248="",$I248=""),"",IF(ABS($I248-$G248)&gt;zincirTolerans,"ZİNCİR KIRIK","OK")))</f>
        <v/>
      </c>
      <c r="T248" s="28">
        <f>IF($A248="","",1)</f>
        <v/>
      </c>
    </row>
    <row r="249">
      <c r="A249" s="26" t="n"/>
      <c r="B249" s="26" t="n"/>
      <c r="C249" s="26" t="n"/>
      <c r="D249" s="29" t="n"/>
      <c r="E249" s="26" t="n"/>
      <c r="F249" s="26" t="n"/>
      <c r="G249" s="27" t="n"/>
      <c r="H249" s="27" t="n"/>
      <c r="I249" s="27" t="n"/>
      <c r="J249" s="27" t="n"/>
      <c r="K249" s="27" t="n"/>
      <c r="L249" s="27" t="n"/>
      <c r="M249" s="26" t="n"/>
      <c r="N249" s="26" t="n"/>
      <c r="O249" s="28">
        <f>IF($A249="","",IF($D249="","",raporTarihi-$D249))</f>
        <v/>
      </c>
      <c r="P249" s="28">
        <f>IF($A249="","",IF($O249="","",IF($O249&lt;=7,"0-7",IF($O249&lt;=30,"8-30",IF($O249&lt;=60,"31-60","60+")))))</f>
        <v/>
      </c>
      <c r="Q249" s="28">
        <f>IF($A249="","",IF($B249="","YETİM",IF(COUNTIF(tblKartlar[KartId],$B249)=0,"YETİM","")))</f>
        <v/>
      </c>
      <c r="R249" s="28">
        <f>IF(OR($A249="",$E249=""),"",IF(OR($E249&amp;"|"&amp;$F249="",COUNTIF(ListeIzinliGecis,$E249&amp;"|"&amp;$F249)&gt;0),"","GEÇERSİZ GEÇİŞ"))</f>
        <v/>
      </c>
      <c r="S249" s="28">
        <f>IF($A249="","",IF(OR($G249="",$I249=""),"",IF(ABS($I249-$G249)&gt;zincirTolerans,"ZİNCİR KIRIK","OK")))</f>
        <v/>
      </c>
      <c r="T249" s="28">
        <f>IF($A249="","",1)</f>
        <v/>
      </c>
    </row>
    <row r="250">
      <c r="A250" s="26" t="n"/>
      <c r="B250" s="26" t="n"/>
      <c r="C250" s="26" t="n"/>
      <c r="D250" s="29" t="n"/>
      <c r="E250" s="26" t="n"/>
      <c r="F250" s="26" t="n"/>
      <c r="G250" s="27" t="n"/>
      <c r="H250" s="27" t="n"/>
      <c r="I250" s="27" t="n"/>
      <c r="J250" s="27" t="n"/>
      <c r="K250" s="27" t="n"/>
      <c r="L250" s="27" t="n"/>
      <c r="M250" s="26" t="n"/>
      <c r="N250" s="26" t="n"/>
      <c r="O250" s="28">
        <f>IF($A250="","",IF($D250="","",raporTarihi-$D250))</f>
        <v/>
      </c>
      <c r="P250" s="28">
        <f>IF($A250="","",IF($O250="","",IF($O250&lt;=7,"0-7",IF($O250&lt;=30,"8-30",IF($O250&lt;=60,"31-60","60+")))))</f>
        <v/>
      </c>
      <c r="Q250" s="28">
        <f>IF($A250="","",IF($B250="","YETİM",IF(COUNTIF(tblKartlar[KartId],$B250)=0,"YETİM","")))</f>
        <v/>
      </c>
      <c r="R250" s="28">
        <f>IF(OR($A250="",$E250=""),"",IF(OR($E250&amp;"|"&amp;$F250="",COUNTIF(ListeIzinliGecis,$E250&amp;"|"&amp;$F250)&gt;0),"","GEÇERSİZ GEÇİŞ"))</f>
        <v/>
      </c>
      <c r="S250" s="28">
        <f>IF($A250="","",IF(OR($G250="",$I250=""),"",IF(ABS($I250-$G250)&gt;zincirTolerans,"ZİNCİR KIRIK","OK")))</f>
        <v/>
      </c>
      <c r="T250" s="28">
        <f>IF($A250="","",1)</f>
        <v/>
      </c>
    </row>
    <row r="251">
      <c r="A251" s="26" t="n"/>
      <c r="B251" s="26" t="n"/>
      <c r="C251" s="26" t="n"/>
      <c r="D251" s="29" t="n"/>
      <c r="E251" s="26" t="n"/>
      <c r="F251" s="26" t="n"/>
      <c r="G251" s="27" t="n"/>
      <c r="H251" s="27" t="n"/>
      <c r="I251" s="27" t="n"/>
      <c r="J251" s="27" t="n"/>
      <c r="K251" s="27" t="n"/>
      <c r="L251" s="27" t="n"/>
      <c r="M251" s="26" t="n"/>
      <c r="N251" s="26" t="n"/>
      <c r="O251" s="28">
        <f>IF($A251="","",IF($D251="","",raporTarihi-$D251))</f>
        <v/>
      </c>
      <c r="P251" s="28">
        <f>IF($A251="","",IF($O251="","",IF($O251&lt;=7,"0-7",IF($O251&lt;=30,"8-30",IF($O251&lt;=60,"31-60","60+")))))</f>
        <v/>
      </c>
      <c r="Q251" s="28">
        <f>IF($A251="","",IF($B251="","YETİM",IF(COUNTIF(tblKartlar[KartId],$B251)=0,"YETİM","")))</f>
        <v/>
      </c>
      <c r="R251" s="28">
        <f>IF(OR($A251="",$E251=""),"",IF(OR($E251&amp;"|"&amp;$F251="",COUNTIF(ListeIzinliGecis,$E251&amp;"|"&amp;$F251)&gt;0),"","GEÇERSİZ GEÇİŞ"))</f>
        <v/>
      </c>
      <c r="S251" s="28">
        <f>IF($A251="","",IF(OR($G251="",$I251=""),"",IF(ABS($I251-$G251)&gt;zincirTolerans,"ZİNCİR KIRIK","OK")))</f>
        <v/>
      </c>
      <c r="T251" s="28">
        <f>IF($A251="","",1)</f>
        <v/>
      </c>
    </row>
    <row r="252">
      <c r="A252" s="26" t="n"/>
      <c r="B252" s="26" t="n"/>
      <c r="C252" s="26" t="n"/>
      <c r="D252" s="29" t="n"/>
      <c r="E252" s="26" t="n"/>
      <c r="F252" s="26" t="n"/>
      <c r="G252" s="27" t="n"/>
      <c r="H252" s="27" t="n"/>
      <c r="I252" s="27" t="n"/>
      <c r="J252" s="27" t="n"/>
      <c r="K252" s="27" t="n"/>
      <c r="L252" s="27" t="n"/>
      <c r="M252" s="26" t="n"/>
      <c r="N252" s="26" t="n"/>
      <c r="O252" s="28">
        <f>IF($A252="","",IF($D252="","",raporTarihi-$D252))</f>
        <v/>
      </c>
      <c r="P252" s="28">
        <f>IF($A252="","",IF($O252="","",IF($O252&lt;=7,"0-7",IF($O252&lt;=30,"8-30",IF($O252&lt;=60,"31-60","60+")))))</f>
        <v/>
      </c>
      <c r="Q252" s="28">
        <f>IF($A252="","",IF($B252="","YETİM",IF(COUNTIF(tblKartlar[KartId],$B252)=0,"YETİM","")))</f>
        <v/>
      </c>
      <c r="R252" s="28">
        <f>IF(OR($A252="",$E252=""),"",IF(OR($E252&amp;"|"&amp;$F252="",COUNTIF(ListeIzinliGecis,$E252&amp;"|"&amp;$F252)&gt;0),"","GEÇERSİZ GEÇİŞ"))</f>
        <v/>
      </c>
      <c r="S252" s="28">
        <f>IF($A252="","",IF(OR($G252="",$I252=""),"",IF(ABS($I252-$G252)&gt;zincirTolerans,"ZİNCİR KIRIK","OK")))</f>
        <v/>
      </c>
      <c r="T252" s="28">
        <f>IF($A252="","",1)</f>
        <v/>
      </c>
    </row>
    <row r="253">
      <c r="A253" s="26" t="n"/>
      <c r="B253" s="26" t="n"/>
      <c r="C253" s="26" t="n"/>
      <c r="D253" s="29" t="n"/>
      <c r="E253" s="26" t="n"/>
      <c r="F253" s="26" t="n"/>
      <c r="G253" s="27" t="n"/>
      <c r="H253" s="27" t="n"/>
      <c r="I253" s="27" t="n"/>
      <c r="J253" s="27" t="n"/>
      <c r="K253" s="27" t="n"/>
      <c r="L253" s="27" t="n"/>
      <c r="M253" s="26" t="n"/>
      <c r="N253" s="26" t="n"/>
      <c r="O253" s="28">
        <f>IF($A253="","",IF($D253="","",raporTarihi-$D253))</f>
        <v/>
      </c>
      <c r="P253" s="28">
        <f>IF($A253="","",IF($O253="","",IF($O253&lt;=7,"0-7",IF($O253&lt;=30,"8-30",IF($O253&lt;=60,"31-60","60+")))))</f>
        <v/>
      </c>
      <c r="Q253" s="28">
        <f>IF($A253="","",IF($B253="","YETİM",IF(COUNTIF(tblKartlar[KartId],$B253)=0,"YETİM","")))</f>
        <v/>
      </c>
      <c r="R253" s="28">
        <f>IF(OR($A253="",$E253=""),"",IF(OR($E253&amp;"|"&amp;$F253="",COUNTIF(ListeIzinliGecis,$E253&amp;"|"&amp;$F253)&gt;0),"","GEÇERSİZ GEÇİŞ"))</f>
        <v/>
      </c>
      <c r="S253" s="28">
        <f>IF($A253="","",IF(OR($G253="",$I253=""),"",IF(ABS($I253-$G253)&gt;zincirTolerans,"ZİNCİR KIRIK","OK")))</f>
        <v/>
      </c>
      <c r="T253" s="28">
        <f>IF($A253="","",1)</f>
        <v/>
      </c>
    </row>
    <row r="254">
      <c r="A254" s="26" t="n"/>
      <c r="B254" s="26" t="n"/>
      <c r="C254" s="26" t="n"/>
      <c r="D254" s="29" t="n"/>
      <c r="E254" s="26" t="n"/>
      <c r="F254" s="26" t="n"/>
      <c r="G254" s="27" t="n"/>
      <c r="H254" s="27" t="n"/>
      <c r="I254" s="27" t="n"/>
      <c r="J254" s="27" t="n"/>
      <c r="K254" s="27" t="n"/>
      <c r="L254" s="27" t="n"/>
      <c r="M254" s="26" t="n"/>
      <c r="N254" s="26" t="n"/>
      <c r="O254" s="28">
        <f>IF($A254="","",IF($D254="","",raporTarihi-$D254))</f>
        <v/>
      </c>
      <c r="P254" s="28">
        <f>IF($A254="","",IF($O254="","",IF($O254&lt;=7,"0-7",IF($O254&lt;=30,"8-30",IF($O254&lt;=60,"31-60","60+")))))</f>
        <v/>
      </c>
      <c r="Q254" s="28">
        <f>IF($A254="","",IF($B254="","YETİM",IF(COUNTIF(tblKartlar[KartId],$B254)=0,"YETİM","")))</f>
        <v/>
      </c>
      <c r="R254" s="28">
        <f>IF(OR($A254="",$E254=""),"",IF(OR($E254&amp;"|"&amp;$F254="",COUNTIF(ListeIzinliGecis,$E254&amp;"|"&amp;$F254)&gt;0),"","GEÇERSİZ GEÇİŞ"))</f>
        <v/>
      </c>
      <c r="S254" s="28">
        <f>IF($A254="","",IF(OR($G254="",$I254=""),"",IF(ABS($I254-$G254)&gt;zincirTolerans,"ZİNCİR KIRIK","OK")))</f>
        <v/>
      </c>
      <c r="T254" s="28">
        <f>IF($A254="","",1)</f>
        <v/>
      </c>
    </row>
    <row r="255">
      <c r="A255" s="26" t="n"/>
      <c r="B255" s="26" t="n"/>
      <c r="C255" s="26" t="n"/>
      <c r="D255" s="29" t="n"/>
      <c r="E255" s="26" t="n"/>
      <c r="F255" s="26" t="n"/>
      <c r="G255" s="27" t="n"/>
      <c r="H255" s="27" t="n"/>
      <c r="I255" s="27" t="n"/>
      <c r="J255" s="27" t="n"/>
      <c r="K255" s="27" t="n"/>
      <c r="L255" s="27" t="n"/>
      <c r="M255" s="26" t="n"/>
      <c r="N255" s="26" t="n"/>
      <c r="O255" s="28">
        <f>IF($A255="","",IF($D255="","",raporTarihi-$D255))</f>
        <v/>
      </c>
      <c r="P255" s="28">
        <f>IF($A255="","",IF($O255="","",IF($O255&lt;=7,"0-7",IF($O255&lt;=30,"8-30",IF($O255&lt;=60,"31-60","60+")))))</f>
        <v/>
      </c>
      <c r="Q255" s="28">
        <f>IF($A255="","",IF($B255="","YETİM",IF(COUNTIF(tblKartlar[KartId],$B255)=0,"YETİM","")))</f>
        <v/>
      </c>
      <c r="R255" s="28">
        <f>IF(OR($A255="",$E255=""),"",IF(OR($E255&amp;"|"&amp;$F255="",COUNTIF(ListeIzinliGecis,$E255&amp;"|"&amp;$F255)&gt;0),"","GEÇERSİZ GEÇİŞ"))</f>
        <v/>
      </c>
      <c r="S255" s="28">
        <f>IF($A255="","",IF(OR($G255="",$I255=""),"",IF(ABS($I255-$G255)&gt;zincirTolerans,"ZİNCİR KIRIK","OK")))</f>
        <v/>
      </c>
      <c r="T255" s="28">
        <f>IF($A255="","",1)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R3"/>
    <mergeCell ref="A1:V1"/>
  </mergeCells>
  <conditionalFormatting sqref="Q6:Q255">
    <cfRule type="cellIs" priority="1" operator="equal" dxfId="2">
      <formula>"YETİM"</formula>
    </cfRule>
  </conditionalFormatting>
  <conditionalFormatting sqref="R6:R255">
    <cfRule type="cellIs" priority="2" operator="equal" dxfId="2">
      <formula>"GEÇERSİZ GEÇİŞ"</formula>
    </cfRule>
  </conditionalFormatting>
  <conditionalFormatting sqref="S6:S255">
    <cfRule type="cellIs" priority="3" operator="equal" dxfId="2">
      <formula>"ZİNCİR KIRIK"</formula>
    </cfRule>
    <cfRule type="cellIs" priority="4" operator="equal" dxfId="0">
      <formula>"OK"</formula>
    </cfRule>
  </conditionalFormatting>
  <conditionalFormatting sqref="F6:F255">
    <cfRule type="cellIs" priority="5" operator="equal" dxfId="1">
      <formula>"BEKLIYOR"</formula>
    </cfRule>
    <cfRule type="cellIs" priority="6" operator="equal" dxfId="3">
      <formula>"ONAY"</formula>
    </cfRule>
    <cfRule type="cellIs" priority="7" operator="equal" dxfId="4">
      <formula>"IPTAL"</formula>
    </cfRule>
  </conditionalFormatting>
  <dataValidations count="14">
    <dataValidation sqref="A6:A255" showDropDown="0" showInputMessage="1" showErrorMessage="1" allowBlank="1" errorTitle="Kimlik" error="Boş olamaz" promptTitle="İşlem Kimliği" prompt="HAK-##### girin" type="textLength" errorStyle="stop" operator="greaterThan">
      <formula1>1</formula1>
      <formula2>40</formula2>
    </dataValidation>
    <dataValidation sqref="B6:B255" showDropDown="0" showInputMessage="1" showErrorMessage="1" allowBlank="1" errorTitle="Kart" error="Geçersiz" promptTitle="Kaynak Kart" prompt="Kart kimliği (boş = yetim riski)" type="textLength" errorStyle="stop" operator="greaterThanOrEqual">
      <formula1>0</formula1>
      <formula2>40</formula2>
    </dataValidation>
    <dataValidation sqref="C6:C255" showDropDown="0" showInputMessage="1" showErrorMessage="1" allowBlank="1" errorTitle="Şantiye" error="Geçersiz" promptTitle="Şantiye" prompt="SAN-#####" type="textLength" errorStyle="stop" operator="greaterThanOrEqual">
      <formula1>0</formula1>
      <formula2>40</formula2>
    </dataValidation>
    <dataValidation sqref="D6:D255" showDropDown="0" showInputMessage="1" showErrorMessage="1" allowBlank="1" errorTitle="Tarih" error="Geçerli tarih" promptTitle="Tarih" prompt="Olay tarihi" type="date" errorStyle="stop" operator="greaterThan">
      <formula1>1</formula1>
    </dataValidation>
    <dataValidation sqref="E6:E255" showDropDown="0" showInputMessage="1" showErrorMessage="1" allowBlank="1" errorTitle="Liste" error="Listeden seçin" promptTitle="Önceki Durum" prompt="Durum haritasından seçin" type="list" errorStyle="stop">
      <formula1>ListeDurumlar</formula1>
    </dataValidation>
    <dataValidation sqref="F6:F255" showDropDown="0" showInputMessage="1" showErrorMessage="1" allowBlank="1" errorTitle="Liste" error="Listeden seçin" promptTitle="Durum" prompt="Durum haritasından seçin" type="list" errorStyle="stop">
      <formula1>ListeDurumlar</formula1>
    </dataValidation>
    <dataValidation sqref="G6:G255" showDropDown="0" showInputMessage="1" showErrorMessage="1" allowBlank="1" errorTitle="Teklif" error="0 veya üzeri" promptTitle="Teklif" prompt="Teklif ≥ 0" type="decimal" errorStyle="stop" operator="greaterThanOrEqual">
      <formula1>0</formula1>
    </dataValidation>
    <dataValidation sqref="H6:H255" showDropDown="0" showInputMessage="1" showErrorMessage="1" allowBlank="1" errorTitle="Sipariş" error="0 veya üzeri" promptTitle="Sipariş" prompt="Sipariş ≥ 0" type="decimal" errorStyle="stop" operator="greaterThanOrEqual">
      <formula1>0</formula1>
    </dataValidation>
    <dataValidation sqref="I6:I255" showDropDown="0" showInputMessage="1" showErrorMessage="1" allowBlank="1" errorTitle="Hakediş" error="0 veya üzeri" promptTitle="Hakediş" prompt="Hakediş ≥ 0" type="decimal" errorStyle="stop" operator="greaterThanOrEqual">
      <formula1>0</formula1>
    </dataValidation>
    <dataValidation sqref="J6:J255" showDropDown="0" showInputMessage="1" showErrorMessage="1" allowBlank="1" errorTitle="Fatura" error="0 veya üzeri" promptTitle="Fatura" prompt="Fatura ≥ 0" type="decimal" errorStyle="stop" operator="greaterThanOrEqual">
      <formula1>0</formula1>
    </dataValidation>
    <dataValidation sqref="K6:K255" showDropDown="0" showInputMessage="1" showErrorMessage="1" allowBlank="1" errorTitle="Ödeme" error="0 veya üzeri" promptTitle="Ödeme" prompt="Ödeme ≥ 0" type="decimal" errorStyle="stop" operator="greaterThanOrEqual">
      <formula1>0</formula1>
    </dataValidation>
    <dataValidation sqref="L6:L255" showDropDown="0" showInputMessage="1" showErrorMessage="1" allowBlank="1" errorTitle="Tutar" error="0 veya üzeri" promptTitle="Tutar" prompt="Tutar ≥ 0" type="decimal" errorStyle="stop" operator="greaterThanOrEqual">
      <formula1>0</formula1>
    </dataValidation>
    <dataValidation sqref="M6:M255" showDropDown="0" showInputMessage="1" showErrorMessage="1" allowBlank="1" errorTitle="Dönem" error="Geçersiz" promptTitle="Dönem" prompt="YYYY-AA" type="textLength" errorStyle="stop" operator="greaterThanOrEqual">
      <formula1>0</formula1>
      <formula2>20</formula2>
    </dataValidation>
    <dataValidation sqref="N6:N255" showDropDown="0" showInputMessage="1" showErrorMessage="1" allowBlank="1" errorTitle="Açıklama" error="Geçersiz" promptTitle="Açıklama" prompt="Kısa açıklama" type="textLength" errorStyle="stop" operator="greaterThanOrEqual">
      <formula1>0</formula1>
      <formula2>120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1F4E79"/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6" customWidth="1" min="3" max="3"/>
  </cols>
  <sheetData>
    <row r="1" ht="26" customHeight="1">
      <c r="A1" s="1" t="inlineStr">
        <is>
          <t>KUYRUKLAR — İnşaat Hakediş ve Şantiye Maliyet Takip</t>
        </is>
      </c>
    </row>
    <row r="3" ht="20" customHeight="1">
      <c r="A3" s="22" t="inlineStr">
        <is>
          <t>Durum bazlı canlı kuyruk — kapalı kayıtlar düşer</t>
        </is>
      </c>
    </row>
    <row r="5">
      <c r="A5" s="30" t="inlineStr">
        <is>
          <t>Kuyruk</t>
        </is>
      </c>
      <c r="B5" s="30" t="inlineStr">
        <is>
          <t>Adet</t>
        </is>
      </c>
      <c r="C5" s="30" t="inlineStr">
        <is>
          <t>Tutar</t>
        </is>
      </c>
    </row>
    <row r="6">
      <c r="A6" s="7" t="inlineStr">
        <is>
          <t>Bekliyor</t>
        </is>
      </c>
      <c r="B6" s="20">
        <f>COUNTIFS(tblAkis[durum],"BEKLIYOR",tblAkis[tutar],"&gt;0")</f>
        <v/>
      </c>
      <c r="C6" s="21">
        <f>SUMIFS(tblAkis[tutar],tblAkis[durum],"BEKLIYOR")</f>
        <v/>
      </c>
    </row>
    <row r="7">
      <c r="A7" s="7" t="inlineStr">
        <is>
          <t>Onaylandı</t>
        </is>
      </c>
      <c r="B7" s="20">
        <f>COUNTIFS(tblAkis[durum],"ONAY",tblAkis[tutar],"&gt;0")</f>
        <v/>
      </c>
      <c r="C7" s="21">
        <f>SUMIFS(tblAkis[tutar],tblAkis[durum],"ONAY")</f>
        <v/>
      </c>
    </row>
    <row r="8">
      <c r="A8" s="7" t="inlineStr">
        <is>
          <t>Taslak</t>
        </is>
      </c>
      <c r="B8" s="20">
        <f>COUNTIFS(tblAkis[durum],"DRAFT",tblAkis[tutar],"&gt;0")</f>
        <v/>
      </c>
      <c r="C8" s="21">
        <f>SUMIFS(tblAkis[tutar],tblAkis[durum],"DRAFT")</f>
        <v/>
      </c>
    </row>
    <row r="9">
      <c r="A9" s="7" t="inlineStr">
        <is>
          <t>Geciken (açık, yaş&gt;eşik)</t>
        </is>
      </c>
      <c r="B9" s="20">
        <f>COUNTIFS(tblAkis[YasGun],"&gt;"&amp;ihs_esikGecikmeGun,tblAkis[Durum],"&lt;&gt;ODEME",tblAkis[Durum],"&lt;&gt;IPTAL",tblAkis[Tutar],"&gt;0")</f>
        <v/>
      </c>
      <c r="C9" s="21">
        <f>SUMIFS(tblAkis[Tutar],tblAkis[YasGun],"&gt;"&amp;ihs_esikGecikmeGun,tblAkis[Durum],"&lt;&gt;ODEME",tblAkis[Durum],"&lt;&gt;IPTAL")</f>
        <v/>
      </c>
    </row>
    <row r="11">
      <c r="A11" s="16" t="inlineStr">
        <is>
          <t>Kapalı (Ödeme+İptal) — kuyruktan düşer</t>
        </is>
      </c>
    </row>
    <row r="12">
      <c r="A12" s="7" t="inlineStr">
        <is>
          <t>Ödendi</t>
        </is>
      </c>
      <c r="B12" s="20">
        <f>COUNTIFS(tblAkis[durum],"ODEME",tblAkis[tutar],"&gt;0")</f>
        <v/>
      </c>
      <c r="C12" s="21">
        <f>SUMIFS(tblAkis[tutar],tblAkis[durum],"ODEME")</f>
        <v/>
      </c>
    </row>
    <row r="13">
      <c r="A13" s="7" t="inlineStr">
        <is>
          <t>İptal</t>
        </is>
      </c>
      <c r="B13" s="20">
        <f>COUNTIFS(tblAkis[durum],"IPTAL",tblAkis[tutar],"&gt;0")</f>
        <v/>
      </c>
      <c r="C13" s="21">
        <f>SUMIFS(tblAkis[tutar],tblAkis[durum],"IPTAL")</f>
        <v/>
      </c>
    </row>
    <row r="15">
      <c r="A15" s="24" t="inlineStr">
        <is>
          <t>Kuyruk Özeti</t>
        </is>
      </c>
      <c r="B15" s="8">
        <f>ihs_kuyrukOzeti</f>
        <v/>
      </c>
    </row>
    <row r="17">
      <c r="A17" s="16" t="inlineStr">
        <is>
          <t>Yaş Kova Dağılımı</t>
        </is>
      </c>
    </row>
    <row r="18">
      <c r="A18" s="7" t="inlineStr">
        <is>
          <t>0-7</t>
        </is>
      </c>
      <c r="B18" s="20">
        <f>COUNTIF(tblAkis[YasKova],"0-7")</f>
        <v/>
      </c>
      <c r="C18" s="21">
        <f>SUMIF(tblAkis[YasKova],"0-7",tblAkis[Tutar])</f>
        <v/>
      </c>
    </row>
    <row r="19">
      <c r="A19" s="7" t="inlineStr">
        <is>
          <t>8-30</t>
        </is>
      </c>
      <c r="B19" s="20">
        <f>COUNTIF(tblAkis[YasKova],"8-30")</f>
        <v/>
      </c>
      <c r="C19" s="21">
        <f>SUMIF(tblAkis[YasKova],"8-30",tblAkis[Tutar])</f>
        <v/>
      </c>
    </row>
    <row r="20">
      <c r="A20" s="7" t="inlineStr">
        <is>
          <t>31-60</t>
        </is>
      </c>
      <c r="B20" s="20">
        <f>COUNTIF(tblAkis[YasKova],"31-60")</f>
        <v/>
      </c>
      <c r="C20" s="21">
        <f>SUMIF(tblAkis[YasKova],"31-60",tblAkis[Tutar])</f>
        <v/>
      </c>
    </row>
    <row r="21">
      <c r="A21" s="7" t="inlineStr">
        <is>
          <t>60+</t>
        </is>
      </c>
      <c r="B21" s="20">
        <f>COUNTIF(tblAkis[YasKova],"60+")</f>
        <v/>
      </c>
      <c r="C21" s="21">
        <f>SUMIF(tblAkis[YasKova],"60+",tblAkis[Tutar])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B15:F15"/>
    <mergeCell ref="A3:J3"/>
    <mergeCell ref="A1:N1"/>
  </mergeCells>
  <conditionalFormatting sqref="B6">
    <cfRule type="cellIs" priority="1" operator="greaterThan" dxfId="1">
      <formula>0</formula>
    </cfRule>
  </conditionalFormatting>
  <conditionalFormatting sqref="C6">
    <cfRule type="cellIs" priority="2" operator="greaterThan" dxfId="3">
      <formula>0</formula>
    </cfRule>
  </conditionalFormatting>
  <conditionalFormatting sqref="B7">
    <cfRule type="cellIs" priority="3" operator="greaterThan" dxfId="1">
      <formula>0</formula>
    </cfRule>
  </conditionalFormatting>
  <conditionalFormatting sqref="C7">
    <cfRule type="cellIs" priority="4" operator="greaterThan" dxfId="3">
      <formula>0</formula>
    </cfRule>
  </conditionalFormatting>
  <conditionalFormatting sqref="B8">
    <cfRule type="cellIs" priority="5" operator="greaterThan" dxfId="1">
      <formula>0</formula>
    </cfRule>
  </conditionalFormatting>
  <conditionalFormatting sqref="C8">
    <cfRule type="cellIs" priority="6" operator="greaterThan" dxfId="3">
      <formula>0</formula>
    </cfRule>
  </conditionalFormatting>
  <conditionalFormatting sqref="B9">
    <cfRule type="cellIs" priority="7" operator="greaterThan" dxfId="1">
      <formula>0</formula>
    </cfRule>
  </conditionalFormatting>
  <conditionalFormatting sqref="C9">
    <cfRule type="cellIs" priority="8" operator="greaterThan" dxfId="3">
      <formula>0</formula>
    </cfRule>
  </conditionalFormatting>
  <conditionalFormatting sqref="B18">
    <cfRule type="cellIs" priority="9" operator="greaterThan" dxfId="3">
      <formula>0</formula>
    </cfRule>
  </conditionalFormatting>
  <conditionalFormatting sqref="B19">
    <cfRule type="cellIs" priority="10" operator="greaterThan" dxfId="3">
      <formula>0</formula>
    </cfRule>
  </conditionalFormatting>
  <conditionalFormatting sqref="B20">
    <cfRule type="cellIs" priority="11" operator="greaterThan" dxfId="3">
      <formula>0</formula>
    </cfRule>
  </conditionalFormatting>
  <conditionalFormatting sqref="B21">
    <cfRule type="cellIs" priority="12" operator="greaterThan" dxfId="3">
      <formula>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F4E79"/>
    <outlinePr summaryBelow="1" summaryRight="1"/>
    <pageSetUpPr/>
  </sheetPr>
  <dimension ref="A1:R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26" customHeight="1">
      <c r="A1" s="1" t="inlineStr">
        <is>
          <t>SANTIYE MALIYET — İnşaat Hakediş ve Şantiye Maliyet Takip</t>
        </is>
      </c>
    </row>
    <row r="3" ht="20" customHeight="1">
      <c r="A3" s="22" t="inlineStr">
        <is>
          <t>Şantiye maliyet kartı — bütçe, işçilik, malzeme, makine, genel gider + bağlı hakediş</t>
        </is>
      </c>
    </row>
    <row r="4">
      <c r="A4" s="11" t="inlineStr">
        <is>
          <t>Toplam Bütçe</t>
        </is>
      </c>
      <c r="B4" s="31">
        <f>SUM(tblSantiye[ButceTl])</f>
        <v/>
      </c>
      <c r="C4" s="11" t="inlineStr">
        <is>
          <t>Toplam Maliyet</t>
        </is>
      </c>
      <c r="D4" s="31">
        <f>SUM($J$6:$J$255)</f>
        <v/>
      </c>
      <c r="E4" s="11" t="inlineStr">
        <is>
          <t>Sapma</t>
        </is>
      </c>
      <c r="F4" s="31">
        <f>SUM($K$6:$K$255)</f>
        <v/>
      </c>
      <c r="G4" s="11" t="inlineStr">
        <is>
          <t>Aşım Adet</t>
        </is>
      </c>
      <c r="H4" s="32">
        <f>COUNTIF($M$6:$M$255,"AŞIM")</f>
        <v/>
      </c>
      <c r="O4" s="24" t="inlineStr">
        <is>
          <t>Şantiye</t>
        </is>
      </c>
      <c r="P4" s="24" t="inlineStr">
        <is>
          <t>Bütçe</t>
        </is>
      </c>
      <c r="Q4" s="24" t="inlineStr">
        <is>
          <t>Maliyet</t>
        </is>
      </c>
    </row>
    <row r="5" ht="30" customHeight="1">
      <c r="A5" s="25" t="inlineStr">
        <is>
          <t>SantiyeId</t>
        </is>
      </c>
      <c r="B5" s="25" t="inlineStr">
        <is>
          <t>SantiyeAdi</t>
        </is>
      </c>
      <c r="C5" s="25" t="inlineStr">
        <is>
          <t>Sehir</t>
        </is>
      </c>
      <c r="D5" s="25" t="inlineStr">
        <is>
          <t>ButceTl</t>
        </is>
      </c>
      <c r="E5" s="25" t="inlineStr">
        <is>
          <t>IscilikTl</t>
        </is>
      </c>
      <c r="F5" s="25" t="inlineStr">
        <is>
          <t>MalzemeTl</t>
        </is>
      </c>
      <c r="G5" s="25" t="inlineStr">
        <is>
          <t>MakineTl</t>
        </is>
      </c>
      <c r="H5" s="25" t="inlineStr">
        <is>
          <t>GenelGiderTl</t>
        </is>
      </c>
      <c r="I5" s="25" t="inlineStr">
        <is>
          <t>HakedisToplam</t>
        </is>
      </c>
      <c r="J5" s="25" t="inlineStr">
        <is>
          <t>ToplamMaliyet</t>
        </is>
      </c>
      <c r="K5" s="25" t="inlineStr">
        <is>
          <t>SapmaTl</t>
        </is>
      </c>
      <c r="L5" s="25" t="inlineStr">
        <is>
          <t>SapmaOran</t>
        </is>
      </c>
      <c r="M5" s="25" t="inlineStr">
        <is>
          <t>AsimBayrak</t>
        </is>
      </c>
      <c r="O5" s="7" t="inlineStr">
        <is>
          <t>Kadıköy Konut</t>
        </is>
      </c>
      <c r="P5" s="21" t="n">
        <v>2000000</v>
      </c>
      <c r="Q5" s="21" t="n">
        <v>3040000</v>
      </c>
    </row>
    <row r="6">
      <c r="A6" s="26" t="inlineStr">
        <is>
          <t>SAN-00001</t>
        </is>
      </c>
      <c r="B6" s="26" t="inlineStr">
        <is>
          <t>Kadıköy Konut</t>
        </is>
      </c>
      <c r="C6" s="26" t="inlineStr">
        <is>
          <t>İstanbul</t>
        </is>
      </c>
      <c r="D6" s="27" t="n">
        <v>2000000</v>
      </c>
      <c r="E6" s="27" t="n">
        <v>450000</v>
      </c>
      <c r="F6" s="27" t="n">
        <v>520000</v>
      </c>
      <c r="G6" s="27" t="n">
        <v>180000</v>
      </c>
      <c r="H6" s="27" t="n">
        <v>90000</v>
      </c>
      <c r="I6" s="21">
        <f>IF(A6="","",SUMIF(tblAkis[SantiyeId],A6,tblAkis[Tutar]))</f>
        <v/>
      </c>
      <c r="J6" s="21">
        <f>IF(A6="","",E6+F6+G6+H6+I6)</f>
        <v/>
      </c>
      <c r="K6" s="21">
        <f>IF(A6="","",J6-D6)</f>
        <v/>
      </c>
      <c r="L6" s="33">
        <f>IF(A6="","",IFERROR(K6/MAX(D6,1),0))</f>
        <v/>
      </c>
      <c r="M6" s="7">
        <f>IF(A6="","",IF(J6&gt;D6*ihs_asimCarpan,"AŞIM","UYGUN"))</f>
        <v/>
      </c>
      <c r="O6" s="7" t="inlineStr">
        <is>
          <t>Çankaya İş Merkezi</t>
        </is>
      </c>
      <c r="P6" s="21" t="n">
        <v>12000000</v>
      </c>
      <c r="Q6" s="21" t="n">
        <v>3870000</v>
      </c>
    </row>
    <row r="7">
      <c r="A7" s="26" t="inlineStr">
        <is>
          <t>SAN-00002</t>
        </is>
      </c>
      <c r="B7" s="26" t="inlineStr">
        <is>
          <t>Çankaya İş Merkezi</t>
        </is>
      </c>
      <c r="C7" s="26" t="inlineStr">
        <is>
          <t>Ankara</t>
        </is>
      </c>
      <c r="D7" s="27" t="n">
        <v>12000000</v>
      </c>
      <c r="E7" s="27" t="n">
        <v>800000</v>
      </c>
      <c r="F7" s="27" t="n">
        <v>900000</v>
      </c>
      <c r="G7" s="27" t="n">
        <v>250000</v>
      </c>
      <c r="H7" s="27" t="n">
        <v>120000</v>
      </c>
      <c r="I7" s="21">
        <f>IF(A7="","",SUMIF(tblAkis[SantiyeId],A7,tblAkis[Tutar]))</f>
        <v/>
      </c>
      <c r="J7" s="21">
        <f>IF(A7="","",E7+F7+G7+H7+I7)</f>
        <v/>
      </c>
      <c r="K7" s="21">
        <f>IF(A7="","",J7-D7)</f>
        <v/>
      </c>
      <c r="L7" s="33">
        <f>IF(A7="","",IFERROR(K7/MAX(D7,1),0))</f>
        <v/>
      </c>
      <c r="M7" s="7">
        <f>IF(A7="","",IF(J7&gt;D7*ihs_asimCarpan,"AŞIM","UYGUN"))</f>
        <v/>
      </c>
      <c r="O7" s="7" t="inlineStr">
        <is>
          <t>Bornova AVM</t>
        </is>
      </c>
      <c r="P7" s="21" t="n">
        <v>9000000</v>
      </c>
      <c r="Q7" s="21" t="n">
        <v>3400000</v>
      </c>
    </row>
    <row r="8">
      <c r="A8" s="26" t="inlineStr">
        <is>
          <t>SAN-00003</t>
        </is>
      </c>
      <c r="B8" s="26" t="inlineStr">
        <is>
          <t>Bornova AVM</t>
        </is>
      </c>
      <c r="C8" s="26" t="inlineStr">
        <is>
          <t>İzmir</t>
        </is>
      </c>
      <c r="D8" s="27" t="n">
        <v>9000000</v>
      </c>
      <c r="E8" s="27" t="n">
        <v>600000</v>
      </c>
      <c r="F8" s="27" t="n">
        <v>700000</v>
      </c>
      <c r="G8" s="27" t="n">
        <v>200000</v>
      </c>
      <c r="H8" s="27" t="n">
        <v>100000</v>
      </c>
      <c r="I8" s="21">
        <f>IF(A8="","",SUMIF(tblAkis[SantiyeId],A8,tblAkis[Tutar]))</f>
        <v/>
      </c>
      <c r="J8" s="21">
        <f>IF(A8="","",E8+F8+G8+H8+I8)</f>
        <v/>
      </c>
      <c r="K8" s="21">
        <f>IF(A8="","",J8-D8)</f>
        <v/>
      </c>
      <c r="L8" s="33">
        <f>IF(A8="","",IFERROR(K8/MAX(D8,1),0))</f>
        <v/>
      </c>
      <c r="M8" s="7">
        <f>IF(A8="","",IF(J8&gt;D8*ihs_asimCarpan,"AŞIM","UYGUN"))</f>
        <v/>
      </c>
      <c r="O8" s="7" t="inlineStr">
        <is>
          <t>Nilüfer Villa</t>
        </is>
      </c>
      <c r="P8" s="21" t="n">
        <v>5000000</v>
      </c>
      <c r="Q8" s="21" t="n">
        <v>2730000</v>
      </c>
    </row>
    <row r="9">
      <c r="A9" s="26" t="inlineStr">
        <is>
          <t>SAN-00004</t>
        </is>
      </c>
      <c r="B9" s="26" t="inlineStr">
        <is>
          <t>Nilüfer Villa</t>
        </is>
      </c>
      <c r="C9" s="26" t="inlineStr">
        <is>
          <t>Bursa</t>
        </is>
      </c>
      <c r="D9" s="27" t="n">
        <v>5000000</v>
      </c>
      <c r="E9" s="27" t="n">
        <v>300000</v>
      </c>
      <c r="F9" s="27" t="n">
        <v>400000</v>
      </c>
      <c r="G9" s="27" t="n">
        <v>150000</v>
      </c>
      <c r="H9" s="27" t="n">
        <v>80000</v>
      </c>
      <c r="I9" s="21">
        <f>IF(A9="","",SUMIF(tblAkis[SantiyeId],A9,tblAkis[Tutar]))</f>
        <v/>
      </c>
      <c r="J9" s="21">
        <f>IF(A9="","",E9+F9+G9+H9+I9)</f>
        <v/>
      </c>
      <c r="K9" s="21">
        <f>IF(A9="","",J9-D9)</f>
        <v/>
      </c>
      <c r="L9" s="33">
        <f>IF(A9="","",IFERROR(K9/MAX(D9,1),0))</f>
        <v/>
      </c>
      <c r="M9" s="7">
        <f>IF(A9="","",IF(J9&gt;D9*ihs_asimCarpan,"AŞIM","UYGUN"))</f>
        <v/>
      </c>
    </row>
    <row r="10">
      <c r="A10" s="26" t="n"/>
      <c r="B10" s="26" t="n"/>
      <c r="C10" s="26" t="n"/>
      <c r="D10" s="27" t="n"/>
      <c r="E10" s="27" t="n"/>
      <c r="F10" s="27" t="n"/>
      <c r="G10" s="27" t="n"/>
      <c r="H10" s="27" t="n"/>
      <c r="I10" s="21">
        <f>IF(A10="","",SUMIF(tblAkis[SantiyeId],A10,tblAkis[Tutar]))</f>
        <v/>
      </c>
      <c r="J10" s="21">
        <f>IF(A10="","",E10+F10+G10+H10+I10)</f>
        <v/>
      </c>
      <c r="K10" s="21">
        <f>IF(A10="","",J10-D10)</f>
        <v/>
      </c>
      <c r="L10" s="33">
        <f>IF(A10="","",IFERROR(K10/MAX(D10,1),0))</f>
        <v/>
      </c>
      <c r="M10" s="7">
        <f>IF(A10="","",IF(J10&gt;D10*ihs_asimCarpan,"AŞIM","UYGUN"))</f>
        <v/>
      </c>
    </row>
    <row r="11">
      <c r="A11" s="26" t="n"/>
      <c r="B11" s="26" t="n"/>
      <c r="C11" s="26" t="n"/>
      <c r="D11" s="27" t="n"/>
      <c r="E11" s="27" t="n"/>
      <c r="F11" s="27" t="n"/>
      <c r="G11" s="27" t="n"/>
      <c r="H11" s="27" t="n"/>
      <c r="I11" s="21">
        <f>IF(A11="","",SUMIF(tblAkis[SantiyeId],A11,tblAkis[Tutar]))</f>
        <v/>
      </c>
      <c r="J11" s="21">
        <f>IF(A11="","",E11+F11+G11+H11+I11)</f>
        <v/>
      </c>
      <c r="K11" s="21">
        <f>IF(A11="","",J11-D11)</f>
        <v/>
      </c>
      <c r="L11" s="33">
        <f>IF(A11="","",IFERROR(K11/MAX(D11,1),0))</f>
        <v/>
      </c>
      <c r="M11" s="7">
        <f>IF(A11="","",IF(J11&gt;D11*ihs_asimCarpan,"AŞIM","UYGUN"))</f>
        <v/>
      </c>
    </row>
    <row r="12">
      <c r="A12" s="26" t="n"/>
      <c r="B12" s="26" t="n"/>
      <c r="C12" s="26" t="n"/>
      <c r="D12" s="27" t="n"/>
      <c r="E12" s="27" t="n"/>
      <c r="F12" s="27" t="n"/>
      <c r="G12" s="27" t="n"/>
      <c r="H12" s="27" t="n"/>
      <c r="I12" s="21">
        <f>IF(A12="","",SUMIF(tblAkis[SantiyeId],A12,tblAkis[Tutar]))</f>
        <v/>
      </c>
      <c r="J12" s="21">
        <f>IF(A12="","",E12+F12+G12+H12+I12)</f>
        <v/>
      </c>
      <c r="K12" s="21">
        <f>IF(A12="","",J12-D12)</f>
        <v/>
      </c>
      <c r="L12" s="33">
        <f>IF(A12="","",IFERROR(K12/MAX(D12,1),0))</f>
        <v/>
      </c>
      <c r="M12" s="7">
        <f>IF(A12="","",IF(J12&gt;D12*ihs_asimCarpan,"AŞIM","UYGUN"))</f>
        <v/>
      </c>
    </row>
    <row r="13">
      <c r="A13" s="26" t="n"/>
      <c r="B13" s="26" t="n"/>
      <c r="C13" s="26" t="n"/>
      <c r="D13" s="27" t="n"/>
      <c r="E13" s="27" t="n"/>
      <c r="F13" s="27" t="n"/>
      <c r="G13" s="27" t="n"/>
      <c r="H13" s="27" t="n"/>
      <c r="I13" s="21">
        <f>IF(A13="","",SUMIF(tblAkis[SantiyeId],A13,tblAkis[Tutar]))</f>
        <v/>
      </c>
      <c r="J13" s="21">
        <f>IF(A13="","",E13+F13+G13+H13+I13)</f>
        <v/>
      </c>
      <c r="K13" s="21">
        <f>IF(A13="","",J13-D13)</f>
        <v/>
      </c>
      <c r="L13" s="33">
        <f>IF(A13="","",IFERROR(K13/MAX(D13,1),0))</f>
        <v/>
      </c>
      <c r="M13" s="7">
        <f>IF(A13="","",IF(J13&gt;D13*ihs_asimCarpan,"AŞIM","UYGUN"))</f>
        <v/>
      </c>
    </row>
    <row r="14">
      <c r="A14" s="26" t="n"/>
      <c r="B14" s="26" t="n"/>
      <c r="C14" s="26" t="n"/>
      <c r="D14" s="27" t="n"/>
      <c r="E14" s="27" t="n"/>
      <c r="F14" s="27" t="n"/>
      <c r="G14" s="27" t="n"/>
      <c r="H14" s="27" t="n"/>
      <c r="I14" s="21">
        <f>IF(A14="","",SUMIF(tblAkis[SantiyeId],A14,tblAkis[Tutar]))</f>
        <v/>
      </c>
      <c r="J14" s="21">
        <f>IF(A14="","",E14+F14+G14+H14+I14)</f>
        <v/>
      </c>
      <c r="K14" s="21">
        <f>IF(A14="","",J14-D14)</f>
        <v/>
      </c>
      <c r="L14" s="33">
        <f>IF(A14="","",IFERROR(K14/MAX(D14,1),0))</f>
        <v/>
      </c>
      <c r="M14" s="7">
        <f>IF(A14="","",IF(J14&gt;D14*ihs_asimCarpan,"AŞIM","UYGUN"))</f>
        <v/>
      </c>
    </row>
    <row r="15">
      <c r="A15" s="26" t="n"/>
      <c r="B15" s="26" t="n"/>
      <c r="C15" s="26" t="n"/>
      <c r="D15" s="27" t="n"/>
      <c r="E15" s="27" t="n"/>
      <c r="F15" s="27" t="n"/>
      <c r="G15" s="27" t="n"/>
      <c r="H15" s="27" t="n"/>
      <c r="I15" s="21">
        <f>IF(A15="","",SUMIF(tblAkis[SantiyeId],A15,tblAkis[Tutar]))</f>
        <v/>
      </c>
      <c r="J15" s="21">
        <f>IF(A15="","",E15+F15+G15+H15+I15)</f>
        <v/>
      </c>
      <c r="K15" s="21">
        <f>IF(A15="","",J15-D15)</f>
        <v/>
      </c>
      <c r="L15" s="33">
        <f>IF(A15="","",IFERROR(K15/MAX(D15,1),0))</f>
        <v/>
      </c>
      <c r="M15" s="7">
        <f>IF(A15="","",IF(J15&gt;D15*ihs_asimCarpan,"AŞIM","UYGUN"))</f>
        <v/>
      </c>
    </row>
    <row r="16">
      <c r="A16" s="26" t="n"/>
      <c r="B16" s="26" t="n"/>
      <c r="C16" s="26" t="n"/>
      <c r="D16" s="27" t="n"/>
      <c r="E16" s="27" t="n"/>
      <c r="F16" s="27" t="n"/>
      <c r="G16" s="27" t="n"/>
      <c r="H16" s="27" t="n"/>
      <c r="I16" s="21">
        <f>IF(A16="","",SUMIF(tblAkis[SantiyeId],A16,tblAkis[Tutar]))</f>
        <v/>
      </c>
      <c r="J16" s="21">
        <f>IF(A16="","",E16+F16+G16+H16+I16)</f>
        <v/>
      </c>
      <c r="K16" s="21">
        <f>IF(A16="","",J16-D16)</f>
        <v/>
      </c>
      <c r="L16" s="33">
        <f>IF(A16="","",IFERROR(K16/MAX(D16,1),0))</f>
        <v/>
      </c>
      <c r="M16" s="7">
        <f>IF(A16="","",IF(J16&gt;D16*ihs_asimCarpan,"AŞIM","UYGUN"))</f>
        <v/>
      </c>
    </row>
    <row r="17">
      <c r="A17" s="26" t="n"/>
      <c r="B17" s="26" t="n"/>
      <c r="C17" s="26" t="n"/>
      <c r="D17" s="27" t="n"/>
      <c r="E17" s="27" t="n"/>
      <c r="F17" s="27" t="n"/>
      <c r="G17" s="27" t="n"/>
      <c r="H17" s="27" t="n"/>
      <c r="I17" s="21">
        <f>IF(A17="","",SUMIF(tblAkis[SantiyeId],A17,tblAkis[Tutar]))</f>
        <v/>
      </c>
      <c r="J17" s="21">
        <f>IF(A17="","",E17+F17+G17+H17+I17)</f>
        <v/>
      </c>
      <c r="K17" s="21">
        <f>IF(A17="","",J17-D17)</f>
        <v/>
      </c>
      <c r="L17" s="33">
        <f>IF(A17="","",IFERROR(K17/MAX(D17,1),0))</f>
        <v/>
      </c>
      <c r="M17" s="7">
        <f>IF(A17="","",IF(J17&gt;D17*ihs_asimCarpan,"AŞIM","UYGUN"))</f>
        <v/>
      </c>
    </row>
    <row r="18">
      <c r="A18" s="26" t="n"/>
      <c r="B18" s="26" t="n"/>
      <c r="C18" s="26" t="n"/>
      <c r="D18" s="27" t="n"/>
      <c r="E18" s="27" t="n"/>
      <c r="F18" s="27" t="n"/>
      <c r="G18" s="27" t="n"/>
      <c r="H18" s="27" t="n"/>
      <c r="I18" s="21">
        <f>IF(A18="","",SUMIF(tblAkis[SantiyeId],A18,tblAkis[Tutar]))</f>
        <v/>
      </c>
      <c r="J18" s="21">
        <f>IF(A18="","",E18+F18+G18+H18+I18)</f>
        <v/>
      </c>
      <c r="K18" s="21">
        <f>IF(A18="","",J18-D18)</f>
        <v/>
      </c>
      <c r="L18" s="33">
        <f>IF(A18="","",IFERROR(K18/MAX(D18,1),0))</f>
        <v/>
      </c>
      <c r="M18" s="7">
        <f>IF(A18="","",IF(J18&gt;D18*ihs_asimCarpan,"AŞIM","UYGUN"))</f>
        <v/>
      </c>
    </row>
    <row r="19">
      <c r="A19" s="26" t="n"/>
      <c r="B19" s="26" t="n"/>
      <c r="C19" s="26" t="n"/>
      <c r="D19" s="27" t="n"/>
      <c r="E19" s="27" t="n"/>
      <c r="F19" s="27" t="n"/>
      <c r="G19" s="27" t="n"/>
      <c r="H19" s="27" t="n"/>
      <c r="I19" s="21">
        <f>IF(A19="","",SUMIF(tblAkis[SantiyeId],A19,tblAkis[Tutar]))</f>
        <v/>
      </c>
      <c r="J19" s="21">
        <f>IF(A19="","",E19+F19+G19+H19+I19)</f>
        <v/>
      </c>
      <c r="K19" s="21">
        <f>IF(A19="","",J19-D19)</f>
        <v/>
      </c>
      <c r="L19" s="33">
        <f>IF(A19="","",IFERROR(K19/MAX(D19,1),0))</f>
        <v/>
      </c>
      <c r="M19" s="7">
        <f>IF(A19="","",IF(J19&gt;D19*ihs_asimCarpan,"AŞIM","UYGUN"))</f>
        <v/>
      </c>
    </row>
    <row r="20">
      <c r="A20" s="26" t="n"/>
      <c r="B20" s="26" t="n"/>
      <c r="C20" s="26" t="n"/>
      <c r="D20" s="27" t="n"/>
      <c r="E20" s="27" t="n"/>
      <c r="F20" s="27" t="n"/>
      <c r="G20" s="27" t="n"/>
      <c r="H20" s="27" t="n"/>
      <c r="I20" s="21">
        <f>IF(A20="","",SUMIF(tblAkis[SantiyeId],A20,tblAkis[Tutar]))</f>
        <v/>
      </c>
      <c r="J20" s="21">
        <f>IF(A20="","",E20+F20+G20+H20+I20)</f>
        <v/>
      </c>
      <c r="K20" s="21">
        <f>IF(A20="","",J20-D20)</f>
        <v/>
      </c>
      <c r="L20" s="33">
        <f>IF(A20="","",IFERROR(K20/MAX(D20,1),0))</f>
        <v/>
      </c>
      <c r="M20" s="7">
        <f>IF(A20="","",IF(J20&gt;D20*ihs_asimCarpan,"AŞIM","UYGUN"))</f>
        <v/>
      </c>
    </row>
    <row r="21">
      <c r="A21" s="26" t="n"/>
      <c r="B21" s="26" t="n"/>
      <c r="C21" s="26" t="n"/>
      <c r="D21" s="27" t="n"/>
      <c r="E21" s="27" t="n"/>
      <c r="F21" s="27" t="n"/>
      <c r="G21" s="27" t="n"/>
      <c r="H21" s="27" t="n"/>
      <c r="I21" s="21">
        <f>IF(A21="","",SUMIF(tblAkis[SantiyeId],A21,tblAkis[Tutar]))</f>
        <v/>
      </c>
      <c r="J21" s="21">
        <f>IF(A21="","",E21+F21+G21+H21+I21)</f>
        <v/>
      </c>
      <c r="K21" s="21">
        <f>IF(A21="","",J21-D21)</f>
        <v/>
      </c>
      <c r="L21" s="33">
        <f>IF(A21="","",IFERROR(K21/MAX(D21,1),0))</f>
        <v/>
      </c>
      <c r="M21" s="7">
        <f>IF(A21="","",IF(J21&gt;D21*ihs_asimCarpan,"AŞIM","UYGUN"))</f>
        <v/>
      </c>
    </row>
    <row r="22">
      <c r="A22" s="26" t="n"/>
      <c r="B22" s="26" t="n"/>
      <c r="C22" s="26" t="n"/>
      <c r="D22" s="27" t="n"/>
      <c r="E22" s="27" t="n"/>
      <c r="F22" s="27" t="n"/>
      <c r="G22" s="27" t="n"/>
      <c r="H22" s="27" t="n"/>
      <c r="I22" s="21">
        <f>IF(A22="","",SUMIF(tblAkis[SantiyeId],A22,tblAkis[Tutar]))</f>
        <v/>
      </c>
      <c r="J22" s="21">
        <f>IF(A22="","",E22+F22+G22+H22+I22)</f>
        <v/>
      </c>
      <c r="K22" s="21">
        <f>IF(A22="","",J22-D22)</f>
        <v/>
      </c>
      <c r="L22" s="33">
        <f>IF(A22="","",IFERROR(K22/MAX(D22,1),0))</f>
        <v/>
      </c>
      <c r="M22" s="7">
        <f>IF(A22="","",IF(J22&gt;D22*ihs_asimCarpan,"AŞIM","UYGUN"))</f>
        <v/>
      </c>
    </row>
    <row r="23">
      <c r="A23" s="26" t="n"/>
      <c r="B23" s="26" t="n"/>
      <c r="C23" s="26" t="n"/>
      <c r="D23" s="27" t="n"/>
      <c r="E23" s="27" t="n"/>
      <c r="F23" s="27" t="n"/>
      <c r="G23" s="27" t="n"/>
      <c r="H23" s="27" t="n"/>
      <c r="I23" s="21">
        <f>IF(A23="","",SUMIF(tblAkis[SantiyeId],A23,tblAkis[Tutar]))</f>
        <v/>
      </c>
      <c r="J23" s="21">
        <f>IF(A23="","",E23+F23+G23+H23+I23)</f>
        <v/>
      </c>
      <c r="K23" s="21">
        <f>IF(A23="","",J23-D23)</f>
        <v/>
      </c>
      <c r="L23" s="33">
        <f>IF(A23="","",IFERROR(K23/MAX(D23,1),0))</f>
        <v/>
      </c>
      <c r="M23" s="7">
        <f>IF(A23="","",IF(J23&gt;D23*ihs_asimCarpan,"AŞIM","UYGUN"))</f>
        <v/>
      </c>
    </row>
    <row r="24">
      <c r="A24" s="26" t="n"/>
      <c r="B24" s="26" t="n"/>
      <c r="C24" s="26" t="n"/>
      <c r="D24" s="27" t="n"/>
      <c r="E24" s="27" t="n"/>
      <c r="F24" s="27" t="n"/>
      <c r="G24" s="27" t="n"/>
      <c r="H24" s="27" t="n"/>
      <c r="I24" s="21">
        <f>IF(A24="","",SUMIF(tblAkis[SantiyeId],A24,tblAkis[Tutar]))</f>
        <v/>
      </c>
      <c r="J24" s="21">
        <f>IF(A24="","",E24+F24+G24+H24+I24)</f>
        <v/>
      </c>
      <c r="K24" s="21">
        <f>IF(A24="","",J24-D24)</f>
        <v/>
      </c>
      <c r="L24" s="33">
        <f>IF(A24="","",IFERROR(K24/MAX(D24,1),0))</f>
        <v/>
      </c>
      <c r="M24" s="7">
        <f>IF(A24="","",IF(J24&gt;D24*ihs_asimCarpan,"AŞIM","UYGUN"))</f>
        <v/>
      </c>
    </row>
    <row r="25">
      <c r="A25" s="26" t="n"/>
      <c r="B25" s="26" t="n"/>
      <c r="C25" s="26" t="n"/>
      <c r="D25" s="27" t="n"/>
      <c r="E25" s="27" t="n"/>
      <c r="F25" s="27" t="n"/>
      <c r="G25" s="27" t="n"/>
      <c r="H25" s="27" t="n"/>
      <c r="I25" s="21">
        <f>IF(A25="","",SUMIF(tblAkis[SantiyeId],A25,tblAkis[Tutar]))</f>
        <v/>
      </c>
      <c r="J25" s="21">
        <f>IF(A25="","",E25+F25+G25+H25+I25)</f>
        <v/>
      </c>
      <c r="K25" s="21">
        <f>IF(A25="","",J25-D25)</f>
        <v/>
      </c>
      <c r="L25" s="33">
        <f>IF(A25="","",IFERROR(K25/MAX(D25,1),0))</f>
        <v/>
      </c>
      <c r="M25" s="7">
        <f>IF(A25="","",IF(J25&gt;D25*ihs_asimCarpan,"AŞIM","UYGUN"))</f>
        <v/>
      </c>
    </row>
    <row r="26">
      <c r="A26" s="26" t="n"/>
      <c r="B26" s="26" t="n"/>
      <c r="C26" s="26" t="n"/>
      <c r="D26" s="27" t="n"/>
      <c r="E26" s="27" t="n"/>
      <c r="F26" s="27" t="n"/>
      <c r="G26" s="27" t="n"/>
      <c r="H26" s="27" t="n"/>
      <c r="I26" s="21">
        <f>IF(A26="","",SUMIF(tblAkis[SantiyeId],A26,tblAkis[Tutar]))</f>
        <v/>
      </c>
      <c r="J26" s="21">
        <f>IF(A26="","",E26+F26+G26+H26+I26)</f>
        <v/>
      </c>
      <c r="K26" s="21">
        <f>IF(A26="","",J26-D26)</f>
        <v/>
      </c>
      <c r="L26" s="33">
        <f>IF(A26="","",IFERROR(K26/MAX(D26,1),0))</f>
        <v/>
      </c>
      <c r="M26" s="7">
        <f>IF(A26="","",IF(J26&gt;D26*ihs_asimCarpan,"AŞIM","UYGUN"))</f>
        <v/>
      </c>
    </row>
    <row r="27">
      <c r="A27" s="26" t="n"/>
      <c r="B27" s="26" t="n"/>
      <c r="C27" s="26" t="n"/>
      <c r="D27" s="27" t="n"/>
      <c r="E27" s="27" t="n"/>
      <c r="F27" s="27" t="n"/>
      <c r="G27" s="27" t="n"/>
      <c r="H27" s="27" t="n"/>
      <c r="I27" s="21">
        <f>IF(A27="","",SUMIF(tblAkis[SantiyeId],A27,tblAkis[Tutar]))</f>
        <v/>
      </c>
      <c r="J27" s="21">
        <f>IF(A27="","",E27+F27+G27+H27+I27)</f>
        <v/>
      </c>
      <c r="K27" s="21">
        <f>IF(A27="","",J27-D27)</f>
        <v/>
      </c>
      <c r="L27" s="33">
        <f>IF(A27="","",IFERROR(K27/MAX(D27,1),0))</f>
        <v/>
      </c>
      <c r="M27" s="7">
        <f>IF(A27="","",IF(J27&gt;D27*ihs_asimCarpan,"AŞIM","UYGUN"))</f>
        <v/>
      </c>
    </row>
    <row r="28">
      <c r="A28" s="26" t="n"/>
      <c r="B28" s="26" t="n"/>
      <c r="C28" s="26" t="n"/>
      <c r="D28" s="27" t="n"/>
      <c r="E28" s="27" t="n"/>
      <c r="F28" s="27" t="n"/>
      <c r="G28" s="27" t="n"/>
      <c r="H28" s="27" t="n"/>
      <c r="I28" s="21">
        <f>IF(A28="","",SUMIF(tblAkis[SantiyeId],A28,tblAkis[Tutar]))</f>
        <v/>
      </c>
      <c r="J28" s="21">
        <f>IF(A28="","",E28+F28+G28+H28+I28)</f>
        <v/>
      </c>
      <c r="K28" s="21">
        <f>IF(A28="","",J28-D28)</f>
        <v/>
      </c>
      <c r="L28" s="33">
        <f>IF(A28="","",IFERROR(K28/MAX(D28,1),0))</f>
        <v/>
      </c>
      <c r="M28" s="7">
        <f>IF(A28="","",IF(J28&gt;D28*ihs_asimCarpan,"AŞIM","UYGUN"))</f>
        <v/>
      </c>
    </row>
    <row r="29">
      <c r="A29" s="26" t="n"/>
      <c r="B29" s="26" t="n"/>
      <c r="C29" s="26" t="n"/>
      <c r="D29" s="27" t="n"/>
      <c r="E29" s="27" t="n"/>
      <c r="F29" s="27" t="n"/>
      <c r="G29" s="27" t="n"/>
      <c r="H29" s="27" t="n"/>
      <c r="I29" s="21">
        <f>IF(A29="","",SUMIF(tblAkis[SantiyeId],A29,tblAkis[Tutar]))</f>
        <v/>
      </c>
      <c r="J29" s="21">
        <f>IF(A29="","",E29+F29+G29+H29+I29)</f>
        <v/>
      </c>
      <c r="K29" s="21">
        <f>IF(A29="","",J29-D29)</f>
        <v/>
      </c>
      <c r="L29" s="33">
        <f>IF(A29="","",IFERROR(K29/MAX(D29,1),0))</f>
        <v/>
      </c>
      <c r="M29" s="7">
        <f>IF(A29="","",IF(J29&gt;D29*ihs_asimCarpan,"AŞIM","UYGUN"))</f>
        <v/>
      </c>
    </row>
    <row r="30">
      <c r="A30" s="26" t="n"/>
      <c r="B30" s="26" t="n"/>
      <c r="C30" s="26" t="n"/>
      <c r="D30" s="27" t="n"/>
      <c r="E30" s="27" t="n"/>
      <c r="F30" s="27" t="n"/>
      <c r="G30" s="27" t="n"/>
      <c r="H30" s="27" t="n"/>
      <c r="I30" s="21">
        <f>IF(A30="","",SUMIF(tblAkis[SantiyeId],A30,tblAkis[Tutar]))</f>
        <v/>
      </c>
      <c r="J30" s="21">
        <f>IF(A30="","",E30+F30+G30+H30+I30)</f>
        <v/>
      </c>
      <c r="K30" s="21">
        <f>IF(A30="","",J30-D30)</f>
        <v/>
      </c>
      <c r="L30" s="33">
        <f>IF(A30="","",IFERROR(K30/MAX(D30,1),0))</f>
        <v/>
      </c>
      <c r="M30" s="7">
        <f>IF(A30="","",IF(J30&gt;D30*ihs_asimCarpan,"AŞIM","UYGUN"))</f>
        <v/>
      </c>
    </row>
    <row r="31">
      <c r="A31" s="26" t="n"/>
      <c r="B31" s="26" t="n"/>
      <c r="C31" s="26" t="n"/>
      <c r="D31" s="27" t="n"/>
      <c r="E31" s="27" t="n"/>
      <c r="F31" s="27" t="n"/>
      <c r="G31" s="27" t="n"/>
      <c r="H31" s="27" t="n"/>
      <c r="I31" s="21">
        <f>IF(A31="","",SUMIF(tblAkis[SantiyeId],A31,tblAkis[Tutar]))</f>
        <v/>
      </c>
      <c r="J31" s="21">
        <f>IF(A31="","",E31+F31+G31+H31+I31)</f>
        <v/>
      </c>
      <c r="K31" s="21">
        <f>IF(A31="","",J31-D31)</f>
        <v/>
      </c>
      <c r="L31" s="33">
        <f>IF(A31="","",IFERROR(K31/MAX(D31,1),0))</f>
        <v/>
      </c>
      <c r="M31" s="7">
        <f>IF(A31="","",IF(J31&gt;D31*ihs_asimCarpan,"AŞIM","UYGUN"))</f>
        <v/>
      </c>
    </row>
    <row r="32">
      <c r="A32" s="26" t="n"/>
      <c r="B32" s="26" t="n"/>
      <c r="C32" s="26" t="n"/>
      <c r="D32" s="27" t="n"/>
      <c r="E32" s="27" t="n"/>
      <c r="F32" s="27" t="n"/>
      <c r="G32" s="27" t="n"/>
      <c r="H32" s="27" t="n"/>
      <c r="I32" s="21">
        <f>IF(A32="","",SUMIF(tblAkis[SantiyeId],A32,tblAkis[Tutar]))</f>
        <v/>
      </c>
      <c r="J32" s="21">
        <f>IF(A32="","",E32+F32+G32+H32+I32)</f>
        <v/>
      </c>
      <c r="K32" s="21">
        <f>IF(A32="","",J32-D32)</f>
        <v/>
      </c>
      <c r="L32" s="33">
        <f>IF(A32="","",IFERROR(K32/MAX(D32,1),0))</f>
        <v/>
      </c>
      <c r="M32" s="7">
        <f>IF(A32="","",IF(J32&gt;D32*ihs_asimCarpan,"AŞIM","UYGUN"))</f>
        <v/>
      </c>
    </row>
    <row r="33">
      <c r="A33" s="26" t="n"/>
      <c r="B33" s="26" t="n"/>
      <c r="C33" s="26" t="n"/>
      <c r="D33" s="27" t="n"/>
      <c r="E33" s="27" t="n"/>
      <c r="F33" s="27" t="n"/>
      <c r="G33" s="27" t="n"/>
      <c r="H33" s="27" t="n"/>
      <c r="I33" s="21">
        <f>IF(A33="","",SUMIF(tblAkis[SantiyeId],A33,tblAkis[Tutar]))</f>
        <v/>
      </c>
      <c r="J33" s="21">
        <f>IF(A33="","",E33+F33+G33+H33+I33)</f>
        <v/>
      </c>
      <c r="K33" s="21">
        <f>IF(A33="","",J33-D33)</f>
        <v/>
      </c>
      <c r="L33" s="33">
        <f>IF(A33="","",IFERROR(K33/MAX(D33,1),0))</f>
        <v/>
      </c>
      <c r="M33" s="7">
        <f>IF(A33="","",IF(J33&gt;D33*ihs_asimCarpan,"AŞIM","UYGUN"))</f>
        <v/>
      </c>
    </row>
    <row r="34">
      <c r="A34" s="26" t="n"/>
      <c r="B34" s="26" t="n"/>
      <c r="C34" s="26" t="n"/>
      <c r="D34" s="27" t="n"/>
      <c r="E34" s="27" t="n"/>
      <c r="F34" s="27" t="n"/>
      <c r="G34" s="27" t="n"/>
      <c r="H34" s="27" t="n"/>
      <c r="I34" s="21">
        <f>IF(A34="","",SUMIF(tblAkis[SantiyeId],A34,tblAkis[Tutar]))</f>
        <v/>
      </c>
      <c r="J34" s="21">
        <f>IF(A34="","",E34+F34+G34+H34+I34)</f>
        <v/>
      </c>
      <c r="K34" s="21">
        <f>IF(A34="","",J34-D34)</f>
        <v/>
      </c>
      <c r="L34" s="33">
        <f>IF(A34="","",IFERROR(K34/MAX(D34,1),0))</f>
        <v/>
      </c>
      <c r="M34" s="7">
        <f>IF(A34="","",IF(J34&gt;D34*ihs_asimCarpan,"AŞIM","UYGUN"))</f>
        <v/>
      </c>
    </row>
    <row r="35">
      <c r="A35" s="26" t="n"/>
      <c r="B35" s="26" t="n"/>
      <c r="C35" s="26" t="n"/>
      <c r="D35" s="27" t="n"/>
      <c r="E35" s="27" t="n"/>
      <c r="F35" s="27" t="n"/>
      <c r="G35" s="27" t="n"/>
      <c r="H35" s="27" t="n"/>
      <c r="I35" s="21">
        <f>IF(A35="","",SUMIF(tblAkis[SantiyeId],A35,tblAkis[Tutar]))</f>
        <v/>
      </c>
      <c r="J35" s="21">
        <f>IF(A35="","",E35+F35+G35+H35+I35)</f>
        <v/>
      </c>
      <c r="K35" s="21">
        <f>IF(A35="","",J35-D35)</f>
        <v/>
      </c>
      <c r="L35" s="33">
        <f>IF(A35="","",IFERROR(K35/MAX(D35,1),0))</f>
        <v/>
      </c>
      <c r="M35" s="7">
        <f>IF(A35="","",IF(J35&gt;D35*ihs_asimCarpan,"AŞIM","UYGUN"))</f>
        <v/>
      </c>
    </row>
    <row r="36">
      <c r="A36" s="26" t="n"/>
      <c r="B36" s="26" t="n"/>
      <c r="C36" s="26" t="n"/>
      <c r="D36" s="27" t="n"/>
      <c r="E36" s="27" t="n"/>
      <c r="F36" s="27" t="n"/>
      <c r="G36" s="27" t="n"/>
      <c r="H36" s="27" t="n"/>
      <c r="I36" s="21">
        <f>IF(A36="","",SUMIF(tblAkis[SantiyeId],A36,tblAkis[Tutar]))</f>
        <v/>
      </c>
      <c r="J36" s="21">
        <f>IF(A36="","",E36+F36+G36+H36+I36)</f>
        <v/>
      </c>
      <c r="K36" s="21">
        <f>IF(A36="","",J36-D36)</f>
        <v/>
      </c>
      <c r="L36" s="33">
        <f>IF(A36="","",IFERROR(K36/MAX(D36,1),0))</f>
        <v/>
      </c>
      <c r="M36" s="7">
        <f>IF(A36="","",IF(J36&gt;D36*ihs_asimCarpan,"AŞIM","UYGUN"))</f>
        <v/>
      </c>
    </row>
    <row r="37">
      <c r="A37" s="26" t="n"/>
      <c r="B37" s="26" t="n"/>
      <c r="C37" s="26" t="n"/>
      <c r="D37" s="27" t="n"/>
      <c r="E37" s="27" t="n"/>
      <c r="F37" s="27" t="n"/>
      <c r="G37" s="27" t="n"/>
      <c r="H37" s="27" t="n"/>
      <c r="I37" s="21">
        <f>IF(A37="","",SUMIF(tblAkis[SantiyeId],A37,tblAkis[Tutar]))</f>
        <v/>
      </c>
      <c r="J37" s="21">
        <f>IF(A37="","",E37+F37+G37+H37+I37)</f>
        <v/>
      </c>
      <c r="K37" s="21">
        <f>IF(A37="","",J37-D37)</f>
        <v/>
      </c>
      <c r="L37" s="33">
        <f>IF(A37="","",IFERROR(K37/MAX(D37,1),0))</f>
        <v/>
      </c>
      <c r="M37" s="7">
        <f>IF(A37="","",IF(J37&gt;D37*ihs_asimCarpan,"AŞIM","UYGUN"))</f>
        <v/>
      </c>
    </row>
    <row r="38">
      <c r="A38" s="26" t="n"/>
      <c r="B38" s="26" t="n"/>
      <c r="C38" s="26" t="n"/>
      <c r="D38" s="27" t="n"/>
      <c r="E38" s="27" t="n"/>
      <c r="F38" s="27" t="n"/>
      <c r="G38" s="27" t="n"/>
      <c r="H38" s="27" t="n"/>
      <c r="I38" s="21">
        <f>IF(A38="","",SUMIF(tblAkis[SantiyeId],A38,tblAkis[Tutar]))</f>
        <v/>
      </c>
      <c r="J38" s="21">
        <f>IF(A38="","",E38+F38+G38+H38+I38)</f>
        <v/>
      </c>
      <c r="K38" s="21">
        <f>IF(A38="","",J38-D38)</f>
        <v/>
      </c>
      <c r="L38" s="33">
        <f>IF(A38="","",IFERROR(K38/MAX(D38,1),0))</f>
        <v/>
      </c>
      <c r="M38" s="7">
        <f>IF(A38="","",IF(J38&gt;D38*ihs_asimCarpan,"AŞIM","UYGUN"))</f>
        <v/>
      </c>
    </row>
    <row r="39">
      <c r="A39" s="26" t="n"/>
      <c r="B39" s="26" t="n"/>
      <c r="C39" s="26" t="n"/>
      <c r="D39" s="27" t="n"/>
      <c r="E39" s="27" t="n"/>
      <c r="F39" s="27" t="n"/>
      <c r="G39" s="27" t="n"/>
      <c r="H39" s="27" t="n"/>
      <c r="I39" s="21">
        <f>IF(A39="","",SUMIF(tblAkis[SantiyeId],A39,tblAkis[Tutar]))</f>
        <v/>
      </c>
      <c r="J39" s="21">
        <f>IF(A39="","",E39+F39+G39+H39+I39)</f>
        <v/>
      </c>
      <c r="K39" s="21">
        <f>IF(A39="","",J39-D39)</f>
        <v/>
      </c>
      <c r="L39" s="33">
        <f>IF(A39="","",IFERROR(K39/MAX(D39,1),0))</f>
        <v/>
      </c>
      <c r="M39" s="7">
        <f>IF(A39="","",IF(J39&gt;D39*ihs_asimCarpan,"AŞIM","UYGUN"))</f>
        <v/>
      </c>
    </row>
    <row r="40">
      <c r="A40" s="26" t="n"/>
      <c r="B40" s="26" t="n"/>
      <c r="C40" s="26" t="n"/>
      <c r="D40" s="27" t="n"/>
      <c r="E40" s="27" t="n"/>
      <c r="F40" s="27" t="n"/>
      <c r="G40" s="27" t="n"/>
      <c r="H40" s="27" t="n"/>
      <c r="I40" s="21">
        <f>IF(A40="","",SUMIF(tblAkis[SantiyeId],A40,tblAkis[Tutar]))</f>
        <v/>
      </c>
      <c r="J40" s="21">
        <f>IF(A40="","",E40+F40+G40+H40+I40)</f>
        <v/>
      </c>
      <c r="K40" s="21">
        <f>IF(A40="","",J40-D40)</f>
        <v/>
      </c>
      <c r="L40" s="33">
        <f>IF(A40="","",IFERROR(K40/MAX(D40,1),0))</f>
        <v/>
      </c>
      <c r="M40" s="7">
        <f>IF(A40="","",IF(J40&gt;D40*ihs_asimCarpan,"AŞIM","UYGUN"))</f>
        <v/>
      </c>
    </row>
    <row r="41">
      <c r="A41" s="26" t="n"/>
      <c r="B41" s="26" t="n"/>
      <c r="C41" s="26" t="n"/>
      <c r="D41" s="27" t="n"/>
      <c r="E41" s="27" t="n"/>
      <c r="F41" s="27" t="n"/>
      <c r="G41" s="27" t="n"/>
      <c r="H41" s="27" t="n"/>
      <c r="I41" s="21">
        <f>IF(A41="","",SUMIF(tblAkis[SantiyeId],A41,tblAkis[Tutar]))</f>
        <v/>
      </c>
      <c r="J41" s="21">
        <f>IF(A41="","",E41+F41+G41+H41+I41)</f>
        <v/>
      </c>
      <c r="K41" s="21">
        <f>IF(A41="","",J41-D41)</f>
        <v/>
      </c>
      <c r="L41" s="33">
        <f>IF(A41="","",IFERROR(K41/MAX(D41,1),0))</f>
        <v/>
      </c>
      <c r="M41" s="7">
        <f>IF(A41="","",IF(J41&gt;D41*ihs_asimCarpan,"AŞIM","UYGUN"))</f>
        <v/>
      </c>
    </row>
    <row r="42">
      <c r="A42" s="26" t="n"/>
      <c r="B42" s="26" t="n"/>
      <c r="C42" s="26" t="n"/>
      <c r="D42" s="27" t="n"/>
      <c r="E42" s="27" t="n"/>
      <c r="F42" s="27" t="n"/>
      <c r="G42" s="27" t="n"/>
      <c r="H42" s="27" t="n"/>
      <c r="I42" s="21">
        <f>IF(A42="","",SUMIF(tblAkis[SantiyeId],A42,tblAkis[Tutar]))</f>
        <v/>
      </c>
      <c r="J42" s="21">
        <f>IF(A42="","",E42+F42+G42+H42+I42)</f>
        <v/>
      </c>
      <c r="K42" s="21">
        <f>IF(A42="","",J42-D42)</f>
        <v/>
      </c>
      <c r="L42" s="33">
        <f>IF(A42="","",IFERROR(K42/MAX(D42,1),0))</f>
        <v/>
      </c>
      <c r="M42" s="7">
        <f>IF(A42="","",IF(J42&gt;D42*ihs_asimCarpan,"AŞIM","UYGUN"))</f>
        <v/>
      </c>
    </row>
    <row r="43">
      <c r="A43" s="26" t="n"/>
      <c r="B43" s="26" t="n"/>
      <c r="C43" s="26" t="n"/>
      <c r="D43" s="27" t="n"/>
      <c r="E43" s="27" t="n"/>
      <c r="F43" s="27" t="n"/>
      <c r="G43" s="27" t="n"/>
      <c r="H43" s="27" t="n"/>
      <c r="I43" s="21">
        <f>IF(A43="","",SUMIF(tblAkis[SantiyeId],A43,tblAkis[Tutar]))</f>
        <v/>
      </c>
      <c r="J43" s="21">
        <f>IF(A43="","",E43+F43+G43+H43+I43)</f>
        <v/>
      </c>
      <c r="K43" s="21">
        <f>IF(A43="","",J43-D43)</f>
        <v/>
      </c>
      <c r="L43" s="33">
        <f>IF(A43="","",IFERROR(K43/MAX(D43,1),0))</f>
        <v/>
      </c>
      <c r="M43" s="7">
        <f>IF(A43="","",IF(J43&gt;D43*ihs_asimCarpan,"AŞIM","UYGUN"))</f>
        <v/>
      </c>
    </row>
    <row r="44">
      <c r="A44" s="26" t="n"/>
      <c r="B44" s="26" t="n"/>
      <c r="C44" s="26" t="n"/>
      <c r="D44" s="27" t="n"/>
      <c r="E44" s="27" t="n"/>
      <c r="F44" s="27" t="n"/>
      <c r="G44" s="27" t="n"/>
      <c r="H44" s="27" t="n"/>
      <c r="I44" s="21">
        <f>IF(A44="","",SUMIF(tblAkis[SantiyeId],A44,tblAkis[Tutar]))</f>
        <v/>
      </c>
      <c r="J44" s="21">
        <f>IF(A44="","",E44+F44+G44+H44+I44)</f>
        <v/>
      </c>
      <c r="K44" s="21">
        <f>IF(A44="","",J44-D44)</f>
        <v/>
      </c>
      <c r="L44" s="33">
        <f>IF(A44="","",IFERROR(K44/MAX(D44,1),0))</f>
        <v/>
      </c>
      <c r="M44" s="7">
        <f>IF(A44="","",IF(J44&gt;D44*ihs_asimCarpan,"AŞIM","UYGUN"))</f>
        <v/>
      </c>
    </row>
    <row r="45">
      <c r="A45" s="26" t="n"/>
      <c r="B45" s="26" t="n"/>
      <c r="C45" s="26" t="n"/>
      <c r="D45" s="27" t="n"/>
      <c r="E45" s="27" t="n"/>
      <c r="F45" s="27" t="n"/>
      <c r="G45" s="27" t="n"/>
      <c r="H45" s="27" t="n"/>
      <c r="I45" s="21">
        <f>IF(A45="","",SUMIF(tblAkis[SantiyeId],A45,tblAkis[Tutar]))</f>
        <v/>
      </c>
      <c r="J45" s="21">
        <f>IF(A45="","",E45+F45+G45+H45+I45)</f>
        <v/>
      </c>
      <c r="K45" s="21">
        <f>IF(A45="","",J45-D45)</f>
        <v/>
      </c>
      <c r="L45" s="33">
        <f>IF(A45="","",IFERROR(K45/MAX(D45,1),0))</f>
        <v/>
      </c>
      <c r="M45" s="7">
        <f>IF(A45="","",IF(J45&gt;D45*ihs_asimCarpan,"AŞIM","UYGUN"))</f>
        <v/>
      </c>
    </row>
    <row r="46">
      <c r="A46" s="26" t="n"/>
      <c r="B46" s="26" t="n"/>
      <c r="C46" s="26" t="n"/>
      <c r="D46" s="27" t="n"/>
      <c r="E46" s="27" t="n"/>
      <c r="F46" s="27" t="n"/>
      <c r="G46" s="27" t="n"/>
      <c r="H46" s="27" t="n"/>
      <c r="I46" s="21">
        <f>IF(A46="","",SUMIF(tblAkis[SantiyeId],A46,tblAkis[Tutar]))</f>
        <v/>
      </c>
      <c r="J46" s="21">
        <f>IF(A46="","",E46+F46+G46+H46+I46)</f>
        <v/>
      </c>
      <c r="K46" s="21">
        <f>IF(A46="","",J46-D46)</f>
        <v/>
      </c>
      <c r="L46" s="33">
        <f>IF(A46="","",IFERROR(K46/MAX(D46,1),0))</f>
        <v/>
      </c>
      <c r="M46" s="7">
        <f>IF(A46="","",IF(J46&gt;D46*ihs_asimCarpan,"AŞIM","UYGUN"))</f>
        <v/>
      </c>
    </row>
    <row r="47">
      <c r="A47" s="26" t="n"/>
      <c r="B47" s="26" t="n"/>
      <c r="C47" s="26" t="n"/>
      <c r="D47" s="27" t="n"/>
      <c r="E47" s="27" t="n"/>
      <c r="F47" s="27" t="n"/>
      <c r="G47" s="27" t="n"/>
      <c r="H47" s="27" t="n"/>
      <c r="I47" s="21">
        <f>IF(A47="","",SUMIF(tblAkis[SantiyeId],A47,tblAkis[Tutar]))</f>
        <v/>
      </c>
      <c r="J47" s="21">
        <f>IF(A47="","",E47+F47+G47+H47+I47)</f>
        <v/>
      </c>
      <c r="K47" s="21">
        <f>IF(A47="","",J47-D47)</f>
        <v/>
      </c>
      <c r="L47" s="33">
        <f>IF(A47="","",IFERROR(K47/MAX(D47,1),0))</f>
        <v/>
      </c>
      <c r="M47" s="7">
        <f>IF(A47="","",IF(J47&gt;D47*ihs_asimCarpan,"AŞIM","UYGUN"))</f>
        <v/>
      </c>
    </row>
    <row r="48">
      <c r="A48" s="26" t="n"/>
      <c r="B48" s="26" t="n"/>
      <c r="C48" s="26" t="n"/>
      <c r="D48" s="27" t="n"/>
      <c r="E48" s="27" t="n"/>
      <c r="F48" s="27" t="n"/>
      <c r="G48" s="27" t="n"/>
      <c r="H48" s="27" t="n"/>
      <c r="I48" s="21">
        <f>IF(A48="","",SUMIF(tblAkis[SantiyeId],A48,tblAkis[Tutar]))</f>
        <v/>
      </c>
      <c r="J48" s="21">
        <f>IF(A48="","",E48+F48+G48+H48+I48)</f>
        <v/>
      </c>
      <c r="K48" s="21">
        <f>IF(A48="","",J48-D48)</f>
        <v/>
      </c>
      <c r="L48" s="33">
        <f>IF(A48="","",IFERROR(K48/MAX(D48,1),0))</f>
        <v/>
      </c>
      <c r="M48" s="7">
        <f>IF(A48="","",IF(J48&gt;D48*ihs_asimCarpan,"AŞIM","UYGUN"))</f>
        <v/>
      </c>
    </row>
    <row r="49">
      <c r="A49" s="26" t="n"/>
      <c r="B49" s="26" t="n"/>
      <c r="C49" s="26" t="n"/>
      <c r="D49" s="27" t="n"/>
      <c r="E49" s="27" t="n"/>
      <c r="F49" s="27" t="n"/>
      <c r="G49" s="27" t="n"/>
      <c r="H49" s="27" t="n"/>
      <c r="I49" s="21">
        <f>IF(A49="","",SUMIF(tblAkis[SantiyeId],A49,tblAkis[Tutar]))</f>
        <v/>
      </c>
      <c r="J49" s="21">
        <f>IF(A49="","",E49+F49+G49+H49+I49)</f>
        <v/>
      </c>
      <c r="K49" s="21">
        <f>IF(A49="","",J49-D49)</f>
        <v/>
      </c>
      <c r="L49" s="33">
        <f>IF(A49="","",IFERROR(K49/MAX(D49,1),0))</f>
        <v/>
      </c>
      <c r="M49" s="7">
        <f>IF(A49="","",IF(J49&gt;D49*ihs_asimCarpan,"AŞIM","UYGUN"))</f>
        <v/>
      </c>
    </row>
    <row r="50">
      <c r="A50" s="26" t="n"/>
      <c r="B50" s="26" t="n"/>
      <c r="C50" s="26" t="n"/>
      <c r="D50" s="27" t="n"/>
      <c r="E50" s="27" t="n"/>
      <c r="F50" s="27" t="n"/>
      <c r="G50" s="27" t="n"/>
      <c r="H50" s="27" t="n"/>
      <c r="I50" s="21">
        <f>IF(A50="","",SUMIF(tblAkis[SantiyeId],A50,tblAkis[Tutar]))</f>
        <v/>
      </c>
      <c r="J50" s="21">
        <f>IF(A50="","",E50+F50+G50+H50+I50)</f>
        <v/>
      </c>
      <c r="K50" s="21">
        <f>IF(A50="","",J50-D50)</f>
        <v/>
      </c>
      <c r="L50" s="33">
        <f>IF(A50="","",IFERROR(K50/MAX(D50,1),0))</f>
        <v/>
      </c>
      <c r="M50" s="7">
        <f>IF(A50="","",IF(J50&gt;D50*ihs_asimCarpan,"AŞIM","UYGUN"))</f>
        <v/>
      </c>
    </row>
    <row r="51">
      <c r="A51" s="26" t="n"/>
      <c r="B51" s="26" t="n"/>
      <c r="C51" s="26" t="n"/>
      <c r="D51" s="27" t="n"/>
      <c r="E51" s="27" t="n"/>
      <c r="F51" s="27" t="n"/>
      <c r="G51" s="27" t="n"/>
      <c r="H51" s="27" t="n"/>
      <c r="I51" s="21">
        <f>IF(A51="","",SUMIF(tblAkis[SantiyeId],A51,tblAkis[Tutar]))</f>
        <v/>
      </c>
      <c r="J51" s="21">
        <f>IF(A51="","",E51+F51+G51+H51+I51)</f>
        <v/>
      </c>
      <c r="K51" s="21">
        <f>IF(A51="","",J51-D51)</f>
        <v/>
      </c>
      <c r="L51" s="33">
        <f>IF(A51="","",IFERROR(K51/MAX(D51,1),0))</f>
        <v/>
      </c>
      <c r="M51" s="7">
        <f>IF(A51="","",IF(J51&gt;D51*ihs_asimCarpan,"AŞIM","UYGUN"))</f>
        <v/>
      </c>
    </row>
    <row r="52">
      <c r="A52" s="26" t="n"/>
      <c r="B52" s="26" t="n"/>
      <c r="C52" s="26" t="n"/>
      <c r="D52" s="27" t="n"/>
      <c r="E52" s="27" t="n"/>
      <c r="F52" s="27" t="n"/>
      <c r="G52" s="27" t="n"/>
      <c r="H52" s="27" t="n"/>
      <c r="I52" s="21">
        <f>IF(A52="","",SUMIF(tblAkis[SantiyeId],A52,tblAkis[Tutar]))</f>
        <v/>
      </c>
      <c r="J52" s="21">
        <f>IF(A52="","",E52+F52+G52+H52+I52)</f>
        <v/>
      </c>
      <c r="K52" s="21">
        <f>IF(A52="","",J52-D52)</f>
        <v/>
      </c>
      <c r="L52" s="33">
        <f>IF(A52="","",IFERROR(K52/MAX(D52,1),0))</f>
        <v/>
      </c>
      <c r="M52" s="7">
        <f>IF(A52="","",IF(J52&gt;D52*ihs_asimCarpan,"AŞIM","UYGUN"))</f>
        <v/>
      </c>
    </row>
    <row r="53">
      <c r="A53" s="26" t="n"/>
      <c r="B53" s="26" t="n"/>
      <c r="C53" s="26" t="n"/>
      <c r="D53" s="27" t="n"/>
      <c r="E53" s="27" t="n"/>
      <c r="F53" s="27" t="n"/>
      <c r="G53" s="27" t="n"/>
      <c r="H53" s="27" t="n"/>
      <c r="I53" s="21">
        <f>IF(A53="","",SUMIF(tblAkis[SantiyeId],A53,tblAkis[Tutar]))</f>
        <v/>
      </c>
      <c r="J53" s="21">
        <f>IF(A53="","",E53+F53+G53+H53+I53)</f>
        <v/>
      </c>
      <c r="K53" s="21">
        <f>IF(A53="","",J53-D53)</f>
        <v/>
      </c>
      <c r="L53" s="33">
        <f>IF(A53="","",IFERROR(K53/MAX(D53,1),0))</f>
        <v/>
      </c>
      <c r="M53" s="7">
        <f>IF(A53="","",IF(J53&gt;D53*ihs_asimCarpan,"AŞIM","UYGUN"))</f>
        <v/>
      </c>
    </row>
    <row r="54">
      <c r="A54" s="26" t="n"/>
      <c r="B54" s="26" t="n"/>
      <c r="C54" s="26" t="n"/>
      <c r="D54" s="27" t="n"/>
      <c r="E54" s="27" t="n"/>
      <c r="F54" s="27" t="n"/>
      <c r="G54" s="27" t="n"/>
      <c r="H54" s="27" t="n"/>
      <c r="I54" s="21">
        <f>IF(A54="","",SUMIF(tblAkis[SantiyeId],A54,tblAkis[Tutar]))</f>
        <v/>
      </c>
      <c r="J54" s="21">
        <f>IF(A54="","",E54+F54+G54+H54+I54)</f>
        <v/>
      </c>
      <c r="K54" s="21">
        <f>IF(A54="","",J54-D54)</f>
        <v/>
      </c>
      <c r="L54" s="33">
        <f>IF(A54="","",IFERROR(K54/MAX(D54,1),0))</f>
        <v/>
      </c>
      <c r="M54" s="7">
        <f>IF(A54="","",IF(J54&gt;D54*ihs_asimCarpan,"AŞIM","UYGUN"))</f>
        <v/>
      </c>
    </row>
    <row r="55">
      <c r="A55" s="26" t="n"/>
      <c r="B55" s="26" t="n"/>
      <c r="C55" s="26" t="n"/>
      <c r="D55" s="27" t="n"/>
      <c r="E55" s="27" t="n"/>
      <c r="F55" s="27" t="n"/>
      <c r="G55" s="27" t="n"/>
      <c r="H55" s="27" t="n"/>
      <c r="I55" s="21">
        <f>IF(A55="","",SUMIF(tblAkis[SantiyeId],A55,tblAkis[Tutar]))</f>
        <v/>
      </c>
      <c r="J55" s="21">
        <f>IF(A55="","",E55+F55+G55+H55+I55)</f>
        <v/>
      </c>
      <c r="K55" s="21">
        <f>IF(A55="","",J55-D55)</f>
        <v/>
      </c>
      <c r="L55" s="33">
        <f>IF(A55="","",IFERROR(K55/MAX(D55,1),0))</f>
        <v/>
      </c>
      <c r="M55" s="7">
        <f>IF(A55="","",IF(J55&gt;D55*ihs_asimCarpan,"AŞIM","UYGUN"))</f>
        <v/>
      </c>
    </row>
    <row r="56">
      <c r="A56" s="26" t="n"/>
      <c r="B56" s="26" t="n"/>
      <c r="C56" s="26" t="n"/>
      <c r="D56" s="27" t="n"/>
      <c r="E56" s="27" t="n"/>
      <c r="F56" s="27" t="n"/>
      <c r="G56" s="27" t="n"/>
      <c r="H56" s="27" t="n"/>
      <c r="I56" s="21">
        <f>IF(A56="","",SUMIF(tblAkis[SantiyeId],A56,tblAkis[Tutar]))</f>
        <v/>
      </c>
      <c r="J56" s="21">
        <f>IF(A56="","",E56+F56+G56+H56+I56)</f>
        <v/>
      </c>
      <c r="K56" s="21">
        <f>IF(A56="","",J56-D56)</f>
        <v/>
      </c>
      <c r="L56" s="33">
        <f>IF(A56="","",IFERROR(K56/MAX(D56,1),0))</f>
        <v/>
      </c>
      <c r="M56" s="7">
        <f>IF(A56="","",IF(J56&gt;D56*ihs_asimCarpan,"AŞIM","UYGUN"))</f>
        <v/>
      </c>
    </row>
    <row r="57">
      <c r="A57" s="26" t="n"/>
      <c r="B57" s="26" t="n"/>
      <c r="C57" s="26" t="n"/>
      <c r="D57" s="27" t="n"/>
      <c r="E57" s="27" t="n"/>
      <c r="F57" s="27" t="n"/>
      <c r="G57" s="27" t="n"/>
      <c r="H57" s="27" t="n"/>
      <c r="I57" s="21">
        <f>IF(A57="","",SUMIF(tblAkis[SantiyeId],A57,tblAkis[Tutar]))</f>
        <v/>
      </c>
      <c r="J57" s="21">
        <f>IF(A57="","",E57+F57+G57+H57+I57)</f>
        <v/>
      </c>
      <c r="K57" s="21">
        <f>IF(A57="","",J57-D57)</f>
        <v/>
      </c>
      <c r="L57" s="33">
        <f>IF(A57="","",IFERROR(K57/MAX(D57,1),0))</f>
        <v/>
      </c>
      <c r="M57" s="7">
        <f>IF(A57="","",IF(J57&gt;D57*ihs_asimCarpan,"AŞIM","UYGUN"))</f>
        <v/>
      </c>
    </row>
    <row r="58">
      <c r="A58" s="26" t="n"/>
      <c r="B58" s="26" t="n"/>
      <c r="C58" s="26" t="n"/>
      <c r="D58" s="27" t="n"/>
      <c r="E58" s="27" t="n"/>
      <c r="F58" s="27" t="n"/>
      <c r="G58" s="27" t="n"/>
      <c r="H58" s="27" t="n"/>
      <c r="I58" s="21">
        <f>IF(A58="","",SUMIF(tblAkis[SantiyeId],A58,tblAkis[Tutar]))</f>
        <v/>
      </c>
      <c r="J58" s="21">
        <f>IF(A58="","",E58+F58+G58+H58+I58)</f>
        <v/>
      </c>
      <c r="K58" s="21">
        <f>IF(A58="","",J58-D58)</f>
        <v/>
      </c>
      <c r="L58" s="33">
        <f>IF(A58="","",IFERROR(K58/MAX(D58,1),0))</f>
        <v/>
      </c>
      <c r="M58" s="7">
        <f>IF(A58="","",IF(J58&gt;D58*ihs_asimCarpan,"AŞIM","UYGUN"))</f>
        <v/>
      </c>
    </row>
    <row r="59">
      <c r="A59" s="26" t="n"/>
      <c r="B59" s="26" t="n"/>
      <c r="C59" s="26" t="n"/>
      <c r="D59" s="27" t="n"/>
      <c r="E59" s="27" t="n"/>
      <c r="F59" s="27" t="n"/>
      <c r="G59" s="27" t="n"/>
      <c r="H59" s="27" t="n"/>
      <c r="I59" s="21">
        <f>IF(A59="","",SUMIF(tblAkis[SantiyeId],A59,tblAkis[Tutar]))</f>
        <v/>
      </c>
      <c r="J59" s="21">
        <f>IF(A59="","",E59+F59+G59+H59+I59)</f>
        <v/>
      </c>
      <c r="K59" s="21">
        <f>IF(A59="","",J59-D59)</f>
        <v/>
      </c>
      <c r="L59" s="33">
        <f>IF(A59="","",IFERROR(K59/MAX(D59,1),0))</f>
        <v/>
      </c>
      <c r="M59" s="7">
        <f>IF(A59="","",IF(J59&gt;D59*ihs_asimCarpan,"AŞIM","UYGUN"))</f>
        <v/>
      </c>
    </row>
    <row r="60">
      <c r="A60" s="26" t="n"/>
      <c r="B60" s="26" t="n"/>
      <c r="C60" s="26" t="n"/>
      <c r="D60" s="27" t="n"/>
      <c r="E60" s="27" t="n"/>
      <c r="F60" s="27" t="n"/>
      <c r="G60" s="27" t="n"/>
      <c r="H60" s="27" t="n"/>
      <c r="I60" s="21">
        <f>IF(A60="","",SUMIF(tblAkis[SantiyeId],A60,tblAkis[Tutar]))</f>
        <v/>
      </c>
      <c r="J60" s="21">
        <f>IF(A60="","",E60+F60+G60+H60+I60)</f>
        <v/>
      </c>
      <c r="K60" s="21">
        <f>IF(A60="","",J60-D60)</f>
        <v/>
      </c>
      <c r="L60" s="33">
        <f>IF(A60="","",IFERROR(K60/MAX(D60,1),0))</f>
        <v/>
      </c>
      <c r="M60" s="7">
        <f>IF(A60="","",IF(J60&gt;D60*ihs_asimCarpan,"AŞIM","UYGUN"))</f>
        <v/>
      </c>
    </row>
    <row r="61">
      <c r="A61" s="26" t="n"/>
      <c r="B61" s="26" t="n"/>
      <c r="C61" s="26" t="n"/>
      <c r="D61" s="27" t="n"/>
      <c r="E61" s="27" t="n"/>
      <c r="F61" s="27" t="n"/>
      <c r="G61" s="27" t="n"/>
      <c r="H61" s="27" t="n"/>
      <c r="I61" s="21">
        <f>IF(A61="","",SUMIF(tblAkis[SantiyeId],A61,tblAkis[Tutar]))</f>
        <v/>
      </c>
      <c r="J61" s="21">
        <f>IF(A61="","",E61+F61+G61+H61+I61)</f>
        <v/>
      </c>
      <c r="K61" s="21">
        <f>IF(A61="","",J61-D61)</f>
        <v/>
      </c>
      <c r="L61" s="33">
        <f>IF(A61="","",IFERROR(K61/MAX(D61,1),0))</f>
        <v/>
      </c>
      <c r="M61" s="7">
        <f>IF(A61="","",IF(J61&gt;D61*ihs_asimCarpan,"AŞIM","UYGUN"))</f>
        <v/>
      </c>
    </row>
    <row r="62">
      <c r="A62" s="26" t="n"/>
      <c r="B62" s="26" t="n"/>
      <c r="C62" s="26" t="n"/>
      <c r="D62" s="27" t="n"/>
      <c r="E62" s="27" t="n"/>
      <c r="F62" s="27" t="n"/>
      <c r="G62" s="27" t="n"/>
      <c r="H62" s="27" t="n"/>
      <c r="I62" s="21">
        <f>IF(A62="","",SUMIF(tblAkis[SantiyeId],A62,tblAkis[Tutar]))</f>
        <v/>
      </c>
      <c r="J62" s="21">
        <f>IF(A62="","",E62+F62+G62+H62+I62)</f>
        <v/>
      </c>
      <c r="K62" s="21">
        <f>IF(A62="","",J62-D62)</f>
        <v/>
      </c>
      <c r="L62" s="33">
        <f>IF(A62="","",IFERROR(K62/MAX(D62,1),0))</f>
        <v/>
      </c>
      <c r="M62" s="7">
        <f>IF(A62="","",IF(J62&gt;D62*ihs_asimCarpan,"AŞIM","UYGUN"))</f>
        <v/>
      </c>
    </row>
    <row r="63">
      <c r="A63" s="26" t="n"/>
      <c r="B63" s="26" t="n"/>
      <c r="C63" s="26" t="n"/>
      <c r="D63" s="27" t="n"/>
      <c r="E63" s="27" t="n"/>
      <c r="F63" s="27" t="n"/>
      <c r="G63" s="27" t="n"/>
      <c r="H63" s="27" t="n"/>
      <c r="I63" s="21">
        <f>IF(A63="","",SUMIF(tblAkis[SantiyeId],A63,tblAkis[Tutar]))</f>
        <v/>
      </c>
      <c r="J63" s="21">
        <f>IF(A63="","",E63+F63+G63+H63+I63)</f>
        <v/>
      </c>
      <c r="K63" s="21">
        <f>IF(A63="","",J63-D63)</f>
        <v/>
      </c>
      <c r="L63" s="33">
        <f>IF(A63="","",IFERROR(K63/MAX(D63,1),0))</f>
        <v/>
      </c>
      <c r="M63" s="7">
        <f>IF(A63="","",IF(J63&gt;D63*ihs_asimCarpan,"AŞIM","UYGUN"))</f>
        <v/>
      </c>
    </row>
    <row r="64">
      <c r="A64" s="26" t="n"/>
      <c r="B64" s="26" t="n"/>
      <c r="C64" s="26" t="n"/>
      <c r="D64" s="27" t="n"/>
      <c r="E64" s="27" t="n"/>
      <c r="F64" s="27" t="n"/>
      <c r="G64" s="27" t="n"/>
      <c r="H64" s="27" t="n"/>
      <c r="I64" s="21">
        <f>IF(A64="","",SUMIF(tblAkis[SantiyeId],A64,tblAkis[Tutar]))</f>
        <v/>
      </c>
      <c r="J64" s="21">
        <f>IF(A64="","",E64+F64+G64+H64+I64)</f>
        <v/>
      </c>
      <c r="K64" s="21">
        <f>IF(A64="","",J64-D64)</f>
        <v/>
      </c>
      <c r="L64" s="33">
        <f>IF(A64="","",IFERROR(K64/MAX(D64,1),0))</f>
        <v/>
      </c>
      <c r="M64" s="7">
        <f>IF(A64="","",IF(J64&gt;D64*ihs_asimCarpan,"AŞIM","UYGUN"))</f>
        <v/>
      </c>
    </row>
    <row r="65">
      <c r="A65" s="26" t="n"/>
      <c r="B65" s="26" t="n"/>
      <c r="C65" s="26" t="n"/>
      <c r="D65" s="27" t="n"/>
      <c r="E65" s="27" t="n"/>
      <c r="F65" s="27" t="n"/>
      <c r="G65" s="27" t="n"/>
      <c r="H65" s="27" t="n"/>
      <c r="I65" s="21">
        <f>IF(A65="","",SUMIF(tblAkis[SantiyeId],A65,tblAkis[Tutar]))</f>
        <v/>
      </c>
      <c r="J65" s="21">
        <f>IF(A65="","",E65+F65+G65+H65+I65)</f>
        <v/>
      </c>
      <c r="K65" s="21">
        <f>IF(A65="","",J65-D65)</f>
        <v/>
      </c>
      <c r="L65" s="33">
        <f>IF(A65="","",IFERROR(K65/MAX(D65,1),0))</f>
        <v/>
      </c>
      <c r="M65" s="7">
        <f>IF(A65="","",IF(J65&gt;D65*ihs_asimCarpan,"AŞIM","UYGUN"))</f>
        <v/>
      </c>
    </row>
    <row r="66">
      <c r="A66" s="26" t="n"/>
      <c r="B66" s="26" t="n"/>
      <c r="C66" s="26" t="n"/>
      <c r="D66" s="27" t="n"/>
      <c r="E66" s="27" t="n"/>
      <c r="F66" s="27" t="n"/>
      <c r="G66" s="27" t="n"/>
      <c r="H66" s="27" t="n"/>
      <c r="I66" s="21">
        <f>IF(A66="","",SUMIF(tblAkis[SantiyeId],A66,tblAkis[Tutar]))</f>
        <v/>
      </c>
      <c r="J66" s="21">
        <f>IF(A66="","",E66+F66+G66+H66+I66)</f>
        <v/>
      </c>
      <c r="K66" s="21">
        <f>IF(A66="","",J66-D66)</f>
        <v/>
      </c>
      <c r="L66" s="33">
        <f>IF(A66="","",IFERROR(K66/MAX(D66,1),0))</f>
        <v/>
      </c>
      <c r="M66" s="7">
        <f>IF(A66="","",IF(J66&gt;D66*ihs_asimCarpan,"AŞIM","UYGUN"))</f>
        <v/>
      </c>
    </row>
    <row r="67">
      <c r="A67" s="26" t="n"/>
      <c r="B67" s="26" t="n"/>
      <c r="C67" s="26" t="n"/>
      <c r="D67" s="27" t="n"/>
      <c r="E67" s="27" t="n"/>
      <c r="F67" s="27" t="n"/>
      <c r="G67" s="27" t="n"/>
      <c r="H67" s="27" t="n"/>
      <c r="I67" s="21">
        <f>IF(A67="","",SUMIF(tblAkis[SantiyeId],A67,tblAkis[Tutar]))</f>
        <v/>
      </c>
      <c r="J67" s="21">
        <f>IF(A67="","",E67+F67+G67+H67+I67)</f>
        <v/>
      </c>
      <c r="K67" s="21">
        <f>IF(A67="","",J67-D67)</f>
        <v/>
      </c>
      <c r="L67" s="33">
        <f>IF(A67="","",IFERROR(K67/MAX(D67,1),0))</f>
        <v/>
      </c>
      <c r="M67" s="7">
        <f>IF(A67="","",IF(J67&gt;D67*ihs_asimCarpan,"AŞIM","UYGUN"))</f>
        <v/>
      </c>
    </row>
    <row r="68">
      <c r="A68" s="26" t="n"/>
      <c r="B68" s="26" t="n"/>
      <c r="C68" s="26" t="n"/>
      <c r="D68" s="27" t="n"/>
      <c r="E68" s="27" t="n"/>
      <c r="F68" s="27" t="n"/>
      <c r="G68" s="27" t="n"/>
      <c r="H68" s="27" t="n"/>
      <c r="I68" s="21">
        <f>IF(A68="","",SUMIF(tblAkis[SantiyeId],A68,tblAkis[Tutar]))</f>
        <v/>
      </c>
      <c r="J68" s="21">
        <f>IF(A68="","",E68+F68+G68+H68+I68)</f>
        <v/>
      </c>
      <c r="K68" s="21">
        <f>IF(A68="","",J68-D68)</f>
        <v/>
      </c>
      <c r="L68" s="33">
        <f>IF(A68="","",IFERROR(K68/MAX(D68,1),0))</f>
        <v/>
      </c>
      <c r="M68" s="7">
        <f>IF(A68="","",IF(J68&gt;D68*ihs_asimCarpan,"AŞIM","UYGUN"))</f>
        <v/>
      </c>
    </row>
    <row r="69">
      <c r="A69" s="26" t="n"/>
      <c r="B69" s="26" t="n"/>
      <c r="C69" s="26" t="n"/>
      <c r="D69" s="27" t="n"/>
      <c r="E69" s="27" t="n"/>
      <c r="F69" s="27" t="n"/>
      <c r="G69" s="27" t="n"/>
      <c r="H69" s="27" t="n"/>
      <c r="I69" s="21">
        <f>IF(A69="","",SUMIF(tblAkis[SantiyeId],A69,tblAkis[Tutar]))</f>
        <v/>
      </c>
      <c r="J69" s="21">
        <f>IF(A69="","",E69+F69+G69+H69+I69)</f>
        <v/>
      </c>
      <c r="K69" s="21">
        <f>IF(A69="","",J69-D69)</f>
        <v/>
      </c>
      <c r="L69" s="33">
        <f>IF(A69="","",IFERROR(K69/MAX(D69,1),0))</f>
        <v/>
      </c>
      <c r="M69" s="7">
        <f>IF(A69="","",IF(J69&gt;D69*ihs_asimCarpan,"AŞIM","UYGUN"))</f>
        <v/>
      </c>
    </row>
    <row r="70">
      <c r="A70" s="26" t="n"/>
      <c r="B70" s="26" t="n"/>
      <c r="C70" s="26" t="n"/>
      <c r="D70" s="27" t="n"/>
      <c r="E70" s="27" t="n"/>
      <c r="F70" s="27" t="n"/>
      <c r="G70" s="27" t="n"/>
      <c r="H70" s="27" t="n"/>
      <c r="I70" s="21">
        <f>IF(A70="","",SUMIF(tblAkis[SantiyeId],A70,tblAkis[Tutar]))</f>
        <v/>
      </c>
      <c r="J70" s="21">
        <f>IF(A70="","",E70+F70+G70+H70+I70)</f>
        <v/>
      </c>
      <c r="K70" s="21">
        <f>IF(A70="","",J70-D70)</f>
        <v/>
      </c>
      <c r="L70" s="33">
        <f>IF(A70="","",IFERROR(K70/MAX(D70,1),0))</f>
        <v/>
      </c>
      <c r="M70" s="7">
        <f>IF(A70="","",IF(J70&gt;D70*ihs_asimCarpan,"AŞIM","UYGUN"))</f>
        <v/>
      </c>
    </row>
    <row r="71">
      <c r="A71" s="26" t="n"/>
      <c r="B71" s="26" t="n"/>
      <c r="C71" s="26" t="n"/>
      <c r="D71" s="27" t="n"/>
      <c r="E71" s="27" t="n"/>
      <c r="F71" s="27" t="n"/>
      <c r="G71" s="27" t="n"/>
      <c r="H71" s="27" t="n"/>
      <c r="I71" s="21">
        <f>IF(A71="","",SUMIF(tblAkis[SantiyeId],A71,tblAkis[Tutar]))</f>
        <v/>
      </c>
      <c r="J71" s="21">
        <f>IF(A71="","",E71+F71+G71+H71+I71)</f>
        <v/>
      </c>
      <c r="K71" s="21">
        <f>IF(A71="","",J71-D71)</f>
        <v/>
      </c>
      <c r="L71" s="33">
        <f>IF(A71="","",IFERROR(K71/MAX(D71,1),0))</f>
        <v/>
      </c>
      <c r="M71" s="7">
        <f>IF(A71="","",IF(J71&gt;D71*ihs_asimCarpan,"AŞIM","UYGUN"))</f>
        <v/>
      </c>
    </row>
    <row r="72">
      <c r="A72" s="26" t="n"/>
      <c r="B72" s="26" t="n"/>
      <c r="C72" s="26" t="n"/>
      <c r="D72" s="27" t="n"/>
      <c r="E72" s="27" t="n"/>
      <c r="F72" s="27" t="n"/>
      <c r="G72" s="27" t="n"/>
      <c r="H72" s="27" t="n"/>
      <c r="I72" s="21">
        <f>IF(A72="","",SUMIF(tblAkis[SantiyeId],A72,tblAkis[Tutar]))</f>
        <v/>
      </c>
      <c r="J72" s="21">
        <f>IF(A72="","",E72+F72+G72+H72+I72)</f>
        <v/>
      </c>
      <c r="K72" s="21">
        <f>IF(A72="","",J72-D72)</f>
        <v/>
      </c>
      <c r="L72" s="33">
        <f>IF(A72="","",IFERROR(K72/MAX(D72,1),0))</f>
        <v/>
      </c>
      <c r="M72" s="7">
        <f>IF(A72="","",IF(J72&gt;D72*ihs_asimCarpan,"AŞIM","UYGUN"))</f>
        <v/>
      </c>
    </row>
    <row r="73">
      <c r="A73" s="26" t="n"/>
      <c r="B73" s="26" t="n"/>
      <c r="C73" s="26" t="n"/>
      <c r="D73" s="27" t="n"/>
      <c r="E73" s="27" t="n"/>
      <c r="F73" s="27" t="n"/>
      <c r="G73" s="27" t="n"/>
      <c r="H73" s="27" t="n"/>
      <c r="I73" s="21">
        <f>IF(A73="","",SUMIF(tblAkis[SantiyeId],A73,tblAkis[Tutar]))</f>
        <v/>
      </c>
      <c r="J73" s="21">
        <f>IF(A73="","",E73+F73+G73+H73+I73)</f>
        <v/>
      </c>
      <c r="K73" s="21">
        <f>IF(A73="","",J73-D73)</f>
        <v/>
      </c>
      <c r="L73" s="33">
        <f>IF(A73="","",IFERROR(K73/MAX(D73,1),0))</f>
        <v/>
      </c>
      <c r="M73" s="7">
        <f>IF(A73="","",IF(J73&gt;D73*ihs_asimCarpan,"AŞIM","UYGUN"))</f>
        <v/>
      </c>
    </row>
    <row r="74">
      <c r="A74" s="26" t="n"/>
      <c r="B74" s="26" t="n"/>
      <c r="C74" s="26" t="n"/>
      <c r="D74" s="27" t="n"/>
      <c r="E74" s="27" t="n"/>
      <c r="F74" s="27" t="n"/>
      <c r="G74" s="27" t="n"/>
      <c r="H74" s="27" t="n"/>
      <c r="I74" s="21">
        <f>IF(A74="","",SUMIF(tblAkis[SantiyeId],A74,tblAkis[Tutar]))</f>
        <v/>
      </c>
      <c r="J74" s="21">
        <f>IF(A74="","",E74+F74+G74+H74+I74)</f>
        <v/>
      </c>
      <c r="K74" s="21">
        <f>IF(A74="","",J74-D74)</f>
        <v/>
      </c>
      <c r="L74" s="33">
        <f>IF(A74="","",IFERROR(K74/MAX(D74,1),0))</f>
        <v/>
      </c>
      <c r="M74" s="7">
        <f>IF(A74="","",IF(J74&gt;D74*ihs_asimCarpan,"AŞIM","UYGUN"))</f>
        <v/>
      </c>
    </row>
    <row r="75">
      <c r="A75" s="26" t="n"/>
      <c r="B75" s="26" t="n"/>
      <c r="C75" s="26" t="n"/>
      <c r="D75" s="27" t="n"/>
      <c r="E75" s="27" t="n"/>
      <c r="F75" s="27" t="n"/>
      <c r="G75" s="27" t="n"/>
      <c r="H75" s="27" t="n"/>
      <c r="I75" s="21">
        <f>IF(A75="","",SUMIF(tblAkis[SantiyeId],A75,tblAkis[Tutar]))</f>
        <v/>
      </c>
      <c r="J75" s="21">
        <f>IF(A75="","",E75+F75+G75+H75+I75)</f>
        <v/>
      </c>
      <c r="K75" s="21">
        <f>IF(A75="","",J75-D75)</f>
        <v/>
      </c>
      <c r="L75" s="33">
        <f>IF(A75="","",IFERROR(K75/MAX(D75,1),0))</f>
        <v/>
      </c>
      <c r="M75" s="7">
        <f>IF(A75="","",IF(J75&gt;D75*ihs_asimCarpan,"AŞIM","UYGUN"))</f>
        <v/>
      </c>
    </row>
    <row r="76">
      <c r="A76" s="26" t="n"/>
      <c r="B76" s="26" t="n"/>
      <c r="C76" s="26" t="n"/>
      <c r="D76" s="27" t="n"/>
      <c r="E76" s="27" t="n"/>
      <c r="F76" s="27" t="n"/>
      <c r="G76" s="27" t="n"/>
      <c r="H76" s="27" t="n"/>
      <c r="I76" s="21">
        <f>IF(A76="","",SUMIF(tblAkis[SantiyeId],A76,tblAkis[Tutar]))</f>
        <v/>
      </c>
      <c r="J76" s="21">
        <f>IF(A76="","",E76+F76+G76+H76+I76)</f>
        <v/>
      </c>
      <c r="K76" s="21">
        <f>IF(A76="","",J76-D76)</f>
        <v/>
      </c>
      <c r="L76" s="33">
        <f>IF(A76="","",IFERROR(K76/MAX(D76,1),0))</f>
        <v/>
      </c>
      <c r="M76" s="7">
        <f>IF(A76="","",IF(J76&gt;D76*ihs_asimCarpan,"AŞIM","UYGUN"))</f>
        <v/>
      </c>
    </row>
    <row r="77">
      <c r="A77" s="26" t="n"/>
      <c r="B77" s="26" t="n"/>
      <c r="C77" s="26" t="n"/>
      <c r="D77" s="27" t="n"/>
      <c r="E77" s="27" t="n"/>
      <c r="F77" s="27" t="n"/>
      <c r="G77" s="27" t="n"/>
      <c r="H77" s="27" t="n"/>
      <c r="I77" s="21">
        <f>IF(A77="","",SUMIF(tblAkis[SantiyeId],A77,tblAkis[Tutar]))</f>
        <v/>
      </c>
      <c r="J77" s="21">
        <f>IF(A77="","",E77+F77+G77+H77+I77)</f>
        <v/>
      </c>
      <c r="K77" s="21">
        <f>IF(A77="","",J77-D77)</f>
        <v/>
      </c>
      <c r="L77" s="33">
        <f>IF(A77="","",IFERROR(K77/MAX(D77,1),0))</f>
        <v/>
      </c>
      <c r="M77" s="7">
        <f>IF(A77="","",IF(J77&gt;D77*ihs_asimCarpan,"AŞIM","UYGUN"))</f>
        <v/>
      </c>
    </row>
    <row r="78">
      <c r="A78" s="26" t="n"/>
      <c r="B78" s="26" t="n"/>
      <c r="C78" s="26" t="n"/>
      <c r="D78" s="27" t="n"/>
      <c r="E78" s="27" t="n"/>
      <c r="F78" s="27" t="n"/>
      <c r="G78" s="27" t="n"/>
      <c r="H78" s="27" t="n"/>
      <c r="I78" s="21">
        <f>IF(A78="","",SUMIF(tblAkis[SantiyeId],A78,tblAkis[Tutar]))</f>
        <v/>
      </c>
      <c r="J78" s="21">
        <f>IF(A78="","",E78+F78+G78+H78+I78)</f>
        <v/>
      </c>
      <c r="K78" s="21">
        <f>IF(A78="","",J78-D78)</f>
        <v/>
      </c>
      <c r="L78" s="33">
        <f>IF(A78="","",IFERROR(K78/MAX(D78,1),0))</f>
        <v/>
      </c>
      <c r="M78" s="7">
        <f>IF(A78="","",IF(J78&gt;D78*ihs_asimCarpan,"AŞIM","UYGUN"))</f>
        <v/>
      </c>
    </row>
    <row r="79">
      <c r="A79" s="26" t="n"/>
      <c r="B79" s="26" t="n"/>
      <c r="C79" s="26" t="n"/>
      <c r="D79" s="27" t="n"/>
      <c r="E79" s="27" t="n"/>
      <c r="F79" s="27" t="n"/>
      <c r="G79" s="27" t="n"/>
      <c r="H79" s="27" t="n"/>
      <c r="I79" s="21">
        <f>IF(A79="","",SUMIF(tblAkis[SantiyeId],A79,tblAkis[Tutar]))</f>
        <v/>
      </c>
      <c r="J79" s="21">
        <f>IF(A79="","",E79+F79+G79+H79+I79)</f>
        <v/>
      </c>
      <c r="K79" s="21">
        <f>IF(A79="","",J79-D79)</f>
        <v/>
      </c>
      <c r="L79" s="33">
        <f>IF(A79="","",IFERROR(K79/MAX(D79,1),0))</f>
        <v/>
      </c>
      <c r="M79" s="7">
        <f>IF(A79="","",IF(J79&gt;D79*ihs_asimCarpan,"AŞIM","UYGUN"))</f>
        <v/>
      </c>
    </row>
    <row r="80">
      <c r="A80" s="26" t="n"/>
      <c r="B80" s="26" t="n"/>
      <c r="C80" s="26" t="n"/>
      <c r="D80" s="27" t="n"/>
      <c r="E80" s="27" t="n"/>
      <c r="F80" s="27" t="n"/>
      <c r="G80" s="27" t="n"/>
      <c r="H80" s="27" t="n"/>
      <c r="I80" s="21">
        <f>IF(A80="","",SUMIF(tblAkis[SantiyeId],A80,tblAkis[Tutar]))</f>
        <v/>
      </c>
      <c r="J80" s="21">
        <f>IF(A80="","",E80+F80+G80+H80+I80)</f>
        <v/>
      </c>
      <c r="K80" s="21">
        <f>IF(A80="","",J80-D80)</f>
        <v/>
      </c>
      <c r="L80" s="33">
        <f>IF(A80="","",IFERROR(K80/MAX(D80,1),0))</f>
        <v/>
      </c>
      <c r="M80" s="7">
        <f>IF(A80="","",IF(J80&gt;D80*ihs_asimCarpan,"AŞIM","UYGUN"))</f>
        <v/>
      </c>
    </row>
    <row r="81">
      <c r="A81" s="26" t="n"/>
      <c r="B81" s="26" t="n"/>
      <c r="C81" s="26" t="n"/>
      <c r="D81" s="27" t="n"/>
      <c r="E81" s="27" t="n"/>
      <c r="F81" s="27" t="n"/>
      <c r="G81" s="27" t="n"/>
      <c r="H81" s="27" t="n"/>
      <c r="I81" s="21">
        <f>IF(A81="","",SUMIF(tblAkis[SantiyeId],A81,tblAkis[Tutar]))</f>
        <v/>
      </c>
      <c r="J81" s="21">
        <f>IF(A81="","",E81+F81+G81+H81+I81)</f>
        <v/>
      </c>
      <c r="K81" s="21">
        <f>IF(A81="","",J81-D81)</f>
        <v/>
      </c>
      <c r="L81" s="33">
        <f>IF(A81="","",IFERROR(K81/MAX(D81,1),0))</f>
        <v/>
      </c>
      <c r="M81" s="7">
        <f>IF(A81="","",IF(J81&gt;D81*ihs_asimCarpan,"AŞIM","UYGUN"))</f>
        <v/>
      </c>
    </row>
    <row r="82">
      <c r="A82" s="26" t="n"/>
      <c r="B82" s="26" t="n"/>
      <c r="C82" s="26" t="n"/>
      <c r="D82" s="27" t="n"/>
      <c r="E82" s="27" t="n"/>
      <c r="F82" s="27" t="n"/>
      <c r="G82" s="27" t="n"/>
      <c r="H82" s="27" t="n"/>
      <c r="I82" s="21">
        <f>IF(A82="","",SUMIF(tblAkis[SantiyeId],A82,tblAkis[Tutar]))</f>
        <v/>
      </c>
      <c r="J82" s="21">
        <f>IF(A82="","",E82+F82+G82+H82+I82)</f>
        <v/>
      </c>
      <c r="K82" s="21">
        <f>IF(A82="","",J82-D82)</f>
        <v/>
      </c>
      <c r="L82" s="33">
        <f>IF(A82="","",IFERROR(K82/MAX(D82,1),0))</f>
        <v/>
      </c>
      <c r="M82" s="7">
        <f>IF(A82="","",IF(J82&gt;D82*ihs_asimCarpan,"AŞIM","UYGUN"))</f>
        <v/>
      </c>
    </row>
    <row r="83">
      <c r="A83" s="26" t="n"/>
      <c r="B83" s="26" t="n"/>
      <c r="C83" s="26" t="n"/>
      <c r="D83" s="27" t="n"/>
      <c r="E83" s="27" t="n"/>
      <c r="F83" s="27" t="n"/>
      <c r="G83" s="27" t="n"/>
      <c r="H83" s="27" t="n"/>
      <c r="I83" s="21">
        <f>IF(A83="","",SUMIF(tblAkis[SantiyeId],A83,tblAkis[Tutar]))</f>
        <v/>
      </c>
      <c r="J83" s="21">
        <f>IF(A83="","",E83+F83+G83+H83+I83)</f>
        <v/>
      </c>
      <c r="K83" s="21">
        <f>IF(A83="","",J83-D83)</f>
        <v/>
      </c>
      <c r="L83" s="33">
        <f>IF(A83="","",IFERROR(K83/MAX(D83,1),0))</f>
        <v/>
      </c>
      <c r="M83" s="7">
        <f>IF(A83="","",IF(J83&gt;D83*ihs_asimCarpan,"AŞIM","UYGUN"))</f>
        <v/>
      </c>
    </row>
    <row r="84">
      <c r="A84" s="26" t="n"/>
      <c r="B84" s="26" t="n"/>
      <c r="C84" s="26" t="n"/>
      <c r="D84" s="27" t="n"/>
      <c r="E84" s="27" t="n"/>
      <c r="F84" s="27" t="n"/>
      <c r="G84" s="27" t="n"/>
      <c r="H84" s="27" t="n"/>
      <c r="I84" s="21">
        <f>IF(A84="","",SUMIF(tblAkis[SantiyeId],A84,tblAkis[Tutar]))</f>
        <v/>
      </c>
      <c r="J84" s="21">
        <f>IF(A84="","",E84+F84+G84+H84+I84)</f>
        <v/>
      </c>
      <c r="K84" s="21">
        <f>IF(A84="","",J84-D84)</f>
        <v/>
      </c>
      <c r="L84" s="33">
        <f>IF(A84="","",IFERROR(K84/MAX(D84,1),0))</f>
        <v/>
      </c>
      <c r="M84" s="7">
        <f>IF(A84="","",IF(J84&gt;D84*ihs_asimCarpan,"AŞIM","UYGUN"))</f>
        <v/>
      </c>
    </row>
    <row r="85">
      <c r="A85" s="26" t="n"/>
      <c r="B85" s="26" t="n"/>
      <c r="C85" s="26" t="n"/>
      <c r="D85" s="27" t="n"/>
      <c r="E85" s="27" t="n"/>
      <c r="F85" s="27" t="n"/>
      <c r="G85" s="27" t="n"/>
      <c r="H85" s="27" t="n"/>
      <c r="I85" s="21">
        <f>IF(A85="","",SUMIF(tblAkis[SantiyeId],A85,tblAkis[Tutar]))</f>
        <v/>
      </c>
      <c r="J85" s="21">
        <f>IF(A85="","",E85+F85+G85+H85+I85)</f>
        <v/>
      </c>
      <c r="K85" s="21">
        <f>IF(A85="","",J85-D85)</f>
        <v/>
      </c>
      <c r="L85" s="33">
        <f>IF(A85="","",IFERROR(K85/MAX(D85,1),0))</f>
        <v/>
      </c>
      <c r="M85" s="7">
        <f>IF(A85="","",IF(J85&gt;D85*ihs_asimCarpan,"AŞIM","UYGUN"))</f>
        <v/>
      </c>
    </row>
    <row r="86">
      <c r="A86" s="26" t="n"/>
      <c r="B86" s="26" t="n"/>
      <c r="C86" s="26" t="n"/>
      <c r="D86" s="27" t="n"/>
      <c r="E86" s="27" t="n"/>
      <c r="F86" s="27" t="n"/>
      <c r="G86" s="27" t="n"/>
      <c r="H86" s="27" t="n"/>
      <c r="I86" s="21">
        <f>IF(A86="","",SUMIF(tblAkis[SantiyeId],A86,tblAkis[Tutar]))</f>
        <v/>
      </c>
      <c r="J86" s="21">
        <f>IF(A86="","",E86+F86+G86+H86+I86)</f>
        <v/>
      </c>
      <c r="K86" s="21">
        <f>IF(A86="","",J86-D86)</f>
        <v/>
      </c>
      <c r="L86" s="33">
        <f>IF(A86="","",IFERROR(K86/MAX(D86,1),0))</f>
        <v/>
      </c>
      <c r="M86" s="7">
        <f>IF(A86="","",IF(J86&gt;D86*ihs_asimCarpan,"AŞIM","UYGUN"))</f>
        <v/>
      </c>
    </row>
    <row r="87">
      <c r="A87" s="26" t="n"/>
      <c r="B87" s="26" t="n"/>
      <c r="C87" s="26" t="n"/>
      <c r="D87" s="27" t="n"/>
      <c r="E87" s="27" t="n"/>
      <c r="F87" s="27" t="n"/>
      <c r="G87" s="27" t="n"/>
      <c r="H87" s="27" t="n"/>
      <c r="I87" s="21">
        <f>IF(A87="","",SUMIF(tblAkis[SantiyeId],A87,tblAkis[Tutar]))</f>
        <v/>
      </c>
      <c r="J87" s="21">
        <f>IF(A87="","",E87+F87+G87+H87+I87)</f>
        <v/>
      </c>
      <c r="K87" s="21">
        <f>IF(A87="","",J87-D87)</f>
        <v/>
      </c>
      <c r="L87" s="33">
        <f>IF(A87="","",IFERROR(K87/MAX(D87,1),0))</f>
        <v/>
      </c>
      <c r="M87" s="7">
        <f>IF(A87="","",IF(J87&gt;D87*ihs_asimCarpan,"AŞIM","UYGUN"))</f>
        <v/>
      </c>
    </row>
    <row r="88">
      <c r="A88" s="26" t="n"/>
      <c r="B88" s="26" t="n"/>
      <c r="C88" s="26" t="n"/>
      <c r="D88" s="27" t="n"/>
      <c r="E88" s="27" t="n"/>
      <c r="F88" s="27" t="n"/>
      <c r="G88" s="27" t="n"/>
      <c r="H88" s="27" t="n"/>
      <c r="I88" s="21">
        <f>IF(A88="","",SUMIF(tblAkis[SantiyeId],A88,tblAkis[Tutar]))</f>
        <v/>
      </c>
      <c r="J88" s="21">
        <f>IF(A88="","",E88+F88+G88+H88+I88)</f>
        <v/>
      </c>
      <c r="K88" s="21">
        <f>IF(A88="","",J88-D88)</f>
        <v/>
      </c>
      <c r="L88" s="33">
        <f>IF(A88="","",IFERROR(K88/MAX(D88,1),0))</f>
        <v/>
      </c>
      <c r="M88" s="7">
        <f>IF(A88="","",IF(J88&gt;D88*ihs_asimCarpan,"AŞIM","UYGUN"))</f>
        <v/>
      </c>
    </row>
    <row r="89">
      <c r="A89" s="26" t="n"/>
      <c r="B89" s="26" t="n"/>
      <c r="C89" s="26" t="n"/>
      <c r="D89" s="27" t="n"/>
      <c r="E89" s="27" t="n"/>
      <c r="F89" s="27" t="n"/>
      <c r="G89" s="27" t="n"/>
      <c r="H89" s="27" t="n"/>
      <c r="I89" s="21">
        <f>IF(A89="","",SUMIF(tblAkis[SantiyeId],A89,tblAkis[Tutar]))</f>
        <v/>
      </c>
      <c r="J89" s="21">
        <f>IF(A89="","",E89+F89+G89+H89+I89)</f>
        <v/>
      </c>
      <c r="K89" s="21">
        <f>IF(A89="","",J89-D89)</f>
        <v/>
      </c>
      <c r="L89" s="33">
        <f>IF(A89="","",IFERROR(K89/MAX(D89,1),0))</f>
        <v/>
      </c>
      <c r="M89" s="7">
        <f>IF(A89="","",IF(J89&gt;D89*ihs_asimCarpan,"AŞIM","UYGUN"))</f>
        <v/>
      </c>
    </row>
    <row r="90">
      <c r="A90" s="26" t="n"/>
      <c r="B90" s="26" t="n"/>
      <c r="C90" s="26" t="n"/>
      <c r="D90" s="27" t="n"/>
      <c r="E90" s="27" t="n"/>
      <c r="F90" s="27" t="n"/>
      <c r="G90" s="27" t="n"/>
      <c r="H90" s="27" t="n"/>
      <c r="I90" s="21">
        <f>IF(A90="","",SUMIF(tblAkis[SantiyeId],A90,tblAkis[Tutar]))</f>
        <v/>
      </c>
      <c r="J90" s="21">
        <f>IF(A90="","",E90+F90+G90+H90+I90)</f>
        <v/>
      </c>
      <c r="K90" s="21">
        <f>IF(A90="","",J90-D90)</f>
        <v/>
      </c>
      <c r="L90" s="33">
        <f>IF(A90="","",IFERROR(K90/MAX(D90,1),0))</f>
        <v/>
      </c>
      <c r="M90" s="7">
        <f>IF(A90="","",IF(J90&gt;D90*ihs_asimCarpan,"AŞIM","UYGUN"))</f>
        <v/>
      </c>
    </row>
    <row r="91">
      <c r="A91" s="26" t="n"/>
      <c r="B91" s="26" t="n"/>
      <c r="C91" s="26" t="n"/>
      <c r="D91" s="27" t="n"/>
      <c r="E91" s="27" t="n"/>
      <c r="F91" s="27" t="n"/>
      <c r="G91" s="27" t="n"/>
      <c r="H91" s="27" t="n"/>
      <c r="I91" s="21">
        <f>IF(A91="","",SUMIF(tblAkis[SantiyeId],A91,tblAkis[Tutar]))</f>
        <v/>
      </c>
      <c r="J91" s="21">
        <f>IF(A91="","",E91+F91+G91+H91+I91)</f>
        <v/>
      </c>
      <c r="K91" s="21">
        <f>IF(A91="","",J91-D91)</f>
        <v/>
      </c>
      <c r="L91" s="33">
        <f>IF(A91="","",IFERROR(K91/MAX(D91,1),0))</f>
        <v/>
      </c>
      <c r="M91" s="7">
        <f>IF(A91="","",IF(J91&gt;D91*ihs_asimCarpan,"AŞIM","UYGUN"))</f>
        <v/>
      </c>
    </row>
    <row r="92">
      <c r="A92" s="26" t="n"/>
      <c r="B92" s="26" t="n"/>
      <c r="C92" s="26" t="n"/>
      <c r="D92" s="27" t="n"/>
      <c r="E92" s="27" t="n"/>
      <c r="F92" s="27" t="n"/>
      <c r="G92" s="27" t="n"/>
      <c r="H92" s="27" t="n"/>
      <c r="I92" s="21">
        <f>IF(A92="","",SUMIF(tblAkis[SantiyeId],A92,tblAkis[Tutar]))</f>
        <v/>
      </c>
      <c r="J92" s="21">
        <f>IF(A92="","",E92+F92+G92+H92+I92)</f>
        <v/>
      </c>
      <c r="K92" s="21">
        <f>IF(A92="","",J92-D92)</f>
        <v/>
      </c>
      <c r="L92" s="33">
        <f>IF(A92="","",IFERROR(K92/MAX(D92,1),0))</f>
        <v/>
      </c>
      <c r="M92" s="7">
        <f>IF(A92="","",IF(J92&gt;D92*ihs_asimCarpan,"AŞIM","UYGUN"))</f>
        <v/>
      </c>
    </row>
    <row r="93">
      <c r="A93" s="26" t="n"/>
      <c r="B93" s="26" t="n"/>
      <c r="C93" s="26" t="n"/>
      <c r="D93" s="27" t="n"/>
      <c r="E93" s="27" t="n"/>
      <c r="F93" s="27" t="n"/>
      <c r="G93" s="27" t="n"/>
      <c r="H93" s="27" t="n"/>
      <c r="I93" s="21">
        <f>IF(A93="","",SUMIF(tblAkis[SantiyeId],A93,tblAkis[Tutar]))</f>
        <v/>
      </c>
      <c r="J93" s="21">
        <f>IF(A93="","",E93+F93+G93+H93+I93)</f>
        <v/>
      </c>
      <c r="K93" s="21">
        <f>IF(A93="","",J93-D93)</f>
        <v/>
      </c>
      <c r="L93" s="33">
        <f>IF(A93="","",IFERROR(K93/MAX(D93,1),0))</f>
        <v/>
      </c>
      <c r="M93" s="7">
        <f>IF(A93="","",IF(J93&gt;D93*ihs_asimCarpan,"AŞIM","UYGUN"))</f>
        <v/>
      </c>
    </row>
    <row r="94">
      <c r="A94" s="26" t="n"/>
      <c r="B94" s="26" t="n"/>
      <c r="C94" s="26" t="n"/>
      <c r="D94" s="27" t="n"/>
      <c r="E94" s="27" t="n"/>
      <c r="F94" s="27" t="n"/>
      <c r="G94" s="27" t="n"/>
      <c r="H94" s="27" t="n"/>
      <c r="I94" s="21">
        <f>IF(A94="","",SUMIF(tblAkis[SantiyeId],A94,tblAkis[Tutar]))</f>
        <v/>
      </c>
      <c r="J94" s="21">
        <f>IF(A94="","",E94+F94+G94+H94+I94)</f>
        <v/>
      </c>
      <c r="K94" s="21">
        <f>IF(A94="","",J94-D94)</f>
        <v/>
      </c>
      <c r="L94" s="33">
        <f>IF(A94="","",IFERROR(K94/MAX(D94,1),0))</f>
        <v/>
      </c>
      <c r="M94" s="7">
        <f>IF(A94="","",IF(J94&gt;D94*ihs_asimCarpan,"AŞIM","UYGUN"))</f>
        <v/>
      </c>
    </row>
    <row r="95">
      <c r="A95" s="26" t="n"/>
      <c r="B95" s="26" t="n"/>
      <c r="C95" s="26" t="n"/>
      <c r="D95" s="27" t="n"/>
      <c r="E95" s="27" t="n"/>
      <c r="F95" s="27" t="n"/>
      <c r="G95" s="27" t="n"/>
      <c r="H95" s="27" t="n"/>
      <c r="I95" s="21">
        <f>IF(A95="","",SUMIF(tblAkis[SantiyeId],A95,tblAkis[Tutar]))</f>
        <v/>
      </c>
      <c r="J95" s="21">
        <f>IF(A95="","",E95+F95+G95+H95+I95)</f>
        <v/>
      </c>
      <c r="K95" s="21">
        <f>IF(A95="","",J95-D95)</f>
        <v/>
      </c>
      <c r="L95" s="33">
        <f>IF(A95="","",IFERROR(K95/MAX(D95,1),0))</f>
        <v/>
      </c>
      <c r="M95" s="7">
        <f>IF(A95="","",IF(J95&gt;D95*ihs_asimCarpan,"AŞIM","UYGUN"))</f>
        <v/>
      </c>
    </row>
    <row r="96">
      <c r="A96" s="26" t="n"/>
      <c r="B96" s="26" t="n"/>
      <c r="C96" s="26" t="n"/>
      <c r="D96" s="27" t="n"/>
      <c r="E96" s="27" t="n"/>
      <c r="F96" s="27" t="n"/>
      <c r="G96" s="27" t="n"/>
      <c r="H96" s="27" t="n"/>
      <c r="I96" s="21">
        <f>IF(A96="","",SUMIF(tblAkis[SantiyeId],A96,tblAkis[Tutar]))</f>
        <v/>
      </c>
      <c r="J96" s="21">
        <f>IF(A96="","",E96+F96+G96+H96+I96)</f>
        <v/>
      </c>
      <c r="K96" s="21">
        <f>IF(A96="","",J96-D96)</f>
        <v/>
      </c>
      <c r="L96" s="33">
        <f>IF(A96="","",IFERROR(K96/MAX(D96,1),0))</f>
        <v/>
      </c>
      <c r="M96" s="7">
        <f>IF(A96="","",IF(J96&gt;D96*ihs_asimCarpan,"AŞIM","UYGUN"))</f>
        <v/>
      </c>
    </row>
    <row r="97">
      <c r="A97" s="26" t="n"/>
      <c r="B97" s="26" t="n"/>
      <c r="C97" s="26" t="n"/>
      <c r="D97" s="27" t="n"/>
      <c r="E97" s="27" t="n"/>
      <c r="F97" s="27" t="n"/>
      <c r="G97" s="27" t="n"/>
      <c r="H97" s="27" t="n"/>
      <c r="I97" s="21">
        <f>IF(A97="","",SUMIF(tblAkis[SantiyeId],A97,tblAkis[Tutar]))</f>
        <v/>
      </c>
      <c r="J97" s="21">
        <f>IF(A97="","",E97+F97+G97+H97+I97)</f>
        <v/>
      </c>
      <c r="K97" s="21">
        <f>IF(A97="","",J97-D97)</f>
        <v/>
      </c>
      <c r="L97" s="33">
        <f>IF(A97="","",IFERROR(K97/MAX(D97,1),0))</f>
        <v/>
      </c>
      <c r="M97" s="7">
        <f>IF(A97="","",IF(J97&gt;D97*ihs_asimCarpan,"AŞIM","UYGUN"))</f>
        <v/>
      </c>
    </row>
    <row r="98">
      <c r="A98" s="26" t="n"/>
      <c r="B98" s="26" t="n"/>
      <c r="C98" s="26" t="n"/>
      <c r="D98" s="27" t="n"/>
      <c r="E98" s="27" t="n"/>
      <c r="F98" s="27" t="n"/>
      <c r="G98" s="27" t="n"/>
      <c r="H98" s="27" t="n"/>
      <c r="I98" s="21">
        <f>IF(A98="","",SUMIF(tblAkis[SantiyeId],A98,tblAkis[Tutar]))</f>
        <v/>
      </c>
      <c r="J98" s="21">
        <f>IF(A98="","",E98+F98+G98+H98+I98)</f>
        <v/>
      </c>
      <c r="K98" s="21">
        <f>IF(A98="","",J98-D98)</f>
        <v/>
      </c>
      <c r="L98" s="33">
        <f>IF(A98="","",IFERROR(K98/MAX(D98,1),0))</f>
        <v/>
      </c>
      <c r="M98" s="7">
        <f>IF(A98="","",IF(J98&gt;D98*ihs_asimCarpan,"AŞIM","UYGUN"))</f>
        <v/>
      </c>
    </row>
    <row r="99">
      <c r="A99" s="26" t="n"/>
      <c r="B99" s="26" t="n"/>
      <c r="C99" s="26" t="n"/>
      <c r="D99" s="27" t="n"/>
      <c r="E99" s="27" t="n"/>
      <c r="F99" s="27" t="n"/>
      <c r="G99" s="27" t="n"/>
      <c r="H99" s="27" t="n"/>
      <c r="I99" s="21">
        <f>IF(A99="","",SUMIF(tblAkis[SantiyeId],A99,tblAkis[Tutar]))</f>
        <v/>
      </c>
      <c r="J99" s="21">
        <f>IF(A99="","",E99+F99+G99+H99+I99)</f>
        <v/>
      </c>
      <c r="K99" s="21">
        <f>IF(A99="","",J99-D99)</f>
        <v/>
      </c>
      <c r="L99" s="33">
        <f>IF(A99="","",IFERROR(K99/MAX(D99,1),0))</f>
        <v/>
      </c>
      <c r="M99" s="7">
        <f>IF(A99="","",IF(J99&gt;D99*ihs_asimCarpan,"AŞIM","UYGUN"))</f>
        <v/>
      </c>
    </row>
    <row r="100">
      <c r="A100" s="26" t="n"/>
      <c r="B100" s="26" t="n"/>
      <c r="C100" s="26" t="n"/>
      <c r="D100" s="27" t="n"/>
      <c r="E100" s="27" t="n"/>
      <c r="F100" s="27" t="n"/>
      <c r="G100" s="27" t="n"/>
      <c r="H100" s="27" t="n"/>
      <c r="I100" s="21">
        <f>IF(A100="","",SUMIF(tblAkis[SantiyeId],A100,tblAkis[Tutar]))</f>
        <v/>
      </c>
      <c r="J100" s="21">
        <f>IF(A100="","",E100+F100+G100+H100+I100)</f>
        <v/>
      </c>
      <c r="K100" s="21">
        <f>IF(A100="","",J100-D100)</f>
        <v/>
      </c>
      <c r="L100" s="33">
        <f>IF(A100="","",IFERROR(K100/MAX(D100,1),0))</f>
        <v/>
      </c>
      <c r="M100" s="7">
        <f>IF(A100="","",IF(J100&gt;D100*ihs_asimCarpan,"AŞIM","UYGUN"))</f>
        <v/>
      </c>
    </row>
    <row r="101">
      <c r="A101" s="26" t="n"/>
      <c r="B101" s="26" t="n"/>
      <c r="C101" s="26" t="n"/>
      <c r="D101" s="27" t="n"/>
      <c r="E101" s="27" t="n"/>
      <c r="F101" s="27" t="n"/>
      <c r="G101" s="27" t="n"/>
      <c r="H101" s="27" t="n"/>
      <c r="I101" s="21">
        <f>IF(A101="","",SUMIF(tblAkis[SantiyeId],A101,tblAkis[Tutar]))</f>
        <v/>
      </c>
      <c r="J101" s="21">
        <f>IF(A101="","",E101+F101+G101+H101+I101)</f>
        <v/>
      </c>
      <c r="K101" s="21">
        <f>IF(A101="","",J101-D101)</f>
        <v/>
      </c>
      <c r="L101" s="33">
        <f>IF(A101="","",IFERROR(K101/MAX(D101,1),0))</f>
        <v/>
      </c>
      <c r="M101" s="7">
        <f>IF(A101="","",IF(J101&gt;D101*ihs_asimCarpan,"AŞIM","UYGUN"))</f>
        <v/>
      </c>
    </row>
    <row r="102">
      <c r="A102" s="26" t="n"/>
      <c r="B102" s="26" t="n"/>
      <c r="C102" s="26" t="n"/>
      <c r="D102" s="27" t="n"/>
      <c r="E102" s="27" t="n"/>
      <c r="F102" s="27" t="n"/>
      <c r="G102" s="27" t="n"/>
      <c r="H102" s="27" t="n"/>
      <c r="I102" s="21">
        <f>IF(A102="","",SUMIF(tblAkis[SantiyeId],A102,tblAkis[Tutar]))</f>
        <v/>
      </c>
      <c r="J102" s="21">
        <f>IF(A102="","",E102+F102+G102+H102+I102)</f>
        <v/>
      </c>
      <c r="K102" s="21">
        <f>IF(A102="","",J102-D102)</f>
        <v/>
      </c>
      <c r="L102" s="33">
        <f>IF(A102="","",IFERROR(K102/MAX(D102,1),0))</f>
        <v/>
      </c>
      <c r="M102" s="7">
        <f>IF(A102="","",IF(J102&gt;D102*ihs_asimCarpan,"AŞIM","UYGUN"))</f>
        <v/>
      </c>
    </row>
    <row r="103">
      <c r="A103" s="26" t="n"/>
      <c r="B103" s="26" t="n"/>
      <c r="C103" s="26" t="n"/>
      <c r="D103" s="27" t="n"/>
      <c r="E103" s="27" t="n"/>
      <c r="F103" s="27" t="n"/>
      <c r="G103" s="27" t="n"/>
      <c r="H103" s="27" t="n"/>
      <c r="I103" s="21">
        <f>IF(A103="","",SUMIF(tblAkis[SantiyeId],A103,tblAkis[Tutar]))</f>
        <v/>
      </c>
      <c r="J103" s="21">
        <f>IF(A103="","",E103+F103+G103+H103+I103)</f>
        <v/>
      </c>
      <c r="K103" s="21">
        <f>IF(A103="","",J103-D103)</f>
        <v/>
      </c>
      <c r="L103" s="33">
        <f>IF(A103="","",IFERROR(K103/MAX(D103,1),0))</f>
        <v/>
      </c>
      <c r="M103" s="7">
        <f>IF(A103="","",IF(J103&gt;D103*ihs_asimCarpan,"AŞIM","UYGUN"))</f>
        <v/>
      </c>
    </row>
    <row r="104">
      <c r="A104" s="26" t="n"/>
      <c r="B104" s="26" t="n"/>
      <c r="C104" s="26" t="n"/>
      <c r="D104" s="27" t="n"/>
      <c r="E104" s="27" t="n"/>
      <c r="F104" s="27" t="n"/>
      <c r="G104" s="27" t="n"/>
      <c r="H104" s="27" t="n"/>
      <c r="I104" s="21">
        <f>IF(A104="","",SUMIF(tblAkis[SantiyeId],A104,tblAkis[Tutar]))</f>
        <v/>
      </c>
      <c r="J104" s="21">
        <f>IF(A104="","",E104+F104+G104+H104+I104)</f>
        <v/>
      </c>
      <c r="K104" s="21">
        <f>IF(A104="","",J104-D104)</f>
        <v/>
      </c>
      <c r="L104" s="33">
        <f>IF(A104="","",IFERROR(K104/MAX(D104,1),0))</f>
        <v/>
      </c>
      <c r="M104" s="7">
        <f>IF(A104="","",IF(J104&gt;D104*ihs_asimCarpan,"AŞIM","UYGUN"))</f>
        <v/>
      </c>
    </row>
    <row r="105">
      <c r="A105" s="26" t="n"/>
      <c r="B105" s="26" t="n"/>
      <c r="C105" s="26" t="n"/>
      <c r="D105" s="27" t="n"/>
      <c r="E105" s="27" t="n"/>
      <c r="F105" s="27" t="n"/>
      <c r="G105" s="27" t="n"/>
      <c r="H105" s="27" t="n"/>
      <c r="I105" s="21">
        <f>IF(A105="","",SUMIF(tblAkis[SantiyeId],A105,tblAkis[Tutar]))</f>
        <v/>
      </c>
      <c r="J105" s="21">
        <f>IF(A105="","",E105+F105+G105+H105+I105)</f>
        <v/>
      </c>
      <c r="K105" s="21">
        <f>IF(A105="","",J105-D105)</f>
        <v/>
      </c>
      <c r="L105" s="33">
        <f>IF(A105="","",IFERROR(K105/MAX(D105,1),0))</f>
        <v/>
      </c>
      <c r="M105" s="7">
        <f>IF(A105="","",IF(J105&gt;D105*ihs_asimCarpan,"AŞIM","UYGUN"))</f>
        <v/>
      </c>
    </row>
    <row r="106">
      <c r="A106" s="26" t="n"/>
      <c r="B106" s="26" t="n"/>
      <c r="C106" s="26" t="n"/>
      <c r="D106" s="27" t="n"/>
      <c r="E106" s="27" t="n"/>
      <c r="F106" s="27" t="n"/>
      <c r="G106" s="27" t="n"/>
      <c r="H106" s="27" t="n"/>
      <c r="I106" s="21">
        <f>IF(A106="","",SUMIF(tblAkis[SantiyeId],A106,tblAkis[Tutar]))</f>
        <v/>
      </c>
      <c r="J106" s="21">
        <f>IF(A106="","",E106+F106+G106+H106+I106)</f>
        <v/>
      </c>
      <c r="K106" s="21">
        <f>IF(A106="","",J106-D106)</f>
        <v/>
      </c>
      <c r="L106" s="33">
        <f>IF(A106="","",IFERROR(K106/MAX(D106,1),0))</f>
        <v/>
      </c>
      <c r="M106" s="7">
        <f>IF(A106="","",IF(J106&gt;D106*ihs_asimCarpan,"AŞIM","UYGUN"))</f>
        <v/>
      </c>
    </row>
    <row r="107">
      <c r="A107" s="26" t="n"/>
      <c r="B107" s="26" t="n"/>
      <c r="C107" s="26" t="n"/>
      <c r="D107" s="27" t="n"/>
      <c r="E107" s="27" t="n"/>
      <c r="F107" s="27" t="n"/>
      <c r="G107" s="27" t="n"/>
      <c r="H107" s="27" t="n"/>
      <c r="I107" s="21">
        <f>IF(A107="","",SUMIF(tblAkis[SantiyeId],A107,tblAkis[Tutar]))</f>
        <v/>
      </c>
      <c r="J107" s="21">
        <f>IF(A107="","",E107+F107+G107+H107+I107)</f>
        <v/>
      </c>
      <c r="K107" s="21">
        <f>IF(A107="","",J107-D107)</f>
        <v/>
      </c>
      <c r="L107" s="33">
        <f>IF(A107="","",IFERROR(K107/MAX(D107,1),0))</f>
        <v/>
      </c>
      <c r="M107" s="7">
        <f>IF(A107="","",IF(J107&gt;D107*ihs_asimCarpan,"AŞIM","UYGUN"))</f>
        <v/>
      </c>
    </row>
    <row r="108">
      <c r="A108" s="26" t="n"/>
      <c r="B108" s="26" t="n"/>
      <c r="C108" s="26" t="n"/>
      <c r="D108" s="27" t="n"/>
      <c r="E108" s="27" t="n"/>
      <c r="F108" s="27" t="n"/>
      <c r="G108" s="27" t="n"/>
      <c r="H108" s="27" t="n"/>
      <c r="I108" s="21">
        <f>IF(A108="","",SUMIF(tblAkis[SantiyeId],A108,tblAkis[Tutar]))</f>
        <v/>
      </c>
      <c r="J108" s="21">
        <f>IF(A108="","",E108+F108+G108+H108+I108)</f>
        <v/>
      </c>
      <c r="K108" s="21">
        <f>IF(A108="","",J108-D108)</f>
        <v/>
      </c>
      <c r="L108" s="33">
        <f>IF(A108="","",IFERROR(K108/MAX(D108,1),0))</f>
        <v/>
      </c>
      <c r="M108" s="7">
        <f>IF(A108="","",IF(J108&gt;D108*ihs_asimCarpan,"AŞIM","UYGUN"))</f>
        <v/>
      </c>
    </row>
    <row r="109">
      <c r="A109" s="26" t="n"/>
      <c r="B109" s="26" t="n"/>
      <c r="C109" s="26" t="n"/>
      <c r="D109" s="27" t="n"/>
      <c r="E109" s="27" t="n"/>
      <c r="F109" s="27" t="n"/>
      <c r="G109" s="27" t="n"/>
      <c r="H109" s="27" t="n"/>
      <c r="I109" s="21">
        <f>IF(A109="","",SUMIF(tblAkis[SantiyeId],A109,tblAkis[Tutar]))</f>
        <v/>
      </c>
      <c r="J109" s="21">
        <f>IF(A109="","",E109+F109+G109+H109+I109)</f>
        <v/>
      </c>
      <c r="K109" s="21">
        <f>IF(A109="","",J109-D109)</f>
        <v/>
      </c>
      <c r="L109" s="33">
        <f>IF(A109="","",IFERROR(K109/MAX(D109,1),0))</f>
        <v/>
      </c>
      <c r="M109" s="7">
        <f>IF(A109="","",IF(J109&gt;D109*ihs_asimCarpan,"AŞIM","UYGUN"))</f>
        <v/>
      </c>
    </row>
    <row r="110">
      <c r="A110" s="26" t="n"/>
      <c r="B110" s="26" t="n"/>
      <c r="C110" s="26" t="n"/>
      <c r="D110" s="27" t="n"/>
      <c r="E110" s="27" t="n"/>
      <c r="F110" s="27" t="n"/>
      <c r="G110" s="27" t="n"/>
      <c r="H110" s="27" t="n"/>
      <c r="I110" s="21">
        <f>IF(A110="","",SUMIF(tblAkis[SantiyeId],A110,tblAkis[Tutar]))</f>
        <v/>
      </c>
      <c r="J110" s="21">
        <f>IF(A110="","",E110+F110+G110+H110+I110)</f>
        <v/>
      </c>
      <c r="K110" s="21">
        <f>IF(A110="","",J110-D110)</f>
        <v/>
      </c>
      <c r="L110" s="33">
        <f>IF(A110="","",IFERROR(K110/MAX(D110,1),0))</f>
        <v/>
      </c>
      <c r="M110" s="7">
        <f>IF(A110="","",IF(J110&gt;D110*ihs_asimCarpan,"AŞIM","UYGUN"))</f>
        <v/>
      </c>
    </row>
    <row r="111">
      <c r="A111" s="26" t="n"/>
      <c r="B111" s="26" t="n"/>
      <c r="C111" s="26" t="n"/>
      <c r="D111" s="27" t="n"/>
      <c r="E111" s="27" t="n"/>
      <c r="F111" s="27" t="n"/>
      <c r="G111" s="27" t="n"/>
      <c r="H111" s="27" t="n"/>
      <c r="I111" s="21">
        <f>IF(A111="","",SUMIF(tblAkis[SantiyeId],A111,tblAkis[Tutar]))</f>
        <v/>
      </c>
      <c r="J111" s="21">
        <f>IF(A111="","",E111+F111+G111+H111+I111)</f>
        <v/>
      </c>
      <c r="K111" s="21">
        <f>IF(A111="","",J111-D111)</f>
        <v/>
      </c>
      <c r="L111" s="33">
        <f>IF(A111="","",IFERROR(K111/MAX(D111,1),0))</f>
        <v/>
      </c>
      <c r="M111" s="7">
        <f>IF(A111="","",IF(J111&gt;D111*ihs_asimCarpan,"AŞIM","UYGUN"))</f>
        <v/>
      </c>
    </row>
    <row r="112">
      <c r="A112" s="26" t="n"/>
      <c r="B112" s="26" t="n"/>
      <c r="C112" s="26" t="n"/>
      <c r="D112" s="27" t="n"/>
      <c r="E112" s="27" t="n"/>
      <c r="F112" s="27" t="n"/>
      <c r="G112" s="27" t="n"/>
      <c r="H112" s="27" t="n"/>
      <c r="I112" s="21">
        <f>IF(A112="","",SUMIF(tblAkis[SantiyeId],A112,tblAkis[Tutar]))</f>
        <v/>
      </c>
      <c r="J112" s="21">
        <f>IF(A112="","",E112+F112+G112+H112+I112)</f>
        <v/>
      </c>
      <c r="K112" s="21">
        <f>IF(A112="","",J112-D112)</f>
        <v/>
      </c>
      <c r="L112" s="33">
        <f>IF(A112="","",IFERROR(K112/MAX(D112,1),0))</f>
        <v/>
      </c>
      <c r="M112" s="7">
        <f>IF(A112="","",IF(J112&gt;D112*ihs_asimCarpan,"AŞIM","UYGUN"))</f>
        <v/>
      </c>
    </row>
    <row r="113">
      <c r="A113" s="26" t="n"/>
      <c r="B113" s="26" t="n"/>
      <c r="C113" s="26" t="n"/>
      <c r="D113" s="27" t="n"/>
      <c r="E113" s="27" t="n"/>
      <c r="F113" s="27" t="n"/>
      <c r="G113" s="27" t="n"/>
      <c r="H113" s="27" t="n"/>
      <c r="I113" s="21">
        <f>IF(A113="","",SUMIF(tblAkis[SantiyeId],A113,tblAkis[Tutar]))</f>
        <v/>
      </c>
      <c r="J113" s="21">
        <f>IF(A113="","",E113+F113+G113+H113+I113)</f>
        <v/>
      </c>
      <c r="K113" s="21">
        <f>IF(A113="","",J113-D113)</f>
        <v/>
      </c>
      <c r="L113" s="33">
        <f>IF(A113="","",IFERROR(K113/MAX(D113,1),0))</f>
        <v/>
      </c>
      <c r="M113" s="7">
        <f>IF(A113="","",IF(J113&gt;D113*ihs_asimCarpan,"AŞIM","UYGUN"))</f>
        <v/>
      </c>
    </row>
    <row r="114">
      <c r="A114" s="26" t="n"/>
      <c r="B114" s="26" t="n"/>
      <c r="C114" s="26" t="n"/>
      <c r="D114" s="27" t="n"/>
      <c r="E114" s="27" t="n"/>
      <c r="F114" s="27" t="n"/>
      <c r="G114" s="27" t="n"/>
      <c r="H114" s="27" t="n"/>
      <c r="I114" s="21">
        <f>IF(A114="","",SUMIF(tblAkis[SantiyeId],A114,tblAkis[Tutar]))</f>
        <v/>
      </c>
      <c r="J114" s="21">
        <f>IF(A114="","",E114+F114+G114+H114+I114)</f>
        <v/>
      </c>
      <c r="K114" s="21">
        <f>IF(A114="","",J114-D114)</f>
        <v/>
      </c>
      <c r="L114" s="33">
        <f>IF(A114="","",IFERROR(K114/MAX(D114,1),0))</f>
        <v/>
      </c>
      <c r="M114" s="7">
        <f>IF(A114="","",IF(J114&gt;D114*ihs_asimCarpan,"AŞIM","UYGUN"))</f>
        <v/>
      </c>
    </row>
    <row r="115">
      <c r="A115" s="26" t="n"/>
      <c r="B115" s="26" t="n"/>
      <c r="C115" s="26" t="n"/>
      <c r="D115" s="27" t="n"/>
      <c r="E115" s="27" t="n"/>
      <c r="F115" s="27" t="n"/>
      <c r="G115" s="27" t="n"/>
      <c r="H115" s="27" t="n"/>
      <c r="I115" s="21">
        <f>IF(A115="","",SUMIF(tblAkis[SantiyeId],A115,tblAkis[Tutar]))</f>
        <v/>
      </c>
      <c r="J115" s="21">
        <f>IF(A115="","",E115+F115+G115+H115+I115)</f>
        <v/>
      </c>
      <c r="K115" s="21">
        <f>IF(A115="","",J115-D115)</f>
        <v/>
      </c>
      <c r="L115" s="33">
        <f>IF(A115="","",IFERROR(K115/MAX(D115,1),0))</f>
        <v/>
      </c>
      <c r="M115" s="7">
        <f>IF(A115="","",IF(J115&gt;D115*ihs_asimCarpan,"AŞIM","UYGUN"))</f>
        <v/>
      </c>
    </row>
    <row r="116">
      <c r="A116" s="26" t="n"/>
      <c r="B116" s="26" t="n"/>
      <c r="C116" s="26" t="n"/>
      <c r="D116" s="27" t="n"/>
      <c r="E116" s="27" t="n"/>
      <c r="F116" s="27" t="n"/>
      <c r="G116" s="27" t="n"/>
      <c r="H116" s="27" t="n"/>
      <c r="I116" s="21">
        <f>IF(A116="","",SUMIF(tblAkis[SantiyeId],A116,tblAkis[Tutar]))</f>
        <v/>
      </c>
      <c r="J116" s="21">
        <f>IF(A116="","",E116+F116+G116+H116+I116)</f>
        <v/>
      </c>
      <c r="K116" s="21">
        <f>IF(A116="","",J116-D116)</f>
        <v/>
      </c>
      <c r="L116" s="33">
        <f>IF(A116="","",IFERROR(K116/MAX(D116,1),0))</f>
        <v/>
      </c>
      <c r="M116" s="7">
        <f>IF(A116="","",IF(J116&gt;D116*ihs_asimCarpan,"AŞIM","UYGUN"))</f>
        <v/>
      </c>
    </row>
    <row r="117">
      <c r="A117" s="26" t="n"/>
      <c r="B117" s="26" t="n"/>
      <c r="C117" s="26" t="n"/>
      <c r="D117" s="27" t="n"/>
      <c r="E117" s="27" t="n"/>
      <c r="F117" s="27" t="n"/>
      <c r="G117" s="27" t="n"/>
      <c r="H117" s="27" t="n"/>
      <c r="I117" s="21">
        <f>IF(A117="","",SUMIF(tblAkis[SantiyeId],A117,tblAkis[Tutar]))</f>
        <v/>
      </c>
      <c r="J117" s="21">
        <f>IF(A117="","",E117+F117+G117+H117+I117)</f>
        <v/>
      </c>
      <c r="K117" s="21">
        <f>IF(A117="","",J117-D117)</f>
        <v/>
      </c>
      <c r="L117" s="33">
        <f>IF(A117="","",IFERROR(K117/MAX(D117,1),0))</f>
        <v/>
      </c>
      <c r="M117" s="7">
        <f>IF(A117="","",IF(J117&gt;D117*ihs_asimCarpan,"AŞIM","UYGUN"))</f>
        <v/>
      </c>
    </row>
    <row r="118">
      <c r="A118" s="26" t="n"/>
      <c r="B118" s="26" t="n"/>
      <c r="C118" s="26" t="n"/>
      <c r="D118" s="27" t="n"/>
      <c r="E118" s="27" t="n"/>
      <c r="F118" s="27" t="n"/>
      <c r="G118" s="27" t="n"/>
      <c r="H118" s="27" t="n"/>
      <c r="I118" s="21">
        <f>IF(A118="","",SUMIF(tblAkis[SantiyeId],A118,tblAkis[Tutar]))</f>
        <v/>
      </c>
      <c r="J118" s="21">
        <f>IF(A118="","",E118+F118+G118+H118+I118)</f>
        <v/>
      </c>
      <c r="K118" s="21">
        <f>IF(A118="","",J118-D118)</f>
        <v/>
      </c>
      <c r="L118" s="33">
        <f>IF(A118="","",IFERROR(K118/MAX(D118,1),0))</f>
        <v/>
      </c>
      <c r="M118" s="7">
        <f>IF(A118="","",IF(J118&gt;D118*ihs_asimCarpan,"AŞIM","UYGUN"))</f>
        <v/>
      </c>
    </row>
    <row r="119">
      <c r="A119" s="26" t="n"/>
      <c r="B119" s="26" t="n"/>
      <c r="C119" s="26" t="n"/>
      <c r="D119" s="27" t="n"/>
      <c r="E119" s="27" t="n"/>
      <c r="F119" s="27" t="n"/>
      <c r="G119" s="27" t="n"/>
      <c r="H119" s="27" t="n"/>
      <c r="I119" s="21">
        <f>IF(A119="","",SUMIF(tblAkis[SantiyeId],A119,tblAkis[Tutar]))</f>
        <v/>
      </c>
      <c r="J119" s="21">
        <f>IF(A119="","",E119+F119+G119+H119+I119)</f>
        <v/>
      </c>
      <c r="K119" s="21">
        <f>IF(A119="","",J119-D119)</f>
        <v/>
      </c>
      <c r="L119" s="33">
        <f>IF(A119="","",IFERROR(K119/MAX(D119,1),0))</f>
        <v/>
      </c>
      <c r="M119" s="7">
        <f>IF(A119="","",IF(J119&gt;D119*ihs_asimCarpan,"AŞIM","UYGUN"))</f>
        <v/>
      </c>
    </row>
    <row r="120">
      <c r="A120" s="26" t="n"/>
      <c r="B120" s="26" t="n"/>
      <c r="C120" s="26" t="n"/>
      <c r="D120" s="27" t="n"/>
      <c r="E120" s="27" t="n"/>
      <c r="F120" s="27" t="n"/>
      <c r="G120" s="27" t="n"/>
      <c r="H120" s="27" t="n"/>
      <c r="I120" s="21">
        <f>IF(A120="","",SUMIF(tblAkis[SantiyeId],A120,tblAkis[Tutar]))</f>
        <v/>
      </c>
      <c r="J120" s="21">
        <f>IF(A120="","",E120+F120+G120+H120+I120)</f>
        <v/>
      </c>
      <c r="K120" s="21">
        <f>IF(A120="","",J120-D120)</f>
        <v/>
      </c>
      <c r="L120" s="33">
        <f>IF(A120="","",IFERROR(K120/MAX(D120,1),0))</f>
        <v/>
      </c>
      <c r="M120" s="7">
        <f>IF(A120="","",IF(J120&gt;D120*ihs_asimCarpan,"AŞIM","UYGUN"))</f>
        <v/>
      </c>
    </row>
    <row r="121">
      <c r="A121" s="26" t="n"/>
      <c r="B121" s="26" t="n"/>
      <c r="C121" s="26" t="n"/>
      <c r="D121" s="27" t="n"/>
      <c r="E121" s="27" t="n"/>
      <c r="F121" s="27" t="n"/>
      <c r="G121" s="27" t="n"/>
      <c r="H121" s="27" t="n"/>
      <c r="I121" s="21">
        <f>IF(A121="","",SUMIF(tblAkis[SantiyeId],A121,tblAkis[Tutar]))</f>
        <v/>
      </c>
      <c r="J121" s="21">
        <f>IF(A121="","",E121+F121+G121+H121+I121)</f>
        <v/>
      </c>
      <c r="K121" s="21">
        <f>IF(A121="","",J121-D121)</f>
        <v/>
      </c>
      <c r="L121" s="33">
        <f>IF(A121="","",IFERROR(K121/MAX(D121,1),0))</f>
        <v/>
      </c>
      <c r="M121" s="7">
        <f>IF(A121="","",IF(J121&gt;D121*ihs_asimCarpan,"AŞIM","UYGUN"))</f>
        <v/>
      </c>
    </row>
    <row r="122">
      <c r="A122" s="26" t="n"/>
      <c r="B122" s="26" t="n"/>
      <c r="C122" s="26" t="n"/>
      <c r="D122" s="27" t="n"/>
      <c r="E122" s="27" t="n"/>
      <c r="F122" s="27" t="n"/>
      <c r="G122" s="27" t="n"/>
      <c r="H122" s="27" t="n"/>
      <c r="I122" s="21">
        <f>IF(A122="","",SUMIF(tblAkis[SantiyeId],A122,tblAkis[Tutar]))</f>
        <v/>
      </c>
      <c r="J122" s="21">
        <f>IF(A122="","",E122+F122+G122+H122+I122)</f>
        <v/>
      </c>
      <c r="K122" s="21">
        <f>IF(A122="","",J122-D122)</f>
        <v/>
      </c>
      <c r="L122" s="33">
        <f>IF(A122="","",IFERROR(K122/MAX(D122,1),0))</f>
        <v/>
      </c>
      <c r="M122" s="7">
        <f>IF(A122="","",IF(J122&gt;D122*ihs_asimCarpan,"AŞIM","UYGUN"))</f>
        <v/>
      </c>
    </row>
    <row r="123">
      <c r="A123" s="26" t="n"/>
      <c r="B123" s="26" t="n"/>
      <c r="C123" s="26" t="n"/>
      <c r="D123" s="27" t="n"/>
      <c r="E123" s="27" t="n"/>
      <c r="F123" s="27" t="n"/>
      <c r="G123" s="27" t="n"/>
      <c r="H123" s="27" t="n"/>
      <c r="I123" s="21">
        <f>IF(A123="","",SUMIF(tblAkis[SantiyeId],A123,tblAkis[Tutar]))</f>
        <v/>
      </c>
      <c r="J123" s="21">
        <f>IF(A123="","",E123+F123+G123+H123+I123)</f>
        <v/>
      </c>
      <c r="K123" s="21">
        <f>IF(A123="","",J123-D123)</f>
        <v/>
      </c>
      <c r="L123" s="33">
        <f>IF(A123="","",IFERROR(K123/MAX(D123,1),0))</f>
        <v/>
      </c>
      <c r="M123" s="7">
        <f>IF(A123="","",IF(J123&gt;D123*ihs_asimCarpan,"AŞIM","UYGUN"))</f>
        <v/>
      </c>
    </row>
    <row r="124">
      <c r="A124" s="26" t="n"/>
      <c r="B124" s="26" t="n"/>
      <c r="C124" s="26" t="n"/>
      <c r="D124" s="27" t="n"/>
      <c r="E124" s="27" t="n"/>
      <c r="F124" s="27" t="n"/>
      <c r="G124" s="27" t="n"/>
      <c r="H124" s="27" t="n"/>
      <c r="I124" s="21">
        <f>IF(A124="","",SUMIF(tblAkis[SantiyeId],A124,tblAkis[Tutar]))</f>
        <v/>
      </c>
      <c r="J124" s="21">
        <f>IF(A124="","",E124+F124+G124+H124+I124)</f>
        <v/>
      </c>
      <c r="K124" s="21">
        <f>IF(A124="","",J124-D124)</f>
        <v/>
      </c>
      <c r="L124" s="33">
        <f>IF(A124="","",IFERROR(K124/MAX(D124,1),0))</f>
        <v/>
      </c>
      <c r="M124" s="7">
        <f>IF(A124="","",IF(J124&gt;D124*ihs_asimCarpan,"AŞIM","UYGUN"))</f>
        <v/>
      </c>
    </row>
    <row r="125">
      <c r="A125" s="26" t="n"/>
      <c r="B125" s="26" t="n"/>
      <c r="C125" s="26" t="n"/>
      <c r="D125" s="27" t="n"/>
      <c r="E125" s="27" t="n"/>
      <c r="F125" s="27" t="n"/>
      <c r="G125" s="27" t="n"/>
      <c r="H125" s="27" t="n"/>
      <c r="I125" s="21">
        <f>IF(A125="","",SUMIF(tblAkis[SantiyeId],A125,tblAkis[Tutar]))</f>
        <v/>
      </c>
      <c r="J125" s="21">
        <f>IF(A125="","",E125+F125+G125+H125+I125)</f>
        <v/>
      </c>
      <c r="K125" s="21">
        <f>IF(A125="","",J125-D125)</f>
        <v/>
      </c>
      <c r="L125" s="33">
        <f>IF(A125="","",IFERROR(K125/MAX(D125,1),0))</f>
        <v/>
      </c>
      <c r="M125" s="7">
        <f>IF(A125="","",IF(J125&gt;D125*ihs_asimCarpan,"AŞIM","UYGUN"))</f>
        <v/>
      </c>
    </row>
    <row r="126">
      <c r="A126" s="26" t="n"/>
      <c r="B126" s="26" t="n"/>
      <c r="C126" s="26" t="n"/>
      <c r="D126" s="27" t="n"/>
      <c r="E126" s="27" t="n"/>
      <c r="F126" s="27" t="n"/>
      <c r="G126" s="27" t="n"/>
      <c r="H126" s="27" t="n"/>
      <c r="I126" s="21">
        <f>IF(A126="","",SUMIF(tblAkis[SantiyeId],A126,tblAkis[Tutar]))</f>
        <v/>
      </c>
      <c r="J126" s="21">
        <f>IF(A126="","",E126+F126+G126+H126+I126)</f>
        <v/>
      </c>
      <c r="K126" s="21">
        <f>IF(A126="","",J126-D126)</f>
        <v/>
      </c>
      <c r="L126" s="33">
        <f>IF(A126="","",IFERROR(K126/MAX(D126,1),0))</f>
        <v/>
      </c>
      <c r="M126" s="7">
        <f>IF(A126="","",IF(J126&gt;D126*ihs_asimCarpan,"AŞIM","UYGUN"))</f>
        <v/>
      </c>
    </row>
    <row r="127">
      <c r="A127" s="26" t="n"/>
      <c r="B127" s="26" t="n"/>
      <c r="C127" s="26" t="n"/>
      <c r="D127" s="27" t="n"/>
      <c r="E127" s="27" t="n"/>
      <c r="F127" s="27" t="n"/>
      <c r="G127" s="27" t="n"/>
      <c r="H127" s="27" t="n"/>
      <c r="I127" s="21">
        <f>IF(A127="","",SUMIF(tblAkis[SantiyeId],A127,tblAkis[Tutar]))</f>
        <v/>
      </c>
      <c r="J127" s="21">
        <f>IF(A127="","",E127+F127+G127+H127+I127)</f>
        <v/>
      </c>
      <c r="K127" s="21">
        <f>IF(A127="","",J127-D127)</f>
        <v/>
      </c>
      <c r="L127" s="33">
        <f>IF(A127="","",IFERROR(K127/MAX(D127,1),0))</f>
        <v/>
      </c>
      <c r="M127" s="7">
        <f>IF(A127="","",IF(J127&gt;D127*ihs_asimCarpan,"AŞIM","UYGUN"))</f>
        <v/>
      </c>
    </row>
    <row r="128">
      <c r="A128" s="26" t="n"/>
      <c r="B128" s="26" t="n"/>
      <c r="C128" s="26" t="n"/>
      <c r="D128" s="27" t="n"/>
      <c r="E128" s="27" t="n"/>
      <c r="F128" s="27" t="n"/>
      <c r="G128" s="27" t="n"/>
      <c r="H128" s="27" t="n"/>
      <c r="I128" s="21">
        <f>IF(A128="","",SUMIF(tblAkis[SantiyeId],A128,tblAkis[Tutar]))</f>
        <v/>
      </c>
      <c r="J128" s="21">
        <f>IF(A128="","",E128+F128+G128+H128+I128)</f>
        <v/>
      </c>
      <c r="K128" s="21">
        <f>IF(A128="","",J128-D128)</f>
        <v/>
      </c>
      <c r="L128" s="33">
        <f>IF(A128="","",IFERROR(K128/MAX(D128,1),0))</f>
        <v/>
      </c>
      <c r="M128" s="7">
        <f>IF(A128="","",IF(J128&gt;D128*ihs_asimCarpan,"AŞIM","UYGUN"))</f>
        <v/>
      </c>
    </row>
    <row r="129">
      <c r="A129" s="26" t="n"/>
      <c r="B129" s="26" t="n"/>
      <c r="C129" s="26" t="n"/>
      <c r="D129" s="27" t="n"/>
      <c r="E129" s="27" t="n"/>
      <c r="F129" s="27" t="n"/>
      <c r="G129" s="27" t="n"/>
      <c r="H129" s="27" t="n"/>
      <c r="I129" s="21">
        <f>IF(A129="","",SUMIF(tblAkis[SantiyeId],A129,tblAkis[Tutar]))</f>
        <v/>
      </c>
      <c r="J129" s="21">
        <f>IF(A129="","",E129+F129+G129+H129+I129)</f>
        <v/>
      </c>
      <c r="K129" s="21">
        <f>IF(A129="","",J129-D129)</f>
        <v/>
      </c>
      <c r="L129" s="33">
        <f>IF(A129="","",IFERROR(K129/MAX(D129,1),0))</f>
        <v/>
      </c>
      <c r="M129" s="7">
        <f>IF(A129="","",IF(J129&gt;D129*ihs_asimCarpan,"AŞIM","UYGUN"))</f>
        <v/>
      </c>
    </row>
    <row r="130">
      <c r="A130" s="26" t="n"/>
      <c r="B130" s="26" t="n"/>
      <c r="C130" s="26" t="n"/>
      <c r="D130" s="27" t="n"/>
      <c r="E130" s="27" t="n"/>
      <c r="F130" s="27" t="n"/>
      <c r="G130" s="27" t="n"/>
      <c r="H130" s="27" t="n"/>
      <c r="I130" s="21">
        <f>IF(A130="","",SUMIF(tblAkis[SantiyeId],A130,tblAkis[Tutar]))</f>
        <v/>
      </c>
      <c r="J130" s="21">
        <f>IF(A130="","",E130+F130+G130+H130+I130)</f>
        <v/>
      </c>
      <c r="K130" s="21">
        <f>IF(A130="","",J130-D130)</f>
        <v/>
      </c>
      <c r="L130" s="33">
        <f>IF(A130="","",IFERROR(K130/MAX(D130,1),0))</f>
        <v/>
      </c>
      <c r="M130" s="7">
        <f>IF(A130="","",IF(J130&gt;D130*ihs_asimCarpan,"AŞIM","UYGUN"))</f>
        <v/>
      </c>
    </row>
    <row r="131">
      <c r="A131" s="26" t="n"/>
      <c r="B131" s="26" t="n"/>
      <c r="C131" s="26" t="n"/>
      <c r="D131" s="27" t="n"/>
      <c r="E131" s="27" t="n"/>
      <c r="F131" s="27" t="n"/>
      <c r="G131" s="27" t="n"/>
      <c r="H131" s="27" t="n"/>
      <c r="I131" s="21">
        <f>IF(A131="","",SUMIF(tblAkis[SantiyeId],A131,tblAkis[Tutar]))</f>
        <v/>
      </c>
      <c r="J131" s="21">
        <f>IF(A131="","",E131+F131+G131+H131+I131)</f>
        <v/>
      </c>
      <c r="K131" s="21">
        <f>IF(A131="","",J131-D131)</f>
        <v/>
      </c>
      <c r="L131" s="33">
        <f>IF(A131="","",IFERROR(K131/MAX(D131,1),0))</f>
        <v/>
      </c>
      <c r="M131" s="7">
        <f>IF(A131="","",IF(J131&gt;D131*ihs_asimCarpan,"AŞIM","UYGUN"))</f>
        <v/>
      </c>
    </row>
    <row r="132">
      <c r="A132" s="26" t="n"/>
      <c r="B132" s="26" t="n"/>
      <c r="C132" s="26" t="n"/>
      <c r="D132" s="27" t="n"/>
      <c r="E132" s="27" t="n"/>
      <c r="F132" s="27" t="n"/>
      <c r="G132" s="27" t="n"/>
      <c r="H132" s="27" t="n"/>
      <c r="I132" s="21">
        <f>IF(A132="","",SUMIF(tblAkis[SantiyeId],A132,tblAkis[Tutar]))</f>
        <v/>
      </c>
      <c r="J132" s="21">
        <f>IF(A132="","",E132+F132+G132+H132+I132)</f>
        <v/>
      </c>
      <c r="K132" s="21">
        <f>IF(A132="","",J132-D132)</f>
        <v/>
      </c>
      <c r="L132" s="33">
        <f>IF(A132="","",IFERROR(K132/MAX(D132,1),0))</f>
        <v/>
      </c>
      <c r="M132" s="7">
        <f>IF(A132="","",IF(J132&gt;D132*ihs_asimCarpan,"AŞIM","UYGUN"))</f>
        <v/>
      </c>
    </row>
    <row r="133">
      <c r="A133" s="26" t="n"/>
      <c r="B133" s="26" t="n"/>
      <c r="C133" s="26" t="n"/>
      <c r="D133" s="27" t="n"/>
      <c r="E133" s="27" t="n"/>
      <c r="F133" s="27" t="n"/>
      <c r="G133" s="27" t="n"/>
      <c r="H133" s="27" t="n"/>
      <c r="I133" s="21">
        <f>IF(A133="","",SUMIF(tblAkis[SantiyeId],A133,tblAkis[Tutar]))</f>
        <v/>
      </c>
      <c r="J133" s="21">
        <f>IF(A133="","",E133+F133+G133+H133+I133)</f>
        <v/>
      </c>
      <c r="K133" s="21">
        <f>IF(A133="","",J133-D133)</f>
        <v/>
      </c>
      <c r="L133" s="33">
        <f>IF(A133="","",IFERROR(K133/MAX(D133,1),0))</f>
        <v/>
      </c>
      <c r="M133" s="7">
        <f>IF(A133="","",IF(J133&gt;D133*ihs_asimCarpan,"AŞIM","UYGUN"))</f>
        <v/>
      </c>
    </row>
    <row r="134">
      <c r="A134" s="26" t="n"/>
      <c r="B134" s="26" t="n"/>
      <c r="C134" s="26" t="n"/>
      <c r="D134" s="27" t="n"/>
      <c r="E134" s="27" t="n"/>
      <c r="F134" s="27" t="n"/>
      <c r="G134" s="27" t="n"/>
      <c r="H134" s="27" t="n"/>
      <c r="I134" s="21">
        <f>IF(A134="","",SUMIF(tblAkis[SantiyeId],A134,tblAkis[Tutar]))</f>
        <v/>
      </c>
      <c r="J134" s="21">
        <f>IF(A134="","",E134+F134+G134+H134+I134)</f>
        <v/>
      </c>
      <c r="K134" s="21">
        <f>IF(A134="","",J134-D134)</f>
        <v/>
      </c>
      <c r="L134" s="33">
        <f>IF(A134="","",IFERROR(K134/MAX(D134,1),0))</f>
        <v/>
      </c>
      <c r="M134" s="7">
        <f>IF(A134="","",IF(J134&gt;D134*ihs_asimCarpan,"AŞIM","UYGUN"))</f>
        <v/>
      </c>
    </row>
    <row r="135">
      <c r="A135" s="26" t="n"/>
      <c r="B135" s="26" t="n"/>
      <c r="C135" s="26" t="n"/>
      <c r="D135" s="27" t="n"/>
      <c r="E135" s="27" t="n"/>
      <c r="F135" s="27" t="n"/>
      <c r="G135" s="27" t="n"/>
      <c r="H135" s="27" t="n"/>
      <c r="I135" s="21">
        <f>IF(A135="","",SUMIF(tblAkis[SantiyeId],A135,tblAkis[Tutar]))</f>
        <v/>
      </c>
      <c r="J135" s="21">
        <f>IF(A135="","",E135+F135+G135+H135+I135)</f>
        <v/>
      </c>
      <c r="K135" s="21">
        <f>IF(A135="","",J135-D135)</f>
        <v/>
      </c>
      <c r="L135" s="33">
        <f>IF(A135="","",IFERROR(K135/MAX(D135,1),0))</f>
        <v/>
      </c>
      <c r="M135" s="7">
        <f>IF(A135="","",IF(J135&gt;D135*ihs_asimCarpan,"AŞIM","UYGUN"))</f>
        <v/>
      </c>
    </row>
    <row r="136">
      <c r="A136" s="26" t="n"/>
      <c r="B136" s="26" t="n"/>
      <c r="C136" s="26" t="n"/>
      <c r="D136" s="27" t="n"/>
      <c r="E136" s="27" t="n"/>
      <c r="F136" s="27" t="n"/>
      <c r="G136" s="27" t="n"/>
      <c r="H136" s="27" t="n"/>
      <c r="I136" s="21">
        <f>IF(A136="","",SUMIF(tblAkis[SantiyeId],A136,tblAkis[Tutar]))</f>
        <v/>
      </c>
      <c r="J136" s="21">
        <f>IF(A136="","",E136+F136+G136+H136+I136)</f>
        <v/>
      </c>
      <c r="K136" s="21">
        <f>IF(A136="","",J136-D136)</f>
        <v/>
      </c>
      <c r="L136" s="33">
        <f>IF(A136="","",IFERROR(K136/MAX(D136,1),0))</f>
        <v/>
      </c>
      <c r="M136" s="7">
        <f>IF(A136="","",IF(J136&gt;D136*ihs_asimCarpan,"AŞIM","UYGUN"))</f>
        <v/>
      </c>
    </row>
    <row r="137">
      <c r="A137" s="26" t="n"/>
      <c r="B137" s="26" t="n"/>
      <c r="C137" s="26" t="n"/>
      <c r="D137" s="27" t="n"/>
      <c r="E137" s="27" t="n"/>
      <c r="F137" s="27" t="n"/>
      <c r="G137" s="27" t="n"/>
      <c r="H137" s="27" t="n"/>
      <c r="I137" s="21">
        <f>IF(A137="","",SUMIF(tblAkis[SantiyeId],A137,tblAkis[Tutar]))</f>
        <v/>
      </c>
      <c r="J137" s="21">
        <f>IF(A137="","",E137+F137+G137+H137+I137)</f>
        <v/>
      </c>
      <c r="K137" s="21">
        <f>IF(A137="","",J137-D137)</f>
        <v/>
      </c>
      <c r="L137" s="33">
        <f>IF(A137="","",IFERROR(K137/MAX(D137,1),0))</f>
        <v/>
      </c>
      <c r="M137" s="7">
        <f>IF(A137="","",IF(J137&gt;D137*ihs_asimCarpan,"AŞIM","UYGUN"))</f>
        <v/>
      </c>
    </row>
    <row r="138">
      <c r="A138" s="26" t="n"/>
      <c r="B138" s="26" t="n"/>
      <c r="C138" s="26" t="n"/>
      <c r="D138" s="27" t="n"/>
      <c r="E138" s="27" t="n"/>
      <c r="F138" s="27" t="n"/>
      <c r="G138" s="27" t="n"/>
      <c r="H138" s="27" t="n"/>
      <c r="I138" s="21">
        <f>IF(A138="","",SUMIF(tblAkis[SantiyeId],A138,tblAkis[Tutar]))</f>
        <v/>
      </c>
      <c r="J138" s="21">
        <f>IF(A138="","",E138+F138+G138+H138+I138)</f>
        <v/>
      </c>
      <c r="K138" s="21">
        <f>IF(A138="","",J138-D138)</f>
        <v/>
      </c>
      <c r="L138" s="33">
        <f>IF(A138="","",IFERROR(K138/MAX(D138,1),0))</f>
        <v/>
      </c>
      <c r="M138" s="7">
        <f>IF(A138="","",IF(J138&gt;D138*ihs_asimCarpan,"AŞIM","UYGUN"))</f>
        <v/>
      </c>
    </row>
    <row r="139">
      <c r="A139" s="26" t="n"/>
      <c r="B139" s="26" t="n"/>
      <c r="C139" s="26" t="n"/>
      <c r="D139" s="27" t="n"/>
      <c r="E139" s="27" t="n"/>
      <c r="F139" s="27" t="n"/>
      <c r="G139" s="27" t="n"/>
      <c r="H139" s="27" t="n"/>
      <c r="I139" s="21">
        <f>IF(A139="","",SUMIF(tblAkis[SantiyeId],A139,tblAkis[Tutar]))</f>
        <v/>
      </c>
      <c r="J139" s="21">
        <f>IF(A139="","",E139+F139+G139+H139+I139)</f>
        <v/>
      </c>
      <c r="K139" s="21">
        <f>IF(A139="","",J139-D139)</f>
        <v/>
      </c>
      <c r="L139" s="33">
        <f>IF(A139="","",IFERROR(K139/MAX(D139,1),0))</f>
        <v/>
      </c>
      <c r="M139" s="7">
        <f>IF(A139="","",IF(J139&gt;D139*ihs_asimCarpan,"AŞIM","UYGUN"))</f>
        <v/>
      </c>
    </row>
    <row r="140">
      <c r="A140" s="26" t="n"/>
      <c r="B140" s="26" t="n"/>
      <c r="C140" s="26" t="n"/>
      <c r="D140" s="27" t="n"/>
      <c r="E140" s="27" t="n"/>
      <c r="F140" s="27" t="n"/>
      <c r="G140" s="27" t="n"/>
      <c r="H140" s="27" t="n"/>
      <c r="I140" s="21">
        <f>IF(A140="","",SUMIF(tblAkis[SantiyeId],A140,tblAkis[Tutar]))</f>
        <v/>
      </c>
      <c r="J140" s="21">
        <f>IF(A140="","",E140+F140+G140+H140+I140)</f>
        <v/>
      </c>
      <c r="K140" s="21">
        <f>IF(A140="","",J140-D140)</f>
        <v/>
      </c>
      <c r="L140" s="33">
        <f>IF(A140="","",IFERROR(K140/MAX(D140,1),0))</f>
        <v/>
      </c>
      <c r="M140" s="7">
        <f>IF(A140="","",IF(J140&gt;D140*ihs_asimCarpan,"AŞIM","UYGUN"))</f>
        <v/>
      </c>
    </row>
    <row r="141">
      <c r="A141" s="26" t="n"/>
      <c r="B141" s="26" t="n"/>
      <c r="C141" s="26" t="n"/>
      <c r="D141" s="27" t="n"/>
      <c r="E141" s="27" t="n"/>
      <c r="F141" s="27" t="n"/>
      <c r="G141" s="27" t="n"/>
      <c r="H141" s="27" t="n"/>
      <c r="I141" s="21">
        <f>IF(A141="","",SUMIF(tblAkis[SantiyeId],A141,tblAkis[Tutar]))</f>
        <v/>
      </c>
      <c r="J141" s="21">
        <f>IF(A141="","",E141+F141+G141+H141+I141)</f>
        <v/>
      </c>
      <c r="K141" s="21">
        <f>IF(A141="","",J141-D141)</f>
        <v/>
      </c>
      <c r="L141" s="33">
        <f>IF(A141="","",IFERROR(K141/MAX(D141,1),0))</f>
        <v/>
      </c>
      <c r="M141" s="7">
        <f>IF(A141="","",IF(J141&gt;D141*ihs_asimCarpan,"AŞIM","UYGUN"))</f>
        <v/>
      </c>
    </row>
    <row r="142">
      <c r="A142" s="26" t="n"/>
      <c r="B142" s="26" t="n"/>
      <c r="C142" s="26" t="n"/>
      <c r="D142" s="27" t="n"/>
      <c r="E142" s="27" t="n"/>
      <c r="F142" s="27" t="n"/>
      <c r="G142" s="27" t="n"/>
      <c r="H142" s="27" t="n"/>
      <c r="I142" s="21">
        <f>IF(A142="","",SUMIF(tblAkis[SantiyeId],A142,tblAkis[Tutar]))</f>
        <v/>
      </c>
      <c r="J142" s="21">
        <f>IF(A142="","",E142+F142+G142+H142+I142)</f>
        <v/>
      </c>
      <c r="K142" s="21">
        <f>IF(A142="","",J142-D142)</f>
        <v/>
      </c>
      <c r="L142" s="33">
        <f>IF(A142="","",IFERROR(K142/MAX(D142,1),0))</f>
        <v/>
      </c>
      <c r="M142" s="7">
        <f>IF(A142="","",IF(J142&gt;D142*ihs_asimCarpan,"AŞIM","UYGUN"))</f>
        <v/>
      </c>
    </row>
    <row r="143">
      <c r="A143" s="26" t="n"/>
      <c r="B143" s="26" t="n"/>
      <c r="C143" s="26" t="n"/>
      <c r="D143" s="27" t="n"/>
      <c r="E143" s="27" t="n"/>
      <c r="F143" s="27" t="n"/>
      <c r="G143" s="27" t="n"/>
      <c r="H143" s="27" t="n"/>
      <c r="I143" s="21">
        <f>IF(A143="","",SUMIF(tblAkis[SantiyeId],A143,tblAkis[Tutar]))</f>
        <v/>
      </c>
      <c r="J143" s="21">
        <f>IF(A143="","",E143+F143+G143+H143+I143)</f>
        <v/>
      </c>
      <c r="K143" s="21">
        <f>IF(A143="","",J143-D143)</f>
        <v/>
      </c>
      <c r="L143" s="33">
        <f>IF(A143="","",IFERROR(K143/MAX(D143,1),0))</f>
        <v/>
      </c>
      <c r="M143" s="7">
        <f>IF(A143="","",IF(J143&gt;D143*ihs_asimCarpan,"AŞIM","UYGUN"))</f>
        <v/>
      </c>
    </row>
    <row r="144">
      <c r="A144" s="26" t="n"/>
      <c r="B144" s="26" t="n"/>
      <c r="C144" s="26" t="n"/>
      <c r="D144" s="27" t="n"/>
      <c r="E144" s="27" t="n"/>
      <c r="F144" s="27" t="n"/>
      <c r="G144" s="27" t="n"/>
      <c r="H144" s="27" t="n"/>
      <c r="I144" s="21">
        <f>IF(A144="","",SUMIF(tblAkis[SantiyeId],A144,tblAkis[Tutar]))</f>
        <v/>
      </c>
      <c r="J144" s="21">
        <f>IF(A144="","",E144+F144+G144+H144+I144)</f>
        <v/>
      </c>
      <c r="K144" s="21">
        <f>IF(A144="","",J144-D144)</f>
        <v/>
      </c>
      <c r="L144" s="33">
        <f>IF(A144="","",IFERROR(K144/MAX(D144,1),0))</f>
        <v/>
      </c>
      <c r="M144" s="7">
        <f>IF(A144="","",IF(J144&gt;D144*ihs_asimCarpan,"AŞIM","UYGUN"))</f>
        <v/>
      </c>
    </row>
    <row r="145">
      <c r="A145" s="26" t="n"/>
      <c r="B145" s="26" t="n"/>
      <c r="C145" s="26" t="n"/>
      <c r="D145" s="27" t="n"/>
      <c r="E145" s="27" t="n"/>
      <c r="F145" s="27" t="n"/>
      <c r="G145" s="27" t="n"/>
      <c r="H145" s="27" t="n"/>
      <c r="I145" s="21">
        <f>IF(A145="","",SUMIF(tblAkis[SantiyeId],A145,tblAkis[Tutar]))</f>
        <v/>
      </c>
      <c r="J145" s="21">
        <f>IF(A145="","",E145+F145+G145+H145+I145)</f>
        <v/>
      </c>
      <c r="K145" s="21">
        <f>IF(A145="","",J145-D145)</f>
        <v/>
      </c>
      <c r="L145" s="33">
        <f>IF(A145="","",IFERROR(K145/MAX(D145,1),0))</f>
        <v/>
      </c>
      <c r="M145" s="7">
        <f>IF(A145="","",IF(J145&gt;D145*ihs_asimCarpan,"AŞIM","UYGUN"))</f>
        <v/>
      </c>
    </row>
    <row r="146">
      <c r="A146" s="26" t="n"/>
      <c r="B146" s="26" t="n"/>
      <c r="C146" s="26" t="n"/>
      <c r="D146" s="27" t="n"/>
      <c r="E146" s="27" t="n"/>
      <c r="F146" s="27" t="n"/>
      <c r="G146" s="27" t="n"/>
      <c r="H146" s="27" t="n"/>
      <c r="I146" s="21">
        <f>IF(A146="","",SUMIF(tblAkis[SantiyeId],A146,tblAkis[Tutar]))</f>
        <v/>
      </c>
      <c r="J146" s="21">
        <f>IF(A146="","",E146+F146+G146+H146+I146)</f>
        <v/>
      </c>
      <c r="K146" s="21">
        <f>IF(A146="","",J146-D146)</f>
        <v/>
      </c>
      <c r="L146" s="33">
        <f>IF(A146="","",IFERROR(K146/MAX(D146,1),0))</f>
        <v/>
      </c>
      <c r="M146" s="7">
        <f>IF(A146="","",IF(J146&gt;D146*ihs_asimCarpan,"AŞIM","UYGUN"))</f>
        <v/>
      </c>
    </row>
    <row r="147">
      <c r="A147" s="26" t="n"/>
      <c r="B147" s="26" t="n"/>
      <c r="C147" s="26" t="n"/>
      <c r="D147" s="27" t="n"/>
      <c r="E147" s="27" t="n"/>
      <c r="F147" s="27" t="n"/>
      <c r="G147" s="27" t="n"/>
      <c r="H147" s="27" t="n"/>
      <c r="I147" s="21">
        <f>IF(A147="","",SUMIF(tblAkis[SantiyeId],A147,tblAkis[Tutar]))</f>
        <v/>
      </c>
      <c r="J147" s="21">
        <f>IF(A147="","",E147+F147+G147+H147+I147)</f>
        <v/>
      </c>
      <c r="K147" s="21">
        <f>IF(A147="","",J147-D147)</f>
        <v/>
      </c>
      <c r="L147" s="33">
        <f>IF(A147="","",IFERROR(K147/MAX(D147,1),0))</f>
        <v/>
      </c>
      <c r="M147" s="7">
        <f>IF(A147="","",IF(J147&gt;D147*ihs_asimCarpan,"AŞIM","UYGUN"))</f>
        <v/>
      </c>
    </row>
    <row r="148">
      <c r="A148" s="26" t="n"/>
      <c r="B148" s="26" t="n"/>
      <c r="C148" s="26" t="n"/>
      <c r="D148" s="27" t="n"/>
      <c r="E148" s="27" t="n"/>
      <c r="F148" s="27" t="n"/>
      <c r="G148" s="27" t="n"/>
      <c r="H148" s="27" t="n"/>
      <c r="I148" s="21">
        <f>IF(A148="","",SUMIF(tblAkis[SantiyeId],A148,tblAkis[Tutar]))</f>
        <v/>
      </c>
      <c r="J148" s="21">
        <f>IF(A148="","",E148+F148+G148+H148+I148)</f>
        <v/>
      </c>
      <c r="K148" s="21">
        <f>IF(A148="","",J148-D148)</f>
        <v/>
      </c>
      <c r="L148" s="33">
        <f>IF(A148="","",IFERROR(K148/MAX(D148,1),0))</f>
        <v/>
      </c>
      <c r="M148" s="7">
        <f>IF(A148="","",IF(J148&gt;D148*ihs_asimCarpan,"AŞIM","UYGUN"))</f>
        <v/>
      </c>
    </row>
    <row r="149">
      <c r="A149" s="26" t="n"/>
      <c r="B149" s="26" t="n"/>
      <c r="C149" s="26" t="n"/>
      <c r="D149" s="27" t="n"/>
      <c r="E149" s="27" t="n"/>
      <c r="F149" s="27" t="n"/>
      <c r="G149" s="27" t="n"/>
      <c r="H149" s="27" t="n"/>
      <c r="I149" s="21">
        <f>IF(A149="","",SUMIF(tblAkis[SantiyeId],A149,tblAkis[Tutar]))</f>
        <v/>
      </c>
      <c r="J149" s="21">
        <f>IF(A149="","",E149+F149+G149+H149+I149)</f>
        <v/>
      </c>
      <c r="K149" s="21">
        <f>IF(A149="","",J149-D149)</f>
        <v/>
      </c>
      <c r="L149" s="33">
        <f>IF(A149="","",IFERROR(K149/MAX(D149,1),0))</f>
        <v/>
      </c>
      <c r="M149" s="7">
        <f>IF(A149="","",IF(J149&gt;D149*ihs_asimCarpan,"AŞIM","UYGUN"))</f>
        <v/>
      </c>
    </row>
    <row r="150">
      <c r="A150" s="26" t="n"/>
      <c r="B150" s="26" t="n"/>
      <c r="C150" s="26" t="n"/>
      <c r="D150" s="27" t="n"/>
      <c r="E150" s="27" t="n"/>
      <c r="F150" s="27" t="n"/>
      <c r="G150" s="27" t="n"/>
      <c r="H150" s="27" t="n"/>
      <c r="I150" s="21">
        <f>IF(A150="","",SUMIF(tblAkis[SantiyeId],A150,tblAkis[Tutar]))</f>
        <v/>
      </c>
      <c r="J150" s="21">
        <f>IF(A150="","",E150+F150+G150+H150+I150)</f>
        <v/>
      </c>
      <c r="K150" s="21">
        <f>IF(A150="","",J150-D150)</f>
        <v/>
      </c>
      <c r="L150" s="33">
        <f>IF(A150="","",IFERROR(K150/MAX(D150,1),0))</f>
        <v/>
      </c>
      <c r="M150" s="7">
        <f>IF(A150="","",IF(J150&gt;D150*ihs_asimCarpan,"AŞIM","UYGUN"))</f>
        <v/>
      </c>
    </row>
    <row r="151">
      <c r="A151" s="26" t="n"/>
      <c r="B151" s="26" t="n"/>
      <c r="C151" s="26" t="n"/>
      <c r="D151" s="27" t="n"/>
      <c r="E151" s="27" t="n"/>
      <c r="F151" s="27" t="n"/>
      <c r="G151" s="27" t="n"/>
      <c r="H151" s="27" t="n"/>
      <c r="I151" s="21">
        <f>IF(A151="","",SUMIF(tblAkis[SantiyeId],A151,tblAkis[Tutar]))</f>
        <v/>
      </c>
      <c r="J151" s="21">
        <f>IF(A151="","",E151+F151+G151+H151+I151)</f>
        <v/>
      </c>
      <c r="K151" s="21">
        <f>IF(A151="","",J151-D151)</f>
        <v/>
      </c>
      <c r="L151" s="33">
        <f>IF(A151="","",IFERROR(K151/MAX(D151,1),0))</f>
        <v/>
      </c>
      <c r="M151" s="7">
        <f>IF(A151="","",IF(J151&gt;D151*ihs_asimCarpan,"AŞIM","UYGUN"))</f>
        <v/>
      </c>
    </row>
    <row r="152">
      <c r="A152" s="26" t="n"/>
      <c r="B152" s="26" t="n"/>
      <c r="C152" s="26" t="n"/>
      <c r="D152" s="27" t="n"/>
      <c r="E152" s="27" t="n"/>
      <c r="F152" s="27" t="n"/>
      <c r="G152" s="27" t="n"/>
      <c r="H152" s="27" t="n"/>
      <c r="I152" s="21">
        <f>IF(A152="","",SUMIF(tblAkis[SantiyeId],A152,tblAkis[Tutar]))</f>
        <v/>
      </c>
      <c r="J152" s="21">
        <f>IF(A152="","",E152+F152+G152+H152+I152)</f>
        <v/>
      </c>
      <c r="K152" s="21">
        <f>IF(A152="","",J152-D152)</f>
        <v/>
      </c>
      <c r="L152" s="33">
        <f>IF(A152="","",IFERROR(K152/MAX(D152,1),0))</f>
        <v/>
      </c>
      <c r="M152" s="7">
        <f>IF(A152="","",IF(J152&gt;D152*ihs_asimCarpan,"AŞIM","UYGUN"))</f>
        <v/>
      </c>
    </row>
    <row r="153">
      <c r="A153" s="26" t="n"/>
      <c r="B153" s="26" t="n"/>
      <c r="C153" s="26" t="n"/>
      <c r="D153" s="27" t="n"/>
      <c r="E153" s="27" t="n"/>
      <c r="F153" s="27" t="n"/>
      <c r="G153" s="27" t="n"/>
      <c r="H153" s="27" t="n"/>
      <c r="I153" s="21">
        <f>IF(A153="","",SUMIF(tblAkis[SantiyeId],A153,tblAkis[Tutar]))</f>
        <v/>
      </c>
      <c r="J153" s="21">
        <f>IF(A153="","",E153+F153+G153+H153+I153)</f>
        <v/>
      </c>
      <c r="K153" s="21">
        <f>IF(A153="","",J153-D153)</f>
        <v/>
      </c>
      <c r="L153" s="33">
        <f>IF(A153="","",IFERROR(K153/MAX(D153,1),0))</f>
        <v/>
      </c>
      <c r="M153" s="7">
        <f>IF(A153="","",IF(J153&gt;D153*ihs_asimCarpan,"AŞIM","UYGUN"))</f>
        <v/>
      </c>
    </row>
    <row r="154">
      <c r="A154" s="26" t="n"/>
      <c r="B154" s="26" t="n"/>
      <c r="C154" s="26" t="n"/>
      <c r="D154" s="27" t="n"/>
      <c r="E154" s="27" t="n"/>
      <c r="F154" s="27" t="n"/>
      <c r="G154" s="27" t="n"/>
      <c r="H154" s="27" t="n"/>
      <c r="I154" s="21">
        <f>IF(A154="","",SUMIF(tblAkis[SantiyeId],A154,tblAkis[Tutar]))</f>
        <v/>
      </c>
      <c r="J154" s="21">
        <f>IF(A154="","",E154+F154+G154+H154+I154)</f>
        <v/>
      </c>
      <c r="K154" s="21">
        <f>IF(A154="","",J154-D154)</f>
        <v/>
      </c>
      <c r="L154" s="33">
        <f>IF(A154="","",IFERROR(K154/MAX(D154,1),0))</f>
        <v/>
      </c>
      <c r="M154" s="7">
        <f>IF(A154="","",IF(J154&gt;D154*ihs_asimCarpan,"AŞIM","UYGUN"))</f>
        <v/>
      </c>
    </row>
    <row r="155">
      <c r="A155" s="26" t="n"/>
      <c r="B155" s="26" t="n"/>
      <c r="C155" s="26" t="n"/>
      <c r="D155" s="27" t="n"/>
      <c r="E155" s="27" t="n"/>
      <c r="F155" s="27" t="n"/>
      <c r="G155" s="27" t="n"/>
      <c r="H155" s="27" t="n"/>
      <c r="I155" s="21">
        <f>IF(A155="","",SUMIF(tblAkis[SantiyeId],A155,tblAkis[Tutar]))</f>
        <v/>
      </c>
      <c r="J155" s="21">
        <f>IF(A155="","",E155+F155+G155+H155+I155)</f>
        <v/>
      </c>
      <c r="K155" s="21">
        <f>IF(A155="","",J155-D155)</f>
        <v/>
      </c>
      <c r="L155" s="33">
        <f>IF(A155="","",IFERROR(K155/MAX(D155,1),0))</f>
        <v/>
      </c>
      <c r="M155" s="7">
        <f>IF(A155="","",IF(J155&gt;D155*ihs_asimCarpan,"AŞIM","UYGUN"))</f>
        <v/>
      </c>
    </row>
    <row r="156">
      <c r="A156" s="26" t="n"/>
      <c r="B156" s="26" t="n"/>
      <c r="C156" s="26" t="n"/>
      <c r="D156" s="27" t="n"/>
      <c r="E156" s="27" t="n"/>
      <c r="F156" s="27" t="n"/>
      <c r="G156" s="27" t="n"/>
      <c r="H156" s="27" t="n"/>
      <c r="I156" s="21">
        <f>IF(A156="","",SUMIF(tblAkis[SantiyeId],A156,tblAkis[Tutar]))</f>
        <v/>
      </c>
      <c r="J156" s="21">
        <f>IF(A156="","",E156+F156+G156+H156+I156)</f>
        <v/>
      </c>
      <c r="K156" s="21">
        <f>IF(A156="","",J156-D156)</f>
        <v/>
      </c>
      <c r="L156" s="33">
        <f>IF(A156="","",IFERROR(K156/MAX(D156,1),0))</f>
        <v/>
      </c>
      <c r="M156" s="7">
        <f>IF(A156="","",IF(J156&gt;D156*ihs_asimCarpan,"AŞIM","UYGUN"))</f>
        <v/>
      </c>
    </row>
    <row r="157">
      <c r="A157" s="26" t="n"/>
      <c r="B157" s="26" t="n"/>
      <c r="C157" s="26" t="n"/>
      <c r="D157" s="27" t="n"/>
      <c r="E157" s="27" t="n"/>
      <c r="F157" s="27" t="n"/>
      <c r="G157" s="27" t="n"/>
      <c r="H157" s="27" t="n"/>
      <c r="I157" s="21">
        <f>IF(A157="","",SUMIF(tblAkis[SantiyeId],A157,tblAkis[Tutar]))</f>
        <v/>
      </c>
      <c r="J157" s="21">
        <f>IF(A157="","",E157+F157+G157+H157+I157)</f>
        <v/>
      </c>
      <c r="K157" s="21">
        <f>IF(A157="","",J157-D157)</f>
        <v/>
      </c>
      <c r="L157" s="33">
        <f>IF(A157="","",IFERROR(K157/MAX(D157,1),0))</f>
        <v/>
      </c>
      <c r="M157" s="7">
        <f>IF(A157="","",IF(J157&gt;D157*ihs_asimCarpan,"AŞIM","UYGUN"))</f>
        <v/>
      </c>
    </row>
    <row r="158">
      <c r="A158" s="26" t="n"/>
      <c r="B158" s="26" t="n"/>
      <c r="C158" s="26" t="n"/>
      <c r="D158" s="27" t="n"/>
      <c r="E158" s="27" t="n"/>
      <c r="F158" s="27" t="n"/>
      <c r="G158" s="27" t="n"/>
      <c r="H158" s="27" t="n"/>
      <c r="I158" s="21">
        <f>IF(A158="","",SUMIF(tblAkis[SantiyeId],A158,tblAkis[Tutar]))</f>
        <v/>
      </c>
      <c r="J158" s="21">
        <f>IF(A158="","",E158+F158+G158+H158+I158)</f>
        <v/>
      </c>
      <c r="K158" s="21">
        <f>IF(A158="","",J158-D158)</f>
        <v/>
      </c>
      <c r="L158" s="33">
        <f>IF(A158="","",IFERROR(K158/MAX(D158,1),0))</f>
        <v/>
      </c>
      <c r="M158" s="7">
        <f>IF(A158="","",IF(J158&gt;D158*ihs_asimCarpan,"AŞIM","UYGUN"))</f>
        <v/>
      </c>
    </row>
    <row r="159">
      <c r="A159" s="26" t="n"/>
      <c r="B159" s="26" t="n"/>
      <c r="C159" s="26" t="n"/>
      <c r="D159" s="27" t="n"/>
      <c r="E159" s="27" t="n"/>
      <c r="F159" s="27" t="n"/>
      <c r="G159" s="27" t="n"/>
      <c r="H159" s="27" t="n"/>
      <c r="I159" s="21">
        <f>IF(A159="","",SUMIF(tblAkis[SantiyeId],A159,tblAkis[Tutar]))</f>
        <v/>
      </c>
      <c r="J159" s="21">
        <f>IF(A159="","",E159+F159+G159+H159+I159)</f>
        <v/>
      </c>
      <c r="K159" s="21">
        <f>IF(A159="","",J159-D159)</f>
        <v/>
      </c>
      <c r="L159" s="33">
        <f>IF(A159="","",IFERROR(K159/MAX(D159,1),0))</f>
        <v/>
      </c>
      <c r="M159" s="7">
        <f>IF(A159="","",IF(J159&gt;D159*ihs_asimCarpan,"AŞIM","UYGUN"))</f>
        <v/>
      </c>
    </row>
    <row r="160">
      <c r="A160" s="26" t="n"/>
      <c r="B160" s="26" t="n"/>
      <c r="C160" s="26" t="n"/>
      <c r="D160" s="27" t="n"/>
      <c r="E160" s="27" t="n"/>
      <c r="F160" s="27" t="n"/>
      <c r="G160" s="27" t="n"/>
      <c r="H160" s="27" t="n"/>
      <c r="I160" s="21">
        <f>IF(A160="","",SUMIF(tblAkis[SantiyeId],A160,tblAkis[Tutar]))</f>
        <v/>
      </c>
      <c r="J160" s="21">
        <f>IF(A160="","",E160+F160+G160+H160+I160)</f>
        <v/>
      </c>
      <c r="K160" s="21">
        <f>IF(A160="","",J160-D160)</f>
        <v/>
      </c>
      <c r="L160" s="33">
        <f>IF(A160="","",IFERROR(K160/MAX(D160,1),0))</f>
        <v/>
      </c>
      <c r="M160" s="7">
        <f>IF(A160="","",IF(J160&gt;D160*ihs_asimCarpan,"AŞIM","UYGUN"))</f>
        <v/>
      </c>
    </row>
    <row r="161">
      <c r="A161" s="26" t="n"/>
      <c r="B161" s="26" t="n"/>
      <c r="C161" s="26" t="n"/>
      <c r="D161" s="27" t="n"/>
      <c r="E161" s="27" t="n"/>
      <c r="F161" s="27" t="n"/>
      <c r="G161" s="27" t="n"/>
      <c r="H161" s="27" t="n"/>
      <c r="I161" s="21">
        <f>IF(A161="","",SUMIF(tblAkis[SantiyeId],A161,tblAkis[Tutar]))</f>
        <v/>
      </c>
      <c r="J161" s="21">
        <f>IF(A161="","",E161+F161+G161+H161+I161)</f>
        <v/>
      </c>
      <c r="K161" s="21">
        <f>IF(A161="","",J161-D161)</f>
        <v/>
      </c>
      <c r="L161" s="33">
        <f>IF(A161="","",IFERROR(K161/MAX(D161,1),0))</f>
        <v/>
      </c>
      <c r="M161" s="7">
        <f>IF(A161="","",IF(J161&gt;D161*ihs_asimCarpan,"AŞIM","UYGUN"))</f>
        <v/>
      </c>
    </row>
    <row r="162">
      <c r="A162" s="26" t="n"/>
      <c r="B162" s="26" t="n"/>
      <c r="C162" s="26" t="n"/>
      <c r="D162" s="27" t="n"/>
      <c r="E162" s="27" t="n"/>
      <c r="F162" s="27" t="n"/>
      <c r="G162" s="27" t="n"/>
      <c r="H162" s="27" t="n"/>
      <c r="I162" s="21">
        <f>IF(A162="","",SUMIF(tblAkis[SantiyeId],A162,tblAkis[Tutar]))</f>
        <v/>
      </c>
      <c r="J162" s="21">
        <f>IF(A162="","",E162+F162+G162+H162+I162)</f>
        <v/>
      </c>
      <c r="K162" s="21">
        <f>IF(A162="","",J162-D162)</f>
        <v/>
      </c>
      <c r="L162" s="33">
        <f>IF(A162="","",IFERROR(K162/MAX(D162,1),0))</f>
        <v/>
      </c>
      <c r="M162" s="7">
        <f>IF(A162="","",IF(J162&gt;D162*ihs_asimCarpan,"AŞIM","UYGUN"))</f>
        <v/>
      </c>
    </row>
    <row r="163">
      <c r="A163" s="26" t="n"/>
      <c r="B163" s="26" t="n"/>
      <c r="C163" s="26" t="n"/>
      <c r="D163" s="27" t="n"/>
      <c r="E163" s="27" t="n"/>
      <c r="F163" s="27" t="n"/>
      <c r="G163" s="27" t="n"/>
      <c r="H163" s="27" t="n"/>
      <c r="I163" s="21">
        <f>IF(A163="","",SUMIF(tblAkis[SantiyeId],A163,tblAkis[Tutar]))</f>
        <v/>
      </c>
      <c r="J163" s="21">
        <f>IF(A163="","",E163+F163+G163+H163+I163)</f>
        <v/>
      </c>
      <c r="K163" s="21">
        <f>IF(A163="","",J163-D163)</f>
        <v/>
      </c>
      <c r="L163" s="33">
        <f>IF(A163="","",IFERROR(K163/MAX(D163,1),0))</f>
        <v/>
      </c>
      <c r="M163" s="7">
        <f>IF(A163="","",IF(J163&gt;D163*ihs_asimCarpan,"AŞIM","UYGUN"))</f>
        <v/>
      </c>
    </row>
    <row r="164">
      <c r="A164" s="26" t="n"/>
      <c r="B164" s="26" t="n"/>
      <c r="C164" s="26" t="n"/>
      <c r="D164" s="27" t="n"/>
      <c r="E164" s="27" t="n"/>
      <c r="F164" s="27" t="n"/>
      <c r="G164" s="27" t="n"/>
      <c r="H164" s="27" t="n"/>
      <c r="I164" s="21">
        <f>IF(A164="","",SUMIF(tblAkis[SantiyeId],A164,tblAkis[Tutar]))</f>
        <v/>
      </c>
      <c r="J164" s="21">
        <f>IF(A164="","",E164+F164+G164+H164+I164)</f>
        <v/>
      </c>
      <c r="K164" s="21">
        <f>IF(A164="","",J164-D164)</f>
        <v/>
      </c>
      <c r="L164" s="33">
        <f>IF(A164="","",IFERROR(K164/MAX(D164,1),0))</f>
        <v/>
      </c>
      <c r="M164" s="7">
        <f>IF(A164="","",IF(J164&gt;D164*ihs_asimCarpan,"AŞIM","UYGUN"))</f>
        <v/>
      </c>
    </row>
    <row r="165">
      <c r="A165" s="26" t="n"/>
      <c r="B165" s="26" t="n"/>
      <c r="C165" s="26" t="n"/>
      <c r="D165" s="27" t="n"/>
      <c r="E165" s="27" t="n"/>
      <c r="F165" s="27" t="n"/>
      <c r="G165" s="27" t="n"/>
      <c r="H165" s="27" t="n"/>
      <c r="I165" s="21">
        <f>IF(A165="","",SUMIF(tblAkis[SantiyeId],A165,tblAkis[Tutar]))</f>
        <v/>
      </c>
      <c r="J165" s="21">
        <f>IF(A165="","",E165+F165+G165+H165+I165)</f>
        <v/>
      </c>
      <c r="K165" s="21">
        <f>IF(A165="","",J165-D165)</f>
        <v/>
      </c>
      <c r="L165" s="33">
        <f>IF(A165="","",IFERROR(K165/MAX(D165,1),0))</f>
        <v/>
      </c>
      <c r="M165" s="7">
        <f>IF(A165="","",IF(J165&gt;D165*ihs_asimCarpan,"AŞIM","UYGUN"))</f>
        <v/>
      </c>
    </row>
    <row r="166">
      <c r="A166" s="26" t="n"/>
      <c r="B166" s="26" t="n"/>
      <c r="C166" s="26" t="n"/>
      <c r="D166" s="27" t="n"/>
      <c r="E166" s="27" t="n"/>
      <c r="F166" s="27" t="n"/>
      <c r="G166" s="27" t="n"/>
      <c r="H166" s="27" t="n"/>
      <c r="I166" s="21">
        <f>IF(A166="","",SUMIF(tblAkis[SantiyeId],A166,tblAkis[Tutar]))</f>
        <v/>
      </c>
      <c r="J166" s="21">
        <f>IF(A166="","",E166+F166+G166+H166+I166)</f>
        <v/>
      </c>
      <c r="K166" s="21">
        <f>IF(A166="","",J166-D166)</f>
        <v/>
      </c>
      <c r="L166" s="33">
        <f>IF(A166="","",IFERROR(K166/MAX(D166,1),0))</f>
        <v/>
      </c>
      <c r="M166" s="7">
        <f>IF(A166="","",IF(J166&gt;D166*ihs_asimCarpan,"AŞIM","UYGUN"))</f>
        <v/>
      </c>
    </row>
    <row r="167">
      <c r="A167" s="26" t="n"/>
      <c r="B167" s="26" t="n"/>
      <c r="C167" s="26" t="n"/>
      <c r="D167" s="27" t="n"/>
      <c r="E167" s="27" t="n"/>
      <c r="F167" s="27" t="n"/>
      <c r="G167" s="27" t="n"/>
      <c r="H167" s="27" t="n"/>
      <c r="I167" s="21">
        <f>IF(A167="","",SUMIF(tblAkis[SantiyeId],A167,tblAkis[Tutar]))</f>
        <v/>
      </c>
      <c r="J167" s="21">
        <f>IF(A167="","",E167+F167+G167+H167+I167)</f>
        <v/>
      </c>
      <c r="K167" s="21">
        <f>IF(A167="","",J167-D167)</f>
        <v/>
      </c>
      <c r="L167" s="33">
        <f>IF(A167="","",IFERROR(K167/MAX(D167,1),0))</f>
        <v/>
      </c>
      <c r="M167" s="7">
        <f>IF(A167="","",IF(J167&gt;D167*ihs_asimCarpan,"AŞIM","UYGUN"))</f>
        <v/>
      </c>
    </row>
    <row r="168">
      <c r="A168" s="26" t="n"/>
      <c r="B168" s="26" t="n"/>
      <c r="C168" s="26" t="n"/>
      <c r="D168" s="27" t="n"/>
      <c r="E168" s="27" t="n"/>
      <c r="F168" s="27" t="n"/>
      <c r="G168" s="27" t="n"/>
      <c r="H168" s="27" t="n"/>
      <c r="I168" s="21">
        <f>IF(A168="","",SUMIF(tblAkis[SantiyeId],A168,tblAkis[Tutar]))</f>
        <v/>
      </c>
      <c r="J168" s="21">
        <f>IF(A168="","",E168+F168+G168+H168+I168)</f>
        <v/>
      </c>
      <c r="K168" s="21">
        <f>IF(A168="","",J168-D168)</f>
        <v/>
      </c>
      <c r="L168" s="33">
        <f>IF(A168="","",IFERROR(K168/MAX(D168,1),0))</f>
        <v/>
      </c>
      <c r="M168" s="7">
        <f>IF(A168="","",IF(J168&gt;D168*ihs_asimCarpan,"AŞIM","UYGUN"))</f>
        <v/>
      </c>
    </row>
    <row r="169">
      <c r="A169" s="26" t="n"/>
      <c r="B169" s="26" t="n"/>
      <c r="C169" s="26" t="n"/>
      <c r="D169" s="27" t="n"/>
      <c r="E169" s="27" t="n"/>
      <c r="F169" s="27" t="n"/>
      <c r="G169" s="27" t="n"/>
      <c r="H169" s="27" t="n"/>
      <c r="I169" s="21">
        <f>IF(A169="","",SUMIF(tblAkis[SantiyeId],A169,tblAkis[Tutar]))</f>
        <v/>
      </c>
      <c r="J169" s="21">
        <f>IF(A169="","",E169+F169+G169+H169+I169)</f>
        <v/>
      </c>
      <c r="K169" s="21">
        <f>IF(A169="","",J169-D169)</f>
        <v/>
      </c>
      <c r="L169" s="33">
        <f>IF(A169="","",IFERROR(K169/MAX(D169,1),0))</f>
        <v/>
      </c>
      <c r="M169" s="7">
        <f>IF(A169="","",IF(J169&gt;D169*ihs_asimCarpan,"AŞIM","UYGUN"))</f>
        <v/>
      </c>
    </row>
    <row r="170">
      <c r="A170" s="26" t="n"/>
      <c r="B170" s="26" t="n"/>
      <c r="C170" s="26" t="n"/>
      <c r="D170" s="27" t="n"/>
      <c r="E170" s="27" t="n"/>
      <c r="F170" s="27" t="n"/>
      <c r="G170" s="27" t="n"/>
      <c r="H170" s="27" t="n"/>
      <c r="I170" s="21">
        <f>IF(A170="","",SUMIF(tblAkis[SantiyeId],A170,tblAkis[Tutar]))</f>
        <v/>
      </c>
      <c r="J170" s="21">
        <f>IF(A170="","",E170+F170+G170+H170+I170)</f>
        <v/>
      </c>
      <c r="K170" s="21">
        <f>IF(A170="","",J170-D170)</f>
        <v/>
      </c>
      <c r="L170" s="33">
        <f>IF(A170="","",IFERROR(K170/MAX(D170,1),0))</f>
        <v/>
      </c>
      <c r="M170" s="7">
        <f>IF(A170="","",IF(J170&gt;D170*ihs_asimCarpan,"AŞIM","UYGUN"))</f>
        <v/>
      </c>
    </row>
    <row r="171">
      <c r="A171" s="26" t="n"/>
      <c r="B171" s="26" t="n"/>
      <c r="C171" s="26" t="n"/>
      <c r="D171" s="27" t="n"/>
      <c r="E171" s="27" t="n"/>
      <c r="F171" s="27" t="n"/>
      <c r="G171" s="27" t="n"/>
      <c r="H171" s="27" t="n"/>
      <c r="I171" s="21">
        <f>IF(A171="","",SUMIF(tblAkis[SantiyeId],A171,tblAkis[Tutar]))</f>
        <v/>
      </c>
      <c r="J171" s="21">
        <f>IF(A171="","",E171+F171+G171+H171+I171)</f>
        <v/>
      </c>
      <c r="K171" s="21">
        <f>IF(A171="","",J171-D171)</f>
        <v/>
      </c>
      <c r="L171" s="33">
        <f>IF(A171="","",IFERROR(K171/MAX(D171,1),0))</f>
        <v/>
      </c>
      <c r="M171" s="7">
        <f>IF(A171="","",IF(J171&gt;D171*ihs_asimCarpan,"AŞIM","UYGUN"))</f>
        <v/>
      </c>
    </row>
    <row r="172">
      <c r="A172" s="26" t="n"/>
      <c r="B172" s="26" t="n"/>
      <c r="C172" s="26" t="n"/>
      <c r="D172" s="27" t="n"/>
      <c r="E172" s="27" t="n"/>
      <c r="F172" s="27" t="n"/>
      <c r="G172" s="27" t="n"/>
      <c r="H172" s="27" t="n"/>
      <c r="I172" s="21">
        <f>IF(A172="","",SUMIF(tblAkis[SantiyeId],A172,tblAkis[Tutar]))</f>
        <v/>
      </c>
      <c r="J172" s="21">
        <f>IF(A172="","",E172+F172+G172+H172+I172)</f>
        <v/>
      </c>
      <c r="K172" s="21">
        <f>IF(A172="","",J172-D172)</f>
        <v/>
      </c>
      <c r="L172" s="33">
        <f>IF(A172="","",IFERROR(K172/MAX(D172,1),0))</f>
        <v/>
      </c>
      <c r="M172" s="7">
        <f>IF(A172="","",IF(J172&gt;D172*ihs_asimCarpan,"AŞIM","UYGUN"))</f>
        <v/>
      </c>
    </row>
    <row r="173">
      <c r="A173" s="26" t="n"/>
      <c r="B173" s="26" t="n"/>
      <c r="C173" s="26" t="n"/>
      <c r="D173" s="27" t="n"/>
      <c r="E173" s="27" t="n"/>
      <c r="F173" s="27" t="n"/>
      <c r="G173" s="27" t="n"/>
      <c r="H173" s="27" t="n"/>
      <c r="I173" s="21">
        <f>IF(A173="","",SUMIF(tblAkis[SantiyeId],A173,tblAkis[Tutar]))</f>
        <v/>
      </c>
      <c r="J173" s="21">
        <f>IF(A173="","",E173+F173+G173+H173+I173)</f>
        <v/>
      </c>
      <c r="K173" s="21">
        <f>IF(A173="","",J173-D173)</f>
        <v/>
      </c>
      <c r="L173" s="33">
        <f>IF(A173="","",IFERROR(K173/MAX(D173,1),0))</f>
        <v/>
      </c>
      <c r="M173" s="7">
        <f>IF(A173="","",IF(J173&gt;D173*ihs_asimCarpan,"AŞIM","UYGUN"))</f>
        <v/>
      </c>
    </row>
    <row r="174">
      <c r="A174" s="26" t="n"/>
      <c r="B174" s="26" t="n"/>
      <c r="C174" s="26" t="n"/>
      <c r="D174" s="27" t="n"/>
      <c r="E174" s="27" t="n"/>
      <c r="F174" s="27" t="n"/>
      <c r="G174" s="27" t="n"/>
      <c r="H174" s="27" t="n"/>
      <c r="I174" s="21">
        <f>IF(A174="","",SUMIF(tblAkis[SantiyeId],A174,tblAkis[Tutar]))</f>
        <v/>
      </c>
      <c r="J174" s="21">
        <f>IF(A174="","",E174+F174+G174+H174+I174)</f>
        <v/>
      </c>
      <c r="K174" s="21">
        <f>IF(A174="","",J174-D174)</f>
        <v/>
      </c>
      <c r="L174" s="33">
        <f>IF(A174="","",IFERROR(K174/MAX(D174,1),0))</f>
        <v/>
      </c>
      <c r="M174" s="7">
        <f>IF(A174="","",IF(J174&gt;D174*ihs_asimCarpan,"AŞIM","UYGUN"))</f>
        <v/>
      </c>
    </row>
    <row r="175">
      <c r="A175" s="26" t="n"/>
      <c r="B175" s="26" t="n"/>
      <c r="C175" s="26" t="n"/>
      <c r="D175" s="27" t="n"/>
      <c r="E175" s="27" t="n"/>
      <c r="F175" s="27" t="n"/>
      <c r="G175" s="27" t="n"/>
      <c r="H175" s="27" t="n"/>
      <c r="I175" s="21">
        <f>IF(A175="","",SUMIF(tblAkis[SantiyeId],A175,tblAkis[Tutar]))</f>
        <v/>
      </c>
      <c r="J175" s="21">
        <f>IF(A175="","",E175+F175+G175+H175+I175)</f>
        <v/>
      </c>
      <c r="K175" s="21">
        <f>IF(A175="","",J175-D175)</f>
        <v/>
      </c>
      <c r="L175" s="33">
        <f>IF(A175="","",IFERROR(K175/MAX(D175,1),0))</f>
        <v/>
      </c>
      <c r="M175" s="7">
        <f>IF(A175="","",IF(J175&gt;D175*ihs_asimCarpan,"AŞIM","UYGUN"))</f>
        <v/>
      </c>
    </row>
    <row r="176">
      <c r="A176" s="26" t="n"/>
      <c r="B176" s="26" t="n"/>
      <c r="C176" s="26" t="n"/>
      <c r="D176" s="27" t="n"/>
      <c r="E176" s="27" t="n"/>
      <c r="F176" s="27" t="n"/>
      <c r="G176" s="27" t="n"/>
      <c r="H176" s="27" t="n"/>
      <c r="I176" s="21">
        <f>IF(A176="","",SUMIF(tblAkis[SantiyeId],A176,tblAkis[Tutar]))</f>
        <v/>
      </c>
      <c r="J176" s="21">
        <f>IF(A176="","",E176+F176+G176+H176+I176)</f>
        <v/>
      </c>
      <c r="K176" s="21">
        <f>IF(A176="","",J176-D176)</f>
        <v/>
      </c>
      <c r="L176" s="33">
        <f>IF(A176="","",IFERROR(K176/MAX(D176,1),0))</f>
        <v/>
      </c>
      <c r="M176" s="7">
        <f>IF(A176="","",IF(J176&gt;D176*ihs_asimCarpan,"AŞIM","UYGUN"))</f>
        <v/>
      </c>
    </row>
    <row r="177">
      <c r="A177" s="26" t="n"/>
      <c r="B177" s="26" t="n"/>
      <c r="C177" s="26" t="n"/>
      <c r="D177" s="27" t="n"/>
      <c r="E177" s="27" t="n"/>
      <c r="F177" s="27" t="n"/>
      <c r="G177" s="27" t="n"/>
      <c r="H177" s="27" t="n"/>
      <c r="I177" s="21">
        <f>IF(A177="","",SUMIF(tblAkis[SantiyeId],A177,tblAkis[Tutar]))</f>
        <v/>
      </c>
      <c r="J177" s="21">
        <f>IF(A177="","",E177+F177+G177+H177+I177)</f>
        <v/>
      </c>
      <c r="K177" s="21">
        <f>IF(A177="","",J177-D177)</f>
        <v/>
      </c>
      <c r="L177" s="33">
        <f>IF(A177="","",IFERROR(K177/MAX(D177,1),0))</f>
        <v/>
      </c>
      <c r="M177" s="7">
        <f>IF(A177="","",IF(J177&gt;D177*ihs_asimCarpan,"AŞIM","UYGUN"))</f>
        <v/>
      </c>
    </row>
    <row r="178">
      <c r="A178" s="26" t="n"/>
      <c r="B178" s="26" t="n"/>
      <c r="C178" s="26" t="n"/>
      <c r="D178" s="27" t="n"/>
      <c r="E178" s="27" t="n"/>
      <c r="F178" s="27" t="n"/>
      <c r="G178" s="27" t="n"/>
      <c r="H178" s="27" t="n"/>
      <c r="I178" s="21">
        <f>IF(A178="","",SUMIF(tblAkis[SantiyeId],A178,tblAkis[Tutar]))</f>
        <v/>
      </c>
      <c r="J178" s="21">
        <f>IF(A178="","",E178+F178+G178+H178+I178)</f>
        <v/>
      </c>
      <c r="K178" s="21">
        <f>IF(A178="","",J178-D178)</f>
        <v/>
      </c>
      <c r="L178" s="33">
        <f>IF(A178="","",IFERROR(K178/MAX(D178,1),0))</f>
        <v/>
      </c>
      <c r="M178" s="7">
        <f>IF(A178="","",IF(J178&gt;D178*ihs_asimCarpan,"AŞIM","UYGUN"))</f>
        <v/>
      </c>
    </row>
    <row r="179">
      <c r="A179" s="26" t="n"/>
      <c r="B179" s="26" t="n"/>
      <c r="C179" s="26" t="n"/>
      <c r="D179" s="27" t="n"/>
      <c r="E179" s="27" t="n"/>
      <c r="F179" s="27" t="n"/>
      <c r="G179" s="27" t="n"/>
      <c r="H179" s="27" t="n"/>
      <c r="I179" s="21">
        <f>IF(A179="","",SUMIF(tblAkis[SantiyeId],A179,tblAkis[Tutar]))</f>
        <v/>
      </c>
      <c r="J179" s="21">
        <f>IF(A179="","",E179+F179+G179+H179+I179)</f>
        <v/>
      </c>
      <c r="K179" s="21">
        <f>IF(A179="","",J179-D179)</f>
        <v/>
      </c>
      <c r="L179" s="33">
        <f>IF(A179="","",IFERROR(K179/MAX(D179,1),0))</f>
        <v/>
      </c>
      <c r="M179" s="7">
        <f>IF(A179="","",IF(J179&gt;D179*ihs_asimCarpan,"AŞIM","UYGUN"))</f>
        <v/>
      </c>
    </row>
    <row r="180">
      <c r="A180" s="26" t="n"/>
      <c r="B180" s="26" t="n"/>
      <c r="C180" s="26" t="n"/>
      <c r="D180" s="27" t="n"/>
      <c r="E180" s="27" t="n"/>
      <c r="F180" s="27" t="n"/>
      <c r="G180" s="27" t="n"/>
      <c r="H180" s="27" t="n"/>
      <c r="I180" s="21">
        <f>IF(A180="","",SUMIF(tblAkis[SantiyeId],A180,tblAkis[Tutar]))</f>
        <v/>
      </c>
      <c r="J180" s="21">
        <f>IF(A180="","",E180+F180+G180+H180+I180)</f>
        <v/>
      </c>
      <c r="K180" s="21">
        <f>IF(A180="","",J180-D180)</f>
        <v/>
      </c>
      <c r="L180" s="33">
        <f>IF(A180="","",IFERROR(K180/MAX(D180,1),0))</f>
        <v/>
      </c>
      <c r="M180" s="7">
        <f>IF(A180="","",IF(J180&gt;D180*ihs_asimCarpan,"AŞIM","UYGUN"))</f>
        <v/>
      </c>
    </row>
    <row r="181">
      <c r="A181" s="26" t="n"/>
      <c r="B181" s="26" t="n"/>
      <c r="C181" s="26" t="n"/>
      <c r="D181" s="27" t="n"/>
      <c r="E181" s="27" t="n"/>
      <c r="F181" s="27" t="n"/>
      <c r="G181" s="27" t="n"/>
      <c r="H181" s="27" t="n"/>
      <c r="I181" s="21">
        <f>IF(A181="","",SUMIF(tblAkis[SantiyeId],A181,tblAkis[Tutar]))</f>
        <v/>
      </c>
      <c r="J181" s="21">
        <f>IF(A181="","",E181+F181+G181+H181+I181)</f>
        <v/>
      </c>
      <c r="K181" s="21">
        <f>IF(A181="","",J181-D181)</f>
        <v/>
      </c>
      <c r="L181" s="33">
        <f>IF(A181="","",IFERROR(K181/MAX(D181,1),0))</f>
        <v/>
      </c>
      <c r="M181" s="7">
        <f>IF(A181="","",IF(J181&gt;D181*ihs_asimCarpan,"AŞIM","UYGUN"))</f>
        <v/>
      </c>
    </row>
    <row r="182">
      <c r="A182" s="26" t="n"/>
      <c r="B182" s="26" t="n"/>
      <c r="C182" s="26" t="n"/>
      <c r="D182" s="27" t="n"/>
      <c r="E182" s="27" t="n"/>
      <c r="F182" s="27" t="n"/>
      <c r="G182" s="27" t="n"/>
      <c r="H182" s="27" t="n"/>
      <c r="I182" s="21">
        <f>IF(A182="","",SUMIF(tblAkis[SantiyeId],A182,tblAkis[Tutar]))</f>
        <v/>
      </c>
      <c r="J182" s="21">
        <f>IF(A182="","",E182+F182+G182+H182+I182)</f>
        <v/>
      </c>
      <c r="K182" s="21">
        <f>IF(A182="","",J182-D182)</f>
        <v/>
      </c>
      <c r="L182" s="33">
        <f>IF(A182="","",IFERROR(K182/MAX(D182,1),0))</f>
        <v/>
      </c>
      <c r="M182" s="7">
        <f>IF(A182="","",IF(J182&gt;D182*ihs_asimCarpan,"AŞIM","UYGUN"))</f>
        <v/>
      </c>
    </row>
    <row r="183">
      <c r="A183" s="26" t="n"/>
      <c r="B183" s="26" t="n"/>
      <c r="C183" s="26" t="n"/>
      <c r="D183" s="27" t="n"/>
      <c r="E183" s="27" t="n"/>
      <c r="F183" s="27" t="n"/>
      <c r="G183" s="27" t="n"/>
      <c r="H183" s="27" t="n"/>
      <c r="I183" s="21">
        <f>IF(A183="","",SUMIF(tblAkis[SantiyeId],A183,tblAkis[Tutar]))</f>
        <v/>
      </c>
      <c r="J183" s="21">
        <f>IF(A183="","",E183+F183+G183+H183+I183)</f>
        <v/>
      </c>
      <c r="K183" s="21">
        <f>IF(A183="","",J183-D183)</f>
        <v/>
      </c>
      <c r="L183" s="33">
        <f>IF(A183="","",IFERROR(K183/MAX(D183,1),0))</f>
        <v/>
      </c>
      <c r="M183" s="7">
        <f>IF(A183="","",IF(J183&gt;D183*ihs_asimCarpan,"AŞIM","UYGUN"))</f>
        <v/>
      </c>
    </row>
    <row r="184">
      <c r="A184" s="26" t="n"/>
      <c r="B184" s="26" t="n"/>
      <c r="C184" s="26" t="n"/>
      <c r="D184" s="27" t="n"/>
      <c r="E184" s="27" t="n"/>
      <c r="F184" s="27" t="n"/>
      <c r="G184" s="27" t="n"/>
      <c r="H184" s="27" t="n"/>
      <c r="I184" s="21">
        <f>IF(A184="","",SUMIF(tblAkis[SantiyeId],A184,tblAkis[Tutar]))</f>
        <v/>
      </c>
      <c r="J184" s="21">
        <f>IF(A184="","",E184+F184+G184+H184+I184)</f>
        <v/>
      </c>
      <c r="K184" s="21">
        <f>IF(A184="","",J184-D184)</f>
        <v/>
      </c>
      <c r="L184" s="33">
        <f>IF(A184="","",IFERROR(K184/MAX(D184,1),0))</f>
        <v/>
      </c>
      <c r="M184" s="7">
        <f>IF(A184="","",IF(J184&gt;D184*ihs_asimCarpan,"AŞIM","UYGUN"))</f>
        <v/>
      </c>
    </row>
    <row r="185">
      <c r="A185" s="26" t="n"/>
      <c r="B185" s="26" t="n"/>
      <c r="C185" s="26" t="n"/>
      <c r="D185" s="27" t="n"/>
      <c r="E185" s="27" t="n"/>
      <c r="F185" s="27" t="n"/>
      <c r="G185" s="27" t="n"/>
      <c r="H185" s="27" t="n"/>
      <c r="I185" s="21">
        <f>IF(A185="","",SUMIF(tblAkis[SantiyeId],A185,tblAkis[Tutar]))</f>
        <v/>
      </c>
      <c r="J185" s="21">
        <f>IF(A185="","",E185+F185+G185+H185+I185)</f>
        <v/>
      </c>
      <c r="K185" s="21">
        <f>IF(A185="","",J185-D185)</f>
        <v/>
      </c>
      <c r="L185" s="33">
        <f>IF(A185="","",IFERROR(K185/MAX(D185,1),0))</f>
        <v/>
      </c>
      <c r="M185" s="7">
        <f>IF(A185="","",IF(J185&gt;D185*ihs_asimCarpan,"AŞIM","UYGUN"))</f>
        <v/>
      </c>
    </row>
    <row r="186">
      <c r="A186" s="26" t="n"/>
      <c r="B186" s="26" t="n"/>
      <c r="C186" s="26" t="n"/>
      <c r="D186" s="27" t="n"/>
      <c r="E186" s="27" t="n"/>
      <c r="F186" s="27" t="n"/>
      <c r="G186" s="27" t="n"/>
      <c r="H186" s="27" t="n"/>
      <c r="I186" s="21">
        <f>IF(A186="","",SUMIF(tblAkis[SantiyeId],A186,tblAkis[Tutar]))</f>
        <v/>
      </c>
      <c r="J186" s="21">
        <f>IF(A186="","",E186+F186+G186+H186+I186)</f>
        <v/>
      </c>
      <c r="K186" s="21">
        <f>IF(A186="","",J186-D186)</f>
        <v/>
      </c>
      <c r="L186" s="33">
        <f>IF(A186="","",IFERROR(K186/MAX(D186,1),0))</f>
        <v/>
      </c>
      <c r="M186" s="7">
        <f>IF(A186="","",IF(J186&gt;D186*ihs_asimCarpan,"AŞIM","UYGUN"))</f>
        <v/>
      </c>
    </row>
    <row r="187">
      <c r="A187" s="26" t="n"/>
      <c r="B187" s="26" t="n"/>
      <c r="C187" s="26" t="n"/>
      <c r="D187" s="27" t="n"/>
      <c r="E187" s="27" t="n"/>
      <c r="F187" s="27" t="n"/>
      <c r="G187" s="27" t="n"/>
      <c r="H187" s="27" t="n"/>
      <c r="I187" s="21">
        <f>IF(A187="","",SUMIF(tblAkis[SantiyeId],A187,tblAkis[Tutar]))</f>
        <v/>
      </c>
      <c r="J187" s="21">
        <f>IF(A187="","",E187+F187+G187+H187+I187)</f>
        <v/>
      </c>
      <c r="K187" s="21">
        <f>IF(A187="","",J187-D187)</f>
        <v/>
      </c>
      <c r="L187" s="33">
        <f>IF(A187="","",IFERROR(K187/MAX(D187,1),0))</f>
        <v/>
      </c>
      <c r="M187" s="7">
        <f>IF(A187="","",IF(J187&gt;D187*ihs_asimCarpan,"AŞIM","UYGUN"))</f>
        <v/>
      </c>
    </row>
    <row r="188">
      <c r="A188" s="26" t="n"/>
      <c r="B188" s="26" t="n"/>
      <c r="C188" s="26" t="n"/>
      <c r="D188" s="27" t="n"/>
      <c r="E188" s="27" t="n"/>
      <c r="F188" s="27" t="n"/>
      <c r="G188" s="27" t="n"/>
      <c r="H188" s="27" t="n"/>
      <c r="I188" s="21">
        <f>IF(A188="","",SUMIF(tblAkis[SantiyeId],A188,tblAkis[Tutar]))</f>
        <v/>
      </c>
      <c r="J188" s="21">
        <f>IF(A188="","",E188+F188+G188+H188+I188)</f>
        <v/>
      </c>
      <c r="K188" s="21">
        <f>IF(A188="","",J188-D188)</f>
        <v/>
      </c>
      <c r="L188" s="33">
        <f>IF(A188="","",IFERROR(K188/MAX(D188,1),0))</f>
        <v/>
      </c>
      <c r="M188" s="7">
        <f>IF(A188="","",IF(J188&gt;D188*ihs_asimCarpan,"AŞIM","UYGUN"))</f>
        <v/>
      </c>
    </row>
    <row r="189">
      <c r="A189" s="26" t="n"/>
      <c r="B189" s="26" t="n"/>
      <c r="C189" s="26" t="n"/>
      <c r="D189" s="27" t="n"/>
      <c r="E189" s="27" t="n"/>
      <c r="F189" s="27" t="n"/>
      <c r="G189" s="27" t="n"/>
      <c r="H189" s="27" t="n"/>
      <c r="I189" s="21">
        <f>IF(A189="","",SUMIF(tblAkis[SantiyeId],A189,tblAkis[Tutar]))</f>
        <v/>
      </c>
      <c r="J189" s="21">
        <f>IF(A189="","",E189+F189+G189+H189+I189)</f>
        <v/>
      </c>
      <c r="K189" s="21">
        <f>IF(A189="","",J189-D189)</f>
        <v/>
      </c>
      <c r="L189" s="33">
        <f>IF(A189="","",IFERROR(K189/MAX(D189,1),0))</f>
        <v/>
      </c>
      <c r="M189" s="7">
        <f>IF(A189="","",IF(J189&gt;D189*ihs_asimCarpan,"AŞIM","UYGUN"))</f>
        <v/>
      </c>
    </row>
    <row r="190">
      <c r="A190" s="26" t="n"/>
      <c r="B190" s="26" t="n"/>
      <c r="C190" s="26" t="n"/>
      <c r="D190" s="27" t="n"/>
      <c r="E190" s="27" t="n"/>
      <c r="F190" s="27" t="n"/>
      <c r="G190" s="27" t="n"/>
      <c r="H190" s="27" t="n"/>
      <c r="I190" s="21">
        <f>IF(A190="","",SUMIF(tblAkis[SantiyeId],A190,tblAkis[Tutar]))</f>
        <v/>
      </c>
      <c r="J190" s="21">
        <f>IF(A190="","",E190+F190+G190+H190+I190)</f>
        <v/>
      </c>
      <c r="K190" s="21">
        <f>IF(A190="","",J190-D190)</f>
        <v/>
      </c>
      <c r="L190" s="33">
        <f>IF(A190="","",IFERROR(K190/MAX(D190,1),0))</f>
        <v/>
      </c>
      <c r="M190" s="7">
        <f>IF(A190="","",IF(J190&gt;D190*ihs_asimCarpan,"AŞIM","UYGUN"))</f>
        <v/>
      </c>
    </row>
    <row r="191">
      <c r="A191" s="26" t="n"/>
      <c r="B191" s="26" t="n"/>
      <c r="C191" s="26" t="n"/>
      <c r="D191" s="27" t="n"/>
      <c r="E191" s="27" t="n"/>
      <c r="F191" s="27" t="n"/>
      <c r="G191" s="27" t="n"/>
      <c r="H191" s="27" t="n"/>
      <c r="I191" s="21">
        <f>IF(A191="","",SUMIF(tblAkis[SantiyeId],A191,tblAkis[Tutar]))</f>
        <v/>
      </c>
      <c r="J191" s="21">
        <f>IF(A191="","",E191+F191+G191+H191+I191)</f>
        <v/>
      </c>
      <c r="K191" s="21">
        <f>IF(A191="","",J191-D191)</f>
        <v/>
      </c>
      <c r="L191" s="33">
        <f>IF(A191="","",IFERROR(K191/MAX(D191,1),0))</f>
        <v/>
      </c>
      <c r="M191" s="7">
        <f>IF(A191="","",IF(J191&gt;D191*ihs_asimCarpan,"AŞIM","UYGUN"))</f>
        <v/>
      </c>
    </row>
    <row r="192">
      <c r="A192" s="26" t="n"/>
      <c r="B192" s="26" t="n"/>
      <c r="C192" s="26" t="n"/>
      <c r="D192" s="27" t="n"/>
      <c r="E192" s="27" t="n"/>
      <c r="F192" s="27" t="n"/>
      <c r="G192" s="27" t="n"/>
      <c r="H192" s="27" t="n"/>
      <c r="I192" s="21">
        <f>IF(A192="","",SUMIF(tblAkis[SantiyeId],A192,tblAkis[Tutar]))</f>
        <v/>
      </c>
      <c r="J192" s="21">
        <f>IF(A192="","",E192+F192+G192+H192+I192)</f>
        <v/>
      </c>
      <c r="K192" s="21">
        <f>IF(A192="","",J192-D192)</f>
        <v/>
      </c>
      <c r="L192" s="33">
        <f>IF(A192="","",IFERROR(K192/MAX(D192,1),0))</f>
        <v/>
      </c>
      <c r="M192" s="7">
        <f>IF(A192="","",IF(J192&gt;D192*ihs_asimCarpan,"AŞIM","UYGUN"))</f>
        <v/>
      </c>
    </row>
    <row r="193">
      <c r="A193" s="26" t="n"/>
      <c r="B193" s="26" t="n"/>
      <c r="C193" s="26" t="n"/>
      <c r="D193" s="27" t="n"/>
      <c r="E193" s="27" t="n"/>
      <c r="F193" s="27" t="n"/>
      <c r="G193" s="27" t="n"/>
      <c r="H193" s="27" t="n"/>
      <c r="I193" s="21">
        <f>IF(A193="","",SUMIF(tblAkis[SantiyeId],A193,tblAkis[Tutar]))</f>
        <v/>
      </c>
      <c r="J193" s="21">
        <f>IF(A193="","",E193+F193+G193+H193+I193)</f>
        <v/>
      </c>
      <c r="K193" s="21">
        <f>IF(A193="","",J193-D193)</f>
        <v/>
      </c>
      <c r="L193" s="33">
        <f>IF(A193="","",IFERROR(K193/MAX(D193,1),0))</f>
        <v/>
      </c>
      <c r="M193" s="7">
        <f>IF(A193="","",IF(J193&gt;D193*ihs_asimCarpan,"AŞIM","UYGUN"))</f>
        <v/>
      </c>
    </row>
    <row r="194">
      <c r="A194" s="26" t="n"/>
      <c r="B194" s="26" t="n"/>
      <c r="C194" s="26" t="n"/>
      <c r="D194" s="27" t="n"/>
      <c r="E194" s="27" t="n"/>
      <c r="F194" s="27" t="n"/>
      <c r="G194" s="27" t="n"/>
      <c r="H194" s="27" t="n"/>
      <c r="I194" s="21">
        <f>IF(A194="","",SUMIF(tblAkis[SantiyeId],A194,tblAkis[Tutar]))</f>
        <v/>
      </c>
      <c r="J194" s="21">
        <f>IF(A194="","",E194+F194+G194+H194+I194)</f>
        <v/>
      </c>
      <c r="K194" s="21">
        <f>IF(A194="","",J194-D194)</f>
        <v/>
      </c>
      <c r="L194" s="33">
        <f>IF(A194="","",IFERROR(K194/MAX(D194,1),0))</f>
        <v/>
      </c>
      <c r="M194" s="7">
        <f>IF(A194="","",IF(J194&gt;D194*ihs_asimCarpan,"AŞIM","UYGUN"))</f>
        <v/>
      </c>
    </row>
    <row r="195">
      <c r="A195" s="26" t="n"/>
      <c r="B195" s="26" t="n"/>
      <c r="C195" s="26" t="n"/>
      <c r="D195" s="27" t="n"/>
      <c r="E195" s="27" t="n"/>
      <c r="F195" s="27" t="n"/>
      <c r="G195" s="27" t="n"/>
      <c r="H195" s="27" t="n"/>
      <c r="I195" s="21">
        <f>IF(A195="","",SUMIF(tblAkis[SantiyeId],A195,tblAkis[Tutar]))</f>
        <v/>
      </c>
      <c r="J195" s="21">
        <f>IF(A195="","",E195+F195+G195+H195+I195)</f>
        <v/>
      </c>
      <c r="K195" s="21">
        <f>IF(A195="","",J195-D195)</f>
        <v/>
      </c>
      <c r="L195" s="33">
        <f>IF(A195="","",IFERROR(K195/MAX(D195,1),0))</f>
        <v/>
      </c>
      <c r="M195" s="7">
        <f>IF(A195="","",IF(J195&gt;D195*ihs_asimCarpan,"AŞIM","UYGUN"))</f>
        <v/>
      </c>
    </row>
    <row r="196">
      <c r="A196" s="26" t="n"/>
      <c r="B196" s="26" t="n"/>
      <c r="C196" s="26" t="n"/>
      <c r="D196" s="27" t="n"/>
      <c r="E196" s="27" t="n"/>
      <c r="F196" s="27" t="n"/>
      <c r="G196" s="27" t="n"/>
      <c r="H196" s="27" t="n"/>
      <c r="I196" s="21">
        <f>IF(A196="","",SUMIF(tblAkis[SantiyeId],A196,tblAkis[Tutar]))</f>
        <v/>
      </c>
      <c r="J196" s="21">
        <f>IF(A196="","",E196+F196+G196+H196+I196)</f>
        <v/>
      </c>
      <c r="K196" s="21">
        <f>IF(A196="","",J196-D196)</f>
        <v/>
      </c>
      <c r="L196" s="33">
        <f>IF(A196="","",IFERROR(K196/MAX(D196,1),0))</f>
        <v/>
      </c>
      <c r="M196" s="7">
        <f>IF(A196="","",IF(J196&gt;D196*ihs_asimCarpan,"AŞIM","UYGUN"))</f>
        <v/>
      </c>
    </row>
    <row r="197">
      <c r="A197" s="26" t="n"/>
      <c r="B197" s="26" t="n"/>
      <c r="C197" s="26" t="n"/>
      <c r="D197" s="27" t="n"/>
      <c r="E197" s="27" t="n"/>
      <c r="F197" s="27" t="n"/>
      <c r="G197" s="27" t="n"/>
      <c r="H197" s="27" t="n"/>
      <c r="I197" s="21">
        <f>IF(A197="","",SUMIF(tblAkis[SantiyeId],A197,tblAkis[Tutar]))</f>
        <v/>
      </c>
      <c r="J197" s="21">
        <f>IF(A197="","",E197+F197+G197+H197+I197)</f>
        <v/>
      </c>
      <c r="K197" s="21">
        <f>IF(A197="","",J197-D197)</f>
        <v/>
      </c>
      <c r="L197" s="33">
        <f>IF(A197="","",IFERROR(K197/MAX(D197,1),0))</f>
        <v/>
      </c>
      <c r="M197" s="7">
        <f>IF(A197="","",IF(J197&gt;D197*ihs_asimCarpan,"AŞIM","UYGUN"))</f>
        <v/>
      </c>
    </row>
    <row r="198">
      <c r="A198" s="26" t="n"/>
      <c r="B198" s="26" t="n"/>
      <c r="C198" s="26" t="n"/>
      <c r="D198" s="27" t="n"/>
      <c r="E198" s="27" t="n"/>
      <c r="F198" s="27" t="n"/>
      <c r="G198" s="27" t="n"/>
      <c r="H198" s="27" t="n"/>
      <c r="I198" s="21">
        <f>IF(A198="","",SUMIF(tblAkis[SantiyeId],A198,tblAkis[Tutar]))</f>
        <v/>
      </c>
      <c r="J198" s="21">
        <f>IF(A198="","",E198+F198+G198+H198+I198)</f>
        <v/>
      </c>
      <c r="K198" s="21">
        <f>IF(A198="","",J198-D198)</f>
        <v/>
      </c>
      <c r="L198" s="33">
        <f>IF(A198="","",IFERROR(K198/MAX(D198,1),0))</f>
        <v/>
      </c>
      <c r="M198" s="7">
        <f>IF(A198="","",IF(J198&gt;D198*ihs_asimCarpan,"AŞIM","UYGUN"))</f>
        <v/>
      </c>
    </row>
    <row r="199">
      <c r="A199" s="26" t="n"/>
      <c r="B199" s="26" t="n"/>
      <c r="C199" s="26" t="n"/>
      <c r="D199" s="27" t="n"/>
      <c r="E199" s="27" t="n"/>
      <c r="F199" s="27" t="n"/>
      <c r="G199" s="27" t="n"/>
      <c r="H199" s="27" t="n"/>
      <c r="I199" s="21">
        <f>IF(A199="","",SUMIF(tblAkis[SantiyeId],A199,tblAkis[Tutar]))</f>
        <v/>
      </c>
      <c r="J199" s="21">
        <f>IF(A199="","",E199+F199+G199+H199+I199)</f>
        <v/>
      </c>
      <c r="K199" s="21">
        <f>IF(A199="","",J199-D199)</f>
        <v/>
      </c>
      <c r="L199" s="33">
        <f>IF(A199="","",IFERROR(K199/MAX(D199,1),0))</f>
        <v/>
      </c>
      <c r="M199" s="7">
        <f>IF(A199="","",IF(J199&gt;D199*ihs_asimCarpan,"AŞIM","UYGUN"))</f>
        <v/>
      </c>
    </row>
    <row r="200">
      <c r="A200" s="26" t="n"/>
      <c r="B200" s="26" t="n"/>
      <c r="C200" s="26" t="n"/>
      <c r="D200" s="27" t="n"/>
      <c r="E200" s="27" t="n"/>
      <c r="F200" s="27" t="n"/>
      <c r="G200" s="27" t="n"/>
      <c r="H200" s="27" t="n"/>
      <c r="I200" s="21">
        <f>IF(A200="","",SUMIF(tblAkis[SantiyeId],A200,tblAkis[Tutar]))</f>
        <v/>
      </c>
      <c r="J200" s="21">
        <f>IF(A200="","",E200+F200+G200+H200+I200)</f>
        <v/>
      </c>
      <c r="K200" s="21">
        <f>IF(A200="","",J200-D200)</f>
        <v/>
      </c>
      <c r="L200" s="33">
        <f>IF(A200="","",IFERROR(K200/MAX(D200,1),0))</f>
        <v/>
      </c>
      <c r="M200" s="7">
        <f>IF(A200="","",IF(J200&gt;D200*ihs_asimCarpan,"AŞIM","UYGUN"))</f>
        <v/>
      </c>
    </row>
    <row r="201">
      <c r="A201" s="26" t="n"/>
      <c r="B201" s="26" t="n"/>
      <c r="C201" s="26" t="n"/>
      <c r="D201" s="27" t="n"/>
      <c r="E201" s="27" t="n"/>
      <c r="F201" s="27" t="n"/>
      <c r="G201" s="27" t="n"/>
      <c r="H201" s="27" t="n"/>
      <c r="I201" s="21">
        <f>IF(A201="","",SUMIF(tblAkis[SantiyeId],A201,tblAkis[Tutar]))</f>
        <v/>
      </c>
      <c r="J201" s="21">
        <f>IF(A201="","",E201+F201+G201+H201+I201)</f>
        <v/>
      </c>
      <c r="K201" s="21">
        <f>IF(A201="","",J201-D201)</f>
        <v/>
      </c>
      <c r="L201" s="33">
        <f>IF(A201="","",IFERROR(K201/MAX(D201,1),0))</f>
        <v/>
      </c>
      <c r="M201" s="7">
        <f>IF(A201="","",IF(J201&gt;D201*ihs_asimCarpan,"AŞIM","UYGUN"))</f>
        <v/>
      </c>
    </row>
    <row r="202">
      <c r="A202" s="26" t="n"/>
      <c r="B202" s="26" t="n"/>
      <c r="C202" s="26" t="n"/>
      <c r="D202" s="27" t="n"/>
      <c r="E202" s="27" t="n"/>
      <c r="F202" s="27" t="n"/>
      <c r="G202" s="27" t="n"/>
      <c r="H202" s="27" t="n"/>
      <c r="I202" s="21">
        <f>IF(A202="","",SUMIF(tblAkis[SantiyeId],A202,tblAkis[Tutar]))</f>
        <v/>
      </c>
      <c r="J202" s="21">
        <f>IF(A202="","",E202+F202+G202+H202+I202)</f>
        <v/>
      </c>
      <c r="K202" s="21">
        <f>IF(A202="","",J202-D202)</f>
        <v/>
      </c>
      <c r="L202" s="33">
        <f>IF(A202="","",IFERROR(K202/MAX(D202,1),0))</f>
        <v/>
      </c>
      <c r="M202" s="7">
        <f>IF(A202="","",IF(J202&gt;D202*ihs_asimCarpan,"AŞIM","UYGUN"))</f>
        <v/>
      </c>
    </row>
    <row r="203">
      <c r="A203" s="26" t="n"/>
      <c r="B203" s="26" t="n"/>
      <c r="C203" s="26" t="n"/>
      <c r="D203" s="27" t="n"/>
      <c r="E203" s="27" t="n"/>
      <c r="F203" s="27" t="n"/>
      <c r="G203" s="27" t="n"/>
      <c r="H203" s="27" t="n"/>
      <c r="I203" s="21">
        <f>IF(A203="","",SUMIF(tblAkis[SantiyeId],A203,tblAkis[Tutar]))</f>
        <v/>
      </c>
      <c r="J203" s="21">
        <f>IF(A203="","",E203+F203+G203+H203+I203)</f>
        <v/>
      </c>
      <c r="K203" s="21">
        <f>IF(A203="","",J203-D203)</f>
        <v/>
      </c>
      <c r="L203" s="33">
        <f>IF(A203="","",IFERROR(K203/MAX(D203,1),0))</f>
        <v/>
      </c>
      <c r="M203" s="7">
        <f>IF(A203="","",IF(J203&gt;D203*ihs_asimCarpan,"AŞIM","UYGUN"))</f>
        <v/>
      </c>
    </row>
    <row r="204">
      <c r="A204" s="26" t="n"/>
      <c r="B204" s="26" t="n"/>
      <c r="C204" s="26" t="n"/>
      <c r="D204" s="27" t="n"/>
      <c r="E204" s="27" t="n"/>
      <c r="F204" s="27" t="n"/>
      <c r="G204" s="27" t="n"/>
      <c r="H204" s="27" t="n"/>
      <c r="I204" s="21">
        <f>IF(A204="","",SUMIF(tblAkis[SantiyeId],A204,tblAkis[Tutar]))</f>
        <v/>
      </c>
      <c r="J204" s="21">
        <f>IF(A204="","",E204+F204+G204+H204+I204)</f>
        <v/>
      </c>
      <c r="K204" s="21">
        <f>IF(A204="","",J204-D204)</f>
        <v/>
      </c>
      <c r="L204" s="33">
        <f>IF(A204="","",IFERROR(K204/MAX(D204,1),0))</f>
        <v/>
      </c>
      <c r="M204" s="7">
        <f>IF(A204="","",IF(J204&gt;D204*ihs_asimCarpan,"AŞIM","UYGUN"))</f>
        <v/>
      </c>
    </row>
    <row r="205">
      <c r="A205" s="26" t="n"/>
      <c r="B205" s="26" t="n"/>
      <c r="C205" s="26" t="n"/>
      <c r="D205" s="27" t="n"/>
      <c r="E205" s="27" t="n"/>
      <c r="F205" s="27" t="n"/>
      <c r="G205" s="27" t="n"/>
      <c r="H205" s="27" t="n"/>
      <c r="I205" s="21">
        <f>IF(A205="","",SUMIF(tblAkis[SantiyeId],A205,tblAkis[Tutar]))</f>
        <v/>
      </c>
      <c r="J205" s="21">
        <f>IF(A205="","",E205+F205+G205+H205+I205)</f>
        <v/>
      </c>
      <c r="K205" s="21">
        <f>IF(A205="","",J205-D205)</f>
        <v/>
      </c>
      <c r="L205" s="33">
        <f>IF(A205="","",IFERROR(K205/MAX(D205,1),0))</f>
        <v/>
      </c>
      <c r="M205" s="7">
        <f>IF(A205="","",IF(J205&gt;D205*ihs_asimCarpan,"AŞIM","UYGUN"))</f>
        <v/>
      </c>
    </row>
    <row r="206">
      <c r="A206" s="26" t="n"/>
      <c r="B206" s="26" t="n"/>
      <c r="C206" s="26" t="n"/>
      <c r="D206" s="27" t="n"/>
      <c r="E206" s="27" t="n"/>
      <c r="F206" s="27" t="n"/>
      <c r="G206" s="27" t="n"/>
      <c r="H206" s="27" t="n"/>
      <c r="I206" s="21">
        <f>IF(A206="","",SUMIF(tblAkis[SantiyeId],A206,tblAkis[Tutar]))</f>
        <v/>
      </c>
      <c r="J206" s="21">
        <f>IF(A206="","",E206+F206+G206+H206+I206)</f>
        <v/>
      </c>
      <c r="K206" s="21">
        <f>IF(A206="","",J206-D206)</f>
        <v/>
      </c>
      <c r="L206" s="33">
        <f>IF(A206="","",IFERROR(K206/MAX(D206,1),0))</f>
        <v/>
      </c>
      <c r="M206" s="7">
        <f>IF(A206="","",IF(J206&gt;D206*ihs_asimCarpan,"AŞIM","UYGUN"))</f>
        <v/>
      </c>
    </row>
    <row r="207">
      <c r="A207" s="26" t="n"/>
      <c r="B207" s="26" t="n"/>
      <c r="C207" s="26" t="n"/>
      <c r="D207" s="27" t="n"/>
      <c r="E207" s="27" t="n"/>
      <c r="F207" s="27" t="n"/>
      <c r="G207" s="27" t="n"/>
      <c r="H207" s="27" t="n"/>
      <c r="I207" s="21">
        <f>IF(A207="","",SUMIF(tblAkis[SantiyeId],A207,tblAkis[Tutar]))</f>
        <v/>
      </c>
      <c r="J207" s="21">
        <f>IF(A207="","",E207+F207+G207+H207+I207)</f>
        <v/>
      </c>
      <c r="K207" s="21">
        <f>IF(A207="","",J207-D207)</f>
        <v/>
      </c>
      <c r="L207" s="33">
        <f>IF(A207="","",IFERROR(K207/MAX(D207,1),0))</f>
        <v/>
      </c>
      <c r="M207" s="7">
        <f>IF(A207="","",IF(J207&gt;D207*ihs_asimCarpan,"AŞIM","UYGUN"))</f>
        <v/>
      </c>
    </row>
    <row r="208">
      <c r="A208" s="26" t="n"/>
      <c r="B208" s="26" t="n"/>
      <c r="C208" s="26" t="n"/>
      <c r="D208" s="27" t="n"/>
      <c r="E208" s="27" t="n"/>
      <c r="F208" s="27" t="n"/>
      <c r="G208" s="27" t="n"/>
      <c r="H208" s="27" t="n"/>
      <c r="I208" s="21">
        <f>IF(A208="","",SUMIF(tblAkis[SantiyeId],A208,tblAkis[Tutar]))</f>
        <v/>
      </c>
      <c r="J208" s="21">
        <f>IF(A208="","",E208+F208+G208+H208+I208)</f>
        <v/>
      </c>
      <c r="K208" s="21">
        <f>IF(A208="","",J208-D208)</f>
        <v/>
      </c>
      <c r="L208" s="33">
        <f>IF(A208="","",IFERROR(K208/MAX(D208,1),0))</f>
        <v/>
      </c>
      <c r="M208" s="7">
        <f>IF(A208="","",IF(J208&gt;D208*ihs_asimCarpan,"AŞIM","UYGUN"))</f>
        <v/>
      </c>
    </row>
    <row r="209">
      <c r="A209" s="26" t="n"/>
      <c r="B209" s="26" t="n"/>
      <c r="C209" s="26" t="n"/>
      <c r="D209" s="27" t="n"/>
      <c r="E209" s="27" t="n"/>
      <c r="F209" s="27" t="n"/>
      <c r="G209" s="27" t="n"/>
      <c r="H209" s="27" t="n"/>
      <c r="I209" s="21">
        <f>IF(A209="","",SUMIF(tblAkis[SantiyeId],A209,tblAkis[Tutar]))</f>
        <v/>
      </c>
      <c r="J209" s="21">
        <f>IF(A209="","",E209+F209+G209+H209+I209)</f>
        <v/>
      </c>
      <c r="K209" s="21">
        <f>IF(A209="","",J209-D209)</f>
        <v/>
      </c>
      <c r="L209" s="33">
        <f>IF(A209="","",IFERROR(K209/MAX(D209,1),0))</f>
        <v/>
      </c>
      <c r="M209" s="7">
        <f>IF(A209="","",IF(J209&gt;D209*ihs_asimCarpan,"AŞIM","UYGUN"))</f>
        <v/>
      </c>
    </row>
    <row r="210">
      <c r="A210" s="26" t="n"/>
      <c r="B210" s="26" t="n"/>
      <c r="C210" s="26" t="n"/>
      <c r="D210" s="27" t="n"/>
      <c r="E210" s="27" t="n"/>
      <c r="F210" s="27" t="n"/>
      <c r="G210" s="27" t="n"/>
      <c r="H210" s="27" t="n"/>
      <c r="I210" s="21">
        <f>IF(A210="","",SUMIF(tblAkis[SantiyeId],A210,tblAkis[Tutar]))</f>
        <v/>
      </c>
      <c r="J210" s="21">
        <f>IF(A210="","",E210+F210+G210+H210+I210)</f>
        <v/>
      </c>
      <c r="K210" s="21">
        <f>IF(A210="","",J210-D210)</f>
        <v/>
      </c>
      <c r="L210" s="33">
        <f>IF(A210="","",IFERROR(K210/MAX(D210,1),0))</f>
        <v/>
      </c>
      <c r="M210" s="7">
        <f>IF(A210="","",IF(J210&gt;D210*ihs_asimCarpan,"AŞIM","UYGUN"))</f>
        <v/>
      </c>
    </row>
    <row r="211">
      <c r="A211" s="26" t="n"/>
      <c r="B211" s="26" t="n"/>
      <c r="C211" s="26" t="n"/>
      <c r="D211" s="27" t="n"/>
      <c r="E211" s="27" t="n"/>
      <c r="F211" s="27" t="n"/>
      <c r="G211" s="27" t="n"/>
      <c r="H211" s="27" t="n"/>
      <c r="I211" s="21">
        <f>IF(A211="","",SUMIF(tblAkis[SantiyeId],A211,tblAkis[Tutar]))</f>
        <v/>
      </c>
      <c r="J211" s="21">
        <f>IF(A211="","",E211+F211+G211+H211+I211)</f>
        <v/>
      </c>
      <c r="K211" s="21">
        <f>IF(A211="","",J211-D211)</f>
        <v/>
      </c>
      <c r="L211" s="33">
        <f>IF(A211="","",IFERROR(K211/MAX(D211,1),0))</f>
        <v/>
      </c>
      <c r="M211" s="7">
        <f>IF(A211="","",IF(J211&gt;D211*ihs_asimCarpan,"AŞIM","UYGUN"))</f>
        <v/>
      </c>
    </row>
    <row r="212">
      <c r="A212" s="26" t="n"/>
      <c r="B212" s="26" t="n"/>
      <c r="C212" s="26" t="n"/>
      <c r="D212" s="27" t="n"/>
      <c r="E212" s="27" t="n"/>
      <c r="F212" s="27" t="n"/>
      <c r="G212" s="27" t="n"/>
      <c r="H212" s="27" t="n"/>
      <c r="I212" s="21">
        <f>IF(A212="","",SUMIF(tblAkis[SantiyeId],A212,tblAkis[Tutar]))</f>
        <v/>
      </c>
      <c r="J212" s="21">
        <f>IF(A212="","",E212+F212+G212+H212+I212)</f>
        <v/>
      </c>
      <c r="K212" s="21">
        <f>IF(A212="","",J212-D212)</f>
        <v/>
      </c>
      <c r="L212" s="33">
        <f>IF(A212="","",IFERROR(K212/MAX(D212,1),0))</f>
        <v/>
      </c>
      <c r="M212" s="7">
        <f>IF(A212="","",IF(J212&gt;D212*ihs_asimCarpan,"AŞIM","UYGUN"))</f>
        <v/>
      </c>
    </row>
    <row r="213">
      <c r="A213" s="26" t="n"/>
      <c r="B213" s="26" t="n"/>
      <c r="C213" s="26" t="n"/>
      <c r="D213" s="27" t="n"/>
      <c r="E213" s="27" t="n"/>
      <c r="F213" s="27" t="n"/>
      <c r="G213" s="27" t="n"/>
      <c r="H213" s="27" t="n"/>
      <c r="I213" s="21">
        <f>IF(A213="","",SUMIF(tblAkis[SantiyeId],A213,tblAkis[Tutar]))</f>
        <v/>
      </c>
      <c r="J213" s="21">
        <f>IF(A213="","",E213+F213+G213+H213+I213)</f>
        <v/>
      </c>
      <c r="K213" s="21">
        <f>IF(A213="","",J213-D213)</f>
        <v/>
      </c>
      <c r="L213" s="33">
        <f>IF(A213="","",IFERROR(K213/MAX(D213,1),0))</f>
        <v/>
      </c>
      <c r="M213" s="7">
        <f>IF(A213="","",IF(J213&gt;D213*ihs_asimCarpan,"AŞIM","UYGUN"))</f>
        <v/>
      </c>
    </row>
    <row r="214">
      <c r="A214" s="26" t="n"/>
      <c r="B214" s="26" t="n"/>
      <c r="C214" s="26" t="n"/>
      <c r="D214" s="27" t="n"/>
      <c r="E214" s="27" t="n"/>
      <c r="F214" s="27" t="n"/>
      <c r="G214" s="27" t="n"/>
      <c r="H214" s="27" t="n"/>
      <c r="I214" s="21">
        <f>IF(A214="","",SUMIF(tblAkis[SantiyeId],A214,tblAkis[Tutar]))</f>
        <v/>
      </c>
      <c r="J214" s="21">
        <f>IF(A214="","",E214+F214+G214+H214+I214)</f>
        <v/>
      </c>
      <c r="K214" s="21">
        <f>IF(A214="","",J214-D214)</f>
        <v/>
      </c>
      <c r="L214" s="33">
        <f>IF(A214="","",IFERROR(K214/MAX(D214,1),0))</f>
        <v/>
      </c>
      <c r="M214" s="7">
        <f>IF(A214="","",IF(J214&gt;D214*ihs_asimCarpan,"AŞIM","UYGUN"))</f>
        <v/>
      </c>
    </row>
    <row r="215">
      <c r="A215" s="26" t="n"/>
      <c r="B215" s="26" t="n"/>
      <c r="C215" s="26" t="n"/>
      <c r="D215" s="27" t="n"/>
      <c r="E215" s="27" t="n"/>
      <c r="F215" s="27" t="n"/>
      <c r="G215" s="27" t="n"/>
      <c r="H215" s="27" t="n"/>
      <c r="I215" s="21">
        <f>IF(A215="","",SUMIF(tblAkis[SantiyeId],A215,tblAkis[Tutar]))</f>
        <v/>
      </c>
      <c r="J215" s="21">
        <f>IF(A215="","",E215+F215+G215+H215+I215)</f>
        <v/>
      </c>
      <c r="K215" s="21">
        <f>IF(A215="","",J215-D215)</f>
        <v/>
      </c>
      <c r="L215" s="33">
        <f>IF(A215="","",IFERROR(K215/MAX(D215,1),0))</f>
        <v/>
      </c>
      <c r="M215" s="7">
        <f>IF(A215="","",IF(J215&gt;D215*ihs_asimCarpan,"AŞIM","UYGUN"))</f>
        <v/>
      </c>
    </row>
    <row r="216">
      <c r="A216" s="26" t="n"/>
      <c r="B216" s="26" t="n"/>
      <c r="C216" s="26" t="n"/>
      <c r="D216" s="27" t="n"/>
      <c r="E216" s="27" t="n"/>
      <c r="F216" s="27" t="n"/>
      <c r="G216" s="27" t="n"/>
      <c r="H216" s="27" t="n"/>
      <c r="I216" s="21">
        <f>IF(A216="","",SUMIF(tblAkis[SantiyeId],A216,tblAkis[Tutar]))</f>
        <v/>
      </c>
      <c r="J216" s="21">
        <f>IF(A216="","",E216+F216+G216+H216+I216)</f>
        <v/>
      </c>
      <c r="K216" s="21">
        <f>IF(A216="","",J216-D216)</f>
        <v/>
      </c>
      <c r="L216" s="33">
        <f>IF(A216="","",IFERROR(K216/MAX(D216,1),0))</f>
        <v/>
      </c>
      <c r="M216" s="7">
        <f>IF(A216="","",IF(J216&gt;D216*ihs_asimCarpan,"AŞIM","UYGUN"))</f>
        <v/>
      </c>
    </row>
    <row r="217">
      <c r="A217" s="26" t="n"/>
      <c r="B217" s="26" t="n"/>
      <c r="C217" s="26" t="n"/>
      <c r="D217" s="27" t="n"/>
      <c r="E217" s="27" t="n"/>
      <c r="F217" s="27" t="n"/>
      <c r="G217" s="27" t="n"/>
      <c r="H217" s="27" t="n"/>
      <c r="I217" s="21">
        <f>IF(A217="","",SUMIF(tblAkis[SantiyeId],A217,tblAkis[Tutar]))</f>
        <v/>
      </c>
      <c r="J217" s="21">
        <f>IF(A217="","",E217+F217+G217+H217+I217)</f>
        <v/>
      </c>
      <c r="K217" s="21">
        <f>IF(A217="","",J217-D217)</f>
        <v/>
      </c>
      <c r="L217" s="33">
        <f>IF(A217="","",IFERROR(K217/MAX(D217,1),0))</f>
        <v/>
      </c>
      <c r="M217" s="7">
        <f>IF(A217="","",IF(J217&gt;D217*ihs_asimCarpan,"AŞIM","UYGUN"))</f>
        <v/>
      </c>
    </row>
    <row r="218">
      <c r="A218" s="26" t="n"/>
      <c r="B218" s="26" t="n"/>
      <c r="C218" s="26" t="n"/>
      <c r="D218" s="27" t="n"/>
      <c r="E218" s="27" t="n"/>
      <c r="F218" s="27" t="n"/>
      <c r="G218" s="27" t="n"/>
      <c r="H218" s="27" t="n"/>
      <c r="I218" s="21">
        <f>IF(A218="","",SUMIF(tblAkis[SantiyeId],A218,tblAkis[Tutar]))</f>
        <v/>
      </c>
      <c r="J218" s="21">
        <f>IF(A218="","",E218+F218+G218+H218+I218)</f>
        <v/>
      </c>
      <c r="K218" s="21">
        <f>IF(A218="","",J218-D218)</f>
        <v/>
      </c>
      <c r="L218" s="33">
        <f>IF(A218="","",IFERROR(K218/MAX(D218,1),0))</f>
        <v/>
      </c>
      <c r="M218" s="7">
        <f>IF(A218="","",IF(J218&gt;D218*ihs_asimCarpan,"AŞIM","UYGUN"))</f>
        <v/>
      </c>
    </row>
    <row r="219">
      <c r="A219" s="26" t="n"/>
      <c r="B219" s="26" t="n"/>
      <c r="C219" s="26" t="n"/>
      <c r="D219" s="27" t="n"/>
      <c r="E219" s="27" t="n"/>
      <c r="F219" s="27" t="n"/>
      <c r="G219" s="27" t="n"/>
      <c r="H219" s="27" t="n"/>
      <c r="I219" s="21">
        <f>IF(A219="","",SUMIF(tblAkis[SantiyeId],A219,tblAkis[Tutar]))</f>
        <v/>
      </c>
      <c r="J219" s="21">
        <f>IF(A219="","",E219+F219+G219+H219+I219)</f>
        <v/>
      </c>
      <c r="K219" s="21">
        <f>IF(A219="","",J219-D219)</f>
        <v/>
      </c>
      <c r="L219" s="33">
        <f>IF(A219="","",IFERROR(K219/MAX(D219,1),0))</f>
        <v/>
      </c>
      <c r="M219" s="7">
        <f>IF(A219="","",IF(J219&gt;D219*ihs_asimCarpan,"AŞIM","UYGUN"))</f>
        <v/>
      </c>
    </row>
    <row r="220">
      <c r="A220" s="26" t="n"/>
      <c r="B220" s="26" t="n"/>
      <c r="C220" s="26" t="n"/>
      <c r="D220" s="27" t="n"/>
      <c r="E220" s="27" t="n"/>
      <c r="F220" s="27" t="n"/>
      <c r="G220" s="27" t="n"/>
      <c r="H220" s="27" t="n"/>
      <c r="I220" s="21">
        <f>IF(A220="","",SUMIF(tblAkis[SantiyeId],A220,tblAkis[Tutar]))</f>
        <v/>
      </c>
      <c r="J220" s="21">
        <f>IF(A220="","",E220+F220+G220+H220+I220)</f>
        <v/>
      </c>
      <c r="K220" s="21">
        <f>IF(A220="","",J220-D220)</f>
        <v/>
      </c>
      <c r="L220" s="33">
        <f>IF(A220="","",IFERROR(K220/MAX(D220,1),0))</f>
        <v/>
      </c>
      <c r="M220" s="7">
        <f>IF(A220="","",IF(J220&gt;D220*ihs_asimCarpan,"AŞIM","UYGUN"))</f>
        <v/>
      </c>
    </row>
    <row r="221">
      <c r="A221" s="26" t="n"/>
      <c r="B221" s="26" t="n"/>
      <c r="C221" s="26" t="n"/>
      <c r="D221" s="27" t="n"/>
      <c r="E221" s="27" t="n"/>
      <c r="F221" s="27" t="n"/>
      <c r="G221" s="27" t="n"/>
      <c r="H221" s="27" t="n"/>
      <c r="I221" s="21">
        <f>IF(A221="","",SUMIF(tblAkis[SantiyeId],A221,tblAkis[Tutar]))</f>
        <v/>
      </c>
      <c r="J221" s="21">
        <f>IF(A221="","",E221+F221+G221+H221+I221)</f>
        <v/>
      </c>
      <c r="K221" s="21">
        <f>IF(A221="","",J221-D221)</f>
        <v/>
      </c>
      <c r="L221" s="33">
        <f>IF(A221="","",IFERROR(K221/MAX(D221,1),0))</f>
        <v/>
      </c>
      <c r="M221" s="7">
        <f>IF(A221="","",IF(J221&gt;D221*ihs_asimCarpan,"AŞIM","UYGUN"))</f>
        <v/>
      </c>
    </row>
    <row r="222">
      <c r="A222" s="26" t="n"/>
      <c r="B222" s="26" t="n"/>
      <c r="C222" s="26" t="n"/>
      <c r="D222" s="27" t="n"/>
      <c r="E222" s="27" t="n"/>
      <c r="F222" s="27" t="n"/>
      <c r="G222" s="27" t="n"/>
      <c r="H222" s="27" t="n"/>
      <c r="I222" s="21">
        <f>IF(A222="","",SUMIF(tblAkis[SantiyeId],A222,tblAkis[Tutar]))</f>
        <v/>
      </c>
      <c r="J222" s="21">
        <f>IF(A222="","",E222+F222+G222+H222+I222)</f>
        <v/>
      </c>
      <c r="K222" s="21">
        <f>IF(A222="","",J222-D222)</f>
        <v/>
      </c>
      <c r="L222" s="33">
        <f>IF(A222="","",IFERROR(K222/MAX(D222,1),0))</f>
        <v/>
      </c>
      <c r="M222" s="7">
        <f>IF(A222="","",IF(J222&gt;D222*ihs_asimCarpan,"AŞIM","UYGUN"))</f>
        <v/>
      </c>
    </row>
    <row r="223">
      <c r="A223" s="26" t="n"/>
      <c r="B223" s="26" t="n"/>
      <c r="C223" s="26" t="n"/>
      <c r="D223" s="27" t="n"/>
      <c r="E223" s="27" t="n"/>
      <c r="F223" s="27" t="n"/>
      <c r="G223" s="27" t="n"/>
      <c r="H223" s="27" t="n"/>
      <c r="I223" s="21">
        <f>IF(A223="","",SUMIF(tblAkis[SantiyeId],A223,tblAkis[Tutar]))</f>
        <v/>
      </c>
      <c r="J223" s="21">
        <f>IF(A223="","",E223+F223+G223+H223+I223)</f>
        <v/>
      </c>
      <c r="K223" s="21">
        <f>IF(A223="","",J223-D223)</f>
        <v/>
      </c>
      <c r="L223" s="33">
        <f>IF(A223="","",IFERROR(K223/MAX(D223,1),0))</f>
        <v/>
      </c>
      <c r="M223" s="7">
        <f>IF(A223="","",IF(J223&gt;D223*ihs_asimCarpan,"AŞIM","UYGUN"))</f>
        <v/>
      </c>
    </row>
    <row r="224">
      <c r="A224" s="26" t="n"/>
      <c r="B224" s="26" t="n"/>
      <c r="C224" s="26" t="n"/>
      <c r="D224" s="27" t="n"/>
      <c r="E224" s="27" t="n"/>
      <c r="F224" s="27" t="n"/>
      <c r="G224" s="27" t="n"/>
      <c r="H224" s="27" t="n"/>
      <c r="I224" s="21">
        <f>IF(A224="","",SUMIF(tblAkis[SantiyeId],A224,tblAkis[Tutar]))</f>
        <v/>
      </c>
      <c r="J224" s="21">
        <f>IF(A224="","",E224+F224+G224+H224+I224)</f>
        <v/>
      </c>
      <c r="K224" s="21">
        <f>IF(A224="","",J224-D224)</f>
        <v/>
      </c>
      <c r="L224" s="33">
        <f>IF(A224="","",IFERROR(K224/MAX(D224,1),0))</f>
        <v/>
      </c>
      <c r="M224" s="7">
        <f>IF(A224="","",IF(J224&gt;D224*ihs_asimCarpan,"AŞIM","UYGUN"))</f>
        <v/>
      </c>
    </row>
    <row r="225">
      <c r="A225" s="26" t="n"/>
      <c r="B225" s="26" t="n"/>
      <c r="C225" s="26" t="n"/>
      <c r="D225" s="27" t="n"/>
      <c r="E225" s="27" t="n"/>
      <c r="F225" s="27" t="n"/>
      <c r="G225" s="27" t="n"/>
      <c r="H225" s="27" t="n"/>
      <c r="I225" s="21">
        <f>IF(A225="","",SUMIF(tblAkis[SantiyeId],A225,tblAkis[Tutar]))</f>
        <v/>
      </c>
      <c r="J225" s="21">
        <f>IF(A225="","",E225+F225+G225+H225+I225)</f>
        <v/>
      </c>
      <c r="K225" s="21">
        <f>IF(A225="","",J225-D225)</f>
        <v/>
      </c>
      <c r="L225" s="33">
        <f>IF(A225="","",IFERROR(K225/MAX(D225,1),0))</f>
        <v/>
      </c>
      <c r="M225" s="7">
        <f>IF(A225="","",IF(J225&gt;D225*ihs_asimCarpan,"AŞIM","UYGUN"))</f>
        <v/>
      </c>
    </row>
    <row r="226">
      <c r="A226" s="26" t="n"/>
      <c r="B226" s="26" t="n"/>
      <c r="C226" s="26" t="n"/>
      <c r="D226" s="27" t="n"/>
      <c r="E226" s="27" t="n"/>
      <c r="F226" s="27" t="n"/>
      <c r="G226" s="27" t="n"/>
      <c r="H226" s="27" t="n"/>
      <c r="I226" s="21">
        <f>IF(A226="","",SUMIF(tblAkis[SantiyeId],A226,tblAkis[Tutar]))</f>
        <v/>
      </c>
      <c r="J226" s="21">
        <f>IF(A226="","",E226+F226+G226+H226+I226)</f>
        <v/>
      </c>
      <c r="K226" s="21">
        <f>IF(A226="","",J226-D226)</f>
        <v/>
      </c>
      <c r="L226" s="33">
        <f>IF(A226="","",IFERROR(K226/MAX(D226,1),0))</f>
        <v/>
      </c>
      <c r="M226" s="7">
        <f>IF(A226="","",IF(J226&gt;D226*ihs_asimCarpan,"AŞIM","UYGUN"))</f>
        <v/>
      </c>
    </row>
    <row r="227">
      <c r="A227" s="26" t="n"/>
      <c r="B227" s="26" t="n"/>
      <c r="C227" s="26" t="n"/>
      <c r="D227" s="27" t="n"/>
      <c r="E227" s="27" t="n"/>
      <c r="F227" s="27" t="n"/>
      <c r="G227" s="27" t="n"/>
      <c r="H227" s="27" t="n"/>
      <c r="I227" s="21">
        <f>IF(A227="","",SUMIF(tblAkis[SantiyeId],A227,tblAkis[Tutar]))</f>
        <v/>
      </c>
      <c r="J227" s="21">
        <f>IF(A227="","",E227+F227+G227+H227+I227)</f>
        <v/>
      </c>
      <c r="K227" s="21">
        <f>IF(A227="","",J227-D227)</f>
        <v/>
      </c>
      <c r="L227" s="33">
        <f>IF(A227="","",IFERROR(K227/MAX(D227,1),0))</f>
        <v/>
      </c>
      <c r="M227" s="7">
        <f>IF(A227="","",IF(J227&gt;D227*ihs_asimCarpan,"AŞIM","UYGUN"))</f>
        <v/>
      </c>
    </row>
    <row r="228">
      <c r="A228" s="26" t="n"/>
      <c r="B228" s="26" t="n"/>
      <c r="C228" s="26" t="n"/>
      <c r="D228" s="27" t="n"/>
      <c r="E228" s="27" t="n"/>
      <c r="F228" s="27" t="n"/>
      <c r="G228" s="27" t="n"/>
      <c r="H228" s="27" t="n"/>
      <c r="I228" s="21">
        <f>IF(A228="","",SUMIF(tblAkis[SantiyeId],A228,tblAkis[Tutar]))</f>
        <v/>
      </c>
      <c r="J228" s="21">
        <f>IF(A228="","",E228+F228+G228+H228+I228)</f>
        <v/>
      </c>
      <c r="K228" s="21">
        <f>IF(A228="","",J228-D228)</f>
        <v/>
      </c>
      <c r="L228" s="33">
        <f>IF(A228="","",IFERROR(K228/MAX(D228,1),0))</f>
        <v/>
      </c>
      <c r="M228" s="7">
        <f>IF(A228="","",IF(J228&gt;D228*ihs_asimCarpan,"AŞIM","UYGUN"))</f>
        <v/>
      </c>
    </row>
    <row r="229">
      <c r="A229" s="26" t="n"/>
      <c r="B229" s="26" t="n"/>
      <c r="C229" s="26" t="n"/>
      <c r="D229" s="27" t="n"/>
      <c r="E229" s="27" t="n"/>
      <c r="F229" s="27" t="n"/>
      <c r="G229" s="27" t="n"/>
      <c r="H229" s="27" t="n"/>
      <c r="I229" s="21">
        <f>IF(A229="","",SUMIF(tblAkis[SantiyeId],A229,tblAkis[Tutar]))</f>
        <v/>
      </c>
      <c r="J229" s="21">
        <f>IF(A229="","",E229+F229+G229+H229+I229)</f>
        <v/>
      </c>
      <c r="K229" s="21">
        <f>IF(A229="","",J229-D229)</f>
        <v/>
      </c>
      <c r="L229" s="33">
        <f>IF(A229="","",IFERROR(K229/MAX(D229,1),0))</f>
        <v/>
      </c>
      <c r="M229" s="7">
        <f>IF(A229="","",IF(J229&gt;D229*ihs_asimCarpan,"AŞIM","UYGUN"))</f>
        <v/>
      </c>
    </row>
    <row r="230">
      <c r="A230" s="26" t="n"/>
      <c r="B230" s="26" t="n"/>
      <c r="C230" s="26" t="n"/>
      <c r="D230" s="27" t="n"/>
      <c r="E230" s="27" t="n"/>
      <c r="F230" s="27" t="n"/>
      <c r="G230" s="27" t="n"/>
      <c r="H230" s="27" t="n"/>
      <c r="I230" s="21">
        <f>IF(A230="","",SUMIF(tblAkis[SantiyeId],A230,tblAkis[Tutar]))</f>
        <v/>
      </c>
      <c r="J230" s="21">
        <f>IF(A230="","",E230+F230+G230+H230+I230)</f>
        <v/>
      </c>
      <c r="K230" s="21">
        <f>IF(A230="","",J230-D230)</f>
        <v/>
      </c>
      <c r="L230" s="33">
        <f>IF(A230="","",IFERROR(K230/MAX(D230,1),0))</f>
        <v/>
      </c>
      <c r="M230" s="7">
        <f>IF(A230="","",IF(J230&gt;D230*ihs_asimCarpan,"AŞIM","UYGUN"))</f>
        <v/>
      </c>
    </row>
    <row r="231">
      <c r="A231" s="26" t="n"/>
      <c r="B231" s="26" t="n"/>
      <c r="C231" s="26" t="n"/>
      <c r="D231" s="27" t="n"/>
      <c r="E231" s="27" t="n"/>
      <c r="F231" s="27" t="n"/>
      <c r="G231" s="27" t="n"/>
      <c r="H231" s="27" t="n"/>
      <c r="I231" s="21">
        <f>IF(A231="","",SUMIF(tblAkis[SantiyeId],A231,tblAkis[Tutar]))</f>
        <v/>
      </c>
      <c r="J231" s="21">
        <f>IF(A231="","",E231+F231+G231+H231+I231)</f>
        <v/>
      </c>
      <c r="K231" s="21">
        <f>IF(A231="","",J231-D231)</f>
        <v/>
      </c>
      <c r="L231" s="33">
        <f>IF(A231="","",IFERROR(K231/MAX(D231,1),0))</f>
        <v/>
      </c>
      <c r="M231" s="7">
        <f>IF(A231="","",IF(J231&gt;D231*ihs_asimCarpan,"AŞIM","UYGUN"))</f>
        <v/>
      </c>
    </row>
    <row r="232">
      <c r="A232" s="26" t="n"/>
      <c r="B232" s="26" t="n"/>
      <c r="C232" s="26" t="n"/>
      <c r="D232" s="27" t="n"/>
      <c r="E232" s="27" t="n"/>
      <c r="F232" s="27" t="n"/>
      <c r="G232" s="27" t="n"/>
      <c r="H232" s="27" t="n"/>
      <c r="I232" s="21">
        <f>IF(A232="","",SUMIF(tblAkis[SantiyeId],A232,tblAkis[Tutar]))</f>
        <v/>
      </c>
      <c r="J232" s="21">
        <f>IF(A232="","",E232+F232+G232+H232+I232)</f>
        <v/>
      </c>
      <c r="K232" s="21">
        <f>IF(A232="","",J232-D232)</f>
        <v/>
      </c>
      <c r="L232" s="33">
        <f>IF(A232="","",IFERROR(K232/MAX(D232,1),0))</f>
        <v/>
      </c>
      <c r="M232" s="7">
        <f>IF(A232="","",IF(J232&gt;D232*ihs_asimCarpan,"AŞIM","UYGUN"))</f>
        <v/>
      </c>
    </row>
    <row r="233">
      <c r="A233" s="26" t="n"/>
      <c r="B233" s="26" t="n"/>
      <c r="C233" s="26" t="n"/>
      <c r="D233" s="27" t="n"/>
      <c r="E233" s="27" t="n"/>
      <c r="F233" s="27" t="n"/>
      <c r="G233" s="27" t="n"/>
      <c r="H233" s="27" t="n"/>
      <c r="I233" s="21">
        <f>IF(A233="","",SUMIF(tblAkis[SantiyeId],A233,tblAkis[Tutar]))</f>
        <v/>
      </c>
      <c r="J233" s="21">
        <f>IF(A233="","",E233+F233+G233+H233+I233)</f>
        <v/>
      </c>
      <c r="K233" s="21">
        <f>IF(A233="","",J233-D233)</f>
        <v/>
      </c>
      <c r="L233" s="33">
        <f>IF(A233="","",IFERROR(K233/MAX(D233,1),0))</f>
        <v/>
      </c>
      <c r="M233" s="7">
        <f>IF(A233="","",IF(J233&gt;D233*ihs_asimCarpan,"AŞIM","UYGUN"))</f>
        <v/>
      </c>
    </row>
    <row r="234">
      <c r="A234" s="26" t="n"/>
      <c r="B234" s="26" t="n"/>
      <c r="C234" s="26" t="n"/>
      <c r="D234" s="27" t="n"/>
      <c r="E234" s="27" t="n"/>
      <c r="F234" s="27" t="n"/>
      <c r="G234" s="27" t="n"/>
      <c r="H234" s="27" t="n"/>
      <c r="I234" s="21">
        <f>IF(A234="","",SUMIF(tblAkis[SantiyeId],A234,tblAkis[Tutar]))</f>
        <v/>
      </c>
      <c r="J234" s="21">
        <f>IF(A234="","",E234+F234+G234+H234+I234)</f>
        <v/>
      </c>
      <c r="K234" s="21">
        <f>IF(A234="","",J234-D234)</f>
        <v/>
      </c>
      <c r="L234" s="33">
        <f>IF(A234="","",IFERROR(K234/MAX(D234,1),0))</f>
        <v/>
      </c>
      <c r="M234" s="7">
        <f>IF(A234="","",IF(J234&gt;D234*ihs_asimCarpan,"AŞIM","UYGUN"))</f>
        <v/>
      </c>
    </row>
    <row r="235">
      <c r="A235" s="26" t="n"/>
      <c r="B235" s="26" t="n"/>
      <c r="C235" s="26" t="n"/>
      <c r="D235" s="27" t="n"/>
      <c r="E235" s="27" t="n"/>
      <c r="F235" s="27" t="n"/>
      <c r="G235" s="27" t="n"/>
      <c r="H235" s="27" t="n"/>
      <c r="I235" s="21">
        <f>IF(A235="","",SUMIF(tblAkis[SantiyeId],A235,tblAkis[Tutar]))</f>
        <v/>
      </c>
      <c r="J235" s="21">
        <f>IF(A235="","",E235+F235+G235+H235+I235)</f>
        <v/>
      </c>
      <c r="K235" s="21">
        <f>IF(A235="","",J235-D235)</f>
        <v/>
      </c>
      <c r="L235" s="33">
        <f>IF(A235="","",IFERROR(K235/MAX(D235,1),0))</f>
        <v/>
      </c>
      <c r="M235" s="7">
        <f>IF(A235="","",IF(J235&gt;D235*ihs_asimCarpan,"AŞIM","UYGUN"))</f>
        <v/>
      </c>
    </row>
    <row r="236">
      <c r="A236" s="26" t="n"/>
      <c r="B236" s="26" t="n"/>
      <c r="C236" s="26" t="n"/>
      <c r="D236" s="27" t="n"/>
      <c r="E236" s="27" t="n"/>
      <c r="F236" s="27" t="n"/>
      <c r="G236" s="27" t="n"/>
      <c r="H236" s="27" t="n"/>
      <c r="I236" s="21">
        <f>IF(A236="","",SUMIF(tblAkis[SantiyeId],A236,tblAkis[Tutar]))</f>
        <v/>
      </c>
      <c r="J236" s="21">
        <f>IF(A236="","",E236+F236+G236+H236+I236)</f>
        <v/>
      </c>
      <c r="K236" s="21">
        <f>IF(A236="","",J236-D236)</f>
        <v/>
      </c>
      <c r="L236" s="33">
        <f>IF(A236="","",IFERROR(K236/MAX(D236,1),0))</f>
        <v/>
      </c>
      <c r="M236" s="7">
        <f>IF(A236="","",IF(J236&gt;D236*ihs_asimCarpan,"AŞIM","UYGUN"))</f>
        <v/>
      </c>
    </row>
    <row r="237">
      <c r="A237" s="26" t="n"/>
      <c r="B237" s="26" t="n"/>
      <c r="C237" s="26" t="n"/>
      <c r="D237" s="27" t="n"/>
      <c r="E237" s="27" t="n"/>
      <c r="F237" s="27" t="n"/>
      <c r="G237" s="27" t="n"/>
      <c r="H237" s="27" t="n"/>
      <c r="I237" s="21">
        <f>IF(A237="","",SUMIF(tblAkis[SantiyeId],A237,tblAkis[Tutar]))</f>
        <v/>
      </c>
      <c r="J237" s="21">
        <f>IF(A237="","",E237+F237+G237+H237+I237)</f>
        <v/>
      </c>
      <c r="K237" s="21">
        <f>IF(A237="","",J237-D237)</f>
        <v/>
      </c>
      <c r="L237" s="33">
        <f>IF(A237="","",IFERROR(K237/MAX(D237,1),0))</f>
        <v/>
      </c>
      <c r="M237" s="7">
        <f>IF(A237="","",IF(J237&gt;D237*ihs_asimCarpan,"AŞIM","UYGUN"))</f>
        <v/>
      </c>
    </row>
    <row r="238">
      <c r="A238" s="26" t="n"/>
      <c r="B238" s="26" t="n"/>
      <c r="C238" s="26" t="n"/>
      <c r="D238" s="27" t="n"/>
      <c r="E238" s="27" t="n"/>
      <c r="F238" s="27" t="n"/>
      <c r="G238" s="27" t="n"/>
      <c r="H238" s="27" t="n"/>
      <c r="I238" s="21">
        <f>IF(A238="","",SUMIF(tblAkis[SantiyeId],A238,tblAkis[Tutar]))</f>
        <v/>
      </c>
      <c r="J238" s="21">
        <f>IF(A238="","",E238+F238+G238+H238+I238)</f>
        <v/>
      </c>
      <c r="K238" s="21">
        <f>IF(A238="","",J238-D238)</f>
        <v/>
      </c>
      <c r="L238" s="33">
        <f>IF(A238="","",IFERROR(K238/MAX(D238,1),0))</f>
        <v/>
      </c>
      <c r="M238" s="7">
        <f>IF(A238="","",IF(J238&gt;D238*ihs_asimCarpan,"AŞIM","UYGUN"))</f>
        <v/>
      </c>
    </row>
    <row r="239">
      <c r="A239" s="26" t="n"/>
      <c r="B239" s="26" t="n"/>
      <c r="C239" s="26" t="n"/>
      <c r="D239" s="27" t="n"/>
      <c r="E239" s="27" t="n"/>
      <c r="F239" s="27" t="n"/>
      <c r="G239" s="27" t="n"/>
      <c r="H239" s="27" t="n"/>
      <c r="I239" s="21">
        <f>IF(A239="","",SUMIF(tblAkis[SantiyeId],A239,tblAkis[Tutar]))</f>
        <v/>
      </c>
      <c r="J239" s="21">
        <f>IF(A239="","",E239+F239+G239+H239+I239)</f>
        <v/>
      </c>
      <c r="K239" s="21">
        <f>IF(A239="","",J239-D239)</f>
        <v/>
      </c>
      <c r="L239" s="33">
        <f>IF(A239="","",IFERROR(K239/MAX(D239,1),0))</f>
        <v/>
      </c>
      <c r="M239" s="7">
        <f>IF(A239="","",IF(J239&gt;D239*ihs_asimCarpan,"AŞIM","UYGUN"))</f>
        <v/>
      </c>
    </row>
    <row r="240">
      <c r="A240" s="26" t="n"/>
      <c r="B240" s="26" t="n"/>
      <c r="C240" s="26" t="n"/>
      <c r="D240" s="27" t="n"/>
      <c r="E240" s="27" t="n"/>
      <c r="F240" s="27" t="n"/>
      <c r="G240" s="27" t="n"/>
      <c r="H240" s="27" t="n"/>
      <c r="I240" s="21">
        <f>IF(A240="","",SUMIF(tblAkis[SantiyeId],A240,tblAkis[Tutar]))</f>
        <v/>
      </c>
      <c r="J240" s="21">
        <f>IF(A240="","",E240+F240+G240+H240+I240)</f>
        <v/>
      </c>
      <c r="K240" s="21">
        <f>IF(A240="","",J240-D240)</f>
        <v/>
      </c>
      <c r="L240" s="33">
        <f>IF(A240="","",IFERROR(K240/MAX(D240,1),0))</f>
        <v/>
      </c>
      <c r="M240" s="7">
        <f>IF(A240="","",IF(J240&gt;D240*ihs_asimCarpan,"AŞIM","UYGUN"))</f>
        <v/>
      </c>
    </row>
    <row r="241">
      <c r="A241" s="26" t="n"/>
      <c r="B241" s="26" t="n"/>
      <c r="C241" s="26" t="n"/>
      <c r="D241" s="27" t="n"/>
      <c r="E241" s="27" t="n"/>
      <c r="F241" s="27" t="n"/>
      <c r="G241" s="27" t="n"/>
      <c r="H241" s="27" t="n"/>
      <c r="I241" s="21">
        <f>IF(A241="","",SUMIF(tblAkis[SantiyeId],A241,tblAkis[Tutar]))</f>
        <v/>
      </c>
      <c r="J241" s="21">
        <f>IF(A241="","",E241+F241+G241+H241+I241)</f>
        <v/>
      </c>
      <c r="K241" s="21">
        <f>IF(A241="","",J241-D241)</f>
        <v/>
      </c>
      <c r="L241" s="33">
        <f>IF(A241="","",IFERROR(K241/MAX(D241,1),0))</f>
        <v/>
      </c>
      <c r="M241" s="7">
        <f>IF(A241="","",IF(J241&gt;D241*ihs_asimCarpan,"AŞIM","UYGUN"))</f>
        <v/>
      </c>
    </row>
    <row r="242">
      <c r="A242" s="26" t="n"/>
      <c r="B242" s="26" t="n"/>
      <c r="C242" s="26" t="n"/>
      <c r="D242" s="27" t="n"/>
      <c r="E242" s="27" t="n"/>
      <c r="F242" s="27" t="n"/>
      <c r="G242" s="27" t="n"/>
      <c r="H242" s="27" t="n"/>
      <c r="I242" s="21">
        <f>IF(A242="","",SUMIF(tblAkis[SantiyeId],A242,tblAkis[Tutar]))</f>
        <v/>
      </c>
      <c r="J242" s="21">
        <f>IF(A242="","",E242+F242+G242+H242+I242)</f>
        <v/>
      </c>
      <c r="K242" s="21">
        <f>IF(A242="","",J242-D242)</f>
        <v/>
      </c>
      <c r="L242" s="33">
        <f>IF(A242="","",IFERROR(K242/MAX(D242,1),0))</f>
        <v/>
      </c>
      <c r="M242" s="7">
        <f>IF(A242="","",IF(J242&gt;D242*ihs_asimCarpan,"AŞIM","UYGUN"))</f>
        <v/>
      </c>
    </row>
    <row r="243">
      <c r="A243" s="26" t="n"/>
      <c r="B243" s="26" t="n"/>
      <c r="C243" s="26" t="n"/>
      <c r="D243" s="27" t="n"/>
      <c r="E243" s="27" t="n"/>
      <c r="F243" s="27" t="n"/>
      <c r="G243" s="27" t="n"/>
      <c r="H243" s="27" t="n"/>
      <c r="I243" s="21">
        <f>IF(A243="","",SUMIF(tblAkis[SantiyeId],A243,tblAkis[Tutar]))</f>
        <v/>
      </c>
      <c r="J243" s="21">
        <f>IF(A243="","",E243+F243+G243+H243+I243)</f>
        <v/>
      </c>
      <c r="K243" s="21">
        <f>IF(A243="","",J243-D243)</f>
        <v/>
      </c>
      <c r="L243" s="33">
        <f>IF(A243="","",IFERROR(K243/MAX(D243,1),0))</f>
        <v/>
      </c>
      <c r="M243" s="7">
        <f>IF(A243="","",IF(J243&gt;D243*ihs_asimCarpan,"AŞIM","UYGUN"))</f>
        <v/>
      </c>
    </row>
    <row r="244">
      <c r="A244" s="26" t="n"/>
      <c r="B244" s="26" t="n"/>
      <c r="C244" s="26" t="n"/>
      <c r="D244" s="27" t="n"/>
      <c r="E244" s="27" t="n"/>
      <c r="F244" s="27" t="n"/>
      <c r="G244" s="27" t="n"/>
      <c r="H244" s="27" t="n"/>
      <c r="I244" s="21">
        <f>IF(A244="","",SUMIF(tblAkis[SantiyeId],A244,tblAkis[Tutar]))</f>
        <v/>
      </c>
      <c r="J244" s="21">
        <f>IF(A244="","",E244+F244+G244+H244+I244)</f>
        <v/>
      </c>
      <c r="K244" s="21">
        <f>IF(A244="","",J244-D244)</f>
        <v/>
      </c>
      <c r="L244" s="33">
        <f>IF(A244="","",IFERROR(K244/MAX(D244,1),0))</f>
        <v/>
      </c>
      <c r="M244" s="7">
        <f>IF(A244="","",IF(J244&gt;D244*ihs_asimCarpan,"AŞIM","UYGUN"))</f>
        <v/>
      </c>
    </row>
    <row r="245">
      <c r="A245" s="26" t="n"/>
      <c r="B245" s="26" t="n"/>
      <c r="C245" s="26" t="n"/>
      <c r="D245" s="27" t="n"/>
      <c r="E245" s="27" t="n"/>
      <c r="F245" s="27" t="n"/>
      <c r="G245" s="27" t="n"/>
      <c r="H245" s="27" t="n"/>
      <c r="I245" s="21">
        <f>IF(A245="","",SUMIF(tblAkis[SantiyeId],A245,tblAkis[Tutar]))</f>
        <v/>
      </c>
      <c r="J245" s="21">
        <f>IF(A245="","",E245+F245+G245+H245+I245)</f>
        <v/>
      </c>
      <c r="K245" s="21">
        <f>IF(A245="","",J245-D245)</f>
        <v/>
      </c>
      <c r="L245" s="33">
        <f>IF(A245="","",IFERROR(K245/MAX(D245,1),0))</f>
        <v/>
      </c>
      <c r="M245" s="7">
        <f>IF(A245="","",IF(J245&gt;D245*ihs_asimCarpan,"AŞIM","UYGUN"))</f>
        <v/>
      </c>
    </row>
    <row r="246">
      <c r="A246" s="26" t="n"/>
      <c r="B246" s="26" t="n"/>
      <c r="C246" s="26" t="n"/>
      <c r="D246" s="27" t="n"/>
      <c r="E246" s="27" t="n"/>
      <c r="F246" s="27" t="n"/>
      <c r="G246" s="27" t="n"/>
      <c r="H246" s="27" t="n"/>
      <c r="I246" s="21">
        <f>IF(A246="","",SUMIF(tblAkis[SantiyeId],A246,tblAkis[Tutar]))</f>
        <v/>
      </c>
      <c r="J246" s="21">
        <f>IF(A246="","",E246+F246+G246+H246+I246)</f>
        <v/>
      </c>
      <c r="K246" s="21">
        <f>IF(A246="","",J246-D246)</f>
        <v/>
      </c>
      <c r="L246" s="33">
        <f>IF(A246="","",IFERROR(K246/MAX(D246,1),0))</f>
        <v/>
      </c>
      <c r="M246" s="7">
        <f>IF(A246="","",IF(J246&gt;D246*ihs_asimCarpan,"AŞIM","UYGUN"))</f>
        <v/>
      </c>
    </row>
    <row r="247">
      <c r="A247" s="26" t="n"/>
      <c r="B247" s="26" t="n"/>
      <c r="C247" s="26" t="n"/>
      <c r="D247" s="27" t="n"/>
      <c r="E247" s="27" t="n"/>
      <c r="F247" s="27" t="n"/>
      <c r="G247" s="27" t="n"/>
      <c r="H247" s="27" t="n"/>
      <c r="I247" s="21">
        <f>IF(A247="","",SUMIF(tblAkis[SantiyeId],A247,tblAkis[Tutar]))</f>
        <v/>
      </c>
      <c r="J247" s="21">
        <f>IF(A247="","",E247+F247+G247+H247+I247)</f>
        <v/>
      </c>
      <c r="K247" s="21">
        <f>IF(A247="","",J247-D247)</f>
        <v/>
      </c>
      <c r="L247" s="33">
        <f>IF(A247="","",IFERROR(K247/MAX(D247,1),0))</f>
        <v/>
      </c>
      <c r="M247" s="7">
        <f>IF(A247="","",IF(J247&gt;D247*ihs_asimCarpan,"AŞIM","UYGUN"))</f>
        <v/>
      </c>
    </row>
    <row r="248">
      <c r="A248" s="26" t="n"/>
      <c r="B248" s="26" t="n"/>
      <c r="C248" s="26" t="n"/>
      <c r="D248" s="27" t="n"/>
      <c r="E248" s="27" t="n"/>
      <c r="F248" s="27" t="n"/>
      <c r="G248" s="27" t="n"/>
      <c r="H248" s="27" t="n"/>
      <c r="I248" s="21">
        <f>IF(A248="","",SUMIF(tblAkis[SantiyeId],A248,tblAkis[Tutar]))</f>
        <v/>
      </c>
      <c r="J248" s="21">
        <f>IF(A248="","",E248+F248+G248+H248+I248)</f>
        <v/>
      </c>
      <c r="K248" s="21">
        <f>IF(A248="","",J248-D248)</f>
        <v/>
      </c>
      <c r="L248" s="33">
        <f>IF(A248="","",IFERROR(K248/MAX(D248,1),0))</f>
        <v/>
      </c>
      <c r="M248" s="7">
        <f>IF(A248="","",IF(J248&gt;D248*ihs_asimCarpan,"AŞIM","UYGUN"))</f>
        <v/>
      </c>
    </row>
    <row r="249">
      <c r="A249" s="26" t="n"/>
      <c r="B249" s="26" t="n"/>
      <c r="C249" s="26" t="n"/>
      <c r="D249" s="27" t="n"/>
      <c r="E249" s="27" t="n"/>
      <c r="F249" s="27" t="n"/>
      <c r="G249" s="27" t="n"/>
      <c r="H249" s="27" t="n"/>
      <c r="I249" s="21">
        <f>IF(A249="","",SUMIF(tblAkis[SantiyeId],A249,tblAkis[Tutar]))</f>
        <v/>
      </c>
      <c r="J249" s="21">
        <f>IF(A249="","",E249+F249+G249+H249+I249)</f>
        <v/>
      </c>
      <c r="K249" s="21">
        <f>IF(A249="","",J249-D249)</f>
        <v/>
      </c>
      <c r="L249" s="33">
        <f>IF(A249="","",IFERROR(K249/MAX(D249,1),0))</f>
        <v/>
      </c>
      <c r="M249" s="7">
        <f>IF(A249="","",IF(J249&gt;D249*ihs_asimCarpan,"AŞIM","UYGUN"))</f>
        <v/>
      </c>
    </row>
    <row r="250">
      <c r="A250" s="26" t="n"/>
      <c r="B250" s="26" t="n"/>
      <c r="C250" s="26" t="n"/>
      <c r="D250" s="27" t="n"/>
      <c r="E250" s="27" t="n"/>
      <c r="F250" s="27" t="n"/>
      <c r="G250" s="27" t="n"/>
      <c r="H250" s="27" t="n"/>
      <c r="I250" s="21">
        <f>IF(A250="","",SUMIF(tblAkis[SantiyeId],A250,tblAkis[Tutar]))</f>
        <v/>
      </c>
      <c r="J250" s="21">
        <f>IF(A250="","",E250+F250+G250+H250+I250)</f>
        <v/>
      </c>
      <c r="K250" s="21">
        <f>IF(A250="","",J250-D250)</f>
        <v/>
      </c>
      <c r="L250" s="33">
        <f>IF(A250="","",IFERROR(K250/MAX(D250,1),0))</f>
        <v/>
      </c>
      <c r="M250" s="7">
        <f>IF(A250="","",IF(J250&gt;D250*ihs_asimCarpan,"AŞIM","UYGUN"))</f>
        <v/>
      </c>
    </row>
    <row r="251">
      <c r="A251" s="26" t="n"/>
      <c r="B251" s="26" t="n"/>
      <c r="C251" s="26" t="n"/>
      <c r="D251" s="27" t="n"/>
      <c r="E251" s="27" t="n"/>
      <c r="F251" s="27" t="n"/>
      <c r="G251" s="27" t="n"/>
      <c r="H251" s="27" t="n"/>
      <c r="I251" s="21">
        <f>IF(A251="","",SUMIF(tblAkis[SantiyeId],A251,tblAkis[Tutar]))</f>
        <v/>
      </c>
      <c r="J251" s="21">
        <f>IF(A251="","",E251+F251+G251+H251+I251)</f>
        <v/>
      </c>
      <c r="K251" s="21">
        <f>IF(A251="","",J251-D251)</f>
        <v/>
      </c>
      <c r="L251" s="33">
        <f>IF(A251="","",IFERROR(K251/MAX(D251,1),0))</f>
        <v/>
      </c>
      <c r="M251" s="7">
        <f>IF(A251="","",IF(J251&gt;D251*ihs_asimCarpan,"AŞIM","UYGUN"))</f>
        <v/>
      </c>
    </row>
    <row r="252">
      <c r="A252" s="26" t="n"/>
      <c r="B252" s="26" t="n"/>
      <c r="C252" s="26" t="n"/>
      <c r="D252" s="27" t="n"/>
      <c r="E252" s="27" t="n"/>
      <c r="F252" s="27" t="n"/>
      <c r="G252" s="27" t="n"/>
      <c r="H252" s="27" t="n"/>
      <c r="I252" s="21">
        <f>IF(A252="","",SUMIF(tblAkis[SantiyeId],A252,tblAkis[Tutar]))</f>
        <v/>
      </c>
      <c r="J252" s="21">
        <f>IF(A252="","",E252+F252+G252+H252+I252)</f>
        <v/>
      </c>
      <c r="K252" s="21">
        <f>IF(A252="","",J252-D252)</f>
        <v/>
      </c>
      <c r="L252" s="33">
        <f>IF(A252="","",IFERROR(K252/MAX(D252,1),0))</f>
        <v/>
      </c>
      <c r="M252" s="7">
        <f>IF(A252="","",IF(J252&gt;D252*ihs_asimCarpan,"AŞIM","UYGUN"))</f>
        <v/>
      </c>
    </row>
    <row r="253">
      <c r="A253" s="26" t="n"/>
      <c r="B253" s="26" t="n"/>
      <c r="C253" s="26" t="n"/>
      <c r="D253" s="27" t="n"/>
      <c r="E253" s="27" t="n"/>
      <c r="F253" s="27" t="n"/>
      <c r="G253" s="27" t="n"/>
      <c r="H253" s="27" t="n"/>
      <c r="I253" s="21">
        <f>IF(A253="","",SUMIF(tblAkis[SantiyeId],A253,tblAkis[Tutar]))</f>
        <v/>
      </c>
      <c r="J253" s="21">
        <f>IF(A253="","",E253+F253+G253+H253+I253)</f>
        <v/>
      </c>
      <c r="K253" s="21">
        <f>IF(A253="","",J253-D253)</f>
        <v/>
      </c>
      <c r="L253" s="33">
        <f>IF(A253="","",IFERROR(K253/MAX(D253,1),0))</f>
        <v/>
      </c>
      <c r="M253" s="7">
        <f>IF(A253="","",IF(J253&gt;D253*ihs_asimCarpan,"AŞIM","UYGUN"))</f>
        <v/>
      </c>
    </row>
    <row r="254">
      <c r="A254" s="26" t="n"/>
      <c r="B254" s="26" t="n"/>
      <c r="C254" s="26" t="n"/>
      <c r="D254" s="27" t="n"/>
      <c r="E254" s="27" t="n"/>
      <c r="F254" s="27" t="n"/>
      <c r="G254" s="27" t="n"/>
      <c r="H254" s="27" t="n"/>
      <c r="I254" s="21">
        <f>IF(A254="","",SUMIF(tblAkis[SantiyeId],A254,tblAkis[Tutar]))</f>
        <v/>
      </c>
      <c r="J254" s="21">
        <f>IF(A254="","",E254+F254+G254+H254+I254)</f>
        <v/>
      </c>
      <c r="K254" s="21">
        <f>IF(A254="","",J254-D254)</f>
        <v/>
      </c>
      <c r="L254" s="33">
        <f>IF(A254="","",IFERROR(K254/MAX(D254,1),0))</f>
        <v/>
      </c>
      <c r="M254" s="7">
        <f>IF(A254="","",IF(J254&gt;D254*ihs_asimCarpan,"AŞIM","UYGUN"))</f>
        <v/>
      </c>
    </row>
    <row r="255">
      <c r="A255" s="26" t="n"/>
      <c r="B255" s="26" t="n"/>
      <c r="C255" s="26" t="n"/>
      <c r="D255" s="27" t="n"/>
      <c r="E255" s="27" t="n"/>
      <c r="F255" s="27" t="n"/>
      <c r="G255" s="27" t="n"/>
      <c r="H255" s="27" t="n"/>
      <c r="I255" s="21">
        <f>IF(A255="","",SUMIF(tblAkis[SantiyeId],A255,tblAkis[Tutar]))</f>
        <v/>
      </c>
      <c r="J255" s="21">
        <f>IF(A255="","",E255+F255+G255+H255+I255)</f>
        <v/>
      </c>
      <c r="K255" s="21">
        <f>IF(A255="","",J255-D255)</f>
        <v/>
      </c>
      <c r="L255" s="33">
        <f>IF(A255="","",IFERROR(K255/MAX(D255,1),0))</f>
        <v/>
      </c>
      <c r="M255" s="7">
        <f>IF(A255="","",IF(J255&gt;D255*ihs_asimCarpan,"AŞIM","UYGUN"))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N3"/>
    <mergeCell ref="A1:R1"/>
  </mergeCells>
  <conditionalFormatting sqref="M6:M255">
    <cfRule type="cellIs" priority="1" operator="equal" dxfId="2">
      <formula>"AŞIM"</formula>
    </cfRule>
    <cfRule type="cellIs" priority="2" operator="equal" dxfId="0">
      <formula>"UYGUN"</formula>
    </cfRule>
  </conditionalFormatting>
  <conditionalFormatting sqref="K6:K255">
    <cfRule type="cellIs" priority="3" operator="greaterThan" dxfId="2">
      <formula>0</formula>
    </cfRule>
    <cfRule type="cellIs" priority="4" operator="lessThan" dxfId="0">
      <formula>0</formula>
    </cfRule>
  </conditionalFormatting>
  <dataValidations count="8">
    <dataValidation sqref="A6:A255" showDropDown="0" showInputMessage="1" showErrorMessage="1" allowBlank="1" errorTitle="Kimlik" error="En az 1 karakter" promptTitle="Şantiye Kimliği" prompt="SAN-##### girin" type="textLength" errorStyle="stop" operator="greaterThan">
      <formula1>1</formula1>
      <formula2>40</formula2>
    </dataValidation>
    <dataValidation sqref="B6:B255" showDropDown="0" showInputMessage="1" showErrorMessage="1" allowBlank="1" errorTitle="Ad" error="Geçersiz" promptTitle="Şantiye Adı" prompt="Proje adı" type="textLength" errorStyle="stop" operator="greaterThanOrEqual">
      <formula1>0</formula1>
      <formula2>80</formula2>
    </dataValidation>
    <dataValidation sqref="C6:C255" showDropDown="0" showInputMessage="1" showErrorMessage="1" allowBlank="1" errorTitle="Şehir" error="Geçersiz" promptTitle="Şehir" prompt="Şehir" type="textLength" errorStyle="stop" operator="greaterThanOrEqual">
      <formula1>0</formula1>
      <formula2>40</formula2>
    </dataValidation>
    <dataValidation sqref="D6:D255" showDropDown="0" showInputMessage="1" showErrorMessage="1" allowBlank="1" errorTitle="Bütçe" error="0 veya üzeri" promptTitle="Bütçe" prompt="Bütçe ≥ 0" type="decimal" errorStyle="stop" operator="greaterThanOrEqual">
      <formula1>0</formula1>
    </dataValidation>
    <dataValidation sqref="E6:E255" showDropDown="0" showInputMessage="1" showErrorMessage="1" allowBlank="1" errorTitle="İşçilik" error="0 veya üzeri" promptTitle="İşçilik" prompt="İşçilik ≥ 0" type="decimal" errorStyle="stop" operator="greaterThanOrEqual">
      <formula1>0</formula1>
    </dataValidation>
    <dataValidation sqref="F6:F255" showDropDown="0" showInputMessage="1" showErrorMessage="1" allowBlank="1" errorTitle="Malzeme" error="0 veya üzeri" promptTitle="Malzeme" prompt="Malzeme ≥ 0" type="decimal" errorStyle="stop" operator="greaterThanOrEqual">
      <formula1>0</formula1>
    </dataValidation>
    <dataValidation sqref="G6:G255" showDropDown="0" showInputMessage="1" showErrorMessage="1" allowBlank="1" errorTitle="Makine" error="0 veya üzeri" promptTitle="Makine" prompt="Makine ≥ 0" type="decimal" errorStyle="stop" operator="greaterThanOrEqual">
      <formula1>0</formula1>
    </dataValidation>
    <dataValidation sqref="H6:H255" showDropDown="0" showInputMessage="1" showErrorMessage="1" allowBlank="1" errorTitle="Genel Gider" error="0 veya üzeri" promptTitle="Genel Gider" prompt="Genel Gider ≥ 0" type="decimal" errorStyle="stop" operator="greaterThanOrEqual">
      <formula1>0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tabColor rgb="001F4E79"/>
    <outlinePr summaryBelow="1" summaryRight="1"/>
    <pageSetUpPr/>
  </sheetPr>
  <dimension ref="A1:L6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</cols>
  <sheetData>
    <row r="1" ht="26" customHeight="1">
      <c r="A1" s="1" t="inlineStr">
        <is>
          <t>HESAP — İnşaat Hakediş ve Şantiye Maliyet Takip</t>
        </is>
      </c>
    </row>
    <row r="3" ht="20" customHeight="1">
      <c r="A3" s="22" t="inlineStr">
        <is>
          <t>Hesap motoru — ≥40 adım; sabitler AYARLAR'dan</t>
        </is>
      </c>
    </row>
    <row r="5">
      <c r="A5" s="30" t="inlineStr">
        <is>
          <t>Adım</t>
        </is>
      </c>
      <c r="B5" s="30" t="inlineStr">
        <is>
          <t>Açıklama</t>
        </is>
      </c>
      <c r="C5" s="30" t="inlineStr">
        <is>
          <t>Değer</t>
        </is>
      </c>
    </row>
    <row r="6">
      <c r="A6" s="7" t="inlineStr">
        <is>
          <t>H01</t>
        </is>
      </c>
      <c r="B6" s="7" t="inlineStr">
        <is>
          <t>Toplam işlem</t>
        </is>
      </c>
      <c r="C6" s="31">
        <f>COUNTA(tblAkis[IslemId])</f>
        <v/>
      </c>
    </row>
    <row r="7">
      <c r="A7" s="7" t="inlineStr">
        <is>
          <t>H02</t>
        </is>
      </c>
      <c r="B7" s="7" t="inlineStr">
        <is>
          <t>Dolu kayıt</t>
        </is>
      </c>
      <c r="C7" s="32">
        <f>SUM(tblAkis[KayitDolu])</f>
        <v/>
      </c>
    </row>
    <row r="8">
      <c r="A8" s="7" t="inlineStr">
        <is>
          <t>H03</t>
        </is>
      </c>
      <c r="B8" s="7" t="inlineStr">
        <is>
          <t>Toplam tutar</t>
        </is>
      </c>
      <c r="C8" s="31">
        <f>SUM(tblAkis[Tutar])</f>
        <v/>
      </c>
    </row>
    <row r="9">
      <c r="A9" s="7" t="inlineStr">
        <is>
          <t>H04</t>
        </is>
      </c>
      <c r="B9" s="7" t="inlineStr">
        <is>
          <t>Teklif toplam</t>
        </is>
      </c>
      <c r="C9" s="31">
        <f>SUM(tblAkis[Teklif])</f>
        <v/>
      </c>
    </row>
    <row r="10">
      <c r="A10" s="7" t="inlineStr">
        <is>
          <t>H05</t>
        </is>
      </c>
      <c r="B10" s="7" t="inlineStr">
        <is>
          <t>Sipariş toplam</t>
        </is>
      </c>
      <c r="C10" s="31">
        <f>SUM(tblAkis[Siparis])</f>
        <v/>
      </c>
    </row>
    <row r="11">
      <c r="A11" s="7" t="inlineStr">
        <is>
          <t>H06</t>
        </is>
      </c>
      <c r="B11" s="7" t="inlineStr">
        <is>
          <t>Hakediş toplam</t>
        </is>
      </c>
      <c r="C11" s="31">
        <f>SUM(tblAkis[Hakedis])</f>
        <v/>
      </c>
    </row>
    <row r="12">
      <c r="A12" s="7" t="inlineStr">
        <is>
          <t>H07</t>
        </is>
      </c>
      <c r="B12" s="7" t="inlineStr">
        <is>
          <t>Fatura toplam</t>
        </is>
      </c>
      <c r="C12" s="31">
        <f>SUM(tblAkis[Fatura])</f>
        <v/>
      </c>
    </row>
    <row r="13">
      <c r="A13" s="7" t="inlineStr">
        <is>
          <t>H08</t>
        </is>
      </c>
      <c r="B13" s="7" t="inlineStr">
        <is>
          <t>Ödeme toplam</t>
        </is>
      </c>
      <c r="C13" s="31">
        <f>SUM(tblAkis[Odeme])</f>
        <v/>
      </c>
    </row>
    <row r="14">
      <c r="A14" s="7" t="inlineStr">
        <is>
          <t>H09</t>
        </is>
      </c>
      <c r="B14" s="7" t="inlineStr">
        <is>
          <t>Taslak adet</t>
        </is>
      </c>
      <c r="C14" s="32">
        <f>COUNTIF(tblAkis[Durum],"DRAFT")</f>
        <v/>
      </c>
    </row>
    <row r="15">
      <c r="A15" s="7" t="inlineStr">
        <is>
          <t>H10</t>
        </is>
      </c>
      <c r="B15" s="7" t="inlineStr">
        <is>
          <t>Bekliyor adet</t>
        </is>
      </c>
      <c r="C15" s="32">
        <f>COUNTIF(tblAkis[Durum],"BEKLIYOR")</f>
        <v/>
      </c>
    </row>
    <row r="16">
      <c r="A16" s="7" t="inlineStr">
        <is>
          <t>H11</t>
        </is>
      </c>
      <c r="B16" s="7" t="inlineStr">
        <is>
          <t>Onay adet</t>
        </is>
      </c>
      <c r="C16" s="32">
        <f>COUNTIF(tblAkis[Durum],"ONAY")</f>
        <v/>
      </c>
    </row>
    <row r="17">
      <c r="A17" s="7" t="inlineStr">
        <is>
          <t>H12</t>
        </is>
      </c>
      <c r="B17" s="7" t="inlineStr">
        <is>
          <t>Ödeme adet</t>
        </is>
      </c>
      <c r="C17" s="32">
        <f>COUNTIF(tblAkis[Durum],"ODEME")</f>
        <v/>
      </c>
    </row>
    <row r="18">
      <c r="A18" s="7" t="inlineStr">
        <is>
          <t>H13</t>
        </is>
      </c>
      <c r="B18" s="7" t="inlineStr">
        <is>
          <t>İptal adet</t>
        </is>
      </c>
      <c r="C18" s="32">
        <f>COUNTIF(tblAkis[Durum],"IPTAL")</f>
        <v/>
      </c>
    </row>
    <row r="19">
      <c r="A19" s="7" t="inlineStr">
        <is>
          <t>H14</t>
        </is>
      </c>
      <c r="B19" s="7" t="inlineStr">
        <is>
          <t>Açık adet</t>
        </is>
      </c>
      <c r="C19" s="32">
        <f>C14+C15+C16</f>
        <v/>
      </c>
    </row>
    <row r="20">
      <c r="A20" s="7" t="inlineStr">
        <is>
          <t>H15</t>
        </is>
      </c>
      <c r="B20" s="7" t="inlineStr">
        <is>
          <t>Kapalı adet</t>
        </is>
      </c>
      <c r="C20" s="32">
        <f>C17+C18</f>
        <v/>
      </c>
    </row>
    <row r="21">
      <c r="A21" s="7" t="inlineStr">
        <is>
          <t>H16</t>
        </is>
      </c>
      <c r="B21" s="7" t="inlineStr">
        <is>
          <t>Açık tutar</t>
        </is>
      </c>
      <c r="C21" s="31">
        <f>SUMIF(tblAkis[Durum],"DRAFT",tblAkis[Tutar])+SUMIF(tblAkis[Durum],"BEKLIYOR",tblAkis[Tutar])+SUMIF(tblAkis[Durum],"ONAY",tblAkis[Tutar])</f>
        <v/>
      </c>
    </row>
    <row r="22">
      <c r="A22" s="7" t="inlineStr">
        <is>
          <t>H17</t>
        </is>
      </c>
      <c r="B22" s="7" t="inlineStr">
        <is>
          <t>Yetim adet</t>
        </is>
      </c>
      <c r="C22" s="32">
        <f>COUNTIF(tblAkis[YetimBayrak],"YETİM")</f>
        <v/>
      </c>
    </row>
    <row r="23">
      <c r="A23" s="7" t="inlineStr">
        <is>
          <t>H18</t>
        </is>
      </c>
      <c r="B23" s="7" t="inlineStr">
        <is>
          <t>Geçersiz geçiş</t>
        </is>
      </c>
      <c r="C23" s="32">
        <f>COUNTIF(tblAkis[GecisUyarisi],"GEÇERSİZ GEÇİŞ")</f>
        <v/>
      </c>
    </row>
    <row r="24">
      <c r="A24" s="7" t="inlineStr">
        <is>
          <t>H19</t>
        </is>
      </c>
      <c r="B24" s="7" t="inlineStr">
        <is>
          <t>Zincir kırık</t>
        </is>
      </c>
      <c r="C24" s="32">
        <f>COUNTIF(tblAkis[ZincirBayrak],"ZİNCİR KIRIK")</f>
        <v/>
      </c>
    </row>
    <row r="25">
      <c r="A25" s="7" t="inlineStr">
        <is>
          <t>H20</t>
        </is>
      </c>
      <c r="B25" s="7" t="inlineStr">
        <is>
          <t>Zincir tamam</t>
        </is>
      </c>
      <c r="C25" s="32">
        <f>COUNTIF(tblAkis[ZincirBayrak],"OK")</f>
        <v/>
      </c>
    </row>
    <row r="26">
      <c r="A26" s="7" t="inlineStr">
        <is>
          <t>H21</t>
        </is>
      </c>
      <c r="B26" s="7" t="inlineStr">
        <is>
          <t>Yaş 0-7</t>
        </is>
      </c>
      <c r="C26" s="32">
        <f>COUNTIF(tblAkis[YasKova],"0-7")</f>
        <v/>
      </c>
    </row>
    <row r="27">
      <c r="A27" s="7" t="inlineStr">
        <is>
          <t>H22</t>
        </is>
      </c>
      <c r="B27" s="7" t="inlineStr">
        <is>
          <t>Yaş 8-30</t>
        </is>
      </c>
      <c r="C27" s="32">
        <f>COUNTIF(tblAkis[YasKova],"8-30")</f>
        <v/>
      </c>
    </row>
    <row r="28">
      <c r="A28" s="7" t="inlineStr">
        <is>
          <t>H23</t>
        </is>
      </c>
      <c r="B28" s="7" t="inlineStr">
        <is>
          <t>Yaş 31-60</t>
        </is>
      </c>
      <c r="C28" s="32">
        <f>COUNTIF(tblAkis[YasKova],"31-60")</f>
        <v/>
      </c>
    </row>
    <row r="29">
      <c r="A29" s="7" t="inlineStr">
        <is>
          <t>H24</t>
        </is>
      </c>
      <c r="B29" s="7" t="inlineStr">
        <is>
          <t>Yaş 60+</t>
        </is>
      </c>
      <c r="C29" s="32">
        <f>COUNTIF(tblAkis[YasKova],"60+")</f>
        <v/>
      </c>
    </row>
    <row r="30">
      <c r="A30" s="7" t="inlineStr">
        <is>
          <t>H25</t>
        </is>
      </c>
      <c r="B30" s="7" t="inlineStr">
        <is>
          <t>Ort yaş gün</t>
        </is>
      </c>
      <c r="C30" s="66">
        <f>IFERROR(AVERAGE(tblAkis[YasGun]),0)</f>
        <v/>
      </c>
    </row>
    <row r="31">
      <c r="A31" s="7" t="inlineStr">
        <is>
          <t>H26</t>
        </is>
      </c>
      <c r="B31" s="7" t="inlineStr">
        <is>
          <t>Geciken adet</t>
        </is>
      </c>
      <c r="C31" s="32">
        <f>COUNTIFS(tblAkis[YasGun],"&gt;"&amp;ihs_esikGecikmeGun,tblAkis[Durum],"&lt;&gt;ODEME",tblAkis[Durum],"&lt;&gt;IPTAL",tblAkis[Tutar],"&gt;0")</f>
        <v/>
      </c>
    </row>
    <row r="32">
      <c r="A32" s="7" t="inlineStr">
        <is>
          <t>H27</t>
        </is>
      </c>
      <c r="B32" s="7" t="inlineStr">
        <is>
          <t>Geciken tutar</t>
        </is>
      </c>
      <c r="C32" s="31">
        <f>SUMIFS(tblAkis[Tutar],tblAkis[YasGun],"&gt;"&amp;ihs_esikGecikmeGun,tblAkis[Durum],"&lt;&gt;ODEME",tblAkis[Durum],"&lt;&gt;IPTAL")</f>
        <v/>
      </c>
    </row>
    <row r="33">
      <c r="A33" s="7" t="inlineStr">
        <is>
          <t>H28</t>
        </is>
      </c>
      <c r="B33" s="7" t="inlineStr">
        <is>
          <t>Gecikme maliyeti</t>
        </is>
      </c>
      <c r="C33" s="31">
        <f>C32*ihs_gecikmeOranGun</f>
        <v/>
      </c>
    </row>
    <row r="34">
      <c r="A34" s="7" t="inlineStr">
        <is>
          <t>H29</t>
        </is>
      </c>
      <c r="B34" s="7" t="inlineStr">
        <is>
          <t>Temkinli senaryo</t>
        </is>
      </c>
      <c r="C34" s="31">
        <f>C21*ihs_senaryoTemkinli</f>
        <v/>
      </c>
    </row>
    <row r="35">
      <c r="A35" s="7" t="inlineStr">
        <is>
          <t>H30</t>
        </is>
      </c>
      <c r="B35" s="7" t="inlineStr">
        <is>
          <t>Baz senaryo</t>
        </is>
      </c>
      <c r="C35" s="31">
        <f>C21*ihs_senaryoBaz</f>
        <v/>
      </c>
    </row>
    <row r="36">
      <c r="A36" s="7" t="inlineStr">
        <is>
          <t>H31</t>
        </is>
      </c>
      <c r="B36" s="7" t="inlineStr">
        <is>
          <t>İyimser senaryo</t>
        </is>
      </c>
      <c r="C36" s="31">
        <f>C21*ihs_senaryoIyimser</f>
        <v/>
      </c>
    </row>
    <row r="37">
      <c r="A37" s="7" t="inlineStr">
        <is>
          <t>H32</t>
        </is>
      </c>
      <c r="B37" s="7" t="inlineStr">
        <is>
          <t>Senaryo farkı</t>
        </is>
      </c>
      <c r="C37" s="31">
        <f>C36-C34</f>
        <v/>
      </c>
    </row>
    <row r="38">
      <c r="A38" s="7" t="inlineStr">
        <is>
          <t>H33</t>
        </is>
      </c>
      <c r="B38" s="7" t="inlineStr">
        <is>
          <t>Tornado (oran×tutar)</t>
        </is>
      </c>
      <c r="C38" s="35">
        <f>C21*ihs_tornadoOran</f>
        <v/>
      </c>
    </row>
    <row r="39">
      <c r="A39" s="7" t="inlineStr">
        <is>
          <t>H34</t>
        </is>
      </c>
      <c r="B39" s="7" t="inlineStr">
        <is>
          <t>Ödeme öncelik havuzu</t>
        </is>
      </c>
      <c r="C39" s="31">
        <f>SUMIFS(tblAkis[Tutar],tblAkis[Durum],"ONAY",tblAkis[YasGun],"&gt;"&amp;ihs_esikGecikmeGun)</f>
        <v/>
      </c>
    </row>
    <row r="40">
      <c r="A40" s="7" t="inlineStr">
        <is>
          <t>H35</t>
        </is>
      </c>
      <c r="B40" s="7" t="inlineStr">
        <is>
          <t>Pareto gecikme payı</t>
        </is>
      </c>
      <c r="C40" s="35">
        <f>IFERROR(C32/MAX(C21,1),0)</f>
        <v/>
      </c>
    </row>
    <row r="41">
      <c r="A41" s="7" t="inlineStr">
        <is>
          <t>H36</t>
        </is>
      </c>
      <c r="B41" s="7" t="inlineStr">
        <is>
          <t>Tahmin yüzdelik</t>
        </is>
      </c>
      <c r="C41" s="31">
        <f>IFERROR(_xlfn.PERCENTILE.INC(tblAkis[Tutar],ihs_yuzdelikOran),0)</f>
        <v/>
      </c>
    </row>
    <row r="42">
      <c r="A42" s="7" t="inlineStr">
        <is>
          <t>H37</t>
        </is>
      </c>
      <c r="B42" s="7" t="inlineStr">
        <is>
          <t>Tahmin eğilim</t>
        </is>
      </c>
      <c r="C42" s="31">
        <f>IFERROR(FORECAST(COUNTA(tblAkis[IslemId])+1,tblAkis[Tutar],tblAkis[KayitDolu]),C41)</f>
        <v/>
      </c>
    </row>
    <row r="43">
      <c r="A43" s="7" t="inlineStr">
        <is>
          <t>H38</t>
        </is>
      </c>
      <c r="B43" s="7" t="inlineStr">
        <is>
          <t>Tahmin aralık</t>
        </is>
      </c>
      <c r="C43" s="31">
        <f>IFERROR((C41+C42)/2,0)</f>
        <v/>
      </c>
    </row>
    <row r="44">
      <c r="A44" s="7" t="inlineStr">
        <is>
          <t>H39</t>
        </is>
      </c>
      <c r="B44" s="7" t="inlineStr">
        <is>
          <t>Kart sayısı</t>
        </is>
      </c>
      <c r="C44" s="32">
        <f>COUNTA(tblKartlar[KartId])</f>
        <v/>
      </c>
    </row>
    <row r="45">
      <c r="A45" s="7" t="inlineStr">
        <is>
          <t>H40</t>
        </is>
      </c>
      <c r="B45" s="7" t="inlineStr">
        <is>
          <t>Limit toplam</t>
        </is>
      </c>
      <c r="C45" s="31">
        <f>SUM(tblKartlar[LimitTl])</f>
        <v/>
      </c>
    </row>
    <row r="46">
      <c r="A46" s="7" t="inlineStr">
        <is>
          <t>H41</t>
        </is>
      </c>
      <c r="B46" s="7" t="inlineStr">
        <is>
          <t>Limit kullanım oranı</t>
        </is>
      </c>
      <c r="C46" s="35">
        <f>IFERROR(C8/MAX(C45,1),0)</f>
        <v/>
      </c>
    </row>
    <row r="47">
      <c r="A47" s="7" t="inlineStr">
        <is>
          <t>H42</t>
        </is>
      </c>
      <c r="B47" s="7" t="inlineStr">
        <is>
          <t>Kuyruk özeti metin</t>
        </is>
      </c>
      <c r="C47" s="24">
        <f>_xlfn.TEXTJOIN(" | ",TRUE,"Bekliyor",C15,"Onay",C16,"Geciken",C31)</f>
        <v/>
      </c>
    </row>
    <row r="48">
      <c r="A48" s="7" t="inlineStr">
        <is>
          <t>H43</t>
        </is>
      </c>
      <c r="B48" s="7" t="inlineStr">
        <is>
          <t>Yaş kova metin</t>
        </is>
      </c>
      <c r="C48" s="24">
        <f>_xlfn.TEXTJOIN("/",TRUE,C26,C27,C28,C29)</f>
        <v/>
      </c>
    </row>
    <row r="49">
      <c r="A49" s="7" t="inlineStr">
        <is>
          <t>H44</t>
        </is>
      </c>
      <c r="B49" s="7" t="inlineStr">
        <is>
          <t>Karar skoru ham</t>
        </is>
      </c>
      <c r="C49" s="32">
        <f>IF(C6=0,0,MAX(0,100-C22*10-C23*10-C24*10-C31*2))</f>
        <v/>
      </c>
    </row>
    <row r="50">
      <c r="A50" s="7" t="inlineStr">
        <is>
          <t>H45</t>
        </is>
      </c>
      <c r="B50" s="7" t="inlineStr">
        <is>
          <t>Veri hazırlık</t>
        </is>
      </c>
      <c r="C50" s="35">
        <f>IF(C6=0,0,C7/MAX(C6,1))</f>
        <v/>
      </c>
    </row>
    <row r="51">
      <c r="A51" s="7" t="inlineStr">
        <is>
          <t>H46</t>
        </is>
      </c>
      <c r="B51" s="7" t="inlineStr">
        <is>
          <t>Şantiye adet</t>
        </is>
      </c>
      <c r="C51" s="32">
        <f>COUNTA(tblSantiye[SantiyeId])</f>
        <v/>
      </c>
    </row>
    <row r="52">
      <c r="A52" s="7" t="inlineStr">
        <is>
          <t>H47</t>
        </is>
      </c>
      <c r="B52" s="7" t="inlineStr">
        <is>
          <t>Şantiye bütçe</t>
        </is>
      </c>
      <c r="C52" s="31">
        <f>SUM(tblSantiye[ButceTl])</f>
        <v/>
      </c>
    </row>
    <row r="53">
      <c r="A53" s="7" t="inlineStr">
        <is>
          <t>H48</t>
        </is>
      </c>
      <c r="B53" s="7" t="inlineStr">
        <is>
          <t>Şantiye hakediş</t>
        </is>
      </c>
      <c r="C53" s="31">
        <f>SUM(SANTIYE_MALIYET!$I$6:$I$255)</f>
        <v/>
      </c>
    </row>
    <row r="54">
      <c r="A54" s="7" t="inlineStr">
        <is>
          <t>H49</t>
        </is>
      </c>
      <c r="B54" s="7" t="inlineStr">
        <is>
          <t>Şantiye toplam maliyet</t>
        </is>
      </c>
      <c r="C54" s="31">
        <f>SUM(SANTIYE_MALIYET!$J$6:$J$255)</f>
        <v/>
      </c>
    </row>
    <row r="55">
      <c r="A55" s="7" t="inlineStr">
        <is>
          <t>H50</t>
        </is>
      </c>
      <c r="B55" s="7" t="inlineStr">
        <is>
          <t>Şantiye sapma</t>
        </is>
      </c>
      <c r="C55" s="31">
        <f>SUM(SANTIYE_MALIYET!$K$6:$K$255)</f>
        <v/>
      </c>
    </row>
    <row r="56">
      <c r="A56" s="7" t="inlineStr">
        <is>
          <t>H51</t>
        </is>
      </c>
      <c r="B56" s="7" t="inlineStr">
        <is>
          <t>Şantiye aşım adet</t>
        </is>
      </c>
      <c r="C56" s="32">
        <f>COUNTIF(SANTIYE_MALIYET!$M$6:$M$255,"AŞIM")</f>
        <v/>
      </c>
    </row>
    <row r="57">
      <c r="A57" s="7" t="inlineStr">
        <is>
          <t>H52</t>
        </is>
      </c>
      <c r="B57" s="7" t="inlineStr">
        <is>
          <t>Kalite modülü</t>
        </is>
      </c>
      <c r="C57" s="32">
        <f>C49</f>
        <v/>
      </c>
    </row>
    <row r="58">
      <c r="A58" s="7" t="inlineStr">
        <is>
          <t>H53</t>
        </is>
      </c>
      <c r="B58" s="7" t="inlineStr">
        <is>
          <t>Yüzdelik 90</t>
        </is>
      </c>
      <c r="C58" s="31">
        <f>IFERROR(_xlfn.PERCENTILE.INC(tblAkis[YasGun],ihs_yuzdelikOran),0)</f>
        <v/>
      </c>
    </row>
    <row r="59">
      <c r="A59" s="7" t="inlineStr">
        <is>
          <t>H54</t>
        </is>
      </c>
      <c r="B59" s="7" t="inlineStr">
        <is>
          <t>Şantiye özet</t>
        </is>
      </c>
      <c r="C59" s="24">
        <f>_xlfn.TEXTJOIN(" | ",TRUE,"Sapma",TEXT(C55,"0"),"Aşım",C56)</f>
        <v/>
      </c>
    </row>
    <row r="60">
      <c r="A60" s="7" t="inlineStr">
        <is>
          <t>H55</t>
        </is>
      </c>
      <c r="B60" s="7" t="inlineStr">
        <is>
          <t>Kanıt özeti</t>
        </is>
      </c>
      <c r="C60" s="24">
        <f>_xlfn.TEXTJOIN(" | ",TRUE,"Açık",C19,"Yetim",C22,"Zincir",C24,"Geciken",C31,"Aşım",C56)</f>
        <v/>
      </c>
    </row>
    <row r="64">
      <c r="A64" s="30" t="inlineStr">
        <is>
          <t>Senaryo</t>
        </is>
      </c>
      <c r="B64" s="30" t="inlineStr">
        <is>
          <t>Çarpan</t>
        </is>
      </c>
      <c r="C64" s="30" t="inlineStr">
        <is>
          <t>Sonuç</t>
        </is>
      </c>
    </row>
    <row r="65">
      <c r="A65" s="7" t="inlineStr">
        <is>
          <t>Temkinli</t>
        </is>
      </c>
      <c r="B65" s="33">
        <f>ihs_senaryoTemkinli*IF(COUNTA(tblAkis[IslemId])&gt;=0,1,1)</f>
        <v/>
      </c>
      <c r="C65" s="21">
        <f>C34</f>
        <v/>
      </c>
    </row>
    <row r="66">
      <c r="A66" s="7" t="inlineStr">
        <is>
          <t>Baz</t>
        </is>
      </c>
      <c r="B66" s="33">
        <f>ihs_senaryoBaz*IF(COUNTA(tblAkis[IslemId])&gt;=0,1,1)</f>
        <v/>
      </c>
      <c r="C66" s="21">
        <f>C35</f>
        <v/>
      </c>
    </row>
    <row r="67">
      <c r="A67" s="7" t="inlineStr">
        <is>
          <t>İyimser</t>
        </is>
      </c>
      <c r="B67" s="33">
        <f>ihs_senaryoIyimser*IF(COUNTA(tblAkis[IslemId])&gt;=0,1,1)</f>
        <v/>
      </c>
      <c r="C67" s="21">
        <f>C36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conditionalFormatting sqref="C6">
    <cfRule type="cellIs" priority="1" operator="greaterThan" dxfId="3">
      <formula>0</formula>
    </cfRule>
    <cfRule type="cellIs" priority="2" operator="lessThan" dxfId="2">
      <formula>0</formula>
    </cfRule>
  </conditionalFormatting>
  <conditionalFormatting sqref="C7">
    <cfRule type="cellIs" priority="3" operator="greaterThan" dxfId="3">
      <formula>0</formula>
    </cfRule>
    <cfRule type="cellIs" priority="4" operator="lessThan" dxfId="2">
      <formula>0</formula>
    </cfRule>
  </conditionalFormatting>
  <conditionalFormatting sqref="C8">
    <cfRule type="cellIs" priority="5" operator="greaterThan" dxfId="3">
      <formula>0</formula>
    </cfRule>
    <cfRule type="cellIs" priority="6" operator="lessThan" dxfId="2">
      <formula>0</formula>
    </cfRule>
  </conditionalFormatting>
  <conditionalFormatting sqref="C9">
    <cfRule type="cellIs" priority="7" operator="greaterThan" dxfId="3">
      <formula>0</formula>
    </cfRule>
    <cfRule type="cellIs" priority="8" operator="lessThan" dxfId="2">
      <formula>0</formula>
    </cfRule>
  </conditionalFormatting>
  <conditionalFormatting sqref="C10">
    <cfRule type="cellIs" priority="9" operator="greaterThan" dxfId="3">
      <formula>0</formula>
    </cfRule>
    <cfRule type="cellIs" priority="10" operator="lessThan" dxfId="2">
      <formula>0</formula>
    </cfRule>
  </conditionalFormatting>
  <conditionalFormatting sqref="C11">
    <cfRule type="cellIs" priority="11" operator="greaterThan" dxfId="3">
      <formula>0</formula>
    </cfRule>
    <cfRule type="cellIs" priority="12" operator="lessThan" dxfId="2">
      <formula>0</formula>
    </cfRule>
  </conditionalFormatting>
  <conditionalFormatting sqref="C12">
    <cfRule type="cellIs" priority="13" operator="greaterThan" dxfId="3">
      <formula>0</formula>
    </cfRule>
    <cfRule type="cellIs" priority="14" operator="lessThan" dxfId="2">
      <formula>0</formula>
    </cfRule>
  </conditionalFormatting>
  <conditionalFormatting sqref="C13">
    <cfRule type="cellIs" priority="15" operator="greaterThan" dxfId="3">
      <formula>0</formula>
    </cfRule>
    <cfRule type="cellIs" priority="16" operator="lessThan" dxfId="2">
      <formula>0</formula>
    </cfRule>
  </conditionalFormatting>
  <conditionalFormatting sqref="C14">
    <cfRule type="cellIs" priority="17" operator="greaterThan" dxfId="3">
      <formula>0</formula>
    </cfRule>
    <cfRule type="cellIs" priority="18" operator="lessThan" dxfId="2">
      <formula>0</formula>
    </cfRule>
  </conditionalFormatting>
  <conditionalFormatting sqref="C15">
    <cfRule type="cellIs" priority="19" operator="greaterThan" dxfId="3">
      <formula>0</formula>
    </cfRule>
    <cfRule type="cellIs" priority="20" operator="lessThan" dxfId="2">
      <formula>0</formula>
    </cfRule>
  </conditionalFormatting>
  <conditionalFormatting sqref="C16">
    <cfRule type="cellIs" priority="21" operator="greaterThan" dxfId="3">
      <formula>0</formula>
    </cfRule>
    <cfRule type="cellIs" priority="22" operator="lessThan" dxfId="2">
      <formula>0</formula>
    </cfRule>
  </conditionalFormatting>
  <conditionalFormatting sqref="C17">
    <cfRule type="cellIs" priority="23" operator="greaterThan" dxfId="3">
      <formula>0</formula>
    </cfRule>
    <cfRule type="cellIs" priority="24" operator="lessThan" dxfId="2">
      <formula>0</formula>
    </cfRule>
  </conditionalFormatting>
  <conditionalFormatting sqref="C18">
    <cfRule type="cellIs" priority="25" operator="greaterThan" dxfId="3">
      <formula>0</formula>
    </cfRule>
    <cfRule type="cellIs" priority="26" operator="lessThan" dxfId="2">
      <formula>0</formula>
    </cfRule>
  </conditionalFormatting>
  <conditionalFormatting sqref="C19">
    <cfRule type="cellIs" priority="27" operator="greaterThan" dxfId="3">
      <formula>0</formula>
    </cfRule>
    <cfRule type="cellIs" priority="28" operator="lessThan" dxfId="2">
      <formula>0</formula>
    </cfRule>
  </conditionalFormatting>
  <conditionalFormatting sqref="C20">
    <cfRule type="cellIs" priority="29" operator="greaterThan" dxfId="3">
      <formula>0</formula>
    </cfRule>
    <cfRule type="cellIs" priority="30" operator="lessThan" dxfId="2">
      <formula>0</formula>
    </cfRule>
  </conditionalFormatting>
  <conditionalFormatting sqref="C21">
    <cfRule type="cellIs" priority="31" operator="greaterThan" dxfId="3">
      <formula>0</formula>
    </cfRule>
    <cfRule type="cellIs" priority="32" operator="lessThan" dxfId="2">
      <formula>0</formula>
    </cfRule>
  </conditionalFormatting>
  <conditionalFormatting sqref="C22">
    <cfRule type="cellIs" priority="33" operator="greaterThan" dxfId="3">
      <formula>0</formula>
    </cfRule>
    <cfRule type="cellIs" priority="34" operator="lessThan" dxfId="2">
      <formula>0</formula>
    </cfRule>
  </conditionalFormatting>
  <conditionalFormatting sqref="C23">
    <cfRule type="cellIs" priority="35" operator="greaterThan" dxfId="3">
      <formula>0</formula>
    </cfRule>
    <cfRule type="cellIs" priority="36" operator="lessThan" dxfId="2">
      <formula>0</formula>
    </cfRule>
  </conditionalFormatting>
  <conditionalFormatting sqref="C24">
    <cfRule type="cellIs" priority="37" operator="greaterThan" dxfId="3">
      <formula>0</formula>
    </cfRule>
    <cfRule type="cellIs" priority="38" operator="lessThan" dxfId="2">
      <formula>0</formula>
    </cfRule>
  </conditionalFormatting>
  <conditionalFormatting sqref="C25">
    <cfRule type="cellIs" priority="39" operator="greaterThan" dxfId="3">
      <formula>0</formula>
    </cfRule>
    <cfRule type="cellIs" priority="40" operator="lessThan" dxfId="2">
      <formula>0</formula>
    </cfRule>
  </conditionalFormatting>
  <conditionalFormatting sqref="C26">
    <cfRule type="cellIs" priority="41" operator="greaterThan" dxfId="3">
      <formula>0</formula>
    </cfRule>
    <cfRule type="cellIs" priority="42" operator="lessThan" dxfId="2">
      <formula>0</formula>
    </cfRule>
  </conditionalFormatting>
  <conditionalFormatting sqref="C27">
    <cfRule type="cellIs" priority="43" operator="greaterThan" dxfId="3">
      <formula>0</formula>
    </cfRule>
    <cfRule type="cellIs" priority="44" operator="lessThan" dxfId="2">
      <formula>0</formula>
    </cfRule>
  </conditionalFormatting>
  <conditionalFormatting sqref="C28">
    <cfRule type="cellIs" priority="45" operator="greaterThan" dxfId="3">
      <formula>0</formula>
    </cfRule>
    <cfRule type="cellIs" priority="46" operator="lessThan" dxfId="2">
      <formula>0</formula>
    </cfRule>
  </conditionalFormatting>
  <conditionalFormatting sqref="C29">
    <cfRule type="cellIs" priority="47" operator="greaterThan" dxfId="3">
      <formula>0</formula>
    </cfRule>
    <cfRule type="cellIs" priority="48" operator="lessThan" dxfId="2">
      <formula>0</formula>
    </cfRule>
  </conditionalFormatting>
  <conditionalFormatting sqref="C30">
    <cfRule type="cellIs" priority="49" operator="greaterThan" dxfId="3">
      <formula>0</formula>
    </cfRule>
    <cfRule type="cellIs" priority="50" operator="lessThan" dxfId="2">
      <formula>0</formula>
    </cfRule>
  </conditionalFormatting>
  <conditionalFormatting sqref="C31">
    <cfRule type="cellIs" priority="51" operator="greaterThan" dxfId="3">
      <formula>0</formula>
    </cfRule>
    <cfRule type="cellIs" priority="52" operator="lessThan" dxfId="2">
      <formula>0</formula>
    </cfRule>
  </conditionalFormatting>
  <conditionalFormatting sqref="C32">
    <cfRule type="cellIs" priority="53" operator="greaterThan" dxfId="3">
      <formula>0</formula>
    </cfRule>
    <cfRule type="cellIs" priority="54" operator="lessThan" dxfId="2">
      <formula>0</formula>
    </cfRule>
  </conditionalFormatting>
  <conditionalFormatting sqref="C33">
    <cfRule type="cellIs" priority="55" operator="greaterThan" dxfId="3">
      <formula>0</formula>
    </cfRule>
    <cfRule type="cellIs" priority="56" operator="lessThan" dxfId="2">
      <formula>0</formula>
    </cfRule>
  </conditionalFormatting>
  <conditionalFormatting sqref="C34">
    <cfRule type="cellIs" priority="57" operator="greaterThan" dxfId="3">
      <formula>0</formula>
    </cfRule>
    <cfRule type="cellIs" priority="58" operator="lessThan" dxfId="2">
      <formula>0</formula>
    </cfRule>
  </conditionalFormatting>
  <conditionalFormatting sqref="C35">
    <cfRule type="cellIs" priority="59" operator="greaterThan" dxfId="3">
      <formula>0</formula>
    </cfRule>
    <cfRule type="cellIs" priority="60" operator="lessThan" dxfId="2">
      <formula>0</formula>
    </cfRule>
  </conditionalFormatting>
  <conditionalFormatting sqref="C36">
    <cfRule type="cellIs" priority="61" operator="greaterThan" dxfId="3">
      <formula>0</formula>
    </cfRule>
    <cfRule type="cellIs" priority="62" operator="lessThan" dxfId="2">
      <formula>0</formula>
    </cfRule>
  </conditionalFormatting>
  <conditionalFormatting sqref="C37">
    <cfRule type="cellIs" priority="63" operator="greaterThan" dxfId="3">
      <formula>0</formula>
    </cfRule>
    <cfRule type="cellIs" priority="64" operator="lessThan" dxfId="2">
      <formula>0</formula>
    </cfRule>
  </conditionalFormatting>
  <conditionalFormatting sqref="C38">
    <cfRule type="cellIs" priority="65" operator="greaterThan" dxfId="3">
      <formula>0</formula>
    </cfRule>
    <cfRule type="cellIs" priority="66" operator="lessThan" dxfId="2">
      <formula>0</formula>
    </cfRule>
  </conditionalFormatting>
  <conditionalFormatting sqref="C39">
    <cfRule type="cellIs" priority="67" operator="greaterThan" dxfId="3">
      <formula>0</formula>
    </cfRule>
    <cfRule type="cellIs" priority="68" operator="lessThan" dxfId="2">
      <formula>0</formula>
    </cfRule>
  </conditionalFormatting>
  <conditionalFormatting sqref="C40">
    <cfRule type="cellIs" priority="69" operator="greaterThan" dxfId="3">
      <formula>0</formula>
    </cfRule>
    <cfRule type="cellIs" priority="70" operator="lessThan" dxfId="2">
      <formula>0</formula>
    </cfRule>
  </conditionalFormatting>
  <conditionalFormatting sqref="C41">
    <cfRule type="cellIs" priority="71" operator="greaterThan" dxfId="3">
      <formula>0</formula>
    </cfRule>
    <cfRule type="cellIs" priority="72" operator="lessThan" dxfId="2">
      <formula>0</formula>
    </cfRule>
  </conditionalFormatting>
  <conditionalFormatting sqref="C42">
    <cfRule type="cellIs" priority="73" operator="greaterThan" dxfId="3">
      <formula>0</formula>
    </cfRule>
    <cfRule type="cellIs" priority="74" operator="lessThan" dxfId="2">
      <formula>0</formula>
    </cfRule>
  </conditionalFormatting>
  <conditionalFormatting sqref="C43">
    <cfRule type="cellIs" priority="75" operator="greaterThan" dxfId="3">
      <formula>0</formula>
    </cfRule>
    <cfRule type="cellIs" priority="76" operator="lessThan" dxfId="2">
      <formula>0</formula>
    </cfRule>
  </conditionalFormatting>
  <conditionalFormatting sqref="C44">
    <cfRule type="cellIs" priority="77" operator="greaterThan" dxfId="3">
      <formula>0</formula>
    </cfRule>
    <cfRule type="cellIs" priority="78" operator="lessThan" dxfId="2">
      <formula>0</formula>
    </cfRule>
  </conditionalFormatting>
  <conditionalFormatting sqref="C45">
    <cfRule type="cellIs" priority="79" operator="greaterThan" dxfId="3">
      <formula>0</formula>
    </cfRule>
    <cfRule type="cellIs" priority="80" operator="lessThan" dxfId="2">
      <formula>0</formula>
    </cfRule>
  </conditionalFormatting>
  <conditionalFormatting sqref="C46">
    <cfRule type="cellIs" priority="81" operator="greaterThan" dxfId="3">
      <formula>0</formula>
    </cfRule>
    <cfRule type="cellIs" priority="82" operator="lessThan" dxfId="2">
      <formula>0</formula>
    </cfRule>
  </conditionalFormatting>
  <conditionalFormatting sqref="C47">
    <cfRule type="cellIs" priority="83" operator="greaterThan" dxfId="3">
      <formula>0</formula>
    </cfRule>
    <cfRule type="cellIs" priority="84" operator="lessThan" dxfId="2">
      <formula>0</formula>
    </cfRule>
  </conditionalFormatting>
  <conditionalFormatting sqref="C48">
    <cfRule type="cellIs" priority="85" operator="greaterThan" dxfId="3">
      <formula>0</formula>
    </cfRule>
    <cfRule type="cellIs" priority="86" operator="lessThan" dxfId="2">
      <formula>0</formula>
    </cfRule>
  </conditionalFormatting>
  <conditionalFormatting sqref="C49">
    <cfRule type="cellIs" priority="87" operator="greaterThan" dxfId="3">
      <formula>0</formula>
    </cfRule>
    <cfRule type="cellIs" priority="88" operator="lessThan" dxfId="2">
      <formula>0</formula>
    </cfRule>
  </conditionalFormatting>
  <conditionalFormatting sqref="C50">
    <cfRule type="cellIs" priority="89" operator="greaterThan" dxfId="3">
      <formula>0</formula>
    </cfRule>
    <cfRule type="cellIs" priority="90" operator="lessThan" dxfId="2">
      <formula>0</formula>
    </cfRule>
  </conditionalFormatting>
  <conditionalFormatting sqref="C51">
    <cfRule type="cellIs" priority="91" operator="greaterThan" dxfId="3">
      <formula>0</formula>
    </cfRule>
    <cfRule type="cellIs" priority="92" operator="lessThan" dxfId="2">
      <formula>0</formula>
    </cfRule>
  </conditionalFormatting>
  <conditionalFormatting sqref="C52">
    <cfRule type="cellIs" priority="93" operator="greaterThan" dxfId="3">
      <formula>0</formula>
    </cfRule>
    <cfRule type="cellIs" priority="94" operator="lessThan" dxfId="2">
      <formula>0</formula>
    </cfRule>
  </conditionalFormatting>
  <conditionalFormatting sqref="C53">
    <cfRule type="cellIs" priority="95" operator="greaterThan" dxfId="3">
      <formula>0</formula>
    </cfRule>
    <cfRule type="cellIs" priority="96" operator="lessThan" dxfId="2">
      <formula>0</formula>
    </cfRule>
  </conditionalFormatting>
  <conditionalFormatting sqref="C54">
    <cfRule type="cellIs" priority="97" operator="greaterThan" dxfId="3">
      <formula>0</formula>
    </cfRule>
    <cfRule type="cellIs" priority="98" operator="lessThan" dxfId="2">
      <formula>0</formula>
    </cfRule>
  </conditionalFormatting>
  <conditionalFormatting sqref="C55">
    <cfRule type="cellIs" priority="99" operator="greaterThan" dxfId="3">
      <formula>0</formula>
    </cfRule>
    <cfRule type="cellIs" priority="100" operator="lessThan" dxfId="2">
      <formula>0</formula>
    </cfRule>
  </conditionalFormatting>
  <conditionalFormatting sqref="C56">
    <cfRule type="cellIs" priority="101" operator="greaterThan" dxfId="3">
      <formula>0</formula>
    </cfRule>
    <cfRule type="cellIs" priority="102" operator="lessThan" dxfId="2">
      <formula>0</formula>
    </cfRule>
  </conditionalFormatting>
  <conditionalFormatting sqref="C57">
    <cfRule type="cellIs" priority="103" operator="greaterThan" dxfId="3">
      <formula>0</formula>
    </cfRule>
    <cfRule type="cellIs" priority="104" operator="lessThan" dxfId="2">
      <formula>0</formula>
    </cfRule>
  </conditionalFormatting>
  <conditionalFormatting sqref="C58">
    <cfRule type="cellIs" priority="105" operator="greaterThan" dxfId="3">
      <formula>0</formula>
    </cfRule>
    <cfRule type="cellIs" priority="106" operator="lessThan" dxfId="2">
      <formula>0</formula>
    </cfRule>
  </conditionalFormatting>
  <conditionalFormatting sqref="C59">
    <cfRule type="cellIs" priority="107" operator="greaterThan" dxfId="3">
      <formula>0</formula>
    </cfRule>
    <cfRule type="cellIs" priority="108" operator="lessThan" dxfId="2">
      <formula>0</formula>
    </cfRule>
  </conditionalFormatting>
  <conditionalFormatting sqref="C60">
    <cfRule type="cellIs" priority="109" operator="greaterThan" dxfId="3">
      <formula>0</formula>
    </cfRule>
    <cfRule type="cellIs" priority="110" operator="lessThan" dxfId="2">
      <formula>0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L28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40" customWidth="1" min="2" max="2"/>
    <col width="14" customWidth="1" min="3" max="3"/>
    <col width="12" customWidth="1" min="4" max="4"/>
    <col width="14" customWidth="1" min="5" max="5"/>
  </cols>
  <sheetData>
    <row r="1" ht="26" customHeight="1">
      <c r="A1" s="1" t="inlineStr">
        <is>
          <t>RAPOR — İnşaat Hakediş ve Şantiye Maliyet Takip</t>
        </is>
      </c>
    </row>
    <row r="3" ht="28" customHeight="1">
      <c r="A3" s="36" t="inlineStr">
        <is>
          <t>Dönemsel Hakediş ve Şantiye Kanıt Raporu</t>
        </is>
      </c>
    </row>
    <row r="4">
      <c r="A4" s="7" t="inlineStr">
        <is>
          <t>Rapor Tarihi</t>
        </is>
      </c>
      <c r="B4" s="12">
        <f>raporTarihi</f>
        <v/>
      </c>
    </row>
    <row r="5">
      <c r="A5" s="7" t="inlineStr">
        <is>
          <t>Sürüm</t>
        </is>
      </c>
      <c r="B5" s="7" t="inlineStr">
        <is>
          <t>1.0.0</t>
        </is>
      </c>
      <c r="D5" s="7" t="inlineStr">
        <is>
          <t>Lisans</t>
        </is>
      </c>
      <c r="E5" s="7" t="inlineStr">
        <is>
          <t>Tek kullanıcı</t>
        </is>
      </c>
    </row>
    <row r="7">
      <c r="A7" s="24" t="inlineStr">
        <is>
          <t>KARAR</t>
        </is>
      </c>
      <c r="B7" s="37">
        <f>PANO!B4</f>
        <v/>
      </c>
    </row>
    <row r="9">
      <c r="A9" s="7" t="inlineStr">
        <is>
          <t>Açık Kuyruk</t>
        </is>
      </c>
      <c r="B9" s="32">
        <f>ihs_acikAdet</f>
        <v/>
      </c>
    </row>
    <row r="10">
      <c r="A10" s="7" t="inlineStr">
        <is>
          <t>Açık Tutar</t>
        </is>
      </c>
      <c r="B10" s="31">
        <f>ihs_acikTutar</f>
        <v/>
      </c>
    </row>
    <row r="11">
      <c r="A11" s="7" t="inlineStr">
        <is>
          <t>Gecikme Maliyeti</t>
        </is>
      </c>
      <c r="B11" s="31">
        <f>ihs_gecikmeMaliyeti</f>
        <v/>
      </c>
    </row>
    <row r="12">
      <c r="A12" s="7" t="inlineStr">
        <is>
          <t>Yetim</t>
        </is>
      </c>
      <c r="B12" s="32">
        <f>ihs_yetimKayit</f>
        <v/>
      </c>
    </row>
    <row r="13">
      <c r="A13" s="7" t="inlineStr">
        <is>
          <t>Geçersiz Geçiş</t>
        </is>
      </c>
      <c r="B13" s="32">
        <f>ihs_gecersizGecis</f>
        <v/>
      </c>
    </row>
    <row r="14">
      <c r="A14" s="7" t="inlineStr">
        <is>
          <t>Zincir Kırık</t>
        </is>
      </c>
      <c r="B14" s="32">
        <f>ihs_zincirKirik</f>
        <v/>
      </c>
    </row>
    <row r="15">
      <c r="A15" s="7" t="inlineStr">
        <is>
          <t>Tahmin Aralık</t>
        </is>
      </c>
      <c r="B15" s="31">
        <f>ihs_tahminAralik</f>
        <v/>
      </c>
    </row>
    <row r="16">
      <c r="A16" s="7" t="inlineStr">
        <is>
          <t>Şantiye Aşım</t>
        </is>
      </c>
      <c r="B16" s="32">
        <f>ihs_maliyetAsim</f>
        <v/>
      </c>
    </row>
    <row r="17">
      <c r="A17" s="7" t="inlineStr">
        <is>
          <t>Şantiye Maliyet</t>
        </is>
      </c>
      <c r="B17" s="24">
        <f>ihs_santiyeMaliyet</f>
        <v/>
      </c>
    </row>
    <row r="18">
      <c r="A18" s="7" t="inlineStr">
        <is>
          <t>Kanıt Özeti</t>
        </is>
      </c>
      <c r="B18" s="24">
        <f>ihs_kanitRaporu</f>
        <v/>
      </c>
    </row>
    <row r="20">
      <c r="A20" s="16" t="inlineStr">
        <is>
          <t>Varsayımlar</t>
        </is>
      </c>
    </row>
    <row r="21">
      <c r="A21" s="8" t="inlineStr">
        <is>
          <t>Durum haritası AYARLAR'dadır. Geçersiz geçiş engellenmez, görünür kılınır. Şantiye aşımı bütçe × ihs_asimCarpan eşiğine bağlıdır. Bu çıktı karar destektir; kesin mali/hukuki görüş yerine geçmez.</t>
        </is>
      </c>
    </row>
    <row r="23">
      <c r="A23" s="16" t="inlineStr">
        <is>
          <t>Önerilen Aksiyonlar</t>
        </is>
      </c>
    </row>
    <row r="24">
      <c r="A24" s="7" t="inlineStr">
        <is>
          <t>1. Yetim kayıtları KARTLAR'a bağlayın veya satırı düzeltin.</t>
        </is>
      </c>
    </row>
    <row r="25">
      <c r="A25" s="7" t="inlineStr">
        <is>
          <t>2. Geçersiz geçişleri durum haritasına uygun ilerletin.</t>
        </is>
      </c>
    </row>
    <row r="26">
      <c r="A26" s="7" t="inlineStr">
        <is>
          <t>3. Aşım bayraklı şantiyelerde bütçe veya maliyet kalemini revize edin.</t>
        </is>
      </c>
    </row>
    <row r="28">
      <c r="A28" s="11" t="inlineStr">
        <is>
          <t>Sürüm 1.0.0 | Bu dosya karar destek aracıdır.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21:H21"/>
    <mergeCell ref="A1:L1"/>
    <mergeCell ref="A3:J3"/>
  </mergeCells>
  <conditionalFormatting sqref="B7">
    <cfRule type="cellIs" priority="1" operator="equal" dxfId="0">
      <formula>"UYGUN"</formula>
    </cfRule>
    <cfRule type="cellIs" priority="2" operator="equal" dxfId="1">
      <formula>"DİKKAT"</formula>
    </cfRule>
    <cfRule type="cellIs" priority="3" operator="equal" dxfId="2">
      <formula>"KRİTİK"</formula>
    </cfRule>
    <cfRule type="cellIs" priority="4" operator="equal" dxfId="2">
      <formula>"VERİ YOK"</formula>
    </cfRule>
  </conditionalFormatting>
  <conditionalFormatting sqref="B9">
    <cfRule type="cellIs" priority="5" operator="greaterThan" dxfId="3">
      <formula>0</formula>
    </cfRule>
  </conditionalFormatting>
  <conditionalFormatting sqref="B10">
    <cfRule type="cellIs" priority="6" operator="greaterThan" dxfId="3">
      <formula>0</formula>
    </cfRule>
  </conditionalFormatting>
  <conditionalFormatting sqref="B11">
    <cfRule type="cellIs" priority="7" operator="greaterThan" dxfId="3">
      <formula>0</formula>
    </cfRule>
  </conditionalFormatting>
  <conditionalFormatting sqref="B12">
    <cfRule type="cellIs" priority="8" operator="greaterThan" dxfId="3">
      <formula>0</formula>
    </cfRule>
  </conditionalFormatting>
  <conditionalFormatting sqref="B13">
    <cfRule type="cellIs" priority="9" operator="greaterThan" dxfId="3">
      <formula>0</formula>
    </cfRule>
  </conditionalFormatting>
  <conditionalFormatting sqref="B14">
    <cfRule type="cellIs" priority="10" operator="greaterThan" dxfId="3">
      <formula>0</formula>
    </cfRule>
  </conditionalFormatting>
  <conditionalFormatting sqref="B15">
    <cfRule type="cellIs" priority="11" operator="greaterThan" dxfId="3">
      <formula>0</formula>
    </cfRule>
  </conditionalFormatting>
  <conditionalFormatting sqref="B16">
    <cfRule type="cellIs" priority="12" operator="greaterThan" dxfId="3">
      <formula>0</formula>
    </cfRule>
  </conditionalFormatting>
  <conditionalFormatting sqref="B17">
    <cfRule type="cellIs" priority="13" operator="greaterThan" dxfId="3">
      <formula>0</formula>
    </cfRule>
  </conditionalFormatting>
  <conditionalFormatting sqref="B18">
    <cfRule type="cellIs" priority="14" operator="greaterThan" dxfId="3">
      <formula>0</formula>
    </cfRule>
  </conditionalFormatting>
  <dataValidations count="4">
    <dataValidation sqref="B5" showDropDown="0" showInputMessage="1" showErrorMessage="1" allowBlank="1" errorTitle="Sürüm" error="Geçersiz" promptTitle="Sürüm" prompt="Metin alanı" type="textLength" errorStyle="stop" operator="greaterThanOrEqual">
      <formula1>0</formula1>
      <formula2>200</formula2>
    </dataValidation>
    <dataValidation sqref="A24" showDropDown="0" showInputMessage="1" showErrorMessage="1" allowBlank="1" errorTitle="Aksiyon1" error="Geçersiz" promptTitle="Aksiyon1" prompt="Metin alanı" type="textLength" errorStyle="stop" operator="greaterThanOrEqual">
      <formula1>0</formula1>
      <formula2>200</formula2>
    </dataValidation>
    <dataValidation sqref="A25" showDropDown="0" showInputMessage="1" showErrorMessage="1" allowBlank="1" errorTitle="Aksiyon2" error="Geçersiz" promptTitle="Aksiyon2" prompt="Metin alanı" type="textLength" errorStyle="stop" operator="greaterThanOrEqual">
      <formula1>0</formula1>
      <formula2>200</formula2>
    </dataValidation>
    <dataValidation sqref="A26" showDropDown="0" showInputMessage="1" showErrorMessage="1" allowBlank="1" errorTitle="Aksiyon3" error="Geçersiz" promptTitle="Aksiyon3" prompt="Metin alanı" type="textLength" errorStyle="stop" operator="greaterThanOrEqual">
      <formula1>0</formula1>
      <formula2>200</formula2>
    </dataValidation>
  </dataValidations>
  <pageMargins left="0.4" right="0.4" top="0.5" bottom="0.5" header="0.5" footer="0.5"/>
  <pageSetup orientation="landscape" paperSize="9" fitToHeight="1" fitToWidth="1"/>
  <headerFooter>
    <oddHeader/>
    <oddFooter>&amp;Lİnşaat Hakediş ve Şantiye Maliyet Takip | Kanıt&amp;CExcelArşiv&amp;RSayfa &amp;P / &amp;N</oddFooter>
    <evenHeader/>
    <evenFooter>&amp;Lİnşaat Hakediş ve Şantiye Maliyet Takip | Kanıt&amp;CExcelArşiv&amp;RSayfa &amp;P / &amp;N</evenFooter>
    <firstHeader/>
    <firstFooter/>
  </headerFooter>
</worksheet>
</file>

<file path=xl/worksheets/sheet17.xml><?xml version="1.0" encoding="utf-8"?>
<worksheet xmlns="http://schemas.openxmlformats.org/spreadsheetml/2006/main">
  <sheetPr>
    <tabColor rgb="00C00000"/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 ht="26" customHeight="1">
      <c r="A1" s="1" t="inlineStr">
        <is>
          <t>KONTROLLER — İnşaat Hakediş ve Şantiye Maliyet Takip</t>
        </is>
      </c>
    </row>
    <row r="3">
      <c r="A3" s="38" t="inlineStr">
        <is>
          <t>Canlı Kontrol Paneli</t>
        </is>
      </c>
    </row>
    <row r="5">
      <c r="A5" s="7" t="inlineStr">
        <is>
          <t>İşlem sayısı</t>
        </is>
      </c>
      <c r="B5" s="32">
        <f>COUNTA(tblAkis[IslemId])</f>
        <v/>
      </c>
    </row>
    <row r="6">
      <c r="A6" s="7" t="inlineStr">
        <is>
          <t>Kart sayısı</t>
        </is>
      </c>
      <c r="B6" s="32">
        <f>COUNTA(tblKartlar[KartId])</f>
        <v/>
      </c>
    </row>
    <row r="7">
      <c r="A7" s="7" t="inlineStr">
        <is>
          <t>Bekliyor</t>
        </is>
      </c>
      <c r="B7" s="32">
        <f>COUNTIF(tblAkis[Durum],"BEKLIYOR")</f>
        <v/>
      </c>
    </row>
    <row r="8">
      <c r="A8" s="7" t="inlineStr">
        <is>
          <t>Onay</t>
        </is>
      </c>
      <c r="B8" s="32">
        <f>COUNTIF(tblAkis[Durum],"ONAY")</f>
        <v/>
      </c>
    </row>
    <row r="9">
      <c r="A9" s="7" t="inlineStr">
        <is>
          <t>Ödeme</t>
        </is>
      </c>
      <c r="B9" s="32">
        <f>COUNTIF(tblAkis[Durum],"ODEME")</f>
        <v/>
      </c>
    </row>
    <row r="10">
      <c r="A10" s="7" t="inlineStr">
        <is>
          <t>İptal</t>
        </is>
      </c>
      <c r="B10" s="32">
        <f>COUNTIF(tblAkis[Durum],"IPTAL")</f>
        <v/>
      </c>
    </row>
    <row r="11">
      <c r="A11" s="7" t="inlineStr">
        <is>
          <t>Açık toplam</t>
        </is>
      </c>
      <c r="B11" s="32">
        <f>B7+B8+COUNTIF(tblAkis[Durum],"DRAFT")</f>
        <v/>
      </c>
    </row>
    <row r="12">
      <c r="A12" s="7" t="inlineStr">
        <is>
          <t>Yetim</t>
        </is>
      </c>
      <c r="B12" s="32">
        <f>ihs_yetimKayit</f>
        <v/>
      </c>
    </row>
    <row r="13">
      <c r="A13" s="7" t="inlineStr">
        <is>
          <t>Geçersiz</t>
        </is>
      </c>
      <c r="B13" s="32">
        <f>ihs_gecersizGecis</f>
        <v/>
      </c>
    </row>
    <row r="14">
      <c r="A14" s="7" t="inlineStr">
        <is>
          <t>Zincir kırık</t>
        </is>
      </c>
      <c r="B14" s="32">
        <f>ihs_zincirKirik</f>
        <v/>
      </c>
    </row>
    <row r="15">
      <c r="A15" s="7" t="inlineStr">
        <is>
          <t>Boş karar yolu</t>
        </is>
      </c>
      <c r="B15" s="24">
        <f>IF(B5=0,"VERİ YOK","VERİ VAR")</f>
        <v/>
      </c>
    </row>
    <row r="16">
      <c r="A16" s="7" t="inlineStr">
        <is>
          <t>Kalite skoru</t>
        </is>
      </c>
      <c r="B16" s="32">
        <f>HESAP!C49</f>
        <v/>
      </c>
    </row>
    <row r="17">
      <c r="A17" s="7" t="inlineStr">
        <is>
          <t>Açık tutar</t>
        </is>
      </c>
      <c r="B17" s="31">
        <f>ihs_acikTutar</f>
        <v/>
      </c>
    </row>
    <row r="18">
      <c r="A18" s="7" t="inlineStr">
        <is>
          <t>Gecikme maliyeti</t>
        </is>
      </c>
      <c r="B18" s="31">
        <f>ihs_gecikmeMaliyeti</f>
        <v/>
      </c>
    </row>
    <row r="19">
      <c r="A19" s="7" t="inlineStr">
        <is>
          <t>Kapalı düşüm</t>
        </is>
      </c>
      <c r="B19" s="32">
        <f>ihs_kapaliDusum</f>
        <v/>
      </c>
    </row>
    <row r="20">
      <c r="A20" s="7" t="inlineStr">
        <is>
          <t>Şantiye aşım</t>
        </is>
      </c>
      <c r="B20" s="32">
        <f>ihs_maliyetAsim</f>
        <v/>
      </c>
    </row>
    <row r="21">
      <c r="A21" s="7" t="inlineStr">
        <is>
          <t>Şantiye adet</t>
        </is>
      </c>
      <c r="B21" s="32">
        <f>COUNTA(tblSantiye[SantiyeId])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J1"/>
  </mergeCells>
  <conditionalFormatting sqref="B15">
    <cfRule type="cellIs" priority="1" operator="equal" dxfId="2">
      <formula>"VERİ YOK"</formula>
    </cfRule>
    <cfRule type="cellIs" priority="2" operator="equal" dxfId="0">
      <formula>"VERİ VAR"</formula>
    </cfRule>
  </conditionalFormatting>
  <conditionalFormatting sqref="B16">
    <cfRule type="cellIs" priority="3" operator="greaterThanOrEqual" dxfId="0">
      <formula>90</formula>
    </cfRule>
    <cfRule type="cellIs" priority="4" operator="lessThan" dxfId="2">
      <formula>70</formula>
    </cfRule>
  </conditionalFormatting>
  <conditionalFormatting sqref="B5">
    <cfRule type="cellIs" priority="5" operator="greaterThan" dxfId="3">
      <formula>0</formula>
    </cfRule>
  </conditionalFormatting>
  <conditionalFormatting sqref="B6">
    <cfRule type="cellIs" priority="6" operator="greaterThan" dxfId="3">
      <formula>0</formula>
    </cfRule>
  </conditionalFormatting>
  <conditionalFormatting sqref="B7">
    <cfRule type="cellIs" priority="7" operator="greaterThan" dxfId="3">
      <formula>0</formula>
    </cfRule>
  </conditionalFormatting>
  <conditionalFormatting sqref="B8">
    <cfRule type="cellIs" priority="8" operator="greaterThan" dxfId="3">
      <formula>0</formula>
    </cfRule>
  </conditionalFormatting>
  <conditionalFormatting sqref="B9">
    <cfRule type="cellIs" priority="9" operator="greaterThan" dxfId="3">
      <formula>0</formula>
    </cfRule>
  </conditionalFormatting>
  <conditionalFormatting sqref="B10">
    <cfRule type="cellIs" priority="10" operator="greaterThan" dxfId="3">
      <formula>0</formula>
    </cfRule>
  </conditionalFormatting>
  <conditionalFormatting sqref="B11">
    <cfRule type="cellIs" priority="11" operator="greaterThan" dxfId="3">
      <formula>0</formula>
    </cfRule>
  </conditionalFormatting>
  <conditionalFormatting sqref="B12">
    <cfRule type="cellIs" priority="12" operator="greaterThan" dxfId="3">
      <formula>0</formula>
    </cfRule>
  </conditionalFormatting>
  <conditionalFormatting sqref="B13">
    <cfRule type="cellIs" priority="13" operator="greaterThan" dxfId="3">
      <formula>0</formula>
    </cfRule>
  </conditionalFormatting>
  <conditionalFormatting sqref="B14">
    <cfRule type="cellIs" priority="14" operator="greaterThan" dxfId="3">
      <formula>0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70AD47"/>
    <outlinePr summaryBelow="1" summaryRight="1"/>
    <pageSetUpPr/>
  </sheetPr>
  <dimension ref="A1:L9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4" customWidth="1" min="2" max="2"/>
  </cols>
  <sheetData>
    <row r="1" ht="26" customHeight="1">
      <c r="A1" s="1" t="inlineStr">
        <is>
          <t>ORNEK VERI — İnşaat Hakediş ve Şantiye Maliyet Takip</t>
        </is>
      </c>
    </row>
    <row r="3">
      <c r="A3" s="38" t="inlineStr">
        <is>
          <t>Örnek Senaryo Açıklaması</t>
        </is>
      </c>
    </row>
    <row r="4">
      <c r="A4" s="8" t="inlineStr">
        <is>
          <t>Dosyada 8 kart, 4 şantiye ve 28 akış satırı vardır. Yetim (22, 25), geçersiz geçiş (18, 20) ve zincir kırık (12, 19) kasıtlıdır. Kadıköy Konut bütçesi aşım üretir; karar KRİTİK olabilir. KARTLAR, AKIS ve SANTIYE_MALIYET'i temizleyip kendi verinizi girebilirsiniz.</t>
        </is>
      </c>
    </row>
    <row r="6">
      <c r="A6" s="7" t="inlineStr">
        <is>
          <t>Örnek özet (bilgi)</t>
        </is>
      </c>
    </row>
    <row r="7">
      <c r="A7" s="7" t="inlineStr">
        <is>
          <t>Durumlar: Taslak/Bekliyor/Onay/Ödeme/İptal — kapalılar kuyruktan düşer</t>
        </is>
      </c>
    </row>
    <row r="9">
      <c r="A9" s="7" t="inlineStr">
        <is>
          <t>Ölçek sözleşmesi</t>
        </is>
      </c>
      <c r="B9" s="20" t="n">
        <v>10000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4:H4"/>
    <mergeCell ref="A1:L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F4E79"/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3" max="3"/>
    <col width="12" customWidth="1" min="5" max="5"/>
    <col width="14" customWidth="1" min="7" max="7"/>
    <col width="14" customWidth="1" min="9" max="9"/>
  </cols>
  <sheetData>
    <row r="1" ht="26" customHeight="1">
      <c r="A1" s="1" t="inlineStr">
        <is>
          <t>LISTELER — İnşaat Hakediş ve Şantiye Maliyet Takip</t>
        </is>
      </c>
    </row>
    <row r="3">
      <c r="A3" s="16" t="inlineStr">
        <is>
          <t>Durum Listesi</t>
        </is>
      </c>
      <c r="C3" s="16" t="inlineStr">
        <is>
          <t>İzinli Geçişler</t>
        </is>
      </c>
      <c r="E3" s="24" t="inlineStr">
        <is>
          <t>Evet / Hayır</t>
        </is>
      </c>
      <c r="G3" s="24" t="inlineStr">
        <is>
          <t>Branş</t>
        </is>
      </c>
      <c r="I3" s="24" t="inlineStr">
        <is>
          <t>Şantiye Kimlik</t>
        </is>
      </c>
    </row>
    <row r="6">
      <c r="A6" s="30" t="inlineStr">
        <is>
          <t>DurumId</t>
        </is>
      </c>
      <c r="C6" s="30" t="inlineStr">
        <is>
          <t>Gecis</t>
        </is>
      </c>
      <c r="E6" s="30" t="inlineStr">
        <is>
          <t>Secim</t>
        </is>
      </c>
      <c r="G6" s="30" t="inlineStr">
        <is>
          <t>Brans</t>
        </is>
      </c>
      <c r="I6" s="30" t="inlineStr">
        <is>
          <t>SantiyeId</t>
        </is>
      </c>
    </row>
    <row r="7">
      <c r="A7" s="26" t="inlineStr">
        <is>
          <t>DRAFT</t>
        </is>
      </c>
      <c r="C7" s="26" t="inlineStr">
        <is>
          <t>DRAFT|BEKLIYOR</t>
        </is>
      </c>
      <c r="E7" s="26" t="inlineStr">
        <is>
          <t>EVET</t>
        </is>
      </c>
      <c r="G7" s="26" t="inlineStr">
        <is>
          <t>Kalıp</t>
        </is>
      </c>
      <c r="I7" s="26" t="inlineStr">
        <is>
          <t>SAN-00001</t>
        </is>
      </c>
    </row>
    <row r="8">
      <c r="A8" s="26" t="inlineStr">
        <is>
          <t>BEKLIYOR</t>
        </is>
      </c>
      <c r="C8" s="26" t="inlineStr">
        <is>
          <t>BEKLIYOR|ONAY</t>
        </is>
      </c>
      <c r="E8" s="26" t="inlineStr">
        <is>
          <t>HAYIR</t>
        </is>
      </c>
      <c r="G8" s="26" t="inlineStr">
        <is>
          <t>Demir</t>
        </is>
      </c>
      <c r="I8" s="26" t="inlineStr">
        <is>
          <t>SAN-00002</t>
        </is>
      </c>
    </row>
    <row r="9">
      <c r="A9" s="26" t="inlineStr">
        <is>
          <t>ONAY</t>
        </is>
      </c>
      <c r="C9" s="26" t="inlineStr">
        <is>
          <t>BEKLIYOR|IPTAL</t>
        </is>
      </c>
      <c r="G9" s="26" t="inlineStr">
        <is>
          <t>Beton</t>
        </is>
      </c>
      <c r="I9" s="26" t="inlineStr">
        <is>
          <t>SAN-00003</t>
        </is>
      </c>
    </row>
    <row r="10">
      <c r="A10" s="26" t="inlineStr">
        <is>
          <t>ODEME</t>
        </is>
      </c>
      <c r="C10" s="26" t="inlineStr">
        <is>
          <t>ONAY|ODEME</t>
        </is>
      </c>
      <c r="G10" s="26" t="inlineStr">
        <is>
          <t>Elektrik</t>
        </is>
      </c>
      <c r="I10" s="26" t="inlineStr">
        <is>
          <t>SAN-00004</t>
        </is>
      </c>
    </row>
    <row r="11">
      <c r="A11" s="26" t="inlineStr">
        <is>
          <t>IPTAL</t>
        </is>
      </c>
      <c r="C11" s="26" t="inlineStr">
        <is>
          <t>ONAY|IPTAL</t>
        </is>
      </c>
      <c r="G11" s="26" t="inlineStr">
        <is>
          <t>Tesisat</t>
        </is>
      </c>
    </row>
    <row r="12">
      <c r="G12" s="26" t="inlineStr">
        <is>
          <t>Cephe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J1"/>
  </mergeCells>
  <dataValidations count="10">
    <dataValidation sqref="A7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8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9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10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11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C7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8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9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10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11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001F4E79"/>
    <outlinePr summaryBelow="1" summaryRight="1"/>
    <pageSetUpPr/>
  </sheetPr>
  <dimension ref="A1:N7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0" customWidth="1" min="3" max="3"/>
    <col width="28" customWidth="1" min="4" max="4"/>
    <col width="14" customWidth="1" min="5" max="5"/>
    <col width="28" customWidth="1" min="6" max="6"/>
    <col width="26" customWidth="1" min="8" max="8"/>
    <col width="55" customWidth="1" min="9" max="9"/>
  </cols>
  <sheetData>
    <row r="1" ht="26" customHeight="1">
      <c r="A1" s="1" t="inlineStr">
        <is>
          <t>AYARLAR — İnşaat Hakediş ve Şantiye Maliyet Takip</t>
        </is>
      </c>
    </row>
    <row r="3" ht="20" customHeight="1">
      <c r="A3" s="22" t="inlineStr">
        <is>
          <t>Tek kaynak parametreler + durum haritası (A01/A06)</t>
        </is>
      </c>
    </row>
    <row r="5" ht="30" customHeight="1">
      <c r="A5" s="25" t="inlineStr">
        <is>
          <t>anahtar</t>
        </is>
      </c>
      <c r="B5" s="25" t="inlineStr">
        <is>
          <t>deger</t>
        </is>
      </c>
      <c r="C5" s="25" t="inlineStr">
        <is>
          <t>birim</t>
        </is>
      </c>
      <c r="D5" s="25" t="inlineStr">
        <is>
          <t>kaynak</t>
        </is>
      </c>
      <c r="E5" s="25" t="inlineStr">
        <is>
          <t>yururluk_tarihi</t>
        </is>
      </c>
      <c r="F5" s="25" t="inlineStr">
        <is>
          <t>aciklama</t>
        </is>
      </c>
    </row>
    <row r="6">
      <c r="A6" s="7" t="inlineStr">
        <is>
          <t>raporTarihi</t>
        </is>
      </c>
      <c r="B6" s="29" t="n">
        <v>46248</v>
      </c>
      <c r="C6" s="7" t="inlineStr">
        <is>
          <t>tarih</t>
        </is>
      </c>
      <c r="D6" s="7" t="inlineStr">
        <is>
          <t>Kullanıcı / dönem kapanışı</t>
        </is>
      </c>
      <c r="E6" s="7" t="inlineStr">
        <is>
          <t>01.01.2026</t>
        </is>
      </c>
      <c r="F6" s="8" t="inlineStr">
        <is>
          <t>Rapor tarihi (TODAY yok)</t>
        </is>
      </c>
    </row>
    <row r="7">
      <c r="A7" s="7" t="inlineStr">
        <is>
          <t>zincirTolerans</t>
        </is>
      </c>
      <c r="B7" s="27" t="n">
        <v>10000</v>
      </c>
      <c r="C7" s="7" t="inlineStr">
        <is>
          <t>TL</t>
        </is>
      </c>
      <c r="D7" s="7" t="inlineStr">
        <is>
          <t>İş kuralı — zincir sapma</t>
        </is>
      </c>
      <c r="E7" s="7" t="inlineStr">
        <is>
          <t>01.01.2026</t>
        </is>
      </c>
      <c r="F7" s="8" t="inlineStr">
        <is>
          <t>ZİNCİR KIRIK eşiği</t>
        </is>
      </c>
    </row>
    <row r="8">
      <c r="A8" s="7" t="inlineStr">
        <is>
          <t>ihs_esikGecikmeGun</t>
        </is>
      </c>
      <c r="B8" s="39" t="n">
        <v>30</v>
      </c>
      <c r="C8" s="7" t="inlineStr">
        <is>
          <t>gün</t>
        </is>
      </c>
      <c r="D8" s="7" t="inlineStr">
        <is>
          <t>İç politika</t>
        </is>
      </c>
      <c r="E8" s="7" t="inlineStr">
        <is>
          <t>01.01.2026</t>
        </is>
      </c>
      <c r="F8" s="8" t="inlineStr">
        <is>
          <t>Gecikme eşiği</t>
        </is>
      </c>
    </row>
    <row r="9">
      <c r="A9" s="7" t="inlineStr">
        <is>
          <t>ihs_esikGeciken</t>
        </is>
      </c>
      <c r="B9" s="39" t="n">
        <v>5</v>
      </c>
      <c r="C9" s="7" t="inlineStr">
        <is>
          <t>adet</t>
        </is>
      </c>
      <c r="D9" s="7" t="inlineStr">
        <is>
          <t>İç politika</t>
        </is>
      </c>
      <c r="E9" s="7" t="inlineStr">
        <is>
          <t>01.01.2026</t>
        </is>
      </c>
      <c r="F9" s="8" t="inlineStr">
        <is>
          <t>Karar eşiği geciken</t>
        </is>
      </c>
    </row>
    <row r="10">
      <c r="A10" s="7" t="inlineStr">
        <is>
          <t>ihs_gecikmeOranGun</t>
        </is>
      </c>
      <c r="B10" s="40" t="n">
        <v>0.0005</v>
      </c>
      <c r="C10" s="7" t="inlineStr">
        <is>
          <t>oran</t>
        </is>
      </c>
      <c r="D10" s="7" t="inlineStr">
        <is>
          <t>Finans varsayımı</t>
        </is>
      </c>
      <c r="E10" s="7" t="inlineStr">
        <is>
          <t>01.01.2026</t>
        </is>
      </c>
      <c r="F10" s="8" t="inlineStr">
        <is>
          <t>Günlük gecikme maliyeti oranı</t>
        </is>
      </c>
    </row>
    <row r="11">
      <c r="A11" s="7" t="inlineStr">
        <is>
          <t>ihs_senaryoTemkinli</t>
        </is>
      </c>
      <c r="B11" s="40" t="n">
        <v>0.85</v>
      </c>
      <c r="C11" s="7" t="inlineStr">
        <is>
          <t>oran</t>
        </is>
      </c>
      <c r="D11" s="7" t="inlineStr">
        <is>
          <t>Senaryo motoru</t>
        </is>
      </c>
      <c r="E11" s="7" t="inlineStr">
        <is>
          <t>01.01.2026</t>
        </is>
      </c>
      <c r="F11" s="8" t="inlineStr">
        <is>
          <t>Temkinli çarpan</t>
        </is>
      </c>
    </row>
    <row r="12">
      <c r="A12" s="7" t="inlineStr">
        <is>
          <t>ihs_senaryoBaz</t>
        </is>
      </c>
      <c r="B12" s="40" t="n">
        <v>1</v>
      </c>
      <c r="C12" s="7" t="inlineStr">
        <is>
          <t>oran</t>
        </is>
      </c>
      <c r="D12" s="7" t="inlineStr">
        <is>
          <t>Senaryo motoru</t>
        </is>
      </c>
      <c r="E12" s="7" t="inlineStr">
        <is>
          <t>01.01.2026</t>
        </is>
      </c>
      <c r="F12" s="8" t="inlineStr">
        <is>
          <t>Baz çarpan</t>
        </is>
      </c>
    </row>
    <row r="13">
      <c r="A13" s="7" t="inlineStr">
        <is>
          <t>ihs_senaryoIyimser</t>
        </is>
      </c>
      <c r="B13" s="39" t="n">
        <v>1.15</v>
      </c>
      <c r="C13" s="7" t="inlineStr">
        <is>
          <t>oran</t>
        </is>
      </c>
      <c r="D13" s="7" t="inlineStr">
        <is>
          <t>Senaryo motoru</t>
        </is>
      </c>
      <c r="E13" s="7" t="inlineStr">
        <is>
          <t>01.01.2026</t>
        </is>
      </c>
      <c r="F13" s="8" t="inlineStr">
        <is>
          <t>İyimser çarpan</t>
        </is>
      </c>
    </row>
    <row r="14">
      <c r="A14" s="7" t="inlineStr">
        <is>
          <t>ihs_tornadoOran</t>
        </is>
      </c>
      <c r="B14" s="40" t="n">
        <v>0.08</v>
      </c>
      <c r="C14" s="7" t="inlineStr">
        <is>
          <t>oran</t>
        </is>
      </c>
      <c r="D14" s="7" t="inlineStr">
        <is>
          <t>Duyarlılık</t>
        </is>
      </c>
      <c r="E14" s="7" t="inlineStr">
        <is>
          <t>01.01.2026</t>
        </is>
      </c>
      <c r="F14" s="8" t="inlineStr">
        <is>
          <t>Tornado etki oranı</t>
        </is>
      </c>
    </row>
    <row r="15">
      <c r="A15" s="7" t="inlineStr">
        <is>
          <t>ihs_yuzdelikOran</t>
        </is>
      </c>
      <c r="B15" s="40" t="n">
        <v>0.9</v>
      </c>
      <c r="C15" s="7" t="inlineStr">
        <is>
          <t>oran</t>
        </is>
      </c>
      <c r="D15" s="7" t="inlineStr">
        <is>
          <t>İstatistik kuralı</t>
        </is>
      </c>
      <c r="E15" s="7" t="inlineStr">
        <is>
          <t>01.01.2026</t>
        </is>
      </c>
      <c r="F15" s="8" t="inlineStr">
        <is>
          <t>PERCENTILE oranı</t>
        </is>
      </c>
    </row>
    <row r="16">
      <c r="A16" s="7" t="inlineStr">
        <is>
          <t>ihs_olcekHedef</t>
        </is>
      </c>
      <c r="B16" s="39" t="n">
        <v>10000</v>
      </c>
      <c r="C16" s="7" t="inlineStr">
        <is>
          <t>satir</t>
        </is>
      </c>
      <c r="D16" s="7" t="inlineStr">
        <is>
          <t>Manda A3 Ö1</t>
        </is>
      </c>
      <c r="E16" s="7" t="inlineStr">
        <is>
          <t>01.01.2026</t>
        </is>
      </c>
      <c r="F16" s="8" t="inlineStr">
        <is>
          <t>Ölçek sözleşmesi</t>
        </is>
      </c>
    </row>
    <row r="17">
      <c r="A17" s="7" t="inlineStr">
        <is>
          <t>ihs_azamiTutar</t>
        </is>
      </c>
      <c r="B17" s="27" t="n">
        <v>50000000</v>
      </c>
      <c r="C17" s="7" t="inlineStr">
        <is>
          <t>TL</t>
        </is>
      </c>
      <c r="D17" s="7" t="inlineStr">
        <is>
          <t>İç politika — uç değer</t>
        </is>
      </c>
      <c r="E17" s="7" t="inlineStr">
        <is>
          <t>01.01.2026</t>
        </is>
      </c>
      <c r="F17" s="8" t="inlineStr">
        <is>
          <t>Azami makul</t>
        </is>
      </c>
    </row>
    <row r="18">
      <c r="A18" s="7" t="inlineStr">
        <is>
          <t>ihs_asimCarpan</t>
        </is>
      </c>
      <c r="B18" s="40" t="n">
        <v>1</v>
      </c>
      <c r="C18" s="7" t="inlineStr">
        <is>
          <t>oran</t>
        </is>
      </c>
      <c r="D18" s="7" t="inlineStr">
        <is>
          <t>Şantiye bütçe eşiği</t>
        </is>
      </c>
      <c r="E18" s="7" t="inlineStr">
        <is>
          <t>01.01.2026</t>
        </is>
      </c>
      <c r="F18" s="8" t="inlineStr">
        <is>
          <t>Aşım = maliyet &gt; bütçe × çarpan</t>
        </is>
      </c>
    </row>
    <row r="19">
      <c r="A19" s="7" t="inlineStr">
        <is>
          <t>ihs_durumHaritasi</t>
        </is>
      </c>
      <c r="B19" s="26" t="inlineStr">
        <is>
          <t>AYARLAR durum tablosu</t>
        </is>
      </c>
      <c r="C19" s="7" t="inlineStr">
        <is>
          <t>metin</t>
        </is>
      </c>
      <c r="D19" s="7" t="inlineStr">
        <is>
          <t>SPEC akis.durum_haritasi</t>
        </is>
      </c>
      <c r="E19" s="7" t="inlineStr">
        <is>
          <t>01.01.2026</t>
        </is>
      </c>
      <c r="F19" s="8" t="inlineStr">
        <is>
          <t>Durum makinesi kaynağı</t>
        </is>
      </c>
    </row>
    <row r="20">
      <c r="A20" s="7" t="inlineStr">
        <is>
          <t>ihs_kuyrukOzeti_metin</t>
        </is>
      </c>
      <c r="B20" s="26" t="inlineStr">
        <is>
          <t>KUYRUKLAR canlı özet</t>
        </is>
      </c>
      <c r="C20" s="7" t="inlineStr">
        <is>
          <t>metin</t>
        </is>
      </c>
      <c r="D20" s="7" t="inlineStr">
        <is>
          <t>A05 kuyruk</t>
        </is>
      </c>
      <c r="E20" s="7" t="inlineStr">
        <is>
          <t>01.01.2026</t>
        </is>
      </c>
      <c r="F20" s="8" t="inlineStr">
        <is>
          <t>Kuyruk görünümü</t>
        </is>
      </c>
    </row>
    <row r="21">
      <c r="A21" s="7" t="inlineStr">
        <is>
          <t>ihs_kapaliDusum_metin</t>
        </is>
      </c>
      <c r="B21" s="26" t="inlineStr">
        <is>
          <t>kapali kategori kuyruktan düşer</t>
        </is>
      </c>
      <c r="C21" s="7" t="inlineStr">
        <is>
          <t>metin</t>
        </is>
      </c>
      <c r="D21" s="7" t="inlineStr">
        <is>
          <t>A06</t>
        </is>
      </c>
      <c r="E21" s="7" t="inlineStr">
        <is>
          <t>01.01.2026</t>
        </is>
      </c>
      <c r="F21" s="8" t="inlineStr">
        <is>
          <t>Kapalı düşüm kuralı</t>
        </is>
      </c>
    </row>
    <row r="22">
      <c r="A22" s="7" t="inlineStr">
        <is>
          <t>ihs_kanitRaporu_metin</t>
        </is>
      </c>
      <c r="B22" s="26" t="inlineStr">
        <is>
          <t>RAPOR kanıt çıktısı</t>
        </is>
      </c>
      <c r="C22" s="7" t="inlineStr">
        <is>
          <t>metin</t>
        </is>
      </c>
      <c r="D22" s="7" t="inlineStr">
        <is>
          <t>Dönemsel rapor</t>
        </is>
      </c>
      <c r="E22" s="7" t="inlineStr">
        <is>
          <t>01.01.2026</t>
        </is>
      </c>
      <c r="F22" s="8" t="inlineStr">
        <is>
          <t>Kanıt raporu</t>
        </is>
      </c>
    </row>
    <row r="23">
      <c r="A23" s="7" t="inlineStr">
        <is>
          <t>ihs_dosyaSurumu</t>
        </is>
      </c>
      <c r="B23" s="26" t="inlineStr">
        <is>
          <t>1.0.0</t>
        </is>
      </c>
      <c r="C23" s="7" t="inlineStr">
        <is>
          <t>metin</t>
        </is>
      </c>
      <c r="D23" s="7" t="inlineStr">
        <is>
          <t>Sürüm yönetimi</t>
        </is>
      </c>
      <c r="E23" s="7" t="inlineStr">
        <is>
          <t>01.01.2026</t>
        </is>
      </c>
      <c r="F23" s="8" t="inlineStr">
        <is>
          <t>Ürün sürümü</t>
        </is>
      </c>
    </row>
    <row r="24">
      <c r="A24" s="7" t="inlineStr">
        <is>
          <t>ihs_firmaUnvan</t>
        </is>
      </c>
      <c r="B24" s="26" t="inlineStr">
        <is>
          <t>Örnek İnşaat A.Ş.</t>
        </is>
      </c>
      <c r="C24" s="7" t="inlineStr">
        <is>
          <t>metin</t>
        </is>
      </c>
      <c r="D24" s="7" t="inlineStr">
        <is>
          <t>Kullanıcı girişi</t>
        </is>
      </c>
      <c r="E24" s="7" t="inlineStr">
        <is>
          <t>01.01.2026</t>
        </is>
      </c>
      <c r="F24" s="8" t="inlineStr">
        <is>
          <t>Firma</t>
        </is>
      </c>
    </row>
    <row r="28">
      <c r="H28" s="5" t="inlineStr">
        <is>
          <t>Durum Haritası</t>
        </is>
      </c>
    </row>
    <row r="29" ht="30" customHeight="1">
      <c r="H29" s="25" t="inlineStr">
        <is>
          <t>durum_id</t>
        </is>
      </c>
      <c r="I29" s="25" t="inlineStr">
        <is>
          <t>durum_adi</t>
        </is>
      </c>
      <c r="J29" s="25" t="inlineStr">
        <is>
          <t>sira</t>
        </is>
      </c>
      <c r="K29" s="25" t="inlineStr">
        <is>
          <t>izinli_sonraki_durumlar</t>
        </is>
      </c>
      <c r="L29" s="25" t="inlineStr">
        <is>
          <t>kategori</t>
        </is>
      </c>
    </row>
    <row r="30">
      <c r="H30" s="7" t="inlineStr">
        <is>
          <t>DRAFT</t>
        </is>
      </c>
      <c r="I30" s="7" t="inlineStr">
        <is>
          <t>Taslak</t>
        </is>
      </c>
      <c r="J30" s="20" t="n">
        <v>1</v>
      </c>
      <c r="K30" s="7" t="inlineStr">
        <is>
          <t>BEKLIYOR</t>
        </is>
      </c>
      <c r="L30" s="7" t="inlineStr">
        <is>
          <t>acik</t>
        </is>
      </c>
    </row>
    <row r="31">
      <c r="H31" s="7" t="inlineStr">
        <is>
          <t>BEKLIYOR</t>
        </is>
      </c>
      <c r="I31" s="7" t="inlineStr">
        <is>
          <t>Bekliyor</t>
        </is>
      </c>
      <c r="J31" s="20" t="n">
        <v>2</v>
      </c>
      <c r="K31" s="7" t="inlineStr">
        <is>
          <t>ONAY|IPTAL</t>
        </is>
      </c>
      <c r="L31" s="7" t="inlineStr">
        <is>
          <t>acik</t>
        </is>
      </c>
    </row>
    <row r="32">
      <c r="H32" s="7" t="inlineStr">
        <is>
          <t>ONAY</t>
        </is>
      </c>
      <c r="I32" s="7" t="inlineStr">
        <is>
          <t>Onaylandı</t>
        </is>
      </c>
      <c r="J32" s="20" t="n">
        <v>3</v>
      </c>
      <c r="K32" s="7" t="inlineStr">
        <is>
          <t>ODEME|IPTAL</t>
        </is>
      </c>
      <c r="L32" s="7" t="inlineStr">
        <is>
          <t>acik</t>
        </is>
      </c>
    </row>
    <row r="33">
      <c r="H33" s="7" t="inlineStr">
        <is>
          <t>ODEME</t>
        </is>
      </c>
      <c r="I33" s="7" t="inlineStr">
        <is>
          <t>Ödendi</t>
        </is>
      </c>
      <c r="J33" s="20" t="n">
        <v>4</v>
      </c>
      <c r="K33" s="7" t="inlineStr"/>
      <c r="L33" s="7" t="inlineStr">
        <is>
          <t>kapali</t>
        </is>
      </c>
    </row>
    <row r="34">
      <c r="H34" s="7" t="inlineStr">
        <is>
          <t>IPTAL</t>
        </is>
      </c>
      <c r="I34" s="7" t="inlineStr">
        <is>
          <t>İptal</t>
        </is>
      </c>
      <c r="J34" s="20" t="n">
        <v>5</v>
      </c>
      <c r="K34" s="7" t="inlineStr"/>
      <c r="L34" s="7" t="inlineStr">
        <is>
          <t>kapali</t>
        </is>
      </c>
    </row>
    <row r="38">
      <c r="H38" s="16" t="inlineStr">
        <is>
          <t>Motor Çıktıları</t>
        </is>
      </c>
    </row>
    <row r="39">
      <c r="H39" s="30" t="inlineStr">
        <is>
          <t>anahtar</t>
        </is>
      </c>
      <c r="I39" s="30" t="inlineStr">
        <is>
          <t>deger</t>
        </is>
      </c>
    </row>
    <row r="40">
      <c r="H40" s="7" t="inlineStr">
        <is>
          <t>ihs_acikAdet</t>
        </is>
      </c>
      <c r="I40" s="8">
        <f>HESAP!C19</f>
        <v/>
      </c>
    </row>
    <row r="41">
      <c r="H41" s="7" t="inlineStr">
        <is>
          <t>ihs_acikTutar</t>
        </is>
      </c>
      <c r="I41" s="8">
        <f>HESAP!C21</f>
        <v/>
      </c>
    </row>
    <row r="42">
      <c r="H42" s="7" t="inlineStr">
        <is>
          <t>ihs_gecikenAdet</t>
        </is>
      </c>
      <c r="I42" s="8">
        <f>HESAP!C31</f>
        <v/>
      </c>
    </row>
    <row r="43">
      <c r="H43" s="7" t="inlineStr">
        <is>
          <t>ihs_gecikmeMaliyeti</t>
        </is>
      </c>
      <c r="I43" s="8">
        <f>HESAP!C33</f>
        <v/>
      </c>
    </row>
    <row r="44">
      <c r="H44" s="7" t="inlineStr">
        <is>
          <t>ihs_yetimKayit</t>
        </is>
      </c>
      <c r="I44" s="8">
        <f>HESAP!C22</f>
        <v/>
      </c>
    </row>
    <row r="45">
      <c r="H45" s="7" t="inlineStr">
        <is>
          <t>ihs_gecersizGecis</t>
        </is>
      </c>
      <c r="I45" s="8">
        <f>HESAP!C23</f>
        <v/>
      </c>
    </row>
    <row r="46">
      <c r="H46" s="7" t="inlineStr">
        <is>
          <t>ihs_zincirKirik</t>
        </is>
      </c>
      <c r="I46" s="8">
        <f>HESAP!C24</f>
        <v/>
      </c>
    </row>
    <row r="47">
      <c r="H47" s="7" t="inlineStr">
        <is>
          <t>ihs_yasKova</t>
        </is>
      </c>
      <c r="I47" s="8">
        <f>HESAP!C48</f>
        <v/>
      </c>
    </row>
    <row r="48">
      <c r="H48" s="7" t="inlineStr">
        <is>
          <t>ihs_tahminAralik</t>
        </is>
      </c>
      <c r="I48" s="8">
        <f>HESAP!C43</f>
        <v/>
      </c>
    </row>
    <row r="49">
      <c r="H49" s="7" t="inlineStr">
        <is>
          <t>ihs_senaryoKarsilastirma</t>
        </is>
      </c>
      <c r="I49" s="8">
        <f>HESAP!C37</f>
        <v/>
      </c>
    </row>
    <row r="50">
      <c r="H50" s="7" t="inlineStr">
        <is>
          <t>ihs_tornadoZirve</t>
        </is>
      </c>
      <c r="I50" s="8">
        <f>HESAP!C38</f>
        <v/>
      </c>
    </row>
    <row r="51">
      <c r="H51" s="7" t="inlineStr">
        <is>
          <t>ihs_odemeOncelik</t>
        </is>
      </c>
      <c r="I51" s="8">
        <f>HESAP!C39</f>
        <v/>
      </c>
    </row>
    <row r="52">
      <c r="H52" s="7" t="inlineStr">
        <is>
          <t>ihs_paretoGecikme</t>
        </is>
      </c>
      <c r="I52" s="8">
        <f>HESAP!C40</f>
        <v/>
      </c>
    </row>
    <row r="53">
      <c r="H53" s="7" t="inlineStr">
        <is>
          <t>ihs_kapaliDusum</t>
        </is>
      </c>
      <c r="I53" s="8">
        <f>HESAP!C20</f>
        <v/>
      </c>
    </row>
    <row r="54">
      <c r="H54" s="7" t="inlineStr">
        <is>
          <t>ihs_kuyrukOzeti</t>
        </is>
      </c>
      <c r="I54" s="8">
        <f>HESAP!C47</f>
        <v/>
      </c>
    </row>
    <row r="55">
      <c r="H55" s="7" t="inlineStr">
        <is>
          <t>ihs_kanitRaporu</t>
        </is>
      </c>
      <c r="I55" s="8">
        <f>HESAP!C60</f>
        <v/>
      </c>
    </row>
    <row r="56">
      <c r="H56" s="7" t="inlineStr">
        <is>
          <t>ihs_sonrakiKimlik</t>
        </is>
      </c>
      <c r="I56" s="8">
        <f>"KAR-"&amp;TEXT(COUNTA(tblKartlar[KartId])+1,"00000")</f>
        <v/>
      </c>
    </row>
    <row r="57">
      <c r="H57" s="7" t="inlineStr">
        <is>
          <t>ihs_santiyeMaliyet</t>
        </is>
      </c>
      <c r="I57" s="8">
        <f>HESAP!C59</f>
        <v/>
      </c>
    </row>
    <row r="58">
      <c r="H58" s="7" t="inlineStr">
        <is>
          <t>ihs_maliyetAsim</t>
        </is>
      </c>
      <c r="I58" s="8">
        <f>HESAP!C56</f>
        <v/>
      </c>
    </row>
    <row r="59">
      <c r="H59" s="7" t="inlineStr">
        <is>
          <t>ihs_modulO8</t>
        </is>
      </c>
      <c r="I59" s="8">
        <f>HESAP!C57</f>
        <v/>
      </c>
    </row>
    <row r="60">
      <c r="H60" s="7" t="inlineStr">
        <is>
          <t>ihs_modulI2</t>
        </is>
      </c>
      <c r="I60" s="8">
        <f>HESAP!C58</f>
        <v/>
      </c>
    </row>
    <row r="62">
      <c r="H62" s="16" t="inlineStr">
        <is>
          <t>Yorumlar</t>
        </is>
      </c>
    </row>
    <row r="63">
      <c r="H63" s="7" t="inlineStr">
        <is>
          <t>ihs_yorumYas</t>
        </is>
      </c>
      <c r="I63" s="8">
        <f>_xlfn.TEXTJOIN(" ",TRUE,"Yaş kovaları",ihs_yasKova)</f>
        <v/>
      </c>
    </row>
    <row r="64">
      <c r="H64" s="7" t="inlineStr">
        <is>
          <t>ihs_yorumGecikme</t>
        </is>
      </c>
      <c r="I64" s="8">
        <f>_xlfn.TEXTJOIN(" ",TRUE,"Gecikme maliyeti",TEXT(ihs_gecikmeMaliyeti,"0.00"),"TL")</f>
        <v/>
      </c>
    </row>
    <row r="65">
      <c r="H65" s="7" t="inlineStr">
        <is>
          <t>ihs_yorumTahmin</t>
        </is>
      </c>
      <c r="I65" s="8">
        <f>_xlfn.TEXTJOIN(" ",TRUE,"Tahmin aralık",TEXT(ihs_tahminAralik,"0.00"),"TL")</f>
        <v/>
      </c>
    </row>
    <row r="66">
      <c r="H66" s="7" t="inlineStr">
        <is>
          <t>ihs_yorumSenaryo</t>
        </is>
      </c>
      <c r="I66" s="8">
        <f>_xlfn.TEXTJOIN(" ",TRUE,"Senaryo farkı",TEXT(ihs_senaryoKarsilastirma,"0.00"),"TL")</f>
        <v/>
      </c>
    </row>
    <row r="67">
      <c r="H67" s="7" t="inlineStr">
        <is>
          <t>ihs_yorumTornado</t>
        </is>
      </c>
      <c r="I67" s="8">
        <f>_xlfn.TEXTJOIN(" ",TRUE,"Tornado zirve",TEXT(ihs_tornadoZirve,"0.00"),"TL")</f>
        <v/>
      </c>
    </row>
    <row r="68">
      <c r="H68" s="7" t="inlineStr">
        <is>
          <t>ihs_yorumOncelik</t>
        </is>
      </c>
      <c r="I68" s="8">
        <f>_xlfn.TEXTJOIN(" ",TRUE,"Ödeme öncelik havuzu",TEXT(ihs_odemeOncelik,"0.00"),"TL")</f>
        <v/>
      </c>
    </row>
    <row r="69">
      <c r="H69" s="7" t="inlineStr">
        <is>
          <t>ihs_yorumPareto</t>
        </is>
      </c>
      <c r="I69" s="8">
        <f>_xlfn.TEXTJOIN(" ",TRUE,"Pareto gecikme payı",TEXT(ihs_paretoGecikme,"0.0%"))</f>
        <v/>
      </c>
    </row>
    <row r="70">
      <c r="H70" s="7" t="inlineStr">
        <is>
          <t>ihs_modulO8Yorum</t>
        </is>
      </c>
      <c r="I70" s="8">
        <f>_xlfn.TEXTJOIN(" ",TRUE,"Kalite",TEXT(ihs_modulO8,"0"),"yetim/geçiş/zincir düşer")</f>
        <v/>
      </c>
    </row>
    <row r="71">
      <c r="H71" s="7" t="inlineStr">
        <is>
          <t>ihs_modulI2Yorum</t>
        </is>
      </c>
      <c r="I71" s="8">
        <f>_xlfn.TEXTJOIN(" ",TRUE,"Yüzdelik 90 tutar",TEXT(ihs_modulI2,"0.00"),"TL")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N1"/>
  </mergeCells>
  <dataValidations count="19">
    <dataValidation sqref="D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001F4E79"/>
    <outlinePr summaryBelow="1" summaryRight="1"/>
    <pageSetUpPr/>
  </sheetPr>
  <dimension ref="A1:L15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26" customHeight="1">
      <c r="A1" s="1" t="inlineStr">
        <is>
          <t>KILAVUZ — İnşaat Hakediş ve Şantiye Maliyet Takip</t>
        </is>
      </c>
    </row>
    <row r="3">
      <c r="A3" s="10" t="inlineStr">
        <is>
          <t>Kullanım Kılavuzu</t>
        </is>
      </c>
    </row>
    <row r="5">
      <c r="A5" s="8" t="inlineStr">
        <is>
          <t>1. KARTLAR sayfasına taşeron kartı ekleyin; şantiye kimliğini bağlayın.</t>
        </is>
      </c>
    </row>
    <row r="6">
      <c r="A6" s="8" t="inlineStr">
        <is>
          <t>2. AKIS sayfasına her hakediş olayını yazın; durum kolonunu listeden seçin.</t>
        </is>
      </c>
    </row>
    <row r="7">
      <c r="A7" s="8" t="inlineStr">
        <is>
          <t>3. SANTIYE_MALIYET kartına bütçe ve maliyet kalemlerini girin; hakediş otomatik toplanır.</t>
        </is>
      </c>
    </row>
    <row r="8">
      <c r="A8" s="8" t="inlineStr">
        <is>
          <t>4. Önceki durum boş bırakılırsa geçiş uyarısı çalışmaz; bilinçli geçişte doldurun.</t>
        </is>
      </c>
    </row>
    <row r="9">
      <c r="A9" s="8" t="inlineStr">
        <is>
          <t>5. Geçersiz geçiş engellenmez — kırmızı uyarı üretir (makrosuz kural).</t>
        </is>
      </c>
    </row>
    <row r="10">
      <c r="A10" s="8" t="inlineStr">
        <is>
          <t>6. Kapalı durumlar (Ödendi/İptal) açık kuyruklardan düşer.</t>
        </is>
      </c>
    </row>
    <row r="11">
      <c r="A11" s="8" t="inlineStr">
        <is>
          <t>7. Bütçe aşımı KRİTİK, gecikme eşiği DİKKAT, boş veri VERİ YOK üretir.</t>
        </is>
      </c>
    </row>
    <row r="12">
      <c r="A12" s="8" t="inlineStr">
        <is>
          <t>8. raporTarihi AYARLAR'dadır; TODAY kullanılmaz.</t>
        </is>
      </c>
    </row>
    <row r="13">
      <c r="A13" s="8" t="inlineStr">
        <is>
          <t>9. Koruma şifresi: 1234 — formül hücreleri kilitli, sarı hücreler açıktır.</t>
        </is>
      </c>
    </row>
    <row r="14">
      <c r="A14" s="8" t="inlineStr">
        <is>
          <t>10. RAPOR sayfasını PDF olarak yazdırabilirsiniz.</t>
        </is>
      </c>
    </row>
    <row r="15">
      <c r="A15" s="8" t="inlineStr">
        <is>
          <t>11. 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2">
    <mergeCell ref="A5:J5"/>
    <mergeCell ref="A8:J8"/>
    <mergeCell ref="A14:J14"/>
    <mergeCell ref="A6:J6"/>
    <mergeCell ref="A9:J9"/>
    <mergeCell ref="A1:L1"/>
    <mergeCell ref="A12:J12"/>
    <mergeCell ref="A7:J7"/>
    <mergeCell ref="A15:J15"/>
    <mergeCell ref="A10:J10"/>
    <mergeCell ref="A13:J13"/>
    <mergeCell ref="A11:J11"/>
  </mergeCells>
  <dataValidations count="11">
    <dataValidation sqref="A5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6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7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8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9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0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1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2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3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4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5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2026-08-14T18:33:26Z</dcterms:created>
  <dcterms:modified xmlns:dcterms="http://purl.org/dc/terms/" xmlns:xsi="http://www.w3.org/2001/XMLSchema-instance" xsi:type="dcterms:W3CDTF">2026-09-25T14:56:05Z</dcterms:modified>
</cp:coreProperties>
</file>