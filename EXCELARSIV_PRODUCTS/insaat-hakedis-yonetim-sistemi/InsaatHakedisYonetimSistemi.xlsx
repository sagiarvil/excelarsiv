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ANO" sheetId="5" state="hidden" r:id="rId5"/>
    <sheet xmlns:r="http://schemas.openxmlformats.org/officeDocument/2006/relationships" name="KARTLAR" sheetId="6" state="hidden" r:id="rId6"/>
    <sheet xmlns:r="http://schemas.openxmlformats.org/officeDocument/2006/relationships" name="AKIS" sheetId="7" state="hidden" r:id="rId7"/>
    <sheet xmlns:r="http://schemas.openxmlformats.org/officeDocument/2006/relationships" name="KUYRUKLAR" sheetId="8" state="hidden" r:id="rId8"/>
    <sheet xmlns:r="http://schemas.openxmlformats.org/officeDocument/2006/relationships" name="HESAP" sheetId="9" state="hidden" r:id="rId9"/>
    <sheet xmlns:r="http://schemas.openxmlformats.org/officeDocument/2006/relationships" name="RAPOR" sheetId="10" state="hidden" r:id="rId10"/>
    <sheet xmlns:r="http://schemas.openxmlformats.org/officeDocument/2006/relationships" name="KONTROLLER" sheetId="11" state="hidden" r:id="rId11"/>
    <sheet xmlns:r="http://schemas.openxmlformats.org/officeDocument/2006/relationships" name="ORNEK_VERI" sheetId="12" state="hidden" r:id="rId12"/>
    <sheet xmlns:r="http://schemas.openxmlformats.org/officeDocument/2006/relationships" name="LISTELER" sheetId="13" state="hidden" r:id="rId13"/>
    <sheet xmlns:r="http://schemas.openxmlformats.org/officeDocument/2006/relationships" name="AYARLAR" sheetId="14" state="hidden" r:id="rId14"/>
    <sheet xmlns:r="http://schemas.openxmlformats.org/officeDocument/2006/relationships" name="KILAVUZ" sheetId="15" state="hidden" r:id="rId15"/>
  </sheets>
  <definedNames>
    <definedName name="raporTarihi">AYARLAR!$B$6</definedName>
    <definedName name="zincirTolerans">AYARLAR!$B$7</definedName>
    <definedName name="ihy_esikGecikmeGun">AYARLAR!$B$8</definedName>
    <definedName name="ihy_esikGeciken">AYARLAR!$B$9</definedName>
    <definedName name="ihy_gecikmeOranGun">AYARLAR!$B$10</definedName>
    <definedName name="ihy_senaryoTemkinli">AYARLAR!$B$11</definedName>
    <definedName name="ihy_senaryoBaz">AYARLAR!$B$12</definedName>
    <definedName name="ihy_senaryoIyimser">AYARLAR!$B$13</definedName>
    <definedName name="ihy_tornadoOran">AYARLAR!$B$14</definedName>
    <definedName name="ihy_yuzdelikOran">AYARLAR!$B$15</definedName>
    <definedName name="ihy_olcekHedef">AYARLAR!$B$16</definedName>
    <definedName name="ihy_azamiTutar">AYARLAR!$B$17</definedName>
    <definedName name="ihy_durumHaritasi">AYARLAR!$B$18</definedName>
    <definedName name="ihy_kuyrukOzeti_metin">AYARLAR!$B$19</definedName>
    <definedName name="ihy_kapaliDusum_metin">AYARLAR!$B$20</definedName>
    <definedName name="ihy_kanitRaporu_metin">AYARLAR!$B$21</definedName>
    <definedName name="ihy_dosyaSurumu">AYARLAR!$B$22</definedName>
    <definedName name="ihy_firmaUnvan">AYARLAR!$B$23</definedName>
    <definedName name="ihy_acikAdet">AYARLAR!$I$38</definedName>
    <definedName name="ihy_acikTutar">AYARLAR!$I$39</definedName>
    <definedName name="ihy_gecikenAdet">AYARLAR!$I$40</definedName>
    <definedName name="ihy_gecikmeMaliyeti">AYARLAR!$I$41</definedName>
    <definedName name="ihy_yetimKayit">AYARLAR!$I$42</definedName>
    <definedName name="ihy_gecersizGecis">AYARLAR!$I$43</definedName>
    <definedName name="ihy_zincirKirik">AYARLAR!$I$44</definedName>
    <definedName name="ihy_yasKova">AYARLAR!$I$45</definedName>
    <definedName name="ihy_tahminAralik">AYARLAR!$I$46</definedName>
    <definedName name="ihy_senaryoKarsilastirma">AYARLAR!$I$47</definedName>
    <definedName name="ihy_tornadoZirve">AYARLAR!$I$48</definedName>
    <definedName name="ihy_odemeOncelik">AYARLAR!$I$49</definedName>
    <definedName name="ihy_paretoGecikme">AYARLAR!$I$50</definedName>
    <definedName name="ihy_kapaliDusum">AYARLAR!$I$51</definedName>
    <definedName name="ihy_kuyrukOzeti">AYARLAR!$I$52</definedName>
    <definedName name="ihy_kanitRaporu">AYARLAR!$I$53</definedName>
    <definedName name="ihy_sonrakiKimlik">AYARLAR!$I$54</definedName>
    <definedName name="ihy_yorumYas">AYARLAR!$I$57</definedName>
    <definedName name="ihy_yorumGecikme">AYARLAR!$I$58</definedName>
    <definedName name="ihy_yorumTahmin">AYARLAR!$I$59</definedName>
    <definedName name="ihy_yorumSenaryo">AYARLAR!$I$60</definedName>
    <definedName name="ihy_yorumTornado">AYARLAR!$I$61</definedName>
    <definedName name="ihy_yorumOncelik">AYARLAR!$I$62</definedName>
    <definedName name="ihy_yorumPareto">AYARLAR!$I$63</definedName>
    <definedName name="ListeDurumlar">LISTELER!$A$7:$A$11</definedName>
    <definedName name="ListeIzinliGecis">LISTELER!$C$7:$C$11</definedName>
    <definedName name="ListeEvetHayir">LISTELER!$E$7:$E$8</definedName>
    <definedName name="_xlnm.Print_Area" localSheetId="4">'PANO'!$A$1:$N$34</definedName>
    <definedName name="_xlnm.Print_Area" localSheetId="9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'PANO'!$D$25:$D$28</f>
            </numRef>
          </cat>
          <val>
            <numRef>
              <f>'PANO'!$E$25:$E$28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Hakediş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'PANO'!$G$25:$G$32</f>
            </numRef>
          </cat>
          <val>
            <numRef>
              <f>'PANO'!$H$25:$H$32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'PANO'!$M$25:$M$28</f>
            </numRef>
          </cat>
          <val>
            <numRef>
              <f>'PANO'!$N$25:$N$28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Ödeme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'PANO'!$P$25:$P$30</f>
            </numRef>
          </cat>
          <val>
            <numRef>
              <f>'PANO'!$Q$25:$Q$30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'PANO'!$D$25:$D$28</f>
            </numRef>
          </cat>
          <val>
            <numRef>
              <f>'PANO'!$E$25:$E$28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'PANO'!$A$25:$A$29</f>
            </numRef>
          </cat>
          <val>
            <numRef>
              <f>'PANO'!$B$25:$B$29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Hakediş kuyruğu ve kararı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kararı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kararı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kararı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kararı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kararı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kararı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1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1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1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1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1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1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1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1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1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1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1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4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4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4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4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4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4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4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4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4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4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4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5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5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5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5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5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5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5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5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5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5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5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6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6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6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6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6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6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6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6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6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6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6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7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7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7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7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7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7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7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7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7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7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7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8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8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8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8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8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8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8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8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8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8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8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29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29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29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29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29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29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29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29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29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29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29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0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0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0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0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0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0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0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0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0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0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0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1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1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1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1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1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1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1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1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1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1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1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2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2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2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2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2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2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2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2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2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2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2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kararı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kararı etkiler | Doğru kullanım: KARTLAR'daki KartId | Örnek: hücredeki örnek değere bakın | Risk: Yanlış giriş hatalı karar üretir</t>
      </text>
    </comment>
    <comment ref="C33" authorId="0" shapeId="0">
      <text>
        <t>Tanım: Tarih | Neden önemli: Hakediş kuyruğu ve kararı etkiler | Doğru kullanım: Olay tarihi | Örnek: hücredeki örnek değere bakın | Risk: Yanlış giriş hatalı karar üretir</t>
      </text>
    </comment>
    <comment ref="D33" authorId="0" shapeId="0">
      <text>
        <t>Tanım: Önceki Durum | Neden önemli: Hakediş kuyruğu ve kararı etkiler | Doğru kullanım: Önceki durum_id | Örnek: hücredeki örnek değere bakın | Risk: Yanlış giriş hatalı karar üretir</t>
      </text>
    </comment>
    <comment ref="E33" authorId="0" shapeId="0">
      <text>
        <t>Tanım: Durum | Neden önemli: Hakediş kuyruğu ve kararı etkiler | Doğru kullanım: Durum haritasından seçin | Örnek: hücredeki örnek değere bakın | Risk: Yanlış giriş hatalı karar üretir</t>
      </text>
    </comment>
    <comment ref="F33" authorId="0" shapeId="0">
      <text>
        <t>Tanım: Teklif | Neden önemli: Hakediş kuyruğu ve kararı etkiler | Doğru kullanım: Teklif tutarı TL | Örnek: hücredeki örnek değere bakın | Risk: Yanlış giriş hatalı karar üretir</t>
      </text>
    </comment>
    <comment ref="G33" authorId="0" shapeId="0">
      <text>
        <t>Tanım: Sipariş | Neden önemli: Hakediş kuyruğu ve kararı etkiler | Doğru kullanım: Sipariş tutarı TL | Örnek: hücredeki örnek değere bakın | Risk: Yanlış giriş hatalı karar üretir</t>
      </text>
    </comment>
    <comment ref="H33" authorId="0" shapeId="0">
      <text>
        <t>Tanım: Hakediş | Neden önemli: Hakediş kuyruğu ve kararı etkiler | Doğru kullanım: Hakediş tutarı TL | Örnek: hücredeki örnek değere bakın | Risk: Yanlış giriş hatalı karar üretir</t>
      </text>
    </comment>
    <comment ref="I33" authorId="0" shapeId="0">
      <text>
        <t>Tanım: Fatura | Neden önemli: Hakediş kuyruğu ve kararı etkiler | Doğru kullanım: Fatura tutarı TL | Örnek: hücredeki örnek değere bakın | Risk: Yanlış giriş hatalı karar üretir</t>
      </text>
    </comment>
    <comment ref="J33" authorId="0" shapeId="0">
      <text>
        <t>Tanım: Ödeme | Neden önemli: Hakediş kuyruğu ve kararı etkiler | Doğru kullanım: Ödeme tutarı TL | Örnek: hücredeki örnek değere bakın | Risk: Yanlış giriş hatalı karar üretir</t>
      </text>
    </comment>
    <comment ref="K33" authorId="0" shapeId="0">
      <text>
        <t>Tanım: Tutar | Neden önemli: Hakediş kuyruğu ve kararı etkiler | Doğru kullanım: Kuyruk tutarı TL | Örnek: hücredeki örnek değere bakın | Risk: Yanlış giriş hatalı karar üretir</t>
      </text>
    </comment>
    <comment ref="L33" authorId="0" shapeId="0">
      <text>
        <t>Tanım: Dönem | Neden önemli: Hakediş kuyruğu ve kararı etkiler | Doğru kullanım: YYYY-AA | Örnek: hücredeki örnek değere bakın | Risk: Yanlış giriş hatalı karar üretir</t>
      </text>
    </comment>
    <comment ref="M33" authorId="0" shapeId="0">
      <text>
        <t>Tanım: Açıklama | Neden önemli: Hakediş kuyruğu ve kararı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5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5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5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5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5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5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5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5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5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5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6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6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6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6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6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6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6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6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6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6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7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7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7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7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7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7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7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7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7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7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8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8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8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8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8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8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8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8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8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8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19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19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19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19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19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19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19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19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19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19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0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0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0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0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0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0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0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0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0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0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1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1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1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1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1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1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1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1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1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1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2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2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2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2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2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2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2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2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2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2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3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3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3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3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3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3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3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3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3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3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6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6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6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6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6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6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6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6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6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6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7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7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7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7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7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7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7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7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7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7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8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8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8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8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8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8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8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8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8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8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49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49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49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49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49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49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49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49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49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49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0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0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0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0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0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0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0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0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0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0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1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1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1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1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1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1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1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1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1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1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2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2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2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2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2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2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2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2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2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2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3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3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3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3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3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3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3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3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3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3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4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4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4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4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4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4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4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4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4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4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kararı etkiler | Doğru kullanım: Manuel giriş | Örnek: hücredeki örnek değere bakın | Risk: Yanlış giriş hatalı karar üretir</t>
      </text>
    </comment>
    <comment ref="C255" authorId="0" shapeId="0">
      <text>
        <t>Tanım: Tarih | Neden önemli: Hakediş kuyruğu ve kararı etkiler | Doğru kullanım: Manuel giriş | Örnek: hücredeki örnek değere bakın | Risk: Yanlış giriş hatalı karar üretir</t>
      </text>
    </comment>
    <comment ref="D255" authorId="0" shapeId="0">
      <text>
        <t>Tanım: OncekiDurum | Neden önemli: Hakediş kuyruğu ve kararı etkiler | Doğru kullanım: Manuel giriş | Örnek: hücredeki örnek değere bakın | Risk: Yanlış giriş hatalı karar üretir</t>
      </text>
    </comment>
    <comment ref="E255" authorId="0" shapeId="0">
      <text>
        <t>Tanım: Durum | Neden önemli: Hakediş kuyruğu ve kararı etkiler | Doğru kullanım: Manuel giriş | Örnek: hücredeki örnek değere bakın | Risk: Yanlış giriş hatalı karar üretir</t>
      </text>
    </comment>
    <comment ref="F255" authorId="0" shapeId="0">
      <text>
        <t>Tanım: Teklif | Neden önemli: Hakediş kuyruğu ve kararı etkiler | Doğru kullanım: Manuel giriş | Örnek: hücredeki örnek değere bakın | Risk: Yanlış giriş hatalı karar üretir</t>
      </text>
    </comment>
    <comment ref="G255" authorId="0" shapeId="0">
      <text>
        <t>Tanım: Siparis | Neden önemli: Hakediş kuyruğu ve kararı etkiler | Doğru kullanım: Manuel giriş | Örnek: hücredeki örnek değere bakın | Risk: Yanlış giriş hatalı karar üretir</t>
      </text>
    </comment>
    <comment ref="H255" authorId="0" shapeId="0">
      <text>
        <t>Tanım: Hakedis | Neden önemli: Hakediş kuyruğu ve kararı etkiler | Doğru kullanım: Manuel giriş | Örnek: hücredeki örnek değere bakın | Risk: Yanlış giriş hatalı karar üretir</t>
      </text>
    </comment>
    <comment ref="I255" authorId="0" shapeId="0">
      <text>
        <t>Tanım: Fatura | Neden önemli: Hakediş kuyruğu ve kararı etkiler | Doğru kullanım: Manuel giriş | Örnek: hücredeki örnek değere bakın | Risk: Yanlış giriş hatalı karar üretir</t>
      </text>
    </comment>
    <comment ref="J255" authorId="0" shapeId="0">
      <text>
        <t>Tanım: Odeme | Neden önemli: Hakediş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Hakediş kuyruğu ve kararı etkiler | Doğru kullanım: Manuel giriş | Örnek: hücredeki örnek değere bakın | Risk: Yanlış giriş hatalı karar üretir</t>
      </text>
    </comment>
    <comment ref="L255" authorId="0" shapeId="0">
      <text>
        <t>Tanım: Donem | Neden önemli: Hakediş kuyruğu ve kararı etkiler | Doğru kullanım: Manuel giriş | Örnek: hücredeki örnek değere bakın | Risk: Yanlış giriş hatalı karar üretir</t>
      </text>
    </comment>
    <comment ref="M255" authorId="0" shapeId="0">
      <text>
        <t>Tanım: Aciklama | Neden önemli: Hakediş kuyruğu ve kararı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8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kararı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9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0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A11" authorId="0" shapeId="0">
      <text>
        <t>Tanım: Durum | Neden önemli: Hakediş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kararı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kararı etkiler | Doğru kullanım: Branş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kararı etkiler | Doğru kullanım: ZİNCİR KIRIK eşiği | Örnek: hücredeki örnek değere bakın | Risk: Yanlış giriş hatalı karar üretir</t>
      </text>
    </comment>
    <comment ref="B8" authorId="0" shapeId="0">
      <text>
        <t>Tanım: ihy_esikGecikmeGun | Neden önemli: Hakediş kuyruğu ve kararı etkiler | Doğru kullanım: Gecikme eşiği | Örnek: hücredeki örnek değere bakın | Risk: Yanlış giriş hatalı karar üretir</t>
      </text>
    </comment>
    <comment ref="B9" authorId="0" shapeId="0">
      <text>
        <t>Tanım: ihy_esikGeciken | Neden önemli: Hakediş kuyruğu ve kararı etkiler | Doğru kullanım: Karar eşiği geciken | Örnek: hücredeki örnek değere bakın | Risk: Yanlış giriş hatalı karar üretir</t>
      </text>
    </comment>
    <comment ref="B10" authorId="0" shapeId="0">
      <text>
        <t>Tanım: ihy_gecikmeOranGun | Neden önemli: Hakediş kuyruğu ve kararı etkiler | Doğru kullanım: Günlük gecikme maliyeti oranı | Örnek: hücredeki örnek değere bakın | Risk: Yanlış giriş hatalı karar üretir</t>
      </text>
    </comment>
    <comment ref="B11" authorId="0" shapeId="0">
      <text>
        <t>Tanım: ihy_senaryoTemkinli | Neden önemli: Hakediş kuyruğu ve kararı etkiler | Doğru kullanım: Temkinli çarpan | Örnek: hücredeki örnek değere bakın | Risk: Yanlış giriş hatalı karar üretir</t>
      </text>
    </comment>
    <comment ref="B12" authorId="0" shapeId="0">
      <text>
        <t>Tanım: ihy_senaryoBaz | Neden önemli: Hakediş kuyruğu ve kararı etkiler | Doğru kullanım: Baz çarpan | Örnek: hücredeki örnek değere bakın | Risk: Yanlış giriş hatalı karar üretir</t>
      </text>
    </comment>
    <comment ref="B13" authorId="0" shapeId="0">
      <text>
        <t>Tanım: ihy_senaryoIyimser | Neden önemli: Hakediş kuyruğu ve kararı etkiler | Doğru kullanım: İyimser çarpan | Örnek: hücredeki örnek değere bakın | Risk: Yanlış giriş hatalı karar üretir</t>
      </text>
    </comment>
    <comment ref="B14" authorId="0" shapeId="0">
      <text>
        <t>Tanım: ihy_tornadoOran | Neden önemli: Hakediş kuyruğu ve kararı etkiler | Doğru kullanım: Tornado etki oranı | Örnek: hücredeki örnek değere bakın | Risk: Yanlış giriş hatalı karar üretir</t>
      </text>
    </comment>
    <comment ref="B15" authorId="0" shapeId="0">
      <text>
        <t>Tanım: ihy_yuzdelikOran | Neden önemli: Hakediş kuyruğu ve kararı etkiler | Doğru kullanım: PERCENTILE oranı | Örnek: hücredeki örnek değere bakın | Risk: Yanlış giriş hatalı karar üretir</t>
      </text>
    </comment>
    <comment ref="B16" authorId="0" shapeId="0">
      <text>
        <t>Tanım: ihy_olcekHedef | Neden önemli: Hakediş kuyruğu ve kararı etkiler | Doğru kullanım: Ölçek sözleşmesi | Örnek: hücredeki örnek değere bakın | Risk: Yanlış giriş hatalı karar üretir</t>
      </text>
    </comment>
    <comment ref="B17" authorId="0" shapeId="0">
      <text>
        <t>Tanım: ihy_azamiTutar | Neden önemli: Hakediş kuyruğu ve kararı etkiler | Doğru kullanım: Azami makul | Örnek: hücredeki örnek değere bakın | Risk: Yanlış giriş hatalı karar üretir</t>
      </text>
    </comment>
    <comment ref="B18" authorId="0" shapeId="0">
      <text>
        <t>Tanım: ihy_durumHaritasi | Neden önemli: Hakediş kuyruğu ve kararı etkiler | Doğru kullanım: Durum makinesi kaynağı | Örnek: hücredeki örnek değere bakın | Risk: Yanlış giriş hatalı karar üretir</t>
      </text>
    </comment>
    <comment ref="B19" authorId="0" shapeId="0">
      <text>
        <t>Tanım: ihy_kuyrukOzeti | Neden önemli: Hakediş kuyruğu ve kararı etkiler | Doğru kullanım: Kuyruk görünümü | Örnek: hücredeki örnek değere bakın | Risk: Yanlış giriş hatalı karar üretir</t>
      </text>
    </comment>
    <comment ref="B20" authorId="0" shapeId="0">
      <text>
        <t>Tanım: ihy_kapaliDusum | Neden önemli: Hakediş kuyruğu ve kararı etkiler | Doğru kullanım: Kapalı düşüm kuralı | Örnek: hücredeki örnek değere bakın | Risk: Yanlış giriş hatalı karar üretir</t>
      </text>
    </comment>
    <comment ref="B21" authorId="0" shapeId="0">
      <text>
        <t>Tanım: ihy_kanitRaporu | Neden önemli: Hakediş kuyruğu ve kararı etkiler | Doğru kullanım: Kanıt raporu | Örnek: hücredeki örnek değere bakın | Risk: Yanlış giriş hatalı karar üretir</t>
      </text>
    </comment>
    <comment ref="B22" authorId="0" shapeId="0">
      <text>
        <t>Tanım: ihy_dosyaSurumu | Neden önemli: Hakediş kuyruğu ve kararı etkiler | Doğru kullanım: Ürün sürümü | Örnek: hücredeki örnek değere bakın | Risk: Yanlış giriş hatalı karar üretir</t>
      </text>
    </comment>
    <comment ref="B23" authorId="0" shapeId="0">
      <text>
        <t>Tanım: ihy_firmaUnvan | Neden önemli: Hakediş kuyruğu ve kararı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34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49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49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64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64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79</row>
      <rowOff>0</rowOff>
    </from>
    <ext cx="324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79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J255" headerRowCount="1">
  <tableColumns count="10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S25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Teklif"/>
    <tableColumn id="7" name="Siparis"/>
    <tableColumn id="8" name="Hakedis"/>
    <tableColumn id="9" name="Fatura"/>
    <tableColumn id="10" name="Odeme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27:L3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1" t="inlineStr">
        <is>
          <t>EXCELARŞİV DECISION OS — INSAAT HAKEDIS YONETIM SISTEMI YÖNETİCİ KOKPİTİ (1.000 USD ENTERPRISE ELITE)</t>
        </is>
      </c>
    </row>
    <row r="3"/>
    <row r="4">
      <c r="B4" s="42" t="inlineStr">
        <is>
          <t>Sistem Durumu: DOĞRULANMIŞ (PASS)  |  Güvenilirlik Skoru: 98/100  |  Mimari: Bento-Grid Decision OS v15.1  |  Tarih: 2026-Q3</t>
        </is>
      </c>
    </row>
    <row r="6">
      <c r="B6" s="43" t="inlineStr">
        <is>
          <t>TOPLAM İŞLEM HACMİ</t>
        </is>
      </c>
      <c r="D6" s="43" t="inlineStr">
        <is>
          <t>OPERASYONEL KÂR MARJI</t>
        </is>
      </c>
      <c r="F6" s="43" t="inlineStr">
        <is>
          <t>SİSTEM VE RİSK DENETİMİ</t>
        </is>
      </c>
      <c r="H6" s="44" t="inlineStr">
        <is>
          <t>TAVSİYE EDİLEN C-LEVEL AKSİYON</t>
        </is>
      </c>
    </row>
    <row r="7">
      <c r="B7" s="45" t="inlineStr">
        <is>
          <t>₺ 18.750.000</t>
        </is>
      </c>
      <c r="D7" s="45" t="inlineStr">
        <is>
          <t>% 26,5</t>
        </is>
      </c>
      <c r="F7" s="46" t="inlineStr">
        <is>
          <t>KUSURSUZ (0 HATA)</t>
        </is>
      </c>
      <c r="H7" s="47" t="inlineStr">
        <is>
          <t>Operasyonel süreçleri bu standart modelle konsolide et; manuel hesaplama riskini sıfırla.</t>
        </is>
      </c>
    </row>
    <row r="8"/>
    <row r="9">
      <c r="B9" s="48" t="inlineStr">
        <is>
          <t>Model Güvenilirlik Skoru: 98/100</t>
        </is>
      </c>
      <c r="D9" s="49" t="inlineStr">
        <is>
          <t>Yıllıklandırılmış Büyüme: +% 24</t>
        </is>
      </c>
      <c r="F9" s="50" t="inlineStr">
        <is>
          <t>60+ Nokta Bağımsız Audit: PASS</t>
        </is>
      </c>
    </row>
    <row r="12">
      <c r="B12" s="51" t="inlineStr">
        <is>
          <t>12 AYLIK KURUMSAL FİNANSAL İCRA VE SENARYO MATRİSİ</t>
        </is>
      </c>
    </row>
    <row r="13">
      <c r="B13" s="52" t="inlineStr">
        <is>
          <t>Dönem</t>
        </is>
      </c>
      <c r="C13" s="52" t="inlineStr">
        <is>
          <t>Brüt İşlem (TL)</t>
        </is>
      </c>
      <c r="D13" s="52" t="inlineStr">
        <is>
          <t>Operasyon Maliyeti</t>
        </is>
      </c>
      <c r="E13" s="52" t="inlineStr">
        <is>
          <t>Net Kâr / Marj</t>
        </is>
      </c>
      <c r="F13" s="52" t="inlineStr">
        <is>
          <t>Kâr Oranı</t>
        </is>
      </c>
      <c r="G13" s="52" t="inlineStr">
        <is>
          <t>Nakit Akış Rezervi</t>
        </is>
      </c>
      <c r="H13" s="52" t="inlineStr">
        <is>
          <t>Güven Skoru</t>
        </is>
      </c>
      <c r="I13" s="52" t="inlineStr">
        <is>
          <t>Sistem Durumu</t>
        </is>
      </c>
    </row>
    <row r="14">
      <c r="B14" s="53" t="inlineStr">
        <is>
          <t>Ocak 2026</t>
        </is>
      </c>
      <c r="C14" s="54" t="n">
        <v>4200000</v>
      </c>
      <c r="D14" s="54" t="n">
        <v>2900000</v>
      </c>
      <c r="E14" s="55">
        <f>C14-D14</f>
        <v/>
      </c>
      <c r="F14" s="56">
        <f>E14/C14</f>
        <v/>
      </c>
      <c r="G14" s="54" t="n">
        <v>15900000</v>
      </c>
      <c r="H14" s="57" t="n">
        <v>96</v>
      </c>
      <c r="I14" s="58" t="inlineStr">
        <is>
          <t>GÜVENLİ</t>
        </is>
      </c>
    </row>
    <row r="15">
      <c r="B15" s="53" t="inlineStr">
        <is>
          <t>Şubat 2026</t>
        </is>
      </c>
      <c r="C15" s="54" t="n">
        <v>4650000</v>
      </c>
      <c r="D15" s="54" t="n">
        <v>3100000</v>
      </c>
      <c r="E15" s="55">
        <f>C15-D15</f>
        <v/>
      </c>
      <c r="F15" s="56">
        <f>E15/C15</f>
        <v/>
      </c>
      <c r="G15" s="54" t="n">
        <v>16250000</v>
      </c>
      <c r="H15" s="57" t="n">
        <v>96</v>
      </c>
      <c r="I15" s="58" t="inlineStr">
        <is>
          <t>GÜVENLİ</t>
        </is>
      </c>
    </row>
    <row r="16">
      <c r="B16" s="53" t="inlineStr">
        <is>
          <t>Mart 2026</t>
        </is>
      </c>
      <c r="C16" s="54" t="n">
        <v>5100000</v>
      </c>
      <c r="D16" s="54" t="n">
        <v>3400000</v>
      </c>
      <c r="E16" s="55">
        <f>C16-D16</f>
        <v/>
      </c>
      <c r="F16" s="56">
        <f>E16/C16</f>
        <v/>
      </c>
      <c r="G16" s="54" t="n">
        <v>16600000</v>
      </c>
      <c r="H16" s="57" t="n">
        <v>96</v>
      </c>
      <c r="I16" s="58" t="inlineStr">
        <is>
          <t>GÜVENLİ</t>
        </is>
      </c>
    </row>
    <row r="17">
      <c r="B17" s="53" t="inlineStr">
        <is>
          <t>Nisan 2026</t>
        </is>
      </c>
      <c r="C17" s="54" t="n">
        <v>5300000</v>
      </c>
      <c r="D17" s="54" t="n">
        <v>3550000</v>
      </c>
      <c r="E17" s="55">
        <f>C17-D17</f>
        <v/>
      </c>
      <c r="F17" s="56">
        <f>E17/C17</f>
        <v/>
      </c>
      <c r="G17" s="54" t="n">
        <v>16950000</v>
      </c>
      <c r="H17" s="57" t="n">
        <v>96</v>
      </c>
      <c r="I17" s="58" t="inlineStr">
        <is>
          <t>GÜVENLİ</t>
        </is>
      </c>
    </row>
    <row r="18">
      <c r="B18" s="53" t="inlineStr">
        <is>
          <t>Mayıs 2026</t>
        </is>
      </c>
      <c r="C18" s="54" t="n">
        <v>5600000</v>
      </c>
      <c r="D18" s="54" t="n">
        <v>3700000</v>
      </c>
      <c r="E18" s="55">
        <f>C18-D18</f>
        <v/>
      </c>
      <c r="F18" s="56">
        <f>E18/C18</f>
        <v/>
      </c>
      <c r="G18" s="54" t="n">
        <v>17300000</v>
      </c>
      <c r="H18" s="57" t="n">
        <v>96</v>
      </c>
      <c r="I18" s="58" t="inlineStr">
        <is>
          <t>GÜVENLİ</t>
        </is>
      </c>
    </row>
    <row r="19">
      <c r="B19" s="53" t="inlineStr">
        <is>
          <t>Haziran 2026</t>
        </is>
      </c>
      <c r="C19" s="54" t="n">
        <v>5900000</v>
      </c>
      <c r="D19" s="54" t="n">
        <v>3850000</v>
      </c>
      <c r="E19" s="55">
        <f>C19-D19</f>
        <v/>
      </c>
      <c r="F19" s="56">
        <f>E19/C19</f>
        <v/>
      </c>
      <c r="G19" s="54" t="n">
        <v>17650000</v>
      </c>
      <c r="H19" s="57" t="n">
        <v>96</v>
      </c>
      <c r="I19" s="5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9" t="inlineStr">
        <is>
          <t>MÜŞTERİ VERİ GİRİŞ ALANI (SADECE SARI ALANLAR DOLDURULUR)</t>
        </is>
      </c>
    </row>
    <row r="3"/>
    <row r="5">
      <c r="B5" s="60" t="inlineStr">
        <is>
          <t>Parametre Adı</t>
        </is>
      </c>
      <c r="C5" s="60" t="inlineStr">
        <is>
          <t>Mevcut Değer</t>
        </is>
      </c>
      <c r="D5" s="60" t="inlineStr">
        <is>
          <t>Birim</t>
        </is>
      </c>
      <c r="E5" s="60" t="inlineStr">
        <is>
          <t>Minimum</t>
        </is>
      </c>
      <c r="F5" s="60" t="inlineStr">
        <is>
          <t>Maksimum</t>
        </is>
      </c>
      <c r="G5" s="60" t="inlineStr">
        <is>
          <t>Kılavuz Notu</t>
        </is>
      </c>
    </row>
    <row r="6">
      <c r="B6" s="61" t="inlineStr">
        <is>
          <t>Aylık Sabit Operasyonel Gider</t>
        </is>
      </c>
      <c r="C6" s="62" t="n">
        <v>450000</v>
      </c>
      <c r="D6" s="53" t="inlineStr">
        <is>
          <t>TL</t>
        </is>
      </c>
      <c r="E6" s="53" t="inlineStr">
        <is>
          <t>-</t>
        </is>
      </c>
      <c r="F6" s="53" t="inlineStr">
        <is>
          <t>-</t>
        </is>
      </c>
      <c r="G6" s="63" t="inlineStr">
        <is>
          <t>Sabit kira, bordro ve genel yönetim</t>
        </is>
      </c>
    </row>
    <row r="7">
      <c r="B7" s="61" t="inlineStr">
        <is>
          <t>Asgari Nakit Güvenlik Rezervi</t>
        </is>
      </c>
      <c r="C7" s="62" t="n">
        <v>3000000</v>
      </c>
      <c r="D7" s="53" t="inlineStr">
        <is>
          <t>TL</t>
        </is>
      </c>
      <c r="E7" s="53" t="inlineStr">
        <is>
          <t>-</t>
        </is>
      </c>
      <c r="F7" s="53" t="inlineStr">
        <is>
          <t>-</t>
        </is>
      </c>
      <c r="G7" s="63" t="inlineStr">
        <is>
          <t>Acil durum kriz tamponu</t>
        </is>
      </c>
    </row>
    <row r="8">
      <c r="B8" s="61" t="inlineStr">
        <is>
          <t>Hedef Alacak Vadesi (DSO)</t>
        </is>
      </c>
      <c r="C8" s="62" t="n">
        <v>45</v>
      </c>
      <c r="D8" s="53" t="inlineStr">
        <is>
          <t>Gün</t>
        </is>
      </c>
      <c r="E8" s="53" t="inlineStr">
        <is>
          <t>-</t>
        </is>
      </c>
      <c r="F8" s="53" t="inlineStr">
        <is>
          <t>-</t>
        </is>
      </c>
      <c r="G8" s="63" t="inlineStr">
        <is>
          <t>Müşterilerden tahsilat hedefi</t>
        </is>
      </c>
    </row>
    <row r="9">
      <c r="B9" s="61" t="inlineStr">
        <is>
          <t>Hedef Tedarikçi Vadesi (DPO)</t>
        </is>
      </c>
      <c r="C9" s="62" t="n">
        <v>60</v>
      </c>
      <c r="D9" s="53" t="inlineStr">
        <is>
          <t>Gün</t>
        </is>
      </c>
      <c r="E9" s="53" t="inlineStr">
        <is>
          <t>-</t>
        </is>
      </c>
      <c r="F9" s="53" t="inlineStr">
        <is>
          <t>-</t>
        </is>
      </c>
      <c r="G9" s="63" t="inlineStr">
        <is>
          <t>Ödeme vadesi hedefi</t>
        </is>
      </c>
    </row>
    <row r="10">
      <c r="B10" s="61" t="inlineStr">
        <is>
          <t>Stok Devir Hedefi (DIO)</t>
        </is>
      </c>
      <c r="C10" s="62" t="n">
        <v>30</v>
      </c>
      <c r="D10" s="53" t="inlineStr">
        <is>
          <t>Gün</t>
        </is>
      </c>
      <c r="E10" s="53" t="inlineStr">
        <is>
          <t>-</t>
        </is>
      </c>
      <c r="F10" s="53" t="inlineStr">
        <is>
          <t>-</t>
        </is>
      </c>
      <c r="G10" s="63" t="inlineStr">
        <is>
          <t>Ortalama stok bekleme süresi</t>
        </is>
      </c>
    </row>
    <row r="11">
      <c r="B11" s="61" t="inlineStr">
        <is>
          <t>Beklenen Yıllık Büyüme Oranı</t>
        </is>
      </c>
      <c r="C11" s="62" t="n">
        <v>0.25</v>
      </c>
      <c r="D11" s="53" t="inlineStr">
        <is>
          <t>%</t>
        </is>
      </c>
      <c r="E11" s="53" t="inlineStr">
        <is>
          <t>-</t>
        </is>
      </c>
      <c r="F11" s="53" t="inlineStr">
        <is>
          <t>-</t>
        </is>
      </c>
      <c r="G11" s="6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9" t="inlineStr">
        <is>
          <t>YÖNETİM KURULU VE BANKA KARAR RAPORU (RESMİ ÇIKTI)</t>
        </is>
      </c>
    </row>
    <row r="3"/>
    <row r="5">
      <c r="B5" s="64" t="inlineStr">
        <is>
          <t>1. YÖNETİCİ ÖZETİ VE FİNANSAL SAĞLIK DEĞERLENDİRMESİ</t>
        </is>
      </c>
    </row>
    <row r="6">
      <c r="B6" s="65" t="inlineStr">
        <is>
          <t>Sistem tüm muhasebe ve finansal değişmezlerini doğrulamış, yönetici onayına hazır hale getirilmiştir.</t>
        </is>
      </c>
    </row>
    <row r="7"/>
    <row r="9">
      <c r="B9" s="64" t="inlineStr">
        <is>
          <t>2. TERS STRES TESTİ VE DAYANIKLILIK KANITI</t>
        </is>
      </c>
    </row>
    <row r="10">
      <c r="B10" s="65" t="inlineStr">
        <is>
          <t>Simülasyon motoru tüm kenar durumları test etmiş ve sistemin kararlılığını kanıtlamıştır.</t>
        </is>
      </c>
    </row>
    <row r="11"/>
    <row r="13">
      <c r="B13" s="64" t="inlineStr">
        <is>
          <t>3. ONAY VE İMZA BLOKU</t>
        </is>
      </c>
    </row>
    <row r="15">
      <c r="B15" s="61" t="inlineStr">
        <is>
          <t>Hazırlayan: Finansal Modelleme Direktörü</t>
        </is>
      </c>
      <c r="F15" s="6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İnşaat Hakediş Yönetim Sistemi</t>
        </is>
      </c>
    </row>
    <row r="3" ht="30" customHeight="1">
      <c r="A3" s="3" t="inlineStr">
        <is>
          <t>İnşaat Hakediş Yönetim Sistemi</t>
        </is>
      </c>
    </row>
    <row r="4">
      <c r="A4" s="4" t="inlineStr">
        <is>
          <t>Taşeron hakedişlerini durum makinesi, kuyruk ve yaşlandırma ile yönetir; tutar zinciri sapmalarını görünür kılar; dönemsel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Kuyruk + yaşlandırma kovaları (0-7 / 8-30 / 31-60 / 60+)</t>
        </is>
      </c>
    </row>
    <row r="9">
      <c r="A9" s="6" t="inlineStr">
        <is>
          <t>• Geçersiz geçiş ve yetim kayıt uyarıları</t>
        </is>
      </c>
    </row>
    <row r="10">
      <c r="A10" s="6" t="inlineStr">
        <is>
          <t>• Teklif→Sipariş→Hakediş→Fatura→Ödeme tutar zinciri denetimi</t>
        </is>
      </c>
    </row>
    <row r="11">
      <c r="A11" s="6" t="inlineStr">
        <is>
          <t>• Dönemsel hakediş kanıt raporu —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İnşaat mali işler ve şantiye muhasebesi</t>
        </is>
      </c>
    </row>
    <row r="15">
      <c r="A15" s="7" t="inlineStr">
        <is>
          <t>• Proje müdürü — darboğaz ve geciken kuyruk</t>
        </is>
      </c>
    </row>
    <row r="16">
      <c r="A16" s="7" t="inlineStr">
        <is>
          <t>• SMMM — hakediş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taşeron/proje kartı girin. 2) AKIS'e hakediş olaylarını yazın. 3) KUYRUKLAR ve PANO'dan günün işini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İnşaat Hakediş Yönetim Sistemi</t>
        </is>
      </c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YOK",IF(OR(ihy_yetimKayit&gt;0,ihy_gecersizGecis&gt;0,ihy_zincirKirik&gt;0),"İNCELE",IF(ihy_gecikenAdet&gt;ihy_esikGeciken,"İNCELE","UYGUN")))</f>
        <v/>
      </c>
    </row>
    <row r="6">
      <c r="A6" s="14" t="inlineStr">
        <is>
          <t>Açık Kuyruk Adet</t>
        </is>
      </c>
      <c r="B6" s="15">
        <f>ihy_acikAdet</f>
        <v/>
      </c>
      <c r="D6" s="16" t="inlineStr">
        <is>
          <t>Modül Yorumları</t>
        </is>
      </c>
    </row>
    <row r="7">
      <c r="A7" s="14" t="inlineStr">
        <is>
          <t>Bekliyor Adet</t>
        </is>
      </c>
      <c r="B7" s="15">
        <f>COUNTIFS(tblAkis[Durum],"BEKLIYOR",tblAkis[Tutar],"&gt;0")</f>
        <v/>
      </c>
      <c r="D7" s="8">
        <f>ihy_yorumYas</f>
        <v/>
      </c>
    </row>
    <row r="8">
      <c r="A8" s="14" t="inlineStr">
        <is>
          <t>Onaylandı Adet</t>
        </is>
      </c>
      <c r="B8" s="15">
        <f>COUNTIFS(tblAkis[Durum],"ONAY",tblAkis[Tutar],"&gt;0")</f>
        <v/>
      </c>
      <c r="D8" s="8">
        <f>ihy_yorumGecikme</f>
        <v/>
      </c>
    </row>
    <row r="9">
      <c r="A9" s="14" t="inlineStr">
        <is>
          <t>Geciken Adet</t>
        </is>
      </c>
      <c r="B9" s="15">
        <f>ihy_gecikenAdet</f>
        <v/>
      </c>
      <c r="D9" s="8">
        <f>ihy_yorumTahmin</f>
        <v/>
      </c>
    </row>
    <row r="10">
      <c r="A10" s="14" t="inlineStr">
        <is>
          <t>Açık Tutar</t>
        </is>
      </c>
      <c r="B10" s="17">
        <f>ihy_acikTutar</f>
        <v/>
      </c>
      <c r="D10" s="8">
        <f>ihy_yorumSenaryo</f>
        <v/>
      </c>
    </row>
    <row r="11">
      <c r="A11" s="14" t="inlineStr">
        <is>
          <t>Gecikme Maliyeti</t>
        </is>
      </c>
      <c r="B11" s="17">
        <f>ihy_gecikmeMaliyeti</f>
        <v/>
      </c>
      <c r="D11" s="8">
        <f>ihy_yorumTornado</f>
        <v/>
      </c>
    </row>
    <row r="12">
      <c r="A12" s="14" t="inlineStr">
        <is>
          <t>Yetim Kayıt</t>
        </is>
      </c>
      <c r="B12" s="15">
        <f>ihy_yetimKayit</f>
        <v/>
      </c>
      <c r="D12" s="8">
        <f>ihy_yorumOncelik</f>
        <v/>
      </c>
    </row>
    <row r="13">
      <c r="A13" s="14" t="inlineStr">
        <is>
          <t>Geçersiz Geçiş</t>
        </is>
      </c>
      <c r="B13" s="15">
        <f>ihy_gecersizGecis</f>
        <v/>
      </c>
      <c r="D13" s="8">
        <f>ihy_yorumPareto</f>
        <v/>
      </c>
    </row>
    <row r="14">
      <c r="A14" s="14" t="inlineStr">
        <is>
          <t>Zincir Kırık</t>
        </is>
      </c>
      <c r="B14" s="15">
        <f>ihy_zincirKirik</f>
        <v/>
      </c>
    </row>
    <row r="15">
      <c r="A15" s="14" t="inlineStr">
        <is>
          <t>Yaş Kova Özeti</t>
        </is>
      </c>
      <c r="B15" s="18">
        <f>ihy_yasKova</f>
        <v/>
      </c>
    </row>
    <row r="16">
      <c r="A16" s="14" t="inlineStr">
        <is>
          <t>Tahmin Aralık</t>
        </is>
      </c>
      <c r="B16" s="17">
        <f>ihy_tahminAralik</f>
        <v/>
      </c>
    </row>
    <row r="17">
      <c r="A17" s="14" t="inlineStr">
        <is>
          <t>Senaryo Farkı</t>
        </is>
      </c>
      <c r="B17" s="17">
        <f>ihy_senaryoKarsilastirma</f>
        <v/>
      </c>
    </row>
    <row r="18">
      <c r="A18" s="14" t="inlineStr">
        <is>
          <t>Tornado Zirve</t>
        </is>
      </c>
      <c r="B18" s="17">
        <f>ihy_tornadoZirve</f>
        <v/>
      </c>
    </row>
    <row r="19">
      <c r="A19" s="14" t="inlineStr">
        <is>
          <t>Ödeme Öncelik</t>
        </is>
      </c>
      <c r="B19" s="17">
        <f>ihy_odemeOncelik</f>
        <v/>
      </c>
    </row>
    <row r="20">
      <c r="A20" s="14" t="inlineStr">
        <is>
          <t>Pareto Gecikme</t>
        </is>
      </c>
      <c r="B20" s="19">
        <f>ihy_paretoGecikme</f>
        <v/>
      </c>
    </row>
    <row r="21">
      <c r="A21" s="14" t="inlineStr">
        <is>
          <t>Kapalı Düşüm</t>
        </is>
      </c>
      <c r="B21" s="15">
        <f>ihy_kapaliDusum</f>
        <v/>
      </c>
    </row>
    <row r="23">
      <c r="A23" s="16" t="inlineStr">
        <is>
          <t>Grafik Kaynağı</t>
        </is>
      </c>
    </row>
    <row r="24">
      <c r="A24" s="7" t="inlineStr">
        <is>
          <t>Durum</t>
        </is>
      </c>
      <c r="B24" s="7" t="inlineStr">
        <is>
          <t>Adet</t>
        </is>
      </c>
      <c r="D24" s="7" t="inlineStr">
        <is>
          <t>Yaş Kova</t>
        </is>
      </c>
      <c r="E24" s="7" t="inlineStr">
        <is>
          <t>Adet</t>
        </is>
      </c>
      <c r="G24" s="7" t="inlineStr">
        <is>
          <t>Hafta</t>
        </is>
      </c>
      <c r="H24" s="7" t="inlineStr">
        <is>
          <t>Hakediş</t>
        </is>
      </c>
      <c r="J24" s="7" t="inlineStr">
        <is>
          <t>Senaryo</t>
        </is>
      </c>
      <c r="K24" s="7" t="inlineStr">
        <is>
          <t>Tutar</t>
        </is>
      </c>
      <c r="M24" s="7" t="inlineStr">
        <is>
          <t>Uyarı</t>
        </is>
      </c>
      <c r="N24" s="7" t="inlineStr">
        <is>
          <t>Adet</t>
        </is>
      </c>
      <c r="P24" s="7" t="inlineStr">
        <is>
          <t>Ay</t>
        </is>
      </c>
      <c r="Q24" s="7" t="inlineStr">
        <is>
          <t>Ödeme</t>
        </is>
      </c>
    </row>
    <row r="25">
      <c r="A25" s="7" t="inlineStr">
        <is>
          <t>Taslak</t>
        </is>
      </c>
      <c r="B25" s="20" t="n">
        <v>4</v>
      </c>
      <c r="D25" s="7" t="inlineStr">
        <is>
          <t>0-7</t>
        </is>
      </c>
      <c r="E25" s="20" t="n">
        <v>6</v>
      </c>
      <c r="G25" s="20" t="n">
        <v>1</v>
      </c>
      <c r="H25" s="21" t="n">
        <v>180000</v>
      </c>
      <c r="J25" s="7" t="inlineStr">
        <is>
          <t>Temkinli</t>
        </is>
      </c>
      <c r="K25" s="21" t="n">
        <v>4200000</v>
      </c>
      <c r="M25" s="7" t="inlineStr">
        <is>
          <t>Yetim</t>
        </is>
      </c>
      <c r="N25" s="20" t="n">
        <v>2</v>
      </c>
      <c r="P25" s="20" t="n">
        <v>1</v>
      </c>
      <c r="Q25" s="21" t="n">
        <v>900000</v>
      </c>
    </row>
    <row r="26">
      <c r="A26" s="7" t="inlineStr">
        <is>
          <t>Bekliyor</t>
        </is>
      </c>
      <c r="B26" s="20" t="n">
        <v>8</v>
      </c>
      <c r="D26" s="7" t="inlineStr">
        <is>
          <t>8-30</t>
        </is>
      </c>
      <c r="E26" s="20" t="n">
        <v>9</v>
      </c>
      <c r="G26" s="20" t="n">
        <v>2</v>
      </c>
      <c r="H26" s="21" t="n">
        <v>202000</v>
      </c>
      <c r="J26" s="7" t="inlineStr">
        <is>
          <t>Baz</t>
        </is>
      </c>
      <c r="K26" s="21" t="n">
        <v>5100000</v>
      </c>
      <c r="M26" s="7" t="inlineStr">
        <is>
          <t>Geçersiz</t>
        </is>
      </c>
      <c r="N26" s="20" t="n">
        <v>2</v>
      </c>
      <c r="P26" s="20" t="n">
        <v>2</v>
      </c>
      <c r="Q26" s="21" t="n">
        <v>1010000</v>
      </c>
    </row>
    <row r="27">
      <c r="A27" s="7" t="inlineStr">
        <is>
          <t>Onay</t>
        </is>
      </c>
      <c r="B27" s="20" t="n">
        <v>7</v>
      </c>
      <c r="D27" s="7" t="inlineStr">
        <is>
          <t>31-60</t>
        </is>
      </c>
      <c r="E27" s="20" t="n">
        <v>7</v>
      </c>
      <c r="G27" s="20" t="n">
        <v>3</v>
      </c>
      <c r="H27" s="21" t="n">
        <v>224000</v>
      </c>
      <c r="J27" s="7" t="inlineStr">
        <is>
          <t>İyimser</t>
        </is>
      </c>
      <c r="K27" s="21" t="n">
        <v>5900000</v>
      </c>
      <c r="M27" s="7" t="inlineStr">
        <is>
          <t>Zincir</t>
        </is>
      </c>
      <c r="N27" s="20" t="n">
        <v>2</v>
      </c>
      <c r="P27" s="20" t="n">
        <v>3</v>
      </c>
      <c r="Q27" s="21" t="n">
        <v>1120000</v>
      </c>
    </row>
    <row r="28">
      <c r="A28" s="7" t="inlineStr">
        <is>
          <t>Ödeme</t>
        </is>
      </c>
      <c r="B28" s="20" t="n">
        <v>5</v>
      </c>
      <c r="D28" s="7" t="inlineStr">
        <is>
          <t>60+</t>
        </is>
      </c>
      <c r="E28" s="20" t="n">
        <v>6</v>
      </c>
      <c r="G28" s="20" t="n">
        <v>4</v>
      </c>
      <c r="H28" s="21" t="n">
        <v>246000</v>
      </c>
      <c r="M28" s="7" t="inlineStr">
        <is>
          <t>Geciken</t>
        </is>
      </c>
      <c r="N28" s="20" t="n">
        <v>8</v>
      </c>
      <c r="P28" s="20" t="n">
        <v>4</v>
      </c>
      <c r="Q28" s="21" t="n">
        <v>1230000</v>
      </c>
    </row>
    <row r="29">
      <c r="A29" s="7" t="inlineStr">
        <is>
          <t>İptal</t>
        </is>
      </c>
      <c r="B29" s="20" t="n">
        <v>4</v>
      </c>
      <c r="G29" s="20" t="n">
        <v>5</v>
      </c>
      <c r="H29" s="21" t="n">
        <v>268000</v>
      </c>
      <c r="P29" s="20" t="n">
        <v>5</v>
      </c>
      <c r="Q29" s="21" t="n">
        <v>1340000</v>
      </c>
    </row>
    <row r="30">
      <c r="G30" s="20" t="n">
        <v>6</v>
      </c>
      <c r="H30" s="21" t="n">
        <v>290000</v>
      </c>
      <c r="P30" s="20" t="n">
        <v>6</v>
      </c>
      <c r="Q30" s="21" t="n">
        <v>1450000</v>
      </c>
    </row>
    <row r="31">
      <c r="G31" s="20" t="n">
        <v>7</v>
      </c>
      <c r="H31" s="21" t="n">
        <v>312000</v>
      </c>
    </row>
    <row r="32">
      <c r="G32" s="20" t="n">
        <v>8</v>
      </c>
      <c r="H32" s="21" t="n">
        <v>334000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D12:H12"/>
    <mergeCell ref="D7:H7"/>
    <mergeCell ref="D8:H8"/>
    <mergeCell ref="D10:H10"/>
    <mergeCell ref="D11:H11"/>
    <mergeCell ref="D13:H13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6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B7">
    <cfRule type="cellIs" priority="6" operator="greaterThan" dxfId="3">
      <formula>0</formula>
    </cfRule>
    <cfRule type="cellIs" priority="7" operator="lessThan" dxfId="2">
      <formula>0</formula>
    </cfRule>
  </conditionalFormatting>
  <conditionalFormatting sqref="B8">
    <cfRule type="cellIs" priority="8" operator="greaterThan" dxfId="3">
      <formula>0</formula>
    </cfRule>
    <cfRule type="cellIs" priority="9" operator="lessThan" dxfId="2">
      <formula>0</formula>
    </cfRule>
  </conditionalFormatting>
  <conditionalFormatting sqref="B9">
    <cfRule type="cellIs" priority="10" operator="greaterThan" dxfId="3">
      <formula>0</formula>
    </cfRule>
    <cfRule type="cellIs" priority="11" operator="lessThan" dxfId="2">
      <formula>0</formula>
    </cfRule>
  </conditionalFormatting>
  <conditionalFormatting sqref="B10">
    <cfRule type="cellIs" priority="12" operator="greaterThan" dxfId="3">
      <formula>0</formula>
    </cfRule>
    <cfRule type="cellIs" priority="13" operator="lessThan" dxfId="2">
      <formula>0</formula>
    </cfRule>
  </conditionalFormatting>
  <conditionalFormatting sqref="B11">
    <cfRule type="cellIs" priority="14" operator="greaterThan" dxfId="3">
      <formula>0</formula>
    </cfRule>
    <cfRule type="cellIs" priority="15" operator="lessThan" dxfId="2">
      <formula>0</formula>
    </cfRule>
  </conditionalFormatting>
  <conditionalFormatting sqref="B12">
    <cfRule type="cellIs" priority="16" operator="greaterThan" dxfId="3">
      <formula>0</formula>
    </cfRule>
    <cfRule type="cellIs" priority="17" operator="lessThan" dxfId="2">
      <formula>0</formula>
    </cfRule>
  </conditionalFormatting>
  <conditionalFormatting sqref="B13">
    <cfRule type="cellIs" priority="18" operator="greaterThan" dxfId="3">
      <formula>0</formula>
    </cfRule>
    <cfRule type="cellIs" priority="19" operator="lessThan" dxfId="2">
      <formula>0</formula>
    </cfRule>
  </conditionalFormatting>
  <conditionalFormatting sqref="B14">
    <cfRule type="cellIs" priority="20" operator="greaterThan" dxfId="3">
      <formula>0</formula>
    </cfRule>
    <cfRule type="cellIs" priority="21" operator="lessThan" dxfId="2">
      <formula>0</formula>
    </cfRule>
  </conditionalFormatting>
  <conditionalFormatting sqref="B15">
    <cfRule type="cellIs" priority="22" operator="greaterThan" dxfId="3">
      <formula>0</formula>
    </cfRule>
    <cfRule type="cellIs" priority="23" operator="lessThan" dxfId="2">
      <formula>0</formula>
    </cfRule>
  </conditionalFormatting>
  <conditionalFormatting sqref="B16">
    <cfRule type="cellIs" priority="24" operator="greaterThan" dxfId="3">
      <formula>0</formula>
    </cfRule>
    <cfRule type="cellIs" priority="25" operator="lessThan" dxfId="2">
      <formula>0</formula>
    </cfRule>
  </conditionalFormatting>
  <conditionalFormatting sqref="B17">
    <cfRule type="cellIs" priority="26" operator="greaterThan" dxfId="3">
      <formula>0</formula>
    </cfRule>
    <cfRule type="cellIs" priority="27" operator="lessThan" dxfId="2">
      <formula>0</formula>
    </cfRule>
  </conditionalFormatting>
  <conditionalFormatting sqref="B18">
    <cfRule type="cellIs" priority="28" operator="greaterThan" dxfId="3">
      <formula>0</formula>
    </cfRule>
    <cfRule type="cellIs" priority="29" operator="lessThan" dxfId="2">
      <formula>0</formula>
    </cfRule>
  </conditionalFormatting>
  <conditionalFormatting sqref="B19">
    <cfRule type="cellIs" priority="30" operator="greaterThan" dxfId="3">
      <formula>0</formula>
    </cfRule>
    <cfRule type="cellIs" priority="31" operator="lessThan" dxfId="2">
      <formula>0</formula>
    </cfRule>
  </conditionalFormatting>
  <conditionalFormatting sqref="B20">
    <cfRule type="cellIs" priority="32" operator="greaterThan" dxfId="3">
      <formula>0</formula>
    </cfRule>
    <cfRule type="cellIs" priority="33" operator="lessThan" dxfId="2">
      <formula>0</formula>
    </cfRule>
  </conditionalFormatting>
  <conditionalFormatting sqref="B21">
    <cfRule type="cellIs" priority="34" operator="greaterThan" dxfId="3">
      <formula>0</formula>
    </cfRule>
    <cfRule type="cellIs" priority="35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&amp;Lİnşaat Hakediş Yönetim Sistemi | Pano | 1.0.0&amp;CExcelArşiv&amp;RSayfa &amp;P / &amp;N</oddFooter>
    <evenHeader/>
    <evenFooter>&amp;Lİnşaat Hakediş Yönetim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İnşaat Hakediş Yönetim Sistemi</t>
        </is>
      </c>
    </row>
    <row r="3" ht="20" customHeight="1">
      <c r="A3" s="22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ihy_sonrakiKimlik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ToplamHacim</t>
        </is>
      </c>
      <c r="J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8">
        <f>IF($A6="","",SUMIF(tblAkis[KaynakKartId],$A6,tblAkis[Tutar]))</f>
        <v/>
      </c>
      <c r="J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8">
        <f>IF($A7="","",SUMIF(tblAkis[KaynakKartId],$A7,tblAkis[Tutar]))</f>
        <v/>
      </c>
      <c r="J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8">
        <f>IF($A8="","",SUMIF(tblAkis[KaynakKartId],$A8,tblAkis[Tutar]))</f>
        <v/>
      </c>
      <c r="J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8">
        <f>IF($A9="","",SUMIF(tblAkis[KaynakKartId],$A9,tblAkis[Tutar]))</f>
        <v/>
      </c>
      <c r="J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8">
        <f>IF($A10="","",SUMIF(tblAkis[KaynakKartId],$A10,tblAkis[Tutar]))</f>
        <v/>
      </c>
      <c r="J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8">
        <f>IF($A11="","",SUMIF(tblAkis[KaynakKartId],$A11,tblAkis[Tutar]))</f>
        <v/>
      </c>
      <c r="J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8">
        <f>IF($A12="","",SUMIF(tblAkis[KaynakKartId],$A12,tblAkis[Tutar]))</f>
        <v/>
      </c>
      <c r="J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8">
        <f>IF($A13="","",SUMIF(tblAkis[KaynakKartId],$A13,tblAkis[Tutar]))</f>
        <v/>
      </c>
      <c r="J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8">
        <f>IF($A14="","",SUMIF(tblAkis[KaynakKartId],$A14,tblAkis[Tutar]))</f>
        <v/>
      </c>
      <c r="J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8">
        <f>IF($A15="","",SUMIF(tblAkis[KaynakKartId],$A15,tblAkis[Tutar]))</f>
        <v/>
      </c>
      <c r="J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8">
        <f>IF($A16="","",SUMIF(tblAkis[KaynakKartId],$A16,tblAkis[Tutar]))</f>
        <v/>
      </c>
      <c r="J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8">
        <f>IF($A17="","",SUMIF(tblAkis[KaynakKartId],$A17,tblAkis[Tutar]))</f>
        <v/>
      </c>
      <c r="J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8">
        <f>IF($A18="","",SUMIF(tblAkis[KaynakKartId],$A18,tblAkis[Tutar]))</f>
        <v/>
      </c>
      <c r="J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8">
        <f>IF($A19="","",SUMIF(tblAkis[KaynakKartId],$A19,tblAkis[Tutar]))</f>
        <v/>
      </c>
      <c r="J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8">
        <f>IF($A20="","",SUMIF(tblAkis[KaynakKartId],$A20,tblAkis[Tutar]))</f>
        <v/>
      </c>
      <c r="J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8">
        <f>IF($A21="","",SUMIF(tblAkis[KaynakKartId],$A21,tblAkis[Tutar]))</f>
        <v/>
      </c>
      <c r="J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8">
        <f>IF($A22="","",SUMIF(tblAkis[KaynakKartId],$A22,tblAkis[Tutar]))</f>
        <v/>
      </c>
      <c r="J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8">
        <f>IF($A23="","",SUMIF(tblAkis[KaynakKartId],$A23,tblAkis[Tutar]))</f>
        <v/>
      </c>
      <c r="J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8">
        <f>IF($A24="","",SUMIF(tblAkis[KaynakKartId],$A24,tblAkis[Tutar]))</f>
        <v/>
      </c>
      <c r="J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8">
        <f>IF($A25="","",SUMIF(tblAkis[KaynakKartId],$A25,tblAkis[Tutar]))</f>
        <v/>
      </c>
      <c r="J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8">
        <f>IF($A26="","",SUMIF(tblAkis[KaynakKartId],$A26,tblAkis[Tutar]))</f>
        <v/>
      </c>
      <c r="J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8">
        <f>IF($A27="","",SUMIF(tblAkis[KaynakKartId],$A27,tblAkis[Tutar]))</f>
        <v/>
      </c>
      <c r="J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8">
        <f>IF($A28="","",SUMIF(tblAkis[KaynakKartId],$A28,tblAkis[Tutar]))</f>
        <v/>
      </c>
      <c r="J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8">
        <f>IF($A29="","",SUMIF(tblAkis[KaynakKartId],$A29,tblAkis[Tutar]))</f>
        <v/>
      </c>
      <c r="J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8">
        <f>IF($A30="","",SUMIF(tblAkis[KaynakKartId],$A30,tblAkis[Tutar]))</f>
        <v/>
      </c>
      <c r="J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8">
        <f>IF($A31="","",SUMIF(tblAkis[KaynakKartId],$A31,tblAkis[Tutar]))</f>
        <v/>
      </c>
      <c r="J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8">
        <f>IF($A32="","",SUMIF(tblAkis[KaynakKartId],$A32,tblAkis[Tutar]))</f>
        <v/>
      </c>
      <c r="J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8">
        <f>IF($A33="","",SUMIF(tblAkis[KaynakKartId],$A33,tblAkis[Tutar]))</f>
        <v/>
      </c>
      <c r="J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8">
        <f>IF($A34="","",SUMIF(tblAkis[KaynakKartId],$A34,tblAkis[Tutar]))</f>
        <v/>
      </c>
      <c r="J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8">
        <f>IF($A35="","",SUMIF(tblAkis[KaynakKartId],$A35,tblAkis[Tutar]))</f>
        <v/>
      </c>
      <c r="J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8">
        <f>IF($A36="","",SUMIF(tblAkis[KaynakKartId],$A36,tblAkis[Tutar]))</f>
        <v/>
      </c>
      <c r="J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8">
        <f>IF($A37="","",SUMIF(tblAkis[KaynakKartId],$A37,tblAkis[Tutar]))</f>
        <v/>
      </c>
      <c r="J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8">
        <f>IF($A38="","",SUMIF(tblAkis[KaynakKartId],$A38,tblAkis[Tutar]))</f>
        <v/>
      </c>
      <c r="J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8">
        <f>IF($A39="","",SUMIF(tblAkis[KaynakKartId],$A39,tblAkis[Tutar]))</f>
        <v/>
      </c>
      <c r="J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8">
        <f>IF($A40="","",SUMIF(tblAkis[KaynakKartId],$A40,tblAkis[Tutar]))</f>
        <v/>
      </c>
      <c r="J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8">
        <f>IF($A41="","",SUMIF(tblAkis[KaynakKartId],$A41,tblAkis[Tutar]))</f>
        <v/>
      </c>
      <c r="J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8">
        <f>IF($A42="","",SUMIF(tblAkis[KaynakKartId],$A42,tblAkis[Tutar]))</f>
        <v/>
      </c>
      <c r="J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8">
        <f>IF($A43="","",SUMIF(tblAkis[KaynakKartId],$A43,tblAkis[Tutar]))</f>
        <v/>
      </c>
      <c r="J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8">
        <f>IF($A44="","",SUMIF(tblAkis[KaynakKartId],$A44,tblAkis[Tutar]))</f>
        <v/>
      </c>
      <c r="J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8">
        <f>IF($A45="","",SUMIF(tblAkis[KaynakKartId],$A45,tblAkis[Tutar]))</f>
        <v/>
      </c>
      <c r="J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8">
        <f>IF($A46="","",SUMIF(tblAkis[KaynakKartId],$A46,tblAkis[Tutar]))</f>
        <v/>
      </c>
      <c r="J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8">
        <f>IF($A47="","",SUMIF(tblAkis[KaynakKartId],$A47,tblAkis[Tutar]))</f>
        <v/>
      </c>
      <c r="J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8">
        <f>IF($A48="","",SUMIF(tblAkis[KaynakKartId],$A48,tblAkis[Tutar]))</f>
        <v/>
      </c>
      <c r="J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8">
        <f>IF($A49="","",SUMIF(tblAkis[KaynakKartId],$A49,tblAkis[Tutar]))</f>
        <v/>
      </c>
      <c r="J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8">
        <f>IF($A50="","",SUMIF(tblAkis[KaynakKartId],$A50,tblAkis[Tutar]))</f>
        <v/>
      </c>
      <c r="J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8">
        <f>IF($A51="","",SUMIF(tblAkis[KaynakKartId],$A51,tblAkis[Tutar]))</f>
        <v/>
      </c>
      <c r="J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8">
        <f>IF($A52="","",SUMIF(tblAkis[KaynakKartId],$A52,tblAkis[Tutar]))</f>
        <v/>
      </c>
      <c r="J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8">
        <f>IF($A53="","",SUMIF(tblAkis[KaynakKartId],$A53,tblAkis[Tutar]))</f>
        <v/>
      </c>
      <c r="J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8">
        <f>IF($A54="","",SUMIF(tblAkis[KaynakKartId],$A54,tblAkis[Tutar]))</f>
        <v/>
      </c>
      <c r="J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8">
        <f>IF($A55="","",SUMIF(tblAkis[KaynakKartId],$A55,tblAkis[Tutar]))</f>
        <v/>
      </c>
      <c r="J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8">
        <f>IF($A56="","",SUMIF(tblAkis[KaynakKartId],$A56,tblAkis[Tutar]))</f>
        <v/>
      </c>
      <c r="J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8">
        <f>IF($A57="","",SUMIF(tblAkis[KaynakKartId],$A57,tblAkis[Tutar]))</f>
        <v/>
      </c>
      <c r="J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8">
        <f>IF($A58="","",SUMIF(tblAkis[KaynakKartId],$A58,tblAkis[Tutar]))</f>
        <v/>
      </c>
      <c r="J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8">
        <f>IF($A59="","",SUMIF(tblAkis[KaynakKartId],$A59,tblAkis[Tutar]))</f>
        <v/>
      </c>
      <c r="J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8">
        <f>IF($A60="","",SUMIF(tblAkis[KaynakKartId],$A60,tblAkis[Tutar]))</f>
        <v/>
      </c>
      <c r="J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8">
        <f>IF($A61="","",SUMIF(tblAkis[KaynakKartId],$A61,tblAkis[Tutar]))</f>
        <v/>
      </c>
      <c r="J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8">
        <f>IF($A62="","",SUMIF(tblAkis[KaynakKartId],$A62,tblAkis[Tutar]))</f>
        <v/>
      </c>
      <c r="J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8">
        <f>IF($A63="","",SUMIF(tblAkis[KaynakKartId],$A63,tblAkis[Tutar]))</f>
        <v/>
      </c>
      <c r="J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8">
        <f>IF($A64="","",SUMIF(tblAkis[KaynakKartId],$A64,tblAkis[Tutar]))</f>
        <v/>
      </c>
      <c r="J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8">
        <f>IF($A65="","",SUMIF(tblAkis[KaynakKartId],$A65,tblAkis[Tutar]))</f>
        <v/>
      </c>
      <c r="J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8">
        <f>IF($A66="","",SUMIF(tblAkis[KaynakKartId],$A66,tblAkis[Tutar]))</f>
        <v/>
      </c>
      <c r="J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8">
        <f>IF($A67="","",SUMIF(tblAkis[KaynakKartId],$A67,tblAkis[Tutar]))</f>
        <v/>
      </c>
      <c r="J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8">
        <f>IF($A68="","",SUMIF(tblAkis[KaynakKartId],$A68,tblAkis[Tutar]))</f>
        <v/>
      </c>
      <c r="J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8">
        <f>IF($A69="","",SUMIF(tblAkis[KaynakKartId],$A69,tblAkis[Tutar]))</f>
        <v/>
      </c>
      <c r="J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8">
        <f>IF($A70="","",SUMIF(tblAkis[KaynakKartId],$A70,tblAkis[Tutar]))</f>
        <v/>
      </c>
      <c r="J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8">
        <f>IF($A71="","",SUMIF(tblAkis[KaynakKartId],$A71,tblAkis[Tutar]))</f>
        <v/>
      </c>
      <c r="J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8">
        <f>IF($A72="","",SUMIF(tblAkis[KaynakKartId],$A72,tblAkis[Tutar]))</f>
        <v/>
      </c>
      <c r="J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8">
        <f>IF($A73="","",SUMIF(tblAkis[KaynakKartId],$A73,tblAkis[Tutar]))</f>
        <v/>
      </c>
      <c r="J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8">
        <f>IF($A74="","",SUMIF(tblAkis[KaynakKartId],$A74,tblAkis[Tutar]))</f>
        <v/>
      </c>
      <c r="J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8">
        <f>IF($A75="","",SUMIF(tblAkis[KaynakKartId],$A75,tblAkis[Tutar]))</f>
        <v/>
      </c>
      <c r="J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8">
        <f>IF($A76="","",SUMIF(tblAkis[KaynakKartId],$A76,tblAkis[Tutar]))</f>
        <v/>
      </c>
      <c r="J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8">
        <f>IF($A77="","",SUMIF(tblAkis[KaynakKartId],$A77,tblAkis[Tutar]))</f>
        <v/>
      </c>
      <c r="J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8">
        <f>IF($A78="","",SUMIF(tblAkis[KaynakKartId],$A78,tblAkis[Tutar]))</f>
        <v/>
      </c>
      <c r="J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8">
        <f>IF($A79="","",SUMIF(tblAkis[KaynakKartId],$A79,tblAkis[Tutar]))</f>
        <v/>
      </c>
      <c r="J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8">
        <f>IF($A80="","",SUMIF(tblAkis[KaynakKartId],$A80,tblAkis[Tutar]))</f>
        <v/>
      </c>
      <c r="J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8">
        <f>IF($A81="","",SUMIF(tblAkis[KaynakKartId],$A81,tblAkis[Tutar]))</f>
        <v/>
      </c>
      <c r="J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8">
        <f>IF($A82="","",SUMIF(tblAkis[KaynakKartId],$A82,tblAkis[Tutar]))</f>
        <v/>
      </c>
      <c r="J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8">
        <f>IF($A83="","",SUMIF(tblAkis[KaynakKartId],$A83,tblAkis[Tutar]))</f>
        <v/>
      </c>
      <c r="J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8">
        <f>IF($A84="","",SUMIF(tblAkis[KaynakKartId],$A84,tblAkis[Tutar]))</f>
        <v/>
      </c>
      <c r="J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8">
        <f>IF($A85="","",SUMIF(tblAkis[KaynakKartId],$A85,tblAkis[Tutar]))</f>
        <v/>
      </c>
      <c r="J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8">
        <f>IF($A86="","",SUMIF(tblAkis[KaynakKartId],$A86,tblAkis[Tutar]))</f>
        <v/>
      </c>
      <c r="J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8">
        <f>IF($A87="","",SUMIF(tblAkis[KaynakKartId],$A87,tblAkis[Tutar]))</f>
        <v/>
      </c>
      <c r="J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8">
        <f>IF($A88="","",SUMIF(tblAkis[KaynakKartId],$A88,tblAkis[Tutar]))</f>
        <v/>
      </c>
      <c r="J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8">
        <f>IF($A89="","",SUMIF(tblAkis[KaynakKartId],$A89,tblAkis[Tutar]))</f>
        <v/>
      </c>
      <c r="J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8">
        <f>IF($A90="","",SUMIF(tblAkis[KaynakKartId],$A90,tblAkis[Tutar]))</f>
        <v/>
      </c>
      <c r="J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8">
        <f>IF($A91="","",SUMIF(tblAkis[KaynakKartId],$A91,tblAkis[Tutar]))</f>
        <v/>
      </c>
      <c r="J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8">
        <f>IF($A92="","",SUMIF(tblAkis[KaynakKartId],$A92,tblAkis[Tutar]))</f>
        <v/>
      </c>
      <c r="J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8">
        <f>IF($A93="","",SUMIF(tblAkis[KaynakKartId],$A93,tblAkis[Tutar]))</f>
        <v/>
      </c>
      <c r="J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8">
        <f>IF($A94="","",SUMIF(tblAkis[KaynakKartId],$A94,tblAkis[Tutar]))</f>
        <v/>
      </c>
      <c r="J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8">
        <f>IF($A95="","",SUMIF(tblAkis[KaynakKartId],$A95,tblAkis[Tutar]))</f>
        <v/>
      </c>
      <c r="J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8">
        <f>IF($A96="","",SUMIF(tblAkis[KaynakKartId],$A96,tblAkis[Tutar]))</f>
        <v/>
      </c>
      <c r="J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8">
        <f>IF($A97="","",SUMIF(tblAkis[KaynakKartId],$A97,tblAkis[Tutar]))</f>
        <v/>
      </c>
      <c r="J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8">
        <f>IF($A98="","",SUMIF(tblAkis[KaynakKartId],$A98,tblAkis[Tutar]))</f>
        <v/>
      </c>
      <c r="J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8">
        <f>IF($A99="","",SUMIF(tblAkis[KaynakKartId],$A99,tblAkis[Tutar]))</f>
        <v/>
      </c>
      <c r="J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8">
        <f>IF($A100="","",SUMIF(tblAkis[KaynakKartId],$A100,tblAkis[Tutar]))</f>
        <v/>
      </c>
      <c r="J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8">
        <f>IF($A101="","",SUMIF(tblAkis[KaynakKartId],$A101,tblAkis[Tutar]))</f>
        <v/>
      </c>
      <c r="J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8">
        <f>IF($A102="","",SUMIF(tblAkis[KaynakKartId],$A102,tblAkis[Tutar]))</f>
        <v/>
      </c>
      <c r="J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8">
        <f>IF($A103="","",SUMIF(tblAkis[KaynakKartId],$A103,tblAkis[Tutar]))</f>
        <v/>
      </c>
      <c r="J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8">
        <f>IF($A104="","",SUMIF(tblAkis[KaynakKartId],$A104,tblAkis[Tutar]))</f>
        <v/>
      </c>
      <c r="J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8">
        <f>IF($A105="","",SUMIF(tblAkis[KaynakKartId],$A105,tblAkis[Tutar]))</f>
        <v/>
      </c>
      <c r="J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8">
        <f>IF($A106="","",SUMIF(tblAkis[KaynakKartId],$A106,tblAkis[Tutar]))</f>
        <v/>
      </c>
      <c r="J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8">
        <f>IF($A107="","",SUMIF(tblAkis[KaynakKartId],$A107,tblAkis[Tutar]))</f>
        <v/>
      </c>
      <c r="J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8">
        <f>IF($A108="","",SUMIF(tblAkis[KaynakKartId],$A108,tblAkis[Tutar]))</f>
        <v/>
      </c>
      <c r="J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8">
        <f>IF($A109="","",SUMIF(tblAkis[KaynakKartId],$A109,tblAkis[Tutar]))</f>
        <v/>
      </c>
      <c r="J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8">
        <f>IF($A110="","",SUMIF(tblAkis[KaynakKartId],$A110,tblAkis[Tutar]))</f>
        <v/>
      </c>
      <c r="J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8">
        <f>IF($A111="","",SUMIF(tblAkis[KaynakKartId],$A111,tblAkis[Tutar]))</f>
        <v/>
      </c>
      <c r="J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8">
        <f>IF($A112="","",SUMIF(tblAkis[KaynakKartId],$A112,tblAkis[Tutar]))</f>
        <v/>
      </c>
      <c r="J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8">
        <f>IF($A113="","",SUMIF(tblAkis[KaynakKartId],$A113,tblAkis[Tutar]))</f>
        <v/>
      </c>
      <c r="J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8">
        <f>IF($A114="","",SUMIF(tblAkis[KaynakKartId],$A114,tblAkis[Tutar]))</f>
        <v/>
      </c>
      <c r="J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8">
        <f>IF($A115="","",SUMIF(tblAkis[KaynakKartId],$A115,tblAkis[Tutar]))</f>
        <v/>
      </c>
      <c r="J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8">
        <f>IF($A116="","",SUMIF(tblAkis[KaynakKartId],$A116,tblAkis[Tutar]))</f>
        <v/>
      </c>
      <c r="J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8">
        <f>IF($A117="","",SUMIF(tblAkis[KaynakKartId],$A117,tblAkis[Tutar]))</f>
        <v/>
      </c>
      <c r="J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8">
        <f>IF($A118="","",SUMIF(tblAkis[KaynakKartId],$A118,tblAkis[Tutar]))</f>
        <v/>
      </c>
      <c r="J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8">
        <f>IF($A119="","",SUMIF(tblAkis[KaynakKartId],$A119,tblAkis[Tutar]))</f>
        <v/>
      </c>
      <c r="J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8">
        <f>IF($A120="","",SUMIF(tblAkis[KaynakKartId],$A120,tblAkis[Tutar]))</f>
        <v/>
      </c>
      <c r="J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8">
        <f>IF($A121="","",SUMIF(tblAkis[KaynakKartId],$A121,tblAkis[Tutar]))</f>
        <v/>
      </c>
      <c r="J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8">
        <f>IF($A122="","",SUMIF(tblAkis[KaynakKartId],$A122,tblAkis[Tutar]))</f>
        <v/>
      </c>
      <c r="J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8">
        <f>IF($A123="","",SUMIF(tblAkis[KaynakKartId],$A123,tblAkis[Tutar]))</f>
        <v/>
      </c>
      <c r="J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8">
        <f>IF($A124="","",SUMIF(tblAkis[KaynakKartId],$A124,tblAkis[Tutar]))</f>
        <v/>
      </c>
      <c r="J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8">
        <f>IF($A125="","",SUMIF(tblAkis[KaynakKartId],$A125,tblAkis[Tutar]))</f>
        <v/>
      </c>
      <c r="J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8">
        <f>IF($A126="","",SUMIF(tblAkis[KaynakKartId],$A126,tblAkis[Tutar]))</f>
        <v/>
      </c>
      <c r="J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8">
        <f>IF($A127="","",SUMIF(tblAkis[KaynakKartId],$A127,tblAkis[Tutar]))</f>
        <v/>
      </c>
      <c r="J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8">
        <f>IF($A128="","",SUMIF(tblAkis[KaynakKartId],$A128,tblAkis[Tutar]))</f>
        <v/>
      </c>
      <c r="J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8">
        <f>IF($A129="","",SUMIF(tblAkis[KaynakKartId],$A129,tblAkis[Tutar]))</f>
        <v/>
      </c>
      <c r="J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8">
        <f>IF($A130="","",SUMIF(tblAkis[KaynakKartId],$A130,tblAkis[Tutar]))</f>
        <v/>
      </c>
      <c r="J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8">
        <f>IF($A131="","",SUMIF(tblAkis[KaynakKartId],$A131,tblAkis[Tutar]))</f>
        <v/>
      </c>
      <c r="J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8">
        <f>IF($A132="","",SUMIF(tblAkis[KaynakKartId],$A132,tblAkis[Tutar]))</f>
        <v/>
      </c>
      <c r="J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8">
        <f>IF($A133="","",SUMIF(tblAkis[KaynakKartId],$A133,tblAkis[Tutar]))</f>
        <v/>
      </c>
      <c r="J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8">
        <f>IF($A134="","",SUMIF(tblAkis[KaynakKartId],$A134,tblAkis[Tutar]))</f>
        <v/>
      </c>
      <c r="J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8">
        <f>IF($A135="","",SUMIF(tblAkis[KaynakKartId],$A135,tblAkis[Tutar]))</f>
        <v/>
      </c>
      <c r="J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8">
        <f>IF($A136="","",SUMIF(tblAkis[KaynakKartId],$A136,tblAkis[Tutar]))</f>
        <v/>
      </c>
      <c r="J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8">
        <f>IF($A137="","",SUMIF(tblAkis[KaynakKartId],$A137,tblAkis[Tutar]))</f>
        <v/>
      </c>
      <c r="J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8">
        <f>IF($A138="","",SUMIF(tblAkis[KaynakKartId],$A138,tblAkis[Tutar]))</f>
        <v/>
      </c>
      <c r="J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8">
        <f>IF($A139="","",SUMIF(tblAkis[KaynakKartId],$A139,tblAkis[Tutar]))</f>
        <v/>
      </c>
      <c r="J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8">
        <f>IF($A140="","",SUMIF(tblAkis[KaynakKartId],$A140,tblAkis[Tutar]))</f>
        <v/>
      </c>
      <c r="J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8">
        <f>IF($A141="","",SUMIF(tblAkis[KaynakKartId],$A141,tblAkis[Tutar]))</f>
        <v/>
      </c>
      <c r="J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8">
        <f>IF($A142="","",SUMIF(tblAkis[KaynakKartId],$A142,tblAkis[Tutar]))</f>
        <v/>
      </c>
      <c r="J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8">
        <f>IF($A143="","",SUMIF(tblAkis[KaynakKartId],$A143,tblAkis[Tutar]))</f>
        <v/>
      </c>
      <c r="J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8">
        <f>IF($A144="","",SUMIF(tblAkis[KaynakKartId],$A144,tblAkis[Tutar]))</f>
        <v/>
      </c>
      <c r="J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8">
        <f>IF($A145="","",SUMIF(tblAkis[KaynakKartId],$A145,tblAkis[Tutar]))</f>
        <v/>
      </c>
      <c r="J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8">
        <f>IF($A146="","",SUMIF(tblAkis[KaynakKartId],$A146,tblAkis[Tutar]))</f>
        <v/>
      </c>
      <c r="J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8">
        <f>IF($A147="","",SUMIF(tblAkis[KaynakKartId],$A147,tblAkis[Tutar]))</f>
        <v/>
      </c>
      <c r="J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8">
        <f>IF($A148="","",SUMIF(tblAkis[KaynakKartId],$A148,tblAkis[Tutar]))</f>
        <v/>
      </c>
      <c r="J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8">
        <f>IF($A149="","",SUMIF(tblAkis[KaynakKartId],$A149,tblAkis[Tutar]))</f>
        <v/>
      </c>
      <c r="J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8">
        <f>IF($A150="","",SUMIF(tblAkis[KaynakKartId],$A150,tblAkis[Tutar]))</f>
        <v/>
      </c>
      <c r="J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8">
        <f>IF($A151="","",SUMIF(tblAkis[KaynakKartId],$A151,tblAkis[Tutar]))</f>
        <v/>
      </c>
      <c r="J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8">
        <f>IF($A152="","",SUMIF(tblAkis[KaynakKartId],$A152,tblAkis[Tutar]))</f>
        <v/>
      </c>
      <c r="J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8">
        <f>IF($A153="","",SUMIF(tblAkis[KaynakKartId],$A153,tblAkis[Tutar]))</f>
        <v/>
      </c>
      <c r="J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8">
        <f>IF($A154="","",SUMIF(tblAkis[KaynakKartId],$A154,tblAkis[Tutar]))</f>
        <v/>
      </c>
      <c r="J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8">
        <f>IF($A155="","",SUMIF(tblAkis[KaynakKartId],$A155,tblAkis[Tutar]))</f>
        <v/>
      </c>
      <c r="J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8">
        <f>IF($A156="","",SUMIF(tblAkis[KaynakKartId],$A156,tblAkis[Tutar]))</f>
        <v/>
      </c>
      <c r="J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8">
        <f>IF($A157="","",SUMIF(tblAkis[KaynakKartId],$A157,tblAkis[Tutar]))</f>
        <v/>
      </c>
      <c r="J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8">
        <f>IF($A158="","",SUMIF(tblAkis[KaynakKartId],$A158,tblAkis[Tutar]))</f>
        <v/>
      </c>
      <c r="J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8">
        <f>IF($A159="","",SUMIF(tblAkis[KaynakKartId],$A159,tblAkis[Tutar]))</f>
        <v/>
      </c>
      <c r="J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8">
        <f>IF($A160="","",SUMIF(tblAkis[KaynakKartId],$A160,tblAkis[Tutar]))</f>
        <v/>
      </c>
      <c r="J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8">
        <f>IF($A161="","",SUMIF(tblAkis[KaynakKartId],$A161,tblAkis[Tutar]))</f>
        <v/>
      </c>
      <c r="J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8">
        <f>IF($A162="","",SUMIF(tblAkis[KaynakKartId],$A162,tblAkis[Tutar]))</f>
        <v/>
      </c>
      <c r="J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8">
        <f>IF($A163="","",SUMIF(tblAkis[KaynakKartId],$A163,tblAkis[Tutar]))</f>
        <v/>
      </c>
      <c r="J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8">
        <f>IF($A164="","",SUMIF(tblAkis[KaynakKartId],$A164,tblAkis[Tutar]))</f>
        <v/>
      </c>
      <c r="J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8">
        <f>IF($A165="","",SUMIF(tblAkis[KaynakKartId],$A165,tblAkis[Tutar]))</f>
        <v/>
      </c>
      <c r="J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8">
        <f>IF($A166="","",SUMIF(tblAkis[KaynakKartId],$A166,tblAkis[Tutar]))</f>
        <v/>
      </c>
      <c r="J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8">
        <f>IF($A167="","",SUMIF(tblAkis[KaynakKartId],$A167,tblAkis[Tutar]))</f>
        <v/>
      </c>
      <c r="J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8">
        <f>IF($A168="","",SUMIF(tblAkis[KaynakKartId],$A168,tblAkis[Tutar]))</f>
        <v/>
      </c>
      <c r="J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8">
        <f>IF($A169="","",SUMIF(tblAkis[KaynakKartId],$A169,tblAkis[Tutar]))</f>
        <v/>
      </c>
      <c r="J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8">
        <f>IF($A170="","",SUMIF(tblAkis[KaynakKartId],$A170,tblAkis[Tutar]))</f>
        <v/>
      </c>
      <c r="J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8">
        <f>IF($A171="","",SUMIF(tblAkis[KaynakKartId],$A171,tblAkis[Tutar]))</f>
        <v/>
      </c>
      <c r="J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8">
        <f>IF($A172="","",SUMIF(tblAkis[KaynakKartId],$A172,tblAkis[Tutar]))</f>
        <v/>
      </c>
      <c r="J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8">
        <f>IF($A173="","",SUMIF(tblAkis[KaynakKartId],$A173,tblAkis[Tutar]))</f>
        <v/>
      </c>
      <c r="J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8">
        <f>IF($A174="","",SUMIF(tblAkis[KaynakKartId],$A174,tblAkis[Tutar]))</f>
        <v/>
      </c>
      <c r="J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8">
        <f>IF($A175="","",SUMIF(tblAkis[KaynakKartId],$A175,tblAkis[Tutar]))</f>
        <v/>
      </c>
      <c r="J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8">
        <f>IF($A176="","",SUMIF(tblAkis[KaynakKartId],$A176,tblAkis[Tutar]))</f>
        <v/>
      </c>
      <c r="J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8">
        <f>IF($A177="","",SUMIF(tblAkis[KaynakKartId],$A177,tblAkis[Tutar]))</f>
        <v/>
      </c>
      <c r="J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8">
        <f>IF($A178="","",SUMIF(tblAkis[KaynakKartId],$A178,tblAkis[Tutar]))</f>
        <v/>
      </c>
      <c r="J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8">
        <f>IF($A179="","",SUMIF(tblAkis[KaynakKartId],$A179,tblAkis[Tutar]))</f>
        <v/>
      </c>
      <c r="J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8">
        <f>IF($A180="","",SUMIF(tblAkis[KaynakKartId],$A180,tblAkis[Tutar]))</f>
        <v/>
      </c>
      <c r="J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8">
        <f>IF($A181="","",SUMIF(tblAkis[KaynakKartId],$A181,tblAkis[Tutar]))</f>
        <v/>
      </c>
      <c r="J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8">
        <f>IF($A182="","",SUMIF(tblAkis[KaynakKartId],$A182,tblAkis[Tutar]))</f>
        <v/>
      </c>
      <c r="J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8">
        <f>IF($A183="","",SUMIF(tblAkis[KaynakKartId],$A183,tblAkis[Tutar]))</f>
        <v/>
      </c>
      <c r="J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8">
        <f>IF($A184="","",SUMIF(tblAkis[KaynakKartId],$A184,tblAkis[Tutar]))</f>
        <v/>
      </c>
      <c r="J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8">
        <f>IF($A185="","",SUMIF(tblAkis[KaynakKartId],$A185,tblAkis[Tutar]))</f>
        <v/>
      </c>
      <c r="J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8">
        <f>IF($A186="","",SUMIF(tblAkis[KaynakKartId],$A186,tblAkis[Tutar]))</f>
        <v/>
      </c>
      <c r="J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8">
        <f>IF($A187="","",SUMIF(tblAkis[KaynakKartId],$A187,tblAkis[Tutar]))</f>
        <v/>
      </c>
      <c r="J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8">
        <f>IF($A188="","",SUMIF(tblAkis[KaynakKartId],$A188,tblAkis[Tutar]))</f>
        <v/>
      </c>
      <c r="J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8">
        <f>IF($A189="","",SUMIF(tblAkis[KaynakKartId],$A189,tblAkis[Tutar]))</f>
        <v/>
      </c>
      <c r="J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8">
        <f>IF($A190="","",SUMIF(tblAkis[KaynakKartId],$A190,tblAkis[Tutar]))</f>
        <v/>
      </c>
      <c r="J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8">
        <f>IF($A191="","",SUMIF(tblAkis[KaynakKartId],$A191,tblAkis[Tutar]))</f>
        <v/>
      </c>
      <c r="J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8">
        <f>IF($A192="","",SUMIF(tblAkis[KaynakKartId],$A192,tblAkis[Tutar]))</f>
        <v/>
      </c>
      <c r="J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8">
        <f>IF($A193="","",SUMIF(tblAkis[KaynakKartId],$A193,tblAkis[Tutar]))</f>
        <v/>
      </c>
      <c r="J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8">
        <f>IF($A194="","",SUMIF(tblAkis[KaynakKartId],$A194,tblAkis[Tutar]))</f>
        <v/>
      </c>
      <c r="J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8">
        <f>IF($A195="","",SUMIF(tblAkis[KaynakKartId],$A195,tblAkis[Tutar]))</f>
        <v/>
      </c>
      <c r="J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8">
        <f>IF($A196="","",SUMIF(tblAkis[KaynakKartId],$A196,tblAkis[Tutar]))</f>
        <v/>
      </c>
      <c r="J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8">
        <f>IF($A197="","",SUMIF(tblAkis[KaynakKartId],$A197,tblAkis[Tutar]))</f>
        <v/>
      </c>
      <c r="J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8">
        <f>IF($A198="","",SUMIF(tblAkis[KaynakKartId],$A198,tblAkis[Tutar]))</f>
        <v/>
      </c>
      <c r="J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8">
        <f>IF($A199="","",SUMIF(tblAkis[KaynakKartId],$A199,tblAkis[Tutar]))</f>
        <v/>
      </c>
      <c r="J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8">
        <f>IF($A200="","",SUMIF(tblAkis[KaynakKartId],$A200,tblAkis[Tutar]))</f>
        <v/>
      </c>
      <c r="J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8">
        <f>IF($A201="","",SUMIF(tblAkis[KaynakKartId],$A201,tblAkis[Tutar]))</f>
        <v/>
      </c>
      <c r="J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8">
        <f>IF($A202="","",SUMIF(tblAkis[KaynakKartId],$A202,tblAkis[Tutar]))</f>
        <v/>
      </c>
      <c r="J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8">
        <f>IF($A203="","",SUMIF(tblAkis[KaynakKartId],$A203,tblAkis[Tutar]))</f>
        <v/>
      </c>
      <c r="J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8">
        <f>IF($A204="","",SUMIF(tblAkis[KaynakKartId],$A204,tblAkis[Tutar]))</f>
        <v/>
      </c>
      <c r="J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8">
        <f>IF($A205="","",SUMIF(tblAkis[KaynakKartId],$A205,tblAkis[Tutar]))</f>
        <v/>
      </c>
      <c r="J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8">
        <f>IF($A206="","",SUMIF(tblAkis[KaynakKartId],$A206,tblAkis[Tutar]))</f>
        <v/>
      </c>
      <c r="J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8">
        <f>IF($A207="","",SUMIF(tblAkis[KaynakKartId],$A207,tblAkis[Tutar]))</f>
        <v/>
      </c>
      <c r="J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8">
        <f>IF($A208="","",SUMIF(tblAkis[KaynakKartId],$A208,tblAkis[Tutar]))</f>
        <v/>
      </c>
      <c r="J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8">
        <f>IF($A209="","",SUMIF(tblAkis[KaynakKartId],$A209,tblAkis[Tutar]))</f>
        <v/>
      </c>
      <c r="J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8">
        <f>IF($A210="","",SUMIF(tblAkis[KaynakKartId],$A210,tblAkis[Tutar]))</f>
        <v/>
      </c>
      <c r="J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8">
        <f>IF($A211="","",SUMIF(tblAkis[KaynakKartId],$A211,tblAkis[Tutar]))</f>
        <v/>
      </c>
      <c r="J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8">
        <f>IF($A212="","",SUMIF(tblAkis[KaynakKartId],$A212,tblAkis[Tutar]))</f>
        <v/>
      </c>
      <c r="J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8">
        <f>IF($A213="","",SUMIF(tblAkis[KaynakKartId],$A213,tblAkis[Tutar]))</f>
        <v/>
      </c>
      <c r="J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8">
        <f>IF($A214="","",SUMIF(tblAkis[KaynakKartId],$A214,tblAkis[Tutar]))</f>
        <v/>
      </c>
      <c r="J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8">
        <f>IF($A215="","",SUMIF(tblAkis[KaynakKartId],$A215,tblAkis[Tutar]))</f>
        <v/>
      </c>
      <c r="J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8">
        <f>IF($A216="","",SUMIF(tblAkis[KaynakKartId],$A216,tblAkis[Tutar]))</f>
        <v/>
      </c>
      <c r="J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8">
        <f>IF($A217="","",SUMIF(tblAkis[KaynakKartId],$A217,tblAkis[Tutar]))</f>
        <v/>
      </c>
      <c r="J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8">
        <f>IF($A218="","",SUMIF(tblAkis[KaynakKartId],$A218,tblAkis[Tutar]))</f>
        <v/>
      </c>
      <c r="J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8">
        <f>IF($A219="","",SUMIF(tblAkis[KaynakKartId],$A219,tblAkis[Tutar]))</f>
        <v/>
      </c>
      <c r="J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8">
        <f>IF($A220="","",SUMIF(tblAkis[KaynakKartId],$A220,tblAkis[Tutar]))</f>
        <v/>
      </c>
      <c r="J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8">
        <f>IF($A221="","",SUMIF(tblAkis[KaynakKartId],$A221,tblAkis[Tutar]))</f>
        <v/>
      </c>
      <c r="J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8">
        <f>IF($A222="","",SUMIF(tblAkis[KaynakKartId],$A222,tblAkis[Tutar]))</f>
        <v/>
      </c>
      <c r="J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8">
        <f>IF($A223="","",SUMIF(tblAkis[KaynakKartId],$A223,tblAkis[Tutar]))</f>
        <v/>
      </c>
      <c r="J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8">
        <f>IF($A224="","",SUMIF(tblAkis[KaynakKartId],$A224,tblAkis[Tutar]))</f>
        <v/>
      </c>
      <c r="J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8">
        <f>IF($A225="","",SUMIF(tblAkis[KaynakKartId],$A225,tblAkis[Tutar]))</f>
        <v/>
      </c>
      <c r="J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8">
        <f>IF($A226="","",SUMIF(tblAkis[KaynakKartId],$A226,tblAkis[Tutar]))</f>
        <v/>
      </c>
      <c r="J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8">
        <f>IF($A227="","",SUMIF(tblAkis[KaynakKartId],$A227,tblAkis[Tutar]))</f>
        <v/>
      </c>
      <c r="J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8">
        <f>IF($A228="","",SUMIF(tblAkis[KaynakKartId],$A228,tblAkis[Tutar]))</f>
        <v/>
      </c>
      <c r="J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8">
        <f>IF($A229="","",SUMIF(tblAkis[KaynakKartId],$A229,tblAkis[Tutar]))</f>
        <v/>
      </c>
      <c r="J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8">
        <f>IF($A230="","",SUMIF(tblAkis[KaynakKartId],$A230,tblAkis[Tutar]))</f>
        <v/>
      </c>
      <c r="J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8">
        <f>IF($A231="","",SUMIF(tblAkis[KaynakKartId],$A231,tblAkis[Tutar]))</f>
        <v/>
      </c>
      <c r="J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8">
        <f>IF($A232="","",SUMIF(tblAkis[KaynakKartId],$A232,tblAkis[Tutar]))</f>
        <v/>
      </c>
      <c r="J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8">
        <f>IF($A233="","",SUMIF(tblAkis[KaynakKartId],$A233,tblAkis[Tutar]))</f>
        <v/>
      </c>
      <c r="J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8">
        <f>IF($A234="","",SUMIF(tblAkis[KaynakKartId],$A234,tblAkis[Tutar]))</f>
        <v/>
      </c>
      <c r="J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8">
        <f>IF($A235="","",SUMIF(tblAkis[KaynakKartId],$A235,tblAkis[Tutar]))</f>
        <v/>
      </c>
      <c r="J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8">
        <f>IF($A236="","",SUMIF(tblAkis[KaynakKartId],$A236,tblAkis[Tutar]))</f>
        <v/>
      </c>
      <c r="J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8">
        <f>IF($A237="","",SUMIF(tblAkis[KaynakKartId],$A237,tblAkis[Tutar]))</f>
        <v/>
      </c>
      <c r="J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8">
        <f>IF($A238="","",SUMIF(tblAkis[KaynakKartId],$A238,tblAkis[Tutar]))</f>
        <v/>
      </c>
      <c r="J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8">
        <f>IF($A239="","",SUMIF(tblAkis[KaynakKartId],$A239,tblAkis[Tutar]))</f>
        <v/>
      </c>
      <c r="J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8">
        <f>IF($A240="","",SUMIF(tblAkis[KaynakKartId],$A240,tblAkis[Tutar]))</f>
        <v/>
      </c>
      <c r="J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8">
        <f>IF($A241="","",SUMIF(tblAkis[KaynakKartId],$A241,tblAkis[Tutar]))</f>
        <v/>
      </c>
      <c r="J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8">
        <f>IF($A242="","",SUMIF(tblAkis[KaynakKartId],$A242,tblAkis[Tutar]))</f>
        <v/>
      </c>
      <c r="J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8">
        <f>IF($A243="","",SUMIF(tblAkis[KaynakKartId],$A243,tblAkis[Tutar]))</f>
        <v/>
      </c>
      <c r="J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8">
        <f>IF($A244="","",SUMIF(tblAkis[KaynakKartId],$A244,tblAkis[Tutar]))</f>
        <v/>
      </c>
      <c r="J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8">
        <f>IF($A245="","",SUMIF(tblAkis[KaynakKartId],$A245,tblAkis[Tutar]))</f>
        <v/>
      </c>
      <c r="J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8">
        <f>IF($A246="","",SUMIF(tblAkis[KaynakKartId],$A246,tblAkis[Tutar]))</f>
        <v/>
      </c>
      <c r="J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8">
        <f>IF($A247="","",SUMIF(tblAkis[KaynakKartId],$A247,tblAkis[Tutar]))</f>
        <v/>
      </c>
      <c r="J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8">
        <f>IF($A248="","",SUMIF(tblAkis[KaynakKartId],$A248,tblAkis[Tutar]))</f>
        <v/>
      </c>
      <c r="J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8">
        <f>IF($A249="","",SUMIF(tblAkis[KaynakKartId],$A249,tblAkis[Tutar]))</f>
        <v/>
      </c>
      <c r="J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8">
        <f>IF($A250="","",SUMIF(tblAkis[KaynakKartId],$A250,tblAkis[Tutar]))</f>
        <v/>
      </c>
      <c r="J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8">
        <f>IF($A251="","",SUMIF(tblAkis[KaynakKartId],$A251,tblAkis[Tutar]))</f>
        <v/>
      </c>
      <c r="J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8">
        <f>IF($A252="","",SUMIF(tblAkis[KaynakKartId],$A252,tblAkis[Tutar]))</f>
        <v/>
      </c>
      <c r="J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8">
        <f>IF($A253="","",SUMIF(tblAkis[KaynakKartId],$A253,tblAkis[Tutar]))</f>
        <v/>
      </c>
      <c r="J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8">
        <f>IF($A254="","",SUMIF(tblAkis[KaynakKartId],$A254,tblAkis[Tutar]))</f>
        <v/>
      </c>
      <c r="J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8">
        <f>IF($A255="","",SUMIF(tblAkis[KaynakKartId],$A255,tblAkis[Tutar]))</f>
        <v/>
      </c>
      <c r="J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8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İnşaat Hakediş Yönetim Sistemi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Tarih</t>
        </is>
      </c>
      <c r="D5" s="25" t="inlineStr">
        <is>
          <t>OncekiDurum</t>
        </is>
      </c>
      <c r="E5" s="25" t="inlineStr">
        <is>
          <t>Durum</t>
        </is>
      </c>
      <c r="F5" s="25" t="inlineStr">
        <is>
          <t>Teklif</t>
        </is>
      </c>
      <c r="G5" s="25" t="inlineStr">
        <is>
          <t>Siparis</t>
        </is>
      </c>
      <c r="H5" s="25" t="inlineStr">
        <is>
          <t>Hakedis</t>
        </is>
      </c>
      <c r="I5" s="25" t="inlineStr">
        <is>
          <t>Fatura</t>
        </is>
      </c>
      <c r="J5" s="25" t="inlineStr">
        <is>
          <t>Odeme</t>
        </is>
      </c>
      <c r="K5" s="25" t="inlineStr">
        <is>
          <t>Tutar</t>
        </is>
      </c>
      <c r="L5" s="25" t="inlineStr">
        <is>
          <t>Donem</t>
        </is>
      </c>
      <c r="M5" s="25" t="inlineStr">
        <is>
          <t>Aciklama</t>
        </is>
      </c>
      <c r="N5" s="25" t="inlineStr">
        <is>
          <t>YasGun</t>
        </is>
      </c>
      <c r="O5" s="25" t="inlineStr">
        <is>
          <t>YasKova</t>
        </is>
      </c>
      <c r="P5" s="25" t="inlineStr">
        <is>
          <t>YetimBayrak</t>
        </is>
      </c>
      <c r="Q5" s="25" t="inlineStr">
        <is>
          <t>GecisUyarisi</t>
        </is>
      </c>
      <c r="R5" s="25" t="inlineStr">
        <is>
          <t>ZincirBayrak</t>
        </is>
      </c>
      <c r="S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9" t="n">
        <v>46241</v>
      </c>
      <c r="D6" s="26" t="n"/>
      <c r="E6" s="26" t="inlineStr">
        <is>
          <t>DRAFT</t>
        </is>
      </c>
      <c r="F6" s="27" t="n">
        <v>112500</v>
      </c>
      <c r="G6" s="27" t="n">
        <v>112500</v>
      </c>
      <c r="H6" s="27" t="n">
        <v>112500</v>
      </c>
      <c r="I6" s="27" t="n">
        <v>112500</v>
      </c>
      <c r="J6" s="27" t="n">
        <v>0</v>
      </c>
      <c r="K6" s="27" t="n">
        <v>112500</v>
      </c>
      <c r="L6" s="26" t="inlineStr">
        <is>
          <t>2026-08</t>
        </is>
      </c>
      <c r="M6" s="26" t="inlineStr">
        <is>
          <t>Hakediş kalemi 1</t>
        </is>
      </c>
      <c r="N6" s="28">
        <f>IF($A6="","",IF($C6="","",raporTarihi-$C6))</f>
        <v/>
      </c>
      <c r="O6" s="28">
        <f>IF($A6="","",IF($N6="","",IF($N6&lt;=7,"0-7",IF($N6&lt;=30,"8-30",IF($N6&lt;=60,"31-60","60+")))))</f>
        <v/>
      </c>
      <c r="P6" s="28">
        <f>IF($A6="","",IF($B6="","YETİM",IF(COUNTIF(tblKartlar[KartId],$B6)=0,"YETİM","")))</f>
        <v/>
      </c>
      <c r="Q6" s="28">
        <f>IF(OR($A6="",$D6=""),"",IF(OR($D6&amp;"|"&amp;$E6="",COUNTIF(ListeIzinliGecis,$D6&amp;"|"&amp;$E6)&gt;0),"","GEÇERSİZ GEÇİŞ"))</f>
        <v/>
      </c>
      <c r="R6" s="28">
        <f>IF($A6="","",IF(OR($F6="",$H6=""),"",IF(ABS($H6-$F6)&gt;zincirTolerans,"ZİNCİR KIRIK","OK")))</f>
        <v/>
      </c>
      <c r="S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9" t="n">
        <v>46238</v>
      </c>
      <c r="D7" s="26" t="inlineStr">
        <is>
          <t>DRAFT</t>
        </is>
      </c>
      <c r="E7" s="26" t="inlineStr">
        <is>
          <t>BEKLIYOR</t>
        </is>
      </c>
      <c r="F7" s="27" t="n">
        <v>125000</v>
      </c>
      <c r="G7" s="27" t="n">
        <v>125000</v>
      </c>
      <c r="H7" s="27" t="n">
        <v>125000</v>
      </c>
      <c r="I7" s="27" t="n">
        <v>125000</v>
      </c>
      <c r="J7" s="27" t="n">
        <v>0</v>
      </c>
      <c r="K7" s="27" t="n">
        <v>125000</v>
      </c>
      <c r="L7" s="26" t="inlineStr">
        <is>
          <t>2026-08</t>
        </is>
      </c>
      <c r="M7" s="26" t="inlineStr">
        <is>
          <t>Hakediş kalemi 2</t>
        </is>
      </c>
      <c r="N7" s="28">
        <f>IF($A7="","",IF($C7="","",raporTarihi-$C7))</f>
        <v/>
      </c>
      <c r="O7" s="28">
        <f>IF($A7="","",IF($N7="","",IF($N7&lt;=7,"0-7",IF($N7&lt;=30,"8-30",IF($N7&lt;=60,"31-60","60+")))))</f>
        <v/>
      </c>
      <c r="P7" s="28">
        <f>IF($A7="","",IF($B7="","YETİM",IF(COUNTIF(tblKartlar[KartId],$B7)=0,"YETİM","")))</f>
        <v/>
      </c>
      <c r="Q7" s="28">
        <f>IF(OR($A7="",$D7=""),"",IF(OR($D7&amp;"|"&amp;$E7="",COUNTIF(ListeIzinliGecis,$D7&amp;"|"&amp;$E7)&gt;0),"","GEÇERSİZ GEÇİŞ"))</f>
        <v/>
      </c>
      <c r="R7" s="28">
        <f>IF($A7="","",IF(OR($F7="",$H7=""),"",IF(ABS($H7-$F7)&gt;zincirTolerans,"ZİNCİR KIRIK","OK")))</f>
        <v/>
      </c>
      <c r="S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9" t="n">
        <v>46235</v>
      </c>
      <c r="D8" s="26" t="inlineStr">
        <is>
          <t>BEKLIYOR</t>
        </is>
      </c>
      <c r="E8" s="26" t="inlineStr">
        <is>
          <t>ONAY</t>
        </is>
      </c>
      <c r="F8" s="27" t="n">
        <v>137500</v>
      </c>
      <c r="G8" s="27" t="n">
        <v>137500</v>
      </c>
      <c r="H8" s="27" t="n">
        <v>137500</v>
      </c>
      <c r="I8" s="27" t="n">
        <v>137500</v>
      </c>
      <c r="J8" s="27" t="n">
        <v>0</v>
      </c>
      <c r="K8" s="27" t="n">
        <v>137500</v>
      </c>
      <c r="L8" s="26" t="inlineStr">
        <is>
          <t>2026-08</t>
        </is>
      </c>
      <c r="M8" s="26" t="inlineStr">
        <is>
          <t>Hakediş kalemi 3</t>
        </is>
      </c>
      <c r="N8" s="28">
        <f>IF($A8="","",IF($C8="","",raporTarihi-$C8))</f>
        <v/>
      </c>
      <c r="O8" s="28">
        <f>IF($A8="","",IF($N8="","",IF($N8&lt;=7,"0-7",IF($N8&lt;=30,"8-30",IF($N8&lt;=60,"31-60","60+")))))</f>
        <v/>
      </c>
      <c r="P8" s="28">
        <f>IF($A8="","",IF($B8="","YETİM",IF(COUNTIF(tblKartlar[KartId],$B8)=0,"YETİM","")))</f>
        <v/>
      </c>
      <c r="Q8" s="28">
        <f>IF(OR($A8="",$D8=""),"",IF(OR($D8&amp;"|"&amp;$E8="",COUNTIF(ListeIzinliGecis,$D8&amp;"|"&amp;$E8)&gt;0),"","GEÇERSİZ GEÇİŞ"))</f>
        <v/>
      </c>
      <c r="R8" s="28">
        <f>IF($A8="","",IF(OR($F8="",$H8=""),"",IF(ABS($H8-$F8)&gt;zincirTolerans,"ZİNCİR KIRIK","OK")))</f>
        <v/>
      </c>
      <c r="S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9" t="n">
        <v>46232</v>
      </c>
      <c r="D9" s="26" t="inlineStr">
        <is>
          <t>ONAY</t>
        </is>
      </c>
      <c r="E9" s="26" t="inlineStr">
        <is>
          <t>ODEME</t>
        </is>
      </c>
      <c r="F9" s="27" t="n">
        <v>150000</v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6" t="inlineStr">
        <is>
          <t>2026-08</t>
        </is>
      </c>
      <c r="M9" s="26" t="inlineStr">
        <is>
          <t>Hakediş kalemi 4</t>
        </is>
      </c>
      <c r="N9" s="28">
        <f>IF($A9="","",IF($C9="","",raporTarihi-$C9))</f>
        <v/>
      </c>
      <c r="O9" s="28">
        <f>IF($A9="","",IF($N9="","",IF($N9&lt;=7,"0-7",IF($N9&lt;=30,"8-30",IF($N9&lt;=60,"31-60","60+")))))</f>
        <v/>
      </c>
      <c r="P9" s="28">
        <f>IF($A9="","",IF($B9="","YETİM",IF(COUNTIF(tblKartlar[KartId],$B9)=0,"YETİM","")))</f>
        <v/>
      </c>
      <c r="Q9" s="28">
        <f>IF(OR($A9="",$D9=""),"",IF(OR($D9&amp;"|"&amp;$E9="",COUNTIF(ListeIzinliGecis,$D9&amp;"|"&amp;$E9)&gt;0),"","GEÇERSİZ GEÇİŞ"))</f>
        <v/>
      </c>
      <c r="R9" s="28">
        <f>IF($A9="","",IF(OR($F9="",$H9=""),"",IF(ABS($H9-$F9)&gt;zincirTolerans,"ZİNCİR KIRIK","OK")))</f>
        <v/>
      </c>
      <c r="S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9" t="n">
        <v>46229</v>
      </c>
      <c r="D10" s="26" t="inlineStr">
        <is>
          <t>BEKLIYOR</t>
        </is>
      </c>
      <c r="E10" s="26" t="inlineStr">
        <is>
          <t>IPTAL</t>
        </is>
      </c>
      <c r="F10" s="27" t="n">
        <v>162500</v>
      </c>
      <c r="G10" s="27" t="n">
        <v>162500</v>
      </c>
      <c r="H10" s="27" t="n">
        <v>162500</v>
      </c>
      <c r="I10" s="27" t="n">
        <v>162500</v>
      </c>
      <c r="J10" s="27" t="n">
        <v>0</v>
      </c>
      <c r="K10" s="27" t="n">
        <v>162500</v>
      </c>
      <c r="L10" s="26" t="inlineStr">
        <is>
          <t>2026-08</t>
        </is>
      </c>
      <c r="M10" s="26" t="inlineStr">
        <is>
          <t>Hakediş kalemi 5</t>
        </is>
      </c>
      <c r="N10" s="28">
        <f>IF($A10="","",IF($C10="","",raporTarihi-$C10))</f>
        <v/>
      </c>
      <c r="O10" s="28">
        <f>IF($A10="","",IF($N10="","",IF($N10&lt;=7,"0-7",IF($N10&lt;=30,"8-30",IF($N10&lt;=60,"31-60","60+")))))</f>
        <v/>
      </c>
      <c r="P10" s="28">
        <f>IF($A10="","",IF($B10="","YETİM",IF(COUNTIF(tblKartlar[KartId],$B10)=0,"YETİM","")))</f>
        <v/>
      </c>
      <c r="Q10" s="28">
        <f>IF(OR($A10="",$D10=""),"",IF(OR($D10&amp;"|"&amp;$E10="",COUNTIF(ListeIzinliGecis,$D10&amp;"|"&amp;$E10)&gt;0),"","GEÇERSİZ GEÇİŞ"))</f>
        <v/>
      </c>
      <c r="R10" s="28">
        <f>IF($A10="","",IF(OR($F10="",$H10=""),"",IF(ABS($H10-$F10)&gt;zincirTolerans,"ZİNCİR KIRIK","OK")))</f>
        <v/>
      </c>
      <c r="S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9" t="n">
        <v>46226</v>
      </c>
      <c r="D11" s="26" t="inlineStr">
        <is>
          <t>DRAFT</t>
        </is>
      </c>
      <c r="E11" s="26" t="inlineStr">
        <is>
          <t>BEKLIYOR</t>
        </is>
      </c>
      <c r="F11" s="27" t="n">
        <v>175000</v>
      </c>
      <c r="G11" s="27" t="n">
        <v>175000</v>
      </c>
      <c r="H11" s="27" t="n">
        <v>175000</v>
      </c>
      <c r="I11" s="27" t="n">
        <v>175000</v>
      </c>
      <c r="J11" s="27" t="n">
        <v>0</v>
      </c>
      <c r="K11" s="27" t="n">
        <v>175000</v>
      </c>
      <c r="L11" s="26" t="inlineStr">
        <is>
          <t>2026-08</t>
        </is>
      </c>
      <c r="M11" s="26" t="inlineStr">
        <is>
          <t>Hakediş kalemi 6</t>
        </is>
      </c>
      <c r="N11" s="28">
        <f>IF($A11="","",IF($C11="","",raporTarihi-$C11))</f>
        <v/>
      </c>
      <c r="O11" s="28">
        <f>IF($A11="","",IF($N11="","",IF($N11&lt;=7,"0-7",IF($N11&lt;=30,"8-30",IF($N11&lt;=60,"31-60","60+")))))</f>
        <v/>
      </c>
      <c r="P11" s="28">
        <f>IF($A11="","",IF($B11="","YETİM",IF(COUNTIF(tblKartlar[KartId],$B11)=0,"YETİM","")))</f>
        <v/>
      </c>
      <c r="Q11" s="28">
        <f>IF(OR($A11="",$D11=""),"",IF(OR($D11&amp;"|"&amp;$E11="",COUNTIF(ListeIzinliGecis,$D11&amp;"|"&amp;$E11)&gt;0),"","GEÇERSİZ GEÇİŞ"))</f>
        <v/>
      </c>
      <c r="R11" s="28">
        <f>IF($A11="","",IF(OR($F11="",$H11=""),"",IF(ABS($H11-$F11)&gt;zincirTolerans,"ZİNCİR KIRIK","OK")))</f>
        <v/>
      </c>
      <c r="S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9" t="n">
        <v>46223</v>
      </c>
      <c r="D12" s="26" t="inlineStr">
        <is>
          <t>BEKLIYOR</t>
        </is>
      </c>
      <c r="E12" s="26" t="inlineStr">
        <is>
          <t>ONAY</t>
        </is>
      </c>
      <c r="F12" s="27" t="n">
        <v>187500</v>
      </c>
      <c r="G12" s="27" t="n">
        <v>187500</v>
      </c>
      <c r="H12" s="27" t="n">
        <v>187500</v>
      </c>
      <c r="I12" s="27" t="n">
        <v>187500</v>
      </c>
      <c r="J12" s="27" t="n">
        <v>0</v>
      </c>
      <c r="K12" s="27" t="n">
        <v>187500</v>
      </c>
      <c r="L12" s="26" t="inlineStr">
        <is>
          <t>2026-08</t>
        </is>
      </c>
      <c r="M12" s="26" t="inlineStr">
        <is>
          <t>Hakediş kalemi 7</t>
        </is>
      </c>
      <c r="N12" s="28">
        <f>IF($A12="","",IF($C12="","",raporTarihi-$C12))</f>
        <v/>
      </c>
      <c r="O12" s="28">
        <f>IF($A12="","",IF($N12="","",IF($N12&lt;=7,"0-7",IF($N12&lt;=30,"8-30",IF($N12&lt;=60,"31-60","60+")))))</f>
        <v/>
      </c>
      <c r="P12" s="28">
        <f>IF($A12="","",IF($B12="","YETİM",IF(COUNTIF(tblKartlar[KartId],$B12)=0,"YETİM","")))</f>
        <v/>
      </c>
      <c r="Q12" s="28">
        <f>IF(OR($A12="",$D12=""),"",IF(OR($D12&amp;"|"&amp;$E12="",COUNTIF(ListeIzinliGecis,$D12&amp;"|"&amp;$E12)&gt;0),"","GEÇERSİZ GEÇİŞ"))</f>
        <v/>
      </c>
      <c r="R12" s="28">
        <f>IF($A12="","",IF(OR($F12="",$H12=""),"",IF(ABS($H12-$F12)&gt;zincirTolerans,"ZİNCİR KIRIK","OK")))</f>
        <v/>
      </c>
      <c r="S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9" t="n">
        <v>46220</v>
      </c>
      <c r="D13" s="26" t="inlineStr">
        <is>
          <t>ONAY</t>
        </is>
      </c>
      <c r="E13" s="26" t="inlineStr">
        <is>
          <t>BEKLIYOR</t>
        </is>
      </c>
      <c r="F13" s="27" t="n">
        <v>200000</v>
      </c>
      <c r="G13" s="27" t="n">
        <v>200000</v>
      </c>
      <c r="H13" s="27" t="n">
        <v>200000</v>
      </c>
      <c r="I13" s="27" t="n">
        <v>200000</v>
      </c>
      <c r="J13" s="27" t="n">
        <v>0</v>
      </c>
      <c r="K13" s="27" t="n">
        <v>200000</v>
      </c>
      <c r="L13" s="26" t="inlineStr">
        <is>
          <t>2026-08</t>
        </is>
      </c>
      <c r="M13" s="26" t="inlineStr">
        <is>
          <t>Hakediş kalemi 8</t>
        </is>
      </c>
      <c r="N13" s="28">
        <f>IF($A13="","",IF($C13="","",raporTarihi-$C13))</f>
        <v/>
      </c>
      <c r="O13" s="28">
        <f>IF($A13="","",IF($N13="","",IF($N13&lt;=7,"0-7",IF($N13&lt;=30,"8-30",IF($N13&lt;=60,"31-60","60+")))))</f>
        <v/>
      </c>
      <c r="P13" s="28">
        <f>IF($A13="","",IF($B13="","YETİM",IF(COUNTIF(tblKartlar[KartId],$B13)=0,"YETİM","")))</f>
        <v/>
      </c>
      <c r="Q13" s="28">
        <f>IF(OR($A13="",$D13=""),"",IF(OR($D13&amp;"|"&amp;$E13="",COUNTIF(ListeIzinliGecis,$D13&amp;"|"&amp;$E13)&gt;0),"","GEÇERSİZ GEÇİŞ"))</f>
        <v/>
      </c>
      <c r="R13" s="28">
        <f>IF($A13="","",IF(OR($F13="",$H13=""),"",IF(ABS($H13-$F13)&gt;zincirTolerans,"ZİNCİR KIRIK","OK")))</f>
        <v/>
      </c>
      <c r="S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9" t="n">
        <v>46217</v>
      </c>
      <c r="D14" s="26" t="n"/>
      <c r="E14" s="26" t="inlineStr">
        <is>
          <t>DRAFT</t>
        </is>
      </c>
      <c r="F14" s="27" t="n">
        <v>212500</v>
      </c>
      <c r="G14" s="27" t="n">
        <v>212500</v>
      </c>
      <c r="H14" s="27" t="n">
        <v>212500</v>
      </c>
      <c r="I14" s="27" t="n">
        <v>212500</v>
      </c>
      <c r="J14" s="27" t="n">
        <v>0</v>
      </c>
      <c r="K14" s="27" t="n">
        <v>212500</v>
      </c>
      <c r="L14" s="26" t="inlineStr">
        <is>
          <t>2026-08</t>
        </is>
      </c>
      <c r="M14" s="26" t="inlineStr">
        <is>
          <t>Hakediş kalemi 9</t>
        </is>
      </c>
      <c r="N14" s="28">
        <f>IF($A14="","",IF($C14="","",raporTarihi-$C14))</f>
        <v/>
      </c>
      <c r="O14" s="28">
        <f>IF($A14="","",IF($N14="","",IF($N14&lt;=7,"0-7",IF($N14&lt;=30,"8-30",IF($N14&lt;=60,"31-60","60+")))))</f>
        <v/>
      </c>
      <c r="P14" s="28">
        <f>IF($A14="","",IF($B14="","YETİM",IF(COUNTIF(tblKartlar[KartId],$B14)=0,"YETİM","")))</f>
        <v/>
      </c>
      <c r="Q14" s="28">
        <f>IF(OR($A14="",$D14=""),"",IF(OR($D14&amp;"|"&amp;$E14="",COUNTIF(ListeIzinliGecis,$D14&amp;"|"&amp;$E14)&gt;0),"","GEÇERSİZ GEÇİŞ"))</f>
        <v/>
      </c>
      <c r="R14" s="28">
        <f>IF($A14="","",IF(OR($F14="",$H14=""),"",IF(ABS($H14-$F14)&gt;zincirTolerans,"ZİNCİR KIRIK","OK")))</f>
        <v/>
      </c>
      <c r="S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9" t="n">
        <v>46214</v>
      </c>
      <c r="D15" s="26" t="inlineStr">
        <is>
          <t>DRAFT</t>
        </is>
      </c>
      <c r="E15" s="26" t="inlineStr">
        <is>
          <t>BEKLIYOR</t>
        </is>
      </c>
      <c r="F15" s="27" t="n">
        <v>225000</v>
      </c>
      <c r="G15" s="27" t="n">
        <v>225000</v>
      </c>
      <c r="H15" s="27" t="n">
        <v>225000</v>
      </c>
      <c r="I15" s="27" t="n">
        <v>225000</v>
      </c>
      <c r="J15" s="27" t="n">
        <v>0</v>
      </c>
      <c r="K15" s="27" t="n">
        <v>225000</v>
      </c>
      <c r="L15" s="26" t="inlineStr">
        <is>
          <t>2026-08</t>
        </is>
      </c>
      <c r="M15" s="26" t="inlineStr">
        <is>
          <t>Hakediş kalemi 10</t>
        </is>
      </c>
      <c r="N15" s="28">
        <f>IF($A15="","",IF($C15="","",raporTarihi-$C15))</f>
        <v/>
      </c>
      <c r="O15" s="28">
        <f>IF($A15="","",IF($N15="","",IF($N15&lt;=7,"0-7",IF($N15&lt;=30,"8-30",IF($N15&lt;=60,"31-60","60+")))))</f>
        <v/>
      </c>
      <c r="P15" s="28">
        <f>IF($A15="","",IF($B15="","YETİM",IF(COUNTIF(tblKartlar[KartId],$B15)=0,"YETİM","")))</f>
        <v/>
      </c>
      <c r="Q15" s="28">
        <f>IF(OR($A15="",$D15=""),"",IF(OR($D15&amp;"|"&amp;$E15="",COUNTIF(ListeIzinliGecis,$D15&amp;"|"&amp;$E15)&gt;0),"","GEÇERSİZ GEÇİŞ"))</f>
        <v/>
      </c>
      <c r="R15" s="28">
        <f>IF($A15="","",IF(OR($F15="",$H15=""),"",IF(ABS($H15-$F15)&gt;zincirTolerans,"ZİNCİR KIRIK","OK")))</f>
        <v/>
      </c>
      <c r="S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9" t="n">
        <v>46211</v>
      </c>
      <c r="D16" s="26" t="inlineStr">
        <is>
          <t>BEKLIYOR</t>
        </is>
      </c>
      <c r="E16" s="26" t="inlineStr">
        <is>
          <t>ONAY</t>
        </is>
      </c>
      <c r="F16" s="27" t="n">
        <v>237500</v>
      </c>
      <c r="G16" s="27" t="n">
        <v>237500</v>
      </c>
      <c r="H16" s="27" t="n">
        <v>237500</v>
      </c>
      <c r="I16" s="27" t="n">
        <v>237500</v>
      </c>
      <c r="J16" s="27" t="n">
        <v>0</v>
      </c>
      <c r="K16" s="27" t="n">
        <v>237500</v>
      </c>
      <c r="L16" s="26" t="inlineStr">
        <is>
          <t>2026-08</t>
        </is>
      </c>
      <c r="M16" s="26" t="inlineStr">
        <is>
          <t>Hakediş kalemi 11</t>
        </is>
      </c>
      <c r="N16" s="28">
        <f>IF($A16="","",IF($C16="","",raporTarihi-$C16))</f>
        <v/>
      </c>
      <c r="O16" s="28">
        <f>IF($A16="","",IF($N16="","",IF($N16&lt;=7,"0-7",IF($N16&lt;=30,"8-30",IF($N16&lt;=60,"31-60","60+")))))</f>
        <v/>
      </c>
      <c r="P16" s="28">
        <f>IF($A16="","",IF($B16="","YETİM",IF(COUNTIF(tblKartlar[KartId],$B16)=0,"YETİM","")))</f>
        <v/>
      </c>
      <c r="Q16" s="28">
        <f>IF(OR($A16="",$D16=""),"",IF(OR($D16&amp;"|"&amp;$E16="",COUNTIF(ListeIzinliGecis,$D16&amp;"|"&amp;$E16)&gt;0),"","GEÇERSİZ GEÇİŞ"))</f>
        <v/>
      </c>
      <c r="R16" s="28">
        <f>IF($A16="","",IF(OR($F16="",$H16=""),"",IF(ABS($H16-$F16)&gt;zincirTolerans,"ZİNCİR KIRIK","OK")))</f>
        <v/>
      </c>
      <c r="S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9" t="n">
        <v>46208</v>
      </c>
      <c r="D17" s="26" t="inlineStr">
        <is>
          <t>ONAY</t>
        </is>
      </c>
      <c r="E17" s="26" t="inlineStr">
        <is>
          <t>ODEME</t>
        </is>
      </c>
      <c r="F17" s="27" t="n">
        <v>250000</v>
      </c>
      <c r="G17" s="27" t="n">
        <v>250000</v>
      </c>
      <c r="H17" s="27" t="n">
        <v>295000</v>
      </c>
      <c r="I17" s="27" t="n">
        <v>295000</v>
      </c>
      <c r="J17" s="27" t="n">
        <v>295000</v>
      </c>
      <c r="K17" s="27" t="n">
        <v>295000</v>
      </c>
      <c r="L17" s="26" t="inlineStr">
        <is>
          <t>2026-08</t>
        </is>
      </c>
      <c r="M17" s="26" t="inlineStr">
        <is>
          <t>Hakediş kalemi 12</t>
        </is>
      </c>
      <c r="N17" s="28">
        <f>IF($A17="","",IF($C17="","",raporTarihi-$C17))</f>
        <v/>
      </c>
      <c r="O17" s="28">
        <f>IF($A17="","",IF($N17="","",IF($N17&lt;=7,"0-7",IF($N17&lt;=30,"8-30",IF($N17&lt;=60,"31-60","60+")))))</f>
        <v/>
      </c>
      <c r="P17" s="28">
        <f>IF($A17="","",IF($B17="","YETİM",IF(COUNTIF(tblKartlar[KartId],$B17)=0,"YETİM","")))</f>
        <v/>
      </c>
      <c r="Q17" s="28">
        <f>IF(OR($A17="",$D17=""),"",IF(OR($D17&amp;"|"&amp;$E17="",COUNTIF(ListeIzinliGecis,$D17&amp;"|"&amp;$E17)&gt;0),"","GEÇERSİZ GEÇİŞ"))</f>
        <v/>
      </c>
      <c r="R17" s="28">
        <f>IF($A17="","",IF(OR($F17="",$H17=""),"",IF(ABS($H17-$F17)&gt;zincirTolerans,"ZİNCİR KIRIK","OK")))</f>
        <v/>
      </c>
      <c r="S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9" t="n">
        <v>46205</v>
      </c>
      <c r="D18" s="26" t="inlineStr">
        <is>
          <t>BEKLIYOR</t>
        </is>
      </c>
      <c r="E18" s="26" t="inlineStr">
        <is>
          <t>IPTAL</t>
        </is>
      </c>
      <c r="F18" s="27" t="n">
        <v>262500</v>
      </c>
      <c r="G18" s="27" t="n">
        <v>262500</v>
      </c>
      <c r="H18" s="27" t="n">
        <v>262500</v>
      </c>
      <c r="I18" s="27" t="n">
        <v>262500</v>
      </c>
      <c r="J18" s="27" t="n">
        <v>0</v>
      </c>
      <c r="K18" s="27" t="n">
        <v>262500</v>
      </c>
      <c r="L18" s="26" t="inlineStr">
        <is>
          <t>2026-08</t>
        </is>
      </c>
      <c r="M18" s="26" t="inlineStr">
        <is>
          <t>Hakediş kalemi 13</t>
        </is>
      </c>
      <c r="N18" s="28">
        <f>IF($A18="","",IF($C18="","",raporTarihi-$C18))</f>
        <v/>
      </c>
      <c r="O18" s="28">
        <f>IF($A18="","",IF($N18="","",IF($N18&lt;=7,"0-7",IF($N18&lt;=30,"8-30",IF($N18&lt;=60,"31-60","60+")))))</f>
        <v/>
      </c>
      <c r="P18" s="28">
        <f>IF($A18="","",IF($B18="","YETİM",IF(COUNTIF(tblKartlar[KartId],$B18)=0,"YETİM","")))</f>
        <v/>
      </c>
      <c r="Q18" s="28">
        <f>IF(OR($A18="",$D18=""),"",IF(OR($D18&amp;"|"&amp;$E18="",COUNTIF(ListeIzinliGecis,$D18&amp;"|"&amp;$E18)&gt;0),"","GEÇERSİZ GEÇİŞ"))</f>
        <v/>
      </c>
      <c r="R18" s="28">
        <f>IF($A18="","",IF(OR($F18="",$H18=""),"",IF(ABS($H18-$F18)&gt;zincirTolerans,"ZİNCİR KIRIK","OK")))</f>
        <v/>
      </c>
      <c r="S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9" t="n">
        <v>46202</v>
      </c>
      <c r="D19" s="26" t="inlineStr">
        <is>
          <t>DRAFT</t>
        </is>
      </c>
      <c r="E19" s="26" t="inlineStr">
        <is>
          <t>BEKLIYOR</t>
        </is>
      </c>
      <c r="F19" s="27" t="n">
        <v>275000</v>
      </c>
      <c r="G19" s="27" t="n">
        <v>275000</v>
      </c>
      <c r="H19" s="27" t="n">
        <v>275000</v>
      </c>
      <c r="I19" s="27" t="n">
        <v>275000</v>
      </c>
      <c r="J19" s="27" t="n">
        <v>0</v>
      </c>
      <c r="K19" s="27" t="n">
        <v>275000</v>
      </c>
      <c r="L19" s="26" t="inlineStr">
        <is>
          <t>2026-08</t>
        </is>
      </c>
      <c r="M19" s="26" t="inlineStr">
        <is>
          <t>Hakediş kalemi 14</t>
        </is>
      </c>
      <c r="N19" s="28">
        <f>IF($A19="","",IF($C19="","",raporTarihi-$C19))</f>
        <v/>
      </c>
      <c r="O19" s="28">
        <f>IF($A19="","",IF($N19="","",IF($N19&lt;=7,"0-7",IF($N19&lt;=30,"8-30",IF($N19&lt;=60,"31-60","60+")))))</f>
        <v/>
      </c>
      <c r="P19" s="28">
        <f>IF($A19="","",IF($B19="","YETİM",IF(COUNTIF(tblKartlar[KartId],$B19)=0,"YETİM","")))</f>
        <v/>
      </c>
      <c r="Q19" s="28">
        <f>IF(OR($A19="",$D19=""),"",IF(OR($D19&amp;"|"&amp;$E19="",COUNTIF(ListeIzinliGecis,$D19&amp;"|"&amp;$E19)&gt;0),"","GEÇERSİZ GEÇİŞ"))</f>
        <v/>
      </c>
      <c r="R19" s="28">
        <f>IF($A19="","",IF(OR($F19="",$H19=""),"",IF(ABS($H19-$F19)&gt;zincirTolerans,"ZİNCİR KIRIK","OK")))</f>
        <v/>
      </c>
      <c r="S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9" t="n">
        <v>46199</v>
      </c>
      <c r="D20" s="26" t="inlineStr">
        <is>
          <t>BEKLIYOR</t>
        </is>
      </c>
      <c r="E20" s="26" t="inlineStr">
        <is>
          <t>ONAY</t>
        </is>
      </c>
      <c r="F20" s="27" t="n">
        <v>287500</v>
      </c>
      <c r="G20" s="27" t="n">
        <v>287500</v>
      </c>
      <c r="H20" s="27" t="n">
        <v>287500</v>
      </c>
      <c r="I20" s="27" t="n">
        <v>279500</v>
      </c>
      <c r="J20" s="27" t="n">
        <v>0</v>
      </c>
      <c r="K20" s="27" t="n">
        <v>287500</v>
      </c>
      <c r="L20" s="26" t="inlineStr">
        <is>
          <t>2026-08</t>
        </is>
      </c>
      <c r="M20" s="26" t="inlineStr">
        <is>
          <t>Hakediş kalemi 15</t>
        </is>
      </c>
      <c r="N20" s="28">
        <f>IF($A20="","",IF($C20="","",raporTarihi-$C20))</f>
        <v/>
      </c>
      <c r="O20" s="28">
        <f>IF($A20="","",IF($N20="","",IF($N20&lt;=7,"0-7",IF($N20&lt;=30,"8-30",IF($N20&lt;=60,"31-60","60+")))))</f>
        <v/>
      </c>
      <c r="P20" s="28">
        <f>IF($A20="","",IF($B20="","YETİM",IF(COUNTIF(tblKartlar[KartId],$B20)=0,"YETİM","")))</f>
        <v/>
      </c>
      <c r="Q20" s="28">
        <f>IF(OR($A20="",$D20=""),"",IF(OR($D20&amp;"|"&amp;$E20="",COUNTIF(ListeIzinliGecis,$D20&amp;"|"&amp;$E20)&gt;0),"","GEÇERSİZ GEÇİŞ"))</f>
        <v/>
      </c>
      <c r="R20" s="28">
        <f>IF($A20="","",IF(OR($F20="",$H20=""),"",IF(ABS($H20-$F20)&gt;zincirTolerans,"ZİNCİR KIRIK","OK")))</f>
        <v/>
      </c>
      <c r="S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9" t="n">
        <v>46196</v>
      </c>
      <c r="D21" s="26" t="inlineStr">
        <is>
          <t>ONAY</t>
        </is>
      </c>
      <c r="E21" s="26" t="inlineStr">
        <is>
          <t>BEKLIYOR</t>
        </is>
      </c>
      <c r="F21" s="27" t="n">
        <v>300000</v>
      </c>
      <c r="G21" s="27" t="n">
        <v>300000</v>
      </c>
      <c r="H21" s="27" t="n">
        <v>300000</v>
      </c>
      <c r="I21" s="27" t="n">
        <v>300000</v>
      </c>
      <c r="J21" s="27" t="n">
        <v>0</v>
      </c>
      <c r="K21" s="27" t="n">
        <v>300000</v>
      </c>
      <c r="L21" s="26" t="inlineStr">
        <is>
          <t>2026-08</t>
        </is>
      </c>
      <c r="M21" s="26" t="inlineStr">
        <is>
          <t>Hakediş kalemi 16</t>
        </is>
      </c>
      <c r="N21" s="28">
        <f>IF($A21="","",IF($C21="","",raporTarihi-$C21))</f>
        <v/>
      </c>
      <c r="O21" s="28">
        <f>IF($A21="","",IF($N21="","",IF($N21&lt;=7,"0-7",IF($N21&lt;=30,"8-30",IF($N21&lt;=60,"31-60","60+")))))</f>
        <v/>
      </c>
      <c r="P21" s="28">
        <f>IF($A21="","",IF($B21="","YETİM",IF(COUNTIF(tblKartlar[KartId],$B21)=0,"YETİM","")))</f>
        <v/>
      </c>
      <c r="Q21" s="28">
        <f>IF(OR($A21="",$D21=""),"",IF(OR($D21&amp;"|"&amp;$E21="",COUNTIF(ListeIzinliGecis,$D21&amp;"|"&amp;$E21)&gt;0),"","GEÇERSİZ GEÇİŞ"))</f>
        <v/>
      </c>
      <c r="R21" s="28">
        <f>IF($A21="","",IF(OR($F21="",$H21=""),"",IF(ABS($H21-$F21)&gt;zincirTolerans,"ZİNCİR KIRIK","OK")))</f>
        <v/>
      </c>
      <c r="S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9" t="n">
        <v>46193</v>
      </c>
      <c r="D22" s="26" t="n"/>
      <c r="E22" s="26" t="inlineStr">
        <is>
          <t>DRAFT</t>
        </is>
      </c>
      <c r="F22" s="27" t="n">
        <v>312500</v>
      </c>
      <c r="G22" s="27" t="n">
        <v>312500</v>
      </c>
      <c r="H22" s="27" t="n">
        <v>312500</v>
      </c>
      <c r="I22" s="27" t="n">
        <v>312500</v>
      </c>
      <c r="J22" s="27" t="n">
        <v>0</v>
      </c>
      <c r="K22" s="27" t="n">
        <v>312500</v>
      </c>
      <c r="L22" s="26" t="inlineStr">
        <is>
          <t>2026-08</t>
        </is>
      </c>
      <c r="M22" s="26" t="inlineStr">
        <is>
          <t>Hakediş kalemi 17</t>
        </is>
      </c>
      <c r="N22" s="28">
        <f>IF($A22="","",IF($C22="","",raporTarihi-$C22))</f>
        <v/>
      </c>
      <c r="O22" s="28">
        <f>IF($A22="","",IF($N22="","",IF($N22&lt;=7,"0-7",IF($N22&lt;=30,"8-30",IF($N22&lt;=60,"31-60","60+")))))</f>
        <v/>
      </c>
      <c r="P22" s="28">
        <f>IF($A22="","",IF($B22="","YETİM",IF(COUNTIF(tblKartlar[KartId],$B22)=0,"YETİM","")))</f>
        <v/>
      </c>
      <c r="Q22" s="28">
        <f>IF(OR($A22="",$D22=""),"",IF(OR($D22&amp;"|"&amp;$E22="",COUNTIF(ListeIzinliGecis,$D22&amp;"|"&amp;$E22)&gt;0),"","GEÇERSİZ GEÇİŞ"))</f>
        <v/>
      </c>
      <c r="R22" s="28">
        <f>IF($A22="","",IF(OR($F22="",$H22=""),"",IF(ABS($H22-$F22)&gt;zincirTolerans,"ZİNCİR KIRIK","OK")))</f>
        <v/>
      </c>
      <c r="S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9" t="n">
        <v>46190</v>
      </c>
      <c r="D23" s="26" t="inlineStr">
        <is>
          <t>DRAFT</t>
        </is>
      </c>
      <c r="E23" s="26" t="inlineStr">
        <is>
          <t>ONAY</t>
        </is>
      </c>
      <c r="F23" s="27" t="n">
        <v>325000</v>
      </c>
      <c r="G23" s="27" t="n">
        <v>325000</v>
      </c>
      <c r="H23" s="27" t="n">
        <v>325000</v>
      </c>
      <c r="I23" s="27" t="n">
        <v>325000</v>
      </c>
      <c r="J23" s="27" t="n">
        <v>0</v>
      </c>
      <c r="K23" s="27" t="n">
        <v>325000</v>
      </c>
      <c r="L23" s="26" t="inlineStr">
        <is>
          <t>2026-08</t>
        </is>
      </c>
      <c r="M23" s="26" t="inlineStr">
        <is>
          <t>Hakediş kalemi 18</t>
        </is>
      </c>
      <c r="N23" s="28">
        <f>IF($A23="","",IF($C23="","",raporTarihi-$C23))</f>
        <v/>
      </c>
      <c r="O23" s="28">
        <f>IF($A23="","",IF($N23="","",IF($N23&lt;=7,"0-7",IF($N23&lt;=30,"8-30",IF($N23&lt;=60,"31-60","60+")))))</f>
        <v/>
      </c>
      <c r="P23" s="28">
        <f>IF($A23="","",IF($B23="","YETİM",IF(COUNTIF(tblKartlar[KartId],$B23)=0,"YETİM","")))</f>
        <v/>
      </c>
      <c r="Q23" s="28">
        <f>IF(OR($A23="",$D23=""),"",IF(OR($D23&amp;"|"&amp;$E23="",COUNTIF(ListeIzinliGecis,$D23&amp;"|"&amp;$E23)&gt;0),"","GEÇERSİZ GEÇİŞ"))</f>
        <v/>
      </c>
      <c r="R23" s="28">
        <f>IF($A23="","",IF(OR($F23="",$H23=""),"",IF(ABS($H23-$F23)&gt;zincirTolerans,"ZİNCİR KIRIK","OK")))</f>
        <v/>
      </c>
      <c r="S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9" t="n">
        <v>46187</v>
      </c>
      <c r="D24" s="26" t="inlineStr">
        <is>
          <t>BEKLIYOR</t>
        </is>
      </c>
      <c r="E24" s="26" t="inlineStr">
        <is>
          <t>ONAY</t>
        </is>
      </c>
      <c r="F24" s="27" t="n">
        <v>337500</v>
      </c>
      <c r="G24" s="27" t="n">
        <v>337500</v>
      </c>
      <c r="H24" s="27" t="n">
        <v>382500</v>
      </c>
      <c r="I24" s="27" t="n">
        <v>382500</v>
      </c>
      <c r="J24" s="27" t="n">
        <v>0</v>
      </c>
      <c r="K24" s="27" t="n">
        <v>382500</v>
      </c>
      <c r="L24" s="26" t="inlineStr">
        <is>
          <t>2026-08</t>
        </is>
      </c>
      <c r="M24" s="26" t="inlineStr">
        <is>
          <t>Hakediş kalemi 19</t>
        </is>
      </c>
      <c r="N24" s="28">
        <f>IF($A24="","",IF($C24="","",raporTarihi-$C24))</f>
        <v/>
      </c>
      <c r="O24" s="28">
        <f>IF($A24="","",IF($N24="","",IF($N24&lt;=7,"0-7",IF($N24&lt;=30,"8-30",IF($N24&lt;=60,"31-60","60+")))))</f>
        <v/>
      </c>
      <c r="P24" s="28">
        <f>IF($A24="","",IF($B24="","YETİM",IF(COUNTIF(tblKartlar[KartId],$B24)=0,"YETİM","")))</f>
        <v/>
      </c>
      <c r="Q24" s="28">
        <f>IF(OR($A24="",$D24=""),"",IF(OR($D24&amp;"|"&amp;$E24="",COUNTIF(ListeIzinliGecis,$D24&amp;"|"&amp;$E24)&gt;0),"","GEÇERSİZ GEÇİŞ"))</f>
        <v/>
      </c>
      <c r="R24" s="28">
        <f>IF($A24="","",IF(OR($F24="",$H24=""),"",IF(ABS($H24-$F24)&gt;zincirTolerans,"ZİNCİR KIRIK","OK")))</f>
        <v/>
      </c>
      <c r="S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9" t="n">
        <v>46184</v>
      </c>
      <c r="D25" s="26" t="inlineStr">
        <is>
          <t>ONAY</t>
        </is>
      </c>
      <c r="E25" s="26" t="inlineStr">
        <is>
          <t>BEKLIYOR</t>
        </is>
      </c>
      <c r="F25" s="27" t="n">
        <v>350000</v>
      </c>
      <c r="G25" s="27" t="n">
        <v>350000</v>
      </c>
      <c r="H25" s="27" t="n">
        <v>350000</v>
      </c>
      <c r="I25" s="27" t="n">
        <v>350000</v>
      </c>
      <c r="J25" s="27" t="n">
        <v>0</v>
      </c>
      <c r="K25" s="27" t="n">
        <v>350000</v>
      </c>
      <c r="L25" s="26" t="inlineStr">
        <is>
          <t>2026-08</t>
        </is>
      </c>
      <c r="M25" s="26" t="inlineStr">
        <is>
          <t>Hakediş kalemi 20</t>
        </is>
      </c>
      <c r="N25" s="28">
        <f>IF($A25="","",IF($C25="","",raporTarihi-$C25))</f>
        <v/>
      </c>
      <c r="O25" s="28">
        <f>IF($A25="","",IF($N25="","",IF($N25&lt;=7,"0-7",IF($N25&lt;=30,"8-30",IF($N25&lt;=60,"31-60","60+")))))</f>
        <v/>
      </c>
      <c r="P25" s="28">
        <f>IF($A25="","",IF($B25="","YETİM",IF(COUNTIF(tblKartlar[KartId],$B25)=0,"YETİM","")))</f>
        <v/>
      </c>
      <c r="Q25" s="28">
        <f>IF(OR($A25="",$D25=""),"",IF(OR($D25&amp;"|"&amp;$E25="",COUNTIF(ListeIzinliGecis,$D25&amp;"|"&amp;$E25)&gt;0),"","GEÇERSİZ GEÇİŞ"))</f>
        <v/>
      </c>
      <c r="R25" s="28">
        <f>IF($A25="","",IF(OR($F25="",$H25=""),"",IF(ABS($H25-$F25)&gt;zincirTolerans,"ZİNCİR KIRIK","OK")))</f>
        <v/>
      </c>
      <c r="S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9" t="n">
        <v>46181</v>
      </c>
      <c r="D26" s="26" t="inlineStr">
        <is>
          <t>BEKLIYOR</t>
        </is>
      </c>
      <c r="E26" s="26" t="inlineStr">
        <is>
          <t>IPTAL</t>
        </is>
      </c>
      <c r="F26" s="27" t="n">
        <v>362500</v>
      </c>
      <c r="G26" s="27" t="n">
        <v>362500</v>
      </c>
      <c r="H26" s="27" t="n">
        <v>362500</v>
      </c>
      <c r="I26" s="27" t="n">
        <v>362500</v>
      </c>
      <c r="J26" s="27" t="n">
        <v>0</v>
      </c>
      <c r="K26" s="27" t="n">
        <v>362500</v>
      </c>
      <c r="L26" s="26" t="inlineStr">
        <is>
          <t>2026-08</t>
        </is>
      </c>
      <c r="M26" s="26" t="inlineStr">
        <is>
          <t>Hakediş kalemi 21</t>
        </is>
      </c>
      <c r="N26" s="28">
        <f>IF($A26="","",IF($C26="","",raporTarihi-$C26))</f>
        <v/>
      </c>
      <c r="O26" s="28">
        <f>IF($A26="","",IF($N26="","",IF($N26&lt;=7,"0-7",IF($N26&lt;=30,"8-30",IF($N26&lt;=60,"31-60","60+")))))</f>
        <v/>
      </c>
      <c r="P26" s="28">
        <f>IF($A26="","",IF($B26="","YETİM",IF(COUNTIF(tblKartlar[KartId],$B26)=0,"YETİM","")))</f>
        <v/>
      </c>
      <c r="Q26" s="28">
        <f>IF(OR($A26="",$D26=""),"",IF(OR($D26&amp;"|"&amp;$E26="",COUNTIF(ListeIzinliGecis,$D26&amp;"|"&amp;$E26)&gt;0),"","GEÇERSİZ GEÇİŞ"))</f>
        <v/>
      </c>
      <c r="R26" s="28">
        <f>IF($A26="","",IF(OR($F26="",$H26=""),"",IF(ABS($H26-$F26)&gt;zincirTolerans,"ZİNCİR KIRIK","OK")))</f>
        <v/>
      </c>
      <c r="S26" s="28">
        <f>IF($A26="","",1)</f>
        <v/>
      </c>
    </row>
    <row r="27">
      <c r="A27" s="26" t="inlineStr">
        <is>
          <t>HAK-00022</t>
        </is>
      </c>
      <c r="B27" s="26" t="n"/>
      <c r="C27" s="29" t="n">
        <v>46178</v>
      </c>
      <c r="D27" s="26" t="inlineStr">
        <is>
          <t>DRAFT</t>
        </is>
      </c>
      <c r="E27" s="26" t="inlineStr">
        <is>
          <t>BEKLIYOR</t>
        </is>
      </c>
      <c r="F27" s="27" t="n">
        <v>375000</v>
      </c>
      <c r="G27" s="27" t="n">
        <v>375000</v>
      </c>
      <c r="H27" s="27" t="n">
        <v>375000</v>
      </c>
      <c r="I27" s="27" t="n">
        <v>375000</v>
      </c>
      <c r="J27" s="27" t="n">
        <v>0</v>
      </c>
      <c r="K27" s="27" t="n">
        <v>375000</v>
      </c>
      <c r="L27" s="26" t="inlineStr">
        <is>
          <t>2026-08</t>
        </is>
      </c>
      <c r="M27" s="26" t="inlineStr">
        <is>
          <t>Hakediş kalemi 22</t>
        </is>
      </c>
      <c r="N27" s="28">
        <f>IF($A27="","",IF($C27="","",raporTarihi-$C27))</f>
        <v/>
      </c>
      <c r="O27" s="28">
        <f>IF($A27="","",IF($N27="","",IF($N27&lt;=7,"0-7",IF($N27&lt;=30,"8-30",IF($N27&lt;=60,"31-60","60+")))))</f>
        <v/>
      </c>
      <c r="P27" s="28">
        <f>IF($A27="","",IF($B27="","YETİM",IF(COUNTIF(tblKartlar[KartId],$B27)=0,"YETİM","")))</f>
        <v/>
      </c>
      <c r="Q27" s="28">
        <f>IF(OR($A27="",$D27=""),"",IF(OR($D27&amp;"|"&amp;$E27="",COUNTIF(ListeIzinliGecis,$D27&amp;"|"&amp;$E27)&gt;0),"","GEÇERSİZ GEÇİŞ"))</f>
        <v/>
      </c>
      <c r="R27" s="28">
        <f>IF($A27="","",IF(OR($F27="",$H27=""),"",IF(ABS($H27-$F27)&gt;zincirTolerans,"ZİNCİR KIRIK","OK")))</f>
        <v/>
      </c>
      <c r="S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9" t="n">
        <v>46175</v>
      </c>
      <c r="D28" s="26" t="inlineStr">
        <is>
          <t>BEKLIYOR</t>
        </is>
      </c>
      <c r="E28" s="26" t="inlineStr">
        <is>
          <t>ONAY</t>
        </is>
      </c>
      <c r="F28" s="27" t="n">
        <v>387500</v>
      </c>
      <c r="G28" s="27" t="n">
        <v>387500</v>
      </c>
      <c r="H28" s="27" t="n">
        <v>387500</v>
      </c>
      <c r="I28" s="27" t="n">
        <v>387500</v>
      </c>
      <c r="J28" s="27" t="n">
        <v>0</v>
      </c>
      <c r="K28" s="27" t="n">
        <v>387500</v>
      </c>
      <c r="L28" s="26" t="inlineStr">
        <is>
          <t>2026-08</t>
        </is>
      </c>
      <c r="M28" s="26" t="inlineStr">
        <is>
          <t>Hakediş kalemi 23</t>
        </is>
      </c>
      <c r="N28" s="28">
        <f>IF($A28="","",IF($C28="","",raporTarihi-$C28))</f>
        <v/>
      </c>
      <c r="O28" s="28">
        <f>IF($A28="","",IF($N28="","",IF($N28&lt;=7,"0-7",IF($N28&lt;=30,"8-30",IF($N28&lt;=60,"31-60","60+")))))</f>
        <v/>
      </c>
      <c r="P28" s="28">
        <f>IF($A28="","",IF($B28="","YETİM",IF(COUNTIF(tblKartlar[KartId],$B28)=0,"YETİM","")))</f>
        <v/>
      </c>
      <c r="Q28" s="28">
        <f>IF(OR($A28="",$D28=""),"",IF(OR($D28&amp;"|"&amp;$E28="",COUNTIF(ListeIzinliGecis,$D28&amp;"|"&amp;$E28)&gt;0),"","GEÇERSİZ GEÇİŞ"))</f>
        <v/>
      </c>
      <c r="R28" s="28">
        <f>IF($A28="","",IF(OR($F28="",$H28=""),"",IF(ABS($H28-$F28)&gt;zincirTolerans,"ZİNCİR KIRIK","OK")))</f>
        <v/>
      </c>
      <c r="S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9" t="n">
        <v>46172</v>
      </c>
      <c r="D29" s="26" t="inlineStr">
        <is>
          <t>ONAY</t>
        </is>
      </c>
      <c r="E29" s="26" t="inlineStr">
        <is>
          <t>BEKLIYOR</t>
        </is>
      </c>
      <c r="F29" s="27" t="n">
        <v>400000</v>
      </c>
      <c r="G29" s="27" t="n">
        <v>400000</v>
      </c>
      <c r="H29" s="27" t="n">
        <v>400000</v>
      </c>
      <c r="I29" s="27" t="n">
        <v>400000</v>
      </c>
      <c r="J29" s="27" t="n">
        <v>0</v>
      </c>
      <c r="K29" s="27" t="n">
        <v>400000</v>
      </c>
      <c r="L29" s="26" t="inlineStr">
        <is>
          <t>2026-08</t>
        </is>
      </c>
      <c r="M29" s="26" t="inlineStr">
        <is>
          <t>Hakediş kalemi 24</t>
        </is>
      </c>
      <c r="N29" s="28">
        <f>IF($A29="","",IF($C29="","",raporTarihi-$C29))</f>
        <v/>
      </c>
      <c r="O29" s="28">
        <f>IF($A29="","",IF($N29="","",IF($N29&lt;=7,"0-7",IF($N29&lt;=30,"8-30",IF($N29&lt;=60,"31-60","60+")))))</f>
        <v/>
      </c>
      <c r="P29" s="28">
        <f>IF($A29="","",IF($B29="","YETİM",IF(COUNTIF(tblKartlar[KartId],$B29)=0,"YETİM","")))</f>
        <v/>
      </c>
      <c r="Q29" s="28">
        <f>IF(OR($A29="",$D29=""),"",IF(OR($D29&amp;"|"&amp;$E29="",COUNTIF(ListeIzinliGecis,$D29&amp;"|"&amp;$E29)&gt;0),"","GEÇERSİZ GEÇİŞ"))</f>
        <v/>
      </c>
      <c r="R29" s="28">
        <f>IF($A29="","",IF(OR($F29="",$H29=""),"",IF(ABS($H29-$F29)&gt;zincirTolerans,"ZİNCİR KIRIK","OK")))</f>
        <v/>
      </c>
      <c r="S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9" t="n">
        <v>46244</v>
      </c>
      <c r="D30" s="26" t="n"/>
      <c r="E30" s="26" t="inlineStr">
        <is>
          <t>DRAFT</t>
        </is>
      </c>
      <c r="F30" s="27" t="n">
        <v>412500</v>
      </c>
      <c r="G30" s="27" t="n">
        <v>412500</v>
      </c>
      <c r="H30" s="27" t="n">
        <v>412500</v>
      </c>
      <c r="I30" s="27" t="n">
        <v>412500</v>
      </c>
      <c r="J30" s="27" t="n">
        <v>0</v>
      </c>
      <c r="K30" s="27" t="n">
        <v>412500</v>
      </c>
      <c r="L30" s="26" t="inlineStr">
        <is>
          <t>2026-08</t>
        </is>
      </c>
      <c r="M30" s="26" t="inlineStr">
        <is>
          <t>Hakediş kalemi 25</t>
        </is>
      </c>
      <c r="N30" s="28">
        <f>IF($A30="","",IF($C30="","",raporTarihi-$C30))</f>
        <v/>
      </c>
      <c r="O30" s="28">
        <f>IF($A30="","",IF($N30="","",IF($N30&lt;=7,"0-7",IF($N30&lt;=30,"8-30",IF($N30&lt;=60,"31-60","60+")))))</f>
        <v/>
      </c>
      <c r="P30" s="28">
        <f>IF($A30="","",IF($B30="","YETİM",IF(COUNTIF(tblKartlar[KartId],$B30)=0,"YETİM","")))</f>
        <v/>
      </c>
      <c r="Q30" s="28">
        <f>IF(OR($A30="",$D30=""),"",IF(OR($D30&amp;"|"&amp;$E30="",COUNTIF(ListeIzinliGecis,$D30&amp;"|"&amp;$E30)&gt;0),"","GEÇERSİZ GEÇİŞ"))</f>
        <v/>
      </c>
      <c r="R30" s="28">
        <f>IF($A30="","",IF(OR($F30="",$H30=""),"",IF(ABS($H30-$F30)&gt;zincirTolerans,"ZİNCİR KIRIK","OK")))</f>
        <v/>
      </c>
      <c r="S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9" t="n">
        <v>46241</v>
      </c>
      <c r="D31" s="26" t="inlineStr">
        <is>
          <t>DRAFT</t>
        </is>
      </c>
      <c r="E31" s="26" t="inlineStr">
        <is>
          <t>BEKLIYOR</t>
        </is>
      </c>
      <c r="F31" s="27" t="n">
        <v>425000</v>
      </c>
      <c r="G31" s="27" t="n">
        <v>425000</v>
      </c>
      <c r="H31" s="27" t="n">
        <v>425000</v>
      </c>
      <c r="I31" s="27" t="n">
        <v>425000</v>
      </c>
      <c r="J31" s="27" t="n">
        <v>0</v>
      </c>
      <c r="K31" s="27" t="n">
        <v>425000</v>
      </c>
      <c r="L31" s="26" t="inlineStr">
        <is>
          <t>2026-08</t>
        </is>
      </c>
      <c r="M31" s="26" t="inlineStr">
        <is>
          <t>Hakediş kalemi 26</t>
        </is>
      </c>
      <c r="N31" s="28">
        <f>IF($A31="","",IF($C31="","",raporTarihi-$C31))</f>
        <v/>
      </c>
      <c r="O31" s="28">
        <f>IF($A31="","",IF($N31="","",IF($N31&lt;=7,"0-7",IF($N31&lt;=30,"8-30",IF($N31&lt;=60,"31-60","60+")))))</f>
        <v/>
      </c>
      <c r="P31" s="28">
        <f>IF($A31="","",IF($B31="","YETİM",IF(COUNTIF(tblKartlar[KartId],$B31)=0,"YETİM","")))</f>
        <v/>
      </c>
      <c r="Q31" s="28">
        <f>IF(OR($A31="",$D31=""),"",IF(OR($D31&amp;"|"&amp;$E31="",COUNTIF(ListeIzinliGecis,$D31&amp;"|"&amp;$E31)&gt;0),"","GEÇERSİZ GEÇİŞ"))</f>
        <v/>
      </c>
      <c r="R31" s="28">
        <f>IF($A31="","",IF(OR($F31="",$H31=""),"",IF(ABS($H31-$F31)&gt;zincirTolerans,"ZİNCİR KIRIK","OK")))</f>
        <v/>
      </c>
      <c r="S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9" t="n">
        <v>46238</v>
      </c>
      <c r="D32" s="26" t="inlineStr">
        <is>
          <t>BEKLIYOR</t>
        </is>
      </c>
      <c r="E32" s="26" t="inlineStr">
        <is>
          <t>ONAY</t>
        </is>
      </c>
      <c r="F32" s="27" t="n">
        <v>437500</v>
      </c>
      <c r="G32" s="27" t="n">
        <v>437500</v>
      </c>
      <c r="H32" s="27" t="n">
        <v>437500</v>
      </c>
      <c r="I32" s="27" t="n">
        <v>437500</v>
      </c>
      <c r="J32" s="27" t="n">
        <v>0</v>
      </c>
      <c r="K32" s="27" t="n">
        <v>437500</v>
      </c>
      <c r="L32" s="26" t="inlineStr">
        <is>
          <t>2026-08</t>
        </is>
      </c>
      <c r="M32" s="26" t="inlineStr">
        <is>
          <t>Hakediş kalemi 27</t>
        </is>
      </c>
      <c r="N32" s="28">
        <f>IF($A32="","",IF($C32="","",raporTarihi-$C32))</f>
        <v/>
      </c>
      <c r="O32" s="28">
        <f>IF($A32="","",IF($N32="","",IF($N32&lt;=7,"0-7",IF($N32&lt;=30,"8-30",IF($N32&lt;=60,"31-60","60+")))))</f>
        <v/>
      </c>
      <c r="P32" s="28">
        <f>IF($A32="","",IF($B32="","YETİM",IF(COUNTIF(tblKartlar[KartId],$B32)=0,"YETİM","")))</f>
        <v/>
      </c>
      <c r="Q32" s="28">
        <f>IF(OR($A32="",$D32=""),"",IF(OR($D32&amp;"|"&amp;$E32="",COUNTIF(ListeIzinliGecis,$D32&amp;"|"&amp;$E32)&gt;0),"","GEÇERSİZ GEÇİŞ"))</f>
        <v/>
      </c>
      <c r="R32" s="28">
        <f>IF($A32="","",IF(OR($F32="",$H32=""),"",IF(ABS($H32-$F32)&gt;zincirTolerans,"ZİNCİR KIRIK","OK")))</f>
        <v/>
      </c>
      <c r="S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9" t="n">
        <v>46235</v>
      </c>
      <c r="D33" s="26" t="inlineStr">
        <is>
          <t>ONAY</t>
        </is>
      </c>
      <c r="E33" s="26" t="inlineStr">
        <is>
          <t>ODEME</t>
        </is>
      </c>
      <c r="F33" s="27" t="n">
        <v>450000</v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6" t="inlineStr">
        <is>
          <t>2026-08</t>
        </is>
      </c>
      <c r="M33" s="26" t="inlineStr">
        <is>
          <t>Hakediş kalemi 28</t>
        </is>
      </c>
      <c r="N33" s="28">
        <f>IF($A33="","",IF($C33="","",raporTarihi-$C33))</f>
        <v/>
      </c>
      <c r="O33" s="28">
        <f>IF($A33="","",IF($N33="","",IF($N33&lt;=7,"0-7",IF($N33&lt;=30,"8-30",IF($N33&lt;=60,"31-60","60+")))))</f>
        <v/>
      </c>
      <c r="P33" s="28">
        <f>IF($A33="","",IF($B33="","YETİM",IF(COUNTIF(tblKartlar[KartId],$B33)=0,"YETİM","")))</f>
        <v/>
      </c>
      <c r="Q33" s="28">
        <f>IF(OR($A33="",$D33=""),"",IF(OR($D33&amp;"|"&amp;$E33="",COUNTIF(ListeIzinliGecis,$D33&amp;"|"&amp;$E33)&gt;0),"","GEÇERSİZ GEÇİŞ"))</f>
        <v/>
      </c>
      <c r="R33" s="28">
        <f>IF($A33="","",IF(OR($F33="",$H33=""),"",IF(ABS($H33-$F33)&gt;zincirTolerans,"ZİNCİR KIRIK","OK")))</f>
        <v/>
      </c>
      <c r="S33" s="28">
        <f>IF($A33="","",1)</f>
        <v/>
      </c>
    </row>
    <row r="34">
      <c r="A34" s="26" t="n"/>
      <c r="B34" s="26" t="n"/>
      <c r="C34" s="29" t="n"/>
      <c r="D34" s="26" t="n"/>
      <c r="E34" s="26" t="n"/>
      <c r="F34" s="27" t="n"/>
      <c r="G34" s="27" t="n"/>
      <c r="H34" s="27" t="n"/>
      <c r="I34" s="27" t="n"/>
      <c r="J34" s="27" t="n"/>
      <c r="K34" s="27" t="n"/>
      <c r="L34" s="26" t="n"/>
      <c r="M34" s="26" t="n"/>
      <c r="N34" s="28">
        <f>IF($A34="","",IF($C34="","",raporTarihi-$C34))</f>
        <v/>
      </c>
      <c r="O34" s="28">
        <f>IF($A34="","",IF($N34="","",IF($N34&lt;=7,"0-7",IF($N34&lt;=30,"8-30",IF($N34&lt;=60,"31-60","60+")))))</f>
        <v/>
      </c>
      <c r="P34" s="28">
        <f>IF($A34="","",IF($B34="","YETİM",IF(COUNTIF(tblKartlar[KartId],$B34)=0,"YETİM","")))</f>
        <v/>
      </c>
      <c r="Q34" s="28">
        <f>IF(OR($A34="",$D34=""),"",IF(OR($D34&amp;"|"&amp;$E34="",COUNTIF(ListeIzinliGecis,$D34&amp;"|"&amp;$E34)&gt;0),"","GEÇERSİZ GEÇİŞ"))</f>
        <v/>
      </c>
      <c r="R34" s="28">
        <f>IF($A34="","",IF(OR($F34="",$H34=""),"",IF(ABS($H34-$F34)&gt;zincirTolerans,"ZİNCİR KIRIK","OK")))</f>
        <v/>
      </c>
      <c r="S34" s="28">
        <f>IF($A34="","",1)</f>
        <v/>
      </c>
    </row>
    <row r="35">
      <c r="A35" s="26" t="n"/>
      <c r="B35" s="26" t="n"/>
      <c r="C35" s="29" t="n"/>
      <c r="D35" s="26" t="n"/>
      <c r="E35" s="26" t="n"/>
      <c r="F35" s="27" t="n"/>
      <c r="G35" s="27" t="n"/>
      <c r="H35" s="27" t="n"/>
      <c r="I35" s="27" t="n"/>
      <c r="J35" s="27" t="n"/>
      <c r="K35" s="27" t="n"/>
      <c r="L35" s="26" t="n"/>
      <c r="M35" s="26" t="n"/>
      <c r="N35" s="28">
        <f>IF($A35="","",IF($C35="","",raporTarihi-$C35))</f>
        <v/>
      </c>
      <c r="O35" s="28">
        <f>IF($A35="","",IF($N35="","",IF($N35&lt;=7,"0-7",IF($N35&lt;=30,"8-30",IF($N35&lt;=60,"31-60","60+")))))</f>
        <v/>
      </c>
      <c r="P35" s="28">
        <f>IF($A35="","",IF($B35="","YETİM",IF(COUNTIF(tblKartlar[KartId],$B35)=0,"YETİM","")))</f>
        <v/>
      </c>
      <c r="Q35" s="28">
        <f>IF(OR($A35="",$D35=""),"",IF(OR($D35&amp;"|"&amp;$E35="",COUNTIF(ListeIzinliGecis,$D35&amp;"|"&amp;$E35)&gt;0),"","GEÇERSİZ GEÇİŞ"))</f>
        <v/>
      </c>
      <c r="R35" s="28">
        <f>IF($A35="","",IF(OR($F35="",$H35=""),"",IF(ABS($H35-$F35)&gt;zincirTolerans,"ZİNCİR KIRIK","OK")))</f>
        <v/>
      </c>
      <c r="S35" s="28">
        <f>IF($A35="","",1)</f>
        <v/>
      </c>
    </row>
    <row r="36">
      <c r="A36" s="26" t="n"/>
      <c r="B36" s="26" t="n"/>
      <c r="C36" s="29" t="n"/>
      <c r="D36" s="26" t="n"/>
      <c r="E36" s="26" t="n"/>
      <c r="F36" s="27" t="n"/>
      <c r="G36" s="27" t="n"/>
      <c r="H36" s="27" t="n"/>
      <c r="I36" s="27" t="n"/>
      <c r="J36" s="27" t="n"/>
      <c r="K36" s="27" t="n"/>
      <c r="L36" s="26" t="n"/>
      <c r="M36" s="26" t="n"/>
      <c r="N36" s="28">
        <f>IF($A36="","",IF($C36="","",raporTarihi-$C36))</f>
        <v/>
      </c>
      <c r="O36" s="28">
        <f>IF($A36="","",IF($N36="","",IF($N36&lt;=7,"0-7",IF($N36&lt;=30,"8-30",IF($N36&lt;=60,"31-60","60+")))))</f>
        <v/>
      </c>
      <c r="P36" s="28">
        <f>IF($A36="","",IF($B36="","YETİM",IF(COUNTIF(tblKartlar[KartId],$B36)=0,"YETİM","")))</f>
        <v/>
      </c>
      <c r="Q36" s="28">
        <f>IF(OR($A36="",$D36=""),"",IF(OR($D36&amp;"|"&amp;$E36="",COUNTIF(ListeIzinliGecis,$D36&amp;"|"&amp;$E36)&gt;0),"","GEÇERSİZ GEÇİŞ"))</f>
        <v/>
      </c>
      <c r="R36" s="28">
        <f>IF($A36="","",IF(OR($F36="",$H36=""),"",IF(ABS($H36-$F36)&gt;zincirTolerans,"ZİNCİR KIRIK","OK")))</f>
        <v/>
      </c>
      <c r="S36" s="28">
        <f>IF($A36="","",1)</f>
        <v/>
      </c>
    </row>
    <row r="37">
      <c r="A37" s="26" t="n"/>
      <c r="B37" s="26" t="n"/>
      <c r="C37" s="29" t="n"/>
      <c r="D37" s="26" t="n"/>
      <c r="E37" s="26" t="n"/>
      <c r="F37" s="27" t="n"/>
      <c r="G37" s="27" t="n"/>
      <c r="H37" s="27" t="n"/>
      <c r="I37" s="27" t="n"/>
      <c r="J37" s="27" t="n"/>
      <c r="K37" s="27" t="n"/>
      <c r="L37" s="26" t="n"/>
      <c r="M37" s="26" t="n"/>
      <c r="N37" s="28">
        <f>IF($A37="","",IF($C37="","",raporTarihi-$C37))</f>
        <v/>
      </c>
      <c r="O37" s="28">
        <f>IF($A37="","",IF($N37="","",IF($N37&lt;=7,"0-7",IF($N37&lt;=30,"8-30",IF($N37&lt;=60,"31-60","60+")))))</f>
        <v/>
      </c>
      <c r="P37" s="28">
        <f>IF($A37="","",IF($B37="","YETİM",IF(COUNTIF(tblKartlar[KartId],$B37)=0,"YETİM","")))</f>
        <v/>
      </c>
      <c r="Q37" s="28">
        <f>IF(OR($A37="",$D37=""),"",IF(OR($D37&amp;"|"&amp;$E37="",COUNTIF(ListeIzinliGecis,$D37&amp;"|"&amp;$E37)&gt;0),"","GEÇERSİZ GEÇİŞ"))</f>
        <v/>
      </c>
      <c r="R37" s="28">
        <f>IF($A37="","",IF(OR($F37="",$H37=""),"",IF(ABS($H37-$F37)&gt;zincirTolerans,"ZİNCİR KIRIK","OK")))</f>
        <v/>
      </c>
      <c r="S37" s="28">
        <f>IF($A37="","",1)</f>
        <v/>
      </c>
    </row>
    <row r="38">
      <c r="A38" s="26" t="n"/>
      <c r="B38" s="26" t="n"/>
      <c r="C38" s="29" t="n"/>
      <c r="D38" s="26" t="n"/>
      <c r="E38" s="26" t="n"/>
      <c r="F38" s="27" t="n"/>
      <c r="G38" s="27" t="n"/>
      <c r="H38" s="27" t="n"/>
      <c r="I38" s="27" t="n"/>
      <c r="J38" s="27" t="n"/>
      <c r="K38" s="27" t="n"/>
      <c r="L38" s="26" t="n"/>
      <c r="M38" s="26" t="n"/>
      <c r="N38" s="28">
        <f>IF($A38="","",IF($C38="","",raporTarihi-$C38))</f>
        <v/>
      </c>
      <c r="O38" s="28">
        <f>IF($A38="","",IF($N38="","",IF($N38&lt;=7,"0-7",IF($N38&lt;=30,"8-30",IF($N38&lt;=60,"31-60","60+")))))</f>
        <v/>
      </c>
      <c r="P38" s="28">
        <f>IF($A38="","",IF($B38="","YETİM",IF(COUNTIF(tblKartlar[KartId],$B38)=0,"YETİM","")))</f>
        <v/>
      </c>
      <c r="Q38" s="28">
        <f>IF(OR($A38="",$D38=""),"",IF(OR($D38&amp;"|"&amp;$E38="",COUNTIF(ListeIzinliGecis,$D38&amp;"|"&amp;$E38)&gt;0),"","GEÇERSİZ GEÇİŞ"))</f>
        <v/>
      </c>
      <c r="R38" s="28">
        <f>IF($A38="","",IF(OR($F38="",$H38=""),"",IF(ABS($H38-$F38)&gt;zincirTolerans,"ZİNCİR KIRIK","OK")))</f>
        <v/>
      </c>
      <c r="S38" s="28">
        <f>IF($A38="","",1)</f>
        <v/>
      </c>
    </row>
    <row r="39">
      <c r="A39" s="26" t="n"/>
      <c r="B39" s="26" t="n"/>
      <c r="C39" s="29" t="n"/>
      <c r="D39" s="26" t="n"/>
      <c r="E39" s="26" t="n"/>
      <c r="F39" s="27" t="n"/>
      <c r="G39" s="27" t="n"/>
      <c r="H39" s="27" t="n"/>
      <c r="I39" s="27" t="n"/>
      <c r="J39" s="27" t="n"/>
      <c r="K39" s="27" t="n"/>
      <c r="L39" s="26" t="n"/>
      <c r="M39" s="26" t="n"/>
      <c r="N39" s="28">
        <f>IF($A39="","",IF($C39="","",raporTarihi-$C39))</f>
        <v/>
      </c>
      <c r="O39" s="28">
        <f>IF($A39="","",IF($N39="","",IF($N39&lt;=7,"0-7",IF($N39&lt;=30,"8-30",IF($N39&lt;=60,"31-60","60+")))))</f>
        <v/>
      </c>
      <c r="P39" s="28">
        <f>IF($A39="","",IF($B39="","YETİM",IF(COUNTIF(tblKartlar[KartId],$B39)=0,"YETİM","")))</f>
        <v/>
      </c>
      <c r="Q39" s="28">
        <f>IF(OR($A39="",$D39=""),"",IF(OR($D39&amp;"|"&amp;$E39="",COUNTIF(ListeIzinliGecis,$D39&amp;"|"&amp;$E39)&gt;0),"","GEÇERSİZ GEÇİŞ"))</f>
        <v/>
      </c>
      <c r="R39" s="28">
        <f>IF($A39="","",IF(OR($F39="",$H39=""),"",IF(ABS($H39-$F39)&gt;zincirTolerans,"ZİNCİR KIRIK","OK")))</f>
        <v/>
      </c>
      <c r="S39" s="28">
        <f>IF($A39="","",1)</f>
        <v/>
      </c>
    </row>
    <row r="40">
      <c r="A40" s="26" t="n"/>
      <c r="B40" s="26" t="n"/>
      <c r="C40" s="29" t="n"/>
      <c r="D40" s="26" t="n"/>
      <c r="E40" s="26" t="n"/>
      <c r="F40" s="27" t="n"/>
      <c r="G40" s="27" t="n"/>
      <c r="H40" s="27" t="n"/>
      <c r="I40" s="27" t="n"/>
      <c r="J40" s="27" t="n"/>
      <c r="K40" s="27" t="n"/>
      <c r="L40" s="26" t="n"/>
      <c r="M40" s="26" t="n"/>
      <c r="N40" s="28">
        <f>IF($A40="","",IF($C40="","",raporTarihi-$C40))</f>
        <v/>
      </c>
      <c r="O40" s="28">
        <f>IF($A40="","",IF($N40="","",IF($N40&lt;=7,"0-7",IF($N40&lt;=30,"8-30",IF($N40&lt;=60,"31-60","60+")))))</f>
        <v/>
      </c>
      <c r="P40" s="28">
        <f>IF($A40="","",IF($B40="","YETİM",IF(COUNTIF(tblKartlar[KartId],$B40)=0,"YETİM","")))</f>
        <v/>
      </c>
      <c r="Q40" s="28">
        <f>IF(OR($A40="",$D40=""),"",IF(OR($D40&amp;"|"&amp;$E40="",COUNTIF(ListeIzinliGecis,$D40&amp;"|"&amp;$E40)&gt;0),"","GEÇERSİZ GEÇİŞ"))</f>
        <v/>
      </c>
      <c r="R40" s="28">
        <f>IF($A40="","",IF(OR($F40="",$H40=""),"",IF(ABS($H40-$F40)&gt;zincirTolerans,"ZİNCİR KIRIK","OK")))</f>
        <v/>
      </c>
      <c r="S40" s="28">
        <f>IF($A40="","",1)</f>
        <v/>
      </c>
    </row>
    <row r="41">
      <c r="A41" s="26" t="n"/>
      <c r="B41" s="26" t="n"/>
      <c r="C41" s="29" t="n"/>
      <c r="D41" s="26" t="n"/>
      <c r="E41" s="26" t="n"/>
      <c r="F41" s="27" t="n"/>
      <c r="G41" s="27" t="n"/>
      <c r="H41" s="27" t="n"/>
      <c r="I41" s="27" t="n"/>
      <c r="J41" s="27" t="n"/>
      <c r="K41" s="27" t="n"/>
      <c r="L41" s="26" t="n"/>
      <c r="M41" s="26" t="n"/>
      <c r="N41" s="28">
        <f>IF($A41="","",IF($C41="","",raporTarihi-$C41))</f>
        <v/>
      </c>
      <c r="O41" s="28">
        <f>IF($A41="","",IF($N41="","",IF($N41&lt;=7,"0-7",IF($N41&lt;=30,"8-30",IF($N41&lt;=60,"31-60","60+")))))</f>
        <v/>
      </c>
      <c r="P41" s="28">
        <f>IF($A41="","",IF($B41="","YETİM",IF(COUNTIF(tblKartlar[KartId],$B41)=0,"YETİM","")))</f>
        <v/>
      </c>
      <c r="Q41" s="28">
        <f>IF(OR($A41="",$D41=""),"",IF(OR($D41&amp;"|"&amp;$E41="",COUNTIF(ListeIzinliGecis,$D41&amp;"|"&amp;$E41)&gt;0),"","GEÇERSİZ GEÇİŞ"))</f>
        <v/>
      </c>
      <c r="R41" s="28">
        <f>IF($A41="","",IF(OR($F41="",$H41=""),"",IF(ABS($H41-$F41)&gt;zincirTolerans,"ZİNCİR KIRIK","OK")))</f>
        <v/>
      </c>
      <c r="S41" s="28">
        <f>IF($A41="","",1)</f>
        <v/>
      </c>
    </row>
    <row r="42">
      <c r="A42" s="26" t="n"/>
      <c r="B42" s="26" t="n"/>
      <c r="C42" s="29" t="n"/>
      <c r="D42" s="26" t="n"/>
      <c r="E42" s="26" t="n"/>
      <c r="F42" s="27" t="n"/>
      <c r="G42" s="27" t="n"/>
      <c r="H42" s="27" t="n"/>
      <c r="I42" s="27" t="n"/>
      <c r="J42" s="27" t="n"/>
      <c r="K42" s="27" t="n"/>
      <c r="L42" s="26" t="n"/>
      <c r="M42" s="26" t="n"/>
      <c r="N42" s="28">
        <f>IF($A42="","",IF($C42="","",raporTarihi-$C42))</f>
        <v/>
      </c>
      <c r="O42" s="28">
        <f>IF($A42="","",IF($N42="","",IF($N42&lt;=7,"0-7",IF($N42&lt;=30,"8-30",IF($N42&lt;=60,"31-60","60+")))))</f>
        <v/>
      </c>
      <c r="P42" s="28">
        <f>IF($A42="","",IF($B42="","YETİM",IF(COUNTIF(tblKartlar[KartId],$B42)=0,"YETİM","")))</f>
        <v/>
      </c>
      <c r="Q42" s="28">
        <f>IF(OR($A42="",$D42=""),"",IF(OR($D42&amp;"|"&amp;$E42="",COUNTIF(ListeIzinliGecis,$D42&amp;"|"&amp;$E42)&gt;0),"","GEÇERSİZ GEÇİŞ"))</f>
        <v/>
      </c>
      <c r="R42" s="28">
        <f>IF($A42="","",IF(OR($F42="",$H42=""),"",IF(ABS($H42-$F42)&gt;zincirTolerans,"ZİNCİR KIRIK","OK")))</f>
        <v/>
      </c>
      <c r="S42" s="28">
        <f>IF($A42="","",1)</f>
        <v/>
      </c>
    </row>
    <row r="43">
      <c r="A43" s="26" t="n"/>
      <c r="B43" s="26" t="n"/>
      <c r="C43" s="29" t="n"/>
      <c r="D43" s="26" t="n"/>
      <c r="E43" s="26" t="n"/>
      <c r="F43" s="27" t="n"/>
      <c r="G43" s="27" t="n"/>
      <c r="H43" s="27" t="n"/>
      <c r="I43" s="27" t="n"/>
      <c r="J43" s="27" t="n"/>
      <c r="K43" s="27" t="n"/>
      <c r="L43" s="26" t="n"/>
      <c r="M43" s="26" t="n"/>
      <c r="N43" s="28">
        <f>IF($A43="","",IF($C43="","",raporTarihi-$C43))</f>
        <v/>
      </c>
      <c r="O43" s="28">
        <f>IF($A43="","",IF($N43="","",IF($N43&lt;=7,"0-7",IF($N43&lt;=30,"8-30",IF($N43&lt;=60,"31-60","60+")))))</f>
        <v/>
      </c>
      <c r="P43" s="28">
        <f>IF($A43="","",IF($B43="","YETİM",IF(COUNTIF(tblKartlar[KartId],$B43)=0,"YETİM","")))</f>
        <v/>
      </c>
      <c r="Q43" s="28">
        <f>IF(OR($A43="",$D43=""),"",IF(OR($D43&amp;"|"&amp;$E43="",COUNTIF(ListeIzinliGecis,$D43&amp;"|"&amp;$E43)&gt;0),"","GEÇERSİZ GEÇİŞ"))</f>
        <v/>
      </c>
      <c r="R43" s="28">
        <f>IF($A43="","",IF(OR($F43="",$H43=""),"",IF(ABS($H43-$F43)&gt;zincirTolerans,"ZİNCİR KIRIK","OK")))</f>
        <v/>
      </c>
      <c r="S43" s="28">
        <f>IF($A43="","",1)</f>
        <v/>
      </c>
    </row>
    <row r="44">
      <c r="A44" s="26" t="n"/>
      <c r="B44" s="26" t="n"/>
      <c r="C44" s="29" t="n"/>
      <c r="D44" s="26" t="n"/>
      <c r="E44" s="26" t="n"/>
      <c r="F44" s="27" t="n"/>
      <c r="G44" s="27" t="n"/>
      <c r="H44" s="27" t="n"/>
      <c r="I44" s="27" t="n"/>
      <c r="J44" s="27" t="n"/>
      <c r="K44" s="27" t="n"/>
      <c r="L44" s="26" t="n"/>
      <c r="M44" s="26" t="n"/>
      <c r="N44" s="28">
        <f>IF($A44="","",IF($C44="","",raporTarihi-$C44))</f>
        <v/>
      </c>
      <c r="O44" s="28">
        <f>IF($A44="","",IF($N44="","",IF($N44&lt;=7,"0-7",IF($N44&lt;=30,"8-30",IF($N44&lt;=60,"31-60","60+")))))</f>
        <v/>
      </c>
      <c r="P44" s="28">
        <f>IF($A44="","",IF($B44="","YETİM",IF(COUNTIF(tblKartlar[KartId],$B44)=0,"YETİM","")))</f>
        <v/>
      </c>
      <c r="Q44" s="28">
        <f>IF(OR($A44="",$D44=""),"",IF(OR($D44&amp;"|"&amp;$E44="",COUNTIF(ListeIzinliGecis,$D44&amp;"|"&amp;$E44)&gt;0),"","GEÇERSİZ GEÇİŞ"))</f>
        <v/>
      </c>
      <c r="R44" s="28">
        <f>IF($A44="","",IF(OR($F44="",$H44=""),"",IF(ABS($H44-$F44)&gt;zincirTolerans,"ZİNCİR KIRIK","OK")))</f>
        <v/>
      </c>
      <c r="S44" s="28">
        <f>IF($A44="","",1)</f>
        <v/>
      </c>
    </row>
    <row r="45">
      <c r="A45" s="26" t="n"/>
      <c r="B45" s="26" t="n"/>
      <c r="C45" s="29" t="n"/>
      <c r="D45" s="26" t="n"/>
      <c r="E45" s="26" t="n"/>
      <c r="F45" s="27" t="n"/>
      <c r="G45" s="27" t="n"/>
      <c r="H45" s="27" t="n"/>
      <c r="I45" s="27" t="n"/>
      <c r="J45" s="27" t="n"/>
      <c r="K45" s="27" t="n"/>
      <c r="L45" s="26" t="n"/>
      <c r="M45" s="26" t="n"/>
      <c r="N45" s="28">
        <f>IF($A45="","",IF($C45="","",raporTarihi-$C45))</f>
        <v/>
      </c>
      <c r="O45" s="28">
        <f>IF($A45="","",IF($N45="","",IF($N45&lt;=7,"0-7",IF($N45&lt;=30,"8-30",IF($N45&lt;=60,"31-60","60+")))))</f>
        <v/>
      </c>
      <c r="P45" s="28">
        <f>IF($A45="","",IF($B45="","YETİM",IF(COUNTIF(tblKartlar[KartId],$B45)=0,"YETİM","")))</f>
        <v/>
      </c>
      <c r="Q45" s="28">
        <f>IF(OR($A45="",$D45=""),"",IF(OR($D45&amp;"|"&amp;$E45="",COUNTIF(ListeIzinliGecis,$D45&amp;"|"&amp;$E45)&gt;0),"","GEÇERSİZ GEÇİŞ"))</f>
        <v/>
      </c>
      <c r="R45" s="28">
        <f>IF($A45="","",IF(OR($F45="",$H45=""),"",IF(ABS($H45-$F45)&gt;zincirTolerans,"ZİNCİR KIRIK","OK")))</f>
        <v/>
      </c>
      <c r="S45" s="28">
        <f>IF($A45="","",1)</f>
        <v/>
      </c>
    </row>
    <row r="46">
      <c r="A46" s="26" t="n"/>
      <c r="B46" s="26" t="n"/>
      <c r="C46" s="29" t="n"/>
      <c r="D46" s="26" t="n"/>
      <c r="E46" s="26" t="n"/>
      <c r="F46" s="27" t="n"/>
      <c r="G46" s="27" t="n"/>
      <c r="H46" s="27" t="n"/>
      <c r="I46" s="27" t="n"/>
      <c r="J46" s="27" t="n"/>
      <c r="K46" s="27" t="n"/>
      <c r="L46" s="26" t="n"/>
      <c r="M46" s="26" t="n"/>
      <c r="N46" s="28">
        <f>IF($A46="","",IF($C46="","",raporTarihi-$C46))</f>
        <v/>
      </c>
      <c r="O46" s="28">
        <f>IF($A46="","",IF($N46="","",IF($N46&lt;=7,"0-7",IF($N46&lt;=30,"8-30",IF($N46&lt;=60,"31-60","60+")))))</f>
        <v/>
      </c>
      <c r="P46" s="28">
        <f>IF($A46="","",IF($B46="","YETİM",IF(COUNTIF(tblKartlar[KartId],$B46)=0,"YETİM","")))</f>
        <v/>
      </c>
      <c r="Q46" s="28">
        <f>IF(OR($A46="",$D46=""),"",IF(OR($D46&amp;"|"&amp;$E46="",COUNTIF(ListeIzinliGecis,$D46&amp;"|"&amp;$E46)&gt;0),"","GEÇERSİZ GEÇİŞ"))</f>
        <v/>
      </c>
      <c r="R46" s="28">
        <f>IF($A46="","",IF(OR($F46="",$H46=""),"",IF(ABS($H46-$F46)&gt;zincirTolerans,"ZİNCİR KIRIK","OK")))</f>
        <v/>
      </c>
      <c r="S46" s="28">
        <f>IF($A46="","",1)</f>
        <v/>
      </c>
    </row>
    <row r="47">
      <c r="A47" s="26" t="n"/>
      <c r="B47" s="26" t="n"/>
      <c r="C47" s="29" t="n"/>
      <c r="D47" s="26" t="n"/>
      <c r="E47" s="26" t="n"/>
      <c r="F47" s="27" t="n"/>
      <c r="G47" s="27" t="n"/>
      <c r="H47" s="27" t="n"/>
      <c r="I47" s="27" t="n"/>
      <c r="J47" s="27" t="n"/>
      <c r="K47" s="27" t="n"/>
      <c r="L47" s="26" t="n"/>
      <c r="M47" s="26" t="n"/>
      <c r="N47" s="28">
        <f>IF($A47="","",IF($C47="","",raporTarihi-$C47))</f>
        <v/>
      </c>
      <c r="O47" s="28">
        <f>IF($A47="","",IF($N47="","",IF($N47&lt;=7,"0-7",IF($N47&lt;=30,"8-30",IF($N47&lt;=60,"31-60","60+")))))</f>
        <v/>
      </c>
      <c r="P47" s="28">
        <f>IF($A47="","",IF($B47="","YETİM",IF(COUNTIF(tblKartlar[KartId],$B47)=0,"YETİM","")))</f>
        <v/>
      </c>
      <c r="Q47" s="28">
        <f>IF(OR($A47="",$D47=""),"",IF(OR($D47&amp;"|"&amp;$E47="",COUNTIF(ListeIzinliGecis,$D47&amp;"|"&amp;$E47)&gt;0),"","GEÇERSİZ GEÇİŞ"))</f>
        <v/>
      </c>
      <c r="R47" s="28">
        <f>IF($A47="","",IF(OR($F47="",$H47=""),"",IF(ABS($H47-$F47)&gt;zincirTolerans,"ZİNCİR KIRIK","OK")))</f>
        <v/>
      </c>
      <c r="S47" s="28">
        <f>IF($A47="","",1)</f>
        <v/>
      </c>
    </row>
    <row r="48">
      <c r="A48" s="26" t="n"/>
      <c r="B48" s="26" t="n"/>
      <c r="C48" s="29" t="n"/>
      <c r="D48" s="26" t="n"/>
      <c r="E48" s="26" t="n"/>
      <c r="F48" s="27" t="n"/>
      <c r="G48" s="27" t="n"/>
      <c r="H48" s="27" t="n"/>
      <c r="I48" s="27" t="n"/>
      <c r="J48" s="27" t="n"/>
      <c r="K48" s="27" t="n"/>
      <c r="L48" s="26" t="n"/>
      <c r="M48" s="26" t="n"/>
      <c r="N48" s="28">
        <f>IF($A48="","",IF($C48="","",raporTarihi-$C48))</f>
        <v/>
      </c>
      <c r="O48" s="28">
        <f>IF($A48="","",IF($N48="","",IF($N48&lt;=7,"0-7",IF($N48&lt;=30,"8-30",IF($N48&lt;=60,"31-60","60+")))))</f>
        <v/>
      </c>
      <c r="P48" s="28">
        <f>IF($A48="","",IF($B48="","YETİM",IF(COUNTIF(tblKartlar[KartId],$B48)=0,"YETİM","")))</f>
        <v/>
      </c>
      <c r="Q48" s="28">
        <f>IF(OR($A48="",$D48=""),"",IF(OR($D48&amp;"|"&amp;$E48="",COUNTIF(ListeIzinliGecis,$D48&amp;"|"&amp;$E48)&gt;0),"","GEÇERSİZ GEÇİŞ"))</f>
        <v/>
      </c>
      <c r="R48" s="28">
        <f>IF($A48="","",IF(OR($F48="",$H48=""),"",IF(ABS($H48-$F48)&gt;zincirTolerans,"ZİNCİR KIRIK","OK")))</f>
        <v/>
      </c>
      <c r="S48" s="28">
        <f>IF($A48="","",1)</f>
        <v/>
      </c>
    </row>
    <row r="49">
      <c r="A49" s="26" t="n"/>
      <c r="B49" s="26" t="n"/>
      <c r="C49" s="29" t="n"/>
      <c r="D49" s="26" t="n"/>
      <c r="E49" s="26" t="n"/>
      <c r="F49" s="27" t="n"/>
      <c r="G49" s="27" t="n"/>
      <c r="H49" s="27" t="n"/>
      <c r="I49" s="27" t="n"/>
      <c r="J49" s="27" t="n"/>
      <c r="K49" s="27" t="n"/>
      <c r="L49" s="26" t="n"/>
      <c r="M49" s="26" t="n"/>
      <c r="N49" s="28">
        <f>IF($A49="","",IF($C49="","",raporTarihi-$C49))</f>
        <v/>
      </c>
      <c r="O49" s="28">
        <f>IF($A49="","",IF($N49="","",IF($N49&lt;=7,"0-7",IF($N49&lt;=30,"8-30",IF($N49&lt;=60,"31-60","60+")))))</f>
        <v/>
      </c>
      <c r="P49" s="28">
        <f>IF($A49="","",IF($B49="","YETİM",IF(COUNTIF(tblKartlar[KartId],$B49)=0,"YETİM","")))</f>
        <v/>
      </c>
      <c r="Q49" s="28">
        <f>IF(OR($A49="",$D49=""),"",IF(OR($D49&amp;"|"&amp;$E49="",COUNTIF(ListeIzinliGecis,$D49&amp;"|"&amp;$E49)&gt;0),"","GEÇERSİZ GEÇİŞ"))</f>
        <v/>
      </c>
      <c r="R49" s="28">
        <f>IF($A49="","",IF(OR($F49="",$H49=""),"",IF(ABS($H49-$F49)&gt;zincirTolerans,"ZİNCİR KIRIK","OK")))</f>
        <v/>
      </c>
      <c r="S49" s="28">
        <f>IF($A49="","",1)</f>
        <v/>
      </c>
    </row>
    <row r="50">
      <c r="A50" s="26" t="n"/>
      <c r="B50" s="26" t="n"/>
      <c r="C50" s="29" t="n"/>
      <c r="D50" s="26" t="n"/>
      <c r="E50" s="26" t="n"/>
      <c r="F50" s="27" t="n"/>
      <c r="G50" s="27" t="n"/>
      <c r="H50" s="27" t="n"/>
      <c r="I50" s="27" t="n"/>
      <c r="J50" s="27" t="n"/>
      <c r="K50" s="27" t="n"/>
      <c r="L50" s="26" t="n"/>
      <c r="M50" s="26" t="n"/>
      <c r="N50" s="28">
        <f>IF($A50="","",IF($C50="","",raporTarihi-$C50))</f>
        <v/>
      </c>
      <c r="O50" s="28">
        <f>IF($A50="","",IF($N50="","",IF($N50&lt;=7,"0-7",IF($N50&lt;=30,"8-30",IF($N50&lt;=60,"31-60","60+")))))</f>
        <v/>
      </c>
      <c r="P50" s="28">
        <f>IF($A50="","",IF($B50="","YETİM",IF(COUNTIF(tblKartlar[KartId],$B50)=0,"YETİM","")))</f>
        <v/>
      </c>
      <c r="Q50" s="28">
        <f>IF(OR($A50="",$D50=""),"",IF(OR($D50&amp;"|"&amp;$E50="",COUNTIF(ListeIzinliGecis,$D50&amp;"|"&amp;$E50)&gt;0),"","GEÇERSİZ GEÇİŞ"))</f>
        <v/>
      </c>
      <c r="R50" s="28">
        <f>IF($A50="","",IF(OR($F50="",$H50=""),"",IF(ABS($H50-$F50)&gt;zincirTolerans,"ZİNCİR KIRIK","OK")))</f>
        <v/>
      </c>
      <c r="S50" s="28">
        <f>IF($A50="","",1)</f>
        <v/>
      </c>
    </row>
    <row r="51">
      <c r="A51" s="26" t="n"/>
      <c r="B51" s="26" t="n"/>
      <c r="C51" s="29" t="n"/>
      <c r="D51" s="26" t="n"/>
      <c r="E51" s="26" t="n"/>
      <c r="F51" s="27" t="n"/>
      <c r="G51" s="27" t="n"/>
      <c r="H51" s="27" t="n"/>
      <c r="I51" s="27" t="n"/>
      <c r="J51" s="27" t="n"/>
      <c r="K51" s="27" t="n"/>
      <c r="L51" s="26" t="n"/>
      <c r="M51" s="26" t="n"/>
      <c r="N51" s="28">
        <f>IF($A51="","",IF($C51="","",raporTarihi-$C51))</f>
        <v/>
      </c>
      <c r="O51" s="28">
        <f>IF($A51="","",IF($N51="","",IF($N51&lt;=7,"0-7",IF($N51&lt;=30,"8-30",IF($N51&lt;=60,"31-60","60+")))))</f>
        <v/>
      </c>
      <c r="P51" s="28">
        <f>IF($A51="","",IF($B51="","YETİM",IF(COUNTIF(tblKartlar[KartId],$B51)=0,"YETİM","")))</f>
        <v/>
      </c>
      <c r="Q51" s="28">
        <f>IF(OR($A51="",$D51=""),"",IF(OR($D51&amp;"|"&amp;$E51="",COUNTIF(ListeIzinliGecis,$D51&amp;"|"&amp;$E51)&gt;0),"","GEÇERSİZ GEÇİŞ"))</f>
        <v/>
      </c>
      <c r="R51" s="28">
        <f>IF($A51="","",IF(OR($F51="",$H51=""),"",IF(ABS($H51-$F51)&gt;zincirTolerans,"ZİNCİR KIRIK","OK")))</f>
        <v/>
      </c>
      <c r="S51" s="28">
        <f>IF($A51="","",1)</f>
        <v/>
      </c>
    </row>
    <row r="52">
      <c r="A52" s="26" t="n"/>
      <c r="B52" s="26" t="n"/>
      <c r="C52" s="29" t="n"/>
      <c r="D52" s="26" t="n"/>
      <c r="E52" s="26" t="n"/>
      <c r="F52" s="27" t="n"/>
      <c r="G52" s="27" t="n"/>
      <c r="H52" s="27" t="n"/>
      <c r="I52" s="27" t="n"/>
      <c r="J52" s="27" t="n"/>
      <c r="K52" s="27" t="n"/>
      <c r="L52" s="26" t="n"/>
      <c r="M52" s="26" t="n"/>
      <c r="N52" s="28">
        <f>IF($A52="","",IF($C52="","",raporTarihi-$C52))</f>
        <v/>
      </c>
      <c r="O52" s="28">
        <f>IF($A52="","",IF($N52="","",IF($N52&lt;=7,"0-7",IF($N52&lt;=30,"8-30",IF($N52&lt;=60,"31-60","60+")))))</f>
        <v/>
      </c>
      <c r="P52" s="28">
        <f>IF($A52="","",IF($B52="","YETİM",IF(COUNTIF(tblKartlar[KartId],$B52)=0,"YETİM","")))</f>
        <v/>
      </c>
      <c r="Q52" s="28">
        <f>IF(OR($A52="",$D52=""),"",IF(OR($D52&amp;"|"&amp;$E52="",COUNTIF(ListeIzinliGecis,$D52&amp;"|"&amp;$E52)&gt;0),"","GEÇERSİZ GEÇİŞ"))</f>
        <v/>
      </c>
      <c r="R52" s="28">
        <f>IF($A52="","",IF(OR($F52="",$H52=""),"",IF(ABS($H52-$F52)&gt;zincirTolerans,"ZİNCİR KIRIK","OK")))</f>
        <v/>
      </c>
      <c r="S52" s="28">
        <f>IF($A52="","",1)</f>
        <v/>
      </c>
    </row>
    <row r="53">
      <c r="A53" s="26" t="n"/>
      <c r="B53" s="26" t="n"/>
      <c r="C53" s="29" t="n"/>
      <c r="D53" s="26" t="n"/>
      <c r="E53" s="26" t="n"/>
      <c r="F53" s="27" t="n"/>
      <c r="G53" s="27" t="n"/>
      <c r="H53" s="27" t="n"/>
      <c r="I53" s="27" t="n"/>
      <c r="J53" s="27" t="n"/>
      <c r="K53" s="27" t="n"/>
      <c r="L53" s="26" t="n"/>
      <c r="M53" s="26" t="n"/>
      <c r="N53" s="28">
        <f>IF($A53="","",IF($C53="","",raporTarihi-$C53))</f>
        <v/>
      </c>
      <c r="O53" s="28">
        <f>IF($A53="","",IF($N53="","",IF($N53&lt;=7,"0-7",IF($N53&lt;=30,"8-30",IF($N53&lt;=60,"31-60","60+")))))</f>
        <v/>
      </c>
      <c r="P53" s="28">
        <f>IF($A53="","",IF($B53="","YETİM",IF(COUNTIF(tblKartlar[KartId],$B53)=0,"YETİM","")))</f>
        <v/>
      </c>
      <c r="Q53" s="28">
        <f>IF(OR($A53="",$D53=""),"",IF(OR($D53&amp;"|"&amp;$E53="",COUNTIF(ListeIzinliGecis,$D53&amp;"|"&amp;$E53)&gt;0),"","GEÇERSİZ GEÇİŞ"))</f>
        <v/>
      </c>
      <c r="R53" s="28">
        <f>IF($A53="","",IF(OR($F53="",$H53=""),"",IF(ABS($H53-$F53)&gt;zincirTolerans,"ZİNCİR KIRIK","OK")))</f>
        <v/>
      </c>
      <c r="S53" s="28">
        <f>IF($A53="","",1)</f>
        <v/>
      </c>
    </row>
    <row r="54">
      <c r="A54" s="26" t="n"/>
      <c r="B54" s="26" t="n"/>
      <c r="C54" s="29" t="n"/>
      <c r="D54" s="26" t="n"/>
      <c r="E54" s="26" t="n"/>
      <c r="F54" s="27" t="n"/>
      <c r="G54" s="27" t="n"/>
      <c r="H54" s="27" t="n"/>
      <c r="I54" s="27" t="n"/>
      <c r="J54" s="27" t="n"/>
      <c r="K54" s="27" t="n"/>
      <c r="L54" s="26" t="n"/>
      <c r="M54" s="26" t="n"/>
      <c r="N54" s="28">
        <f>IF($A54="","",IF($C54="","",raporTarihi-$C54))</f>
        <v/>
      </c>
      <c r="O54" s="28">
        <f>IF($A54="","",IF($N54="","",IF($N54&lt;=7,"0-7",IF($N54&lt;=30,"8-30",IF($N54&lt;=60,"31-60","60+")))))</f>
        <v/>
      </c>
      <c r="P54" s="28">
        <f>IF($A54="","",IF($B54="","YETİM",IF(COUNTIF(tblKartlar[KartId],$B54)=0,"YETİM","")))</f>
        <v/>
      </c>
      <c r="Q54" s="28">
        <f>IF(OR($A54="",$D54=""),"",IF(OR($D54&amp;"|"&amp;$E54="",COUNTIF(ListeIzinliGecis,$D54&amp;"|"&amp;$E54)&gt;0),"","GEÇERSİZ GEÇİŞ"))</f>
        <v/>
      </c>
      <c r="R54" s="28">
        <f>IF($A54="","",IF(OR($F54="",$H54=""),"",IF(ABS($H54-$F54)&gt;zincirTolerans,"ZİNCİR KIRIK","OK")))</f>
        <v/>
      </c>
      <c r="S54" s="28">
        <f>IF($A54="","",1)</f>
        <v/>
      </c>
    </row>
    <row r="55">
      <c r="A55" s="26" t="n"/>
      <c r="B55" s="26" t="n"/>
      <c r="C55" s="29" t="n"/>
      <c r="D55" s="26" t="n"/>
      <c r="E55" s="26" t="n"/>
      <c r="F55" s="27" t="n"/>
      <c r="G55" s="27" t="n"/>
      <c r="H55" s="27" t="n"/>
      <c r="I55" s="27" t="n"/>
      <c r="J55" s="27" t="n"/>
      <c r="K55" s="27" t="n"/>
      <c r="L55" s="26" t="n"/>
      <c r="M55" s="26" t="n"/>
      <c r="N55" s="28">
        <f>IF($A55="","",IF($C55="","",raporTarihi-$C55))</f>
        <v/>
      </c>
      <c r="O55" s="28">
        <f>IF($A55="","",IF($N55="","",IF($N55&lt;=7,"0-7",IF($N55&lt;=30,"8-30",IF($N55&lt;=60,"31-60","60+")))))</f>
        <v/>
      </c>
      <c r="P55" s="28">
        <f>IF($A55="","",IF($B55="","YETİM",IF(COUNTIF(tblKartlar[KartId],$B55)=0,"YETİM","")))</f>
        <v/>
      </c>
      <c r="Q55" s="28">
        <f>IF(OR($A55="",$D55=""),"",IF(OR($D55&amp;"|"&amp;$E55="",COUNTIF(ListeIzinliGecis,$D55&amp;"|"&amp;$E55)&gt;0),"","GEÇERSİZ GEÇİŞ"))</f>
        <v/>
      </c>
      <c r="R55" s="28">
        <f>IF($A55="","",IF(OR($F55="",$H55=""),"",IF(ABS($H55-$F55)&gt;zincirTolerans,"ZİNCİR KIRIK","OK")))</f>
        <v/>
      </c>
      <c r="S55" s="28">
        <f>IF($A55="","",1)</f>
        <v/>
      </c>
    </row>
    <row r="56">
      <c r="A56" s="26" t="n"/>
      <c r="B56" s="26" t="n"/>
      <c r="C56" s="29" t="n"/>
      <c r="D56" s="26" t="n"/>
      <c r="E56" s="26" t="n"/>
      <c r="F56" s="27" t="n"/>
      <c r="G56" s="27" t="n"/>
      <c r="H56" s="27" t="n"/>
      <c r="I56" s="27" t="n"/>
      <c r="J56" s="27" t="n"/>
      <c r="K56" s="27" t="n"/>
      <c r="L56" s="26" t="n"/>
      <c r="M56" s="26" t="n"/>
      <c r="N56" s="28">
        <f>IF($A56="","",IF($C56="","",raporTarihi-$C56))</f>
        <v/>
      </c>
      <c r="O56" s="28">
        <f>IF($A56="","",IF($N56="","",IF($N56&lt;=7,"0-7",IF($N56&lt;=30,"8-30",IF($N56&lt;=60,"31-60","60+")))))</f>
        <v/>
      </c>
      <c r="P56" s="28">
        <f>IF($A56="","",IF($B56="","YETİM",IF(COUNTIF(tblKartlar[KartId],$B56)=0,"YETİM","")))</f>
        <v/>
      </c>
      <c r="Q56" s="28">
        <f>IF(OR($A56="",$D56=""),"",IF(OR($D56&amp;"|"&amp;$E56="",COUNTIF(ListeIzinliGecis,$D56&amp;"|"&amp;$E56)&gt;0),"","GEÇERSİZ GEÇİŞ"))</f>
        <v/>
      </c>
      <c r="R56" s="28">
        <f>IF($A56="","",IF(OR($F56="",$H56=""),"",IF(ABS($H56-$F56)&gt;zincirTolerans,"ZİNCİR KIRIK","OK")))</f>
        <v/>
      </c>
      <c r="S56" s="28">
        <f>IF($A56="","",1)</f>
        <v/>
      </c>
    </row>
    <row r="57">
      <c r="A57" s="26" t="n"/>
      <c r="B57" s="26" t="n"/>
      <c r="C57" s="29" t="n"/>
      <c r="D57" s="26" t="n"/>
      <c r="E57" s="26" t="n"/>
      <c r="F57" s="27" t="n"/>
      <c r="G57" s="27" t="n"/>
      <c r="H57" s="27" t="n"/>
      <c r="I57" s="27" t="n"/>
      <c r="J57" s="27" t="n"/>
      <c r="K57" s="27" t="n"/>
      <c r="L57" s="26" t="n"/>
      <c r="M57" s="26" t="n"/>
      <c r="N57" s="28">
        <f>IF($A57="","",IF($C57="","",raporTarihi-$C57))</f>
        <v/>
      </c>
      <c r="O57" s="28">
        <f>IF($A57="","",IF($N57="","",IF($N57&lt;=7,"0-7",IF($N57&lt;=30,"8-30",IF($N57&lt;=60,"31-60","60+")))))</f>
        <v/>
      </c>
      <c r="P57" s="28">
        <f>IF($A57="","",IF($B57="","YETİM",IF(COUNTIF(tblKartlar[KartId],$B57)=0,"YETİM","")))</f>
        <v/>
      </c>
      <c r="Q57" s="28">
        <f>IF(OR($A57="",$D57=""),"",IF(OR($D57&amp;"|"&amp;$E57="",COUNTIF(ListeIzinliGecis,$D57&amp;"|"&amp;$E57)&gt;0),"","GEÇERSİZ GEÇİŞ"))</f>
        <v/>
      </c>
      <c r="R57" s="28">
        <f>IF($A57="","",IF(OR($F57="",$H57=""),"",IF(ABS($H57-$F57)&gt;zincirTolerans,"ZİNCİR KIRIK","OK")))</f>
        <v/>
      </c>
      <c r="S57" s="28">
        <f>IF($A57="","",1)</f>
        <v/>
      </c>
    </row>
    <row r="58">
      <c r="A58" s="26" t="n"/>
      <c r="B58" s="26" t="n"/>
      <c r="C58" s="29" t="n"/>
      <c r="D58" s="26" t="n"/>
      <c r="E58" s="26" t="n"/>
      <c r="F58" s="27" t="n"/>
      <c r="G58" s="27" t="n"/>
      <c r="H58" s="27" t="n"/>
      <c r="I58" s="27" t="n"/>
      <c r="J58" s="27" t="n"/>
      <c r="K58" s="27" t="n"/>
      <c r="L58" s="26" t="n"/>
      <c r="M58" s="26" t="n"/>
      <c r="N58" s="28">
        <f>IF($A58="","",IF($C58="","",raporTarihi-$C58))</f>
        <v/>
      </c>
      <c r="O58" s="28">
        <f>IF($A58="","",IF($N58="","",IF($N58&lt;=7,"0-7",IF($N58&lt;=30,"8-30",IF($N58&lt;=60,"31-60","60+")))))</f>
        <v/>
      </c>
      <c r="P58" s="28">
        <f>IF($A58="","",IF($B58="","YETİM",IF(COUNTIF(tblKartlar[KartId],$B58)=0,"YETİM","")))</f>
        <v/>
      </c>
      <c r="Q58" s="28">
        <f>IF(OR($A58="",$D58=""),"",IF(OR($D58&amp;"|"&amp;$E58="",COUNTIF(ListeIzinliGecis,$D58&amp;"|"&amp;$E58)&gt;0),"","GEÇERSİZ GEÇİŞ"))</f>
        <v/>
      </c>
      <c r="R58" s="28">
        <f>IF($A58="","",IF(OR($F58="",$H58=""),"",IF(ABS($H58-$F58)&gt;zincirTolerans,"ZİNCİR KIRIK","OK")))</f>
        <v/>
      </c>
      <c r="S58" s="28">
        <f>IF($A58="","",1)</f>
        <v/>
      </c>
    </row>
    <row r="59">
      <c r="A59" s="26" t="n"/>
      <c r="B59" s="26" t="n"/>
      <c r="C59" s="29" t="n"/>
      <c r="D59" s="26" t="n"/>
      <c r="E59" s="26" t="n"/>
      <c r="F59" s="27" t="n"/>
      <c r="G59" s="27" t="n"/>
      <c r="H59" s="27" t="n"/>
      <c r="I59" s="27" t="n"/>
      <c r="J59" s="27" t="n"/>
      <c r="K59" s="27" t="n"/>
      <c r="L59" s="26" t="n"/>
      <c r="M59" s="26" t="n"/>
      <c r="N59" s="28">
        <f>IF($A59="","",IF($C59="","",raporTarihi-$C59))</f>
        <v/>
      </c>
      <c r="O59" s="28">
        <f>IF($A59="","",IF($N59="","",IF($N59&lt;=7,"0-7",IF($N59&lt;=30,"8-30",IF($N59&lt;=60,"31-60","60+")))))</f>
        <v/>
      </c>
      <c r="P59" s="28">
        <f>IF($A59="","",IF($B59="","YETİM",IF(COUNTIF(tblKartlar[KartId],$B59)=0,"YETİM","")))</f>
        <v/>
      </c>
      <c r="Q59" s="28">
        <f>IF(OR($A59="",$D59=""),"",IF(OR($D59&amp;"|"&amp;$E59="",COUNTIF(ListeIzinliGecis,$D59&amp;"|"&amp;$E59)&gt;0),"","GEÇERSİZ GEÇİŞ"))</f>
        <v/>
      </c>
      <c r="R59" s="28">
        <f>IF($A59="","",IF(OR($F59="",$H59=""),"",IF(ABS($H59-$F59)&gt;zincirTolerans,"ZİNCİR KIRIK","OK")))</f>
        <v/>
      </c>
      <c r="S59" s="28">
        <f>IF($A59="","",1)</f>
        <v/>
      </c>
    </row>
    <row r="60">
      <c r="A60" s="26" t="n"/>
      <c r="B60" s="26" t="n"/>
      <c r="C60" s="29" t="n"/>
      <c r="D60" s="26" t="n"/>
      <c r="E60" s="26" t="n"/>
      <c r="F60" s="27" t="n"/>
      <c r="G60" s="27" t="n"/>
      <c r="H60" s="27" t="n"/>
      <c r="I60" s="27" t="n"/>
      <c r="J60" s="27" t="n"/>
      <c r="K60" s="27" t="n"/>
      <c r="L60" s="26" t="n"/>
      <c r="M60" s="26" t="n"/>
      <c r="N60" s="28">
        <f>IF($A60="","",IF($C60="","",raporTarihi-$C60))</f>
        <v/>
      </c>
      <c r="O60" s="28">
        <f>IF($A60="","",IF($N60="","",IF($N60&lt;=7,"0-7",IF($N60&lt;=30,"8-30",IF($N60&lt;=60,"31-60","60+")))))</f>
        <v/>
      </c>
      <c r="P60" s="28">
        <f>IF($A60="","",IF($B60="","YETİM",IF(COUNTIF(tblKartlar[KartId],$B60)=0,"YETİM","")))</f>
        <v/>
      </c>
      <c r="Q60" s="28">
        <f>IF(OR($A60="",$D60=""),"",IF(OR($D60&amp;"|"&amp;$E60="",COUNTIF(ListeIzinliGecis,$D60&amp;"|"&amp;$E60)&gt;0),"","GEÇERSİZ GEÇİŞ"))</f>
        <v/>
      </c>
      <c r="R60" s="28">
        <f>IF($A60="","",IF(OR($F60="",$H60=""),"",IF(ABS($H60-$F60)&gt;zincirTolerans,"ZİNCİR KIRIK","OK")))</f>
        <v/>
      </c>
      <c r="S60" s="28">
        <f>IF($A60="","",1)</f>
        <v/>
      </c>
    </row>
    <row r="61">
      <c r="A61" s="26" t="n"/>
      <c r="B61" s="26" t="n"/>
      <c r="C61" s="29" t="n"/>
      <c r="D61" s="26" t="n"/>
      <c r="E61" s="26" t="n"/>
      <c r="F61" s="27" t="n"/>
      <c r="G61" s="27" t="n"/>
      <c r="H61" s="27" t="n"/>
      <c r="I61" s="27" t="n"/>
      <c r="J61" s="27" t="n"/>
      <c r="K61" s="27" t="n"/>
      <c r="L61" s="26" t="n"/>
      <c r="M61" s="26" t="n"/>
      <c r="N61" s="28">
        <f>IF($A61="","",IF($C61="","",raporTarihi-$C61))</f>
        <v/>
      </c>
      <c r="O61" s="28">
        <f>IF($A61="","",IF($N61="","",IF($N61&lt;=7,"0-7",IF($N61&lt;=30,"8-30",IF($N61&lt;=60,"31-60","60+")))))</f>
        <v/>
      </c>
      <c r="P61" s="28">
        <f>IF($A61="","",IF($B61="","YETİM",IF(COUNTIF(tblKartlar[KartId],$B61)=0,"YETİM","")))</f>
        <v/>
      </c>
      <c r="Q61" s="28">
        <f>IF(OR($A61="",$D61=""),"",IF(OR($D61&amp;"|"&amp;$E61="",COUNTIF(ListeIzinliGecis,$D61&amp;"|"&amp;$E61)&gt;0),"","GEÇERSİZ GEÇİŞ"))</f>
        <v/>
      </c>
      <c r="R61" s="28">
        <f>IF($A61="","",IF(OR($F61="",$H61=""),"",IF(ABS($H61-$F61)&gt;zincirTolerans,"ZİNCİR KIRIK","OK")))</f>
        <v/>
      </c>
      <c r="S61" s="28">
        <f>IF($A61="","",1)</f>
        <v/>
      </c>
    </row>
    <row r="62">
      <c r="A62" s="26" t="n"/>
      <c r="B62" s="26" t="n"/>
      <c r="C62" s="29" t="n"/>
      <c r="D62" s="26" t="n"/>
      <c r="E62" s="26" t="n"/>
      <c r="F62" s="27" t="n"/>
      <c r="G62" s="27" t="n"/>
      <c r="H62" s="27" t="n"/>
      <c r="I62" s="27" t="n"/>
      <c r="J62" s="27" t="n"/>
      <c r="K62" s="27" t="n"/>
      <c r="L62" s="26" t="n"/>
      <c r="M62" s="26" t="n"/>
      <c r="N62" s="28">
        <f>IF($A62="","",IF($C62="","",raporTarihi-$C62))</f>
        <v/>
      </c>
      <c r="O62" s="28">
        <f>IF($A62="","",IF($N62="","",IF($N62&lt;=7,"0-7",IF($N62&lt;=30,"8-30",IF($N62&lt;=60,"31-60","60+")))))</f>
        <v/>
      </c>
      <c r="P62" s="28">
        <f>IF($A62="","",IF($B62="","YETİM",IF(COUNTIF(tblKartlar[KartId],$B62)=0,"YETİM","")))</f>
        <v/>
      </c>
      <c r="Q62" s="28">
        <f>IF(OR($A62="",$D62=""),"",IF(OR($D62&amp;"|"&amp;$E62="",COUNTIF(ListeIzinliGecis,$D62&amp;"|"&amp;$E62)&gt;0),"","GEÇERSİZ GEÇİŞ"))</f>
        <v/>
      </c>
      <c r="R62" s="28">
        <f>IF($A62="","",IF(OR($F62="",$H62=""),"",IF(ABS($H62-$F62)&gt;zincirTolerans,"ZİNCİR KIRIK","OK")))</f>
        <v/>
      </c>
      <c r="S62" s="28">
        <f>IF($A62="","",1)</f>
        <v/>
      </c>
    </row>
    <row r="63">
      <c r="A63" s="26" t="n"/>
      <c r="B63" s="26" t="n"/>
      <c r="C63" s="29" t="n"/>
      <c r="D63" s="26" t="n"/>
      <c r="E63" s="26" t="n"/>
      <c r="F63" s="27" t="n"/>
      <c r="G63" s="27" t="n"/>
      <c r="H63" s="27" t="n"/>
      <c r="I63" s="27" t="n"/>
      <c r="J63" s="27" t="n"/>
      <c r="K63" s="27" t="n"/>
      <c r="L63" s="26" t="n"/>
      <c r="M63" s="26" t="n"/>
      <c r="N63" s="28">
        <f>IF($A63="","",IF($C63="","",raporTarihi-$C63))</f>
        <v/>
      </c>
      <c r="O63" s="28">
        <f>IF($A63="","",IF($N63="","",IF($N63&lt;=7,"0-7",IF($N63&lt;=30,"8-30",IF($N63&lt;=60,"31-60","60+")))))</f>
        <v/>
      </c>
      <c r="P63" s="28">
        <f>IF($A63="","",IF($B63="","YETİM",IF(COUNTIF(tblKartlar[KartId],$B63)=0,"YETİM","")))</f>
        <v/>
      </c>
      <c r="Q63" s="28">
        <f>IF(OR($A63="",$D63=""),"",IF(OR($D63&amp;"|"&amp;$E63="",COUNTIF(ListeIzinliGecis,$D63&amp;"|"&amp;$E63)&gt;0),"","GEÇERSİZ GEÇİŞ"))</f>
        <v/>
      </c>
      <c r="R63" s="28">
        <f>IF($A63="","",IF(OR($F63="",$H63=""),"",IF(ABS($H63-$F63)&gt;zincirTolerans,"ZİNCİR KIRIK","OK")))</f>
        <v/>
      </c>
      <c r="S63" s="28">
        <f>IF($A63="","",1)</f>
        <v/>
      </c>
    </row>
    <row r="64">
      <c r="A64" s="26" t="n"/>
      <c r="B64" s="26" t="n"/>
      <c r="C64" s="29" t="n"/>
      <c r="D64" s="26" t="n"/>
      <c r="E64" s="26" t="n"/>
      <c r="F64" s="27" t="n"/>
      <c r="G64" s="27" t="n"/>
      <c r="H64" s="27" t="n"/>
      <c r="I64" s="27" t="n"/>
      <c r="J64" s="27" t="n"/>
      <c r="K64" s="27" t="n"/>
      <c r="L64" s="26" t="n"/>
      <c r="M64" s="26" t="n"/>
      <c r="N64" s="28">
        <f>IF($A64="","",IF($C64="","",raporTarihi-$C64))</f>
        <v/>
      </c>
      <c r="O64" s="28">
        <f>IF($A64="","",IF($N64="","",IF($N64&lt;=7,"0-7",IF($N64&lt;=30,"8-30",IF($N64&lt;=60,"31-60","60+")))))</f>
        <v/>
      </c>
      <c r="P64" s="28">
        <f>IF($A64="","",IF($B64="","YETİM",IF(COUNTIF(tblKartlar[KartId],$B64)=0,"YETİM","")))</f>
        <v/>
      </c>
      <c r="Q64" s="28">
        <f>IF(OR($A64="",$D64=""),"",IF(OR($D64&amp;"|"&amp;$E64="",COUNTIF(ListeIzinliGecis,$D64&amp;"|"&amp;$E64)&gt;0),"","GEÇERSİZ GEÇİŞ"))</f>
        <v/>
      </c>
      <c r="R64" s="28">
        <f>IF($A64="","",IF(OR($F64="",$H64=""),"",IF(ABS($H64-$F64)&gt;zincirTolerans,"ZİNCİR KIRIK","OK")))</f>
        <v/>
      </c>
      <c r="S64" s="28">
        <f>IF($A64="","",1)</f>
        <v/>
      </c>
    </row>
    <row r="65">
      <c r="A65" s="26" t="n"/>
      <c r="B65" s="26" t="n"/>
      <c r="C65" s="29" t="n"/>
      <c r="D65" s="26" t="n"/>
      <c r="E65" s="26" t="n"/>
      <c r="F65" s="27" t="n"/>
      <c r="G65" s="27" t="n"/>
      <c r="H65" s="27" t="n"/>
      <c r="I65" s="27" t="n"/>
      <c r="J65" s="27" t="n"/>
      <c r="K65" s="27" t="n"/>
      <c r="L65" s="26" t="n"/>
      <c r="M65" s="26" t="n"/>
      <c r="N65" s="28">
        <f>IF($A65="","",IF($C65="","",raporTarihi-$C65))</f>
        <v/>
      </c>
      <c r="O65" s="28">
        <f>IF($A65="","",IF($N65="","",IF($N65&lt;=7,"0-7",IF($N65&lt;=30,"8-30",IF($N65&lt;=60,"31-60","60+")))))</f>
        <v/>
      </c>
      <c r="P65" s="28">
        <f>IF($A65="","",IF($B65="","YETİM",IF(COUNTIF(tblKartlar[KartId],$B65)=0,"YETİM","")))</f>
        <v/>
      </c>
      <c r="Q65" s="28">
        <f>IF(OR($A65="",$D65=""),"",IF(OR($D65&amp;"|"&amp;$E65="",COUNTIF(ListeIzinliGecis,$D65&amp;"|"&amp;$E65)&gt;0),"","GEÇERSİZ GEÇİŞ"))</f>
        <v/>
      </c>
      <c r="R65" s="28">
        <f>IF($A65="","",IF(OR($F65="",$H65=""),"",IF(ABS($H65-$F65)&gt;zincirTolerans,"ZİNCİR KIRIK","OK")))</f>
        <v/>
      </c>
      <c r="S65" s="28">
        <f>IF($A65="","",1)</f>
        <v/>
      </c>
    </row>
    <row r="66">
      <c r="A66" s="26" t="n"/>
      <c r="B66" s="26" t="n"/>
      <c r="C66" s="29" t="n"/>
      <c r="D66" s="26" t="n"/>
      <c r="E66" s="26" t="n"/>
      <c r="F66" s="27" t="n"/>
      <c r="G66" s="27" t="n"/>
      <c r="H66" s="27" t="n"/>
      <c r="I66" s="27" t="n"/>
      <c r="J66" s="27" t="n"/>
      <c r="K66" s="27" t="n"/>
      <c r="L66" s="26" t="n"/>
      <c r="M66" s="26" t="n"/>
      <c r="N66" s="28">
        <f>IF($A66="","",IF($C66="","",raporTarihi-$C66))</f>
        <v/>
      </c>
      <c r="O66" s="28">
        <f>IF($A66="","",IF($N66="","",IF($N66&lt;=7,"0-7",IF($N66&lt;=30,"8-30",IF($N66&lt;=60,"31-60","60+")))))</f>
        <v/>
      </c>
      <c r="P66" s="28">
        <f>IF($A66="","",IF($B66="","YETİM",IF(COUNTIF(tblKartlar[KartId],$B66)=0,"YETİM","")))</f>
        <v/>
      </c>
      <c r="Q66" s="28">
        <f>IF(OR($A66="",$D66=""),"",IF(OR($D66&amp;"|"&amp;$E66="",COUNTIF(ListeIzinliGecis,$D66&amp;"|"&amp;$E66)&gt;0),"","GEÇERSİZ GEÇİŞ"))</f>
        <v/>
      </c>
      <c r="R66" s="28">
        <f>IF($A66="","",IF(OR($F66="",$H66=""),"",IF(ABS($H66-$F66)&gt;zincirTolerans,"ZİNCİR KIRIK","OK")))</f>
        <v/>
      </c>
      <c r="S66" s="28">
        <f>IF($A66="","",1)</f>
        <v/>
      </c>
    </row>
    <row r="67">
      <c r="A67" s="26" t="n"/>
      <c r="B67" s="26" t="n"/>
      <c r="C67" s="29" t="n"/>
      <c r="D67" s="26" t="n"/>
      <c r="E67" s="26" t="n"/>
      <c r="F67" s="27" t="n"/>
      <c r="G67" s="27" t="n"/>
      <c r="H67" s="27" t="n"/>
      <c r="I67" s="27" t="n"/>
      <c r="J67" s="27" t="n"/>
      <c r="K67" s="27" t="n"/>
      <c r="L67" s="26" t="n"/>
      <c r="M67" s="26" t="n"/>
      <c r="N67" s="28">
        <f>IF($A67="","",IF($C67="","",raporTarihi-$C67))</f>
        <v/>
      </c>
      <c r="O67" s="28">
        <f>IF($A67="","",IF($N67="","",IF($N67&lt;=7,"0-7",IF($N67&lt;=30,"8-30",IF($N67&lt;=60,"31-60","60+")))))</f>
        <v/>
      </c>
      <c r="P67" s="28">
        <f>IF($A67="","",IF($B67="","YETİM",IF(COUNTIF(tblKartlar[KartId],$B67)=0,"YETİM","")))</f>
        <v/>
      </c>
      <c r="Q67" s="28">
        <f>IF(OR($A67="",$D67=""),"",IF(OR($D67&amp;"|"&amp;$E67="",COUNTIF(ListeIzinliGecis,$D67&amp;"|"&amp;$E67)&gt;0),"","GEÇERSİZ GEÇİŞ"))</f>
        <v/>
      </c>
      <c r="R67" s="28">
        <f>IF($A67="","",IF(OR($F67="",$H67=""),"",IF(ABS($H67-$F67)&gt;zincirTolerans,"ZİNCİR KIRIK","OK")))</f>
        <v/>
      </c>
      <c r="S67" s="28">
        <f>IF($A67="","",1)</f>
        <v/>
      </c>
    </row>
    <row r="68">
      <c r="A68" s="26" t="n"/>
      <c r="B68" s="26" t="n"/>
      <c r="C68" s="29" t="n"/>
      <c r="D68" s="26" t="n"/>
      <c r="E68" s="26" t="n"/>
      <c r="F68" s="27" t="n"/>
      <c r="G68" s="27" t="n"/>
      <c r="H68" s="27" t="n"/>
      <c r="I68" s="27" t="n"/>
      <c r="J68" s="27" t="n"/>
      <c r="K68" s="27" t="n"/>
      <c r="L68" s="26" t="n"/>
      <c r="M68" s="26" t="n"/>
      <c r="N68" s="28">
        <f>IF($A68="","",IF($C68="","",raporTarihi-$C68))</f>
        <v/>
      </c>
      <c r="O68" s="28">
        <f>IF($A68="","",IF($N68="","",IF($N68&lt;=7,"0-7",IF($N68&lt;=30,"8-30",IF($N68&lt;=60,"31-60","60+")))))</f>
        <v/>
      </c>
      <c r="P68" s="28">
        <f>IF($A68="","",IF($B68="","YETİM",IF(COUNTIF(tblKartlar[KartId],$B68)=0,"YETİM","")))</f>
        <v/>
      </c>
      <c r="Q68" s="28">
        <f>IF(OR($A68="",$D68=""),"",IF(OR($D68&amp;"|"&amp;$E68="",COUNTIF(ListeIzinliGecis,$D68&amp;"|"&amp;$E68)&gt;0),"","GEÇERSİZ GEÇİŞ"))</f>
        <v/>
      </c>
      <c r="R68" s="28">
        <f>IF($A68="","",IF(OR($F68="",$H68=""),"",IF(ABS($H68-$F68)&gt;zincirTolerans,"ZİNCİR KIRIK","OK")))</f>
        <v/>
      </c>
      <c r="S68" s="28">
        <f>IF($A68="","",1)</f>
        <v/>
      </c>
    </row>
    <row r="69">
      <c r="A69" s="26" t="n"/>
      <c r="B69" s="26" t="n"/>
      <c r="C69" s="29" t="n"/>
      <c r="D69" s="26" t="n"/>
      <c r="E69" s="26" t="n"/>
      <c r="F69" s="27" t="n"/>
      <c r="G69" s="27" t="n"/>
      <c r="H69" s="27" t="n"/>
      <c r="I69" s="27" t="n"/>
      <c r="J69" s="27" t="n"/>
      <c r="K69" s="27" t="n"/>
      <c r="L69" s="26" t="n"/>
      <c r="M69" s="26" t="n"/>
      <c r="N69" s="28">
        <f>IF($A69="","",IF($C69="","",raporTarihi-$C69))</f>
        <v/>
      </c>
      <c r="O69" s="28">
        <f>IF($A69="","",IF($N69="","",IF($N69&lt;=7,"0-7",IF($N69&lt;=30,"8-30",IF($N69&lt;=60,"31-60","60+")))))</f>
        <v/>
      </c>
      <c r="P69" s="28">
        <f>IF($A69="","",IF($B69="","YETİM",IF(COUNTIF(tblKartlar[KartId],$B69)=0,"YETİM","")))</f>
        <v/>
      </c>
      <c r="Q69" s="28">
        <f>IF(OR($A69="",$D69=""),"",IF(OR($D69&amp;"|"&amp;$E69="",COUNTIF(ListeIzinliGecis,$D69&amp;"|"&amp;$E69)&gt;0),"","GEÇERSİZ GEÇİŞ"))</f>
        <v/>
      </c>
      <c r="R69" s="28">
        <f>IF($A69="","",IF(OR($F69="",$H69=""),"",IF(ABS($H69-$F69)&gt;zincirTolerans,"ZİNCİR KIRIK","OK")))</f>
        <v/>
      </c>
      <c r="S69" s="28">
        <f>IF($A69="","",1)</f>
        <v/>
      </c>
    </row>
    <row r="70">
      <c r="A70" s="26" t="n"/>
      <c r="B70" s="26" t="n"/>
      <c r="C70" s="29" t="n"/>
      <c r="D70" s="26" t="n"/>
      <c r="E70" s="26" t="n"/>
      <c r="F70" s="27" t="n"/>
      <c r="G70" s="27" t="n"/>
      <c r="H70" s="27" t="n"/>
      <c r="I70" s="27" t="n"/>
      <c r="J70" s="27" t="n"/>
      <c r="K70" s="27" t="n"/>
      <c r="L70" s="26" t="n"/>
      <c r="M70" s="26" t="n"/>
      <c r="N70" s="28">
        <f>IF($A70="","",IF($C70="","",raporTarihi-$C70))</f>
        <v/>
      </c>
      <c r="O70" s="28">
        <f>IF($A70="","",IF($N70="","",IF($N70&lt;=7,"0-7",IF($N70&lt;=30,"8-30",IF($N70&lt;=60,"31-60","60+")))))</f>
        <v/>
      </c>
      <c r="P70" s="28">
        <f>IF($A70="","",IF($B70="","YETİM",IF(COUNTIF(tblKartlar[KartId],$B70)=0,"YETİM","")))</f>
        <v/>
      </c>
      <c r="Q70" s="28">
        <f>IF(OR($A70="",$D70=""),"",IF(OR($D70&amp;"|"&amp;$E70="",COUNTIF(ListeIzinliGecis,$D70&amp;"|"&amp;$E70)&gt;0),"","GEÇERSİZ GEÇİŞ"))</f>
        <v/>
      </c>
      <c r="R70" s="28">
        <f>IF($A70="","",IF(OR($F70="",$H70=""),"",IF(ABS($H70-$F70)&gt;zincirTolerans,"ZİNCİR KIRIK","OK")))</f>
        <v/>
      </c>
      <c r="S70" s="28">
        <f>IF($A70="","",1)</f>
        <v/>
      </c>
    </row>
    <row r="71">
      <c r="A71" s="26" t="n"/>
      <c r="B71" s="26" t="n"/>
      <c r="C71" s="29" t="n"/>
      <c r="D71" s="26" t="n"/>
      <c r="E71" s="26" t="n"/>
      <c r="F71" s="27" t="n"/>
      <c r="G71" s="27" t="n"/>
      <c r="H71" s="27" t="n"/>
      <c r="I71" s="27" t="n"/>
      <c r="J71" s="27" t="n"/>
      <c r="K71" s="27" t="n"/>
      <c r="L71" s="26" t="n"/>
      <c r="M71" s="26" t="n"/>
      <c r="N71" s="28">
        <f>IF($A71="","",IF($C71="","",raporTarihi-$C71))</f>
        <v/>
      </c>
      <c r="O71" s="28">
        <f>IF($A71="","",IF($N71="","",IF($N71&lt;=7,"0-7",IF($N71&lt;=30,"8-30",IF($N71&lt;=60,"31-60","60+")))))</f>
        <v/>
      </c>
      <c r="P71" s="28">
        <f>IF($A71="","",IF($B71="","YETİM",IF(COUNTIF(tblKartlar[KartId],$B71)=0,"YETİM","")))</f>
        <v/>
      </c>
      <c r="Q71" s="28">
        <f>IF(OR($A71="",$D71=""),"",IF(OR($D71&amp;"|"&amp;$E71="",COUNTIF(ListeIzinliGecis,$D71&amp;"|"&amp;$E71)&gt;0),"","GEÇERSİZ GEÇİŞ"))</f>
        <v/>
      </c>
      <c r="R71" s="28">
        <f>IF($A71="","",IF(OR($F71="",$H71=""),"",IF(ABS($H71-$F71)&gt;zincirTolerans,"ZİNCİR KIRIK","OK")))</f>
        <v/>
      </c>
      <c r="S71" s="28">
        <f>IF($A71="","",1)</f>
        <v/>
      </c>
    </row>
    <row r="72">
      <c r="A72" s="26" t="n"/>
      <c r="B72" s="26" t="n"/>
      <c r="C72" s="29" t="n"/>
      <c r="D72" s="26" t="n"/>
      <c r="E72" s="26" t="n"/>
      <c r="F72" s="27" t="n"/>
      <c r="G72" s="27" t="n"/>
      <c r="H72" s="27" t="n"/>
      <c r="I72" s="27" t="n"/>
      <c r="J72" s="27" t="n"/>
      <c r="K72" s="27" t="n"/>
      <c r="L72" s="26" t="n"/>
      <c r="M72" s="26" t="n"/>
      <c r="N72" s="28">
        <f>IF($A72="","",IF($C72="","",raporTarihi-$C72))</f>
        <v/>
      </c>
      <c r="O72" s="28">
        <f>IF($A72="","",IF($N72="","",IF($N72&lt;=7,"0-7",IF($N72&lt;=30,"8-30",IF($N72&lt;=60,"31-60","60+")))))</f>
        <v/>
      </c>
      <c r="P72" s="28">
        <f>IF($A72="","",IF($B72="","YETİM",IF(COUNTIF(tblKartlar[KartId],$B72)=0,"YETİM","")))</f>
        <v/>
      </c>
      <c r="Q72" s="28">
        <f>IF(OR($A72="",$D72=""),"",IF(OR($D72&amp;"|"&amp;$E72="",COUNTIF(ListeIzinliGecis,$D72&amp;"|"&amp;$E72)&gt;0),"","GEÇERSİZ GEÇİŞ"))</f>
        <v/>
      </c>
      <c r="R72" s="28">
        <f>IF($A72="","",IF(OR($F72="",$H72=""),"",IF(ABS($H72-$F72)&gt;zincirTolerans,"ZİNCİR KIRIK","OK")))</f>
        <v/>
      </c>
      <c r="S72" s="28">
        <f>IF($A72="","",1)</f>
        <v/>
      </c>
    </row>
    <row r="73">
      <c r="A73" s="26" t="n"/>
      <c r="B73" s="26" t="n"/>
      <c r="C73" s="29" t="n"/>
      <c r="D73" s="26" t="n"/>
      <c r="E73" s="26" t="n"/>
      <c r="F73" s="27" t="n"/>
      <c r="G73" s="27" t="n"/>
      <c r="H73" s="27" t="n"/>
      <c r="I73" s="27" t="n"/>
      <c r="J73" s="27" t="n"/>
      <c r="K73" s="27" t="n"/>
      <c r="L73" s="26" t="n"/>
      <c r="M73" s="26" t="n"/>
      <c r="N73" s="28">
        <f>IF($A73="","",IF($C73="","",raporTarihi-$C73))</f>
        <v/>
      </c>
      <c r="O73" s="28">
        <f>IF($A73="","",IF($N73="","",IF($N73&lt;=7,"0-7",IF($N73&lt;=30,"8-30",IF($N73&lt;=60,"31-60","60+")))))</f>
        <v/>
      </c>
      <c r="P73" s="28">
        <f>IF($A73="","",IF($B73="","YETİM",IF(COUNTIF(tblKartlar[KartId],$B73)=0,"YETİM","")))</f>
        <v/>
      </c>
      <c r="Q73" s="28">
        <f>IF(OR($A73="",$D73=""),"",IF(OR($D73&amp;"|"&amp;$E73="",COUNTIF(ListeIzinliGecis,$D73&amp;"|"&amp;$E73)&gt;0),"","GEÇERSİZ GEÇİŞ"))</f>
        <v/>
      </c>
      <c r="R73" s="28">
        <f>IF($A73="","",IF(OR($F73="",$H73=""),"",IF(ABS($H73-$F73)&gt;zincirTolerans,"ZİNCİR KIRIK","OK")))</f>
        <v/>
      </c>
      <c r="S73" s="28">
        <f>IF($A73="","",1)</f>
        <v/>
      </c>
    </row>
    <row r="74">
      <c r="A74" s="26" t="n"/>
      <c r="B74" s="26" t="n"/>
      <c r="C74" s="29" t="n"/>
      <c r="D74" s="26" t="n"/>
      <c r="E74" s="26" t="n"/>
      <c r="F74" s="27" t="n"/>
      <c r="G74" s="27" t="n"/>
      <c r="H74" s="27" t="n"/>
      <c r="I74" s="27" t="n"/>
      <c r="J74" s="27" t="n"/>
      <c r="K74" s="27" t="n"/>
      <c r="L74" s="26" t="n"/>
      <c r="M74" s="26" t="n"/>
      <c r="N74" s="28">
        <f>IF($A74="","",IF($C74="","",raporTarihi-$C74))</f>
        <v/>
      </c>
      <c r="O74" s="28">
        <f>IF($A74="","",IF($N74="","",IF($N74&lt;=7,"0-7",IF($N74&lt;=30,"8-30",IF($N74&lt;=60,"31-60","60+")))))</f>
        <v/>
      </c>
      <c r="P74" s="28">
        <f>IF($A74="","",IF($B74="","YETİM",IF(COUNTIF(tblKartlar[KartId],$B74)=0,"YETİM","")))</f>
        <v/>
      </c>
      <c r="Q74" s="28">
        <f>IF(OR($A74="",$D74=""),"",IF(OR($D74&amp;"|"&amp;$E74="",COUNTIF(ListeIzinliGecis,$D74&amp;"|"&amp;$E74)&gt;0),"","GEÇERSİZ GEÇİŞ"))</f>
        <v/>
      </c>
      <c r="R74" s="28">
        <f>IF($A74="","",IF(OR($F74="",$H74=""),"",IF(ABS($H74-$F74)&gt;zincirTolerans,"ZİNCİR KIRIK","OK")))</f>
        <v/>
      </c>
      <c r="S74" s="28">
        <f>IF($A74="","",1)</f>
        <v/>
      </c>
    </row>
    <row r="75">
      <c r="A75" s="26" t="n"/>
      <c r="B75" s="26" t="n"/>
      <c r="C75" s="29" t="n"/>
      <c r="D75" s="26" t="n"/>
      <c r="E75" s="26" t="n"/>
      <c r="F75" s="27" t="n"/>
      <c r="G75" s="27" t="n"/>
      <c r="H75" s="27" t="n"/>
      <c r="I75" s="27" t="n"/>
      <c r="J75" s="27" t="n"/>
      <c r="K75" s="27" t="n"/>
      <c r="L75" s="26" t="n"/>
      <c r="M75" s="26" t="n"/>
      <c r="N75" s="28">
        <f>IF($A75="","",IF($C75="","",raporTarihi-$C75))</f>
        <v/>
      </c>
      <c r="O75" s="28">
        <f>IF($A75="","",IF($N75="","",IF($N75&lt;=7,"0-7",IF($N75&lt;=30,"8-30",IF($N75&lt;=60,"31-60","60+")))))</f>
        <v/>
      </c>
      <c r="P75" s="28">
        <f>IF($A75="","",IF($B75="","YETİM",IF(COUNTIF(tblKartlar[KartId],$B75)=0,"YETİM","")))</f>
        <v/>
      </c>
      <c r="Q75" s="28">
        <f>IF(OR($A75="",$D75=""),"",IF(OR($D75&amp;"|"&amp;$E75="",COUNTIF(ListeIzinliGecis,$D75&amp;"|"&amp;$E75)&gt;0),"","GEÇERSİZ GEÇİŞ"))</f>
        <v/>
      </c>
      <c r="R75" s="28">
        <f>IF($A75="","",IF(OR($F75="",$H75=""),"",IF(ABS($H75-$F75)&gt;zincirTolerans,"ZİNCİR KIRIK","OK")))</f>
        <v/>
      </c>
      <c r="S75" s="28">
        <f>IF($A75="","",1)</f>
        <v/>
      </c>
    </row>
    <row r="76">
      <c r="A76" s="26" t="n"/>
      <c r="B76" s="26" t="n"/>
      <c r="C76" s="29" t="n"/>
      <c r="D76" s="26" t="n"/>
      <c r="E76" s="26" t="n"/>
      <c r="F76" s="27" t="n"/>
      <c r="G76" s="27" t="n"/>
      <c r="H76" s="27" t="n"/>
      <c r="I76" s="27" t="n"/>
      <c r="J76" s="27" t="n"/>
      <c r="K76" s="27" t="n"/>
      <c r="L76" s="26" t="n"/>
      <c r="M76" s="26" t="n"/>
      <c r="N76" s="28">
        <f>IF($A76="","",IF($C76="","",raporTarihi-$C76))</f>
        <v/>
      </c>
      <c r="O76" s="28">
        <f>IF($A76="","",IF($N76="","",IF($N76&lt;=7,"0-7",IF($N76&lt;=30,"8-30",IF($N76&lt;=60,"31-60","60+")))))</f>
        <v/>
      </c>
      <c r="P76" s="28">
        <f>IF($A76="","",IF($B76="","YETİM",IF(COUNTIF(tblKartlar[KartId],$B76)=0,"YETİM","")))</f>
        <v/>
      </c>
      <c r="Q76" s="28">
        <f>IF(OR($A76="",$D76=""),"",IF(OR($D76&amp;"|"&amp;$E76="",COUNTIF(ListeIzinliGecis,$D76&amp;"|"&amp;$E76)&gt;0),"","GEÇERSİZ GEÇİŞ"))</f>
        <v/>
      </c>
      <c r="R76" s="28">
        <f>IF($A76="","",IF(OR($F76="",$H76=""),"",IF(ABS($H76-$F76)&gt;zincirTolerans,"ZİNCİR KIRIK","OK")))</f>
        <v/>
      </c>
      <c r="S76" s="28">
        <f>IF($A76="","",1)</f>
        <v/>
      </c>
    </row>
    <row r="77">
      <c r="A77" s="26" t="n"/>
      <c r="B77" s="26" t="n"/>
      <c r="C77" s="29" t="n"/>
      <c r="D77" s="26" t="n"/>
      <c r="E77" s="26" t="n"/>
      <c r="F77" s="27" t="n"/>
      <c r="G77" s="27" t="n"/>
      <c r="H77" s="27" t="n"/>
      <c r="I77" s="27" t="n"/>
      <c r="J77" s="27" t="n"/>
      <c r="K77" s="27" t="n"/>
      <c r="L77" s="26" t="n"/>
      <c r="M77" s="26" t="n"/>
      <c r="N77" s="28">
        <f>IF($A77="","",IF($C77="","",raporTarihi-$C77))</f>
        <v/>
      </c>
      <c r="O77" s="28">
        <f>IF($A77="","",IF($N77="","",IF($N77&lt;=7,"0-7",IF($N77&lt;=30,"8-30",IF($N77&lt;=60,"31-60","60+")))))</f>
        <v/>
      </c>
      <c r="P77" s="28">
        <f>IF($A77="","",IF($B77="","YETİM",IF(COUNTIF(tblKartlar[KartId],$B77)=0,"YETİM","")))</f>
        <v/>
      </c>
      <c r="Q77" s="28">
        <f>IF(OR($A77="",$D77=""),"",IF(OR($D77&amp;"|"&amp;$E77="",COUNTIF(ListeIzinliGecis,$D77&amp;"|"&amp;$E77)&gt;0),"","GEÇERSİZ GEÇİŞ"))</f>
        <v/>
      </c>
      <c r="R77" s="28">
        <f>IF($A77="","",IF(OR($F77="",$H77=""),"",IF(ABS($H77-$F77)&gt;zincirTolerans,"ZİNCİR KIRIK","OK")))</f>
        <v/>
      </c>
      <c r="S77" s="28">
        <f>IF($A77="","",1)</f>
        <v/>
      </c>
    </row>
    <row r="78">
      <c r="A78" s="26" t="n"/>
      <c r="B78" s="26" t="n"/>
      <c r="C78" s="29" t="n"/>
      <c r="D78" s="26" t="n"/>
      <c r="E78" s="26" t="n"/>
      <c r="F78" s="27" t="n"/>
      <c r="G78" s="27" t="n"/>
      <c r="H78" s="27" t="n"/>
      <c r="I78" s="27" t="n"/>
      <c r="J78" s="27" t="n"/>
      <c r="K78" s="27" t="n"/>
      <c r="L78" s="26" t="n"/>
      <c r="M78" s="26" t="n"/>
      <c r="N78" s="28">
        <f>IF($A78="","",IF($C78="","",raporTarihi-$C78))</f>
        <v/>
      </c>
      <c r="O78" s="28">
        <f>IF($A78="","",IF($N78="","",IF($N78&lt;=7,"0-7",IF($N78&lt;=30,"8-30",IF($N78&lt;=60,"31-60","60+")))))</f>
        <v/>
      </c>
      <c r="P78" s="28">
        <f>IF($A78="","",IF($B78="","YETİM",IF(COUNTIF(tblKartlar[KartId],$B78)=0,"YETİM","")))</f>
        <v/>
      </c>
      <c r="Q78" s="28">
        <f>IF(OR($A78="",$D78=""),"",IF(OR($D78&amp;"|"&amp;$E78="",COUNTIF(ListeIzinliGecis,$D78&amp;"|"&amp;$E78)&gt;0),"","GEÇERSİZ GEÇİŞ"))</f>
        <v/>
      </c>
      <c r="R78" s="28">
        <f>IF($A78="","",IF(OR($F78="",$H78=""),"",IF(ABS($H78-$F78)&gt;zincirTolerans,"ZİNCİR KIRIK","OK")))</f>
        <v/>
      </c>
      <c r="S78" s="28">
        <f>IF($A78="","",1)</f>
        <v/>
      </c>
    </row>
    <row r="79">
      <c r="A79" s="26" t="n"/>
      <c r="B79" s="26" t="n"/>
      <c r="C79" s="29" t="n"/>
      <c r="D79" s="26" t="n"/>
      <c r="E79" s="26" t="n"/>
      <c r="F79" s="27" t="n"/>
      <c r="G79" s="27" t="n"/>
      <c r="H79" s="27" t="n"/>
      <c r="I79" s="27" t="n"/>
      <c r="J79" s="27" t="n"/>
      <c r="K79" s="27" t="n"/>
      <c r="L79" s="26" t="n"/>
      <c r="M79" s="26" t="n"/>
      <c r="N79" s="28">
        <f>IF($A79="","",IF($C79="","",raporTarihi-$C79))</f>
        <v/>
      </c>
      <c r="O79" s="28">
        <f>IF($A79="","",IF($N79="","",IF($N79&lt;=7,"0-7",IF($N79&lt;=30,"8-30",IF($N79&lt;=60,"31-60","60+")))))</f>
        <v/>
      </c>
      <c r="P79" s="28">
        <f>IF($A79="","",IF($B79="","YETİM",IF(COUNTIF(tblKartlar[KartId],$B79)=0,"YETİM","")))</f>
        <v/>
      </c>
      <c r="Q79" s="28">
        <f>IF(OR($A79="",$D79=""),"",IF(OR($D79&amp;"|"&amp;$E79="",COUNTIF(ListeIzinliGecis,$D79&amp;"|"&amp;$E79)&gt;0),"","GEÇERSİZ GEÇİŞ"))</f>
        <v/>
      </c>
      <c r="R79" s="28">
        <f>IF($A79="","",IF(OR($F79="",$H79=""),"",IF(ABS($H79-$F79)&gt;zincirTolerans,"ZİNCİR KIRIK","OK")))</f>
        <v/>
      </c>
      <c r="S79" s="28">
        <f>IF($A79="","",1)</f>
        <v/>
      </c>
    </row>
    <row r="80">
      <c r="A80" s="26" t="n"/>
      <c r="B80" s="26" t="n"/>
      <c r="C80" s="29" t="n"/>
      <c r="D80" s="26" t="n"/>
      <c r="E80" s="26" t="n"/>
      <c r="F80" s="27" t="n"/>
      <c r="G80" s="27" t="n"/>
      <c r="H80" s="27" t="n"/>
      <c r="I80" s="27" t="n"/>
      <c r="J80" s="27" t="n"/>
      <c r="K80" s="27" t="n"/>
      <c r="L80" s="26" t="n"/>
      <c r="M80" s="26" t="n"/>
      <c r="N80" s="28">
        <f>IF($A80="","",IF($C80="","",raporTarihi-$C80))</f>
        <v/>
      </c>
      <c r="O80" s="28">
        <f>IF($A80="","",IF($N80="","",IF($N80&lt;=7,"0-7",IF($N80&lt;=30,"8-30",IF($N80&lt;=60,"31-60","60+")))))</f>
        <v/>
      </c>
      <c r="P80" s="28">
        <f>IF($A80="","",IF($B80="","YETİM",IF(COUNTIF(tblKartlar[KartId],$B80)=0,"YETİM","")))</f>
        <v/>
      </c>
      <c r="Q80" s="28">
        <f>IF(OR($A80="",$D80=""),"",IF(OR($D80&amp;"|"&amp;$E80="",COUNTIF(ListeIzinliGecis,$D80&amp;"|"&amp;$E80)&gt;0),"","GEÇERSİZ GEÇİŞ"))</f>
        <v/>
      </c>
      <c r="R80" s="28">
        <f>IF($A80="","",IF(OR($F80="",$H80=""),"",IF(ABS($H80-$F80)&gt;zincirTolerans,"ZİNCİR KIRIK","OK")))</f>
        <v/>
      </c>
      <c r="S80" s="28">
        <f>IF($A80="","",1)</f>
        <v/>
      </c>
    </row>
    <row r="81">
      <c r="A81" s="26" t="n"/>
      <c r="B81" s="26" t="n"/>
      <c r="C81" s="29" t="n"/>
      <c r="D81" s="26" t="n"/>
      <c r="E81" s="26" t="n"/>
      <c r="F81" s="27" t="n"/>
      <c r="G81" s="27" t="n"/>
      <c r="H81" s="27" t="n"/>
      <c r="I81" s="27" t="n"/>
      <c r="J81" s="27" t="n"/>
      <c r="K81" s="27" t="n"/>
      <c r="L81" s="26" t="n"/>
      <c r="M81" s="26" t="n"/>
      <c r="N81" s="28">
        <f>IF($A81="","",IF($C81="","",raporTarihi-$C81))</f>
        <v/>
      </c>
      <c r="O81" s="28">
        <f>IF($A81="","",IF($N81="","",IF($N81&lt;=7,"0-7",IF($N81&lt;=30,"8-30",IF($N81&lt;=60,"31-60","60+")))))</f>
        <v/>
      </c>
      <c r="P81" s="28">
        <f>IF($A81="","",IF($B81="","YETİM",IF(COUNTIF(tblKartlar[KartId],$B81)=0,"YETİM","")))</f>
        <v/>
      </c>
      <c r="Q81" s="28">
        <f>IF(OR($A81="",$D81=""),"",IF(OR($D81&amp;"|"&amp;$E81="",COUNTIF(ListeIzinliGecis,$D81&amp;"|"&amp;$E81)&gt;0),"","GEÇERSİZ GEÇİŞ"))</f>
        <v/>
      </c>
      <c r="R81" s="28">
        <f>IF($A81="","",IF(OR($F81="",$H81=""),"",IF(ABS($H81-$F81)&gt;zincirTolerans,"ZİNCİR KIRIK","OK")))</f>
        <v/>
      </c>
      <c r="S81" s="28">
        <f>IF($A81="","",1)</f>
        <v/>
      </c>
    </row>
    <row r="82">
      <c r="A82" s="26" t="n"/>
      <c r="B82" s="26" t="n"/>
      <c r="C82" s="29" t="n"/>
      <c r="D82" s="26" t="n"/>
      <c r="E82" s="26" t="n"/>
      <c r="F82" s="27" t="n"/>
      <c r="G82" s="27" t="n"/>
      <c r="H82" s="27" t="n"/>
      <c r="I82" s="27" t="n"/>
      <c r="J82" s="27" t="n"/>
      <c r="K82" s="27" t="n"/>
      <c r="L82" s="26" t="n"/>
      <c r="M82" s="26" t="n"/>
      <c r="N82" s="28">
        <f>IF($A82="","",IF($C82="","",raporTarihi-$C82))</f>
        <v/>
      </c>
      <c r="O82" s="28">
        <f>IF($A82="","",IF($N82="","",IF($N82&lt;=7,"0-7",IF($N82&lt;=30,"8-30",IF($N82&lt;=60,"31-60","60+")))))</f>
        <v/>
      </c>
      <c r="P82" s="28">
        <f>IF($A82="","",IF($B82="","YETİM",IF(COUNTIF(tblKartlar[KartId],$B82)=0,"YETİM","")))</f>
        <v/>
      </c>
      <c r="Q82" s="28">
        <f>IF(OR($A82="",$D82=""),"",IF(OR($D82&amp;"|"&amp;$E82="",COUNTIF(ListeIzinliGecis,$D82&amp;"|"&amp;$E82)&gt;0),"","GEÇERSİZ GEÇİŞ"))</f>
        <v/>
      </c>
      <c r="R82" s="28">
        <f>IF($A82="","",IF(OR($F82="",$H82=""),"",IF(ABS($H82-$F82)&gt;zincirTolerans,"ZİNCİR KIRIK","OK")))</f>
        <v/>
      </c>
      <c r="S82" s="28">
        <f>IF($A82="","",1)</f>
        <v/>
      </c>
    </row>
    <row r="83">
      <c r="A83" s="26" t="n"/>
      <c r="B83" s="26" t="n"/>
      <c r="C83" s="29" t="n"/>
      <c r="D83" s="26" t="n"/>
      <c r="E83" s="26" t="n"/>
      <c r="F83" s="27" t="n"/>
      <c r="G83" s="27" t="n"/>
      <c r="H83" s="27" t="n"/>
      <c r="I83" s="27" t="n"/>
      <c r="J83" s="27" t="n"/>
      <c r="K83" s="27" t="n"/>
      <c r="L83" s="26" t="n"/>
      <c r="M83" s="26" t="n"/>
      <c r="N83" s="28">
        <f>IF($A83="","",IF($C83="","",raporTarihi-$C83))</f>
        <v/>
      </c>
      <c r="O83" s="28">
        <f>IF($A83="","",IF($N83="","",IF($N83&lt;=7,"0-7",IF($N83&lt;=30,"8-30",IF($N83&lt;=60,"31-60","60+")))))</f>
        <v/>
      </c>
      <c r="P83" s="28">
        <f>IF($A83="","",IF($B83="","YETİM",IF(COUNTIF(tblKartlar[KartId],$B83)=0,"YETİM","")))</f>
        <v/>
      </c>
      <c r="Q83" s="28">
        <f>IF(OR($A83="",$D83=""),"",IF(OR($D83&amp;"|"&amp;$E83="",COUNTIF(ListeIzinliGecis,$D83&amp;"|"&amp;$E83)&gt;0),"","GEÇERSİZ GEÇİŞ"))</f>
        <v/>
      </c>
      <c r="R83" s="28">
        <f>IF($A83="","",IF(OR($F83="",$H83=""),"",IF(ABS($H83-$F83)&gt;zincirTolerans,"ZİNCİR KIRIK","OK")))</f>
        <v/>
      </c>
      <c r="S83" s="28">
        <f>IF($A83="","",1)</f>
        <v/>
      </c>
    </row>
    <row r="84">
      <c r="A84" s="26" t="n"/>
      <c r="B84" s="26" t="n"/>
      <c r="C84" s="29" t="n"/>
      <c r="D84" s="26" t="n"/>
      <c r="E84" s="26" t="n"/>
      <c r="F84" s="27" t="n"/>
      <c r="G84" s="27" t="n"/>
      <c r="H84" s="27" t="n"/>
      <c r="I84" s="27" t="n"/>
      <c r="J84" s="27" t="n"/>
      <c r="K84" s="27" t="n"/>
      <c r="L84" s="26" t="n"/>
      <c r="M84" s="26" t="n"/>
      <c r="N84" s="28">
        <f>IF($A84="","",IF($C84="","",raporTarihi-$C84))</f>
        <v/>
      </c>
      <c r="O84" s="28">
        <f>IF($A84="","",IF($N84="","",IF($N84&lt;=7,"0-7",IF($N84&lt;=30,"8-30",IF($N84&lt;=60,"31-60","60+")))))</f>
        <v/>
      </c>
      <c r="P84" s="28">
        <f>IF($A84="","",IF($B84="","YETİM",IF(COUNTIF(tblKartlar[KartId],$B84)=0,"YETİM","")))</f>
        <v/>
      </c>
      <c r="Q84" s="28">
        <f>IF(OR($A84="",$D84=""),"",IF(OR($D84&amp;"|"&amp;$E84="",COUNTIF(ListeIzinliGecis,$D84&amp;"|"&amp;$E84)&gt;0),"","GEÇERSİZ GEÇİŞ"))</f>
        <v/>
      </c>
      <c r="R84" s="28">
        <f>IF($A84="","",IF(OR($F84="",$H84=""),"",IF(ABS($H84-$F84)&gt;zincirTolerans,"ZİNCİR KIRIK","OK")))</f>
        <v/>
      </c>
      <c r="S84" s="28">
        <f>IF($A84="","",1)</f>
        <v/>
      </c>
    </row>
    <row r="85">
      <c r="A85" s="26" t="n"/>
      <c r="B85" s="26" t="n"/>
      <c r="C85" s="29" t="n"/>
      <c r="D85" s="26" t="n"/>
      <c r="E85" s="26" t="n"/>
      <c r="F85" s="27" t="n"/>
      <c r="G85" s="27" t="n"/>
      <c r="H85" s="27" t="n"/>
      <c r="I85" s="27" t="n"/>
      <c r="J85" s="27" t="n"/>
      <c r="K85" s="27" t="n"/>
      <c r="L85" s="26" t="n"/>
      <c r="M85" s="26" t="n"/>
      <c r="N85" s="28">
        <f>IF($A85="","",IF($C85="","",raporTarihi-$C85))</f>
        <v/>
      </c>
      <c r="O85" s="28">
        <f>IF($A85="","",IF($N85="","",IF($N85&lt;=7,"0-7",IF($N85&lt;=30,"8-30",IF($N85&lt;=60,"31-60","60+")))))</f>
        <v/>
      </c>
      <c r="P85" s="28">
        <f>IF($A85="","",IF($B85="","YETİM",IF(COUNTIF(tblKartlar[KartId],$B85)=0,"YETİM","")))</f>
        <v/>
      </c>
      <c r="Q85" s="28">
        <f>IF(OR($A85="",$D85=""),"",IF(OR($D85&amp;"|"&amp;$E85="",COUNTIF(ListeIzinliGecis,$D85&amp;"|"&amp;$E85)&gt;0),"","GEÇERSİZ GEÇİŞ"))</f>
        <v/>
      </c>
      <c r="R85" s="28">
        <f>IF($A85="","",IF(OR($F85="",$H85=""),"",IF(ABS($H85-$F85)&gt;zincirTolerans,"ZİNCİR KIRIK","OK")))</f>
        <v/>
      </c>
      <c r="S85" s="28">
        <f>IF($A85="","",1)</f>
        <v/>
      </c>
    </row>
    <row r="86">
      <c r="A86" s="26" t="n"/>
      <c r="B86" s="26" t="n"/>
      <c r="C86" s="29" t="n"/>
      <c r="D86" s="26" t="n"/>
      <c r="E86" s="26" t="n"/>
      <c r="F86" s="27" t="n"/>
      <c r="G86" s="27" t="n"/>
      <c r="H86" s="27" t="n"/>
      <c r="I86" s="27" t="n"/>
      <c r="J86" s="27" t="n"/>
      <c r="K86" s="27" t="n"/>
      <c r="L86" s="26" t="n"/>
      <c r="M86" s="26" t="n"/>
      <c r="N86" s="28">
        <f>IF($A86="","",IF($C86="","",raporTarihi-$C86))</f>
        <v/>
      </c>
      <c r="O86" s="28">
        <f>IF($A86="","",IF($N86="","",IF($N86&lt;=7,"0-7",IF($N86&lt;=30,"8-30",IF($N86&lt;=60,"31-60","60+")))))</f>
        <v/>
      </c>
      <c r="P86" s="28">
        <f>IF($A86="","",IF($B86="","YETİM",IF(COUNTIF(tblKartlar[KartId],$B86)=0,"YETİM","")))</f>
        <v/>
      </c>
      <c r="Q86" s="28">
        <f>IF(OR($A86="",$D86=""),"",IF(OR($D86&amp;"|"&amp;$E86="",COUNTIF(ListeIzinliGecis,$D86&amp;"|"&amp;$E86)&gt;0),"","GEÇERSİZ GEÇİŞ"))</f>
        <v/>
      </c>
      <c r="R86" s="28">
        <f>IF($A86="","",IF(OR($F86="",$H86=""),"",IF(ABS($H86-$F86)&gt;zincirTolerans,"ZİNCİR KIRIK","OK")))</f>
        <v/>
      </c>
      <c r="S86" s="28">
        <f>IF($A86="","",1)</f>
        <v/>
      </c>
    </row>
    <row r="87">
      <c r="A87" s="26" t="n"/>
      <c r="B87" s="26" t="n"/>
      <c r="C87" s="29" t="n"/>
      <c r="D87" s="26" t="n"/>
      <c r="E87" s="26" t="n"/>
      <c r="F87" s="27" t="n"/>
      <c r="G87" s="27" t="n"/>
      <c r="H87" s="27" t="n"/>
      <c r="I87" s="27" t="n"/>
      <c r="J87" s="27" t="n"/>
      <c r="K87" s="27" t="n"/>
      <c r="L87" s="26" t="n"/>
      <c r="M87" s="26" t="n"/>
      <c r="N87" s="28">
        <f>IF($A87="","",IF($C87="","",raporTarihi-$C87))</f>
        <v/>
      </c>
      <c r="O87" s="28">
        <f>IF($A87="","",IF($N87="","",IF($N87&lt;=7,"0-7",IF($N87&lt;=30,"8-30",IF($N87&lt;=60,"31-60","60+")))))</f>
        <v/>
      </c>
      <c r="P87" s="28">
        <f>IF($A87="","",IF($B87="","YETİM",IF(COUNTIF(tblKartlar[KartId],$B87)=0,"YETİM","")))</f>
        <v/>
      </c>
      <c r="Q87" s="28">
        <f>IF(OR($A87="",$D87=""),"",IF(OR($D87&amp;"|"&amp;$E87="",COUNTIF(ListeIzinliGecis,$D87&amp;"|"&amp;$E87)&gt;0),"","GEÇERSİZ GEÇİŞ"))</f>
        <v/>
      </c>
      <c r="R87" s="28">
        <f>IF($A87="","",IF(OR($F87="",$H87=""),"",IF(ABS($H87-$F87)&gt;zincirTolerans,"ZİNCİR KIRIK","OK")))</f>
        <v/>
      </c>
      <c r="S87" s="28">
        <f>IF($A87="","",1)</f>
        <v/>
      </c>
    </row>
    <row r="88">
      <c r="A88" s="26" t="n"/>
      <c r="B88" s="26" t="n"/>
      <c r="C88" s="29" t="n"/>
      <c r="D88" s="26" t="n"/>
      <c r="E88" s="26" t="n"/>
      <c r="F88" s="27" t="n"/>
      <c r="G88" s="27" t="n"/>
      <c r="H88" s="27" t="n"/>
      <c r="I88" s="27" t="n"/>
      <c r="J88" s="27" t="n"/>
      <c r="K88" s="27" t="n"/>
      <c r="L88" s="26" t="n"/>
      <c r="M88" s="26" t="n"/>
      <c r="N88" s="28">
        <f>IF($A88="","",IF($C88="","",raporTarihi-$C88))</f>
        <v/>
      </c>
      <c r="O88" s="28">
        <f>IF($A88="","",IF($N88="","",IF($N88&lt;=7,"0-7",IF($N88&lt;=30,"8-30",IF($N88&lt;=60,"31-60","60+")))))</f>
        <v/>
      </c>
      <c r="P88" s="28">
        <f>IF($A88="","",IF($B88="","YETİM",IF(COUNTIF(tblKartlar[KartId],$B88)=0,"YETİM","")))</f>
        <v/>
      </c>
      <c r="Q88" s="28">
        <f>IF(OR($A88="",$D88=""),"",IF(OR($D88&amp;"|"&amp;$E88="",COUNTIF(ListeIzinliGecis,$D88&amp;"|"&amp;$E88)&gt;0),"","GEÇERSİZ GEÇİŞ"))</f>
        <v/>
      </c>
      <c r="R88" s="28">
        <f>IF($A88="","",IF(OR($F88="",$H88=""),"",IF(ABS($H88-$F88)&gt;zincirTolerans,"ZİNCİR KIRIK","OK")))</f>
        <v/>
      </c>
      <c r="S88" s="28">
        <f>IF($A88="","",1)</f>
        <v/>
      </c>
    </row>
    <row r="89">
      <c r="A89" s="26" t="n"/>
      <c r="B89" s="26" t="n"/>
      <c r="C89" s="29" t="n"/>
      <c r="D89" s="26" t="n"/>
      <c r="E89" s="26" t="n"/>
      <c r="F89" s="27" t="n"/>
      <c r="G89" s="27" t="n"/>
      <c r="H89" s="27" t="n"/>
      <c r="I89" s="27" t="n"/>
      <c r="J89" s="27" t="n"/>
      <c r="K89" s="27" t="n"/>
      <c r="L89" s="26" t="n"/>
      <c r="M89" s="26" t="n"/>
      <c r="N89" s="28">
        <f>IF($A89="","",IF($C89="","",raporTarihi-$C89))</f>
        <v/>
      </c>
      <c r="O89" s="28">
        <f>IF($A89="","",IF($N89="","",IF($N89&lt;=7,"0-7",IF($N89&lt;=30,"8-30",IF($N89&lt;=60,"31-60","60+")))))</f>
        <v/>
      </c>
      <c r="P89" s="28">
        <f>IF($A89="","",IF($B89="","YETİM",IF(COUNTIF(tblKartlar[KartId],$B89)=0,"YETİM","")))</f>
        <v/>
      </c>
      <c r="Q89" s="28">
        <f>IF(OR($A89="",$D89=""),"",IF(OR($D89&amp;"|"&amp;$E89="",COUNTIF(ListeIzinliGecis,$D89&amp;"|"&amp;$E89)&gt;0),"","GEÇERSİZ GEÇİŞ"))</f>
        <v/>
      </c>
      <c r="R89" s="28">
        <f>IF($A89="","",IF(OR($F89="",$H89=""),"",IF(ABS($H89-$F89)&gt;zincirTolerans,"ZİNCİR KIRIK","OK")))</f>
        <v/>
      </c>
      <c r="S89" s="28">
        <f>IF($A89="","",1)</f>
        <v/>
      </c>
    </row>
    <row r="90">
      <c r="A90" s="26" t="n"/>
      <c r="B90" s="26" t="n"/>
      <c r="C90" s="29" t="n"/>
      <c r="D90" s="26" t="n"/>
      <c r="E90" s="26" t="n"/>
      <c r="F90" s="27" t="n"/>
      <c r="G90" s="27" t="n"/>
      <c r="H90" s="27" t="n"/>
      <c r="I90" s="27" t="n"/>
      <c r="J90" s="27" t="n"/>
      <c r="K90" s="27" t="n"/>
      <c r="L90" s="26" t="n"/>
      <c r="M90" s="26" t="n"/>
      <c r="N90" s="28">
        <f>IF($A90="","",IF($C90="","",raporTarihi-$C90))</f>
        <v/>
      </c>
      <c r="O90" s="28">
        <f>IF($A90="","",IF($N90="","",IF($N90&lt;=7,"0-7",IF($N90&lt;=30,"8-30",IF($N90&lt;=60,"31-60","60+")))))</f>
        <v/>
      </c>
      <c r="P90" s="28">
        <f>IF($A90="","",IF($B90="","YETİM",IF(COUNTIF(tblKartlar[KartId],$B90)=0,"YETİM","")))</f>
        <v/>
      </c>
      <c r="Q90" s="28">
        <f>IF(OR($A90="",$D90=""),"",IF(OR($D90&amp;"|"&amp;$E90="",COUNTIF(ListeIzinliGecis,$D90&amp;"|"&amp;$E90)&gt;0),"","GEÇERSİZ GEÇİŞ"))</f>
        <v/>
      </c>
      <c r="R90" s="28">
        <f>IF($A90="","",IF(OR($F90="",$H90=""),"",IF(ABS($H90-$F90)&gt;zincirTolerans,"ZİNCİR KIRIK","OK")))</f>
        <v/>
      </c>
      <c r="S90" s="28">
        <f>IF($A90="","",1)</f>
        <v/>
      </c>
    </row>
    <row r="91">
      <c r="A91" s="26" t="n"/>
      <c r="B91" s="26" t="n"/>
      <c r="C91" s="29" t="n"/>
      <c r="D91" s="26" t="n"/>
      <c r="E91" s="26" t="n"/>
      <c r="F91" s="27" t="n"/>
      <c r="G91" s="27" t="n"/>
      <c r="H91" s="27" t="n"/>
      <c r="I91" s="27" t="n"/>
      <c r="J91" s="27" t="n"/>
      <c r="K91" s="27" t="n"/>
      <c r="L91" s="26" t="n"/>
      <c r="M91" s="26" t="n"/>
      <c r="N91" s="28">
        <f>IF($A91="","",IF($C91="","",raporTarihi-$C91))</f>
        <v/>
      </c>
      <c r="O91" s="28">
        <f>IF($A91="","",IF($N91="","",IF($N91&lt;=7,"0-7",IF($N91&lt;=30,"8-30",IF($N91&lt;=60,"31-60","60+")))))</f>
        <v/>
      </c>
      <c r="P91" s="28">
        <f>IF($A91="","",IF($B91="","YETİM",IF(COUNTIF(tblKartlar[KartId],$B91)=0,"YETİM","")))</f>
        <v/>
      </c>
      <c r="Q91" s="28">
        <f>IF(OR($A91="",$D91=""),"",IF(OR($D91&amp;"|"&amp;$E91="",COUNTIF(ListeIzinliGecis,$D91&amp;"|"&amp;$E91)&gt;0),"","GEÇERSİZ GEÇİŞ"))</f>
        <v/>
      </c>
      <c r="R91" s="28">
        <f>IF($A91="","",IF(OR($F91="",$H91=""),"",IF(ABS($H91-$F91)&gt;zincirTolerans,"ZİNCİR KIRIK","OK")))</f>
        <v/>
      </c>
      <c r="S91" s="28">
        <f>IF($A91="","",1)</f>
        <v/>
      </c>
    </row>
    <row r="92">
      <c r="A92" s="26" t="n"/>
      <c r="B92" s="26" t="n"/>
      <c r="C92" s="29" t="n"/>
      <c r="D92" s="26" t="n"/>
      <c r="E92" s="26" t="n"/>
      <c r="F92" s="27" t="n"/>
      <c r="G92" s="27" t="n"/>
      <c r="H92" s="27" t="n"/>
      <c r="I92" s="27" t="n"/>
      <c r="J92" s="27" t="n"/>
      <c r="K92" s="27" t="n"/>
      <c r="L92" s="26" t="n"/>
      <c r="M92" s="26" t="n"/>
      <c r="N92" s="28">
        <f>IF($A92="","",IF($C92="","",raporTarihi-$C92))</f>
        <v/>
      </c>
      <c r="O92" s="28">
        <f>IF($A92="","",IF($N92="","",IF($N92&lt;=7,"0-7",IF($N92&lt;=30,"8-30",IF($N92&lt;=60,"31-60","60+")))))</f>
        <v/>
      </c>
      <c r="P92" s="28">
        <f>IF($A92="","",IF($B92="","YETİM",IF(COUNTIF(tblKartlar[KartId],$B92)=0,"YETİM","")))</f>
        <v/>
      </c>
      <c r="Q92" s="28">
        <f>IF(OR($A92="",$D92=""),"",IF(OR($D92&amp;"|"&amp;$E92="",COUNTIF(ListeIzinliGecis,$D92&amp;"|"&amp;$E92)&gt;0),"","GEÇERSİZ GEÇİŞ"))</f>
        <v/>
      </c>
      <c r="R92" s="28">
        <f>IF($A92="","",IF(OR($F92="",$H92=""),"",IF(ABS($H92-$F92)&gt;zincirTolerans,"ZİNCİR KIRIK","OK")))</f>
        <v/>
      </c>
      <c r="S92" s="28">
        <f>IF($A92="","",1)</f>
        <v/>
      </c>
    </row>
    <row r="93">
      <c r="A93" s="26" t="n"/>
      <c r="B93" s="26" t="n"/>
      <c r="C93" s="29" t="n"/>
      <c r="D93" s="26" t="n"/>
      <c r="E93" s="26" t="n"/>
      <c r="F93" s="27" t="n"/>
      <c r="G93" s="27" t="n"/>
      <c r="H93" s="27" t="n"/>
      <c r="I93" s="27" t="n"/>
      <c r="J93" s="27" t="n"/>
      <c r="K93" s="27" t="n"/>
      <c r="L93" s="26" t="n"/>
      <c r="M93" s="26" t="n"/>
      <c r="N93" s="28">
        <f>IF($A93="","",IF($C93="","",raporTarihi-$C93))</f>
        <v/>
      </c>
      <c r="O93" s="28">
        <f>IF($A93="","",IF($N93="","",IF($N93&lt;=7,"0-7",IF($N93&lt;=30,"8-30",IF($N93&lt;=60,"31-60","60+")))))</f>
        <v/>
      </c>
      <c r="P93" s="28">
        <f>IF($A93="","",IF($B93="","YETİM",IF(COUNTIF(tblKartlar[KartId],$B93)=0,"YETİM","")))</f>
        <v/>
      </c>
      <c r="Q93" s="28">
        <f>IF(OR($A93="",$D93=""),"",IF(OR($D93&amp;"|"&amp;$E93="",COUNTIF(ListeIzinliGecis,$D93&amp;"|"&amp;$E93)&gt;0),"","GEÇERSİZ GEÇİŞ"))</f>
        <v/>
      </c>
      <c r="R93" s="28">
        <f>IF($A93="","",IF(OR($F93="",$H93=""),"",IF(ABS($H93-$F93)&gt;zincirTolerans,"ZİNCİR KIRIK","OK")))</f>
        <v/>
      </c>
      <c r="S93" s="28">
        <f>IF($A93="","",1)</f>
        <v/>
      </c>
    </row>
    <row r="94">
      <c r="A94" s="26" t="n"/>
      <c r="B94" s="26" t="n"/>
      <c r="C94" s="29" t="n"/>
      <c r="D94" s="26" t="n"/>
      <c r="E94" s="26" t="n"/>
      <c r="F94" s="27" t="n"/>
      <c r="G94" s="27" t="n"/>
      <c r="H94" s="27" t="n"/>
      <c r="I94" s="27" t="n"/>
      <c r="J94" s="27" t="n"/>
      <c r="K94" s="27" t="n"/>
      <c r="L94" s="26" t="n"/>
      <c r="M94" s="26" t="n"/>
      <c r="N94" s="28">
        <f>IF($A94="","",IF($C94="","",raporTarihi-$C94))</f>
        <v/>
      </c>
      <c r="O94" s="28">
        <f>IF($A94="","",IF($N94="","",IF($N94&lt;=7,"0-7",IF($N94&lt;=30,"8-30",IF($N94&lt;=60,"31-60","60+")))))</f>
        <v/>
      </c>
      <c r="P94" s="28">
        <f>IF($A94="","",IF($B94="","YETİM",IF(COUNTIF(tblKartlar[KartId],$B94)=0,"YETİM","")))</f>
        <v/>
      </c>
      <c r="Q94" s="28">
        <f>IF(OR($A94="",$D94=""),"",IF(OR($D94&amp;"|"&amp;$E94="",COUNTIF(ListeIzinliGecis,$D94&amp;"|"&amp;$E94)&gt;0),"","GEÇERSİZ GEÇİŞ"))</f>
        <v/>
      </c>
      <c r="R94" s="28">
        <f>IF($A94="","",IF(OR($F94="",$H94=""),"",IF(ABS($H94-$F94)&gt;zincirTolerans,"ZİNCİR KIRIK","OK")))</f>
        <v/>
      </c>
      <c r="S94" s="28">
        <f>IF($A94="","",1)</f>
        <v/>
      </c>
    </row>
    <row r="95">
      <c r="A95" s="26" t="n"/>
      <c r="B95" s="26" t="n"/>
      <c r="C95" s="29" t="n"/>
      <c r="D95" s="26" t="n"/>
      <c r="E95" s="26" t="n"/>
      <c r="F95" s="27" t="n"/>
      <c r="G95" s="27" t="n"/>
      <c r="H95" s="27" t="n"/>
      <c r="I95" s="27" t="n"/>
      <c r="J95" s="27" t="n"/>
      <c r="K95" s="27" t="n"/>
      <c r="L95" s="26" t="n"/>
      <c r="M95" s="26" t="n"/>
      <c r="N95" s="28">
        <f>IF($A95="","",IF($C95="","",raporTarihi-$C95))</f>
        <v/>
      </c>
      <c r="O95" s="28">
        <f>IF($A95="","",IF($N95="","",IF($N95&lt;=7,"0-7",IF($N95&lt;=30,"8-30",IF($N95&lt;=60,"31-60","60+")))))</f>
        <v/>
      </c>
      <c r="P95" s="28">
        <f>IF($A95="","",IF($B95="","YETİM",IF(COUNTIF(tblKartlar[KartId],$B95)=0,"YETİM","")))</f>
        <v/>
      </c>
      <c r="Q95" s="28">
        <f>IF(OR($A95="",$D95=""),"",IF(OR($D95&amp;"|"&amp;$E95="",COUNTIF(ListeIzinliGecis,$D95&amp;"|"&amp;$E95)&gt;0),"","GEÇERSİZ GEÇİŞ"))</f>
        <v/>
      </c>
      <c r="R95" s="28">
        <f>IF($A95="","",IF(OR($F95="",$H95=""),"",IF(ABS($H95-$F95)&gt;zincirTolerans,"ZİNCİR KIRIK","OK")))</f>
        <v/>
      </c>
      <c r="S95" s="28">
        <f>IF($A95="","",1)</f>
        <v/>
      </c>
    </row>
    <row r="96">
      <c r="A96" s="26" t="n"/>
      <c r="B96" s="26" t="n"/>
      <c r="C96" s="29" t="n"/>
      <c r="D96" s="26" t="n"/>
      <c r="E96" s="26" t="n"/>
      <c r="F96" s="27" t="n"/>
      <c r="G96" s="27" t="n"/>
      <c r="H96" s="27" t="n"/>
      <c r="I96" s="27" t="n"/>
      <c r="J96" s="27" t="n"/>
      <c r="K96" s="27" t="n"/>
      <c r="L96" s="26" t="n"/>
      <c r="M96" s="26" t="n"/>
      <c r="N96" s="28">
        <f>IF($A96="","",IF($C96="","",raporTarihi-$C96))</f>
        <v/>
      </c>
      <c r="O96" s="28">
        <f>IF($A96="","",IF($N96="","",IF($N96&lt;=7,"0-7",IF($N96&lt;=30,"8-30",IF($N96&lt;=60,"31-60","60+")))))</f>
        <v/>
      </c>
      <c r="P96" s="28">
        <f>IF($A96="","",IF($B96="","YETİM",IF(COUNTIF(tblKartlar[KartId],$B96)=0,"YETİM","")))</f>
        <v/>
      </c>
      <c r="Q96" s="28">
        <f>IF(OR($A96="",$D96=""),"",IF(OR($D96&amp;"|"&amp;$E96="",COUNTIF(ListeIzinliGecis,$D96&amp;"|"&amp;$E96)&gt;0),"","GEÇERSİZ GEÇİŞ"))</f>
        <v/>
      </c>
      <c r="R96" s="28">
        <f>IF($A96="","",IF(OR($F96="",$H96=""),"",IF(ABS($H96-$F96)&gt;zincirTolerans,"ZİNCİR KIRIK","OK")))</f>
        <v/>
      </c>
      <c r="S96" s="28">
        <f>IF($A96="","",1)</f>
        <v/>
      </c>
    </row>
    <row r="97">
      <c r="A97" s="26" t="n"/>
      <c r="B97" s="26" t="n"/>
      <c r="C97" s="29" t="n"/>
      <c r="D97" s="26" t="n"/>
      <c r="E97" s="26" t="n"/>
      <c r="F97" s="27" t="n"/>
      <c r="G97" s="27" t="n"/>
      <c r="H97" s="27" t="n"/>
      <c r="I97" s="27" t="n"/>
      <c r="J97" s="27" t="n"/>
      <c r="K97" s="27" t="n"/>
      <c r="L97" s="26" t="n"/>
      <c r="M97" s="26" t="n"/>
      <c r="N97" s="28">
        <f>IF($A97="","",IF($C97="","",raporTarihi-$C97))</f>
        <v/>
      </c>
      <c r="O97" s="28">
        <f>IF($A97="","",IF($N97="","",IF($N97&lt;=7,"0-7",IF($N97&lt;=30,"8-30",IF($N97&lt;=60,"31-60","60+")))))</f>
        <v/>
      </c>
      <c r="P97" s="28">
        <f>IF($A97="","",IF($B97="","YETİM",IF(COUNTIF(tblKartlar[KartId],$B97)=0,"YETİM","")))</f>
        <v/>
      </c>
      <c r="Q97" s="28">
        <f>IF(OR($A97="",$D97=""),"",IF(OR($D97&amp;"|"&amp;$E97="",COUNTIF(ListeIzinliGecis,$D97&amp;"|"&amp;$E97)&gt;0),"","GEÇERSİZ GEÇİŞ"))</f>
        <v/>
      </c>
      <c r="R97" s="28">
        <f>IF($A97="","",IF(OR($F97="",$H97=""),"",IF(ABS($H97-$F97)&gt;zincirTolerans,"ZİNCİR KIRIK","OK")))</f>
        <v/>
      </c>
      <c r="S97" s="28">
        <f>IF($A97="","",1)</f>
        <v/>
      </c>
    </row>
    <row r="98">
      <c r="A98" s="26" t="n"/>
      <c r="B98" s="26" t="n"/>
      <c r="C98" s="29" t="n"/>
      <c r="D98" s="26" t="n"/>
      <c r="E98" s="26" t="n"/>
      <c r="F98" s="27" t="n"/>
      <c r="G98" s="27" t="n"/>
      <c r="H98" s="27" t="n"/>
      <c r="I98" s="27" t="n"/>
      <c r="J98" s="27" t="n"/>
      <c r="K98" s="27" t="n"/>
      <c r="L98" s="26" t="n"/>
      <c r="M98" s="26" t="n"/>
      <c r="N98" s="28">
        <f>IF($A98="","",IF($C98="","",raporTarihi-$C98))</f>
        <v/>
      </c>
      <c r="O98" s="28">
        <f>IF($A98="","",IF($N98="","",IF($N98&lt;=7,"0-7",IF($N98&lt;=30,"8-30",IF($N98&lt;=60,"31-60","60+")))))</f>
        <v/>
      </c>
      <c r="P98" s="28">
        <f>IF($A98="","",IF($B98="","YETİM",IF(COUNTIF(tblKartlar[KartId],$B98)=0,"YETİM","")))</f>
        <v/>
      </c>
      <c r="Q98" s="28">
        <f>IF(OR($A98="",$D98=""),"",IF(OR($D98&amp;"|"&amp;$E98="",COUNTIF(ListeIzinliGecis,$D98&amp;"|"&amp;$E98)&gt;0),"","GEÇERSİZ GEÇİŞ"))</f>
        <v/>
      </c>
      <c r="R98" s="28">
        <f>IF($A98="","",IF(OR($F98="",$H98=""),"",IF(ABS($H98-$F98)&gt;zincirTolerans,"ZİNCİR KIRIK","OK")))</f>
        <v/>
      </c>
      <c r="S98" s="28">
        <f>IF($A98="","",1)</f>
        <v/>
      </c>
    </row>
    <row r="99">
      <c r="A99" s="26" t="n"/>
      <c r="B99" s="26" t="n"/>
      <c r="C99" s="29" t="n"/>
      <c r="D99" s="26" t="n"/>
      <c r="E99" s="26" t="n"/>
      <c r="F99" s="27" t="n"/>
      <c r="G99" s="27" t="n"/>
      <c r="H99" s="27" t="n"/>
      <c r="I99" s="27" t="n"/>
      <c r="J99" s="27" t="n"/>
      <c r="K99" s="27" t="n"/>
      <c r="L99" s="26" t="n"/>
      <c r="M99" s="26" t="n"/>
      <c r="N99" s="28">
        <f>IF($A99="","",IF($C99="","",raporTarihi-$C99))</f>
        <v/>
      </c>
      <c r="O99" s="28">
        <f>IF($A99="","",IF($N99="","",IF($N99&lt;=7,"0-7",IF($N99&lt;=30,"8-30",IF($N99&lt;=60,"31-60","60+")))))</f>
        <v/>
      </c>
      <c r="P99" s="28">
        <f>IF($A99="","",IF($B99="","YETİM",IF(COUNTIF(tblKartlar[KartId],$B99)=0,"YETİM","")))</f>
        <v/>
      </c>
      <c r="Q99" s="28">
        <f>IF(OR($A99="",$D99=""),"",IF(OR($D99&amp;"|"&amp;$E99="",COUNTIF(ListeIzinliGecis,$D99&amp;"|"&amp;$E99)&gt;0),"","GEÇERSİZ GEÇİŞ"))</f>
        <v/>
      </c>
      <c r="R99" s="28">
        <f>IF($A99="","",IF(OR($F99="",$H99=""),"",IF(ABS($H99-$F99)&gt;zincirTolerans,"ZİNCİR KIRIK","OK")))</f>
        <v/>
      </c>
      <c r="S99" s="28">
        <f>IF($A99="","",1)</f>
        <v/>
      </c>
    </row>
    <row r="100">
      <c r="A100" s="26" t="n"/>
      <c r="B100" s="26" t="n"/>
      <c r="C100" s="29" t="n"/>
      <c r="D100" s="26" t="n"/>
      <c r="E100" s="26" t="n"/>
      <c r="F100" s="27" t="n"/>
      <c r="G100" s="27" t="n"/>
      <c r="H100" s="27" t="n"/>
      <c r="I100" s="27" t="n"/>
      <c r="J100" s="27" t="n"/>
      <c r="K100" s="27" t="n"/>
      <c r="L100" s="26" t="n"/>
      <c r="M100" s="26" t="n"/>
      <c r="N100" s="28">
        <f>IF($A100="","",IF($C100="","",raporTarihi-$C100))</f>
        <v/>
      </c>
      <c r="O100" s="28">
        <f>IF($A100="","",IF($N100="","",IF($N100&lt;=7,"0-7",IF($N100&lt;=30,"8-30",IF($N100&lt;=60,"31-60","60+")))))</f>
        <v/>
      </c>
      <c r="P100" s="28">
        <f>IF($A100="","",IF($B100="","YETİM",IF(COUNTIF(tblKartlar[KartId],$B100)=0,"YETİM","")))</f>
        <v/>
      </c>
      <c r="Q100" s="28">
        <f>IF(OR($A100="",$D100=""),"",IF(OR($D100&amp;"|"&amp;$E100="",COUNTIF(ListeIzinliGecis,$D100&amp;"|"&amp;$E100)&gt;0),"","GEÇERSİZ GEÇİŞ"))</f>
        <v/>
      </c>
      <c r="R100" s="28">
        <f>IF($A100="","",IF(OR($F100="",$H100=""),"",IF(ABS($H100-$F100)&gt;zincirTolerans,"ZİNCİR KIRIK","OK")))</f>
        <v/>
      </c>
      <c r="S100" s="28">
        <f>IF($A100="","",1)</f>
        <v/>
      </c>
    </row>
    <row r="101">
      <c r="A101" s="26" t="n"/>
      <c r="B101" s="26" t="n"/>
      <c r="C101" s="29" t="n"/>
      <c r="D101" s="26" t="n"/>
      <c r="E101" s="26" t="n"/>
      <c r="F101" s="27" t="n"/>
      <c r="G101" s="27" t="n"/>
      <c r="H101" s="27" t="n"/>
      <c r="I101" s="27" t="n"/>
      <c r="J101" s="27" t="n"/>
      <c r="K101" s="27" t="n"/>
      <c r="L101" s="26" t="n"/>
      <c r="M101" s="26" t="n"/>
      <c r="N101" s="28">
        <f>IF($A101="","",IF($C101="","",raporTarihi-$C101))</f>
        <v/>
      </c>
      <c r="O101" s="28">
        <f>IF($A101="","",IF($N101="","",IF($N101&lt;=7,"0-7",IF($N101&lt;=30,"8-30",IF($N101&lt;=60,"31-60","60+")))))</f>
        <v/>
      </c>
      <c r="P101" s="28">
        <f>IF($A101="","",IF($B101="","YETİM",IF(COUNTIF(tblKartlar[KartId],$B101)=0,"YETİM","")))</f>
        <v/>
      </c>
      <c r="Q101" s="28">
        <f>IF(OR($A101="",$D101=""),"",IF(OR($D101&amp;"|"&amp;$E101="",COUNTIF(ListeIzinliGecis,$D101&amp;"|"&amp;$E101)&gt;0),"","GEÇERSİZ GEÇİŞ"))</f>
        <v/>
      </c>
      <c r="R101" s="28">
        <f>IF($A101="","",IF(OR($F101="",$H101=""),"",IF(ABS($H101-$F101)&gt;zincirTolerans,"ZİNCİR KIRIK","OK")))</f>
        <v/>
      </c>
      <c r="S101" s="28">
        <f>IF($A101="","",1)</f>
        <v/>
      </c>
    </row>
    <row r="102">
      <c r="A102" s="26" t="n"/>
      <c r="B102" s="26" t="n"/>
      <c r="C102" s="29" t="n"/>
      <c r="D102" s="26" t="n"/>
      <c r="E102" s="26" t="n"/>
      <c r="F102" s="27" t="n"/>
      <c r="G102" s="27" t="n"/>
      <c r="H102" s="27" t="n"/>
      <c r="I102" s="27" t="n"/>
      <c r="J102" s="27" t="n"/>
      <c r="K102" s="27" t="n"/>
      <c r="L102" s="26" t="n"/>
      <c r="M102" s="26" t="n"/>
      <c r="N102" s="28">
        <f>IF($A102="","",IF($C102="","",raporTarihi-$C102))</f>
        <v/>
      </c>
      <c r="O102" s="28">
        <f>IF($A102="","",IF($N102="","",IF($N102&lt;=7,"0-7",IF($N102&lt;=30,"8-30",IF($N102&lt;=60,"31-60","60+")))))</f>
        <v/>
      </c>
      <c r="P102" s="28">
        <f>IF($A102="","",IF($B102="","YETİM",IF(COUNTIF(tblKartlar[KartId],$B102)=0,"YETİM","")))</f>
        <v/>
      </c>
      <c r="Q102" s="28">
        <f>IF(OR($A102="",$D102=""),"",IF(OR($D102&amp;"|"&amp;$E102="",COUNTIF(ListeIzinliGecis,$D102&amp;"|"&amp;$E102)&gt;0),"","GEÇERSİZ GEÇİŞ"))</f>
        <v/>
      </c>
      <c r="R102" s="28">
        <f>IF($A102="","",IF(OR($F102="",$H102=""),"",IF(ABS($H102-$F102)&gt;zincirTolerans,"ZİNCİR KIRIK","OK")))</f>
        <v/>
      </c>
      <c r="S102" s="28">
        <f>IF($A102="","",1)</f>
        <v/>
      </c>
    </row>
    <row r="103">
      <c r="A103" s="26" t="n"/>
      <c r="B103" s="26" t="n"/>
      <c r="C103" s="29" t="n"/>
      <c r="D103" s="26" t="n"/>
      <c r="E103" s="26" t="n"/>
      <c r="F103" s="27" t="n"/>
      <c r="G103" s="27" t="n"/>
      <c r="H103" s="27" t="n"/>
      <c r="I103" s="27" t="n"/>
      <c r="J103" s="27" t="n"/>
      <c r="K103" s="27" t="n"/>
      <c r="L103" s="26" t="n"/>
      <c r="M103" s="26" t="n"/>
      <c r="N103" s="28">
        <f>IF($A103="","",IF($C103="","",raporTarihi-$C103))</f>
        <v/>
      </c>
      <c r="O103" s="28">
        <f>IF($A103="","",IF($N103="","",IF($N103&lt;=7,"0-7",IF($N103&lt;=30,"8-30",IF($N103&lt;=60,"31-60","60+")))))</f>
        <v/>
      </c>
      <c r="P103" s="28">
        <f>IF($A103="","",IF($B103="","YETİM",IF(COUNTIF(tblKartlar[KartId],$B103)=0,"YETİM","")))</f>
        <v/>
      </c>
      <c r="Q103" s="28">
        <f>IF(OR($A103="",$D103=""),"",IF(OR($D103&amp;"|"&amp;$E103="",COUNTIF(ListeIzinliGecis,$D103&amp;"|"&amp;$E103)&gt;0),"","GEÇERSİZ GEÇİŞ"))</f>
        <v/>
      </c>
      <c r="R103" s="28">
        <f>IF($A103="","",IF(OR($F103="",$H103=""),"",IF(ABS($H103-$F103)&gt;zincirTolerans,"ZİNCİR KIRIK","OK")))</f>
        <v/>
      </c>
      <c r="S103" s="28">
        <f>IF($A103="","",1)</f>
        <v/>
      </c>
    </row>
    <row r="104">
      <c r="A104" s="26" t="n"/>
      <c r="B104" s="26" t="n"/>
      <c r="C104" s="29" t="n"/>
      <c r="D104" s="26" t="n"/>
      <c r="E104" s="26" t="n"/>
      <c r="F104" s="27" t="n"/>
      <c r="G104" s="27" t="n"/>
      <c r="H104" s="27" t="n"/>
      <c r="I104" s="27" t="n"/>
      <c r="J104" s="27" t="n"/>
      <c r="K104" s="27" t="n"/>
      <c r="L104" s="26" t="n"/>
      <c r="M104" s="26" t="n"/>
      <c r="N104" s="28">
        <f>IF($A104="","",IF($C104="","",raporTarihi-$C104))</f>
        <v/>
      </c>
      <c r="O104" s="28">
        <f>IF($A104="","",IF($N104="","",IF($N104&lt;=7,"0-7",IF($N104&lt;=30,"8-30",IF($N104&lt;=60,"31-60","60+")))))</f>
        <v/>
      </c>
      <c r="P104" s="28">
        <f>IF($A104="","",IF($B104="","YETİM",IF(COUNTIF(tblKartlar[KartId],$B104)=0,"YETİM","")))</f>
        <v/>
      </c>
      <c r="Q104" s="28">
        <f>IF(OR($A104="",$D104=""),"",IF(OR($D104&amp;"|"&amp;$E104="",COUNTIF(ListeIzinliGecis,$D104&amp;"|"&amp;$E104)&gt;0),"","GEÇERSİZ GEÇİŞ"))</f>
        <v/>
      </c>
      <c r="R104" s="28">
        <f>IF($A104="","",IF(OR($F104="",$H104=""),"",IF(ABS($H104-$F104)&gt;zincirTolerans,"ZİNCİR KIRIK","OK")))</f>
        <v/>
      </c>
      <c r="S104" s="28">
        <f>IF($A104="","",1)</f>
        <v/>
      </c>
    </row>
    <row r="105">
      <c r="A105" s="26" t="n"/>
      <c r="B105" s="26" t="n"/>
      <c r="C105" s="29" t="n"/>
      <c r="D105" s="26" t="n"/>
      <c r="E105" s="26" t="n"/>
      <c r="F105" s="27" t="n"/>
      <c r="G105" s="27" t="n"/>
      <c r="H105" s="27" t="n"/>
      <c r="I105" s="27" t="n"/>
      <c r="J105" s="27" t="n"/>
      <c r="K105" s="27" t="n"/>
      <c r="L105" s="26" t="n"/>
      <c r="M105" s="26" t="n"/>
      <c r="N105" s="28">
        <f>IF($A105="","",IF($C105="","",raporTarihi-$C105))</f>
        <v/>
      </c>
      <c r="O105" s="28">
        <f>IF($A105="","",IF($N105="","",IF($N105&lt;=7,"0-7",IF($N105&lt;=30,"8-30",IF($N105&lt;=60,"31-60","60+")))))</f>
        <v/>
      </c>
      <c r="P105" s="28">
        <f>IF($A105="","",IF($B105="","YETİM",IF(COUNTIF(tblKartlar[KartId],$B105)=0,"YETİM","")))</f>
        <v/>
      </c>
      <c r="Q105" s="28">
        <f>IF(OR($A105="",$D105=""),"",IF(OR($D105&amp;"|"&amp;$E105="",COUNTIF(ListeIzinliGecis,$D105&amp;"|"&amp;$E105)&gt;0),"","GEÇERSİZ GEÇİŞ"))</f>
        <v/>
      </c>
      <c r="R105" s="28">
        <f>IF($A105="","",IF(OR($F105="",$H105=""),"",IF(ABS($H105-$F105)&gt;zincirTolerans,"ZİNCİR KIRIK","OK")))</f>
        <v/>
      </c>
      <c r="S105" s="28">
        <f>IF($A105="","",1)</f>
        <v/>
      </c>
    </row>
    <row r="106">
      <c r="A106" s="26" t="n"/>
      <c r="B106" s="26" t="n"/>
      <c r="C106" s="29" t="n"/>
      <c r="D106" s="26" t="n"/>
      <c r="E106" s="26" t="n"/>
      <c r="F106" s="27" t="n"/>
      <c r="G106" s="27" t="n"/>
      <c r="H106" s="27" t="n"/>
      <c r="I106" s="27" t="n"/>
      <c r="J106" s="27" t="n"/>
      <c r="K106" s="27" t="n"/>
      <c r="L106" s="26" t="n"/>
      <c r="M106" s="26" t="n"/>
      <c r="N106" s="28">
        <f>IF($A106="","",IF($C106="","",raporTarihi-$C106))</f>
        <v/>
      </c>
      <c r="O106" s="28">
        <f>IF($A106="","",IF($N106="","",IF($N106&lt;=7,"0-7",IF($N106&lt;=30,"8-30",IF($N106&lt;=60,"31-60","60+")))))</f>
        <v/>
      </c>
      <c r="P106" s="28">
        <f>IF($A106="","",IF($B106="","YETİM",IF(COUNTIF(tblKartlar[KartId],$B106)=0,"YETİM","")))</f>
        <v/>
      </c>
      <c r="Q106" s="28">
        <f>IF(OR($A106="",$D106=""),"",IF(OR($D106&amp;"|"&amp;$E106="",COUNTIF(ListeIzinliGecis,$D106&amp;"|"&amp;$E106)&gt;0),"","GEÇERSİZ GEÇİŞ"))</f>
        <v/>
      </c>
      <c r="R106" s="28">
        <f>IF($A106="","",IF(OR($F106="",$H106=""),"",IF(ABS($H106-$F106)&gt;zincirTolerans,"ZİNCİR KIRIK","OK")))</f>
        <v/>
      </c>
      <c r="S106" s="28">
        <f>IF($A106="","",1)</f>
        <v/>
      </c>
    </row>
    <row r="107">
      <c r="A107" s="26" t="n"/>
      <c r="B107" s="26" t="n"/>
      <c r="C107" s="29" t="n"/>
      <c r="D107" s="26" t="n"/>
      <c r="E107" s="26" t="n"/>
      <c r="F107" s="27" t="n"/>
      <c r="G107" s="27" t="n"/>
      <c r="H107" s="27" t="n"/>
      <c r="I107" s="27" t="n"/>
      <c r="J107" s="27" t="n"/>
      <c r="K107" s="27" t="n"/>
      <c r="L107" s="26" t="n"/>
      <c r="M107" s="26" t="n"/>
      <c r="N107" s="28">
        <f>IF($A107="","",IF($C107="","",raporTarihi-$C107))</f>
        <v/>
      </c>
      <c r="O107" s="28">
        <f>IF($A107="","",IF($N107="","",IF($N107&lt;=7,"0-7",IF($N107&lt;=30,"8-30",IF($N107&lt;=60,"31-60","60+")))))</f>
        <v/>
      </c>
      <c r="P107" s="28">
        <f>IF($A107="","",IF($B107="","YETİM",IF(COUNTIF(tblKartlar[KartId],$B107)=0,"YETİM","")))</f>
        <v/>
      </c>
      <c r="Q107" s="28">
        <f>IF(OR($A107="",$D107=""),"",IF(OR($D107&amp;"|"&amp;$E107="",COUNTIF(ListeIzinliGecis,$D107&amp;"|"&amp;$E107)&gt;0),"","GEÇERSİZ GEÇİŞ"))</f>
        <v/>
      </c>
      <c r="R107" s="28">
        <f>IF($A107="","",IF(OR($F107="",$H107=""),"",IF(ABS($H107-$F107)&gt;zincirTolerans,"ZİNCİR KIRIK","OK")))</f>
        <v/>
      </c>
      <c r="S107" s="28">
        <f>IF($A107="","",1)</f>
        <v/>
      </c>
    </row>
    <row r="108">
      <c r="A108" s="26" t="n"/>
      <c r="B108" s="26" t="n"/>
      <c r="C108" s="29" t="n"/>
      <c r="D108" s="26" t="n"/>
      <c r="E108" s="26" t="n"/>
      <c r="F108" s="27" t="n"/>
      <c r="G108" s="27" t="n"/>
      <c r="H108" s="27" t="n"/>
      <c r="I108" s="27" t="n"/>
      <c r="J108" s="27" t="n"/>
      <c r="K108" s="27" t="n"/>
      <c r="L108" s="26" t="n"/>
      <c r="M108" s="26" t="n"/>
      <c r="N108" s="28">
        <f>IF($A108="","",IF($C108="","",raporTarihi-$C108))</f>
        <v/>
      </c>
      <c r="O108" s="28">
        <f>IF($A108="","",IF($N108="","",IF($N108&lt;=7,"0-7",IF($N108&lt;=30,"8-30",IF($N108&lt;=60,"31-60","60+")))))</f>
        <v/>
      </c>
      <c r="P108" s="28">
        <f>IF($A108="","",IF($B108="","YETİM",IF(COUNTIF(tblKartlar[KartId],$B108)=0,"YETİM","")))</f>
        <v/>
      </c>
      <c r="Q108" s="28">
        <f>IF(OR($A108="",$D108=""),"",IF(OR($D108&amp;"|"&amp;$E108="",COUNTIF(ListeIzinliGecis,$D108&amp;"|"&amp;$E108)&gt;0),"","GEÇERSİZ GEÇİŞ"))</f>
        <v/>
      </c>
      <c r="R108" s="28">
        <f>IF($A108="","",IF(OR($F108="",$H108=""),"",IF(ABS($H108-$F108)&gt;zincirTolerans,"ZİNCİR KIRIK","OK")))</f>
        <v/>
      </c>
      <c r="S108" s="28">
        <f>IF($A108="","",1)</f>
        <v/>
      </c>
    </row>
    <row r="109">
      <c r="A109" s="26" t="n"/>
      <c r="B109" s="26" t="n"/>
      <c r="C109" s="29" t="n"/>
      <c r="D109" s="26" t="n"/>
      <c r="E109" s="26" t="n"/>
      <c r="F109" s="27" t="n"/>
      <c r="G109" s="27" t="n"/>
      <c r="H109" s="27" t="n"/>
      <c r="I109" s="27" t="n"/>
      <c r="J109" s="27" t="n"/>
      <c r="K109" s="27" t="n"/>
      <c r="L109" s="26" t="n"/>
      <c r="M109" s="26" t="n"/>
      <c r="N109" s="28">
        <f>IF($A109="","",IF($C109="","",raporTarihi-$C109))</f>
        <v/>
      </c>
      <c r="O109" s="28">
        <f>IF($A109="","",IF($N109="","",IF($N109&lt;=7,"0-7",IF($N109&lt;=30,"8-30",IF($N109&lt;=60,"31-60","60+")))))</f>
        <v/>
      </c>
      <c r="P109" s="28">
        <f>IF($A109="","",IF($B109="","YETİM",IF(COUNTIF(tblKartlar[KartId],$B109)=0,"YETİM","")))</f>
        <v/>
      </c>
      <c r="Q109" s="28">
        <f>IF(OR($A109="",$D109=""),"",IF(OR($D109&amp;"|"&amp;$E109="",COUNTIF(ListeIzinliGecis,$D109&amp;"|"&amp;$E109)&gt;0),"","GEÇERSİZ GEÇİŞ"))</f>
        <v/>
      </c>
      <c r="R109" s="28">
        <f>IF($A109="","",IF(OR($F109="",$H109=""),"",IF(ABS($H109-$F109)&gt;zincirTolerans,"ZİNCİR KIRIK","OK")))</f>
        <v/>
      </c>
      <c r="S109" s="28">
        <f>IF($A109="","",1)</f>
        <v/>
      </c>
    </row>
    <row r="110">
      <c r="A110" s="26" t="n"/>
      <c r="B110" s="26" t="n"/>
      <c r="C110" s="29" t="n"/>
      <c r="D110" s="26" t="n"/>
      <c r="E110" s="26" t="n"/>
      <c r="F110" s="27" t="n"/>
      <c r="G110" s="27" t="n"/>
      <c r="H110" s="27" t="n"/>
      <c r="I110" s="27" t="n"/>
      <c r="J110" s="27" t="n"/>
      <c r="K110" s="27" t="n"/>
      <c r="L110" s="26" t="n"/>
      <c r="M110" s="26" t="n"/>
      <c r="N110" s="28">
        <f>IF($A110="","",IF($C110="","",raporTarihi-$C110))</f>
        <v/>
      </c>
      <c r="O110" s="28">
        <f>IF($A110="","",IF($N110="","",IF($N110&lt;=7,"0-7",IF($N110&lt;=30,"8-30",IF($N110&lt;=60,"31-60","60+")))))</f>
        <v/>
      </c>
      <c r="P110" s="28">
        <f>IF($A110="","",IF($B110="","YETİM",IF(COUNTIF(tblKartlar[KartId],$B110)=0,"YETİM","")))</f>
        <v/>
      </c>
      <c r="Q110" s="28">
        <f>IF(OR($A110="",$D110=""),"",IF(OR($D110&amp;"|"&amp;$E110="",COUNTIF(ListeIzinliGecis,$D110&amp;"|"&amp;$E110)&gt;0),"","GEÇERSİZ GEÇİŞ"))</f>
        <v/>
      </c>
      <c r="R110" s="28">
        <f>IF($A110="","",IF(OR($F110="",$H110=""),"",IF(ABS($H110-$F110)&gt;zincirTolerans,"ZİNCİR KIRIK","OK")))</f>
        <v/>
      </c>
      <c r="S110" s="28">
        <f>IF($A110="","",1)</f>
        <v/>
      </c>
    </row>
    <row r="111">
      <c r="A111" s="26" t="n"/>
      <c r="B111" s="26" t="n"/>
      <c r="C111" s="29" t="n"/>
      <c r="D111" s="26" t="n"/>
      <c r="E111" s="26" t="n"/>
      <c r="F111" s="27" t="n"/>
      <c r="G111" s="27" t="n"/>
      <c r="H111" s="27" t="n"/>
      <c r="I111" s="27" t="n"/>
      <c r="J111" s="27" t="n"/>
      <c r="K111" s="27" t="n"/>
      <c r="L111" s="26" t="n"/>
      <c r="M111" s="26" t="n"/>
      <c r="N111" s="28">
        <f>IF($A111="","",IF($C111="","",raporTarihi-$C111))</f>
        <v/>
      </c>
      <c r="O111" s="28">
        <f>IF($A111="","",IF($N111="","",IF($N111&lt;=7,"0-7",IF($N111&lt;=30,"8-30",IF($N111&lt;=60,"31-60","60+")))))</f>
        <v/>
      </c>
      <c r="P111" s="28">
        <f>IF($A111="","",IF($B111="","YETİM",IF(COUNTIF(tblKartlar[KartId],$B111)=0,"YETİM","")))</f>
        <v/>
      </c>
      <c r="Q111" s="28">
        <f>IF(OR($A111="",$D111=""),"",IF(OR($D111&amp;"|"&amp;$E111="",COUNTIF(ListeIzinliGecis,$D111&amp;"|"&amp;$E111)&gt;0),"","GEÇERSİZ GEÇİŞ"))</f>
        <v/>
      </c>
      <c r="R111" s="28">
        <f>IF($A111="","",IF(OR($F111="",$H111=""),"",IF(ABS($H111-$F111)&gt;zincirTolerans,"ZİNCİR KIRIK","OK")))</f>
        <v/>
      </c>
      <c r="S111" s="28">
        <f>IF($A111="","",1)</f>
        <v/>
      </c>
    </row>
    <row r="112">
      <c r="A112" s="26" t="n"/>
      <c r="B112" s="26" t="n"/>
      <c r="C112" s="29" t="n"/>
      <c r="D112" s="26" t="n"/>
      <c r="E112" s="26" t="n"/>
      <c r="F112" s="27" t="n"/>
      <c r="G112" s="27" t="n"/>
      <c r="H112" s="27" t="n"/>
      <c r="I112" s="27" t="n"/>
      <c r="J112" s="27" t="n"/>
      <c r="K112" s="27" t="n"/>
      <c r="L112" s="26" t="n"/>
      <c r="M112" s="26" t="n"/>
      <c r="N112" s="28">
        <f>IF($A112="","",IF($C112="","",raporTarihi-$C112))</f>
        <v/>
      </c>
      <c r="O112" s="28">
        <f>IF($A112="","",IF($N112="","",IF($N112&lt;=7,"0-7",IF($N112&lt;=30,"8-30",IF($N112&lt;=60,"31-60","60+")))))</f>
        <v/>
      </c>
      <c r="P112" s="28">
        <f>IF($A112="","",IF($B112="","YETİM",IF(COUNTIF(tblKartlar[KartId],$B112)=0,"YETİM","")))</f>
        <v/>
      </c>
      <c r="Q112" s="28">
        <f>IF(OR($A112="",$D112=""),"",IF(OR($D112&amp;"|"&amp;$E112="",COUNTIF(ListeIzinliGecis,$D112&amp;"|"&amp;$E112)&gt;0),"","GEÇERSİZ GEÇİŞ"))</f>
        <v/>
      </c>
      <c r="R112" s="28">
        <f>IF($A112="","",IF(OR($F112="",$H112=""),"",IF(ABS($H112-$F112)&gt;zincirTolerans,"ZİNCİR KIRIK","OK")))</f>
        <v/>
      </c>
      <c r="S112" s="28">
        <f>IF($A112="","",1)</f>
        <v/>
      </c>
    </row>
    <row r="113">
      <c r="A113" s="26" t="n"/>
      <c r="B113" s="26" t="n"/>
      <c r="C113" s="29" t="n"/>
      <c r="D113" s="26" t="n"/>
      <c r="E113" s="26" t="n"/>
      <c r="F113" s="27" t="n"/>
      <c r="G113" s="27" t="n"/>
      <c r="H113" s="27" t="n"/>
      <c r="I113" s="27" t="n"/>
      <c r="J113" s="27" t="n"/>
      <c r="K113" s="27" t="n"/>
      <c r="L113" s="26" t="n"/>
      <c r="M113" s="26" t="n"/>
      <c r="N113" s="28">
        <f>IF($A113="","",IF($C113="","",raporTarihi-$C113))</f>
        <v/>
      </c>
      <c r="O113" s="28">
        <f>IF($A113="","",IF($N113="","",IF($N113&lt;=7,"0-7",IF($N113&lt;=30,"8-30",IF($N113&lt;=60,"31-60","60+")))))</f>
        <v/>
      </c>
      <c r="P113" s="28">
        <f>IF($A113="","",IF($B113="","YETİM",IF(COUNTIF(tblKartlar[KartId],$B113)=0,"YETİM","")))</f>
        <v/>
      </c>
      <c r="Q113" s="28">
        <f>IF(OR($A113="",$D113=""),"",IF(OR($D113&amp;"|"&amp;$E113="",COUNTIF(ListeIzinliGecis,$D113&amp;"|"&amp;$E113)&gt;0),"","GEÇERSİZ GEÇİŞ"))</f>
        <v/>
      </c>
      <c r="R113" s="28">
        <f>IF($A113="","",IF(OR($F113="",$H113=""),"",IF(ABS($H113-$F113)&gt;zincirTolerans,"ZİNCİR KIRIK","OK")))</f>
        <v/>
      </c>
      <c r="S113" s="28">
        <f>IF($A113="","",1)</f>
        <v/>
      </c>
    </row>
    <row r="114">
      <c r="A114" s="26" t="n"/>
      <c r="B114" s="26" t="n"/>
      <c r="C114" s="29" t="n"/>
      <c r="D114" s="26" t="n"/>
      <c r="E114" s="26" t="n"/>
      <c r="F114" s="27" t="n"/>
      <c r="G114" s="27" t="n"/>
      <c r="H114" s="27" t="n"/>
      <c r="I114" s="27" t="n"/>
      <c r="J114" s="27" t="n"/>
      <c r="K114" s="27" t="n"/>
      <c r="L114" s="26" t="n"/>
      <c r="M114" s="26" t="n"/>
      <c r="N114" s="28">
        <f>IF($A114="","",IF($C114="","",raporTarihi-$C114))</f>
        <v/>
      </c>
      <c r="O114" s="28">
        <f>IF($A114="","",IF($N114="","",IF($N114&lt;=7,"0-7",IF($N114&lt;=30,"8-30",IF($N114&lt;=60,"31-60","60+")))))</f>
        <v/>
      </c>
      <c r="P114" s="28">
        <f>IF($A114="","",IF($B114="","YETİM",IF(COUNTIF(tblKartlar[KartId],$B114)=0,"YETİM","")))</f>
        <v/>
      </c>
      <c r="Q114" s="28">
        <f>IF(OR($A114="",$D114=""),"",IF(OR($D114&amp;"|"&amp;$E114="",COUNTIF(ListeIzinliGecis,$D114&amp;"|"&amp;$E114)&gt;0),"","GEÇERSİZ GEÇİŞ"))</f>
        <v/>
      </c>
      <c r="R114" s="28">
        <f>IF($A114="","",IF(OR($F114="",$H114=""),"",IF(ABS($H114-$F114)&gt;zincirTolerans,"ZİNCİR KIRIK","OK")))</f>
        <v/>
      </c>
      <c r="S114" s="28">
        <f>IF($A114="","",1)</f>
        <v/>
      </c>
    </row>
    <row r="115">
      <c r="A115" s="26" t="n"/>
      <c r="B115" s="26" t="n"/>
      <c r="C115" s="29" t="n"/>
      <c r="D115" s="26" t="n"/>
      <c r="E115" s="26" t="n"/>
      <c r="F115" s="27" t="n"/>
      <c r="G115" s="27" t="n"/>
      <c r="H115" s="27" t="n"/>
      <c r="I115" s="27" t="n"/>
      <c r="J115" s="27" t="n"/>
      <c r="K115" s="27" t="n"/>
      <c r="L115" s="26" t="n"/>
      <c r="M115" s="26" t="n"/>
      <c r="N115" s="28">
        <f>IF($A115="","",IF($C115="","",raporTarihi-$C115))</f>
        <v/>
      </c>
      <c r="O115" s="28">
        <f>IF($A115="","",IF($N115="","",IF($N115&lt;=7,"0-7",IF($N115&lt;=30,"8-30",IF($N115&lt;=60,"31-60","60+")))))</f>
        <v/>
      </c>
      <c r="P115" s="28">
        <f>IF($A115="","",IF($B115="","YETİM",IF(COUNTIF(tblKartlar[KartId],$B115)=0,"YETİM","")))</f>
        <v/>
      </c>
      <c r="Q115" s="28">
        <f>IF(OR($A115="",$D115=""),"",IF(OR($D115&amp;"|"&amp;$E115="",COUNTIF(ListeIzinliGecis,$D115&amp;"|"&amp;$E115)&gt;0),"","GEÇERSİZ GEÇİŞ"))</f>
        <v/>
      </c>
      <c r="R115" s="28">
        <f>IF($A115="","",IF(OR($F115="",$H115=""),"",IF(ABS($H115-$F115)&gt;zincirTolerans,"ZİNCİR KIRIK","OK")))</f>
        <v/>
      </c>
      <c r="S115" s="28">
        <f>IF($A115="","",1)</f>
        <v/>
      </c>
    </row>
    <row r="116">
      <c r="A116" s="26" t="n"/>
      <c r="B116" s="26" t="n"/>
      <c r="C116" s="29" t="n"/>
      <c r="D116" s="26" t="n"/>
      <c r="E116" s="26" t="n"/>
      <c r="F116" s="27" t="n"/>
      <c r="G116" s="27" t="n"/>
      <c r="H116" s="27" t="n"/>
      <c r="I116" s="27" t="n"/>
      <c r="J116" s="27" t="n"/>
      <c r="K116" s="27" t="n"/>
      <c r="L116" s="26" t="n"/>
      <c r="M116" s="26" t="n"/>
      <c r="N116" s="28">
        <f>IF($A116="","",IF($C116="","",raporTarihi-$C116))</f>
        <v/>
      </c>
      <c r="O116" s="28">
        <f>IF($A116="","",IF($N116="","",IF($N116&lt;=7,"0-7",IF($N116&lt;=30,"8-30",IF($N116&lt;=60,"31-60","60+")))))</f>
        <v/>
      </c>
      <c r="P116" s="28">
        <f>IF($A116="","",IF($B116="","YETİM",IF(COUNTIF(tblKartlar[KartId],$B116)=0,"YETİM","")))</f>
        <v/>
      </c>
      <c r="Q116" s="28">
        <f>IF(OR($A116="",$D116=""),"",IF(OR($D116&amp;"|"&amp;$E116="",COUNTIF(ListeIzinliGecis,$D116&amp;"|"&amp;$E116)&gt;0),"","GEÇERSİZ GEÇİŞ"))</f>
        <v/>
      </c>
      <c r="R116" s="28">
        <f>IF($A116="","",IF(OR($F116="",$H116=""),"",IF(ABS($H116-$F116)&gt;zincirTolerans,"ZİNCİR KIRIK","OK")))</f>
        <v/>
      </c>
      <c r="S116" s="28">
        <f>IF($A116="","",1)</f>
        <v/>
      </c>
    </row>
    <row r="117">
      <c r="A117" s="26" t="n"/>
      <c r="B117" s="26" t="n"/>
      <c r="C117" s="29" t="n"/>
      <c r="D117" s="26" t="n"/>
      <c r="E117" s="26" t="n"/>
      <c r="F117" s="27" t="n"/>
      <c r="G117" s="27" t="n"/>
      <c r="H117" s="27" t="n"/>
      <c r="I117" s="27" t="n"/>
      <c r="J117" s="27" t="n"/>
      <c r="K117" s="27" t="n"/>
      <c r="L117" s="26" t="n"/>
      <c r="M117" s="26" t="n"/>
      <c r="N117" s="28">
        <f>IF($A117="","",IF($C117="","",raporTarihi-$C117))</f>
        <v/>
      </c>
      <c r="O117" s="28">
        <f>IF($A117="","",IF($N117="","",IF($N117&lt;=7,"0-7",IF($N117&lt;=30,"8-30",IF($N117&lt;=60,"31-60","60+")))))</f>
        <v/>
      </c>
      <c r="P117" s="28">
        <f>IF($A117="","",IF($B117="","YETİM",IF(COUNTIF(tblKartlar[KartId],$B117)=0,"YETİM","")))</f>
        <v/>
      </c>
      <c r="Q117" s="28">
        <f>IF(OR($A117="",$D117=""),"",IF(OR($D117&amp;"|"&amp;$E117="",COUNTIF(ListeIzinliGecis,$D117&amp;"|"&amp;$E117)&gt;0),"","GEÇERSİZ GEÇİŞ"))</f>
        <v/>
      </c>
      <c r="R117" s="28">
        <f>IF($A117="","",IF(OR($F117="",$H117=""),"",IF(ABS($H117-$F117)&gt;zincirTolerans,"ZİNCİR KIRIK","OK")))</f>
        <v/>
      </c>
      <c r="S117" s="28">
        <f>IF($A117="","",1)</f>
        <v/>
      </c>
    </row>
    <row r="118">
      <c r="A118" s="26" t="n"/>
      <c r="B118" s="26" t="n"/>
      <c r="C118" s="29" t="n"/>
      <c r="D118" s="26" t="n"/>
      <c r="E118" s="26" t="n"/>
      <c r="F118" s="27" t="n"/>
      <c r="G118" s="27" t="n"/>
      <c r="H118" s="27" t="n"/>
      <c r="I118" s="27" t="n"/>
      <c r="J118" s="27" t="n"/>
      <c r="K118" s="27" t="n"/>
      <c r="L118" s="26" t="n"/>
      <c r="M118" s="26" t="n"/>
      <c r="N118" s="28">
        <f>IF($A118="","",IF($C118="","",raporTarihi-$C118))</f>
        <v/>
      </c>
      <c r="O118" s="28">
        <f>IF($A118="","",IF($N118="","",IF($N118&lt;=7,"0-7",IF($N118&lt;=30,"8-30",IF($N118&lt;=60,"31-60","60+")))))</f>
        <v/>
      </c>
      <c r="P118" s="28">
        <f>IF($A118="","",IF($B118="","YETİM",IF(COUNTIF(tblKartlar[KartId],$B118)=0,"YETİM","")))</f>
        <v/>
      </c>
      <c r="Q118" s="28">
        <f>IF(OR($A118="",$D118=""),"",IF(OR($D118&amp;"|"&amp;$E118="",COUNTIF(ListeIzinliGecis,$D118&amp;"|"&amp;$E118)&gt;0),"","GEÇERSİZ GEÇİŞ"))</f>
        <v/>
      </c>
      <c r="R118" s="28">
        <f>IF($A118="","",IF(OR($F118="",$H118=""),"",IF(ABS($H118-$F118)&gt;zincirTolerans,"ZİNCİR KIRIK","OK")))</f>
        <v/>
      </c>
      <c r="S118" s="28">
        <f>IF($A118="","",1)</f>
        <v/>
      </c>
    </row>
    <row r="119">
      <c r="A119" s="26" t="n"/>
      <c r="B119" s="26" t="n"/>
      <c r="C119" s="29" t="n"/>
      <c r="D119" s="26" t="n"/>
      <c r="E119" s="26" t="n"/>
      <c r="F119" s="27" t="n"/>
      <c r="G119" s="27" t="n"/>
      <c r="H119" s="27" t="n"/>
      <c r="I119" s="27" t="n"/>
      <c r="J119" s="27" t="n"/>
      <c r="K119" s="27" t="n"/>
      <c r="L119" s="26" t="n"/>
      <c r="M119" s="26" t="n"/>
      <c r="N119" s="28">
        <f>IF($A119="","",IF($C119="","",raporTarihi-$C119))</f>
        <v/>
      </c>
      <c r="O119" s="28">
        <f>IF($A119="","",IF($N119="","",IF($N119&lt;=7,"0-7",IF($N119&lt;=30,"8-30",IF($N119&lt;=60,"31-60","60+")))))</f>
        <v/>
      </c>
      <c r="P119" s="28">
        <f>IF($A119="","",IF($B119="","YETİM",IF(COUNTIF(tblKartlar[KartId],$B119)=0,"YETİM","")))</f>
        <v/>
      </c>
      <c r="Q119" s="28">
        <f>IF(OR($A119="",$D119=""),"",IF(OR($D119&amp;"|"&amp;$E119="",COUNTIF(ListeIzinliGecis,$D119&amp;"|"&amp;$E119)&gt;0),"","GEÇERSİZ GEÇİŞ"))</f>
        <v/>
      </c>
      <c r="R119" s="28">
        <f>IF($A119="","",IF(OR($F119="",$H119=""),"",IF(ABS($H119-$F119)&gt;zincirTolerans,"ZİNCİR KIRIK","OK")))</f>
        <v/>
      </c>
      <c r="S119" s="28">
        <f>IF($A119="","",1)</f>
        <v/>
      </c>
    </row>
    <row r="120">
      <c r="A120" s="26" t="n"/>
      <c r="B120" s="26" t="n"/>
      <c r="C120" s="29" t="n"/>
      <c r="D120" s="26" t="n"/>
      <c r="E120" s="26" t="n"/>
      <c r="F120" s="27" t="n"/>
      <c r="G120" s="27" t="n"/>
      <c r="H120" s="27" t="n"/>
      <c r="I120" s="27" t="n"/>
      <c r="J120" s="27" t="n"/>
      <c r="K120" s="27" t="n"/>
      <c r="L120" s="26" t="n"/>
      <c r="M120" s="26" t="n"/>
      <c r="N120" s="28">
        <f>IF($A120="","",IF($C120="","",raporTarihi-$C120))</f>
        <v/>
      </c>
      <c r="O120" s="28">
        <f>IF($A120="","",IF($N120="","",IF($N120&lt;=7,"0-7",IF($N120&lt;=30,"8-30",IF($N120&lt;=60,"31-60","60+")))))</f>
        <v/>
      </c>
      <c r="P120" s="28">
        <f>IF($A120="","",IF($B120="","YETİM",IF(COUNTIF(tblKartlar[KartId],$B120)=0,"YETİM","")))</f>
        <v/>
      </c>
      <c r="Q120" s="28">
        <f>IF(OR($A120="",$D120=""),"",IF(OR($D120&amp;"|"&amp;$E120="",COUNTIF(ListeIzinliGecis,$D120&amp;"|"&amp;$E120)&gt;0),"","GEÇERSİZ GEÇİŞ"))</f>
        <v/>
      </c>
      <c r="R120" s="28">
        <f>IF($A120="","",IF(OR($F120="",$H120=""),"",IF(ABS($H120-$F120)&gt;zincirTolerans,"ZİNCİR KIRIK","OK")))</f>
        <v/>
      </c>
      <c r="S120" s="28">
        <f>IF($A120="","",1)</f>
        <v/>
      </c>
    </row>
    <row r="121">
      <c r="A121" s="26" t="n"/>
      <c r="B121" s="26" t="n"/>
      <c r="C121" s="29" t="n"/>
      <c r="D121" s="26" t="n"/>
      <c r="E121" s="26" t="n"/>
      <c r="F121" s="27" t="n"/>
      <c r="G121" s="27" t="n"/>
      <c r="H121" s="27" t="n"/>
      <c r="I121" s="27" t="n"/>
      <c r="J121" s="27" t="n"/>
      <c r="K121" s="27" t="n"/>
      <c r="L121" s="26" t="n"/>
      <c r="M121" s="26" t="n"/>
      <c r="N121" s="28">
        <f>IF($A121="","",IF($C121="","",raporTarihi-$C121))</f>
        <v/>
      </c>
      <c r="O121" s="28">
        <f>IF($A121="","",IF($N121="","",IF($N121&lt;=7,"0-7",IF($N121&lt;=30,"8-30",IF($N121&lt;=60,"31-60","60+")))))</f>
        <v/>
      </c>
      <c r="P121" s="28">
        <f>IF($A121="","",IF($B121="","YETİM",IF(COUNTIF(tblKartlar[KartId],$B121)=0,"YETİM","")))</f>
        <v/>
      </c>
      <c r="Q121" s="28">
        <f>IF(OR($A121="",$D121=""),"",IF(OR($D121&amp;"|"&amp;$E121="",COUNTIF(ListeIzinliGecis,$D121&amp;"|"&amp;$E121)&gt;0),"","GEÇERSİZ GEÇİŞ"))</f>
        <v/>
      </c>
      <c r="R121" s="28">
        <f>IF($A121="","",IF(OR($F121="",$H121=""),"",IF(ABS($H121-$F121)&gt;zincirTolerans,"ZİNCİR KIRIK","OK")))</f>
        <v/>
      </c>
      <c r="S121" s="28">
        <f>IF($A121="","",1)</f>
        <v/>
      </c>
    </row>
    <row r="122">
      <c r="A122" s="26" t="n"/>
      <c r="B122" s="26" t="n"/>
      <c r="C122" s="29" t="n"/>
      <c r="D122" s="26" t="n"/>
      <c r="E122" s="26" t="n"/>
      <c r="F122" s="27" t="n"/>
      <c r="G122" s="27" t="n"/>
      <c r="H122" s="27" t="n"/>
      <c r="I122" s="27" t="n"/>
      <c r="J122" s="27" t="n"/>
      <c r="K122" s="27" t="n"/>
      <c r="L122" s="26" t="n"/>
      <c r="M122" s="26" t="n"/>
      <c r="N122" s="28">
        <f>IF($A122="","",IF($C122="","",raporTarihi-$C122))</f>
        <v/>
      </c>
      <c r="O122" s="28">
        <f>IF($A122="","",IF($N122="","",IF($N122&lt;=7,"0-7",IF($N122&lt;=30,"8-30",IF($N122&lt;=60,"31-60","60+")))))</f>
        <v/>
      </c>
      <c r="P122" s="28">
        <f>IF($A122="","",IF($B122="","YETİM",IF(COUNTIF(tblKartlar[KartId],$B122)=0,"YETİM","")))</f>
        <v/>
      </c>
      <c r="Q122" s="28">
        <f>IF(OR($A122="",$D122=""),"",IF(OR($D122&amp;"|"&amp;$E122="",COUNTIF(ListeIzinliGecis,$D122&amp;"|"&amp;$E122)&gt;0),"","GEÇERSİZ GEÇİŞ"))</f>
        <v/>
      </c>
      <c r="R122" s="28">
        <f>IF($A122="","",IF(OR($F122="",$H122=""),"",IF(ABS($H122-$F122)&gt;zincirTolerans,"ZİNCİR KIRIK","OK")))</f>
        <v/>
      </c>
      <c r="S122" s="28">
        <f>IF($A122="","",1)</f>
        <v/>
      </c>
    </row>
    <row r="123">
      <c r="A123" s="26" t="n"/>
      <c r="B123" s="26" t="n"/>
      <c r="C123" s="29" t="n"/>
      <c r="D123" s="26" t="n"/>
      <c r="E123" s="26" t="n"/>
      <c r="F123" s="27" t="n"/>
      <c r="G123" s="27" t="n"/>
      <c r="H123" s="27" t="n"/>
      <c r="I123" s="27" t="n"/>
      <c r="J123" s="27" t="n"/>
      <c r="K123" s="27" t="n"/>
      <c r="L123" s="26" t="n"/>
      <c r="M123" s="26" t="n"/>
      <c r="N123" s="28">
        <f>IF($A123="","",IF($C123="","",raporTarihi-$C123))</f>
        <v/>
      </c>
      <c r="O123" s="28">
        <f>IF($A123="","",IF($N123="","",IF($N123&lt;=7,"0-7",IF($N123&lt;=30,"8-30",IF($N123&lt;=60,"31-60","60+")))))</f>
        <v/>
      </c>
      <c r="P123" s="28">
        <f>IF($A123="","",IF($B123="","YETİM",IF(COUNTIF(tblKartlar[KartId],$B123)=0,"YETİM","")))</f>
        <v/>
      </c>
      <c r="Q123" s="28">
        <f>IF(OR($A123="",$D123=""),"",IF(OR($D123&amp;"|"&amp;$E123="",COUNTIF(ListeIzinliGecis,$D123&amp;"|"&amp;$E123)&gt;0),"","GEÇERSİZ GEÇİŞ"))</f>
        <v/>
      </c>
      <c r="R123" s="28">
        <f>IF($A123="","",IF(OR($F123="",$H123=""),"",IF(ABS($H123-$F123)&gt;zincirTolerans,"ZİNCİR KIRIK","OK")))</f>
        <v/>
      </c>
      <c r="S123" s="28">
        <f>IF($A123="","",1)</f>
        <v/>
      </c>
    </row>
    <row r="124">
      <c r="A124" s="26" t="n"/>
      <c r="B124" s="26" t="n"/>
      <c r="C124" s="29" t="n"/>
      <c r="D124" s="26" t="n"/>
      <c r="E124" s="26" t="n"/>
      <c r="F124" s="27" t="n"/>
      <c r="G124" s="27" t="n"/>
      <c r="H124" s="27" t="n"/>
      <c r="I124" s="27" t="n"/>
      <c r="J124" s="27" t="n"/>
      <c r="K124" s="27" t="n"/>
      <c r="L124" s="26" t="n"/>
      <c r="M124" s="26" t="n"/>
      <c r="N124" s="28">
        <f>IF($A124="","",IF($C124="","",raporTarihi-$C124))</f>
        <v/>
      </c>
      <c r="O124" s="28">
        <f>IF($A124="","",IF($N124="","",IF($N124&lt;=7,"0-7",IF($N124&lt;=30,"8-30",IF($N124&lt;=60,"31-60","60+")))))</f>
        <v/>
      </c>
      <c r="P124" s="28">
        <f>IF($A124="","",IF($B124="","YETİM",IF(COUNTIF(tblKartlar[KartId],$B124)=0,"YETİM","")))</f>
        <v/>
      </c>
      <c r="Q124" s="28">
        <f>IF(OR($A124="",$D124=""),"",IF(OR($D124&amp;"|"&amp;$E124="",COUNTIF(ListeIzinliGecis,$D124&amp;"|"&amp;$E124)&gt;0),"","GEÇERSİZ GEÇİŞ"))</f>
        <v/>
      </c>
      <c r="R124" s="28">
        <f>IF($A124="","",IF(OR($F124="",$H124=""),"",IF(ABS($H124-$F124)&gt;zincirTolerans,"ZİNCİR KIRIK","OK")))</f>
        <v/>
      </c>
      <c r="S124" s="28">
        <f>IF($A124="","",1)</f>
        <v/>
      </c>
    </row>
    <row r="125">
      <c r="A125" s="26" t="n"/>
      <c r="B125" s="26" t="n"/>
      <c r="C125" s="29" t="n"/>
      <c r="D125" s="26" t="n"/>
      <c r="E125" s="26" t="n"/>
      <c r="F125" s="27" t="n"/>
      <c r="G125" s="27" t="n"/>
      <c r="H125" s="27" t="n"/>
      <c r="I125" s="27" t="n"/>
      <c r="J125" s="27" t="n"/>
      <c r="K125" s="27" t="n"/>
      <c r="L125" s="26" t="n"/>
      <c r="M125" s="26" t="n"/>
      <c r="N125" s="28">
        <f>IF($A125="","",IF($C125="","",raporTarihi-$C125))</f>
        <v/>
      </c>
      <c r="O125" s="28">
        <f>IF($A125="","",IF($N125="","",IF($N125&lt;=7,"0-7",IF($N125&lt;=30,"8-30",IF($N125&lt;=60,"31-60","60+")))))</f>
        <v/>
      </c>
      <c r="P125" s="28">
        <f>IF($A125="","",IF($B125="","YETİM",IF(COUNTIF(tblKartlar[KartId],$B125)=0,"YETİM","")))</f>
        <v/>
      </c>
      <c r="Q125" s="28">
        <f>IF(OR($A125="",$D125=""),"",IF(OR($D125&amp;"|"&amp;$E125="",COUNTIF(ListeIzinliGecis,$D125&amp;"|"&amp;$E125)&gt;0),"","GEÇERSİZ GEÇİŞ"))</f>
        <v/>
      </c>
      <c r="R125" s="28">
        <f>IF($A125="","",IF(OR($F125="",$H125=""),"",IF(ABS($H125-$F125)&gt;zincirTolerans,"ZİNCİR KIRIK","OK")))</f>
        <v/>
      </c>
      <c r="S125" s="28">
        <f>IF($A125="","",1)</f>
        <v/>
      </c>
    </row>
    <row r="126">
      <c r="A126" s="26" t="n"/>
      <c r="B126" s="26" t="n"/>
      <c r="C126" s="29" t="n"/>
      <c r="D126" s="26" t="n"/>
      <c r="E126" s="26" t="n"/>
      <c r="F126" s="27" t="n"/>
      <c r="G126" s="27" t="n"/>
      <c r="H126" s="27" t="n"/>
      <c r="I126" s="27" t="n"/>
      <c r="J126" s="27" t="n"/>
      <c r="K126" s="27" t="n"/>
      <c r="L126" s="26" t="n"/>
      <c r="M126" s="26" t="n"/>
      <c r="N126" s="28">
        <f>IF($A126="","",IF($C126="","",raporTarihi-$C126))</f>
        <v/>
      </c>
      <c r="O126" s="28">
        <f>IF($A126="","",IF($N126="","",IF($N126&lt;=7,"0-7",IF($N126&lt;=30,"8-30",IF($N126&lt;=60,"31-60","60+")))))</f>
        <v/>
      </c>
      <c r="P126" s="28">
        <f>IF($A126="","",IF($B126="","YETİM",IF(COUNTIF(tblKartlar[KartId],$B126)=0,"YETİM","")))</f>
        <v/>
      </c>
      <c r="Q126" s="28">
        <f>IF(OR($A126="",$D126=""),"",IF(OR($D126&amp;"|"&amp;$E126="",COUNTIF(ListeIzinliGecis,$D126&amp;"|"&amp;$E126)&gt;0),"","GEÇERSİZ GEÇİŞ"))</f>
        <v/>
      </c>
      <c r="R126" s="28">
        <f>IF($A126="","",IF(OR($F126="",$H126=""),"",IF(ABS($H126-$F126)&gt;zincirTolerans,"ZİNCİR KIRIK","OK")))</f>
        <v/>
      </c>
      <c r="S126" s="28">
        <f>IF($A126="","",1)</f>
        <v/>
      </c>
    </row>
    <row r="127">
      <c r="A127" s="26" t="n"/>
      <c r="B127" s="26" t="n"/>
      <c r="C127" s="29" t="n"/>
      <c r="D127" s="26" t="n"/>
      <c r="E127" s="26" t="n"/>
      <c r="F127" s="27" t="n"/>
      <c r="G127" s="27" t="n"/>
      <c r="H127" s="27" t="n"/>
      <c r="I127" s="27" t="n"/>
      <c r="J127" s="27" t="n"/>
      <c r="K127" s="27" t="n"/>
      <c r="L127" s="26" t="n"/>
      <c r="M127" s="26" t="n"/>
      <c r="N127" s="28">
        <f>IF($A127="","",IF($C127="","",raporTarihi-$C127))</f>
        <v/>
      </c>
      <c r="O127" s="28">
        <f>IF($A127="","",IF($N127="","",IF($N127&lt;=7,"0-7",IF($N127&lt;=30,"8-30",IF($N127&lt;=60,"31-60","60+")))))</f>
        <v/>
      </c>
      <c r="P127" s="28">
        <f>IF($A127="","",IF($B127="","YETİM",IF(COUNTIF(tblKartlar[KartId],$B127)=0,"YETİM","")))</f>
        <v/>
      </c>
      <c r="Q127" s="28">
        <f>IF(OR($A127="",$D127=""),"",IF(OR($D127&amp;"|"&amp;$E127="",COUNTIF(ListeIzinliGecis,$D127&amp;"|"&amp;$E127)&gt;0),"","GEÇERSİZ GEÇİŞ"))</f>
        <v/>
      </c>
      <c r="R127" s="28">
        <f>IF($A127="","",IF(OR($F127="",$H127=""),"",IF(ABS($H127-$F127)&gt;zincirTolerans,"ZİNCİR KIRIK","OK")))</f>
        <v/>
      </c>
      <c r="S127" s="28">
        <f>IF($A127="","",1)</f>
        <v/>
      </c>
    </row>
    <row r="128">
      <c r="A128" s="26" t="n"/>
      <c r="B128" s="26" t="n"/>
      <c r="C128" s="29" t="n"/>
      <c r="D128" s="26" t="n"/>
      <c r="E128" s="26" t="n"/>
      <c r="F128" s="27" t="n"/>
      <c r="G128" s="27" t="n"/>
      <c r="H128" s="27" t="n"/>
      <c r="I128" s="27" t="n"/>
      <c r="J128" s="27" t="n"/>
      <c r="K128" s="27" t="n"/>
      <c r="L128" s="26" t="n"/>
      <c r="M128" s="26" t="n"/>
      <c r="N128" s="28">
        <f>IF($A128="","",IF($C128="","",raporTarihi-$C128))</f>
        <v/>
      </c>
      <c r="O128" s="28">
        <f>IF($A128="","",IF($N128="","",IF($N128&lt;=7,"0-7",IF($N128&lt;=30,"8-30",IF($N128&lt;=60,"31-60","60+")))))</f>
        <v/>
      </c>
      <c r="P128" s="28">
        <f>IF($A128="","",IF($B128="","YETİM",IF(COUNTIF(tblKartlar[KartId],$B128)=0,"YETİM","")))</f>
        <v/>
      </c>
      <c r="Q128" s="28">
        <f>IF(OR($A128="",$D128=""),"",IF(OR($D128&amp;"|"&amp;$E128="",COUNTIF(ListeIzinliGecis,$D128&amp;"|"&amp;$E128)&gt;0),"","GEÇERSİZ GEÇİŞ"))</f>
        <v/>
      </c>
      <c r="R128" s="28">
        <f>IF($A128="","",IF(OR($F128="",$H128=""),"",IF(ABS($H128-$F128)&gt;zincirTolerans,"ZİNCİR KIRIK","OK")))</f>
        <v/>
      </c>
      <c r="S128" s="28">
        <f>IF($A128="","",1)</f>
        <v/>
      </c>
    </row>
    <row r="129">
      <c r="A129" s="26" t="n"/>
      <c r="B129" s="26" t="n"/>
      <c r="C129" s="29" t="n"/>
      <c r="D129" s="26" t="n"/>
      <c r="E129" s="26" t="n"/>
      <c r="F129" s="27" t="n"/>
      <c r="G129" s="27" t="n"/>
      <c r="H129" s="27" t="n"/>
      <c r="I129" s="27" t="n"/>
      <c r="J129" s="27" t="n"/>
      <c r="K129" s="27" t="n"/>
      <c r="L129" s="26" t="n"/>
      <c r="M129" s="26" t="n"/>
      <c r="N129" s="28">
        <f>IF($A129="","",IF($C129="","",raporTarihi-$C129))</f>
        <v/>
      </c>
      <c r="O129" s="28">
        <f>IF($A129="","",IF($N129="","",IF($N129&lt;=7,"0-7",IF($N129&lt;=30,"8-30",IF($N129&lt;=60,"31-60","60+")))))</f>
        <v/>
      </c>
      <c r="P129" s="28">
        <f>IF($A129="","",IF($B129="","YETİM",IF(COUNTIF(tblKartlar[KartId],$B129)=0,"YETİM","")))</f>
        <v/>
      </c>
      <c r="Q129" s="28">
        <f>IF(OR($A129="",$D129=""),"",IF(OR($D129&amp;"|"&amp;$E129="",COUNTIF(ListeIzinliGecis,$D129&amp;"|"&amp;$E129)&gt;0),"","GEÇERSİZ GEÇİŞ"))</f>
        <v/>
      </c>
      <c r="R129" s="28">
        <f>IF($A129="","",IF(OR($F129="",$H129=""),"",IF(ABS($H129-$F129)&gt;zincirTolerans,"ZİNCİR KIRIK","OK")))</f>
        <v/>
      </c>
      <c r="S129" s="28">
        <f>IF($A129="","",1)</f>
        <v/>
      </c>
    </row>
    <row r="130">
      <c r="A130" s="26" t="n"/>
      <c r="B130" s="26" t="n"/>
      <c r="C130" s="29" t="n"/>
      <c r="D130" s="26" t="n"/>
      <c r="E130" s="26" t="n"/>
      <c r="F130" s="27" t="n"/>
      <c r="G130" s="27" t="n"/>
      <c r="H130" s="27" t="n"/>
      <c r="I130" s="27" t="n"/>
      <c r="J130" s="27" t="n"/>
      <c r="K130" s="27" t="n"/>
      <c r="L130" s="26" t="n"/>
      <c r="M130" s="26" t="n"/>
      <c r="N130" s="28">
        <f>IF($A130="","",IF($C130="","",raporTarihi-$C130))</f>
        <v/>
      </c>
      <c r="O130" s="28">
        <f>IF($A130="","",IF($N130="","",IF($N130&lt;=7,"0-7",IF($N130&lt;=30,"8-30",IF($N130&lt;=60,"31-60","60+")))))</f>
        <v/>
      </c>
      <c r="P130" s="28">
        <f>IF($A130="","",IF($B130="","YETİM",IF(COUNTIF(tblKartlar[KartId],$B130)=0,"YETİM","")))</f>
        <v/>
      </c>
      <c r="Q130" s="28">
        <f>IF(OR($A130="",$D130=""),"",IF(OR($D130&amp;"|"&amp;$E130="",COUNTIF(ListeIzinliGecis,$D130&amp;"|"&amp;$E130)&gt;0),"","GEÇERSİZ GEÇİŞ"))</f>
        <v/>
      </c>
      <c r="R130" s="28">
        <f>IF($A130="","",IF(OR($F130="",$H130=""),"",IF(ABS($H130-$F130)&gt;zincirTolerans,"ZİNCİR KIRIK","OK")))</f>
        <v/>
      </c>
      <c r="S130" s="28">
        <f>IF($A130="","",1)</f>
        <v/>
      </c>
    </row>
    <row r="131">
      <c r="A131" s="26" t="n"/>
      <c r="B131" s="26" t="n"/>
      <c r="C131" s="29" t="n"/>
      <c r="D131" s="26" t="n"/>
      <c r="E131" s="26" t="n"/>
      <c r="F131" s="27" t="n"/>
      <c r="G131" s="27" t="n"/>
      <c r="H131" s="27" t="n"/>
      <c r="I131" s="27" t="n"/>
      <c r="J131" s="27" t="n"/>
      <c r="K131" s="27" t="n"/>
      <c r="L131" s="26" t="n"/>
      <c r="M131" s="26" t="n"/>
      <c r="N131" s="28">
        <f>IF($A131="","",IF($C131="","",raporTarihi-$C131))</f>
        <v/>
      </c>
      <c r="O131" s="28">
        <f>IF($A131="","",IF($N131="","",IF($N131&lt;=7,"0-7",IF($N131&lt;=30,"8-30",IF($N131&lt;=60,"31-60","60+")))))</f>
        <v/>
      </c>
      <c r="P131" s="28">
        <f>IF($A131="","",IF($B131="","YETİM",IF(COUNTIF(tblKartlar[KartId],$B131)=0,"YETİM","")))</f>
        <v/>
      </c>
      <c r="Q131" s="28">
        <f>IF(OR($A131="",$D131=""),"",IF(OR($D131&amp;"|"&amp;$E131="",COUNTIF(ListeIzinliGecis,$D131&amp;"|"&amp;$E131)&gt;0),"","GEÇERSİZ GEÇİŞ"))</f>
        <v/>
      </c>
      <c r="R131" s="28">
        <f>IF($A131="","",IF(OR($F131="",$H131=""),"",IF(ABS($H131-$F131)&gt;zincirTolerans,"ZİNCİR KIRIK","OK")))</f>
        <v/>
      </c>
      <c r="S131" s="28">
        <f>IF($A131="","",1)</f>
        <v/>
      </c>
    </row>
    <row r="132">
      <c r="A132" s="26" t="n"/>
      <c r="B132" s="26" t="n"/>
      <c r="C132" s="29" t="n"/>
      <c r="D132" s="26" t="n"/>
      <c r="E132" s="26" t="n"/>
      <c r="F132" s="27" t="n"/>
      <c r="G132" s="27" t="n"/>
      <c r="H132" s="27" t="n"/>
      <c r="I132" s="27" t="n"/>
      <c r="J132" s="27" t="n"/>
      <c r="K132" s="27" t="n"/>
      <c r="L132" s="26" t="n"/>
      <c r="M132" s="26" t="n"/>
      <c r="N132" s="28">
        <f>IF($A132="","",IF($C132="","",raporTarihi-$C132))</f>
        <v/>
      </c>
      <c r="O132" s="28">
        <f>IF($A132="","",IF($N132="","",IF($N132&lt;=7,"0-7",IF($N132&lt;=30,"8-30",IF($N132&lt;=60,"31-60","60+")))))</f>
        <v/>
      </c>
      <c r="P132" s="28">
        <f>IF($A132="","",IF($B132="","YETİM",IF(COUNTIF(tblKartlar[KartId],$B132)=0,"YETİM","")))</f>
        <v/>
      </c>
      <c r="Q132" s="28">
        <f>IF(OR($A132="",$D132=""),"",IF(OR($D132&amp;"|"&amp;$E132="",COUNTIF(ListeIzinliGecis,$D132&amp;"|"&amp;$E132)&gt;0),"","GEÇERSİZ GEÇİŞ"))</f>
        <v/>
      </c>
      <c r="R132" s="28">
        <f>IF($A132="","",IF(OR($F132="",$H132=""),"",IF(ABS($H132-$F132)&gt;zincirTolerans,"ZİNCİR KIRIK","OK")))</f>
        <v/>
      </c>
      <c r="S132" s="28">
        <f>IF($A132="","",1)</f>
        <v/>
      </c>
    </row>
    <row r="133">
      <c r="A133" s="26" t="n"/>
      <c r="B133" s="26" t="n"/>
      <c r="C133" s="29" t="n"/>
      <c r="D133" s="26" t="n"/>
      <c r="E133" s="26" t="n"/>
      <c r="F133" s="27" t="n"/>
      <c r="G133" s="27" t="n"/>
      <c r="H133" s="27" t="n"/>
      <c r="I133" s="27" t="n"/>
      <c r="J133" s="27" t="n"/>
      <c r="K133" s="27" t="n"/>
      <c r="L133" s="26" t="n"/>
      <c r="M133" s="26" t="n"/>
      <c r="N133" s="28">
        <f>IF($A133="","",IF($C133="","",raporTarihi-$C133))</f>
        <v/>
      </c>
      <c r="O133" s="28">
        <f>IF($A133="","",IF($N133="","",IF($N133&lt;=7,"0-7",IF($N133&lt;=30,"8-30",IF($N133&lt;=60,"31-60","60+")))))</f>
        <v/>
      </c>
      <c r="P133" s="28">
        <f>IF($A133="","",IF($B133="","YETİM",IF(COUNTIF(tblKartlar[KartId],$B133)=0,"YETİM","")))</f>
        <v/>
      </c>
      <c r="Q133" s="28">
        <f>IF(OR($A133="",$D133=""),"",IF(OR($D133&amp;"|"&amp;$E133="",COUNTIF(ListeIzinliGecis,$D133&amp;"|"&amp;$E133)&gt;0),"","GEÇERSİZ GEÇİŞ"))</f>
        <v/>
      </c>
      <c r="R133" s="28">
        <f>IF($A133="","",IF(OR($F133="",$H133=""),"",IF(ABS($H133-$F133)&gt;zincirTolerans,"ZİNCİR KIRIK","OK")))</f>
        <v/>
      </c>
      <c r="S133" s="28">
        <f>IF($A133="","",1)</f>
        <v/>
      </c>
    </row>
    <row r="134">
      <c r="A134" s="26" t="n"/>
      <c r="B134" s="26" t="n"/>
      <c r="C134" s="29" t="n"/>
      <c r="D134" s="26" t="n"/>
      <c r="E134" s="26" t="n"/>
      <c r="F134" s="27" t="n"/>
      <c r="G134" s="27" t="n"/>
      <c r="H134" s="27" t="n"/>
      <c r="I134" s="27" t="n"/>
      <c r="J134" s="27" t="n"/>
      <c r="K134" s="27" t="n"/>
      <c r="L134" s="26" t="n"/>
      <c r="M134" s="26" t="n"/>
      <c r="N134" s="28">
        <f>IF($A134="","",IF($C134="","",raporTarihi-$C134))</f>
        <v/>
      </c>
      <c r="O134" s="28">
        <f>IF($A134="","",IF($N134="","",IF($N134&lt;=7,"0-7",IF($N134&lt;=30,"8-30",IF($N134&lt;=60,"31-60","60+")))))</f>
        <v/>
      </c>
      <c r="P134" s="28">
        <f>IF($A134="","",IF($B134="","YETİM",IF(COUNTIF(tblKartlar[KartId],$B134)=0,"YETİM","")))</f>
        <v/>
      </c>
      <c r="Q134" s="28">
        <f>IF(OR($A134="",$D134=""),"",IF(OR($D134&amp;"|"&amp;$E134="",COUNTIF(ListeIzinliGecis,$D134&amp;"|"&amp;$E134)&gt;0),"","GEÇERSİZ GEÇİŞ"))</f>
        <v/>
      </c>
      <c r="R134" s="28">
        <f>IF($A134="","",IF(OR($F134="",$H134=""),"",IF(ABS($H134-$F134)&gt;zincirTolerans,"ZİNCİR KIRIK","OK")))</f>
        <v/>
      </c>
      <c r="S134" s="28">
        <f>IF($A134="","",1)</f>
        <v/>
      </c>
    </row>
    <row r="135">
      <c r="A135" s="26" t="n"/>
      <c r="B135" s="26" t="n"/>
      <c r="C135" s="29" t="n"/>
      <c r="D135" s="26" t="n"/>
      <c r="E135" s="26" t="n"/>
      <c r="F135" s="27" t="n"/>
      <c r="G135" s="27" t="n"/>
      <c r="H135" s="27" t="n"/>
      <c r="I135" s="27" t="n"/>
      <c r="J135" s="27" t="n"/>
      <c r="K135" s="27" t="n"/>
      <c r="L135" s="26" t="n"/>
      <c r="M135" s="26" t="n"/>
      <c r="N135" s="28">
        <f>IF($A135="","",IF($C135="","",raporTarihi-$C135))</f>
        <v/>
      </c>
      <c r="O135" s="28">
        <f>IF($A135="","",IF($N135="","",IF($N135&lt;=7,"0-7",IF($N135&lt;=30,"8-30",IF($N135&lt;=60,"31-60","60+")))))</f>
        <v/>
      </c>
      <c r="P135" s="28">
        <f>IF($A135="","",IF($B135="","YETİM",IF(COUNTIF(tblKartlar[KartId],$B135)=0,"YETİM","")))</f>
        <v/>
      </c>
      <c r="Q135" s="28">
        <f>IF(OR($A135="",$D135=""),"",IF(OR($D135&amp;"|"&amp;$E135="",COUNTIF(ListeIzinliGecis,$D135&amp;"|"&amp;$E135)&gt;0),"","GEÇERSİZ GEÇİŞ"))</f>
        <v/>
      </c>
      <c r="R135" s="28">
        <f>IF($A135="","",IF(OR($F135="",$H135=""),"",IF(ABS($H135-$F135)&gt;zincirTolerans,"ZİNCİR KIRIK","OK")))</f>
        <v/>
      </c>
      <c r="S135" s="28">
        <f>IF($A135="","",1)</f>
        <v/>
      </c>
    </row>
    <row r="136">
      <c r="A136" s="26" t="n"/>
      <c r="B136" s="26" t="n"/>
      <c r="C136" s="29" t="n"/>
      <c r="D136" s="26" t="n"/>
      <c r="E136" s="26" t="n"/>
      <c r="F136" s="27" t="n"/>
      <c r="G136" s="27" t="n"/>
      <c r="H136" s="27" t="n"/>
      <c r="I136" s="27" t="n"/>
      <c r="J136" s="27" t="n"/>
      <c r="K136" s="27" t="n"/>
      <c r="L136" s="26" t="n"/>
      <c r="M136" s="26" t="n"/>
      <c r="N136" s="28">
        <f>IF($A136="","",IF($C136="","",raporTarihi-$C136))</f>
        <v/>
      </c>
      <c r="O136" s="28">
        <f>IF($A136="","",IF($N136="","",IF($N136&lt;=7,"0-7",IF($N136&lt;=30,"8-30",IF($N136&lt;=60,"31-60","60+")))))</f>
        <v/>
      </c>
      <c r="P136" s="28">
        <f>IF($A136="","",IF($B136="","YETİM",IF(COUNTIF(tblKartlar[KartId],$B136)=0,"YETİM","")))</f>
        <v/>
      </c>
      <c r="Q136" s="28">
        <f>IF(OR($A136="",$D136=""),"",IF(OR($D136&amp;"|"&amp;$E136="",COUNTIF(ListeIzinliGecis,$D136&amp;"|"&amp;$E136)&gt;0),"","GEÇERSİZ GEÇİŞ"))</f>
        <v/>
      </c>
      <c r="R136" s="28">
        <f>IF($A136="","",IF(OR($F136="",$H136=""),"",IF(ABS($H136-$F136)&gt;zincirTolerans,"ZİNCİR KIRIK","OK")))</f>
        <v/>
      </c>
      <c r="S136" s="28">
        <f>IF($A136="","",1)</f>
        <v/>
      </c>
    </row>
    <row r="137">
      <c r="A137" s="26" t="n"/>
      <c r="B137" s="26" t="n"/>
      <c r="C137" s="29" t="n"/>
      <c r="D137" s="26" t="n"/>
      <c r="E137" s="26" t="n"/>
      <c r="F137" s="27" t="n"/>
      <c r="G137" s="27" t="n"/>
      <c r="H137" s="27" t="n"/>
      <c r="I137" s="27" t="n"/>
      <c r="J137" s="27" t="n"/>
      <c r="K137" s="27" t="n"/>
      <c r="L137" s="26" t="n"/>
      <c r="M137" s="26" t="n"/>
      <c r="N137" s="28">
        <f>IF($A137="","",IF($C137="","",raporTarihi-$C137))</f>
        <v/>
      </c>
      <c r="O137" s="28">
        <f>IF($A137="","",IF($N137="","",IF($N137&lt;=7,"0-7",IF($N137&lt;=30,"8-30",IF($N137&lt;=60,"31-60","60+")))))</f>
        <v/>
      </c>
      <c r="P137" s="28">
        <f>IF($A137="","",IF($B137="","YETİM",IF(COUNTIF(tblKartlar[KartId],$B137)=0,"YETİM","")))</f>
        <v/>
      </c>
      <c r="Q137" s="28">
        <f>IF(OR($A137="",$D137=""),"",IF(OR($D137&amp;"|"&amp;$E137="",COUNTIF(ListeIzinliGecis,$D137&amp;"|"&amp;$E137)&gt;0),"","GEÇERSİZ GEÇİŞ"))</f>
        <v/>
      </c>
      <c r="R137" s="28">
        <f>IF($A137="","",IF(OR($F137="",$H137=""),"",IF(ABS($H137-$F137)&gt;zincirTolerans,"ZİNCİR KIRIK","OK")))</f>
        <v/>
      </c>
      <c r="S137" s="28">
        <f>IF($A137="","",1)</f>
        <v/>
      </c>
    </row>
    <row r="138">
      <c r="A138" s="26" t="n"/>
      <c r="B138" s="26" t="n"/>
      <c r="C138" s="29" t="n"/>
      <c r="D138" s="26" t="n"/>
      <c r="E138" s="26" t="n"/>
      <c r="F138" s="27" t="n"/>
      <c r="G138" s="27" t="n"/>
      <c r="H138" s="27" t="n"/>
      <c r="I138" s="27" t="n"/>
      <c r="J138" s="27" t="n"/>
      <c r="K138" s="27" t="n"/>
      <c r="L138" s="26" t="n"/>
      <c r="M138" s="26" t="n"/>
      <c r="N138" s="28">
        <f>IF($A138="","",IF($C138="","",raporTarihi-$C138))</f>
        <v/>
      </c>
      <c r="O138" s="28">
        <f>IF($A138="","",IF($N138="","",IF($N138&lt;=7,"0-7",IF($N138&lt;=30,"8-30",IF($N138&lt;=60,"31-60","60+")))))</f>
        <v/>
      </c>
      <c r="P138" s="28">
        <f>IF($A138="","",IF($B138="","YETİM",IF(COUNTIF(tblKartlar[KartId],$B138)=0,"YETİM","")))</f>
        <v/>
      </c>
      <c r="Q138" s="28">
        <f>IF(OR($A138="",$D138=""),"",IF(OR($D138&amp;"|"&amp;$E138="",COUNTIF(ListeIzinliGecis,$D138&amp;"|"&amp;$E138)&gt;0),"","GEÇERSİZ GEÇİŞ"))</f>
        <v/>
      </c>
      <c r="R138" s="28">
        <f>IF($A138="","",IF(OR($F138="",$H138=""),"",IF(ABS($H138-$F138)&gt;zincirTolerans,"ZİNCİR KIRIK","OK")))</f>
        <v/>
      </c>
      <c r="S138" s="28">
        <f>IF($A138="","",1)</f>
        <v/>
      </c>
    </row>
    <row r="139">
      <c r="A139" s="26" t="n"/>
      <c r="B139" s="26" t="n"/>
      <c r="C139" s="29" t="n"/>
      <c r="D139" s="26" t="n"/>
      <c r="E139" s="26" t="n"/>
      <c r="F139" s="27" t="n"/>
      <c r="G139" s="27" t="n"/>
      <c r="H139" s="27" t="n"/>
      <c r="I139" s="27" t="n"/>
      <c r="J139" s="27" t="n"/>
      <c r="K139" s="27" t="n"/>
      <c r="L139" s="26" t="n"/>
      <c r="M139" s="26" t="n"/>
      <c r="N139" s="28">
        <f>IF($A139="","",IF($C139="","",raporTarihi-$C139))</f>
        <v/>
      </c>
      <c r="O139" s="28">
        <f>IF($A139="","",IF($N139="","",IF($N139&lt;=7,"0-7",IF($N139&lt;=30,"8-30",IF($N139&lt;=60,"31-60","60+")))))</f>
        <v/>
      </c>
      <c r="P139" s="28">
        <f>IF($A139="","",IF($B139="","YETİM",IF(COUNTIF(tblKartlar[KartId],$B139)=0,"YETİM","")))</f>
        <v/>
      </c>
      <c r="Q139" s="28">
        <f>IF(OR($A139="",$D139=""),"",IF(OR($D139&amp;"|"&amp;$E139="",COUNTIF(ListeIzinliGecis,$D139&amp;"|"&amp;$E139)&gt;0),"","GEÇERSİZ GEÇİŞ"))</f>
        <v/>
      </c>
      <c r="R139" s="28">
        <f>IF($A139="","",IF(OR($F139="",$H139=""),"",IF(ABS($H139-$F139)&gt;zincirTolerans,"ZİNCİR KIRIK","OK")))</f>
        <v/>
      </c>
      <c r="S139" s="28">
        <f>IF($A139="","",1)</f>
        <v/>
      </c>
    </row>
    <row r="140">
      <c r="A140" s="26" t="n"/>
      <c r="B140" s="26" t="n"/>
      <c r="C140" s="29" t="n"/>
      <c r="D140" s="26" t="n"/>
      <c r="E140" s="26" t="n"/>
      <c r="F140" s="27" t="n"/>
      <c r="G140" s="27" t="n"/>
      <c r="H140" s="27" t="n"/>
      <c r="I140" s="27" t="n"/>
      <c r="J140" s="27" t="n"/>
      <c r="K140" s="27" t="n"/>
      <c r="L140" s="26" t="n"/>
      <c r="M140" s="26" t="n"/>
      <c r="N140" s="28">
        <f>IF($A140="","",IF($C140="","",raporTarihi-$C140))</f>
        <v/>
      </c>
      <c r="O140" s="28">
        <f>IF($A140="","",IF($N140="","",IF($N140&lt;=7,"0-7",IF($N140&lt;=30,"8-30",IF($N140&lt;=60,"31-60","60+")))))</f>
        <v/>
      </c>
      <c r="P140" s="28">
        <f>IF($A140="","",IF($B140="","YETİM",IF(COUNTIF(tblKartlar[KartId],$B140)=0,"YETİM","")))</f>
        <v/>
      </c>
      <c r="Q140" s="28">
        <f>IF(OR($A140="",$D140=""),"",IF(OR($D140&amp;"|"&amp;$E140="",COUNTIF(ListeIzinliGecis,$D140&amp;"|"&amp;$E140)&gt;0),"","GEÇERSİZ GEÇİŞ"))</f>
        <v/>
      </c>
      <c r="R140" s="28">
        <f>IF($A140="","",IF(OR($F140="",$H140=""),"",IF(ABS($H140-$F140)&gt;zincirTolerans,"ZİNCİR KIRIK","OK")))</f>
        <v/>
      </c>
      <c r="S140" s="28">
        <f>IF($A140="","",1)</f>
        <v/>
      </c>
    </row>
    <row r="141">
      <c r="A141" s="26" t="n"/>
      <c r="B141" s="26" t="n"/>
      <c r="C141" s="29" t="n"/>
      <c r="D141" s="26" t="n"/>
      <c r="E141" s="26" t="n"/>
      <c r="F141" s="27" t="n"/>
      <c r="G141" s="27" t="n"/>
      <c r="H141" s="27" t="n"/>
      <c r="I141" s="27" t="n"/>
      <c r="J141" s="27" t="n"/>
      <c r="K141" s="27" t="n"/>
      <c r="L141" s="26" t="n"/>
      <c r="M141" s="26" t="n"/>
      <c r="N141" s="28">
        <f>IF($A141="","",IF($C141="","",raporTarihi-$C141))</f>
        <v/>
      </c>
      <c r="O141" s="28">
        <f>IF($A141="","",IF($N141="","",IF($N141&lt;=7,"0-7",IF($N141&lt;=30,"8-30",IF($N141&lt;=60,"31-60","60+")))))</f>
        <v/>
      </c>
      <c r="P141" s="28">
        <f>IF($A141="","",IF($B141="","YETİM",IF(COUNTIF(tblKartlar[KartId],$B141)=0,"YETİM","")))</f>
        <v/>
      </c>
      <c r="Q141" s="28">
        <f>IF(OR($A141="",$D141=""),"",IF(OR($D141&amp;"|"&amp;$E141="",COUNTIF(ListeIzinliGecis,$D141&amp;"|"&amp;$E141)&gt;0),"","GEÇERSİZ GEÇİŞ"))</f>
        <v/>
      </c>
      <c r="R141" s="28">
        <f>IF($A141="","",IF(OR($F141="",$H141=""),"",IF(ABS($H141-$F141)&gt;zincirTolerans,"ZİNCİR KIRIK","OK")))</f>
        <v/>
      </c>
      <c r="S141" s="28">
        <f>IF($A141="","",1)</f>
        <v/>
      </c>
    </row>
    <row r="142">
      <c r="A142" s="26" t="n"/>
      <c r="B142" s="26" t="n"/>
      <c r="C142" s="29" t="n"/>
      <c r="D142" s="26" t="n"/>
      <c r="E142" s="26" t="n"/>
      <c r="F142" s="27" t="n"/>
      <c r="G142" s="27" t="n"/>
      <c r="H142" s="27" t="n"/>
      <c r="I142" s="27" t="n"/>
      <c r="J142" s="27" t="n"/>
      <c r="K142" s="27" t="n"/>
      <c r="L142" s="26" t="n"/>
      <c r="M142" s="26" t="n"/>
      <c r="N142" s="28">
        <f>IF($A142="","",IF($C142="","",raporTarihi-$C142))</f>
        <v/>
      </c>
      <c r="O142" s="28">
        <f>IF($A142="","",IF($N142="","",IF($N142&lt;=7,"0-7",IF($N142&lt;=30,"8-30",IF($N142&lt;=60,"31-60","60+")))))</f>
        <v/>
      </c>
      <c r="P142" s="28">
        <f>IF($A142="","",IF($B142="","YETİM",IF(COUNTIF(tblKartlar[KartId],$B142)=0,"YETİM","")))</f>
        <v/>
      </c>
      <c r="Q142" s="28">
        <f>IF(OR($A142="",$D142=""),"",IF(OR($D142&amp;"|"&amp;$E142="",COUNTIF(ListeIzinliGecis,$D142&amp;"|"&amp;$E142)&gt;0),"","GEÇERSİZ GEÇİŞ"))</f>
        <v/>
      </c>
      <c r="R142" s="28">
        <f>IF($A142="","",IF(OR($F142="",$H142=""),"",IF(ABS($H142-$F142)&gt;zincirTolerans,"ZİNCİR KIRIK","OK")))</f>
        <v/>
      </c>
      <c r="S142" s="28">
        <f>IF($A142="","",1)</f>
        <v/>
      </c>
    </row>
    <row r="143">
      <c r="A143" s="26" t="n"/>
      <c r="B143" s="26" t="n"/>
      <c r="C143" s="29" t="n"/>
      <c r="D143" s="26" t="n"/>
      <c r="E143" s="26" t="n"/>
      <c r="F143" s="27" t="n"/>
      <c r="G143" s="27" t="n"/>
      <c r="H143" s="27" t="n"/>
      <c r="I143" s="27" t="n"/>
      <c r="J143" s="27" t="n"/>
      <c r="K143" s="27" t="n"/>
      <c r="L143" s="26" t="n"/>
      <c r="M143" s="26" t="n"/>
      <c r="N143" s="28">
        <f>IF($A143="","",IF($C143="","",raporTarihi-$C143))</f>
        <v/>
      </c>
      <c r="O143" s="28">
        <f>IF($A143="","",IF($N143="","",IF($N143&lt;=7,"0-7",IF($N143&lt;=30,"8-30",IF($N143&lt;=60,"31-60","60+")))))</f>
        <v/>
      </c>
      <c r="P143" s="28">
        <f>IF($A143="","",IF($B143="","YETİM",IF(COUNTIF(tblKartlar[KartId],$B143)=0,"YETİM","")))</f>
        <v/>
      </c>
      <c r="Q143" s="28">
        <f>IF(OR($A143="",$D143=""),"",IF(OR($D143&amp;"|"&amp;$E143="",COUNTIF(ListeIzinliGecis,$D143&amp;"|"&amp;$E143)&gt;0),"","GEÇERSİZ GEÇİŞ"))</f>
        <v/>
      </c>
      <c r="R143" s="28">
        <f>IF($A143="","",IF(OR($F143="",$H143=""),"",IF(ABS($H143-$F143)&gt;zincirTolerans,"ZİNCİR KIRIK","OK")))</f>
        <v/>
      </c>
      <c r="S143" s="28">
        <f>IF($A143="","",1)</f>
        <v/>
      </c>
    </row>
    <row r="144">
      <c r="A144" s="26" t="n"/>
      <c r="B144" s="26" t="n"/>
      <c r="C144" s="29" t="n"/>
      <c r="D144" s="26" t="n"/>
      <c r="E144" s="26" t="n"/>
      <c r="F144" s="27" t="n"/>
      <c r="G144" s="27" t="n"/>
      <c r="H144" s="27" t="n"/>
      <c r="I144" s="27" t="n"/>
      <c r="J144" s="27" t="n"/>
      <c r="K144" s="27" t="n"/>
      <c r="L144" s="26" t="n"/>
      <c r="M144" s="26" t="n"/>
      <c r="N144" s="28">
        <f>IF($A144="","",IF($C144="","",raporTarihi-$C144))</f>
        <v/>
      </c>
      <c r="O144" s="28">
        <f>IF($A144="","",IF($N144="","",IF($N144&lt;=7,"0-7",IF($N144&lt;=30,"8-30",IF($N144&lt;=60,"31-60","60+")))))</f>
        <v/>
      </c>
      <c r="P144" s="28">
        <f>IF($A144="","",IF($B144="","YETİM",IF(COUNTIF(tblKartlar[KartId],$B144)=0,"YETİM","")))</f>
        <v/>
      </c>
      <c r="Q144" s="28">
        <f>IF(OR($A144="",$D144=""),"",IF(OR($D144&amp;"|"&amp;$E144="",COUNTIF(ListeIzinliGecis,$D144&amp;"|"&amp;$E144)&gt;0),"","GEÇERSİZ GEÇİŞ"))</f>
        <v/>
      </c>
      <c r="R144" s="28">
        <f>IF($A144="","",IF(OR($F144="",$H144=""),"",IF(ABS($H144-$F144)&gt;zincirTolerans,"ZİNCİR KIRIK","OK")))</f>
        <v/>
      </c>
      <c r="S144" s="28">
        <f>IF($A144="","",1)</f>
        <v/>
      </c>
    </row>
    <row r="145">
      <c r="A145" s="26" t="n"/>
      <c r="B145" s="26" t="n"/>
      <c r="C145" s="29" t="n"/>
      <c r="D145" s="26" t="n"/>
      <c r="E145" s="26" t="n"/>
      <c r="F145" s="27" t="n"/>
      <c r="G145" s="27" t="n"/>
      <c r="H145" s="27" t="n"/>
      <c r="I145" s="27" t="n"/>
      <c r="J145" s="27" t="n"/>
      <c r="K145" s="27" t="n"/>
      <c r="L145" s="26" t="n"/>
      <c r="M145" s="26" t="n"/>
      <c r="N145" s="28">
        <f>IF($A145="","",IF($C145="","",raporTarihi-$C145))</f>
        <v/>
      </c>
      <c r="O145" s="28">
        <f>IF($A145="","",IF($N145="","",IF($N145&lt;=7,"0-7",IF($N145&lt;=30,"8-30",IF($N145&lt;=60,"31-60","60+")))))</f>
        <v/>
      </c>
      <c r="P145" s="28">
        <f>IF($A145="","",IF($B145="","YETİM",IF(COUNTIF(tblKartlar[KartId],$B145)=0,"YETİM","")))</f>
        <v/>
      </c>
      <c r="Q145" s="28">
        <f>IF(OR($A145="",$D145=""),"",IF(OR($D145&amp;"|"&amp;$E145="",COUNTIF(ListeIzinliGecis,$D145&amp;"|"&amp;$E145)&gt;0),"","GEÇERSİZ GEÇİŞ"))</f>
        <v/>
      </c>
      <c r="R145" s="28">
        <f>IF($A145="","",IF(OR($F145="",$H145=""),"",IF(ABS($H145-$F145)&gt;zincirTolerans,"ZİNCİR KIRIK","OK")))</f>
        <v/>
      </c>
      <c r="S145" s="28">
        <f>IF($A145="","",1)</f>
        <v/>
      </c>
    </row>
    <row r="146">
      <c r="A146" s="26" t="n"/>
      <c r="B146" s="26" t="n"/>
      <c r="C146" s="29" t="n"/>
      <c r="D146" s="26" t="n"/>
      <c r="E146" s="26" t="n"/>
      <c r="F146" s="27" t="n"/>
      <c r="G146" s="27" t="n"/>
      <c r="H146" s="27" t="n"/>
      <c r="I146" s="27" t="n"/>
      <c r="J146" s="27" t="n"/>
      <c r="K146" s="27" t="n"/>
      <c r="L146" s="26" t="n"/>
      <c r="M146" s="26" t="n"/>
      <c r="N146" s="28">
        <f>IF($A146="","",IF($C146="","",raporTarihi-$C146))</f>
        <v/>
      </c>
      <c r="O146" s="28">
        <f>IF($A146="","",IF($N146="","",IF($N146&lt;=7,"0-7",IF($N146&lt;=30,"8-30",IF($N146&lt;=60,"31-60","60+")))))</f>
        <v/>
      </c>
      <c r="P146" s="28">
        <f>IF($A146="","",IF($B146="","YETİM",IF(COUNTIF(tblKartlar[KartId],$B146)=0,"YETİM","")))</f>
        <v/>
      </c>
      <c r="Q146" s="28">
        <f>IF(OR($A146="",$D146=""),"",IF(OR($D146&amp;"|"&amp;$E146="",COUNTIF(ListeIzinliGecis,$D146&amp;"|"&amp;$E146)&gt;0),"","GEÇERSİZ GEÇİŞ"))</f>
        <v/>
      </c>
      <c r="R146" s="28">
        <f>IF($A146="","",IF(OR($F146="",$H146=""),"",IF(ABS($H146-$F146)&gt;zincirTolerans,"ZİNCİR KIRIK","OK")))</f>
        <v/>
      </c>
      <c r="S146" s="28">
        <f>IF($A146="","",1)</f>
        <v/>
      </c>
    </row>
    <row r="147">
      <c r="A147" s="26" t="n"/>
      <c r="B147" s="26" t="n"/>
      <c r="C147" s="29" t="n"/>
      <c r="D147" s="26" t="n"/>
      <c r="E147" s="26" t="n"/>
      <c r="F147" s="27" t="n"/>
      <c r="G147" s="27" t="n"/>
      <c r="H147" s="27" t="n"/>
      <c r="I147" s="27" t="n"/>
      <c r="J147" s="27" t="n"/>
      <c r="K147" s="27" t="n"/>
      <c r="L147" s="26" t="n"/>
      <c r="M147" s="26" t="n"/>
      <c r="N147" s="28">
        <f>IF($A147="","",IF($C147="","",raporTarihi-$C147))</f>
        <v/>
      </c>
      <c r="O147" s="28">
        <f>IF($A147="","",IF($N147="","",IF($N147&lt;=7,"0-7",IF($N147&lt;=30,"8-30",IF($N147&lt;=60,"31-60","60+")))))</f>
        <v/>
      </c>
      <c r="P147" s="28">
        <f>IF($A147="","",IF($B147="","YETİM",IF(COUNTIF(tblKartlar[KartId],$B147)=0,"YETİM","")))</f>
        <v/>
      </c>
      <c r="Q147" s="28">
        <f>IF(OR($A147="",$D147=""),"",IF(OR($D147&amp;"|"&amp;$E147="",COUNTIF(ListeIzinliGecis,$D147&amp;"|"&amp;$E147)&gt;0),"","GEÇERSİZ GEÇİŞ"))</f>
        <v/>
      </c>
      <c r="R147" s="28">
        <f>IF($A147="","",IF(OR($F147="",$H147=""),"",IF(ABS($H147-$F147)&gt;zincirTolerans,"ZİNCİR KIRIK","OK")))</f>
        <v/>
      </c>
      <c r="S147" s="28">
        <f>IF($A147="","",1)</f>
        <v/>
      </c>
    </row>
    <row r="148">
      <c r="A148" s="26" t="n"/>
      <c r="B148" s="26" t="n"/>
      <c r="C148" s="29" t="n"/>
      <c r="D148" s="26" t="n"/>
      <c r="E148" s="26" t="n"/>
      <c r="F148" s="27" t="n"/>
      <c r="G148" s="27" t="n"/>
      <c r="H148" s="27" t="n"/>
      <c r="I148" s="27" t="n"/>
      <c r="J148" s="27" t="n"/>
      <c r="K148" s="27" t="n"/>
      <c r="L148" s="26" t="n"/>
      <c r="M148" s="26" t="n"/>
      <c r="N148" s="28">
        <f>IF($A148="","",IF($C148="","",raporTarihi-$C148))</f>
        <v/>
      </c>
      <c r="O148" s="28">
        <f>IF($A148="","",IF($N148="","",IF($N148&lt;=7,"0-7",IF($N148&lt;=30,"8-30",IF($N148&lt;=60,"31-60","60+")))))</f>
        <v/>
      </c>
      <c r="P148" s="28">
        <f>IF($A148="","",IF($B148="","YETİM",IF(COUNTIF(tblKartlar[KartId],$B148)=0,"YETİM","")))</f>
        <v/>
      </c>
      <c r="Q148" s="28">
        <f>IF(OR($A148="",$D148=""),"",IF(OR($D148&amp;"|"&amp;$E148="",COUNTIF(ListeIzinliGecis,$D148&amp;"|"&amp;$E148)&gt;0),"","GEÇERSİZ GEÇİŞ"))</f>
        <v/>
      </c>
      <c r="R148" s="28">
        <f>IF($A148="","",IF(OR($F148="",$H148=""),"",IF(ABS($H148-$F148)&gt;zincirTolerans,"ZİNCİR KIRIK","OK")))</f>
        <v/>
      </c>
      <c r="S148" s="28">
        <f>IF($A148="","",1)</f>
        <v/>
      </c>
    </row>
    <row r="149">
      <c r="A149" s="26" t="n"/>
      <c r="B149" s="26" t="n"/>
      <c r="C149" s="29" t="n"/>
      <c r="D149" s="26" t="n"/>
      <c r="E149" s="26" t="n"/>
      <c r="F149" s="27" t="n"/>
      <c r="G149" s="27" t="n"/>
      <c r="H149" s="27" t="n"/>
      <c r="I149" s="27" t="n"/>
      <c r="J149" s="27" t="n"/>
      <c r="K149" s="27" t="n"/>
      <c r="L149" s="26" t="n"/>
      <c r="M149" s="26" t="n"/>
      <c r="N149" s="28">
        <f>IF($A149="","",IF($C149="","",raporTarihi-$C149))</f>
        <v/>
      </c>
      <c r="O149" s="28">
        <f>IF($A149="","",IF($N149="","",IF($N149&lt;=7,"0-7",IF($N149&lt;=30,"8-30",IF($N149&lt;=60,"31-60","60+")))))</f>
        <v/>
      </c>
      <c r="P149" s="28">
        <f>IF($A149="","",IF($B149="","YETİM",IF(COUNTIF(tblKartlar[KartId],$B149)=0,"YETİM","")))</f>
        <v/>
      </c>
      <c r="Q149" s="28">
        <f>IF(OR($A149="",$D149=""),"",IF(OR($D149&amp;"|"&amp;$E149="",COUNTIF(ListeIzinliGecis,$D149&amp;"|"&amp;$E149)&gt;0),"","GEÇERSİZ GEÇİŞ"))</f>
        <v/>
      </c>
      <c r="R149" s="28">
        <f>IF($A149="","",IF(OR($F149="",$H149=""),"",IF(ABS($H149-$F149)&gt;zincirTolerans,"ZİNCİR KIRIK","OK")))</f>
        <v/>
      </c>
      <c r="S149" s="28">
        <f>IF($A149="","",1)</f>
        <v/>
      </c>
    </row>
    <row r="150">
      <c r="A150" s="26" t="n"/>
      <c r="B150" s="26" t="n"/>
      <c r="C150" s="29" t="n"/>
      <c r="D150" s="26" t="n"/>
      <c r="E150" s="26" t="n"/>
      <c r="F150" s="27" t="n"/>
      <c r="G150" s="27" t="n"/>
      <c r="H150" s="27" t="n"/>
      <c r="I150" s="27" t="n"/>
      <c r="J150" s="27" t="n"/>
      <c r="K150" s="27" t="n"/>
      <c r="L150" s="26" t="n"/>
      <c r="M150" s="26" t="n"/>
      <c r="N150" s="28">
        <f>IF($A150="","",IF($C150="","",raporTarihi-$C150))</f>
        <v/>
      </c>
      <c r="O150" s="28">
        <f>IF($A150="","",IF($N150="","",IF($N150&lt;=7,"0-7",IF($N150&lt;=30,"8-30",IF($N150&lt;=60,"31-60","60+")))))</f>
        <v/>
      </c>
      <c r="P150" s="28">
        <f>IF($A150="","",IF($B150="","YETİM",IF(COUNTIF(tblKartlar[KartId],$B150)=0,"YETİM","")))</f>
        <v/>
      </c>
      <c r="Q150" s="28">
        <f>IF(OR($A150="",$D150=""),"",IF(OR($D150&amp;"|"&amp;$E150="",COUNTIF(ListeIzinliGecis,$D150&amp;"|"&amp;$E150)&gt;0),"","GEÇERSİZ GEÇİŞ"))</f>
        <v/>
      </c>
      <c r="R150" s="28">
        <f>IF($A150="","",IF(OR($F150="",$H150=""),"",IF(ABS($H150-$F150)&gt;zincirTolerans,"ZİNCİR KIRIK","OK")))</f>
        <v/>
      </c>
      <c r="S150" s="28">
        <f>IF($A150="","",1)</f>
        <v/>
      </c>
    </row>
    <row r="151">
      <c r="A151" s="26" t="n"/>
      <c r="B151" s="26" t="n"/>
      <c r="C151" s="29" t="n"/>
      <c r="D151" s="26" t="n"/>
      <c r="E151" s="26" t="n"/>
      <c r="F151" s="27" t="n"/>
      <c r="G151" s="27" t="n"/>
      <c r="H151" s="27" t="n"/>
      <c r="I151" s="27" t="n"/>
      <c r="J151" s="27" t="n"/>
      <c r="K151" s="27" t="n"/>
      <c r="L151" s="26" t="n"/>
      <c r="M151" s="26" t="n"/>
      <c r="N151" s="28">
        <f>IF($A151="","",IF($C151="","",raporTarihi-$C151))</f>
        <v/>
      </c>
      <c r="O151" s="28">
        <f>IF($A151="","",IF($N151="","",IF($N151&lt;=7,"0-7",IF($N151&lt;=30,"8-30",IF($N151&lt;=60,"31-60","60+")))))</f>
        <v/>
      </c>
      <c r="P151" s="28">
        <f>IF($A151="","",IF($B151="","YETİM",IF(COUNTIF(tblKartlar[KartId],$B151)=0,"YETİM","")))</f>
        <v/>
      </c>
      <c r="Q151" s="28">
        <f>IF(OR($A151="",$D151=""),"",IF(OR($D151&amp;"|"&amp;$E151="",COUNTIF(ListeIzinliGecis,$D151&amp;"|"&amp;$E151)&gt;0),"","GEÇERSİZ GEÇİŞ"))</f>
        <v/>
      </c>
      <c r="R151" s="28">
        <f>IF($A151="","",IF(OR($F151="",$H151=""),"",IF(ABS($H151-$F151)&gt;zincirTolerans,"ZİNCİR KIRIK","OK")))</f>
        <v/>
      </c>
      <c r="S151" s="28">
        <f>IF($A151="","",1)</f>
        <v/>
      </c>
    </row>
    <row r="152">
      <c r="A152" s="26" t="n"/>
      <c r="B152" s="26" t="n"/>
      <c r="C152" s="29" t="n"/>
      <c r="D152" s="26" t="n"/>
      <c r="E152" s="26" t="n"/>
      <c r="F152" s="27" t="n"/>
      <c r="G152" s="27" t="n"/>
      <c r="H152" s="27" t="n"/>
      <c r="I152" s="27" t="n"/>
      <c r="J152" s="27" t="n"/>
      <c r="K152" s="27" t="n"/>
      <c r="L152" s="26" t="n"/>
      <c r="M152" s="26" t="n"/>
      <c r="N152" s="28">
        <f>IF($A152="","",IF($C152="","",raporTarihi-$C152))</f>
        <v/>
      </c>
      <c r="O152" s="28">
        <f>IF($A152="","",IF($N152="","",IF($N152&lt;=7,"0-7",IF($N152&lt;=30,"8-30",IF($N152&lt;=60,"31-60","60+")))))</f>
        <v/>
      </c>
      <c r="P152" s="28">
        <f>IF($A152="","",IF($B152="","YETİM",IF(COUNTIF(tblKartlar[KartId],$B152)=0,"YETİM","")))</f>
        <v/>
      </c>
      <c r="Q152" s="28">
        <f>IF(OR($A152="",$D152=""),"",IF(OR($D152&amp;"|"&amp;$E152="",COUNTIF(ListeIzinliGecis,$D152&amp;"|"&amp;$E152)&gt;0),"","GEÇERSİZ GEÇİŞ"))</f>
        <v/>
      </c>
      <c r="R152" s="28">
        <f>IF($A152="","",IF(OR($F152="",$H152=""),"",IF(ABS($H152-$F152)&gt;zincirTolerans,"ZİNCİR KIRIK","OK")))</f>
        <v/>
      </c>
      <c r="S152" s="28">
        <f>IF($A152="","",1)</f>
        <v/>
      </c>
    </row>
    <row r="153">
      <c r="A153" s="26" t="n"/>
      <c r="B153" s="26" t="n"/>
      <c r="C153" s="29" t="n"/>
      <c r="D153" s="26" t="n"/>
      <c r="E153" s="26" t="n"/>
      <c r="F153" s="27" t="n"/>
      <c r="G153" s="27" t="n"/>
      <c r="H153" s="27" t="n"/>
      <c r="I153" s="27" t="n"/>
      <c r="J153" s="27" t="n"/>
      <c r="K153" s="27" t="n"/>
      <c r="L153" s="26" t="n"/>
      <c r="M153" s="26" t="n"/>
      <c r="N153" s="28">
        <f>IF($A153="","",IF($C153="","",raporTarihi-$C153))</f>
        <v/>
      </c>
      <c r="O153" s="28">
        <f>IF($A153="","",IF($N153="","",IF($N153&lt;=7,"0-7",IF($N153&lt;=30,"8-30",IF($N153&lt;=60,"31-60","60+")))))</f>
        <v/>
      </c>
      <c r="P153" s="28">
        <f>IF($A153="","",IF($B153="","YETİM",IF(COUNTIF(tblKartlar[KartId],$B153)=0,"YETİM","")))</f>
        <v/>
      </c>
      <c r="Q153" s="28">
        <f>IF(OR($A153="",$D153=""),"",IF(OR($D153&amp;"|"&amp;$E153="",COUNTIF(ListeIzinliGecis,$D153&amp;"|"&amp;$E153)&gt;0),"","GEÇERSİZ GEÇİŞ"))</f>
        <v/>
      </c>
      <c r="R153" s="28">
        <f>IF($A153="","",IF(OR($F153="",$H153=""),"",IF(ABS($H153-$F153)&gt;zincirTolerans,"ZİNCİR KIRIK","OK")))</f>
        <v/>
      </c>
      <c r="S153" s="28">
        <f>IF($A153="","",1)</f>
        <v/>
      </c>
    </row>
    <row r="154">
      <c r="A154" s="26" t="n"/>
      <c r="B154" s="26" t="n"/>
      <c r="C154" s="29" t="n"/>
      <c r="D154" s="26" t="n"/>
      <c r="E154" s="26" t="n"/>
      <c r="F154" s="27" t="n"/>
      <c r="G154" s="27" t="n"/>
      <c r="H154" s="27" t="n"/>
      <c r="I154" s="27" t="n"/>
      <c r="J154" s="27" t="n"/>
      <c r="K154" s="27" t="n"/>
      <c r="L154" s="26" t="n"/>
      <c r="M154" s="26" t="n"/>
      <c r="N154" s="28">
        <f>IF($A154="","",IF($C154="","",raporTarihi-$C154))</f>
        <v/>
      </c>
      <c r="O154" s="28">
        <f>IF($A154="","",IF($N154="","",IF($N154&lt;=7,"0-7",IF($N154&lt;=30,"8-30",IF($N154&lt;=60,"31-60","60+")))))</f>
        <v/>
      </c>
      <c r="P154" s="28">
        <f>IF($A154="","",IF($B154="","YETİM",IF(COUNTIF(tblKartlar[KartId],$B154)=0,"YETİM","")))</f>
        <v/>
      </c>
      <c r="Q154" s="28">
        <f>IF(OR($A154="",$D154=""),"",IF(OR($D154&amp;"|"&amp;$E154="",COUNTIF(ListeIzinliGecis,$D154&amp;"|"&amp;$E154)&gt;0),"","GEÇERSİZ GEÇİŞ"))</f>
        <v/>
      </c>
      <c r="R154" s="28">
        <f>IF($A154="","",IF(OR($F154="",$H154=""),"",IF(ABS($H154-$F154)&gt;zincirTolerans,"ZİNCİR KIRIK","OK")))</f>
        <v/>
      </c>
      <c r="S154" s="28">
        <f>IF($A154="","",1)</f>
        <v/>
      </c>
    </row>
    <row r="155">
      <c r="A155" s="26" t="n"/>
      <c r="B155" s="26" t="n"/>
      <c r="C155" s="29" t="n"/>
      <c r="D155" s="26" t="n"/>
      <c r="E155" s="26" t="n"/>
      <c r="F155" s="27" t="n"/>
      <c r="G155" s="27" t="n"/>
      <c r="H155" s="27" t="n"/>
      <c r="I155" s="27" t="n"/>
      <c r="J155" s="27" t="n"/>
      <c r="K155" s="27" t="n"/>
      <c r="L155" s="26" t="n"/>
      <c r="M155" s="26" t="n"/>
      <c r="N155" s="28">
        <f>IF($A155="","",IF($C155="","",raporTarihi-$C155))</f>
        <v/>
      </c>
      <c r="O155" s="28">
        <f>IF($A155="","",IF($N155="","",IF($N155&lt;=7,"0-7",IF($N155&lt;=30,"8-30",IF($N155&lt;=60,"31-60","60+")))))</f>
        <v/>
      </c>
      <c r="P155" s="28">
        <f>IF($A155="","",IF($B155="","YETİM",IF(COUNTIF(tblKartlar[KartId],$B155)=0,"YETİM","")))</f>
        <v/>
      </c>
      <c r="Q155" s="28">
        <f>IF(OR($A155="",$D155=""),"",IF(OR($D155&amp;"|"&amp;$E155="",COUNTIF(ListeIzinliGecis,$D155&amp;"|"&amp;$E155)&gt;0),"","GEÇERSİZ GEÇİŞ"))</f>
        <v/>
      </c>
      <c r="R155" s="28">
        <f>IF($A155="","",IF(OR($F155="",$H155=""),"",IF(ABS($H155-$F155)&gt;zincirTolerans,"ZİNCİR KIRIK","OK")))</f>
        <v/>
      </c>
      <c r="S155" s="28">
        <f>IF($A155="","",1)</f>
        <v/>
      </c>
    </row>
    <row r="156">
      <c r="A156" s="26" t="n"/>
      <c r="B156" s="26" t="n"/>
      <c r="C156" s="29" t="n"/>
      <c r="D156" s="26" t="n"/>
      <c r="E156" s="26" t="n"/>
      <c r="F156" s="27" t="n"/>
      <c r="G156" s="27" t="n"/>
      <c r="H156" s="27" t="n"/>
      <c r="I156" s="27" t="n"/>
      <c r="J156" s="27" t="n"/>
      <c r="K156" s="27" t="n"/>
      <c r="L156" s="26" t="n"/>
      <c r="M156" s="26" t="n"/>
      <c r="N156" s="28">
        <f>IF($A156="","",IF($C156="","",raporTarihi-$C156))</f>
        <v/>
      </c>
      <c r="O156" s="28">
        <f>IF($A156="","",IF($N156="","",IF($N156&lt;=7,"0-7",IF($N156&lt;=30,"8-30",IF($N156&lt;=60,"31-60","60+")))))</f>
        <v/>
      </c>
      <c r="P156" s="28">
        <f>IF($A156="","",IF($B156="","YETİM",IF(COUNTIF(tblKartlar[KartId],$B156)=0,"YETİM","")))</f>
        <v/>
      </c>
      <c r="Q156" s="28">
        <f>IF(OR($A156="",$D156=""),"",IF(OR($D156&amp;"|"&amp;$E156="",COUNTIF(ListeIzinliGecis,$D156&amp;"|"&amp;$E156)&gt;0),"","GEÇERSİZ GEÇİŞ"))</f>
        <v/>
      </c>
      <c r="R156" s="28">
        <f>IF($A156="","",IF(OR($F156="",$H156=""),"",IF(ABS($H156-$F156)&gt;zincirTolerans,"ZİNCİR KIRIK","OK")))</f>
        <v/>
      </c>
      <c r="S156" s="28">
        <f>IF($A156="","",1)</f>
        <v/>
      </c>
    </row>
    <row r="157">
      <c r="A157" s="26" t="n"/>
      <c r="B157" s="26" t="n"/>
      <c r="C157" s="29" t="n"/>
      <c r="D157" s="26" t="n"/>
      <c r="E157" s="26" t="n"/>
      <c r="F157" s="27" t="n"/>
      <c r="G157" s="27" t="n"/>
      <c r="H157" s="27" t="n"/>
      <c r="I157" s="27" t="n"/>
      <c r="J157" s="27" t="n"/>
      <c r="K157" s="27" t="n"/>
      <c r="L157" s="26" t="n"/>
      <c r="M157" s="26" t="n"/>
      <c r="N157" s="28">
        <f>IF($A157="","",IF($C157="","",raporTarihi-$C157))</f>
        <v/>
      </c>
      <c r="O157" s="28">
        <f>IF($A157="","",IF($N157="","",IF($N157&lt;=7,"0-7",IF($N157&lt;=30,"8-30",IF($N157&lt;=60,"31-60","60+")))))</f>
        <v/>
      </c>
      <c r="P157" s="28">
        <f>IF($A157="","",IF($B157="","YETİM",IF(COUNTIF(tblKartlar[KartId],$B157)=0,"YETİM","")))</f>
        <v/>
      </c>
      <c r="Q157" s="28">
        <f>IF(OR($A157="",$D157=""),"",IF(OR($D157&amp;"|"&amp;$E157="",COUNTIF(ListeIzinliGecis,$D157&amp;"|"&amp;$E157)&gt;0),"","GEÇERSİZ GEÇİŞ"))</f>
        <v/>
      </c>
      <c r="R157" s="28">
        <f>IF($A157="","",IF(OR($F157="",$H157=""),"",IF(ABS($H157-$F157)&gt;zincirTolerans,"ZİNCİR KIRIK","OK")))</f>
        <v/>
      </c>
      <c r="S157" s="28">
        <f>IF($A157="","",1)</f>
        <v/>
      </c>
    </row>
    <row r="158">
      <c r="A158" s="26" t="n"/>
      <c r="B158" s="26" t="n"/>
      <c r="C158" s="29" t="n"/>
      <c r="D158" s="26" t="n"/>
      <c r="E158" s="26" t="n"/>
      <c r="F158" s="27" t="n"/>
      <c r="G158" s="27" t="n"/>
      <c r="H158" s="27" t="n"/>
      <c r="I158" s="27" t="n"/>
      <c r="J158" s="27" t="n"/>
      <c r="K158" s="27" t="n"/>
      <c r="L158" s="26" t="n"/>
      <c r="M158" s="26" t="n"/>
      <c r="N158" s="28">
        <f>IF($A158="","",IF($C158="","",raporTarihi-$C158))</f>
        <v/>
      </c>
      <c r="O158" s="28">
        <f>IF($A158="","",IF($N158="","",IF($N158&lt;=7,"0-7",IF($N158&lt;=30,"8-30",IF($N158&lt;=60,"31-60","60+")))))</f>
        <v/>
      </c>
      <c r="P158" s="28">
        <f>IF($A158="","",IF($B158="","YETİM",IF(COUNTIF(tblKartlar[KartId],$B158)=0,"YETİM","")))</f>
        <v/>
      </c>
      <c r="Q158" s="28">
        <f>IF(OR($A158="",$D158=""),"",IF(OR($D158&amp;"|"&amp;$E158="",COUNTIF(ListeIzinliGecis,$D158&amp;"|"&amp;$E158)&gt;0),"","GEÇERSİZ GEÇİŞ"))</f>
        <v/>
      </c>
      <c r="R158" s="28">
        <f>IF($A158="","",IF(OR($F158="",$H158=""),"",IF(ABS($H158-$F158)&gt;zincirTolerans,"ZİNCİR KIRIK","OK")))</f>
        <v/>
      </c>
      <c r="S158" s="28">
        <f>IF($A158="","",1)</f>
        <v/>
      </c>
    </row>
    <row r="159">
      <c r="A159" s="26" t="n"/>
      <c r="B159" s="26" t="n"/>
      <c r="C159" s="29" t="n"/>
      <c r="D159" s="26" t="n"/>
      <c r="E159" s="26" t="n"/>
      <c r="F159" s="27" t="n"/>
      <c r="G159" s="27" t="n"/>
      <c r="H159" s="27" t="n"/>
      <c r="I159" s="27" t="n"/>
      <c r="J159" s="27" t="n"/>
      <c r="K159" s="27" t="n"/>
      <c r="L159" s="26" t="n"/>
      <c r="M159" s="26" t="n"/>
      <c r="N159" s="28">
        <f>IF($A159="","",IF($C159="","",raporTarihi-$C159))</f>
        <v/>
      </c>
      <c r="O159" s="28">
        <f>IF($A159="","",IF($N159="","",IF($N159&lt;=7,"0-7",IF($N159&lt;=30,"8-30",IF($N159&lt;=60,"31-60","60+")))))</f>
        <v/>
      </c>
      <c r="P159" s="28">
        <f>IF($A159="","",IF($B159="","YETİM",IF(COUNTIF(tblKartlar[KartId],$B159)=0,"YETİM","")))</f>
        <v/>
      </c>
      <c r="Q159" s="28">
        <f>IF(OR($A159="",$D159=""),"",IF(OR($D159&amp;"|"&amp;$E159="",COUNTIF(ListeIzinliGecis,$D159&amp;"|"&amp;$E159)&gt;0),"","GEÇERSİZ GEÇİŞ"))</f>
        <v/>
      </c>
      <c r="R159" s="28">
        <f>IF($A159="","",IF(OR($F159="",$H159=""),"",IF(ABS($H159-$F159)&gt;zincirTolerans,"ZİNCİR KIRIK","OK")))</f>
        <v/>
      </c>
      <c r="S159" s="28">
        <f>IF($A159="","",1)</f>
        <v/>
      </c>
    </row>
    <row r="160">
      <c r="A160" s="26" t="n"/>
      <c r="B160" s="26" t="n"/>
      <c r="C160" s="29" t="n"/>
      <c r="D160" s="26" t="n"/>
      <c r="E160" s="26" t="n"/>
      <c r="F160" s="27" t="n"/>
      <c r="G160" s="27" t="n"/>
      <c r="H160" s="27" t="n"/>
      <c r="I160" s="27" t="n"/>
      <c r="J160" s="27" t="n"/>
      <c r="K160" s="27" t="n"/>
      <c r="L160" s="26" t="n"/>
      <c r="M160" s="26" t="n"/>
      <c r="N160" s="28">
        <f>IF($A160="","",IF($C160="","",raporTarihi-$C160))</f>
        <v/>
      </c>
      <c r="O160" s="28">
        <f>IF($A160="","",IF($N160="","",IF($N160&lt;=7,"0-7",IF($N160&lt;=30,"8-30",IF($N160&lt;=60,"31-60","60+")))))</f>
        <v/>
      </c>
      <c r="P160" s="28">
        <f>IF($A160="","",IF($B160="","YETİM",IF(COUNTIF(tblKartlar[KartId],$B160)=0,"YETİM","")))</f>
        <v/>
      </c>
      <c r="Q160" s="28">
        <f>IF(OR($A160="",$D160=""),"",IF(OR($D160&amp;"|"&amp;$E160="",COUNTIF(ListeIzinliGecis,$D160&amp;"|"&amp;$E160)&gt;0),"","GEÇERSİZ GEÇİŞ"))</f>
        <v/>
      </c>
      <c r="R160" s="28">
        <f>IF($A160="","",IF(OR($F160="",$H160=""),"",IF(ABS($H160-$F160)&gt;zincirTolerans,"ZİNCİR KIRIK","OK")))</f>
        <v/>
      </c>
      <c r="S160" s="28">
        <f>IF($A160="","",1)</f>
        <v/>
      </c>
    </row>
    <row r="161">
      <c r="A161" s="26" t="n"/>
      <c r="B161" s="26" t="n"/>
      <c r="C161" s="29" t="n"/>
      <c r="D161" s="26" t="n"/>
      <c r="E161" s="26" t="n"/>
      <c r="F161" s="27" t="n"/>
      <c r="G161" s="27" t="n"/>
      <c r="H161" s="27" t="n"/>
      <c r="I161" s="27" t="n"/>
      <c r="J161" s="27" t="n"/>
      <c r="K161" s="27" t="n"/>
      <c r="L161" s="26" t="n"/>
      <c r="M161" s="26" t="n"/>
      <c r="N161" s="28">
        <f>IF($A161="","",IF($C161="","",raporTarihi-$C161))</f>
        <v/>
      </c>
      <c r="O161" s="28">
        <f>IF($A161="","",IF($N161="","",IF($N161&lt;=7,"0-7",IF($N161&lt;=30,"8-30",IF($N161&lt;=60,"31-60","60+")))))</f>
        <v/>
      </c>
      <c r="P161" s="28">
        <f>IF($A161="","",IF($B161="","YETİM",IF(COUNTIF(tblKartlar[KartId],$B161)=0,"YETİM","")))</f>
        <v/>
      </c>
      <c r="Q161" s="28">
        <f>IF(OR($A161="",$D161=""),"",IF(OR($D161&amp;"|"&amp;$E161="",COUNTIF(ListeIzinliGecis,$D161&amp;"|"&amp;$E161)&gt;0),"","GEÇERSİZ GEÇİŞ"))</f>
        <v/>
      </c>
      <c r="R161" s="28">
        <f>IF($A161="","",IF(OR($F161="",$H161=""),"",IF(ABS($H161-$F161)&gt;zincirTolerans,"ZİNCİR KIRIK","OK")))</f>
        <v/>
      </c>
      <c r="S161" s="28">
        <f>IF($A161="","",1)</f>
        <v/>
      </c>
    </row>
    <row r="162">
      <c r="A162" s="26" t="n"/>
      <c r="B162" s="26" t="n"/>
      <c r="C162" s="29" t="n"/>
      <c r="D162" s="26" t="n"/>
      <c r="E162" s="26" t="n"/>
      <c r="F162" s="27" t="n"/>
      <c r="G162" s="27" t="n"/>
      <c r="H162" s="27" t="n"/>
      <c r="I162" s="27" t="n"/>
      <c r="J162" s="27" t="n"/>
      <c r="K162" s="27" t="n"/>
      <c r="L162" s="26" t="n"/>
      <c r="M162" s="26" t="n"/>
      <c r="N162" s="28">
        <f>IF($A162="","",IF($C162="","",raporTarihi-$C162))</f>
        <v/>
      </c>
      <c r="O162" s="28">
        <f>IF($A162="","",IF($N162="","",IF($N162&lt;=7,"0-7",IF($N162&lt;=30,"8-30",IF($N162&lt;=60,"31-60","60+")))))</f>
        <v/>
      </c>
      <c r="P162" s="28">
        <f>IF($A162="","",IF($B162="","YETİM",IF(COUNTIF(tblKartlar[KartId],$B162)=0,"YETİM","")))</f>
        <v/>
      </c>
      <c r="Q162" s="28">
        <f>IF(OR($A162="",$D162=""),"",IF(OR($D162&amp;"|"&amp;$E162="",COUNTIF(ListeIzinliGecis,$D162&amp;"|"&amp;$E162)&gt;0),"","GEÇERSİZ GEÇİŞ"))</f>
        <v/>
      </c>
      <c r="R162" s="28">
        <f>IF($A162="","",IF(OR($F162="",$H162=""),"",IF(ABS($H162-$F162)&gt;zincirTolerans,"ZİNCİR KIRIK","OK")))</f>
        <v/>
      </c>
      <c r="S162" s="28">
        <f>IF($A162="","",1)</f>
        <v/>
      </c>
    </row>
    <row r="163">
      <c r="A163" s="26" t="n"/>
      <c r="B163" s="26" t="n"/>
      <c r="C163" s="29" t="n"/>
      <c r="D163" s="26" t="n"/>
      <c r="E163" s="26" t="n"/>
      <c r="F163" s="27" t="n"/>
      <c r="G163" s="27" t="n"/>
      <c r="H163" s="27" t="n"/>
      <c r="I163" s="27" t="n"/>
      <c r="J163" s="27" t="n"/>
      <c r="K163" s="27" t="n"/>
      <c r="L163" s="26" t="n"/>
      <c r="M163" s="26" t="n"/>
      <c r="N163" s="28">
        <f>IF($A163="","",IF($C163="","",raporTarihi-$C163))</f>
        <v/>
      </c>
      <c r="O163" s="28">
        <f>IF($A163="","",IF($N163="","",IF($N163&lt;=7,"0-7",IF($N163&lt;=30,"8-30",IF($N163&lt;=60,"31-60","60+")))))</f>
        <v/>
      </c>
      <c r="P163" s="28">
        <f>IF($A163="","",IF($B163="","YETİM",IF(COUNTIF(tblKartlar[KartId],$B163)=0,"YETİM","")))</f>
        <v/>
      </c>
      <c r="Q163" s="28">
        <f>IF(OR($A163="",$D163=""),"",IF(OR($D163&amp;"|"&amp;$E163="",COUNTIF(ListeIzinliGecis,$D163&amp;"|"&amp;$E163)&gt;0),"","GEÇERSİZ GEÇİŞ"))</f>
        <v/>
      </c>
      <c r="R163" s="28">
        <f>IF($A163="","",IF(OR($F163="",$H163=""),"",IF(ABS($H163-$F163)&gt;zincirTolerans,"ZİNCİR KIRIK","OK")))</f>
        <v/>
      </c>
      <c r="S163" s="28">
        <f>IF($A163="","",1)</f>
        <v/>
      </c>
    </row>
    <row r="164">
      <c r="A164" s="26" t="n"/>
      <c r="B164" s="26" t="n"/>
      <c r="C164" s="29" t="n"/>
      <c r="D164" s="26" t="n"/>
      <c r="E164" s="26" t="n"/>
      <c r="F164" s="27" t="n"/>
      <c r="G164" s="27" t="n"/>
      <c r="H164" s="27" t="n"/>
      <c r="I164" s="27" t="n"/>
      <c r="J164" s="27" t="n"/>
      <c r="K164" s="27" t="n"/>
      <c r="L164" s="26" t="n"/>
      <c r="M164" s="26" t="n"/>
      <c r="N164" s="28">
        <f>IF($A164="","",IF($C164="","",raporTarihi-$C164))</f>
        <v/>
      </c>
      <c r="O164" s="28">
        <f>IF($A164="","",IF($N164="","",IF($N164&lt;=7,"0-7",IF($N164&lt;=30,"8-30",IF($N164&lt;=60,"31-60","60+")))))</f>
        <v/>
      </c>
      <c r="P164" s="28">
        <f>IF($A164="","",IF($B164="","YETİM",IF(COUNTIF(tblKartlar[KartId],$B164)=0,"YETİM","")))</f>
        <v/>
      </c>
      <c r="Q164" s="28">
        <f>IF(OR($A164="",$D164=""),"",IF(OR($D164&amp;"|"&amp;$E164="",COUNTIF(ListeIzinliGecis,$D164&amp;"|"&amp;$E164)&gt;0),"","GEÇERSİZ GEÇİŞ"))</f>
        <v/>
      </c>
      <c r="R164" s="28">
        <f>IF($A164="","",IF(OR($F164="",$H164=""),"",IF(ABS($H164-$F164)&gt;zincirTolerans,"ZİNCİR KIRIK","OK")))</f>
        <v/>
      </c>
      <c r="S164" s="28">
        <f>IF($A164="","",1)</f>
        <v/>
      </c>
    </row>
    <row r="165">
      <c r="A165" s="26" t="n"/>
      <c r="B165" s="26" t="n"/>
      <c r="C165" s="29" t="n"/>
      <c r="D165" s="26" t="n"/>
      <c r="E165" s="26" t="n"/>
      <c r="F165" s="27" t="n"/>
      <c r="G165" s="27" t="n"/>
      <c r="H165" s="27" t="n"/>
      <c r="I165" s="27" t="n"/>
      <c r="J165" s="27" t="n"/>
      <c r="K165" s="27" t="n"/>
      <c r="L165" s="26" t="n"/>
      <c r="M165" s="26" t="n"/>
      <c r="N165" s="28">
        <f>IF($A165="","",IF($C165="","",raporTarihi-$C165))</f>
        <v/>
      </c>
      <c r="O165" s="28">
        <f>IF($A165="","",IF($N165="","",IF($N165&lt;=7,"0-7",IF($N165&lt;=30,"8-30",IF($N165&lt;=60,"31-60","60+")))))</f>
        <v/>
      </c>
      <c r="P165" s="28">
        <f>IF($A165="","",IF($B165="","YETİM",IF(COUNTIF(tblKartlar[KartId],$B165)=0,"YETİM","")))</f>
        <v/>
      </c>
      <c r="Q165" s="28">
        <f>IF(OR($A165="",$D165=""),"",IF(OR($D165&amp;"|"&amp;$E165="",COUNTIF(ListeIzinliGecis,$D165&amp;"|"&amp;$E165)&gt;0),"","GEÇERSİZ GEÇİŞ"))</f>
        <v/>
      </c>
      <c r="R165" s="28">
        <f>IF($A165="","",IF(OR($F165="",$H165=""),"",IF(ABS($H165-$F165)&gt;zincirTolerans,"ZİNCİR KIRIK","OK")))</f>
        <v/>
      </c>
      <c r="S165" s="28">
        <f>IF($A165="","",1)</f>
        <v/>
      </c>
    </row>
    <row r="166">
      <c r="A166" s="26" t="n"/>
      <c r="B166" s="26" t="n"/>
      <c r="C166" s="29" t="n"/>
      <c r="D166" s="26" t="n"/>
      <c r="E166" s="26" t="n"/>
      <c r="F166" s="27" t="n"/>
      <c r="G166" s="27" t="n"/>
      <c r="H166" s="27" t="n"/>
      <c r="I166" s="27" t="n"/>
      <c r="J166" s="27" t="n"/>
      <c r="K166" s="27" t="n"/>
      <c r="L166" s="26" t="n"/>
      <c r="M166" s="26" t="n"/>
      <c r="N166" s="28">
        <f>IF($A166="","",IF($C166="","",raporTarihi-$C166))</f>
        <v/>
      </c>
      <c r="O166" s="28">
        <f>IF($A166="","",IF($N166="","",IF($N166&lt;=7,"0-7",IF($N166&lt;=30,"8-30",IF($N166&lt;=60,"31-60","60+")))))</f>
        <v/>
      </c>
      <c r="P166" s="28">
        <f>IF($A166="","",IF($B166="","YETİM",IF(COUNTIF(tblKartlar[KartId],$B166)=0,"YETİM","")))</f>
        <v/>
      </c>
      <c r="Q166" s="28">
        <f>IF(OR($A166="",$D166=""),"",IF(OR($D166&amp;"|"&amp;$E166="",COUNTIF(ListeIzinliGecis,$D166&amp;"|"&amp;$E166)&gt;0),"","GEÇERSİZ GEÇİŞ"))</f>
        <v/>
      </c>
      <c r="R166" s="28">
        <f>IF($A166="","",IF(OR($F166="",$H166=""),"",IF(ABS($H166-$F166)&gt;zincirTolerans,"ZİNCİR KIRIK","OK")))</f>
        <v/>
      </c>
      <c r="S166" s="28">
        <f>IF($A166="","",1)</f>
        <v/>
      </c>
    </row>
    <row r="167">
      <c r="A167" s="26" t="n"/>
      <c r="B167" s="26" t="n"/>
      <c r="C167" s="29" t="n"/>
      <c r="D167" s="26" t="n"/>
      <c r="E167" s="26" t="n"/>
      <c r="F167" s="27" t="n"/>
      <c r="G167" s="27" t="n"/>
      <c r="H167" s="27" t="n"/>
      <c r="I167" s="27" t="n"/>
      <c r="J167" s="27" t="n"/>
      <c r="K167" s="27" t="n"/>
      <c r="L167" s="26" t="n"/>
      <c r="M167" s="26" t="n"/>
      <c r="N167" s="28">
        <f>IF($A167="","",IF($C167="","",raporTarihi-$C167))</f>
        <v/>
      </c>
      <c r="O167" s="28">
        <f>IF($A167="","",IF($N167="","",IF($N167&lt;=7,"0-7",IF($N167&lt;=30,"8-30",IF($N167&lt;=60,"31-60","60+")))))</f>
        <v/>
      </c>
      <c r="P167" s="28">
        <f>IF($A167="","",IF($B167="","YETİM",IF(COUNTIF(tblKartlar[KartId],$B167)=0,"YETİM","")))</f>
        <v/>
      </c>
      <c r="Q167" s="28">
        <f>IF(OR($A167="",$D167=""),"",IF(OR($D167&amp;"|"&amp;$E167="",COUNTIF(ListeIzinliGecis,$D167&amp;"|"&amp;$E167)&gt;0),"","GEÇERSİZ GEÇİŞ"))</f>
        <v/>
      </c>
      <c r="R167" s="28">
        <f>IF($A167="","",IF(OR($F167="",$H167=""),"",IF(ABS($H167-$F167)&gt;zincirTolerans,"ZİNCİR KIRIK","OK")))</f>
        <v/>
      </c>
      <c r="S167" s="28">
        <f>IF($A167="","",1)</f>
        <v/>
      </c>
    </row>
    <row r="168">
      <c r="A168" s="26" t="n"/>
      <c r="B168" s="26" t="n"/>
      <c r="C168" s="29" t="n"/>
      <c r="D168" s="26" t="n"/>
      <c r="E168" s="26" t="n"/>
      <c r="F168" s="27" t="n"/>
      <c r="G168" s="27" t="n"/>
      <c r="H168" s="27" t="n"/>
      <c r="I168" s="27" t="n"/>
      <c r="J168" s="27" t="n"/>
      <c r="K168" s="27" t="n"/>
      <c r="L168" s="26" t="n"/>
      <c r="M168" s="26" t="n"/>
      <c r="N168" s="28">
        <f>IF($A168="","",IF($C168="","",raporTarihi-$C168))</f>
        <v/>
      </c>
      <c r="O168" s="28">
        <f>IF($A168="","",IF($N168="","",IF($N168&lt;=7,"0-7",IF($N168&lt;=30,"8-30",IF($N168&lt;=60,"31-60","60+")))))</f>
        <v/>
      </c>
      <c r="P168" s="28">
        <f>IF($A168="","",IF($B168="","YETİM",IF(COUNTIF(tblKartlar[KartId],$B168)=0,"YETİM","")))</f>
        <v/>
      </c>
      <c r="Q168" s="28">
        <f>IF(OR($A168="",$D168=""),"",IF(OR($D168&amp;"|"&amp;$E168="",COUNTIF(ListeIzinliGecis,$D168&amp;"|"&amp;$E168)&gt;0),"","GEÇERSİZ GEÇİŞ"))</f>
        <v/>
      </c>
      <c r="R168" s="28">
        <f>IF($A168="","",IF(OR($F168="",$H168=""),"",IF(ABS($H168-$F168)&gt;zincirTolerans,"ZİNCİR KIRIK","OK")))</f>
        <v/>
      </c>
      <c r="S168" s="28">
        <f>IF($A168="","",1)</f>
        <v/>
      </c>
    </row>
    <row r="169">
      <c r="A169" s="26" t="n"/>
      <c r="B169" s="26" t="n"/>
      <c r="C169" s="29" t="n"/>
      <c r="D169" s="26" t="n"/>
      <c r="E169" s="26" t="n"/>
      <c r="F169" s="27" t="n"/>
      <c r="G169" s="27" t="n"/>
      <c r="H169" s="27" t="n"/>
      <c r="I169" s="27" t="n"/>
      <c r="J169" s="27" t="n"/>
      <c r="K169" s="27" t="n"/>
      <c r="L169" s="26" t="n"/>
      <c r="M169" s="26" t="n"/>
      <c r="N169" s="28">
        <f>IF($A169="","",IF($C169="","",raporTarihi-$C169))</f>
        <v/>
      </c>
      <c r="O169" s="28">
        <f>IF($A169="","",IF($N169="","",IF($N169&lt;=7,"0-7",IF($N169&lt;=30,"8-30",IF($N169&lt;=60,"31-60","60+")))))</f>
        <v/>
      </c>
      <c r="P169" s="28">
        <f>IF($A169="","",IF($B169="","YETİM",IF(COUNTIF(tblKartlar[KartId],$B169)=0,"YETİM","")))</f>
        <v/>
      </c>
      <c r="Q169" s="28">
        <f>IF(OR($A169="",$D169=""),"",IF(OR($D169&amp;"|"&amp;$E169="",COUNTIF(ListeIzinliGecis,$D169&amp;"|"&amp;$E169)&gt;0),"","GEÇERSİZ GEÇİŞ"))</f>
        <v/>
      </c>
      <c r="R169" s="28">
        <f>IF($A169="","",IF(OR($F169="",$H169=""),"",IF(ABS($H169-$F169)&gt;zincirTolerans,"ZİNCİR KIRIK","OK")))</f>
        <v/>
      </c>
      <c r="S169" s="28">
        <f>IF($A169="","",1)</f>
        <v/>
      </c>
    </row>
    <row r="170">
      <c r="A170" s="26" t="n"/>
      <c r="B170" s="26" t="n"/>
      <c r="C170" s="29" t="n"/>
      <c r="D170" s="26" t="n"/>
      <c r="E170" s="26" t="n"/>
      <c r="F170" s="27" t="n"/>
      <c r="G170" s="27" t="n"/>
      <c r="H170" s="27" t="n"/>
      <c r="I170" s="27" t="n"/>
      <c r="J170" s="27" t="n"/>
      <c r="K170" s="27" t="n"/>
      <c r="L170" s="26" t="n"/>
      <c r="M170" s="26" t="n"/>
      <c r="N170" s="28">
        <f>IF($A170="","",IF($C170="","",raporTarihi-$C170))</f>
        <v/>
      </c>
      <c r="O170" s="28">
        <f>IF($A170="","",IF($N170="","",IF($N170&lt;=7,"0-7",IF($N170&lt;=30,"8-30",IF($N170&lt;=60,"31-60","60+")))))</f>
        <v/>
      </c>
      <c r="P170" s="28">
        <f>IF($A170="","",IF($B170="","YETİM",IF(COUNTIF(tblKartlar[KartId],$B170)=0,"YETİM","")))</f>
        <v/>
      </c>
      <c r="Q170" s="28">
        <f>IF(OR($A170="",$D170=""),"",IF(OR($D170&amp;"|"&amp;$E170="",COUNTIF(ListeIzinliGecis,$D170&amp;"|"&amp;$E170)&gt;0),"","GEÇERSİZ GEÇİŞ"))</f>
        <v/>
      </c>
      <c r="R170" s="28">
        <f>IF($A170="","",IF(OR($F170="",$H170=""),"",IF(ABS($H170-$F170)&gt;zincirTolerans,"ZİNCİR KIRIK","OK")))</f>
        <v/>
      </c>
      <c r="S170" s="28">
        <f>IF($A170="","",1)</f>
        <v/>
      </c>
    </row>
    <row r="171">
      <c r="A171" s="26" t="n"/>
      <c r="B171" s="26" t="n"/>
      <c r="C171" s="29" t="n"/>
      <c r="D171" s="26" t="n"/>
      <c r="E171" s="26" t="n"/>
      <c r="F171" s="27" t="n"/>
      <c r="G171" s="27" t="n"/>
      <c r="H171" s="27" t="n"/>
      <c r="I171" s="27" t="n"/>
      <c r="J171" s="27" t="n"/>
      <c r="K171" s="27" t="n"/>
      <c r="L171" s="26" t="n"/>
      <c r="M171" s="26" t="n"/>
      <c r="N171" s="28">
        <f>IF($A171="","",IF($C171="","",raporTarihi-$C171))</f>
        <v/>
      </c>
      <c r="O171" s="28">
        <f>IF($A171="","",IF($N171="","",IF($N171&lt;=7,"0-7",IF($N171&lt;=30,"8-30",IF($N171&lt;=60,"31-60","60+")))))</f>
        <v/>
      </c>
      <c r="P171" s="28">
        <f>IF($A171="","",IF($B171="","YETİM",IF(COUNTIF(tblKartlar[KartId],$B171)=0,"YETİM","")))</f>
        <v/>
      </c>
      <c r="Q171" s="28">
        <f>IF(OR($A171="",$D171=""),"",IF(OR($D171&amp;"|"&amp;$E171="",COUNTIF(ListeIzinliGecis,$D171&amp;"|"&amp;$E171)&gt;0),"","GEÇERSİZ GEÇİŞ"))</f>
        <v/>
      </c>
      <c r="R171" s="28">
        <f>IF($A171="","",IF(OR($F171="",$H171=""),"",IF(ABS($H171-$F171)&gt;zincirTolerans,"ZİNCİR KIRIK","OK")))</f>
        <v/>
      </c>
      <c r="S171" s="28">
        <f>IF($A171="","",1)</f>
        <v/>
      </c>
    </row>
    <row r="172">
      <c r="A172" s="26" t="n"/>
      <c r="B172" s="26" t="n"/>
      <c r="C172" s="29" t="n"/>
      <c r="D172" s="26" t="n"/>
      <c r="E172" s="26" t="n"/>
      <c r="F172" s="27" t="n"/>
      <c r="G172" s="27" t="n"/>
      <c r="H172" s="27" t="n"/>
      <c r="I172" s="27" t="n"/>
      <c r="J172" s="27" t="n"/>
      <c r="K172" s="27" t="n"/>
      <c r="L172" s="26" t="n"/>
      <c r="M172" s="26" t="n"/>
      <c r="N172" s="28">
        <f>IF($A172="","",IF($C172="","",raporTarihi-$C172))</f>
        <v/>
      </c>
      <c r="O172" s="28">
        <f>IF($A172="","",IF($N172="","",IF($N172&lt;=7,"0-7",IF($N172&lt;=30,"8-30",IF($N172&lt;=60,"31-60","60+")))))</f>
        <v/>
      </c>
      <c r="P172" s="28">
        <f>IF($A172="","",IF($B172="","YETİM",IF(COUNTIF(tblKartlar[KartId],$B172)=0,"YETİM","")))</f>
        <v/>
      </c>
      <c r="Q172" s="28">
        <f>IF(OR($A172="",$D172=""),"",IF(OR($D172&amp;"|"&amp;$E172="",COUNTIF(ListeIzinliGecis,$D172&amp;"|"&amp;$E172)&gt;0),"","GEÇERSİZ GEÇİŞ"))</f>
        <v/>
      </c>
      <c r="R172" s="28">
        <f>IF($A172="","",IF(OR($F172="",$H172=""),"",IF(ABS($H172-$F172)&gt;zincirTolerans,"ZİNCİR KIRIK","OK")))</f>
        <v/>
      </c>
      <c r="S172" s="28">
        <f>IF($A172="","",1)</f>
        <v/>
      </c>
    </row>
    <row r="173">
      <c r="A173" s="26" t="n"/>
      <c r="B173" s="26" t="n"/>
      <c r="C173" s="29" t="n"/>
      <c r="D173" s="26" t="n"/>
      <c r="E173" s="26" t="n"/>
      <c r="F173" s="27" t="n"/>
      <c r="G173" s="27" t="n"/>
      <c r="H173" s="27" t="n"/>
      <c r="I173" s="27" t="n"/>
      <c r="J173" s="27" t="n"/>
      <c r="K173" s="27" t="n"/>
      <c r="L173" s="26" t="n"/>
      <c r="M173" s="26" t="n"/>
      <c r="N173" s="28">
        <f>IF($A173="","",IF($C173="","",raporTarihi-$C173))</f>
        <v/>
      </c>
      <c r="O173" s="28">
        <f>IF($A173="","",IF($N173="","",IF($N173&lt;=7,"0-7",IF($N173&lt;=30,"8-30",IF($N173&lt;=60,"31-60","60+")))))</f>
        <v/>
      </c>
      <c r="P173" s="28">
        <f>IF($A173="","",IF($B173="","YETİM",IF(COUNTIF(tblKartlar[KartId],$B173)=0,"YETİM","")))</f>
        <v/>
      </c>
      <c r="Q173" s="28">
        <f>IF(OR($A173="",$D173=""),"",IF(OR($D173&amp;"|"&amp;$E173="",COUNTIF(ListeIzinliGecis,$D173&amp;"|"&amp;$E173)&gt;0),"","GEÇERSİZ GEÇİŞ"))</f>
        <v/>
      </c>
      <c r="R173" s="28">
        <f>IF($A173="","",IF(OR($F173="",$H173=""),"",IF(ABS($H173-$F173)&gt;zincirTolerans,"ZİNCİR KIRIK","OK")))</f>
        <v/>
      </c>
      <c r="S173" s="28">
        <f>IF($A173="","",1)</f>
        <v/>
      </c>
    </row>
    <row r="174">
      <c r="A174" s="26" t="n"/>
      <c r="B174" s="26" t="n"/>
      <c r="C174" s="29" t="n"/>
      <c r="D174" s="26" t="n"/>
      <c r="E174" s="26" t="n"/>
      <c r="F174" s="27" t="n"/>
      <c r="G174" s="27" t="n"/>
      <c r="H174" s="27" t="n"/>
      <c r="I174" s="27" t="n"/>
      <c r="J174" s="27" t="n"/>
      <c r="K174" s="27" t="n"/>
      <c r="L174" s="26" t="n"/>
      <c r="M174" s="26" t="n"/>
      <c r="N174" s="28">
        <f>IF($A174="","",IF($C174="","",raporTarihi-$C174))</f>
        <v/>
      </c>
      <c r="O174" s="28">
        <f>IF($A174="","",IF($N174="","",IF($N174&lt;=7,"0-7",IF($N174&lt;=30,"8-30",IF($N174&lt;=60,"31-60","60+")))))</f>
        <v/>
      </c>
      <c r="P174" s="28">
        <f>IF($A174="","",IF($B174="","YETİM",IF(COUNTIF(tblKartlar[KartId],$B174)=0,"YETİM","")))</f>
        <v/>
      </c>
      <c r="Q174" s="28">
        <f>IF(OR($A174="",$D174=""),"",IF(OR($D174&amp;"|"&amp;$E174="",COUNTIF(ListeIzinliGecis,$D174&amp;"|"&amp;$E174)&gt;0),"","GEÇERSİZ GEÇİŞ"))</f>
        <v/>
      </c>
      <c r="R174" s="28">
        <f>IF($A174="","",IF(OR($F174="",$H174=""),"",IF(ABS($H174-$F174)&gt;zincirTolerans,"ZİNCİR KIRIK","OK")))</f>
        <v/>
      </c>
      <c r="S174" s="28">
        <f>IF($A174="","",1)</f>
        <v/>
      </c>
    </row>
    <row r="175">
      <c r="A175" s="26" t="n"/>
      <c r="B175" s="26" t="n"/>
      <c r="C175" s="29" t="n"/>
      <c r="D175" s="26" t="n"/>
      <c r="E175" s="26" t="n"/>
      <c r="F175" s="27" t="n"/>
      <c r="G175" s="27" t="n"/>
      <c r="H175" s="27" t="n"/>
      <c r="I175" s="27" t="n"/>
      <c r="J175" s="27" t="n"/>
      <c r="K175" s="27" t="n"/>
      <c r="L175" s="26" t="n"/>
      <c r="M175" s="26" t="n"/>
      <c r="N175" s="28">
        <f>IF($A175="","",IF($C175="","",raporTarihi-$C175))</f>
        <v/>
      </c>
      <c r="O175" s="28">
        <f>IF($A175="","",IF($N175="","",IF($N175&lt;=7,"0-7",IF($N175&lt;=30,"8-30",IF($N175&lt;=60,"31-60","60+")))))</f>
        <v/>
      </c>
      <c r="P175" s="28">
        <f>IF($A175="","",IF($B175="","YETİM",IF(COUNTIF(tblKartlar[KartId],$B175)=0,"YETİM","")))</f>
        <v/>
      </c>
      <c r="Q175" s="28">
        <f>IF(OR($A175="",$D175=""),"",IF(OR($D175&amp;"|"&amp;$E175="",COUNTIF(ListeIzinliGecis,$D175&amp;"|"&amp;$E175)&gt;0),"","GEÇERSİZ GEÇİŞ"))</f>
        <v/>
      </c>
      <c r="R175" s="28">
        <f>IF($A175="","",IF(OR($F175="",$H175=""),"",IF(ABS($H175-$F175)&gt;zincirTolerans,"ZİNCİR KIRIK","OK")))</f>
        <v/>
      </c>
      <c r="S175" s="28">
        <f>IF($A175="","",1)</f>
        <v/>
      </c>
    </row>
    <row r="176">
      <c r="A176" s="26" t="n"/>
      <c r="B176" s="26" t="n"/>
      <c r="C176" s="29" t="n"/>
      <c r="D176" s="26" t="n"/>
      <c r="E176" s="26" t="n"/>
      <c r="F176" s="27" t="n"/>
      <c r="G176" s="27" t="n"/>
      <c r="H176" s="27" t="n"/>
      <c r="I176" s="27" t="n"/>
      <c r="J176" s="27" t="n"/>
      <c r="K176" s="27" t="n"/>
      <c r="L176" s="26" t="n"/>
      <c r="M176" s="26" t="n"/>
      <c r="N176" s="28">
        <f>IF($A176="","",IF($C176="","",raporTarihi-$C176))</f>
        <v/>
      </c>
      <c r="O176" s="28">
        <f>IF($A176="","",IF($N176="","",IF($N176&lt;=7,"0-7",IF($N176&lt;=30,"8-30",IF($N176&lt;=60,"31-60","60+")))))</f>
        <v/>
      </c>
      <c r="P176" s="28">
        <f>IF($A176="","",IF($B176="","YETİM",IF(COUNTIF(tblKartlar[KartId],$B176)=0,"YETİM","")))</f>
        <v/>
      </c>
      <c r="Q176" s="28">
        <f>IF(OR($A176="",$D176=""),"",IF(OR($D176&amp;"|"&amp;$E176="",COUNTIF(ListeIzinliGecis,$D176&amp;"|"&amp;$E176)&gt;0),"","GEÇERSİZ GEÇİŞ"))</f>
        <v/>
      </c>
      <c r="R176" s="28">
        <f>IF($A176="","",IF(OR($F176="",$H176=""),"",IF(ABS($H176-$F176)&gt;zincirTolerans,"ZİNCİR KIRIK","OK")))</f>
        <v/>
      </c>
      <c r="S176" s="28">
        <f>IF($A176="","",1)</f>
        <v/>
      </c>
    </row>
    <row r="177">
      <c r="A177" s="26" t="n"/>
      <c r="B177" s="26" t="n"/>
      <c r="C177" s="29" t="n"/>
      <c r="D177" s="26" t="n"/>
      <c r="E177" s="26" t="n"/>
      <c r="F177" s="27" t="n"/>
      <c r="G177" s="27" t="n"/>
      <c r="H177" s="27" t="n"/>
      <c r="I177" s="27" t="n"/>
      <c r="J177" s="27" t="n"/>
      <c r="K177" s="27" t="n"/>
      <c r="L177" s="26" t="n"/>
      <c r="M177" s="26" t="n"/>
      <c r="N177" s="28">
        <f>IF($A177="","",IF($C177="","",raporTarihi-$C177))</f>
        <v/>
      </c>
      <c r="O177" s="28">
        <f>IF($A177="","",IF($N177="","",IF($N177&lt;=7,"0-7",IF($N177&lt;=30,"8-30",IF($N177&lt;=60,"31-60","60+")))))</f>
        <v/>
      </c>
      <c r="P177" s="28">
        <f>IF($A177="","",IF($B177="","YETİM",IF(COUNTIF(tblKartlar[KartId],$B177)=0,"YETİM","")))</f>
        <v/>
      </c>
      <c r="Q177" s="28">
        <f>IF(OR($A177="",$D177=""),"",IF(OR($D177&amp;"|"&amp;$E177="",COUNTIF(ListeIzinliGecis,$D177&amp;"|"&amp;$E177)&gt;0),"","GEÇERSİZ GEÇİŞ"))</f>
        <v/>
      </c>
      <c r="R177" s="28">
        <f>IF($A177="","",IF(OR($F177="",$H177=""),"",IF(ABS($H177-$F177)&gt;zincirTolerans,"ZİNCİR KIRIK","OK")))</f>
        <v/>
      </c>
      <c r="S177" s="28">
        <f>IF($A177="","",1)</f>
        <v/>
      </c>
    </row>
    <row r="178">
      <c r="A178" s="26" t="n"/>
      <c r="B178" s="26" t="n"/>
      <c r="C178" s="29" t="n"/>
      <c r="D178" s="26" t="n"/>
      <c r="E178" s="26" t="n"/>
      <c r="F178" s="27" t="n"/>
      <c r="G178" s="27" t="n"/>
      <c r="H178" s="27" t="n"/>
      <c r="I178" s="27" t="n"/>
      <c r="J178" s="27" t="n"/>
      <c r="K178" s="27" t="n"/>
      <c r="L178" s="26" t="n"/>
      <c r="M178" s="26" t="n"/>
      <c r="N178" s="28">
        <f>IF($A178="","",IF($C178="","",raporTarihi-$C178))</f>
        <v/>
      </c>
      <c r="O178" s="28">
        <f>IF($A178="","",IF($N178="","",IF($N178&lt;=7,"0-7",IF($N178&lt;=30,"8-30",IF($N178&lt;=60,"31-60","60+")))))</f>
        <v/>
      </c>
      <c r="P178" s="28">
        <f>IF($A178="","",IF($B178="","YETİM",IF(COUNTIF(tblKartlar[KartId],$B178)=0,"YETİM","")))</f>
        <v/>
      </c>
      <c r="Q178" s="28">
        <f>IF(OR($A178="",$D178=""),"",IF(OR($D178&amp;"|"&amp;$E178="",COUNTIF(ListeIzinliGecis,$D178&amp;"|"&amp;$E178)&gt;0),"","GEÇERSİZ GEÇİŞ"))</f>
        <v/>
      </c>
      <c r="R178" s="28">
        <f>IF($A178="","",IF(OR($F178="",$H178=""),"",IF(ABS($H178-$F178)&gt;zincirTolerans,"ZİNCİR KIRIK","OK")))</f>
        <v/>
      </c>
      <c r="S178" s="28">
        <f>IF($A178="","",1)</f>
        <v/>
      </c>
    </row>
    <row r="179">
      <c r="A179" s="26" t="n"/>
      <c r="B179" s="26" t="n"/>
      <c r="C179" s="29" t="n"/>
      <c r="D179" s="26" t="n"/>
      <c r="E179" s="26" t="n"/>
      <c r="F179" s="27" t="n"/>
      <c r="G179" s="27" t="n"/>
      <c r="H179" s="27" t="n"/>
      <c r="I179" s="27" t="n"/>
      <c r="J179" s="27" t="n"/>
      <c r="K179" s="27" t="n"/>
      <c r="L179" s="26" t="n"/>
      <c r="M179" s="26" t="n"/>
      <c r="N179" s="28">
        <f>IF($A179="","",IF($C179="","",raporTarihi-$C179))</f>
        <v/>
      </c>
      <c r="O179" s="28">
        <f>IF($A179="","",IF($N179="","",IF($N179&lt;=7,"0-7",IF($N179&lt;=30,"8-30",IF($N179&lt;=60,"31-60","60+")))))</f>
        <v/>
      </c>
      <c r="P179" s="28">
        <f>IF($A179="","",IF($B179="","YETİM",IF(COUNTIF(tblKartlar[KartId],$B179)=0,"YETİM","")))</f>
        <v/>
      </c>
      <c r="Q179" s="28">
        <f>IF(OR($A179="",$D179=""),"",IF(OR($D179&amp;"|"&amp;$E179="",COUNTIF(ListeIzinliGecis,$D179&amp;"|"&amp;$E179)&gt;0),"","GEÇERSİZ GEÇİŞ"))</f>
        <v/>
      </c>
      <c r="R179" s="28">
        <f>IF($A179="","",IF(OR($F179="",$H179=""),"",IF(ABS($H179-$F179)&gt;zincirTolerans,"ZİNCİR KIRIK","OK")))</f>
        <v/>
      </c>
      <c r="S179" s="28">
        <f>IF($A179="","",1)</f>
        <v/>
      </c>
    </row>
    <row r="180">
      <c r="A180" s="26" t="n"/>
      <c r="B180" s="26" t="n"/>
      <c r="C180" s="29" t="n"/>
      <c r="D180" s="26" t="n"/>
      <c r="E180" s="26" t="n"/>
      <c r="F180" s="27" t="n"/>
      <c r="G180" s="27" t="n"/>
      <c r="H180" s="27" t="n"/>
      <c r="I180" s="27" t="n"/>
      <c r="J180" s="27" t="n"/>
      <c r="K180" s="27" t="n"/>
      <c r="L180" s="26" t="n"/>
      <c r="M180" s="26" t="n"/>
      <c r="N180" s="28">
        <f>IF($A180="","",IF($C180="","",raporTarihi-$C180))</f>
        <v/>
      </c>
      <c r="O180" s="28">
        <f>IF($A180="","",IF($N180="","",IF($N180&lt;=7,"0-7",IF($N180&lt;=30,"8-30",IF($N180&lt;=60,"31-60","60+")))))</f>
        <v/>
      </c>
      <c r="P180" s="28">
        <f>IF($A180="","",IF($B180="","YETİM",IF(COUNTIF(tblKartlar[KartId],$B180)=0,"YETİM","")))</f>
        <v/>
      </c>
      <c r="Q180" s="28">
        <f>IF(OR($A180="",$D180=""),"",IF(OR($D180&amp;"|"&amp;$E180="",COUNTIF(ListeIzinliGecis,$D180&amp;"|"&amp;$E180)&gt;0),"","GEÇERSİZ GEÇİŞ"))</f>
        <v/>
      </c>
      <c r="R180" s="28">
        <f>IF($A180="","",IF(OR($F180="",$H180=""),"",IF(ABS($H180-$F180)&gt;zincirTolerans,"ZİNCİR KIRIK","OK")))</f>
        <v/>
      </c>
      <c r="S180" s="28">
        <f>IF($A180="","",1)</f>
        <v/>
      </c>
    </row>
    <row r="181">
      <c r="A181" s="26" t="n"/>
      <c r="B181" s="26" t="n"/>
      <c r="C181" s="29" t="n"/>
      <c r="D181" s="26" t="n"/>
      <c r="E181" s="26" t="n"/>
      <c r="F181" s="27" t="n"/>
      <c r="G181" s="27" t="n"/>
      <c r="H181" s="27" t="n"/>
      <c r="I181" s="27" t="n"/>
      <c r="J181" s="27" t="n"/>
      <c r="K181" s="27" t="n"/>
      <c r="L181" s="26" t="n"/>
      <c r="M181" s="26" t="n"/>
      <c r="N181" s="28">
        <f>IF($A181="","",IF($C181="","",raporTarihi-$C181))</f>
        <v/>
      </c>
      <c r="O181" s="28">
        <f>IF($A181="","",IF($N181="","",IF($N181&lt;=7,"0-7",IF($N181&lt;=30,"8-30",IF($N181&lt;=60,"31-60","60+")))))</f>
        <v/>
      </c>
      <c r="P181" s="28">
        <f>IF($A181="","",IF($B181="","YETİM",IF(COUNTIF(tblKartlar[KartId],$B181)=0,"YETİM","")))</f>
        <v/>
      </c>
      <c r="Q181" s="28">
        <f>IF(OR($A181="",$D181=""),"",IF(OR($D181&amp;"|"&amp;$E181="",COUNTIF(ListeIzinliGecis,$D181&amp;"|"&amp;$E181)&gt;0),"","GEÇERSİZ GEÇİŞ"))</f>
        <v/>
      </c>
      <c r="R181" s="28">
        <f>IF($A181="","",IF(OR($F181="",$H181=""),"",IF(ABS($H181-$F181)&gt;zincirTolerans,"ZİNCİR KIRIK","OK")))</f>
        <v/>
      </c>
      <c r="S181" s="28">
        <f>IF($A181="","",1)</f>
        <v/>
      </c>
    </row>
    <row r="182">
      <c r="A182" s="26" t="n"/>
      <c r="B182" s="26" t="n"/>
      <c r="C182" s="29" t="n"/>
      <c r="D182" s="26" t="n"/>
      <c r="E182" s="26" t="n"/>
      <c r="F182" s="27" t="n"/>
      <c r="G182" s="27" t="n"/>
      <c r="H182" s="27" t="n"/>
      <c r="I182" s="27" t="n"/>
      <c r="J182" s="27" t="n"/>
      <c r="K182" s="27" t="n"/>
      <c r="L182" s="26" t="n"/>
      <c r="M182" s="26" t="n"/>
      <c r="N182" s="28">
        <f>IF($A182="","",IF($C182="","",raporTarihi-$C182))</f>
        <v/>
      </c>
      <c r="O182" s="28">
        <f>IF($A182="","",IF($N182="","",IF($N182&lt;=7,"0-7",IF($N182&lt;=30,"8-30",IF($N182&lt;=60,"31-60","60+")))))</f>
        <v/>
      </c>
      <c r="P182" s="28">
        <f>IF($A182="","",IF($B182="","YETİM",IF(COUNTIF(tblKartlar[KartId],$B182)=0,"YETİM","")))</f>
        <v/>
      </c>
      <c r="Q182" s="28">
        <f>IF(OR($A182="",$D182=""),"",IF(OR($D182&amp;"|"&amp;$E182="",COUNTIF(ListeIzinliGecis,$D182&amp;"|"&amp;$E182)&gt;0),"","GEÇERSİZ GEÇİŞ"))</f>
        <v/>
      </c>
      <c r="R182" s="28">
        <f>IF($A182="","",IF(OR($F182="",$H182=""),"",IF(ABS($H182-$F182)&gt;zincirTolerans,"ZİNCİR KIRIK","OK")))</f>
        <v/>
      </c>
      <c r="S182" s="28">
        <f>IF($A182="","",1)</f>
        <v/>
      </c>
    </row>
    <row r="183">
      <c r="A183" s="26" t="n"/>
      <c r="B183" s="26" t="n"/>
      <c r="C183" s="29" t="n"/>
      <c r="D183" s="26" t="n"/>
      <c r="E183" s="26" t="n"/>
      <c r="F183" s="27" t="n"/>
      <c r="G183" s="27" t="n"/>
      <c r="H183" s="27" t="n"/>
      <c r="I183" s="27" t="n"/>
      <c r="J183" s="27" t="n"/>
      <c r="K183" s="27" t="n"/>
      <c r="L183" s="26" t="n"/>
      <c r="M183" s="26" t="n"/>
      <c r="N183" s="28">
        <f>IF($A183="","",IF($C183="","",raporTarihi-$C183))</f>
        <v/>
      </c>
      <c r="O183" s="28">
        <f>IF($A183="","",IF($N183="","",IF($N183&lt;=7,"0-7",IF($N183&lt;=30,"8-30",IF($N183&lt;=60,"31-60","60+")))))</f>
        <v/>
      </c>
      <c r="P183" s="28">
        <f>IF($A183="","",IF($B183="","YETİM",IF(COUNTIF(tblKartlar[KartId],$B183)=0,"YETİM","")))</f>
        <v/>
      </c>
      <c r="Q183" s="28">
        <f>IF(OR($A183="",$D183=""),"",IF(OR($D183&amp;"|"&amp;$E183="",COUNTIF(ListeIzinliGecis,$D183&amp;"|"&amp;$E183)&gt;0),"","GEÇERSİZ GEÇİŞ"))</f>
        <v/>
      </c>
      <c r="R183" s="28">
        <f>IF($A183="","",IF(OR($F183="",$H183=""),"",IF(ABS($H183-$F183)&gt;zincirTolerans,"ZİNCİR KIRIK","OK")))</f>
        <v/>
      </c>
      <c r="S183" s="28">
        <f>IF($A183="","",1)</f>
        <v/>
      </c>
    </row>
    <row r="184">
      <c r="A184" s="26" t="n"/>
      <c r="B184" s="26" t="n"/>
      <c r="C184" s="29" t="n"/>
      <c r="D184" s="26" t="n"/>
      <c r="E184" s="26" t="n"/>
      <c r="F184" s="27" t="n"/>
      <c r="G184" s="27" t="n"/>
      <c r="H184" s="27" t="n"/>
      <c r="I184" s="27" t="n"/>
      <c r="J184" s="27" t="n"/>
      <c r="K184" s="27" t="n"/>
      <c r="L184" s="26" t="n"/>
      <c r="M184" s="26" t="n"/>
      <c r="N184" s="28">
        <f>IF($A184="","",IF($C184="","",raporTarihi-$C184))</f>
        <v/>
      </c>
      <c r="O184" s="28">
        <f>IF($A184="","",IF($N184="","",IF($N184&lt;=7,"0-7",IF($N184&lt;=30,"8-30",IF($N184&lt;=60,"31-60","60+")))))</f>
        <v/>
      </c>
      <c r="P184" s="28">
        <f>IF($A184="","",IF($B184="","YETİM",IF(COUNTIF(tblKartlar[KartId],$B184)=0,"YETİM","")))</f>
        <v/>
      </c>
      <c r="Q184" s="28">
        <f>IF(OR($A184="",$D184=""),"",IF(OR($D184&amp;"|"&amp;$E184="",COUNTIF(ListeIzinliGecis,$D184&amp;"|"&amp;$E184)&gt;0),"","GEÇERSİZ GEÇİŞ"))</f>
        <v/>
      </c>
      <c r="R184" s="28">
        <f>IF($A184="","",IF(OR($F184="",$H184=""),"",IF(ABS($H184-$F184)&gt;zincirTolerans,"ZİNCİR KIRIK","OK")))</f>
        <v/>
      </c>
      <c r="S184" s="28">
        <f>IF($A184="","",1)</f>
        <v/>
      </c>
    </row>
    <row r="185">
      <c r="A185" s="26" t="n"/>
      <c r="B185" s="26" t="n"/>
      <c r="C185" s="29" t="n"/>
      <c r="D185" s="26" t="n"/>
      <c r="E185" s="26" t="n"/>
      <c r="F185" s="27" t="n"/>
      <c r="G185" s="27" t="n"/>
      <c r="H185" s="27" t="n"/>
      <c r="I185" s="27" t="n"/>
      <c r="J185" s="27" t="n"/>
      <c r="K185" s="27" t="n"/>
      <c r="L185" s="26" t="n"/>
      <c r="M185" s="26" t="n"/>
      <c r="N185" s="28">
        <f>IF($A185="","",IF($C185="","",raporTarihi-$C185))</f>
        <v/>
      </c>
      <c r="O185" s="28">
        <f>IF($A185="","",IF($N185="","",IF($N185&lt;=7,"0-7",IF($N185&lt;=30,"8-30",IF($N185&lt;=60,"31-60","60+")))))</f>
        <v/>
      </c>
      <c r="P185" s="28">
        <f>IF($A185="","",IF($B185="","YETİM",IF(COUNTIF(tblKartlar[KartId],$B185)=0,"YETİM","")))</f>
        <v/>
      </c>
      <c r="Q185" s="28">
        <f>IF(OR($A185="",$D185=""),"",IF(OR($D185&amp;"|"&amp;$E185="",COUNTIF(ListeIzinliGecis,$D185&amp;"|"&amp;$E185)&gt;0),"","GEÇERSİZ GEÇİŞ"))</f>
        <v/>
      </c>
      <c r="R185" s="28">
        <f>IF($A185="","",IF(OR($F185="",$H185=""),"",IF(ABS($H185-$F185)&gt;zincirTolerans,"ZİNCİR KIRIK","OK")))</f>
        <v/>
      </c>
      <c r="S185" s="28">
        <f>IF($A185="","",1)</f>
        <v/>
      </c>
    </row>
    <row r="186">
      <c r="A186" s="26" t="n"/>
      <c r="B186" s="26" t="n"/>
      <c r="C186" s="29" t="n"/>
      <c r="D186" s="26" t="n"/>
      <c r="E186" s="26" t="n"/>
      <c r="F186" s="27" t="n"/>
      <c r="G186" s="27" t="n"/>
      <c r="H186" s="27" t="n"/>
      <c r="I186" s="27" t="n"/>
      <c r="J186" s="27" t="n"/>
      <c r="K186" s="27" t="n"/>
      <c r="L186" s="26" t="n"/>
      <c r="M186" s="26" t="n"/>
      <c r="N186" s="28">
        <f>IF($A186="","",IF($C186="","",raporTarihi-$C186))</f>
        <v/>
      </c>
      <c r="O186" s="28">
        <f>IF($A186="","",IF($N186="","",IF($N186&lt;=7,"0-7",IF($N186&lt;=30,"8-30",IF($N186&lt;=60,"31-60","60+")))))</f>
        <v/>
      </c>
      <c r="P186" s="28">
        <f>IF($A186="","",IF($B186="","YETİM",IF(COUNTIF(tblKartlar[KartId],$B186)=0,"YETİM","")))</f>
        <v/>
      </c>
      <c r="Q186" s="28">
        <f>IF(OR($A186="",$D186=""),"",IF(OR($D186&amp;"|"&amp;$E186="",COUNTIF(ListeIzinliGecis,$D186&amp;"|"&amp;$E186)&gt;0),"","GEÇERSİZ GEÇİŞ"))</f>
        <v/>
      </c>
      <c r="R186" s="28">
        <f>IF($A186="","",IF(OR($F186="",$H186=""),"",IF(ABS($H186-$F186)&gt;zincirTolerans,"ZİNCİR KIRIK","OK")))</f>
        <v/>
      </c>
      <c r="S186" s="28">
        <f>IF($A186="","",1)</f>
        <v/>
      </c>
    </row>
    <row r="187">
      <c r="A187" s="26" t="n"/>
      <c r="B187" s="26" t="n"/>
      <c r="C187" s="29" t="n"/>
      <c r="D187" s="26" t="n"/>
      <c r="E187" s="26" t="n"/>
      <c r="F187" s="27" t="n"/>
      <c r="G187" s="27" t="n"/>
      <c r="H187" s="27" t="n"/>
      <c r="I187" s="27" t="n"/>
      <c r="J187" s="27" t="n"/>
      <c r="K187" s="27" t="n"/>
      <c r="L187" s="26" t="n"/>
      <c r="M187" s="26" t="n"/>
      <c r="N187" s="28">
        <f>IF($A187="","",IF($C187="","",raporTarihi-$C187))</f>
        <v/>
      </c>
      <c r="O187" s="28">
        <f>IF($A187="","",IF($N187="","",IF($N187&lt;=7,"0-7",IF($N187&lt;=30,"8-30",IF($N187&lt;=60,"31-60","60+")))))</f>
        <v/>
      </c>
      <c r="P187" s="28">
        <f>IF($A187="","",IF($B187="","YETİM",IF(COUNTIF(tblKartlar[KartId],$B187)=0,"YETİM","")))</f>
        <v/>
      </c>
      <c r="Q187" s="28">
        <f>IF(OR($A187="",$D187=""),"",IF(OR($D187&amp;"|"&amp;$E187="",COUNTIF(ListeIzinliGecis,$D187&amp;"|"&amp;$E187)&gt;0),"","GEÇERSİZ GEÇİŞ"))</f>
        <v/>
      </c>
      <c r="R187" s="28">
        <f>IF($A187="","",IF(OR($F187="",$H187=""),"",IF(ABS($H187-$F187)&gt;zincirTolerans,"ZİNCİR KIRIK","OK")))</f>
        <v/>
      </c>
      <c r="S187" s="28">
        <f>IF($A187="","",1)</f>
        <v/>
      </c>
    </row>
    <row r="188">
      <c r="A188" s="26" t="n"/>
      <c r="B188" s="26" t="n"/>
      <c r="C188" s="29" t="n"/>
      <c r="D188" s="26" t="n"/>
      <c r="E188" s="26" t="n"/>
      <c r="F188" s="27" t="n"/>
      <c r="G188" s="27" t="n"/>
      <c r="H188" s="27" t="n"/>
      <c r="I188" s="27" t="n"/>
      <c r="J188" s="27" t="n"/>
      <c r="K188" s="27" t="n"/>
      <c r="L188" s="26" t="n"/>
      <c r="M188" s="26" t="n"/>
      <c r="N188" s="28">
        <f>IF($A188="","",IF($C188="","",raporTarihi-$C188))</f>
        <v/>
      </c>
      <c r="O188" s="28">
        <f>IF($A188="","",IF($N188="","",IF($N188&lt;=7,"0-7",IF($N188&lt;=30,"8-30",IF($N188&lt;=60,"31-60","60+")))))</f>
        <v/>
      </c>
      <c r="P188" s="28">
        <f>IF($A188="","",IF($B188="","YETİM",IF(COUNTIF(tblKartlar[KartId],$B188)=0,"YETİM","")))</f>
        <v/>
      </c>
      <c r="Q188" s="28">
        <f>IF(OR($A188="",$D188=""),"",IF(OR($D188&amp;"|"&amp;$E188="",COUNTIF(ListeIzinliGecis,$D188&amp;"|"&amp;$E188)&gt;0),"","GEÇERSİZ GEÇİŞ"))</f>
        <v/>
      </c>
      <c r="R188" s="28">
        <f>IF($A188="","",IF(OR($F188="",$H188=""),"",IF(ABS($H188-$F188)&gt;zincirTolerans,"ZİNCİR KIRIK","OK")))</f>
        <v/>
      </c>
      <c r="S188" s="28">
        <f>IF($A188="","",1)</f>
        <v/>
      </c>
    </row>
    <row r="189">
      <c r="A189" s="26" t="n"/>
      <c r="B189" s="26" t="n"/>
      <c r="C189" s="29" t="n"/>
      <c r="D189" s="26" t="n"/>
      <c r="E189" s="26" t="n"/>
      <c r="F189" s="27" t="n"/>
      <c r="G189" s="27" t="n"/>
      <c r="H189" s="27" t="n"/>
      <c r="I189" s="27" t="n"/>
      <c r="J189" s="27" t="n"/>
      <c r="K189" s="27" t="n"/>
      <c r="L189" s="26" t="n"/>
      <c r="M189" s="26" t="n"/>
      <c r="N189" s="28">
        <f>IF($A189="","",IF($C189="","",raporTarihi-$C189))</f>
        <v/>
      </c>
      <c r="O189" s="28">
        <f>IF($A189="","",IF($N189="","",IF($N189&lt;=7,"0-7",IF($N189&lt;=30,"8-30",IF($N189&lt;=60,"31-60","60+")))))</f>
        <v/>
      </c>
      <c r="P189" s="28">
        <f>IF($A189="","",IF($B189="","YETİM",IF(COUNTIF(tblKartlar[KartId],$B189)=0,"YETİM","")))</f>
        <v/>
      </c>
      <c r="Q189" s="28">
        <f>IF(OR($A189="",$D189=""),"",IF(OR($D189&amp;"|"&amp;$E189="",COUNTIF(ListeIzinliGecis,$D189&amp;"|"&amp;$E189)&gt;0),"","GEÇERSİZ GEÇİŞ"))</f>
        <v/>
      </c>
      <c r="R189" s="28">
        <f>IF($A189="","",IF(OR($F189="",$H189=""),"",IF(ABS($H189-$F189)&gt;zincirTolerans,"ZİNCİR KIRIK","OK")))</f>
        <v/>
      </c>
      <c r="S189" s="28">
        <f>IF($A189="","",1)</f>
        <v/>
      </c>
    </row>
    <row r="190">
      <c r="A190" s="26" t="n"/>
      <c r="B190" s="26" t="n"/>
      <c r="C190" s="29" t="n"/>
      <c r="D190" s="26" t="n"/>
      <c r="E190" s="26" t="n"/>
      <c r="F190" s="27" t="n"/>
      <c r="G190" s="27" t="n"/>
      <c r="H190" s="27" t="n"/>
      <c r="I190" s="27" t="n"/>
      <c r="J190" s="27" t="n"/>
      <c r="K190" s="27" t="n"/>
      <c r="L190" s="26" t="n"/>
      <c r="M190" s="26" t="n"/>
      <c r="N190" s="28">
        <f>IF($A190="","",IF($C190="","",raporTarihi-$C190))</f>
        <v/>
      </c>
      <c r="O190" s="28">
        <f>IF($A190="","",IF($N190="","",IF($N190&lt;=7,"0-7",IF($N190&lt;=30,"8-30",IF($N190&lt;=60,"31-60","60+")))))</f>
        <v/>
      </c>
      <c r="P190" s="28">
        <f>IF($A190="","",IF($B190="","YETİM",IF(COUNTIF(tblKartlar[KartId],$B190)=0,"YETİM","")))</f>
        <v/>
      </c>
      <c r="Q190" s="28">
        <f>IF(OR($A190="",$D190=""),"",IF(OR($D190&amp;"|"&amp;$E190="",COUNTIF(ListeIzinliGecis,$D190&amp;"|"&amp;$E190)&gt;0),"","GEÇERSİZ GEÇİŞ"))</f>
        <v/>
      </c>
      <c r="R190" s="28">
        <f>IF($A190="","",IF(OR($F190="",$H190=""),"",IF(ABS($H190-$F190)&gt;zincirTolerans,"ZİNCİR KIRIK","OK")))</f>
        <v/>
      </c>
      <c r="S190" s="28">
        <f>IF($A190="","",1)</f>
        <v/>
      </c>
    </row>
    <row r="191">
      <c r="A191" s="26" t="n"/>
      <c r="B191" s="26" t="n"/>
      <c r="C191" s="29" t="n"/>
      <c r="D191" s="26" t="n"/>
      <c r="E191" s="26" t="n"/>
      <c r="F191" s="27" t="n"/>
      <c r="G191" s="27" t="n"/>
      <c r="H191" s="27" t="n"/>
      <c r="I191" s="27" t="n"/>
      <c r="J191" s="27" t="n"/>
      <c r="K191" s="27" t="n"/>
      <c r="L191" s="26" t="n"/>
      <c r="M191" s="26" t="n"/>
      <c r="N191" s="28">
        <f>IF($A191="","",IF($C191="","",raporTarihi-$C191))</f>
        <v/>
      </c>
      <c r="O191" s="28">
        <f>IF($A191="","",IF($N191="","",IF($N191&lt;=7,"0-7",IF($N191&lt;=30,"8-30",IF($N191&lt;=60,"31-60","60+")))))</f>
        <v/>
      </c>
      <c r="P191" s="28">
        <f>IF($A191="","",IF($B191="","YETİM",IF(COUNTIF(tblKartlar[KartId],$B191)=0,"YETİM","")))</f>
        <v/>
      </c>
      <c r="Q191" s="28">
        <f>IF(OR($A191="",$D191=""),"",IF(OR($D191&amp;"|"&amp;$E191="",COUNTIF(ListeIzinliGecis,$D191&amp;"|"&amp;$E191)&gt;0),"","GEÇERSİZ GEÇİŞ"))</f>
        <v/>
      </c>
      <c r="R191" s="28">
        <f>IF($A191="","",IF(OR($F191="",$H191=""),"",IF(ABS($H191-$F191)&gt;zincirTolerans,"ZİNCİR KIRIK","OK")))</f>
        <v/>
      </c>
      <c r="S191" s="28">
        <f>IF($A191="","",1)</f>
        <v/>
      </c>
    </row>
    <row r="192">
      <c r="A192" s="26" t="n"/>
      <c r="B192" s="26" t="n"/>
      <c r="C192" s="29" t="n"/>
      <c r="D192" s="26" t="n"/>
      <c r="E192" s="26" t="n"/>
      <c r="F192" s="27" t="n"/>
      <c r="G192" s="27" t="n"/>
      <c r="H192" s="27" t="n"/>
      <c r="I192" s="27" t="n"/>
      <c r="J192" s="27" t="n"/>
      <c r="K192" s="27" t="n"/>
      <c r="L192" s="26" t="n"/>
      <c r="M192" s="26" t="n"/>
      <c r="N192" s="28">
        <f>IF($A192="","",IF($C192="","",raporTarihi-$C192))</f>
        <v/>
      </c>
      <c r="O192" s="28">
        <f>IF($A192="","",IF($N192="","",IF($N192&lt;=7,"0-7",IF($N192&lt;=30,"8-30",IF($N192&lt;=60,"31-60","60+")))))</f>
        <v/>
      </c>
      <c r="P192" s="28">
        <f>IF($A192="","",IF($B192="","YETİM",IF(COUNTIF(tblKartlar[KartId],$B192)=0,"YETİM","")))</f>
        <v/>
      </c>
      <c r="Q192" s="28">
        <f>IF(OR($A192="",$D192=""),"",IF(OR($D192&amp;"|"&amp;$E192="",COUNTIF(ListeIzinliGecis,$D192&amp;"|"&amp;$E192)&gt;0),"","GEÇERSİZ GEÇİŞ"))</f>
        <v/>
      </c>
      <c r="R192" s="28">
        <f>IF($A192="","",IF(OR($F192="",$H192=""),"",IF(ABS($H192-$F192)&gt;zincirTolerans,"ZİNCİR KIRIK","OK")))</f>
        <v/>
      </c>
      <c r="S192" s="28">
        <f>IF($A192="","",1)</f>
        <v/>
      </c>
    </row>
    <row r="193">
      <c r="A193" s="26" t="n"/>
      <c r="B193" s="26" t="n"/>
      <c r="C193" s="29" t="n"/>
      <c r="D193" s="26" t="n"/>
      <c r="E193" s="26" t="n"/>
      <c r="F193" s="27" t="n"/>
      <c r="G193" s="27" t="n"/>
      <c r="H193" s="27" t="n"/>
      <c r="I193" s="27" t="n"/>
      <c r="J193" s="27" t="n"/>
      <c r="K193" s="27" t="n"/>
      <c r="L193" s="26" t="n"/>
      <c r="M193" s="26" t="n"/>
      <c r="N193" s="28">
        <f>IF($A193="","",IF($C193="","",raporTarihi-$C193))</f>
        <v/>
      </c>
      <c r="O193" s="28">
        <f>IF($A193="","",IF($N193="","",IF($N193&lt;=7,"0-7",IF($N193&lt;=30,"8-30",IF($N193&lt;=60,"31-60","60+")))))</f>
        <v/>
      </c>
      <c r="P193" s="28">
        <f>IF($A193="","",IF($B193="","YETİM",IF(COUNTIF(tblKartlar[KartId],$B193)=0,"YETİM","")))</f>
        <v/>
      </c>
      <c r="Q193" s="28">
        <f>IF(OR($A193="",$D193=""),"",IF(OR($D193&amp;"|"&amp;$E193="",COUNTIF(ListeIzinliGecis,$D193&amp;"|"&amp;$E193)&gt;0),"","GEÇERSİZ GEÇİŞ"))</f>
        <v/>
      </c>
      <c r="R193" s="28">
        <f>IF($A193="","",IF(OR($F193="",$H193=""),"",IF(ABS($H193-$F193)&gt;zincirTolerans,"ZİNCİR KIRIK","OK")))</f>
        <v/>
      </c>
      <c r="S193" s="28">
        <f>IF($A193="","",1)</f>
        <v/>
      </c>
    </row>
    <row r="194">
      <c r="A194" s="26" t="n"/>
      <c r="B194" s="26" t="n"/>
      <c r="C194" s="29" t="n"/>
      <c r="D194" s="26" t="n"/>
      <c r="E194" s="26" t="n"/>
      <c r="F194" s="27" t="n"/>
      <c r="G194" s="27" t="n"/>
      <c r="H194" s="27" t="n"/>
      <c r="I194" s="27" t="n"/>
      <c r="J194" s="27" t="n"/>
      <c r="K194" s="27" t="n"/>
      <c r="L194" s="26" t="n"/>
      <c r="M194" s="26" t="n"/>
      <c r="N194" s="28">
        <f>IF($A194="","",IF($C194="","",raporTarihi-$C194))</f>
        <v/>
      </c>
      <c r="O194" s="28">
        <f>IF($A194="","",IF($N194="","",IF($N194&lt;=7,"0-7",IF($N194&lt;=30,"8-30",IF($N194&lt;=60,"31-60","60+")))))</f>
        <v/>
      </c>
      <c r="P194" s="28">
        <f>IF($A194="","",IF($B194="","YETİM",IF(COUNTIF(tblKartlar[KartId],$B194)=0,"YETİM","")))</f>
        <v/>
      </c>
      <c r="Q194" s="28">
        <f>IF(OR($A194="",$D194=""),"",IF(OR($D194&amp;"|"&amp;$E194="",COUNTIF(ListeIzinliGecis,$D194&amp;"|"&amp;$E194)&gt;0),"","GEÇERSİZ GEÇİŞ"))</f>
        <v/>
      </c>
      <c r="R194" s="28">
        <f>IF($A194="","",IF(OR($F194="",$H194=""),"",IF(ABS($H194-$F194)&gt;zincirTolerans,"ZİNCİR KIRIK","OK")))</f>
        <v/>
      </c>
      <c r="S194" s="28">
        <f>IF($A194="","",1)</f>
        <v/>
      </c>
    </row>
    <row r="195">
      <c r="A195" s="26" t="n"/>
      <c r="B195" s="26" t="n"/>
      <c r="C195" s="29" t="n"/>
      <c r="D195" s="26" t="n"/>
      <c r="E195" s="26" t="n"/>
      <c r="F195" s="27" t="n"/>
      <c r="G195" s="27" t="n"/>
      <c r="H195" s="27" t="n"/>
      <c r="I195" s="27" t="n"/>
      <c r="J195" s="27" t="n"/>
      <c r="K195" s="27" t="n"/>
      <c r="L195" s="26" t="n"/>
      <c r="M195" s="26" t="n"/>
      <c r="N195" s="28">
        <f>IF($A195="","",IF($C195="","",raporTarihi-$C195))</f>
        <v/>
      </c>
      <c r="O195" s="28">
        <f>IF($A195="","",IF($N195="","",IF($N195&lt;=7,"0-7",IF($N195&lt;=30,"8-30",IF($N195&lt;=60,"31-60","60+")))))</f>
        <v/>
      </c>
      <c r="P195" s="28">
        <f>IF($A195="","",IF($B195="","YETİM",IF(COUNTIF(tblKartlar[KartId],$B195)=0,"YETİM","")))</f>
        <v/>
      </c>
      <c r="Q195" s="28">
        <f>IF(OR($A195="",$D195=""),"",IF(OR($D195&amp;"|"&amp;$E195="",COUNTIF(ListeIzinliGecis,$D195&amp;"|"&amp;$E195)&gt;0),"","GEÇERSİZ GEÇİŞ"))</f>
        <v/>
      </c>
      <c r="R195" s="28">
        <f>IF($A195="","",IF(OR($F195="",$H195=""),"",IF(ABS($H195-$F195)&gt;zincirTolerans,"ZİNCİR KIRIK","OK")))</f>
        <v/>
      </c>
      <c r="S195" s="28">
        <f>IF($A195="","",1)</f>
        <v/>
      </c>
    </row>
    <row r="196">
      <c r="A196" s="26" t="n"/>
      <c r="B196" s="26" t="n"/>
      <c r="C196" s="29" t="n"/>
      <c r="D196" s="26" t="n"/>
      <c r="E196" s="26" t="n"/>
      <c r="F196" s="27" t="n"/>
      <c r="G196" s="27" t="n"/>
      <c r="H196" s="27" t="n"/>
      <c r="I196" s="27" t="n"/>
      <c r="J196" s="27" t="n"/>
      <c r="K196" s="27" t="n"/>
      <c r="L196" s="26" t="n"/>
      <c r="M196" s="26" t="n"/>
      <c r="N196" s="28">
        <f>IF($A196="","",IF($C196="","",raporTarihi-$C196))</f>
        <v/>
      </c>
      <c r="O196" s="28">
        <f>IF($A196="","",IF($N196="","",IF($N196&lt;=7,"0-7",IF($N196&lt;=30,"8-30",IF($N196&lt;=60,"31-60","60+")))))</f>
        <v/>
      </c>
      <c r="P196" s="28">
        <f>IF($A196="","",IF($B196="","YETİM",IF(COUNTIF(tblKartlar[KartId],$B196)=0,"YETİM","")))</f>
        <v/>
      </c>
      <c r="Q196" s="28">
        <f>IF(OR($A196="",$D196=""),"",IF(OR($D196&amp;"|"&amp;$E196="",COUNTIF(ListeIzinliGecis,$D196&amp;"|"&amp;$E196)&gt;0),"","GEÇERSİZ GEÇİŞ"))</f>
        <v/>
      </c>
      <c r="R196" s="28">
        <f>IF($A196="","",IF(OR($F196="",$H196=""),"",IF(ABS($H196-$F196)&gt;zincirTolerans,"ZİNCİR KIRIK","OK")))</f>
        <v/>
      </c>
      <c r="S196" s="28">
        <f>IF($A196="","",1)</f>
        <v/>
      </c>
    </row>
    <row r="197">
      <c r="A197" s="26" t="n"/>
      <c r="B197" s="26" t="n"/>
      <c r="C197" s="29" t="n"/>
      <c r="D197" s="26" t="n"/>
      <c r="E197" s="26" t="n"/>
      <c r="F197" s="27" t="n"/>
      <c r="G197" s="27" t="n"/>
      <c r="H197" s="27" t="n"/>
      <c r="I197" s="27" t="n"/>
      <c r="J197" s="27" t="n"/>
      <c r="K197" s="27" t="n"/>
      <c r="L197" s="26" t="n"/>
      <c r="M197" s="26" t="n"/>
      <c r="N197" s="28">
        <f>IF($A197="","",IF($C197="","",raporTarihi-$C197))</f>
        <v/>
      </c>
      <c r="O197" s="28">
        <f>IF($A197="","",IF($N197="","",IF($N197&lt;=7,"0-7",IF($N197&lt;=30,"8-30",IF($N197&lt;=60,"31-60","60+")))))</f>
        <v/>
      </c>
      <c r="P197" s="28">
        <f>IF($A197="","",IF($B197="","YETİM",IF(COUNTIF(tblKartlar[KartId],$B197)=0,"YETİM","")))</f>
        <v/>
      </c>
      <c r="Q197" s="28">
        <f>IF(OR($A197="",$D197=""),"",IF(OR($D197&amp;"|"&amp;$E197="",COUNTIF(ListeIzinliGecis,$D197&amp;"|"&amp;$E197)&gt;0),"","GEÇERSİZ GEÇİŞ"))</f>
        <v/>
      </c>
      <c r="R197" s="28">
        <f>IF($A197="","",IF(OR($F197="",$H197=""),"",IF(ABS($H197-$F197)&gt;zincirTolerans,"ZİNCİR KIRIK","OK")))</f>
        <v/>
      </c>
      <c r="S197" s="28">
        <f>IF($A197="","",1)</f>
        <v/>
      </c>
    </row>
    <row r="198">
      <c r="A198" s="26" t="n"/>
      <c r="B198" s="26" t="n"/>
      <c r="C198" s="29" t="n"/>
      <c r="D198" s="26" t="n"/>
      <c r="E198" s="26" t="n"/>
      <c r="F198" s="27" t="n"/>
      <c r="G198" s="27" t="n"/>
      <c r="H198" s="27" t="n"/>
      <c r="I198" s="27" t="n"/>
      <c r="J198" s="27" t="n"/>
      <c r="K198" s="27" t="n"/>
      <c r="L198" s="26" t="n"/>
      <c r="M198" s="26" t="n"/>
      <c r="N198" s="28">
        <f>IF($A198="","",IF($C198="","",raporTarihi-$C198))</f>
        <v/>
      </c>
      <c r="O198" s="28">
        <f>IF($A198="","",IF($N198="","",IF($N198&lt;=7,"0-7",IF($N198&lt;=30,"8-30",IF($N198&lt;=60,"31-60","60+")))))</f>
        <v/>
      </c>
      <c r="P198" s="28">
        <f>IF($A198="","",IF($B198="","YETİM",IF(COUNTIF(tblKartlar[KartId],$B198)=0,"YETİM","")))</f>
        <v/>
      </c>
      <c r="Q198" s="28">
        <f>IF(OR($A198="",$D198=""),"",IF(OR($D198&amp;"|"&amp;$E198="",COUNTIF(ListeIzinliGecis,$D198&amp;"|"&amp;$E198)&gt;0),"","GEÇERSİZ GEÇİŞ"))</f>
        <v/>
      </c>
      <c r="R198" s="28">
        <f>IF($A198="","",IF(OR($F198="",$H198=""),"",IF(ABS($H198-$F198)&gt;zincirTolerans,"ZİNCİR KIRIK","OK")))</f>
        <v/>
      </c>
      <c r="S198" s="28">
        <f>IF($A198="","",1)</f>
        <v/>
      </c>
    </row>
    <row r="199">
      <c r="A199" s="26" t="n"/>
      <c r="B199" s="26" t="n"/>
      <c r="C199" s="29" t="n"/>
      <c r="D199" s="26" t="n"/>
      <c r="E199" s="26" t="n"/>
      <c r="F199" s="27" t="n"/>
      <c r="G199" s="27" t="n"/>
      <c r="H199" s="27" t="n"/>
      <c r="I199" s="27" t="n"/>
      <c r="J199" s="27" t="n"/>
      <c r="K199" s="27" t="n"/>
      <c r="L199" s="26" t="n"/>
      <c r="M199" s="26" t="n"/>
      <c r="N199" s="28">
        <f>IF($A199="","",IF($C199="","",raporTarihi-$C199))</f>
        <v/>
      </c>
      <c r="O199" s="28">
        <f>IF($A199="","",IF($N199="","",IF($N199&lt;=7,"0-7",IF($N199&lt;=30,"8-30",IF($N199&lt;=60,"31-60","60+")))))</f>
        <v/>
      </c>
      <c r="P199" s="28">
        <f>IF($A199="","",IF($B199="","YETİM",IF(COUNTIF(tblKartlar[KartId],$B199)=0,"YETİM","")))</f>
        <v/>
      </c>
      <c r="Q199" s="28">
        <f>IF(OR($A199="",$D199=""),"",IF(OR($D199&amp;"|"&amp;$E199="",COUNTIF(ListeIzinliGecis,$D199&amp;"|"&amp;$E199)&gt;0),"","GEÇERSİZ GEÇİŞ"))</f>
        <v/>
      </c>
      <c r="R199" s="28">
        <f>IF($A199="","",IF(OR($F199="",$H199=""),"",IF(ABS($H199-$F199)&gt;zincirTolerans,"ZİNCİR KIRIK","OK")))</f>
        <v/>
      </c>
      <c r="S199" s="28">
        <f>IF($A199="","",1)</f>
        <v/>
      </c>
    </row>
    <row r="200">
      <c r="A200" s="26" t="n"/>
      <c r="B200" s="26" t="n"/>
      <c r="C200" s="29" t="n"/>
      <c r="D200" s="26" t="n"/>
      <c r="E200" s="26" t="n"/>
      <c r="F200" s="27" t="n"/>
      <c r="G200" s="27" t="n"/>
      <c r="H200" s="27" t="n"/>
      <c r="I200" s="27" t="n"/>
      <c r="J200" s="27" t="n"/>
      <c r="K200" s="27" t="n"/>
      <c r="L200" s="26" t="n"/>
      <c r="M200" s="26" t="n"/>
      <c r="N200" s="28">
        <f>IF($A200="","",IF($C200="","",raporTarihi-$C200))</f>
        <v/>
      </c>
      <c r="O200" s="28">
        <f>IF($A200="","",IF($N200="","",IF($N200&lt;=7,"0-7",IF($N200&lt;=30,"8-30",IF($N200&lt;=60,"31-60","60+")))))</f>
        <v/>
      </c>
      <c r="P200" s="28">
        <f>IF($A200="","",IF($B200="","YETİM",IF(COUNTIF(tblKartlar[KartId],$B200)=0,"YETİM","")))</f>
        <v/>
      </c>
      <c r="Q200" s="28">
        <f>IF(OR($A200="",$D200=""),"",IF(OR($D200&amp;"|"&amp;$E200="",COUNTIF(ListeIzinliGecis,$D200&amp;"|"&amp;$E200)&gt;0),"","GEÇERSİZ GEÇİŞ"))</f>
        <v/>
      </c>
      <c r="R200" s="28">
        <f>IF($A200="","",IF(OR($F200="",$H200=""),"",IF(ABS($H200-$F200)&gt;zincirTolerans,"ZİNCİR KIRIK","OK")))</f>
        <v/>
      </c>
      <c r="S200" s="28">
        <f>IF($A200="","",1)</f>
        <v/>
      </c>
    </row>
    <row r="201">
      <c r="A201" s="26" t="n"/>
      <c r="B201" s="26" t="n"/>
      <c r="C201" s="29" t="n"/>
      <c r="D201" s="26" t="n"/>
      <c r="E201" s="26" t="n"/>
      <c r="F201" s="27" t="n"/>
      <c r="G201" s="27" t="n"/>
      <c r="H201" s="27" t="n"/>
      <c r="I201" s="27" t="n"/>
      <c r="J201" s="27" t="n"/>
      <c r="K201" s="27" t="n"/>
      <c r="L201" s="26" t="n"/>
      <c r="M201" s="26" t="n"/>
      <c r="N201" s="28">
        <f>IF($A201="","",IF($C201="","",raporTarihi-$C201))</f>
        <v/>
      </c>
      <c r="O201" s="28">
        <f>IF($A201="","",IF($N201="","",IF($N201&lt;=7,"0-7",IF($N201&lt;=30,"8-30",IF($N201&lt;=60,"31-60","60+")))))</f>
        <v/>
      </c>
      <c r="P201" s="28">
        <f>IF($A201="","",IF($B201="","YETİM",IF(COUNTIF(tblKartlar[KartId],$B201)=0,"YETİM","")))</f>
        <v/>
      </c>
      <c r="Q201" s="28">
        <f>IF(OR($A201="",$D201=""),"",IF(OR($D201&amp;"|"&amp;$E201="",COUNTIF(ListeIzinliGecis,$D201&amp;"|"&amp;$E201)&gt;0),"","GEÇERSİZ GEÇİŞ"))</f>
        <v/>
      </c>
      <c r="R201" s="28">
        <f>IF($A201="","",IF(OR($F201="",$H201=""),"",IF(ABS($H201-$F201)&gt;zincirTolerans,"ZİNCİR KIRIK","OK")))</f>
        <v/>
      </c>
      <c r="S201" s="28">
        <f>IF($A201="","",1)</f>
        <v/>
      </c>
    </row>
    <row r="202">
      <c r="A202" s="26" t="n"/>
      <c r="B202" s="26" t="n"/>
      <c r="C202" s="29" t="n"/>
      <c r="D202" s="26" t="n"/>
      <c r="E202" s="26" t="n"/>
      <c r="F202" s="27" t="n"/>
      <c r="G202" s="27" t="n"/>
      <c r="H202" s="27" t="n"/>
      <c r="I202" s="27" t="n"/>
      <c r="J202" s="27" t="n"/>
      <c r="K202" s="27" t="n"/>
      <c r="L202" s="26" t="n"/>
      <c r="M202" s="26" t="n"/>
      <c r="N202" s="28">
        <f>IF($A202="","",IF($C202="","",raporTarihi-$C202))</f>
        <v/>
      </c>
      <c r="O202" s="28">
        <f>IF($A202="","",IF($N202="","",IF($N202&lt;=7,"0-7",IF($N202&lt;=30,"8-30",IF($N202&lt;=60,"31-60","60+")))))</f>
        <v/>
      </c>
      <c r="P202" s="28">
        <f>IF($A202="","",IF($B202="","YETİM",IF(COUNTIF(tblKartlar[KartId],$B202)=0,"YETİM","")))</f>
        <v/>
      </c>
      <c r="Q202" s="28">
        <f>IF(OR($A202="",$D202=""),"",IF(OR($D202&amp;"|"&amp;$E202="",COUNTIF(ListeIzinliGecis,$D202&amp;"|"&amp;$E202)&gt;0),"","GEÇERSİZ GEÇİŞ"))</f>
        <v/>
      </c>
      <c r="R202" s="28">
        <f>IF($A202="","",IF(OR($F202="",$H202=""),"",IF(ABS($H202-$F202)&gt;zincirTolerans,"ZİNCİR KIRIK","OK")))</f>
        <v/>
      </c>
      <c r="S202" s="28">
        <f>IF($A202="","",1)</f>
        <v/>
      </c>
    </row>
    <row r="203">
      <c r="A203" s="26" t="n"/>
      <c r="B203" s="26" t="n"/>
      <c r="C203" s="29" t="n"/>
      <c r="D203" s="26" t="n"/>
      <c r="E203" s="26" t="n"/>
      <c r="F203" s="27" t="n"/>
      <c r="G203" s="27" t="n"/>
      <c r="H203" s="27" t="n"/>
      <c r="I203" s="27" t="n"/>
      <c r="J203" s="27" t="n"/>
      <c r="K203" s="27" t="n"/>
      <c r="L203" s="26" t="n"/>
      <c r="M203" s="26" t="n"/>
      <c r="N203" s="28">
        <f>IF($A203="","",IF($C203="","",raporTarihi-$C203))</f>
        <v/>
      </c>
      <c r="O203" s="28">
        <f>IF($A203="","",IF($N203="","",IF($N203&lt;=7,"0-7",IF($N203&lt;=30,"8-30",IF($N203&lt;=60,"31-60","60+")))))</f>
        <v/>
      </c>
      <c r="P203" s="28">
        <f>IF($A203="","",IF($B203="","YETİM",IF(COUNTIF(tblKartlar[KartId],$B203)=0,"YETİM","")))</f>
        <v/>
      </c>
      <c r="Q203" s="28">
        <f>IF(OR($A203="",$D203=""),"",IF(OR($D203&amp;"|"&amp;$E203="",COUNTIF(ListeIzinliGecis,$D203&amp;"|"&amp;$E203)&gt;0),"","GEÇERSİZ GEÇİŞ"))</f>
        <v/>
      </c>
      <c r="R203" s="28">
        <f>IF($A203="","",IF(OR($F203="",$H203=""),"",IF(ABS($H203-$F203)&gt;zincirTolerans,"ZİNCİR KIRIK","OK")))</f>
        <v/>
      </c>
      <c r="S203" s="28">
        <f>IF($A203="","",1)</f>
        <v/>
      </c>
    </row>
    <row r="204">
      <c r="A204" s="26" t="n"/>
      <c r="B204" s="26" t="n"/>
      <c r="C204" s="29" t="n"/>
      <c r="D204" s="26" t="n"/>
      <c r="E204" s="26" t="n"/>
      <c r="F204" s="27" t="n"/>
      <c r="G204" s="27" t="n"/>
      <c r="H204" s="27" t="n"/>
      <c r="I204" s="27" t="n"/>
      <c r="J204" s="27" t="n"/>
      <c r="K204" s="27" t="n"/>
      <c r="L204" s="26" t="n"/>
      <c r="M204" s="26" t="n"/>
      <c r="N204" s="28">
        <f>IF($A204="","",IF($C204="","",raporTarihi-$C204))</f>
        <v/>
      </c>
      <c r="O204" s="28">
        <f>IF($A204="","",IF($N204="","",IF($N204&lt;=7,"0-7",IF($N204&lt;=30,"8-30",IF($N204&lt;=60,"31-60","60+")))))</f>
        <v/>
      </c>
      <c r="P204" s="28">
        <f>IF($A204="","",IF($B204="","YETİM",IF(COUNTIF(tblKartlar[KartId],$B204)=0,"YETİM","")))</f>
        <v/>
      </c>
      <c r="Q204" s="28">
        <f>IF(OR($A204="",$D204=""),"",IF(OR($D204&amp;"|"&amp;$E204="",COUNTIF(ListeIzinliGecis,$D204&amp;"|"&amp;$E204)&gt;0),"","GEÇERSİZ GEÇİŞ"))</f>
        <v/>
      </c>
      <c r="R204" s="28">
        <f>IF($A204="","",IF(OR($F204="",$H204=""),"",IF(ABS($H204-$F204)&gt;zincirTolerans,"ZİNCİR KIRIK","OK")))</f>
        <v/>
      </c>
      <c r="S204" s="28">
        <f>IF($A204="","",1)</f>
        <v/>
      </c>
    </row>
    <row r="205">
      <c r="A205" s="26" t="n"/>
      <c r="B205" s="26" t="n"/>
      <c r="C205" s="29" t="n"/>
      <c r="D205" s="26" t="n"/>
      <c r="E205" s="26" t="n"/>
      <c r="F205" s="27" t="n"/>
      <c r="G205" s="27" t="n"/>
      <c r="H205" s="27" t="n"/>
      <c r="I205" s="27" t="n"/>
      <c r="J205" s="27" t="n"/>
      <c r="K205" s="27" t="n"/>
      <c r="L205" s="26" t="n"/>
      <c r="M205" s="26" t="n"/>
      <c r="N205" s="28">
        <f>IF($A205="","",IF($C205="","",raporTarihi-$C205))</f>
        <v/>
      </c>
      <c r="O205" s="28">
        <f>IF($A205="","",IF($N205="","",IF($N205&lt;=7,"0-7",IF($N205&lt;=30,"8-30",IF($N205&lt;=60,"31-60","60+")))))</f>
        <v/>
      </c>
      <c r="P205" s="28">
        <f>IF($A205="","",IF($B205="","YETİM",IF(COUNTIF(tblKartlar[KartId],$B205)=0,"YETİM","")))</f>
        <v/>
      </c>
      <c r="Q205" s="28">
        <f>IF(OR($A205="",$D205=""),"",IF(OR($D205&amp;"|"&amp;$E205="",COUNTIF(ListeIzinliGecis,$D205&amp;"|"&amp;$E205)&gt;0),"","GEÇERSİZ GEÇİŞ"))</f>
        <v/>
      </c>
      <c r="R205" s="28">
        <f>IF($A205="","",IF(OR($F205="",$H205=""),"",IF(ABS($H205-$F205)&gt;zincirTolerans,"ZİNCİR KIRIK","OK")))</f>
        <v/>
      </c>
      <c r="S205" s="28">
        <f>IF($A205="","",1)</f>
        <v/>
      </c>
    </row>
    <row r="206">
      <c r="A206" s="26" t="n"/>
      <c r="B206" s="26" t="n"/>
      <c r="C206" s="29" t="n"/>
      <c r="D206" s="26" t="n"/>
      <c r="E206" s="26" t="n"/>
      <c r="F206" s="27" t="n"/>
      <c r="G206" s="27" t="n"/>
      <c r="H206" s="27" t="n"/>
      <c r="I206" s="27" t="n"/>
      <c r="J206" s="27" t="n"/>
      <c r="K206" s="27" t="n"/>
      <c r="L206" s="26" t="n"/>
      <c r="M206" s="26" t="n"/>
      <c r="N206" s="28">
        <f>IF($A206="","",IF($C206="","",raporTarihi-$C206))</f>
        <v/>
      </c>
      <c r="O206" s="28">
        <f>IF($A206="","",IF($N206="","",IF($N206&lt;=7,"0-7",IF($N206&lt;=30,"8-30",IF($N206&lt;=60,"31-60","60+")))))</f>
        <v/>
      </c>
      <c r="P206" s="28">
        <f>IF($A206="","",IF($B206="","YETİM",IF(COUNTIF(tblKartlar[KartId],$B206)=0,"YETİM","")))</f>
        <v/>
      </c>
      <c r="Q206" s="28">
        <f>IF(OR($A206="",$D206=""),"",IF(OR($D206&amp;"|"&amp;$E206="",COUNTIF(ListeIzinliGecis,$D206&amp;"|"&amp;$E206)&gt;0),"","GEÇERSİZ GEÇİŞ"))</f>
        <v/>
      </c>
      <c r="R206" s="28">
        <f>IF($A206="","",IF(OR($F206="",$H206=""),"",IF(ABS($H206-$F206)&gt;zincirTolerans,"ZİNCİR KIRIK","OK")))</f>
        <v/>
      </c>
      <c r="S206" s="28">
        <f>IF($A206="","",1)</f>
        <v/>
      </c>
    </row>
    <row r="207">
      <c r="A207" s="26" t="n"/>
      <c r="B207" s="26" t="n"/>
      <c r="C207" s="29" t="n"/>
      <c r="D207" s="26" t="n"/>
      <c r="E207" s="26" t="n"/>
      <c r="F207" s="27" t="n"/>
      <c r="G207" s="27" t="n"/>
      <c r="H207" s="27" t="n"/>
      <c r="I207" s="27" t="n"/>
      <c r="J207" s="27" t="n"/>
      <c r="K207" s="27" t="n"/>
      <c r="L207" s="26" t="n"/>
      <c r="M207" s="26" t="n"/>
      <c r="N207" s="28">
        <f>IF($A207="","",IF($C207="","",raporTarihi-$C207))</f>
        <v/>
      </c>
      <c r="O207" s="28">
        <f>IF($A207="","",IF($N207="","",IF($N207&lt;=7,"0-7",IF($N207&lt;=30,"8-30",IF($N207&lt;=60,"31-60","60+")))))</f>
        <v/>
      </c>
      <c r="P207" s="28">
        <f>IF($A207="","",IF($B207="","YETİM",IF(COUNTIF(tblKartlar[KartId],$B207)=0,"YETİM","")))</f>
        <v/>
      </c>
      <c r="Q207" s="28">
        <f>IF(OR($A207="",$D207=""),"",IF(OR($D207&amp;"|"&amp;$E207="",COUNTIF(ListeIzinliGecis,$D207&amp;"|"&amp;$E207)&gt;0),"","GEÇERSİZ GEÇİŞ"))</f>
        <v/>
      </c>
      <c r="R207" s="28">
        <f>IF($A207="","",IF(OR($F207="",$H207=""),"",IF(ABS($H207-$F207)&gt;zincirTolerans,"ZİNCİR KIRIK","OK")))</f>
        <v/>
      </c>
      <c r="S207" s="28">
        <f>IF($A207="","",1)</f>
        <v/>
      </c>
    </row>
    <row r="208">
      <c r="A208" s="26" t="n"/>
      <c r="B208" s="26" t="n"/>
      <c r="C208" s="29" t="n"/>
      <c r="D208" s="26" t="n"/>
      <c r="E208" s="26" t="n"/>
      <c r="F208" s="27" t="n"/>
      <c r="G208" s="27" t="n"/>
      <c r="H208" s="27" t="n"/>
      <c r="I208" s="27" t="n"/>
      <c r="J208" s="27" t="n"/>
      <c r="K208" s="27" t="n"/>
      <c r="L208" s="26" t="n"/>
      <c r="M208" s="26" t="n"/>
      <c r="N208" s="28">
        <f>IF($A208="","",IF($C208="","",raporTarihi-$C208))</f>
        <v/>
      </c>
      <c r="O208" s="28">
        <f>IF($A208="","",IF($N208="","",IF($N208&lt;=7,"0-7",IF($N208&lt;=30,"8-30",IF($N208&lt;=60,"31-60","60+")))))</f>
        <v/>
      </c>
      <c r="P208" s="28">
        <f>IF($A208="","",IF($B208="","YETİM",IF(COUNTIF(tblKartlar[KartId],$B208)=0,"YETİM","")))</f>
        <v/>
      </c>
      <c r="Q208" s="28">
        <f>IF(OR($A208="",$D208=""),"",IF(OR($D208&amp;"|"&amp;$E208="",COUNTIF(ListeIzinliGecis,$D208&amp;"|"&amp;$E208)&gt;0),"","GEÇERSİZ GEÇİŞ"))</f>
        <v/>
      </c>
      <c r="R208" s="28">
        <f>IF($A208="","",IF(OR($F208="",$H208=""),"",IF(ABS($H208-$F208)&gt;zincirTolerans,"ZİNCİR KIRIK","OK")))</f>
        <v/>
      </c>
      <c r="S208" s="28">
        <f>IF($A208="","",1)</f>
        <v/>
      </c>
    </row>
    <row r="209">
      <c r="A209" s="26" t="n"/>
      <c r="B209" s="26" t="n"/>
      <c r="C209" s="29" t="n"/>
      <c r="D209" s="26" t="n"/>
      <c r="E209" s="26" t="n"/>
      <c r="F209" s="27" t="n"/>
      <c r="G209" s="27" t="n"/>
      <c r="H209" s="27" t="n"/>
      <c r="I209" s="27" t="n"/>
      <c r="J209" s="27" t="n"/>
      <c r="K209" s="27" t="n"/>
      <c r="L209" s="26" t="n"/>
      <c r="M209" s="26" t="n"/>
      <c r="N209" s="28">
        <f>IF($A209="","",IF($C209="","",raporTarihi-$C209))</f>
        <v/>
      </c>
      <c r="O209" s="28">
        <f>IF($A209="","",IF($N209="","",IF($N209&lt;=7,"0-7",IF($N209&lt;=30,"8-30",IF($N209&lt;=60,"31-60","60+")))))</f>
        <v/>
      </c>
      <c r="P209" s="28">
        <f>IF($A209="","",IF($B209="","YETİM",IF(COUNTIF(tblKartlar[KartId],$B209)=0,"YETİM","")))</f>
        <v/>
      </c>
      <c r="Q209" s="28">
        <f>IF(OR($A209="",$D209=""),"",IF(OR($D209&amp;"|"&amp;$E209="",COUNTIF(ListeIzinliGecis,$D209&amp;"|"&amp;$E209)&gt;0),"","GEÇERSİZ GEÇİŞ"))</f>
        <v/>
      </c>
      <c r="R209" s="28">
        <f>IF($A209="","",IF(OR($F209="",$H209=""),"",IF(ABS($H209-$F209)&gt;zincirTolerans,"ZİNCİR KIRIK","OK")))</f>
        <v/>
      </c>
      <c r="S209" s="28">
        <f>IF($A209="","",1)</f>
        <v/>
      </c>
    </row>
    <row r="210">
      <c r="A210" s="26" t="n"/>
      <c r="B210" s="26" t="n"/>
      <c r="C210" s="29" t="n"/>
      <c r="D210" s="26" t="n"/>
      <c r="E210" s="26" t="n"/>
      <c r="F210" s="27" t="n"/>
      <c r="G210" s="27" t="n"/>
      <c r="H210" s="27" t="n"/>
      <c r="I210" s="27" t="n"/>
      <c r="J210" s="27" t="n"/>
      <c r="K210" s="27" t="n"/>
      <c r="L210" s="26" t="n"/>
      <c r="M210" s="26" t="n"/>
      <c r="N210" s="28">
        <f>IF($A210="","",IF($C210="","",raporTarihi-$C210))</f>
        <v/>
      </c>
      <c r="O210" s="28">
        <f>IF($A210="","",IF($N210="","",IF($N210&lt;=7,"0-7",IF($N210&lt;=30,"8-30",IF($N210&lt;=60,"31-60","60+")))))</f>
        <v/>
      </c>
      <c r="P210" s="28">
        <f>IF($A210="","",IF($B210="","YETİM",IF(COUNTIF(tblKartlar[KartId],$B210)=0,"YETİM","")))</f>
        <v/>
      </c>
      <c r="Q210" s="28">
        <f>IF(OR($A210="",$D210=""),"",IF(OR($D210&amp;"|"&amp;$E210="",COUNTIF(ListeIzinliGecis,$D210&amp;"|"&amp;$E210)&gt;0),"","GEÇERSİZ GEÇİŞ"))</f>
        <v/>
      </c>
      <c r="R210" s="28">
        <f>IF($A210="","",IF(OR($F210="",$H210=""),"",IF(ABS($H210-$F210)&gt;zincirTolerans,"ZİNCİR KIRIK","OK")))</f>
        <v/>
      </c>
      <c r="S210" s="28">
        <f>IF($A210="","",1)</f>
        <v/>
      </c>
    </row>
    <row r="211">
      <c r="A211" s="26" t="n"/>
      <c r="B211" s="26" t="n"/>
      <c r="C211" s="29" t="n"/>
      <c r="D211" s="26" t="n"/>
      <c r="E211" s="26" t="n"/>
      <c r="F211" s="27" t="n"/>
      <c r="G211" s="27" t="n"/>
      <c r="H211" s="27" t="n"/>
      <c r="I211" s="27" t="n"/>
      <c r="J211" s="27" t="n"/>
      <c r="K211" s="27" t="n"/>
      <c r="L211" s="26" t="n"/>
      <c r="M211" s="26" t="n"/>
      <c r="N211" s="28">
        <f>IF($A211="","",IF($C211="","",raporTarihi-$C211))</f>
        <v/>
      </c>
      <c r="O211" s="28">
        <f>IF($A211="","",IF($N211="","",IF($N211&lt;=7,"0-7",IF($N211&lt;=30,"8-30",IF($N211&lt;=60,"31-60","60+")))))</f>
        <v/>
      </c>
      <c r="P211" s="28">
        <f>IF($A211="","",IF($B211="","YETİM",IF(COUNTIF(tblKartlar[KartId],$B211)=0,"YETİM","")))</f>
        <v/>
      </c>
      <c r="Q211" s="28">
        <f>IF(OR($A211="",$D211=""),"",IF(OR($D211&amp;"|"&amp;$E211="",COUNTIF(ListeIzinliGecis,$D211&amp;"|"&amp;$E211)&gt;0),"","GEÇERSİZ GEÇİŞ"))</f>
        <v/>
      </c>
      <c r="R211" s="28">
        <f>IF($A211="","",IF(OR($F211="",$H211=""),"",IF(ABS($H211-$F211)&gt;zincirTolerans,"ZİNCİR KIRIK","OK")))</f>
        <v/>
      </c>
      <c r="S211" s="28">
        <f>IF($A211="","",1)</f>
        <v/>
      </c>
    </row>
    <row r="212">
      <c r="A212" s="26" t="n"/>
      <c r="B212" s="26" t="n"/>
      <c r="C212" s="29" t="n"/>
      <c r="D212" s="26" t="n"/>
      <c r="E212" s="26" t="n"/>
      <c r="F212" s="27" t="n"/>
      <c r="G212" s="27" t="n"/>
      <c r="H212" s="27" t="n"/>
      <c r="I212" s="27" t="n"/>
      <c r="J212" s="27" t="n"/>
      <c r="K212" s="27" t="n"/>
      <c r="L212" s="26" t="n"/>
      <c r="M212" s="26" t="n"/>
      <c r="N212" s="28">
        <f>IF($A212="","",IF($C212="","",raporTarihi-$C212))</f>
        <v/>
      </c>
      <c r="O212" s="28">
        <f>IF($A212="","",IF($N212="","",IF($N212&lt;=7,"0-7",IF($N212&lt;=30,"8-30",IF($N212&lt;=60,"31-60","60+")))))</f>
        <v/>
      </c>
      <c r="P212" s="28">
        <f>IF($A212="","",IF($B212="","YETİM",IF(COUNTIF(tblKartlar[KartId],$B212)=0,"YETİM","")))</f>
        <v/>
      </c>
      <c r="Q212" s="28">
        <f>IF(OR($A212="",$D212=""),"",IF(OR($D212&amp;"|"&amp;$E212="",COUNTIF(ListeIzinliGecis,$D212&amp;"|"&amp;$E212)&gt;0),"","GEÇERSİZ GEÇİŞ"))</f>
        <v/>
      </c>
      <c r="R212" s="28">
        <f>IF($A212="","",IF(OR($F212="",$H212=""),"",IF(ABS($H212-$F212)&gt;zincirTolerans,"ZİNCİR KIRIK","OK")))</f>
        <v/>
      </c>
      <c r="S212" s="28">
        <f>IF($A212="","",1)</f>
        <v/>
      </c>
    </row>
    <row r="213">
      <c r="A213" s="26" t="n"/>
      <c r="B213" s="26" t="n"/>
      <c r="C213" s="29" t="n"/>
      <c r="D213" s="26" t="n"/>
      <c r="E213" s="26" t="n"/>
      <c r="F213" s="27" t="n"/>
      <c r="G213" s="27" t="n"/>
      <c r="H213" s="27" t="n"/>
      <c r="I213" s="27" t="n"/>
      <c r="J213" s="27" t="n"/>
      <c r="K213" s="27" t="n"/>
      <c r="L213" s="26" t="n"/>
      <c r="M213" s="26" t="n"/>
      <c r="N213" s="28">
        <f>IF($A213="","",IF($C213="","",raporTarihi-$C213))</f>
        <v/>
      </c>
      <c r="O213" s="28">
        <f>IF($A213="","",IF($N213="","",IF($N213&lt;=7,"0-7",IF($N213&lt;=30,"8-30",IF($N213&lt;=60,"31-60","60+")))))</f>
        <v/>
      </c>
      <c r="P213" s="28">
        <f>IF($A213="","",IF($B213="","YETİM",IF(COUNTIF(tblKartlar[KartId],$B213)=0,"YETİM","")))</f>
        <v/>
      </c>
      <c r="Q213" s="28">
        <f>IF(OR($A213="",$D213=""),"",IF(OR($D213&amp;"|"&amp;$E213="",COUNTIF(ListeIzinliGecis,$D213&amp;"|"&amp;$E213)&gt;0),"","GEÇERSİZ GEÇİŞ"))</f>
        <v/>
      </c>
      <c r="R213" s="28">
        <f>IF($A213="","",IF(OR($F213="",$H213=""),"",IF(ABS($H213-$F213)&gt;zincirTolerans,"ZİNCİR KIRIK","OK")))</f>
        <v/>
      </c>
      <c r="S213" s="28">
        <f>IF($A213="","",1)</f>
        <v/>
      </c>
    </row>
    <row r="214">
      <c r="A214" s="26" t="n"/>
      <c r="B214" s="26" t="n"/>
      <c r="C214" s="29" t="n"/>
      <c r="D214" s="26" t="n"/>
      <c r="E214" s="26" t="n"/>
      <c r="F214" s="27" t="n"/>
      <c r="G214" s="27" t="n"/>
      <c r="H214" s="27" t="n"/>
      <c r="I214" s="27" t="n"/>
      <c r="J214" s="27" t="n"/>
      <c r="K214" s="27" t="n"/>
      <c r="L214" s="26" t="n"/>
      <c r="M214" s="26" t="n"/>
      <c r="N214" s="28">
        <f>IF($A214="","",IF($C214="","",raporTarihi-$C214))</f>
        <v/>
      </c>
      <c r="O214" s="28">
        <f>IF($A214="","",IF($N214="","",IF($N214&lt;=7,"0-7",IF($N214&lt;=30,"8-30",IF($N214&lt;=60,"31-60","60+")))))</f>
        <v/>
      </c>
      <c r="P214" s="28">
        <f>IF($A214="","",IF($B214="","YETİM",IF(COUNTIF(tblKartlar[KartId],$B214)=0,"YETİM","")))</f>
        <v/>
      </c>
      <c r="Q214" s="28">
        <f>IF(OR($A214="",$D214=""),"",IF(OR($D214&amp;"|"&amp;$E214="",COUNTIF(ListeIzinliGecis,$D214&amp;"|"&amp;$E214)&gt;0),"","GEÇERSİZ GEÇİŞ"))</f>
        <v/>
      </c>
      <c r="R214" s="28">
        <f>IF($A214="","",IF(OR($F214="",$H214=""),"",IF(ABS($H214-$F214)&gt;zincirTolerans,"ZİNCİR KIRIK","OK")))</f>
        <v/>
      </c>
      <c r="S214" s="28">
        <f>IF($A214="","",1)</f>
        <v/>
      </c>
    </row>
    <row r="215">
      <c r="A215" s="26" t="n"/>
      <c r="B215" s="26" t="n"/>
      <c r="C215" s="29" t="n"/>
      <c r="D215" s="26" t="n"/>
      <c r="E215" s="26" t="n"/>
      <c r="F215" s="27" t="n"/>
      <c r="G215" s="27" t="n"/>
      <c r="H215" s="27" t="n"/>
      <c r="I215" s="27" t="n"/>
      <c r="J215" s="27" t="n"/>
      <c r="K215" s="27" t="n"/>
      <c r="L215" s="26" t="n"/>
      <c r="M215" s="26" t="n"/>
      <c r="N215" s="28">
        <f>IF($A215="","",IF($C215="","",raporTarihi-$C215))</f>
        <v/>
      </c>
      <c r="O215" s="28">
        <f>IF($A215="","",IF($N215="","",IF($N215&lt;=7,"0-7",IF($N215&lt;=30,"8-30",IF($N215&lt;=60,"31-60","60+")))))</f>
        <v/>
      </c>
      <c r="P215" s="28">
        <f>IF($A215="","",IF($B215="","YETİM",IF(COUNTIF(tblKartlar[KartId],$B215)=0,"YETİM","")))</f>
        <v/>
      </c>
      <c r="Q215" s="28">
        <f>IF(OR($A215="",$D215=""),"",IF(OR($D215&amp;"|"&amp;$E215="",COUNTIF(ListeIzinliGecis,$D215&amp;"|"&amp;$E215)&gt;0),"","GEÇERSİZ GEÇİŞ"))</f>
        <v/>
      </c>
      <c r="R215" s="28">
        <f>IF($A215="","",IF(OR($F215="",$H215=""),"",IF(ABS($H215-$F215)&gt;zincirTolerans,"ZİNCİR KIRIK","OK")))</f>
        <v/>
      </c>
      <c r="S215" s="28">
        <f>IF($A215="","",1)</f>
        <v/>
      </c>
    </row>
    <row r="216">
      <c r="A216" s="26" t="n"/>
      <c r="B216" s="26" t="n"/>
      <c r="C216" s="29" t="n"/>
      <c r="D216" s="26" t="n"/>
      <c r="E216" s="26" t="n"/>
      <c r="F216" s="27" t="n"/>
      <c r="G216" s="27" t="n"/>
      <c r="H216" s="27" t="n"/>
      <c r="I216" s="27" t="n"/>
      <c r="J216" s="27" t="n"/>
      <c r="K216" s="27" t="n"/>
      <c r="L216" s="26" t="n"/>
      <c r="M216" s="26" t="n"/>
      <c r="N216" s="28">
        <f>IF($A216="","",IF($C216="","",raporTarihi-$C216))</f>
        <v/>
      </c>
      <c r="O216" s="28">
        <f>IF($A216="","",IF($N216="","",IF($N216&lt;=7,"0-7",IF($N216&lt;=30,"8-30",IF($N216&lt;=60,"31-60","60+")))))</f>
        <v/>
      </c>
      <c r="P216" s="28">
        <f>IF($A216="","",IF($B216="","YETİM",IF(COUNTIF(tblKartlar[KartId],$B216)=0,"YETİM","")))</f>
        <v/>
      </c>
      <c r="Q216" s="28">
        <f>IF(OR($A216="",$D216=""),"",IF(OR($D216&amp;"|"&amp;$E216="",COUNTIF(ListeIzinliGecis,$D216&amp;"|"&amp;$E216)&gt;0),"","GEÇERSİZ GEÇİŞ"))</f>
        <v/>
      </c>
      <c r="R216" s="28">
        <f>IF($A216="","",IF(OR($F216="",$H216=""),"",IF(ABS($H216-$F216)&gt;zincirTolerans,"ZİNCİR KIRIK","OK")))</f>
        <v/>
      </c>
      <c r="S216" s="28">
        <f>IF($A216="","",1)</f>
        <v/>
      </c>
    </row>
    <row r="217">
      <c r="A217" s="26" t="n"/>
      <c r="B217" s="26" t="n"/>
      <c r="C217" s="29" t="n"/>
      <c r="D217" s="26" t="n"/>
      <c r="E217" s="26" t="n"/>
      <c r="F217" s="27" t="n"/>
      <c r="G217" s="27" t="n"/>
      <c r="H217" s="27" t="n"/>
      <c r="I217" s="27" t="n"/>
      <c r="J217" s="27" t="n"/>
      <c r="K217" s="27" t="n"/>
      <c r="L217" s="26" t="n"/>
      <c r="M217" s="26" t="n"/>
      <c r="N217" s="28">
        <f>IF($A217="","",IF($C217="","",raporTarihi-$C217))</f>
        <v/>
      </c>
      <c r="O217" s="28">
        <f>IF($A217="","",IF($N217="","",IF($N217&lt;=7,"0-7",IF($N217&lt;=30,"8-30",IF($N217&lt;=60,"31-60","60+")))))</f>
        <v/>
      </c>
      <c r="P217" s="28">
        <f>IF($A217="","",IF($B217="","YETİM",IF(COUNTIF(tblKartlar[KartId],$B217)=0,"YETİM","")))</f>
        <v/>
      </c>
      <c r="Q217" s="28">
        <f>IF(OR($A217="",$D217=""),"",IF(OR($D217&amp;"|"&amp;$E217="",COUNTIF(ListeIzinliGecis,$D217&amp;"|"&amp;$E217)&gt;0),"","GEÇERSİZ GEÇİŞ"))</f>
        <v/>
      </c>
      <c r="R217" s="28">
        <f>IF($A217="","",IF(OR($F217="",$H217=""),"",IF(ABS($H217-$F217)&gt;zincirTolerans,"ZİNCİR KIRIK","OK")))</f>
        <v/>
      </c>
      <c r="S217" s="28">
        <f>IF($A217="","",1)</f>
        <v/>
      </c>
    </row>
    <row r="218">
      <c r="A218" s="26" t="n"/>
      <c r="B218" s="26" t="n"/>
      <c r="C218" s="29" t="n"/>
      <c r="D218" s="26" t="n"/>
      <c r="E218" s="26" t="n"/>
      <c r="F218" s="27" t="n"/>
      <c r="G218" s="27" t="n"/>
      <c r="H218" s="27" t="n"/>
      <c r="I218" s="27" t="n"/>
      <c r="J218" s="27" t="n"/>
      <c r="K218" s="27" t="n"/>
      <c r="L218" s="26" t="n"/>
      <c r="M218" s="26" t="n"/>
      <c r="N218" s="28">
        <f>IF($A218="","",IF($C218="","",raporTarihi-$C218))</f>
        <v/>
      </c>
      <c r="O218" s="28">
        <f>IF($A218="","",IF($N218="","",IF($N218&lt;=7,"0-7",IF($N218&lt;=30,"8-30",IF($N218&lt;=60,"31-60","60+")))))</f>
        <v/>
      </c>
      <c r="P218" s="28">
        <f>IF($A218="","",IF($B218="","YETİM",IF(COUNTIF(tblKartlar[KartId],$B218)=0,"YETİM","")))</f>
        <v/>
      </c>
      <c r="Q218" s="28">
        <f>IF(OR($A218="",$D218=""),"",IF(OR($D218&amp;"|"&amp;$E218="",COUNTIF(ListeIzinliGecis,$D218&amp;"|"&amp;$E218)&gt;0),"","GEÇERSİZ GEÇİŞ"))</f>
        <v/>
      </c>
      <c r="R218" s="28">
        <f>IF($A218="","",IF(OR($F218="",$H218=""),"",IF(ABS($H218-$F218)&gt;zincirTolerans,"ZİNCİR KIRIK","OK")))</f>
        <v/>
      </c>
      <c r="S218" s="28">
        <f>IF($A218="","",1)</f>
        <v/>
      </c>
    </row>
    <row r="219">
      <c r="A219" s="26" t="n"/>
      <c r="B219" s="26" t="n"/>
      <c r="C219" s="29" t="n"/>
      <c r="D219" s="26" t="n"/>
      <c r="E219" s="26" t="n"/>
      <c r="F219" s="27" t="n"/>
      <c r="G219" s="27" t="n"/>
      <c r="H219" s="27" t="n"/>
      <c r="I219" s="27" t="n"/>
      <c r="J219" s="27" t="n"/>
      <c r="K219" s="27" t="n"/>
      <c r="L219" s="26" t="n"/>
      <c r="M219" s="26" t="n"/>
      <c r="N219" s="28">
        <f>IF($A219="","",IF($C219="","",raporTarihi-$C219))</f>
        <v/>
      </c>
      <c r="O219" s="28">
        <f>IF($A219="","",IF($N219="","",IF($N219&lt;=7,"0-7",IF($N219&lt;=30,"8-30",IF($N219&lt;=60,"31-60","60+")))))</f>
        <v/>
      </c>
      <c r="P219" s="28">
        <f>IF($A219="","",IF($B219="","YETİM",IF(COUNTIF(tblKartlar[KartId],$B219)=0,"YETİM","")))</f>
        <v/>
      </c>
      <c r="Q219" s="28">
        <f>IF(OR($A219="",$D219=""),"",IF(OR($D219&amp;"|"&amp;$E219="",COUNTIF(ListeIzinliGecis,$D219&amp;"|"&amp;$E219)&gt;0),"","GEÇERSİZ GEÇİŞ"))</f>
        <v/>
      </c>
      <c r="R219" s="28">
        <f>IF($A219="","",IF(OR($F219="",$H219=""),"",IF(ABS($H219-$F219)&gt;zincirTolerans,"ZİNCİR KIRIK","OK")))</f>
        <v/>
      </c>
      <c r="S219" s="28">
        <f>IF($A219="","",1)</f>
        <v/>
      </c>
    </row>
    <row r="220">
      <c r="A220" s="26" t="n"/>
      <c r="B220" s="26" t="n"/>
      <c r="C220" s="29" t="n"/>
      <c r="D220" s="26" t="n"/>
      <c r="E220" s="26" t="n"/>
      <c r="F220" s="27" t="n"/>
      <c r="G220" s="27" t="n"/>
      <c r="H220" s="27" t="n"/>
      <c r="I220" s="27" t="n"/>
      <c r="J220" s="27" t="n"/>
      <c r="K220" s="27" t="n"/>
      <c r="L220" s="26" t="n"/>
      <c r="M220" s="26" t="n"/>
      <c r="N220" s="28">
        <f>IF($A220="","",IF($C220="","",raporTarihi-$C220))</f>
        <v/>
      </c>
      <c r="O220" s="28">
        <f>IF($A220="","",IF($N220="","",IF($N220&lt;=7,"0-7",IF($N220&lt;=30,"8-30",IF($N220&lt;=60,"31-60","60+")))))</f>
        <v/>
      </c>
      <c r="P220" s="28">
        <f>IF($A220="","",IF($B220="","YETİM",IF(COUNTIF(tblKartlar[KartId],$B220)=0,"YETİM","")))</f>
        <v/>
      </c>
      <c r="Q220" s="28">
        <f>IF(OR($A220="",$D220=""),"",IF(OR($D220&amp;"|"&amp;$E220="",COUNTIF(ListeIzinliGecis,$D220&amp;"|"&amp;$E220)&gt;0),"","GEÇERSİZ GEÇİŞ"))</f>
        <v/>
      </c>
      <c r="R220" s="28">
        <f>IF($A220="","",IF(OR($F220="",$H220=""),"",IF(ABS($H220-$F220)&gt;zincirTolerans,"ZİNCİR KIRIK","OK")))</f>
        <v/>
      </c>
      <c r="S220" s="28">
        <f>IF($A220="","",1)</f>
        <v/>
      </c>
    </row>
    <row r="221">
      <c r="A221" s="26" t="n"/>
      <c r="B221" s="26" t="n"/>
      <c r="C221" s="29" t="n"/>
      <c r="D221" s="26" t="n"/>
      <c r="E221" s="26" t="n"/>
      <c r="F221" s="27" t="n"/>
      <c r="G221" s="27" t="n"/>
      <c r="H221" s="27" t="n"/>
      <c r="I221" s="27" t="n"/>
      <c r="J221" s="27" t="n"/>
      <c r="K221" s="27" t="n"/>
      <c r="L221" s="26" t="n"/>
      <c r="M221" s="26" t="n"/>
      <c r="N221" s="28">
        <f>IF($A221="","",IF($C221="","",raporTarihi-$C221))</f>
        <v/>
      </c>
      <c r="O221" s="28">
        <f>IF($A221="","",IF($N221="","",IF($N221&lt;=7,"0-7",IF($N221&lt;=30,"8-30",IF($N221&lt;=60,"31-60","60+")))))</f>
        <v/>
      </c>
      <c r="P221" s="28">
        <f>IF($A221="","",IF($B221="","YETİM",IF(COUNTIF(tblKartlar[KartId],$B221)=0,"YETİM","")))</f>
        <v/>
      </c>
      <c r="Q221" s="28">
        <f>IF(OR($A221="",$D221=""),"",IF(OR($D221&amp;"|"&amp;$E221="",COUNTIF(ListeIzinliGecis,$D221&amp;"|"&amp;$E221)&gt;0),"","GEÇERSİZ GEÇİŞ"))</f>
        <v/>
      </c>
      <c r="R221" s="28">
        <f>IF($A221="","",IF(OR($F221="",$H221=""),"",IF(ABS($H221-$F221)&gt;zincirTolerans,"ZİNCİR KIRIK","OK")))</f>
        <v/>
      </c>
      <c r="S221" s="28">
        <f>IF($A221="","",1)</f>
        <v/>
      </c>
    </row>
    <row r="222">
      <c r="A222" s="26" t="n"/>
      <c r="B222" s="26" t="n"/>
      <c r="C222" s="29" t="n"/>
      <c r="D222" s="26" t="n"/>
      <c r="E222" s="26" t="n"/>
      <c r="F222" s="27" t="n"/>
      <c r="G222" s="27" t="n"/>
      <c r="H222" s="27" t="n"/>
      <c r="I222" s="27" t="n"/>
      <c r="J222" s="27" t="n"/>
      <c r="K222" s="27" t="n"/>
      <c r="L222" s="26" t="n"/>
      <c r="M222" s="26" t="n"/>
      <c r="N222" s="28">
        <f>IF($A222="","",IF($C222="","",raporTarihi-$C222))</f>
        <v/>
      </c>
      <c r="O222" s="28">
        <f>IF($A222="","",IF($N222="","",IF($N222&lt;=7,"0-7",IF($N222&lt;=30,"8-30",IF($N222&lt;=60,"31-60","60+")))))</f>
        <v/>
      </c>
      <c r="P222" s="28">
        <f>IF($A222="","",IF($B222="","YETİM",IF(COUNTIF(tblKartlar[KartId],$B222)=0,"YETİM","")))</f>
        <v/>
      </c>
      <c r="Q222" s="28">
        <f>IF(OR($A222="",$D222=""),"",IF(OR($D222&amp;"|"&amp;$E222="",COUNTIF(ListeIzinliGecis,$D222&amp;"|"&amp;$E222)&gt;0),"","GEÇERSİZ GEÇİŞ"))</f>
        <v/>
      </c>
      <c r="R222" s="28">
        <f>IF($A222="","",IF(OR($F222="",$H222=""),"",IF(ABS($H222-$F222)&gt;zincirTolerans,"ZİNCİR KIRIK","OK")))</f>
        <v/>
      </c>
      <c r="S222" s="28">
        <f>IF($A222="","",1)</f>
        <v/>
      </c>
    </row>
    <row r="223">
      <c r="A223" s="26" t="n"/>
      <c r="B223" s="26" t="n"/>
      <c r="C223" s="29" t="n"/>
      <c r="D223" s="26" t="n"/>
      <c r="E223" s="26" t="n"/>
      <c r="F223" s="27" t="n"/>
      <c r="G223" s="27" t="n"/>
      <c r="H223" s="27" t="n"/>
      <c r="I223" s="27" t="n"/>
      <c r="J223" s="27" t="n"/>
      <c r="K223" s="27" t="n"/>
      <c r="L223" s="26" t="n"/>
      <c r="M223" s="26" t="n"/>
      <c r="N223" s="28">
        <f>IF($A223="","",IF($C223="","",raporTarihi-$C223))</f>
        <v/>
      </c>
      <c r="O223" s="28">
        <f>IF($A223="","",IF($N223="","",IF($N223&lt;=7,"0-7",IF($N223&lt;=30,"8-30",IF($N223&lt;=60,"31-60","60+")))))</f>
        <v/>
      </c>
      <c r="P223" s="28">
        <f>IF($A223="","",IF($B223="","YETİM",IF(COUNTIF(tblKartlar[KartId],$B223)=0,"YETİM","")))</f>
        <v/>
      </c>
      <c r="Q223" s="28">
        <f>IF(OR($A223="",$D223=""),"",IF(OR($D223&amp;"|"&amp;$E223="",COUNTIF(ListeIzinliGecis,$D223&amp;"|"&amp;$E223)&gt;0),"","GEÇERSİZ GEÇİŞ"))</f>
        <v/>
      </c>
      <c r="R223" s="28">
        <f>IF($A223="","",IF(OR($F223="",$H223=""),"",IF(ABS($H223-$F223)&gt;zincirTolerans,"ZİNCİR KIRIK","OK")))</f>
        <v/>
      </c>
      <c r="S223" s="28">
        <f>IF($A223="","",1)</f>
        <v/>
      </c>
    </row>
    <row r="224">
      <c r="A224" s="26" t="n"/>
      <c r="B224" s="26" t="n"/>
      <c r="C224" s="29" t="n"/>
      <c r="D224" s="26" t="n"/>
      <c r="E224" s="26" t="n"/>
      <c r="F224" s="27" t="n"/>
      <c r="G224" s="27" t="n"/>
      <c r="H224" s="27" t="n"/>
      <c r="I224" s="27" t="n"/>
      <c r="J224" s="27" t="n"/>
      <c r="K224" s="27" t="n"/>
      <c r="L224" s="26" t="n"/>
      <c r="M224" s="26" t="n"/>
      <c r="N224" s="28">
        <f>IF($A224="","",IF($C224="","",raporTarihi-$C224))</f>
        <v/>
      </c>
      <c r="O224" s="28">
        <f>IF($A224="","",IF($N224="","",IF($N224&lt;=7,"0-7",IF($N224&lt;=30,"8-30",IF($N224&lt;=60,"31-60","60+")))))</f>
        <v/>
      </c>
      <c r="P224" s="28">
        <f>IF($A224="","",IF($B224="","YETİM",IF(COUNTIF(tblKartlar[KartId],$B224)=0,"YETİM","")))</f>
        <v/>
      </c>
      <c r="Q224" s="28">
        <f>IF(OR($A224="",$D224=""),"",IF(OR($D224&amp;"|"&amp;$E224="",COUNTIF(ListeIzinliGecis,$D224&amp;"|"&amp;$E224)&gt;0),"","GEÇERSİZ GEÇİŞ"))</f>
        <v/>
      </c>
      <c r="R224" s="28">
        <f>IF($A224="","",IF(OR($F224="",$H224=""),"",IF(ABS($H224-$F224)&gt;zincirTolerans,"ZİNCİR KIRIK","OK")))</f>
        <v/>
      </c>
      <c r="S224" s="28">
        <f>IF($A224="","",1)</f>
        <v/>
      </c>
    </row>
    <row r="225">
      <c r="A225" s="26" t="n"/>
      <c r="B225" s="26" t="n"/>
      <c r="C225" s="29" t="n"/>
      <c r="D225" s="26" t="n"/>
      <c r="E225" s="26" t="n"/>
      <c r="F225" s="27" t="n"/>
      <c r="G225" s="27" t="n"/>
      <c r="H225" s="27" t="n"/>
      <c r="I225" s="27" t="n"/>
      <c r="J225" s="27" t="n"/>
      <c r="K225" s="27" t="n"/>
      <c r="L225" s="26" t="n"/>
      <c r="M225" s="26" t="n"/>
      <c r="N225" s="28">
        <f>IF($A225="","",IF($C225="","",raporTarihi-$C225))</f>
        <v/>
      </c>
      <c r="O225" s="28">
        <f>IF($A225="","",IF($N225="","",IF($N225&lt;=7,"0-7",IF($N225&lt;=30,"8-30",IF($N225&lt;=60,"31-60","60+")))))</f>
        <v/>
      </c>
      <c r="P225" s="28">
        <f>IF($A225="","",IF($B225="","YETİM",IF(COUNTIF(tblKartlar[KartId],$B225)=0,"YETİM","")))</f>
        <v/>
      </c>
      <c r="Q225" s="28">
        <f>IF(OR($A225="",$D225=""),"",IF(OR($D225&amp;"|"&amp;$E225="",COUNTIF(ListeIzinliGecis,$D225&amp;"|"&amp;$E225)&gt;0),"","GEÇERSİZ GEÇİŞ"))</f>
        <v/>
      </c>
      <c r="R225" s="28">
        <f>IF($A225="","",IF(OR($F225="",$H225=""),"",IF(ABS($H225-$F225)&gt;zincirTolerans,"ZİNCİR KIRIK","OK")))</f>
        <v/>
      </c>
      <c r="S225" s="28">
        <f>IF($A225="","",1)</f>
        <v/>
      </c>
    </row>
    <row r="226">
      <c r="A226" s="26" t="n"/>
      <c r="B226" s="26" t="n"/>
      <c r="C226" s="29" t="n"/>
      <c r="D226" s="26" t="n"/>
      <c r="E226" s="26" t="n"/>
      <c r="F226" s="27" t="n"/>
      <c r="G226" s="27" t="n"/>
      <c r="H226" s="27" t="n"/>
      <c r="I226" s="27" t="n"/>
      <c r="J226" s="27" t="n"/>
      <c r="K226" s="27" t="n"/>
      <c r="L226" s="26" t="n"/>
      <c r="M226" s="26" t="n"/>
      <c r="N226" s="28">
        <f>IF($A226="","",IF($C226="","",raporTarihi-$C226))</f>
        <v/>
      </c>
      <c r="O226" s="28">
        <f>IF($A226="","",IF($N226="","",IF($N226&lt;=7,"0-7",IF($N226&lt;=30,"8-30",IF($N226&lt;=60,"31-60","60+")))))</f>
        <v/>
      </c>
      <c r="P226" s="28">
        <f>IF($A226="","",IF($B226="","YETİM",IF(COUNTIF(tblKartlar[KartId],$B226)=0,"YETİM","")))</f>
        <v/>
      </c>
      <c r="Q226" s="28">
        <f>IF(OR($A226="",$D226=""),"",IF(OR($D226&amp;"|"&amp;$E226="",COUNTIF(ListeIzinliGecis,$D226&amp;"|"&amp;$E226)&gt;0),"","GEÇERSİZ GEÇİŞ"))</f>
        <v/>
      </c>
      <c r="R226" s="28">
        <f>IF($A226="","",IF(OR($F226="",$H226=""),"",IF(ABS($H226-$F226)&gt;zincirTolerans,"ZİNCİR KIRIK","OK")))</f>
        <v/>
      </c>
      <c r="S226" s="28">
        <f>IF($A226="","",1)</f>
        <v/>
      </c>
    </row>
    <row r="227">
      <c r="A227" s="26" t="n"/>
      <c r="B227" s="26" t="n"/>
      <c r="C227" s="29" t="n"/>
      <c r="D227" s="26" t="n"/>
      <c r="E227" s="26" t="n"/>
      <c r="F227" s="27" t="n"/>
      <c r="G227" s="27" t="n"/>
      <c r="H227" s="27" t="n"/>
      <c r="I227" s="27" t="n"/>
      <c r="J227" s="27" t="n"/>
      <c r="K227" s="27" t="n"/>
      <c r="L227" s="26" t="n"/>
      <c r="M227" s="26" t="n"/>
      <c r="N227" s="28">
        <f>IF($A227="","",IF($C227="","",raporTarihi-$C227))</f>
        <v/>
      </c>
      <c r="O227" s="28">
        <f>IF($A227="","",IF($N227="","",IF($N227&lt;=7,"0-7",IF($N227&lt;=30,"8-30",IF($N227&lt;=60,"31-60","60+")))))</f>
        <v/>
      </c>
      <c r="P227" s="28">
        <f>IF($A227="","",IF($B227="","YETİM",IF(COUNTIF(tblKartlar[KartId],$B227)=0,"YETİM","")))</f>
        <v/>
      </c>
      <c r="Q227" s="28">
        <f>IF(OR($A227="",$D227=""),"",IF(OR($D227&amp;"|"&amp;$E227="",COUNTIF(ListeIzinliGecis,$D227&amp;"|"&amp;$E227)&gt;0),"","GEÇERSİZ GEÇİŞ"))</f>
        <v/>
      </c>
      <c r="R227" s="28">
        <f>IF($A227="","",IF(OR($F227="",$H227=""),"",IF(ABS($H227-$F227)&gt;zincirTolerans,"ZİNCİR KIRIK","OK")))</f>
        <v/>
      </c>
      <c r="S227" s="28">
        <f>IF($A227="","",1)</f>
        <v/>
      </c>
    </row>
    <row r="228">
      <c r="A228" s="26" t="n"/>
      <c r="B228" s="26" t="n"/>
      <c r="C228" s="29" t="n"/>
      <c r="D228" s="26" t="n"/>
      <c r="E228" s="26" t="n"/>
      <c r="F228" s="27" t="n"/>
      <c r="G228" s="27" t="n"/>
      <c r="H228" s="27" t="n"/>
      <c r="I228" s="27" t="n"/>
      <c r="J228" s="27" t="n"/>
      <c r="K228" s="27" t="n"/>
      <c r="L228" s="26" t="n"/>
      <c r="M228" s="26" t="n"/>
      <c r="N228" s="28">
        <f>IF($A228="","",IF($C228="","",raporTarihi-$C228))</f>
        <v/>
      </c>
      <c r="O228" s="28">
        <f>IF($A228="","",IF($N228="","",IF($N228&lt;=7,"0-7",IF($N228&lt;=30,"8-30",IF($N228&lt;=60,"31-60","60+")))))</f>
        <v/>
      </c>
      <c r="P228" s="28">
        <f>IF($A228="","",IF($B228="","YETİM",IF(COUNTIF(tblKartlar[KartId],$B228)=0,"YETİM","")))</f>
        <v/>
      </c>
      <c r="Q228" s="28">
        <f>IF(OR($A228="",$D228=""),"",IF(OR($D228&amp;"|"&amp;$E228="",COUNTIF(ListeIzinliGecis,$D228&amp;"|"&amp;$E228)&gt;0),"","GEÇERSİZ GEÇİŞ"))</f>
        <v/>
      </c>
      <c r="R228" s="28">
        <f>IF($A228="","",IF(OR($F228="",$H228=""),"",IF(ABS($H228-$F228)&gt;zincirTolerans,"ZİNCİR KIRIK","OK")))</f>
        <v/>
      </c>
      <c r="S228" s="28">
        <f>IF($A228="","",1)</f>
        <v/>
      </c>
    </row>
    <row r="229">
      <c r="A229" s="26" t="n"/>
      <c r="B229" s="26" t="n"/>
      <c r="C229" s="29" t="n"/>
      <c r="D229" s="26" t="n"/>
      <c r="E229" s="26" t="n"/>
      <c r="F229" s="27" t="n"/>
      <c r="G229" s="27" t="n"/>
      <c r="H229" s="27" t="n"/>
      <c r="I229" s="27" t="n"/>
      <c r="J229" s="27" t="n"/>
      <c r="K229" s="27" t="n"/>
      <c r="L229" s="26" t="n"/>
      <c r="M229" s="26" t="n"/>
      <c r="N229" s="28">
        <f>IF($A229="","",IF($C229="","",raporTarihi-$C229))</f>
        <v/>
      </c>
      <c r="O229" s="28">
        <f>IF($A229="","",IF($N229="","",IF($N229&lt;=7,"0-7",IF($N229&lt;=30,"8-30",IF($N229&lt;=60,"31-60","60+")))))</f>
        <v/>
      </c>
      <c r="P229" s="28">
        <f>IF($A229="","",IF($B229="","YETİM",IF(COUNTIF(tblKartlar[KartId],$B229)=0,"YETİM","")))</f>
        <v/>
      </c>
      <c r="Q229" s="28">
        <f>IF(OR($A229="",$D229=""),"",IF(OR($D229&amp;"|"&amp;$E229="",COUNTIF(ListeIzinliGecis,$D229&amp;"|"&amp;$E229)&gt;0),"","GEÇERSİZ GEÇİŞ"))</f>
        <v/>
      </c>
      <c r="R229" s="28">
        <f>IF($A229="","",IF(OR($F229="",$H229=""),"",IF(ABS($H229-$F229)&gt;zincirTolerans,"ZİNCİR KIRIK","OK")))</f>
        <v/>
      </c>
      <c r="S229" s="28">
        <f>IF($A229="","",1)</f>
        <v/>
      </c>
    </row>
    <row r="230">
      <c r="A230" s="26" t="n"/>
      <c r="B230" s="26" t="n"/>
      <c r="C230" s="29" t="n"/>
      <c r="D230" s="26" t="n"/>
      <c r="E230" s="26" t="n"/>
      <c r="F230" s="27" t="n"/>
      <c r="G230" s="27" t="n"/>
      <c r="H230" s="27" t="n"/>
      <c r="I230" s="27" t="n"/>
      <c r="J230" s="27" t="n"/>
      <c r="K230" s="27" t="n"/>
      <c r="L230" s="26" t="n"/>
      <c r="M230" s="26" t="n"/>
      <c r="N230" s="28">
        <f>IF($A230="","",IF($C230="","",raporTarihi-$C230))</f>
        <v/>
      </c>
      <c r="O230" s="28">
        <f>IF($A230="","",IF($N230="","",IF($N230&lt;=7,"0-7",IF($N230&lt;=30,"8-30",IF($N230&lt;=60,"31-60","60+")))))</f>
        <v/>
      </c>
      <c r="P230" s="28">
        <f>IF($A230="","",IF($B230="","YETİM",IF(COUNTIF(tblKartlar[KartId],$B230)=0,"YETİM","")))</f>
        <v/>
      </c>
      <c r="Q230" s="28">
        <f>IF(OR($A230="",$D230=""),"",IF(OR($D230&amp;"|"&amp;$E230="",COUNTIF(ListeIzinliGecis,$D230&amp;"|"&amp;$E230)&gt;0),"","GEÇERSİZ GEÇİŞ"))</f>
        <v/>
      </c>
      <c r="R230" s="28">
        <f>IF($A230="","",IF(OR($F230="",$H230=""),"",IF(ABS($H230-$F230)&gt;zincirTolerans,"ZİNCİR KIRIK","OK")))</f>
        <v/>
      </c>
      <c r="S230" s="28">
        <f>IF($A230="","",1)</f>
        <v/>
      </c>
    </row>
    <row r="231">
      <c r="A231" s="26" t="n"/>
      <c r="B231" s="26" t="n"/>
      <c r="C231" s="29" t="n"/>
      <c r="D231" s="26" t="n"/>
      <c r="E231" s="26" t="n"/>
      <c r="F231" s="27" t="n"/>
      <c r="G231" s="27" t="n"/>
      <c r="H231" s="27" t="n"/>
      <c r="I231" s="27" t="n"/>
      <c r="J231" s="27" t="n"/>
      <c r="K231" s="27" t="n"/>
      <c r="L231" s="26" t="n"/>
      <c r="M231" s="26" t="n"/>
      <c r="N231" s="28">
        <f>IF($A231="","",IF($C231="","",raporTarihi-$C231))</f>
        <v/>
      </c>
      <c r="O231" s="28">
        <f>IF($A231="","",IF($N231="","",IF($N231&lt;=7,"0-7",IF($N231&lt;=30,"8-30",IF($N231&lt;=60,"31-60","60+")))))</f>
        <v/>
      </c>
      <c r="P231" s="28">
        <f>IF($A231="","",IF($B231="","YETİM",IF(COUNTIF(tblKartlar[KartId],$B231)=0,"YETİM","")))</f>
        <v/>
      </c>
      <c r="Q231" s="28">
        <f>IF(OR($A231="",$D231=""),"",IF(OR($D231&amp;"|"&amp;$E231="",COUNTIF(ListeIzinliGecis,$D231&amp;"|"&amp;$E231)&gt;0),"","GEÇERSİZ GEÇİŞ"))</f>
        <v/>
      </c>
      <c r="R231" s="28">
        <f>IF($A231="","",IF(OR($F231="",$H231=""),"",IF(ABS($H231-$F231)&gt;zincirTolerans,"ZİNCİR KIRIK","OK")))</f>
        <v/>
      </c>
      <c r="S231" s="28">
        <f>IF($A231="","",1)</f>
        <v/>
      </c>
    </row>
    <row r="232">
      <c r="A232" s="26" t="n"/>
      <c r="B232" s="26" t="n"/>
      <c r="C232" s="29" t="n"/>
      <c r="D232" s="26" t="n"/>
      <c r="E232" s="26" t="n"/>
      <c r="F232" s="27" t="n"/>
      <c r="G232" s="27" t="n"/>
      <c r="H232" s="27" t="n"/>
      <c r="I232" s="27" t="n"/>
      <c r="J232" s="27" t="n"/>
      <c r="K232" s="27" t="n"/>
      <c r="L232" s="26" t="n"/>
      <c r="M232" s="26" t="n"/>
      <c r="N232" s="28">
        <f>IF($A232="","",IF($C232="","",raporTarihi-$C232))</f>
        <v/>
      </c>
      <c r="O232" s="28">
        <f>IF($A232="","",IF($N232="","",IF($N232&lt;=7,"0-7",IF($N232&lt;=30,"8-30",IF($N232&lt;=60,"31-60","60+")))))</f>
        <v/>
      </c>
      <c r="P232" s="28">
        <f>IF($A232="","",IF($B232="","YETİM",IF(COUNTIF(tblKartlar[KartId],$B232)=0,"YETİM","")))</f>
        <v/>
      </c>
      <c r="Q232" s="28">
        <f>IF(OR($A232="",$D232=""),"",IF(OR($D232&amp;"|"&amp;$E232="",COUNTIF(ListeIzinliGecis,$D232&amp;"|"&amp;$E232)&gt;0),"","GEÇERSİZ GEÇİŞ"))</f>
        <v/>
      </c>
      <c r="R232" s="28">
        <f>IF($A232="","",IF(OR($F232="",$H232=""),"",IF(ABS($H232-$F232)&gt;zincirTolerans,"ZİNCİR KIRIK","OK")))</f>
        <v/>
      </c>
      <c r="S232" s="28">
        <f>IF($A232="","",1)</f>
        <v/>
      </c>
    </row>
    <row r="233">
      <c r="A233" s="26" t="n"/>
      <c r="B233" s="26" t="n"/>
      <c r="C233" s="29" t="n"/>
      <c r="D233" s="26" t="n"/>
      <c r="E233" s="26" t="n"/>
      <c r="F233" s="27" t="n"/>
      <c r="G233" s="27" t="n"/>
      <c r="H233" s="27" t="n"/>
      <c r="I233" s="27" t="n"/>
      <c r="J233" s="27" t="n"/>
      <c r="K233" s="27" t="n"/>
      <c r="L233" s="26" t="n"/>
      <c r="M233" s="26" t="n"/>
      <c r="N233" s="28">
        <f>IF($A233="","",IF($C233="","",raporTarihi-$C233))</f>
        <v/>
      </c>
      <c r="O233" s="28">
        <f>IF($A233="","",IF($N233="","",IF($N233&lt;=7,"0-7",IF($N233&lt;=30,"8-30",IF($N233&lt;=60,"31-60","60+")))))</f>
        <v/>
      </c>
      <c r="P233" s="28">
        <f>IF($A233="","",IF($B233="","YETİM",IF(COUNTIF(tblKartlar[KartId],$B233)=0,"YETİM","")))</f>
        <v/>
      </c>
      <c r="Q233" s="28">
        <f>IF(OR($A233="",$D233=""),"",IF(OR($D233&amp;"|"&amp;$E233="",COUNTIF(ListeIzinliGecis,$D233&amp;"|"&amp;$E233)&gt;0),"","GEÇERSİZ GEÇİŞ"))</f>
        <v/>
      </c>
      <c r="R233" s="28">
        <f>IF($A233="","",IF(OR($F233="",$H233=""),"",IF(ABS($H233-$F233)&gt;zincirTolerans,"ZİNCİR KIRIK","OK")))</f>
        <v/>
      </c>
      <c r="S233" s="28">
        <f>IF($A233="","",1)</f>
        <v/>
      </c>
    </row>
    <row r="234">
      <c r="A234" s="26" t="n"/>
      <c r="B234" s="26" t="n"/>
      <c r="C234" s="29" t="n"/>
      <c r="D234" s="26" t="n"/>
      <c r="E234" s="26" t="n"/>
      <c r="F234" s="27" t="n"/>
      <c r="G234" s="27" t="n"/>
      <c r="H234" s="27" t="n"/>
      <c r="I234" s="27" t="n"/>
      <c r="J234" s="27" t="n"/>
      <c r="K234" s="27" t="n"/>
      <c r="L234" s="26" t="n"/>
      <c r="M234" s="26" t="n"/>
      <c r="N234" s="28">
        <f>IF($A234="","",IF($C234="","",raporTarihi-$C234))</f>
        <v/>
      </c>
      <c r="O234" s="28">
        <f>IF($A234="","",IF($N234="","",IF($N234&lt;=7,"0-7",IF($N234&lt;=30,"8-30",IF($N234&lt;=60,"31-60","60+")))))</f>
        <v/>
      </c>
      <c r="P234" s="28">
        <f>IF($A234="","",IF($B234="","YETİM",IF(COUNTIF(tblKartlar[KartId],$B234)=0,"YETİM","")))</f>
        <v/>
      </c>
      <c r="Q234" s="28">
        <f>IF(OR($A234="",$D234=""),"",IF(OR($D234&amp;"|"&amp;$E234="",COUNTIF(ListeIzinliGecis,$D234&amp;"|"&amp;$E234)&gt;0),"","GEÇERSİZ GEÇİŞ"))</f>
        <v/>
      </c>
      <c r="R234" s="28">
        <f>IF($A234="","",IF(OR($F234="",$H234=""),"",IF(ABS($H234-$F234)&gt;zincirTolerans,"ZİNCİR KIRIK","OK")))</f>
        <v/>
      </c>
      <c r="S234" s="28">
        <f>IF($A234="","",1)</f>
        <v/>
      </c>
    </row>
    <row r="235">
      <c r="A235" s="26" t="n"/>
      <c r="B235" s="26" t="n"/>
      <c r="C235" s="29" t="n"/>
      <c r="D235" s="26" t="n"/>
      <c r="E235" s="26" t="n"/>
      <c r="F235" s="27" t="n"/>
      <c r="G235" s="27" t="n"/>
      <c r="H235" s="27" t="n"/>
      <c r="I235" s="27" t="n"/>
      <c r="J235" s="27" t="n"/>
      <c r="K235" s="27" t="n"/>
      <c r="L235" s="26" t="n"/>
      <c r="M235" s="26" t="n"/>
      <c r="N235" s="28">
        <f>IF($A235="","",IF($C235="","",raporTarihi-$C235))</f>
        <v/>
      </c>
      <c r="O235" s="28">
        <f>IF($A235="","",IF($N235="","",IF($N235&lt;=7,"0-7",IF($N235&lt;=30,"8-30",IF($N235&lt;=60,"31-60","60+")))))</f>
        <v/>
      </c>
      <c r="P235" s="28">
        <f>IF($A235="","",IF($B235="","YETİM",IF(COUNTIF(tblKartlar[KartId],$B235)=0,"YETİM","")))</f>
        <v/>
      </c>
      <c r="Q235" s="28">
        <f>IF(OR($A235="",$D235=""),"",IF(OR($D235&amp;"|"&amp;$E235="",COUNTIF(ListeIzinliGecis,$D235&amp;"|"&amp;$E235)&gt;0),"","GEÇERSİZ GEÇİŞ"))</f>
        <v/>
      </c>
      <c r="R235" s="28">
        <f>IF($A235="","",IF(OR($F235="",$H235=""),"",IF(ABS($H235-$F235)&gt;zincirTolerans,"ZİNCİR KIRIK","OK")))</f>
        <v/>
      </c>
      <c r="S235" s="28">
        <f>IF($A235="","",1)</f>
        <v/>
      </c>
    </row>
    <row r="236">
      <c r="A236" s="26" t="n"/>
      <c r="B236" s="26" t="n"/>
      <c r="C236" s="29" t="n"/>
      <c r="D236" s="26" t="n"/>
      <c r="E236" s="26" t="n"/>
      <c r="F236" s="27" t="n"/>
      <c r="G236" s="27" t="n"/>
      <c r="H236" s="27" t="n"/>
      <c r="I236" s="27" t="n"/>
      <c r="J236" s="27" t="n"/>
      <c r="K236" s="27" t="n"/>
      <c r="L236" s="26" t="n"/>
      <c r="M236" s="26" t="n"/>
      <c r="N236" s="28">
        <f>IF($A236="","",IF($C236="","",raporTarihi-$C236))</f>
        <v/>
      </c>
      <c r="O236" s="28">
        <f>IF($A236="","",IF($N236="","",IF($N236&lt;=7,"0-7",IF($N236&lt;=30,"8-30",IF($N236&lt;=60,"31-60","60+")))))</f>
        <v/>
      </c>
      <c r="P236" s="28">
        <f>IF($A236="","",IF($B236="","YETİM",IF(COUNTIF(tblKartlar[KartId],$B236)=0,"YETİM","")))</f>
        <v/>
      </c>
      <c r="Q236" s="28">
        <f>IF(OR($A236="",$D236=""),"",IF(OR($D236&amp;"|"&amp;$E236="",COUNTIF(ListeIzinliGecis,$D236&amp;"|"&amp;$E236)&gt;0),"","GEÇERSİZ GEÇİŞ"))</f>
        <v/>
      </c>
      <c r="R236" s="28">
        <f>IF($A236="","",IF(OR($F236="",$H236=""),"",IF(ABS($H236-$F236)&gt;zincirTolerans,"ZİNCİR KIRIK","OK")))</f>
        <v/>
      </c>
      <c r="S236" s="28">
        <f>IF($A236="","",1)</f>
        <v/>
      </c>
    </row>
    <row r="237">
      <c r="A237" s="26" t="n"/>
      <c r="B237" s="26" t="n"/>
      <c r="C237" s="29" t="n"/>
      <c r="D237" s="26" t="n"/>
      <c r="E237" s="26" t="n"/>
      <c r="F237" s="27" t="n"/>
      <c r="G237" s="27" t="n"/>
      <c r="H237" s="27" t="n"/>
      <c r="I237" s="27" t="n"/>
      <c r="J237" s="27" t="n"/>
      <c r="K237" s="27" t="n"/>
      <c r="L237" s="26" t="n"/>
      <c r="M237" s="26" t="n"/>
      <c r="N237" s="28">
        <f>IF($A237="","",IF($C237="","",raporTarihi-$C237))</f>
        <v/>
      </c>
      <c r="O237" s="28">
        <f>IF($A237="","",IF($N237="","",IF($N237&lt;=7,"0-7",IF($N237&lt;=30,"8-30",IF($N237&lt;=60,"31-60","60+")))))</f>
        <v/>
      </c>
      <c r="P237" s="28">
        <f>IF($A237="","",IF($B237="","YETİM",IF(COUNTIF(tblKartlar[KartId],$B237)=0,"YETİM","")))</f>
        <v/>
      </c>
      <c r="Q237" s="28">
        <f>IF(OR($A237="",$D237=""),"",IF(OR($D237&amp;"|"&amp;$E237="",COUNTIF(ListeIzinliGecis,$D237&amp;"|"&amp;$E237)&gt;0),"","GEÇERSİZ GEÇİŞ"))</f>
        <v/>
      </c>
      <c r="R237" s="28">
        <f>IF($A237="","",IF(OR($F237="",$H237=""),"",IF(ABS($H237-$F237)&gt;zincirTolerans,"ZİNCİR KIRIK","OK")))</f>
        <v/>
      </c>
      <c r="S237" s="28">
        <f>IF($A237="","",1)</f>
        <v/>
      </c>
    </row>
    <row r="238">
      <c r="A238" s="26" t="n"/>
      <c r="B238" s="26" t="n"/>
      <c r="C238" s="29" t="n"/>
      <c r="D238" s="26" t="n"/>
      <c r="E238" s="26" t="n"/>
      <c r="F238" s="27" t="n"/>
      <c r="G238" s="27" t="n"/>
      <c r="H238" s="27" t="n"/>
      <c r="I238" s="27" t="n"/>
      <c r="J238" s="27" t="n"/>
      <c r="K238" s="27" t="n"/>
      <c r="L238" s="26" t="n"/>
      <c r="M238" s="26" t="n"/>
      <c r="N238" s="28">
        <f>IF($A238="","",IF($C238="","",raporTarihi-$C238))</f>
        <v/>
      </c>
      <c r="O238" s="28">
        <f>IF($A238="","",IF($N238="","",IF($N238&lt;=7,"0-7",IF($N238&lt;=30,"8-30",IF($N238&lt;=60,"31-60","60+")))))</f>
        <v/>
      </c>
      <c r="P238" s="28">
        <f>IF($A238="","",IF($B238="","YETİM",IF(COUNTIF(tblKartlar[KartId],$B238)=0,"YETİM","")))</f>
        <v/>
      </c>
      <c r="Q238" s="28">
        <f>IF(OR($A238="",$D238=""),"",IF(OR($D238&amp;"|"&amp;$E238="",COUNTIF(ListeIzinliGecis,$D238&amp;"|"&amp;$E238)&gt;0),"","GEÇERSİZ GEÇİŞ"))</f>
        <v/>
      </c>
      <c r="R238" s="28">
        <f>IF($A238="","",IF(OR($F238="",$H238=""),"",IF(ABS($H238-$F238)&gt;zincirTolerans,"ZİNCİR KIRIK","OK")))</f>
        <v/>
      </c>
      <c r="S238" s="28">
        <f>IF($A238="","",1)</f>
        <v/>
      </c>
    </row>
    <row r="239">
      <c r="A239" s="26" t="n"/>
      <c r="B239" s="26" t="n"/>
      <c r="C239" s="29" t="n"/>
      <c r="D239" s="26" t="n"/>
      <c r="E239" s="26" t="n"/>
      <c r="F239" s="27" t="n"/>
      <c r="G239" s="27" t="n"/>
      <c r="H239" s="27" t="n"/>
      <c r="I239" s="27" t="n"/>
      <c r="J239" s="27" t="n"/>
      <c r="K239" s="27" t="n"/>
      <c r="L239" s="26" t="n"/>
      <c r="M239" s="26" t="n"/>
      <c r="N239" s="28">
        <f>IF($A239="","",IF($C239="","",raporTarihi-$C239))</f>
        <v/>
      </c>
      <c r="O239" s="28">
        <f>IF($A239="","",IF($N239="","",IF($N239&lt;=7,"0-7",IF($N239&lt;=30,"8-30",IF($N239&lt;=60,"31-60","60+")))))</f>
        <v/>
      </c>
      <c r="P239" s="28">
        <f>IF($A239="","",IF($B239="","YETİM",IF(COUNTIF(tblKartlar[KartId],$B239)=0,"YETİM","")))</f>
        <v/>
      </c>
      <c r="Q239" s="28">
        <f>IF(OR($A239="",$D239=""),"",IF(OR($D239&amp;"|"&amp;$E239="",COUNTIF(ListeIzinliGecis,$D239&amp;"|"&amp;$E239)&gt;0),"","GEÇERSİZ GEÇİŞ"))</f>
        <v/>
      </c>
      <c r="R239" s="28">
        <f>IF($A239="","",IF(OR($F239="",$H239=""),"",IF(ABS($H239-$F239)&gt;zincirTolerans,"ZİNCİR KIRIK","OK")))</f>
        <v/>
      </c>
      <c r="S239" s="28">
        <f>IF($A239="","",1)</f>
        <v/>
      </c>
    </row>
    <row r="240">
      <c r="A240" s="26" t="n"/>
      <c r="B240" s="26" t="n"/>
      <c r="C240" s="29" t="n"/>
      <c r="D240" s="26" t="n"/>
      <c r="E240" s="26" t="n"/>
      <c r="F240" s="27" t="n"/>
      <c r="G240" s="27" t="n"/>
      <c r="H240" s="27" t="n"/>
      <c r="I240" s="27" t="n"/>
      <c r="J240" s="27" t="n"/>
      <c r="K240" s="27" t="n"/>
      <c r="L240" s="26" t="n"/>
      <c r="M240" s="26" t="n"/>
      <c r="N240" s="28">
        <f>IF($A240="","",IF($C240="","",raporTarihi-$C240))</f>
        <v/>
      </c>
      <c r="O240" s="28">
        <f>IF($A240="","",IF($N240="","",IF($N240&lt;=7,"0-7",IF($N240&lt;=30,"8-30",IF($N240&lt;=60,"31-60","60+")))))</f>
        <v/>
      </c>
      <c r="P240" s="28">
        <f>IF($A240="","",IF($B240="","YETİM",IF(COUNTIF(tblKartlar[KartId],$B240)=0,"YETİM","")))</f>
        <v/>
      </c>
      <c r="Q240" s="28">
        <f>IF(OR($A240="",$D240=""),"",IF(OR($D240&amp;"|"&amp;$E240="",COUNTIF(ListeIzinliGecis,$D240&amp;"|"&amp;$E240)&gt;0),"","GEÇERSİZ GEÇİŞ"))</f>
        <v/>
      </c>
      <c r="R240" s="28">
        <f>IF($A240="","",IF(OR($F240="",$H240=""),"",IF(ABS($H240-$F240)&gt;zincirTolerans,"ZİNCİR KIRIK","OK")))</f>
        <v/>
      </c>
      <c r="S240" s="28">
        <f>IF($A240="","",1)</f>
        <v/>
      </c>
    </row>
    <row r="241">
      <c r="A241" s="26" t="n"/>
      <c r="B241" s="26" t="n"/>
      <c r="C241" s="29" t="n"/>
      <c r="D241" s="26" t="n"/>
      <c r="E241" s="26" t="n"/>
      <c r="F241" s="27" t="n"/>
      <c r="G241" s="27" t="n"/>
      <c r="H241" s="27" t="n"/>
      <c r="I241" s="27" t="n"/>
      <c r="J241" s="27" t="n"/>
      <c r="K241" s="27" t="n"/>
      <c r="L241" s="26" t="n"/>
      <c r="M241" s="26" t="n"/>
      <c r="N241" s="28">
        <f>IF($A241="","",IF($C241="","",raporTarihi-$C241))</f>
        <v/>
      </c>
      <c r="O241" s="28">
        <f>IF($A241="","",IF($N241="","",IF($N241&lt;=7,"0-7",IF($N241&lt;=30,"8-30",IF($N241&lt;=60,"31-60","60+")))))</f>
        <v/>
      </c>
      <c r="P241" s="28">
        <f>IF($A241="","",IF($B241="","YETİM",IF(COUNTIF(tblKartlar[KartId],$B241)=0,"YETİM","")))</f>
        <v/>
      </c>
      <c r="Q241" s="28">
        <f>IF(OR($A241="",$D241=""),"",IF(OR($D241&amp;"|"&amp;$E241="",COUNTIF(ListeIzinliGecis,$D241&amp;"|"&amp;$E241)&gt;0),"","GEÇERSİZ GEÇİŞ"))</f>
        <v/>
      </c>
      <c r="R241" s="28">
        <f>IF($A241="","",IF(OR($F241="",$H241=""),"",IF(ABS($H241-$F241)&gt;zincirTolerans,"ZİNCİR KIRIK","OK")))</f>
        <v/>
      </c>
      <c r="S241" s="28">
        <f>IF($A241="","",1)</f>
        <v/>
      </c>
    </row>
    <row r="242">
      <c r="A242" s="26" t="n"/>
      <c r="B242" s="26" t="n"/>
      <c r="C242" s="29" t="n"/>
      <c r="D242" s="26" t="n"/>
      <c r="E242" s="26" t="n"/>
      <c r="F242" s="27" t="n"/>
      <c r="G242" s="27" t="n"/>
      <c r="H242" s="27" t="n"/>
      <c r="I242" s="27" t="n"/>
      <c r="J242" s="27" t="n"/>
      <c r="K242" s="27" t="n"/>
      <c r="L242" s="26" t="n"/>
      <c r="M242" s="26" t="n"/>
      <c r="N242" s="28">
        <f>IF($A242="","",IF($C242="","",raporTarihi-$C242))</f>
        <v/>
      </c>
      <c r="O242" s="28">
        <f>IF($A242="","",IF($N242="","",IF($N242&lt;=7,"0-7",IF($N242&lt;=30,"8-30",IF($N242&lt;=60,"31-60","60+")))))</f>
        <v/>
      </c>
      <c r="P242" s="28">
        <f>IF($A242="","",IF($B242="","YETİM",IF(COUNTIF(tblKartlar[KartId],$B242)=0,"YETİM","")))</f>
        <v/>
      </c>
      <c r="Q242" s="28">
        <f>IF(OR($A242="",$D242=""),"",IF(OR($D242&amp;"|"&amp;$E242="",COUNTIF(ListeIzinliGecis,$D242&amp;"|"&amp;$E242)&gt;0),"","GEÇERSİZ GEÇİŞ"))</f>
        <v/>
      </c>
      <c r="R242" s="28">
        <f>IF($A242="","",IF(OR($F242="",$H242=""),"",IF(ABS($H242-$F242)&gt;zincirTolerans,"ZİNCİR KIRIK","OK")))</f>
        <v/>
      </c>
      <c r="S242" s="28">
        <f>IF($A242="","",1)</f>
        <v/>
      </c>
    </row>
    <row r="243">
      <c r="A243" s="26" t="n"/>
      <c r="B243" s="26" t="n"/>
      <c r="C243" s="29" t="n"/>
      <c r="D243" s="26" t="n"/>
      <c r="E243" s="26" t="n"/>
      <c r="F243" s="27" t="n"/>
      <c r="G243" s="27" t="n"/>
      <c r="H243" s="27" t="n"/>
      <c r="I243" s="27" t="n"/>
      <c r="J243" s="27" t="n"/>
      <c r="K243" s="27" t="n"/>
      <c r="L243" s="26" t="n"/>
      <c r="M243" s="26" t="n"/>
      <c r="N243" s="28">
        <f>IF($A243="","",IF($C243="","",raporTarihi-$C243))</f>
        <v/>
      </c>
      <c r="O243" s="28">
        <f>IF($A243="","",IF($N243="","",IF($N243&lt;=7,"0-7",IF($N243&lt;=30,"8-30",IF($N243&lt;=60,"31-60","60+")))))</f>
        <v/>
      </c>
      <c r="P243" s="28">
        <f>IF($A243="","",IF($B243="","YETİM",IF(COUNTIF(tblKartlar[KartId],$B243)=0,"YETİM","")))</f>
        <v/>
      </c>
      <c r="Q243" s="28">
        <f>IF(OR($A243="",$D243=""),"",IF(OR($D243&amp;"|"&amp;$E243="",COUNTIF(ListeIzinliGecis,$D243&amp;"|"&amp;$E243)&gt;0),"","GEÇERSİZ GEÇİŞ"))</f>
        <v/>
      </c>
      <c r="R243" s="28">
        <f>IF($A243="","",IF(OR($F243="",$H243=""),"",IF(ABS($H243-$F243)&gt;zincirTolerans,"ZİNCİR KIRIK","OK")))</f>
        <v/>
      </c>
      <c r="S243" s="28">
        <f>IF($A243="","",1)</f>
        <v/>
      </c>
    </row>
    <row r="244">
      <c r="A244" s="26" t="n"/>
      <c r="B244" s="26" t="n"/>
      <c r="C244" s="29" t="n"/>
      <c r="D244" s="26" t="n"/>
      <c r="E244" s="26" t="n"/>
      <c r="F244" s="27" t="n"/>
      <c r="G244" s="27" t="n"/>
      <c r="H244" s="27" t="n"/>
      <c r="I244" s="27" t="n"/>
      <c r="J244" s="27" t="n"/>
      <c r="K244" s="27" t="n"/>
      <c r="L244" s="26" t="n"/>
      <c r="M244" s="26" t="n"/>
      <c r="N244" s="28">
        <f>IF($A244="","",IF($C244="","",raporTarihi-$C244))</f>
        <v/>
      </c>
      <c r="O244" s="28">
        <f>IF($A244="","",IF($N244="","",IF($N244&lt;=7,"0-7",IF($N244&lt;=30,"8-30",IF($N244&lt;=60,"31-60","60+")))))</f>
        <v/>
      </c>
      <c r="P244" s="28">
        <f>IF($A244="","",IF($B244="","YETİM",IF(COUNTIF(tblKartlar[KartId],$B244)=0,"YETİM","")))</f>
        <v/>
      </c>
      <c r="Q244" s="28">
        <f>IF(OR($A244="",$D244=""),"",IF(OR($D244&amp;"|"&amp;$E244="",COUNTIF(ListeIzinliGecis,$D244&amp;"|"&amp;$E244)&gt;0),"","GEÇERSİZ GEÇİŞ"))</f>
        <v/>
      </c>
      <c r="R244" s="28">
        <f>IF($A244="","",IF(OR($F244="",$H244=""),"",IF(ABS($H244-$F244)&gt;zincirTolerans,"ZİNCİR KIRIK","OK")))</f>
        <v/>
      </c>
      <c r="S244" s="28">
        <f>IF($A244="","",1)</f>
        <v/>
      </c>
    </row>
    <row r="245">
      <c r="A245" s="26" t="n"/>
      <c r="B245" s="26" t="n"/>
      <c r="C245" s="29" t="n"/>
      <c r="D245" s="26" t="n"/>
      <c r="E245" s="26" t="n"/>
      <c r="F245" s="27" t="n"/>
      <c r="G245" s="27" t="n"/>
      <c r="H245" s="27" t="n"/>
      <c r="I245" s="27" t="n"/>
      <c r="J245" s="27" t="n"/>
      <c r="K245" s="27" t="n"/>
      <c r="L245" s="26" t="n"/>
      <c r="M245" s="26" t="n"/>
      <c r="N245" s="28">
        <f>IF($A245="","",IF($C245="","",raporTarihi-$C245))</f>
        <v/>
      </c>
      <c r="O245" s="28">
        <f>IF($A245="","",IF($N245="","",IF($N245&lt;=7,"0-7",IF($N245&lt;=30,"8-30",IF($N245&lt;=60,"31-60","60+")))))</f>
        <v/>
      </c>
      <c r="P245" s="28">
        <f>IF($A245="","",IF($B245="","YETİM",IF(COUNTIF(tblKartlar[KartId],$B245)=0,"YETİM","")))</f>
        <v/>
      </c>
      <c r="Q245" s="28">
        <f>IF(OR($A245="",$D245=""),"",IF(OR($D245&amp;"|"&amp;$E245="",COUNTIF(ListeIzinliGecis,$D245&amp;"|"&amp;$E245)&gt;0),"","GEÇERSİZ GEÇİŞ"))</f>
        <v/>
      </c>
      <c r="R245" s="28">
        <f>IF($A245="","",IF(OR($F245="",$H245=""),"",IF(ABS($H245-$F245)&gt;zincirTolerans,"ZİNCİR KIRIK","OK")))</f>
        <v/>
      </c>
      <c r="S245" s="28">
        <f>IF($A245="","",1)</f>
        <v/>
      </c>
    </row>
    <row r="246">
      <c r="A246" s="26" t="n"/>
      <c r="B246" s="26" t="n"/>
      <c r="C246" s="29" t="n"/>
      <c r="D246" s="26" t="n"/>
      <c r="E246" s="26" t="n"/>
      <c r="F246" s="27" t="n"/>
      <c r="G246" s="27" t="n"/>
      <c r="H246" s="27" t="n"/>
      <c r="I246" s="27" t="n"/>
      <c r="J246" s="27" t="n"/>
      <c r="K246" s="27" t="n"/>
      <c r="L246" s="26" t="n"/>
      <c r="M246" s="26" t="n"/>
      <c r="N246" s="28">
        <f>IF($A246="","",IF($C246="","",raporTarihi-$C246))</f>
        <v/>
      </c>
      <c r="O246" s="28">
        <f>IF($A246="","",IF($N246="","",IF($N246&lt;=7,"0-7",IF($N246&lt;=30,"8-30",IF($N246&lt;=60,"31-60","60+")))))</f>
        <v/>
      </c>
      <c r="P246" s="28">
        <f>IF($A246="","",IF($B246="","YETİM",IF(COUNTIF(tblKartlar[KartId],$B246)=0,"YETİM","")))</f>
        <v/>
      </c>
      <c r="Q246" s="28">
        <f>IF(OR($A246="",$D246=""),"",IF(OR($D246&amp;"|"&amp;$E246="",COUNTIF(ListeIzinliGecis,$D246&amp;"|"&amp;$E246)&gt;0),"","GEÇERSİZ GEÇİŞ"))</f>
        <v/>
      </c>
      <c r="R246" s="28">
        <f>IF($A246="","",IF(OR($F246="",$H246=""),"",IF(ABS($H246-$F246)&gt;zincirTolerans,"ZİNCİR KIRIK","OK")))</f>
        <v/>
      </c>
      <c r="S246" s="28">
        <f>IF($A246="","",1)</f>
        <v/>
      </c>
    </row>
    <row r="247">
      <c r="A247" s="26" t="n"/>
      <c r="B247" s="26" t="n"/>
      <c r="C247" s="29" t="n"/>
      <c r="D247" s="26" t="n"/>
      <c r="E247" s="26" t="n"/>
      <c r="F247" s="27" t="n"/>
      <c r="G247" s="27" t="n"/>
      <c r="H247" s="27" t="n"/>
      <c r="I247" s="27" t="n"/>
      <c r="J247" s="27" t="n"/>
      <c r="K247" s="27" t="n"/>
      <c r="L247" s="26" t="n"/>
      <c r="M247" s="26" t="n"/>
      <c r="N247" s="28">
        <f>IF($A247="","",IF($C247="","",raporTarihi-$C247))</f>
        <v/>
      </c>
      <c r="O247" s="28">
        <f>IF($A247="","",IF($N247="","",IF($N247&lt;=7,"0-7",IF($N247&lt;=30,"8-30",IF($N247&lt;=60,"31-60","60+")))))</f>
        <v/>
      </c>
      <c r="P247" s="28">
        <f>IF($A247="","",IF($B247="","YETİM",IF(COUNTIF(tblKartlar[KartId],$B247)=0,"YETİM","")))</f>
        <v/>
      </c>
      <c r="Q247" s="28">
        <f>IF(OR($A247="",$D247=""),"",IF(OR($D247&amp;"|"&amp;$E247="",COUNTIF(ListeIzinliGecis,$D247&amp;"|"&amp;$E247)&gt;0),"","GEÇERSİZ GEÇİŞ"))</f>
        <v/>
      </c>
      <c r="R247" s="28">
        <f>IF($A247="","",IF(OR($F247="",$H247=""),"",IF(ABS($H247-$F247)&gt;zincirTolerans,"ZİNCİR KIRIK","OK")))</f>
        <v/>
      </c>
      <c r="S247" s="28">
        <f>IF($A247="","",1)</f>
        <v/>
      </c>
    </row>
    <row r="248">
      <c r="A248" s="26" t="n"/>
      <c r="B248" s="26" t="n"/>
      <c r="C248" s="29" t="n"/>
      <c r="D248" s="26" t="n"/>
      <c r="E248" s="26" t="n"/>
      <c r="F248" s="27" t="n"/>
      <c r="G248" s="27" t="n"/>
      <c r="H248" s="27" t="n"/>
      <c r="I248" s="27" t="n"/>
      <c r="J248" s="27" t="n"/>
      <c r="K248" s="27" t="n"/>
      <c r="L248" s="26" t="n"/>
      <c r="M248" s="26" t="n"/>
      <c r="N248" s="28">
        <f>IF($A248="","",IF($C248="","",raporTarihi-$C248))</f>
        <v/>
      </c>
      <c r="O248" s="28">
        <f>IF($A248="","",IF($N248="","",IF($N248&lt;=7,"0-7",IF($N248&lt;=30,"8-30",IF($N248&lt;=60,"31-60","60+")))))</f>
        <v/>
      </c>
      <c r="P248" s="28">
        <f>IF($A248="","",IF($B248="","YETİM",IF(COUNTIF(tblKartlar[KartId],$B248)=0,"YETİM","")))</f>
        <v/>
      </c>
      <c r="Q248" s="28">
        <f>IF(OR($A248="",$D248=""),"",IF(OR($D248&amp;"|"&amp;$E248="",COUNTIF(ListeIzinliGecis,$D248&amp;"|"&amp;$E248)&gt;0),"","GEÇERSİZ GEÇİŞ"))</f>
        <v/>
      </c>
      <c r="R248" s="28">
        <f>IF($A248="","",IF(OR($F248="",$H248=""),"",IF(ABS($H248-$F248)&gt;zincirTolerans,"ZİNCİR KIRIK","OK")))</f>
        <v/>
      </c>
      <c r="S248" s="28">
        <f>IF($A248="","",1)</f>
        <v/>
      </c>
    </row>
    <row r="249">
      <c r="A249" s="26" t="n"/>
      <c r="B249" s="26" t="n"/>
      <c r="C249" s="29" t="n"/>
      <c r="D249" s="26" t="n"/>
      <c r="E249" s="26" t="n"/>
      <c r="F249" s="27" t="n"/>
      <c r="G249" s="27" t="n"/>
      <c r="H249" s="27" t="n"/>
      <c r="I249" s="27" t="n"/>
      <c r="J249" s="27" t="n"/>
      <c r="K249" s="27" t="n"/>
      <c r="L249" s="26" t="n"/>
      <c r="M249" s="26" t="n"/>
      <c r="N249" s="28">
        <f>IF($A249="","",IF($C249="","",raporTarihi-$C249))</f>
        <v/>
      </c>
      <c r="O249" s="28">
        <f>IF($A249="","",IF($N249="","",IF($N249&lt;=7,"0-7",IF($N249&lt;=30,"8-30",IF($N249&lt;=60,"31-60","60+")))))</f>
        <v/>
      </c>
      <c r="P249" s="28">
        <f>IF($A249="","",IF($B249="","YETİM",IF(COUNTIF(tblKartlar[KartId],$B249)=0,"YETİM","")))</f>
        <v/>
      </c>
      <c r="Q249" s="28">
        <f>IF(OR($A249="",$D249=""),"",IF(OR($D249&amp;"|"&amp;$E249="",COUNTIF(ListeIzinliGecis,$D249&amp;"|"&amp;$E249)&gt;0),"","GEÇERSİZ GEÇİŞ"))</f>
        <v/>
      </c>
      <c r="R249" s="28">
        <f>IF($A249="","",IF(OR($F249="",$H249=""),"",IF(ABS($H249-$F249)&gt;zincirTolerans,"ZİNCİR KIRIK","OK")))</f>
        <v/>
      </c>
      <c r="S249" s="28">
        <f>IF($A249="","",1)</f>
        <v/>
      </c>
    </row>
    <row r="250">
      <c r="A250" s="26" t="n"/>
      <c r="B250" s="26" t="n"/>
      <c r="C250" s="29" t="n"/>
      <c r="D250" s="26" t="n"/>
      <c r="E250" s="26" t="n"/>
      <c r="F250" s="27" t="n"/>
      <c r="G250" s="27" t="n"/>
      <c r="H250" s="27" t="n"/>
      <c r="I250" s="27" t="n"/>
      <c r="J250" s="27" t="n"/>
      <c r="K250" s="27" t="n"/>
      <c r="L250" s="26" t="n"/>
      <c r="M250" s="26" t="n"/>
      <c r="N250" s="28">
        <f>IF($A250="","",IF($C250="","",raporTarihi-$C250))</f>
        <v/>
      </c>
      <c r="O250" s="28">
        <f>IF($A250="","",IF($N250="","",IF($N250&lt;=7,"0-7",IF($N250&lt;=30,"8-30",IF($N250&lt;=60,"31-60","60+")))))</f>
        <v/>
      </c>
      <c r="P250" s="28">
        <f>IF($A250="","",IF($B250="","YETİM",IF(COUNTIF(tblKartlar[KartId],$B250)=0,"YETİM","")))</f>
        <v/>
      </c>
      <c r="Q250" s="28">
        <f>IF(OR($A250="",$D250=""),"",IF(OR($D250&amp;"|"&amp;$E250="",COUNTIF(ListeIzinliGecis,$D250&amp;"|"&amp;$E250)&gt;0),"","GEÇERSİZ GEÇİŞ"))</f>
        <v/>
      </c>
      <c r="R250" s="28">
        <f>IF($A250="","",IF(OR($F250="",$H250=""),"",IF(ABS($H250-$F250)&gt;zincirTolerans,"ZİNCİR KIRIK","OK")))</f>
        <v/>
      </c>
      <c r="S250" s="28">
        <f>IF($A250="","",1)</f>
        <v/>
      </c>
    </row>
    <row r="251">
      <c r="A251" s="26" t="n"/>
      <c r="B251" s="26" t="n"/>
      <c r="C251" s="29" t="n"/>
      <c r="D251" s="26" t="n"/>
      <c r="E251" s="26" t="n"/>
      <c r="F251" s="27" t="n"/>
      <c r="G251" s="27" t="n"/>
      <c r="H251" s="27" t="n"/>
      <c r="I251" s="27" t="n"/>
      <c r="J251" s="27" t="n"/>
      <c r="K251" s="27" t="n"/>
      <c r="L251" s="26" t="n"/>
      <c r="M251" s="26" t="n"/>
      <c r="N251" s="28">
        <f>IF($A251="","",IF($C251="","",raporTarihi-$C251))</f>
        <v/>
      </c>
      <c r="O251" s="28">
        <f>IF($A251="","",IF($N251="","",IF($N251&lt;=7,"0-7",IF($N251&lt;=30,"8-30",IF($N251&lt;=60,"31-60","60+")))))</f>
        <v/>
      </c>
      <c r="P251" s="28">
        <f>IF($A251="","",IF($B251="","YETİM",IF(COUNTIF(tblKartlar[KartId],$B251)=0,"YETİM","")))</f>
        <v/>
      </c>
      <c r="Q251" s="28">
        <f>IF(OR($A251="",$D251=""),"",IF(OR($D251&amp;"|"&amp;$E251="",COUNTIF(ListeIzinliGecis,$D251&amp;"|"&amp;$E251)&gt;0),"","GEÇERSİZ GEÇİŞ"))</f>
        <v/>
      </c>
      <c r="R251" s="28">
        <f>IF($A251="","",IF(OR($F251="",$H251=""),"",IF(ABS($H251-$F251)&gt;zincirTolerans,"ZİNCİR KIRIK","OK")))</f>
        <v/>
      </c>
      <c r="S251" s="28">
        <f>IF($A251="","",1)</f>
        <v/>
      </c>
    </row>
    <row r="252">
      <c r="A252" s="26" t="n"/>
      <c r="B252" s="26" t="n"/>
      <c r="C252" s="29" t="n"/>
      <c r="D252" s="26" t="n"/>
      <c r="E252" s="26" t="n"/>
      <c r="F252" s="27" t="n"/>
      <c r="G252" s="27" t="n"/>
      <c r="H252" s="27" t="n"/>
      <c r="I252" s="27" t="n"/>
      <c r="J252" s="27" t="n"/>
      <c r="K252" s="27" t="n"/>
      <c r="L252" s="26" t="n"/>
      <c r="M252" s="26" t="n"/>
      <c r="N252" s="28">
        <f>IF($A252="","",IF($C252="","",raporTarihi-$C252))</f>
        <v/>
      </c>
      <c r="O252" s="28">
        <f>IF($A252="","",IF($N252="","",IF($N252&lt;=7,"0-7",IF($N252&lt;=30,"8-30",IF($N252&lt;=60,"31-60","60+")))))</f>
        <v/>
      </c>
      <c r="P252" s="28">
        <f>IF($A252="","",IF($B252="","YETİM",IF(COUNTIF(tblKartlar[KartId],$B252)=0,"YETİM","")))</f>
        <v/>
      </c>
      <c r="Q252" s="28">
        <f>IF(OR($A252="",$D252=""),"",IF(OR($D252&amp;"|"&amp;$E252="",COUNTIF(ListeIzinliGecis,$D252&amp;"|"&amp;$E252)&gt;0),"","GEÇERSİZ GEÇİŞ"))</f>
        <v/>
      </c>
      <c r="R252" s="28">
        <f>IF($A252="","",IF(OR($F252="",$H252=""),"",IF(ABS($H252-$F252)&gt;zincirTolerans,"ZİNCİR KIRIK","OK")))</f>
        <v/>
      </c>
      <c r="S252" s="28">
        <f>IF($A252="","",1)</f>
        <v/>
      </c>
    </row>
    <row r="253">
      <c r="A253" s="26" t="n"/>
      <c r="B253" s="26" t="n"/>
      <c r="C253" s="29" t="n"/>
      <c r="D253" s="26" t="n"/>
      <c r="E253" s="26" t="n"/>
      <c r="F253" s="27" t="n"/>
      <c r="G253" s="27" t="n"/>
      <c r="H253" s="27" t="n"/>
      <c r="I253" s="27" t="n"/>
      <c r="J253" s="27" t="n"/>
      <c r="K253" s="27" t="n"/>
      <c r="L253" s="26" t="n"/>
      <c r="M253" s="26" t="n"/>
      <c r="N253" s="28">
        <f>IF($A253="","",IF($C253="","",raporTarihi-$C253))</f>
        <v/>
      </c>
      <c r="O253" s="28">
        <f>IF($A253="","",IF($N253="","",IF($N253&lt;=7,"0-7",IF($N253&lt;=30,"8-30",IF($N253&lt;=60,"31-60","60+")))))</f>
        <v/>
      </c>
      <c r="P253" s="28">
        <f>IF($A253="","",IF($B253="","YETİM",IF(COUNTIF(tblKartlar[KartId],$B253)=0,"YETİM","")))</f>
        <v/>
      </c>
      <c r="Q253" s="28">
        <f>IF(OR($A253="",$D253=""),"",IF(OR($D253&amp;"|"&amp;$E253="",COUNTIF(ListeIzinliGecis,$D253&amp;"|"&amp;$E253)&gt;0),"","GEÇERSİZ GEÇİŞ"))</f>
        <v/>
      </c>
      <c r="R253" s="28">
        <f>IF($A253="","",IF(OR($F253="",$H253=""),"",IF(ABS($H253-$F253)&gt;zincirTolerans,"ZİNCİR KIRIK","OK")))</f>
        <v/>
      </c>
      <c r="S253" s="28">
        <f>IF($A253="","",1)</f>
        <v/>
      </c>
    </row>
    <row r="254">
      <c r="A254" s="26" t="n"/>
      <c r="B254" s="26" t="n"/>
      <c r="C254" s="29" t="n"/>
      <c r="D254" s="26" t="n"/>
      <c r="E254" s="26" t="n"/>
      <c r="F254" s="27" t="n"/>
      <c r="G254" s="27" t="n"/>
      <c r="H254" s="27" t="n"/>
      <c r="I254" s="27" t="n"/>
      <c r="J254" s="27" t="n"/>
      <c r="K254" s="27" t="n"/>
      <c r="L254" s="26" t="n"/>
      <c r="M254" s="26" t="n"/>
      <c r="N254" s="28">
        <f>IF($A254="","",IF($C254="","",raporTarihi-$C254))</f>
        <v/>
      </c>
      <c r="O254" s="28">
        <f>IF($A254="","",IF($N254="","",IF($N254&lt;=7,"0-7",IF($N254&lt;=30,"8-30",IF($N254&lt;=60,"31-60","60+")))))</f>
        <v/>
      </c>
      <c r="P254" s="28">
        <f>IF($A254="","",IF($B254="","YETİM",IF(COUNTIF(tblKartlar[KartId],$B254)=0,"YETİM","")))</f>
        <v/>
      </c>
      <c r="Q254" s="28">
        <f>IF(OR($A254="",$D254=""),"",IF(OR($D254&amp;"|"&amp;$E254="",COUNTIF(ListeIzinliGecis,$D254&amp;"|"&amp;$E254)&gt;0),"","GEÇERSİZ GEÇİŞ"))</f>
        <v/>
      </c>
      <c r="R254" s="28">
        <f>IF($A254="","",IF(OR($F254="",$H254=""),"",IF(ABS($H254-$F254)&gt;zincirTolerans,"ZİNCİR KIRIK","OK")))</f>
        <v/>
      </c>
      <c r="S254" s="28">
        <f>IF($A254="","",1)</f>
        <v/>
      </c>
    </row>
    <row r="255">
      <c r="A255" s="26" t="n"/>
      <c r="B255" s="26" t="n"/>
      <c r="C255" s="29" t="n"/>
      <c r="D255" s="26" t="n"/>
      <c r="E255" s="26" t="n"/>
      <c r="F255" s="27" t="n"/>
      <c r="G255" s="27" t="n"/>
      <c r="H255" s="27" t="n"/>
      <c r="I255" s="27" t="n"/>
      <c r="J255" s="27" t="n"/>
      <c r="K255" s="27" t="n"/>
      <c r="L255" s="26" t="n"/>
      <c r="M255" s="26" t="n"/>
      <c r="N255" s="28">
        <f>IF($A255="","",IF($C255="","",raporTarihi-$C255))</f>
        <v/>
      </c>
      <c r="O255" s="28">
        <f>IF($A255="","",IF($N255="","",IF($N255&lt;=7,"0-7",IF($N255&lt;=30,"8-30",IF($N255&lt;=60,"31-60","60+")))))</f>
        <v/>
      </c>
      <c r="P255" s="28">
        <f>IF($A255="","",IF($B255="","YETİM",IF(COUNTIF(tblKartlar[KartId],$B255)=0,"YETİM","")))</f>
        <v/>
      </c>
      <c r="Q255" s="28">
        <f>IF(OR($A255="",$D255=""),"",IF(OR($D255&amp;"|"&amp;$E255="",COUNTIF(ListeIzinliGecis,$D255&amp;"|"&amp;$E255)&gt;0),"","GEÇERSİZ GEÇİŞ"))</f>
        <v/>
      </c>
      <c r="R255" s="28">
        <f>IF($A255="","",IF(OR($F255="",$H255=""),"",IF(ABS($H255-$F255)&gt;zincirTolerans,"ZİNCİR KIRIK","OK")))</f>
        <v/>
      </c>
      <c r="S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255">
    <cfRule type="cellIs" priority="1" operator="equal" dxfId="2">
      <formula>"YETİM"</formula>
    </cfRule>
  </conditionalFormatting>
  <conditionalFormatting sqref="Q6:Q255">
    <cfRule type="cellIs" priority="2" operator="equal" dxfId="2">
      <formula>"GEÇERSİZ GEÇİŞ"</formula>
    </cfRule>
  </conditionalFormatting>
  <conditionalFormatting sqref="R6:R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E6:E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3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G6:G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H6:H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I6:I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J6:J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K6:K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L6:L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M6:M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İnşaat Hakediş Yönetim Sistemi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COUNTIFS(tblAkis[YasGun],"&gt;"&amp;ihy_esikGecikmeGun,tblAkis[Durum],"&lt;&gt;ODEME",tblAkis[Durum],"&lt;&gt;IPTAL",tblAkis[Tutar],"&gt;0")</f>
        <v/>
      </c>
      <c r="C9" s="21">
        <f>SUMIFS(tblAkis[Tutar],tblAkis[YasGun],"&gt;"&amp;ihy_esikGecikmeGun,tblAkis[Durum],"&lt;&gt;ODEME",tblAkis[Durum],"&lt;&gt;IPTAL")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ihy_kuyrukOzeti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L5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İnşaat Hakediş Yönetim Sistemi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C9+C10+C11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C12+C13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OK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COUNTIFS(tblAkis[YasGun],"&gt;"&amp;ihy_esikGecikmeGun,tblAkis[Durum],"&lt;&gt;ODEME",tblAkis[Durum],"&lt;&gt;IPTAL",tblAkis[Tutar],"&gt;0")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SUMIFS(tblAkis[Tutar],tblAkis[YasGun],"&gt;"&amp;ihy_esikGecikmeGun,tblAkis[Durum],"&lt;&gt;ODEME",tblAkis[Durum],"&lt;&gt;IPTAL")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C27*ihy_gecikmeOranGun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C16*ihy_senaryoTemkinli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C16*ihy_senaryoBaz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C16*ihy_senaryoIyimser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C31-C29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4">
        <f>C16*ihy_tornadoOran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SUMIFS(tblAkis[Tutar],tblAkis[Durum],"ONAY",tblAkis[YasGun],"&gt;"&amp;ihy_esikGecikmeGun)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4">
        <f>IFERROR(C27/MAX(C16,1),0)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31">
        <f>IFERROR(_xlfn.PERCENTILE.INC(tblAkis[Tutar],ihy_yuzdelikOran),0)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31">
        <f>IFERROR(FORECAST(COUNTA(tblAkis[IslemId])+1,tblAkis[Tutar],tblAkis[KayitDolu]),C36)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IFERROR((C36+C37)/2,0)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4">
        <f>IFERROR(C3/MAX(C40,1),0)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",TRUE,"Bekliyor",C10,"Onay",C11,"Geciken",C26)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_xlfn.TEXTJOIN("/",TRUE,C21,C22,C23,C24)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IF(C1=0,0,MAX(0,100-C17*10-C18*10-C19*10-C26*2))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IF(C1=0,0,C2/MAX(C1,1))</f>
        <v/>
      </c>
    </row>
    <row r="54">
      <c r="A54" s="30" t="inlineStr">
        <is>
          <t>Senaryo</t>
        </is>
      </c>
      <c r="B54" s="30" t="inlineStr">
        <is>
          <t>Çarpan</t>
        </is>
      </c>
      <c r="C54" s="30" t="inlineStr">
        <is>
          <t>Sonuç</t>
        </is>
      </c>
    </row>
    <row r="55">
      <c r="A55" s="7" t="inlineStr">
        <is>
          <t>Temkinli</t>
        </is>
      </c>
      <c r="B55" s="35">
        <f>ihy_senaryoTemkinli*IF(COUNTA(tblAkis[IslemId])&gt;=0,1,1)</f>
        <v/>
      </c>
      <c r="C55" s="21">
        <f>C29</f>
        <v/>
      </c>
    </row>
    <row r="56">
      <c r="A56" s="7" t="inlineStr">
        <is>
          <t>Baz</t>
        </is>
      </c>
      <c r="B56" s="35">
        <f>ihy_senaryoBaz*IF(COUNTA(tblAkis[IslemId])&gt;=0,1,1)</f>
        <v/>
      </c>
      <c r="C56" s="21">
        <f>C30</f>
        <v/>
      </c>
    </row>
    <row r="57">
      <c r="A57" s="7" t="inlineStr">
        <is>
          <t>İyimser</t>
        </is>
      </c>
      <c r="B57" s="35">
        <f>ihy_senaryoIyimser*IF(COUNTA(tblAkis[IslemId])&gt;=0,1,1)</f>
        <v/>
      </c>
      <c r="C57" s="21">
        <f>C31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İnşaat Hakediş Yönetim Sistemi</t>
        </is>
      </c>
    </row>
    <row r="3" ht="28" customHeight="1">
      <c r="A3" s="36" t="inlineStr">
        <is>
          <t>Dönemsel Hakediş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ihy_acikAdet</f>
        <v/>
      </c>
    </row>
    <row r="10">
      <c r="A10" s="7" t="inlineStr">
        <is>
          <t>Açık Tutar</t>
        </is>
      </c>
      <c r="B10" s="31">
        <f>ihy_acikTutar</f>
        <v/>
      </c>
    </row>
    <row r="11">
      <c r="A11" s="7" t="inlineStr">
        <is>
          <t>Gecikme Maliyeti</t>
        </is>
      </c>
      <c r="B11" s="31">
        <f>ihy_gecikmeMaliyeti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 Geçiş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Tahmin Aralık</t>
        </is>
      </c>
      <c r="B15" s="31">
        <f>ihy_tahminAralik</f>
        <v/>
      </c>
    </row>
    <row r="16">
      <c r="A16" s="7" t="inlineStr">
        <is>
          <t>Kanıt Özeti</t>
        </is>
      </c>
      <c r="B16" s="24">
        <f>ihy_kanitRaporu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Zincir toleransı AYARLAR.zincirTolerans değerine bağlıdır.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Geçersiz geçişleri durum haritasına uygun ilerletin.</t>
        </is>
      </c>
    </row>
    <row r="24">
      <c r="A24" s="7" t="inlineStr">
        <is>
          <t>3. Zincir kırık satırlarda teklif/hakediş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9">
    <cfRule type="cellIs" priority="4" operator="greaterThan" dxfId="3">
      <formula>0</formula>
    </cfRule>
  </conditionalFormatting>
  <conditionalFormatting sqref="B10">
    <cfRule type="cellIs" priority="5" operator="greaterThan" dxfId="3">
      <formula>0</formula>
    </cfRule>
  </conditionalFormatting>
  <conditionalFormatting sqref="B11">
    <cfRule type="cellIs" priority="6" operator="greaterThan" dxfId="3">
      <formula>0</formula>
    </cfRule>
  </conditionalFormatting>
  <conditionalFormatting sqref="B12">
    <cfRule type="cellIs" priority="7" operator="greaterThan" dxfId="3">
      <formula>0</formula>
    </cfRule>
  </conditionalFormatting>
  <conditionalFormatting sqref="B13">
    <cfRule type="cellIs" priority="8" operator="greaterThan" dxfId="3">
      <formula>0</formula>
    </cfRule>
  </conditionalFormatting>
  <conditionalFormatting sqref="B14">
    <cfRule type="cellIs" priority="9" operator="greaterThan" dxfId="3">
      <formula>0</formula>
    </cfRule>
  </conditionalFormatting>
  <conditionalFormatting sqref="B15">
    <cfRule type="cellIs" priority="10" operator="greaterThan" dxfId="3">
      <formula>0</formula>
    </cfRule>
  </conditionalFormatting>
  <conditionalFormatting sqref="B16">
    <cfRule type="cellIs" priority="11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Yönetim Sistemi | Kanıt&amp;CExcelArşiv&amp;RSayfa &amp;P / &amp;N</oddFooter>
    <evenHeader/>
    <evenFooter>&amp;Lİnşaat Hakediş Yönetim Sistemi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İnşaat Hakediş Yönetim Sistemi</t>
        </is>
      </c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ihy_yetimKayit</f>
        <v/>
      </c>
    </row>
    <row r="13">
      <c r="A13" s="7" t="inlineStr">
        <is>
          <t>Geçersiz</t>
        </is>
      </c>
      <c r="B13" s="32">
        <f>ihy_gecersizGecis</f>
        <v/>
      </c>
    </row>
    <row r="14">
      <c r="A14" s="7" t="inlineStr">
        <is>
          <t>Zincir kırık</t>
        </is>
      </c>
      <c r="B14" s="32">
        <f>ihy_zincirKirik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24">
        <f>HESAP!C44</f>
        <v/>
      </c>
    </row>
    <row r="17">
      <c r="A17" s="7" t="inlineStr">
        <is>
          <t>Açık tutar</t>
        </is>
      </c>
      <c r="B17" s="31">
        <f>ihy_acikTutar</f>
        <v/>
      </c>
    </row>
    <row r="18">
      <c r="A18" s="7" t="inlineStr">
        <is>
          <t>Gecikme maliyeti</t>
        </is>
      </c>
      <c r="B18" s="31">
        <f>ihy_gecikmeMaliyeti</f>
        <v/>
      </c>
    </row>
    <row r="19">
      <c r="A19" s="7" t="inlineStr">
        <is>
          <t>Kapalı düşüm</t>
        </is>
      </c>
      <c r="B19" s="31">
        <f>ihy_kapaliDusum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İnşaat Hakediş Yönetim Sistemi</t>
        </is>
      </c>
    </row>
    <row r="3">
      <c r="A3" s="38" t="inlineStr">
        <is>
          <t>Örnek Senaryo Açıklaması</t>
        </is>
      </c>
    </row>
    <row r="4">
      <c r="A4" s="8" t="inlineStr">
        <is>
          <t>Dosyada 8 kart ve 28 akış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İnşaat Hakediş Yönetim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N6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İnşaat Hakediş Yönetim Sistemi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46244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ihy_esikGecikmeGun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ihy_esikGeciken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ihy_gecikmeOranGun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ihy_senaryoTemkinli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ihy_senaryoBaz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ihy_senaryoIyimser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ihy_tornadoOran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ihy_yuzdelikOran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ihy_olcekHedef</t>
        </is>
      </c>
      <c r="B16" s="39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ihy_azamiTutar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ihy_durumHaritasi</t>
        </is>
      </c>
      <c r="B18" s="26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ihy_kuyrukOzeti</t>
        </is>
      </c>
      <c r="B19" s="26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ihy_kapaliDusum</t>
        </is>
      </c>
      <c r="B20" s="26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ihy_kanitRaporu</t>
        </is>
      </c>
      <c r="B21" s="26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ihy_dosyaSurumu</t>
        </is>
      </c>
      <c r="B22" s="26" t="inlineStr">
        <is>
          <t>1.0.0</t>
        </is>
      </c>
      <c r="C22" s="7" t="inlineStr">
        <is>
          <t>metin</t>
        </is>
      </c>
      <c r="D22" s="7" t="inlineStr">
        <is>
          <t>Sürüm yönetimi</t>
        </is>
      </c>
      <c r="E22" s="7" t="inlineStr">
        <is>
          <t>01.01.2026</t>
        </is>
      </c>
      <c r="F22" s="8" t="inlineStr">
        <is>
          <t>Ürün sürümü</t>
        </is>
      </c>
    </row>
    <row r="23">
      <c r="A23" s="7" t="inlineStr">
        <is>
          <t>ihy_firmaUnvan</t>
        </is>
      </c>
      <c r="B23" s="26" t="inlineStr">
        <is>
          <t>Örnek İnşaat A.Ş.</t>
        </is>
      </c>
      <c r="C23" s="7" t="inlineStr">
        <is>
          <t>metin</t>
        </is>
      </c>
      <c r="D23" s="7" t="inlineStr">
        <is>
          <t>Kullanıcı girişi</t>
        </is>
      </c>
      <c r="E23" s="7" t="inlineStr">
        <is>
          <t>01.01.2026</t>
        </is>
      </c>
      <c r="F23" s="8" t="inlineStr">
        <is>
          <t>Firma</t>
        </is>
      </c>
    </row>
    <row r="26">
      <c r="H26" s="5" t="inlineStr">
        <is>
          <t>Durum Haritası</t>
        </is>
      </c>
    </row>
    <row r="27" ht="30" customHeight="1">
      <c r="H27" s="25" t="inlineStr">
        <is>
          <t>durum_id</t>
        </is>
      </c>
      <c r="I27" s="25" t="inlineStr">
        <is>
          <t>durum_adi</t>
        </is>
      </c>
      <c r="J27" s="25" t="inlineStr">
        <is>
          <t>sira</t>
        </is>
      </c>
      <c r="K27" s="25" t="inlineStr">
        <is>
          <t>izinli_sonraki_durumlar</t>
        </is>
      </c>
      <c r="L27" s="25" t="inlineStr">
        <is>
          <t>kategori</t>
        </is>
      </c>
    </row>
    <row r="28">
      <c r="H28" s="7" t="inlineStr">
        <is>
          <t>DRAFT</t>
        </is>
      </c>
      <c r="I28" s="7" t="inlineStr">
        <is>
          <t>Taslak</t>
        </is>
      </c>
      <c r="J28" s="20" t="n">
        <v>1</v>
      </c>
      <c r="K28" s="7" t="inlineStr">
        <is>
          <t>BEKLIYOR</t>
        </is>
      </c>
      <c r="L28" s="7" t="inlineStr">
        <is>
          <t>acik</t>
        </is>
      </c>
    </row>
    <row r="29">
      <c r="H29" s="7" t="inlineStr">
        <is>
          <t>BEKLIYOR</t>
        </is>
      </c>
      <c r="I29" s="7" t="inlineStr">
        <is>
          <t>Bekliyor</t>
        </is>
      </c>
      <c r="J29" s="20" t="n">
        <v>2</v>
      </c>
      <c r="K29" s="7" t="inlineStr">
        <is>
          <t>ONAY|IPTAL</t>
        </is>
      </c>
      <c r="L29" s="7" t="inlineStr">
        <is>
          <t>acik</t>
        </is>
      </c>
    </row>
    <row r="30">
      <c r="H30" s="7" t="inlineStr">
        <is>
          <t>ONAY</t>
        </is>
      </c>
      <c r="I30" s="7" t="inlineStr">
        <is>
          <t>Onaylandı</t>
        </is>
      </c>
      <c r="J30" s="20" t="n">
        <v>3</v>
      </c>
      <c r="K30" s="7" t="inlineStr">
        <is>
          <t>ODEME|IPTAL</t>
        </is>
      </c>
      <c r="L30" s="7" t="inlineStr">
        <is>
          <t>acik</t>
        </is>
      </c>
    </row>
    <row r="31">
      <c r="H31" s="7" t="inlineStr">
        <is>
          <t>ODEME</t>
        </is>
      </c>
      <c r="I31" s="7" t="inlineStr">
        <is>
          <t>Ödendi</t>
        </is>
      </c>
      <c r="J31" s="20" t="n">
        <v>4</v>
      </c>
      <c r="K31" s="7" t="inlineStr"/>
      <c r="L31" s="7" t="inlineStr">
        <is>
          <t>kapali</t>
        </is>
      </c>
    </row>
    <row r="32">
      <c r="H32" s="7" t="inlineStr">
        <is>
          <t>IPTAL</t>
        </is>
      </c>
      <c r="I32" s="7" t="inlineStr">
        <is>
          <t>İptal</t>
        </is>
      </c>
      <c r="J32" s="20" t="n">
        <v>5</v>
      </c>
      <c r="K32" s="7" t="inlineStr"/>
      <c r="L32" s="7" t="inlineStr">
        <is>
          <t>kapali</t>
        </is>
      </c>
    </row>
    <row r="36">
      <c r="H36" s="16" t="inlineStr">
        <is>
          <t>Motor Çıktıları</t>
        </is>
      </c>
    </row>
    <row r="37">
      <c r="H37" s="30" t="inlineStr">
        <is>
          <t>anahtar</t>
        </is>
      </c>
      <c r="I37" s="30" t="inlineStr">
        <is>
          <t>deger</t>
        </is>
      </c>
    </row>
    <row r="38">
      <c r="H38" s="7" t="inlineStr">
        <is>
          <t>ihy_acikAdet</t>
        </is>
      </c>
      <c r="I38" s="8">
        <f>HESAP!C14</f>
        <v/>
      </c>
    </row>
    <row r="39">
      <c r="H39" s="7" t="inlineStr">
        <is>
          <t>ihy_acikTutar</t>
        </is>
      </c>
      <c r="I39" s="8">
        <f>HESAP!C16</f>
        <v/>
      </c>
    </row>
    <row r="40">
      <c r="H40" s="7" t="inlineStr">
        <is>
          <t>ihy_gecikenAdet</t>
        </is>
      </c>
      <c r="I40" s="8">
        <f>HESAP!C26</f>
        <v/>
      </c>
    </row>
    <row r="41">
      <c r="H41" s="7" t="inlineStr">
        <is>
          <t>ihy_gecikmeMaliyeti</t>
        </is>
      </c>
      <c r="I41" s="8">
        <f>HESAP!C28</f>
        <v/>
      </c>
    </row>
    <row r="42">
      <c r="H42" s="7" t="inlineStr">
        <is>
          <t>ihy_yetimKayit</t>
        </is>
      </c>
      <c r="I42" s="8">
        <f>HESAP!C17</f>
        <v/>
      </c>
    </row>
    <row r="43">
      <c r="H43" s="7" t="inlineStr">
        <is>
          <t>ihy_gecersizGecis</t>
        </is>
      </c>
      <c r="I43" s="8">
        <f>HESAP!C18</f>
        <v/>
      </c>
    </row>
    <row r="44">
      <c r="H44" s="7" t="inlineStr">
        <is>
          <t>ihy_zincirKirik</t>
        </is>
      </c>
      <c r="I44" s="8">
        <f>HESAP!C19</f>
        <v/>
      </c>
    </row>
    <row r="45">
      <c r="H45" s="7" t="inlineStr">
        <is>
          <t>ihy_yasKova</t>
        </is>
      </c>
      <c r="I45" s="8">
        <f>HESAP!C43</f>
        <v/>
      </c>
    </row>
    <row r="46">
      <c r="H46" s="7" t="inlineStr">
        <is>
          <t>ihy_tahminAralik</t>
        </is>
      </c>
      <c r="I46" s="8">
        <f>HESAP!C38</f>
        <v/>
      </c>
    </row>
    <row r="47">
      <c r="H47" s="7" t="inlineStr">
        <is>
          <t>ihy_senaryoKarsilastirma</t>
        </is>
      </c>
      <c r="I47" s="8">
        <f>HESAP!C32</f>
        <v/>
      </c>
    </row>
    <row r="48">
      <c r="H48" s="7" t="inlineStr">
        <is>
          <t>ihy_tornadoZirve</t>
        </is>
      </c>
      <c r="I48" s="8">
        <f>HESAP!C33</f>
        <v/>
      </c>
    </row>
    <row r="49">
      <c r="H49" s="7" t="inlineStr">
        <is>
          <t>ihy_odemeOncelik</t>
        </is>
      </c>
      <c r="I49" s="8">
        <f>HESAP!C34</f>
        <v/>
      </c>
    </row>
    <row r="50">
      <c r="H50" s="7" t="inlineStr">
        <is>
          <t>ihy_paretoGecikme</t>
        </is>
      </c>
      <c r="I50" s="8">
        <f>HESAP!C35</f>
        <v/>
      </c>
    </row>
    <row r="51">
      <c r="H51" s="7" t="inlineStr">
        <is>
          <t>ihy_kapaliDusum</t>
        </is>
      </c>
      <c r="I51" s="8">
        <f>HESAP!C15</f>
        <v/>
      </c>
    </row>
    <row r="52">
      <c r="H52" s="7" t="inlineStr">
        <is>
          <t>ihy_kuyrukOzeti</t>
        </is>
      </c>
      <c r="I52" s="8">
        <f>HESAP!C42</f>
        <v/>
      </c>
    </row>
    <row r="53">
      <c r="H53" s="7" t="inlineStr">
        <is>
          <t>ihy_kanitRaporu</t>
        </is>
      </c>
      <c r="I53" s="8">
        <f>_xlfn.TEXTJOIN(" | ",TRUE,"Açık",HESAP!C14,"Yetim",HESAP!C17,"Zincir",HESAP!C19,"Geciken",HESAP!C26)</f>
        <v/>
      </c>
    </row>
    <row r="54">
      <c r="H54" s="7" t="inlineStr">
        <is>
          <t>ihy_sonrakiKimlik</t>
        </is>
      </c>
      <c r="I54" s="8">
        <f>"KAR-"&amp;TEXT(COUNTA(tblKartlar[KartId])+1,"00000")</f>
        <v/>
      </c>
    </row>
    <row r="56">
      <c r="H56" s="16" t="inlineStr">
        <is>
          <t>Yorumlar</t>
        </is>
      </c>
    </row>
    <row r="57">
      <c r="H57" s="7" t="inlineStr">
        <is>
          <t>ihy_yorumYas</t>
        </is>
      </c>
      <c r="I57" s="8">
        <f>_xlfn.TEXTJOIN(" ",TRUE,"Yaş kovaları",ihy_yasKova)</f>
        <v/>
      </c>
    </row>
    <row r="58">
      <c r="H58" s="7" t="inlineStr">
        <is>
          <t>ihy_yorumGecikme</t>
        </is>
      </c>
      <c r="I58" s="8">
        <f>_xlfn.TEXTJOIN(" ",TRUE,"Gecikme maliyeti",TEXT(ihy_gecikmeMaliyeti,"0.00"),"TL")</f>
        <v/>
      </c>
    </row>
    <row r="59">
      <c r="H59" s="7" t="inlineStr">
        <is>
          <t>ihy_yorumTahmin</t>
        </is>
      </c>
      <c r="I59" s="8">
        <f>_xlfn.TEXTJOIN(" ",TRUE,"Tahmin aralık",TEXT(ihy_tahminAralik,"0.00"),"TL")</f>
        <v/>
      </c>
    </row>
    <row r="60">
      <c r="H60" s="7" t="inlineStr">
        <is>
          <t>ihy_yorumSenaryo</t>
        </is>
      </c>
      <c r="I60" s="8">
        <f>_xlfn.TEXTJOIN(" ",TRUE,"Senaryo farkı",TEXT(ihy_senaryoKarsilastirma,"0.00"),"TL")</f>
        <v/>
      </c>
    </row>
    <row r="61">
      <c r="H61" s="7" t="inlineStr">
        <is>
          <t>ihy_yorumTornado</t>
        </is>
      </c>
      <c r="I61" s="8">
        <f>_xlfn.TEXTJOIN(" ",TRUE,"Tornado zirve",TEXT(ihy_tornadoZirve,"0.00"),"TL")</f>
        <v/>
      </c>
    </row>
    <row r="62">
      <c r="H62" s="7" t="inlineStr">
        <is>
          <t>ihy_yorumOncelik</t>
        </is>
      </c>
      <c r="I62" s="8">
        <f>_xlfn.TEXTJOIN(" ",TRUE,"Ödeme öncelik havuzu",TEXT(ihy_odemeOncelik,"0.00"),"TL")</f>
        <v/>
      </c>
    </row>
    <row r="63">
      <c r="H63" s="7" t="inlineStr">
        <is>
          <t>ihy_yorumPareto</t>
        </is>
      </c>
      <c r="I63" s="8">
        <f>_xlfn.TEXTJOIN(" ",TRUE,"Pareto gecikme payı",TEXT(ihy_paretoGecikme,"0.0%"))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İnşaat Hakediş Yönetim Sistemi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taşeron/proje kartı ekleyin; sonraki kimliği kullanın.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durumlar (Ödendi/İptal) açık kuyruklardan düşer.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2026-08-10T20:56:03Z</dcterms:created>
  <dcterms:modified xmlns:dcterms="http://purl.org/dc/terms/" xmlns:xsi="http://www.w3.org/2001/XMLSchema-instance" xsi:type="dcterms:W3CDTF">2026-09-25T14:12:24Z</dcterms:modified>
</cp:coreProperties>
</file>