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1">'PANO'!$A$1:$N$34</definedName>
    <definedName name="_xlnm.Print_Area" localSheetId="6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Hakediş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'PANO'!$G$25:$G$32</f>
            </numRef>
          </cat>
          <val>
            <numRef>
              <f>'PANO'!$H$25:$H$32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'PANO'!N24</f>
            </strRef>
          </tx>
          <spPr>
            <a:ln>
              <a:prstDash val="solid"/>
            </a:ln>
          </spPr>
          <cat>
            <numRef>
              <f>'PANO'!$M$25:$M$28</f>
            </numRef>
          </cat>
          <val>
            <numRef>
              <f>'PANO'!$N$25:$N$28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Ödeme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'PANO'!$P$25:$P$30</f>
            </numRef>
          </cat>
          <val>
            <numRef>
              <f>'PANO'!$Q$25:$Q$30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64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64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79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79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İnşaat Hakediş Yönetim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YOK",IF(OR(ihy_yetimKayit&gt;0,ihy_gecersizGecis&gt;0,ihy_zincirKirik&gt;0),"İNCELE",IF(ihy_gecikenAdet&gt;ihy_esikGeciken,"İNCELE","UYGUN")))</f>
        <v/>
      </c>
    </row>
    <row r="6">
      <c r="A6" s="14" t="inlineStr">
        <is>
          <t>Açık Kuyruk Adet</t>
        </is>
      </c>
      <c r="B6" s="15">
        <f>ihy_acikAdet</f>
        <v/>
      </c>
      <c r="D6" s="16" t="inlineStr">
        <is>
          <t>Modül Yorumları</t>
        </is>
      </c>
    </row>
    <row r="7">
      <c r="A7" s="14" t="inlineStr">
        <is>
          <t>Bekliyor Adet</t>
        </is>
      </c>
      <c r="B7" s="15">
        <f>COUNTIFS(tblAkis[Durum],"BEKLIYOR",tblAkis[Tutar],"&gt;0")</f>
        <v/>
      </c>
      <c r="D7" s="8">
        <f>ihy_yorumYas</f>
        <v/>
      </c>
    </row>
    <row r="8">
      <c r="A8" s="14" t="inlineStr">
        <is>
          <t>Onaylandı Adet</t>
        </is>
      </c>
      <c r="B8" s="15">
        <f>COUNTIFS(tblAkis[Durum],"ONAY",tblAkis[Tutar],"&gt;0")</f>
        <v/>
      </c>
      <c r="D8" s="8">
        <f>ihy_yorumGecikme</f>
        <v/>
      </c>
    </row>
    <row r="9">
      <c r="A9" s="14" t="inlineStr">
        <is>
          <t>Geciken Adet</t>
        </is>
      </c>
      <c r="B9" s="15">
        <f>ihy_gecikenAdet</f>
        <v/>
      </c>
      <c r="D9" s="8">
        <f>ihy_yorumTahmin</f>
        <v/>
      </c>
    </row>
    <row r="10">
      <c r="A10" s="14" t="inlineStr">
        <is>
          <t>Açık Tutar</t>
        </is>
      </c>
      <c r="B10" s="17">
        <f>ihy_acikTutar</f>
        <v/>
      </c>
      <c r="D10" s="8">
        <f>ihy_yorumSenaryo</f>
        <v/>
      </c>
    </row>
    <row r="11">
      <c r="A11" s="14" t="inlineStr">
        <is>
          <t>Gecikme Maliyeti</t>
        </is>
      </c>
      <c r="B11" s="17">
        <f>ihy_gecikmeMaliyeti</f>
        <v/>
      </c>
      <c r="D11" s="8">
        <f>ihy_yorumTornado</f>
        <v/>
      </c>
    </row>
    <row r="12">
      <c r="A12" s="14" t="inlineStr">
        <is>
          <t>Yetim Kayıt</t>
        </is>
      </c>
      <c r="B12" s="15">
        <f>ihy_yetimKayit</f>
        <v/>
      </c>
      <c r="D12" s="8">
        <f>ihy_yorumOncelik</f>
        <v/>
      </c>
    </row>
    <row r="13">
      <c r="A13" s="14" t="inlineStr">
        <is>
          <t>Geçersiz Geçiş</t>
        </is>
      </c>
      <c r="B13" s="15">
        <f>ihy_gecersizGecis</f>
        <v/>
      </c>
      <c r="D13" s="8">
        <f>ihy_yorumPareto</f>
        <v/>
      </c>
    </row>
    <row r="14">
      <c r="A14" s="14" t="inlineStr">
        <is>
          <t>Zincir Kırık</t>
        </is>
      </c>
      <c r="B14" s="15">
        <f>ihy_zincirKirik</f>
        <v/>
      </c>
    </row>
    <row r="15">
      <c r="A15" s="14" t="inlineStr">
        <is>
          <t>Yaş Kova Özeti</t>
        </is>
      </c>
      <c r="B15" s="18">
        <f>ihy_yasKova</f>
        <v/>
      </c>
    </row>
    <row r="16">
      <c r="A16" s="14" t="inlineStr">
        <is>
          <t>Tahmin Aralık</t>
        </is>
      </c>
      <c r="B16" s="17">
        <f>ihy_tahminAralik</f>
        <v/>
      </c>
    </row>
    <row r="17">
      <c r="A17" s="14" t="inlineStr">
        <is>
          <t>Senaryo Farkı</t>
        </is>
      </c>
      <c r="B17" s="17">
        <f>ihy_senaryoKarsilastirma</f>
        <v/>
      </c>
    </row>
    <row r="18">
      <c r="A18" s="14" t="inlineStr">
        <is>
          <t>Tornado Zirve</t>
        </is>
      </c>
      <c r="B18" s="17">
        <f>ihy_tornadoZirve</f>
        <v/>
      </c>
    </row>
    <row r="19">
      <c r="A19" s="14" t="inlineStr">
        <is>
          <t>Ödeme Öncelik</t>
        </is>
      </c>
      <c r="B19" s="17">
        <f>ihy_odemeOncelik</f>
        <v/>
      </c>
    </row>
    <row r="20">
      <c r="A20" s="14" t="inlineStr">
        <is>
          <t>Pareto Gecikme</t>
        </is>
      </c>
      <c r="B20" s="19">
        <f>ihy_paretoGecikme</f>
        <v/>
      </c>
    </row>
    <row r="21">
      <c r="A21" s="14" t="inlineStr">
        <is>
          <t>Kapalı Düşüm</t>
        </is>
      </c>
      <c r="B21" s="15">
        <f>ihy_kapaliDusum</f>
        <v/>
      </c>
    </row>
    <row r="23">
      <c r="A23" s="16" t="inlineStr">
        <is>
          <t>Grafik Kaynağı</t>
        </is>
      </c>
    </row>
    <row r="24">
      <c r="A24" s="7" t="inlineStr">
        <is>
          <t>Durum</t>
        </is>
      </c>
      <c r="B24" s="7" t="inlineStr">
        <is>
          <t>Adet</t>
        </is>
      </c>
      <c r="D24" s="7" t="inlineStr">
        <is>
          <t>Yaş Kova</t>
        </is>
      </c>
      <c r="E24" s="7" t="inlineStr">
        <is>
          <t>Adet</t>
        </is>
      </c>
      <c r="G24" s="7" t="inlineStr">
        <is>
          <t>Hafta</t>
        </is>
      </c>
      <c r="H24" s="7" t="inlineStr">
        <is>
          <t>Hakediş</t>
        </is>
      </c>
      <c r="J24" s="7" t="inlineStr">
        <is>
          <t>Senaryo</t>
        </is>
      </c>
      <c r="K24" s="7" t="inlineStr">
        <is>
          <t>Tutar</t>
        </is>
      </c>
      <c r="M24" s="7" t="inlineStr">
        <is>
          <t>Uyarı</t>
        </is>
      </c>
      <c r="N24" s="7" t="inlineStr">
        <is>
          <t>Adet</t>
        </is>
      </c>
      <c r="P24" s="7" t="inlineStr">
        <is>
          <t>Ay</t>
        </is>
      </c>
      <c r="Q24" s="7" t="inlineStr">
        <is>
          <t>Ödeme</t>
        </is>
      </c>
    </row>
    <row r="25">
      <c r="A25" s="7" t="inlineStr">
        <is>
          <t>Taslak</t>
        </is>
      </c>
      <c r="B25" s="20" t="n">
        <v>4</v>
      </c>
      <c r="D25" s="7" t="inlineStr">
        <is>
          <t>0-7</t>
        </is>
      </c>
      <c r="E25" s="20" t="n">
        <v>6</v>
      </c>
      <c r="G25" s="20" t="n">
        <v>1</v>
      </c>
      <c r="H25" s="21" t="n">
        <v>180000</v>
      </c>
      <c r="J25" s="7" t="inlineStr">
        <is>
          <t>Temkinli</t>
        </is>
      </c>
      <c r="K25" s="21" t="n">
        <v>4200000</v>
      </c>
      <c r="M25" s="7" t="inlineStr">
        <is>
          <t>Yetim</t>
        </is>
      </c>
      <c r="N25" s="20" t="n">
        <v>2</v>
      </c>
      <c r="P25" s="20" t="n">
        <v>1</v>
      </c>
      <c r="Q25" s="21" t="n">
        <v>900000</v>
      </c>
    </row>
    <row r="26">
      <c r="A26" s="7" t="inlineStr">
        <is>
          <t>Bekliyor</t>
        </is>
      </c>
      <c r="B26" s="20" t="n">
        <v>8</v>
      </c>
      <c r="D26" s="7" t="inlineStr">
        <is>
          <t>8-30</t>
        </is>
      </c>
      <c r="E26" s="20" t="n">
        <v>9</v>
      </c>
      <c r="G26" s="20" t="n">
        <v>2</v>
      </c>
      <c r="H26" s="21" t="n">
        <v>202000</v>
      </c>
      <c r="J26" s="7" t="inlineStr">
        <is>
          <t>Baz</t>
        </is>
      </c>
      <c r="K26" s="21" t="n">
        <v>5100000</v>
      </c>
      <c r="M26" s="7" t="inlineStr">
        <is>
          <t>Geçersiz</t>
        </is>
      </c>
      <c r="N26" s="20" t="n">
        <v>2</v>
      </c>
      <c r="P26" s="20" t="n">
        <v>2</v>
      </c>
      <c r="Q26" s="21" t="n">
        <v>1010000</v>
      </c>
    </row>
    <row r="27">
      <c r="A27" s="7" t="inlineStr">
        <is>
          <t>Onay</t>
        </is>
      </c>
      <c r="B27" s="20" t="n">
        <v>7</v>
      </c>
      <c r="D27" s="7" t="inlineStr">
        <is>
          <t>31-60</t>
        </is>
      </c>
      <c r="E27" s="20" t="n">
        <v>7</v>
      </c>
      <c r="G27" s="20" t="n">
        <v>3</v>
      </c>
      <c r="H27" s="21" t="n">
        <v>224000</v>
      </c>
      <c r="J27" s="7" t="inlineStr">
        <is>
          <t>İyimser</t>
        </is>
      </c>
      <c r="K27" s="21" t="n">
        <v>5900000</v>
      </c>
      <c r="M27" s="7" t="inlineStr">
        <is>
          <t>Zincir</t>
        </is>
      </c>
      <c r="N27" s="20" t="n">
        <v>2</v>
      </c>
      <c r="P27" s="20" t="n">
        <v>3</v>
      </c>
      <c r="Q27" s="21" t="n">
        <v>1120000</v>
      </c>
    </row>
    <row r="28">
      <c r="A28" s="7" t="inlineStr">
        <is>
          <t>Ödeme</t>
        </is>
      </c>
      <c r="B28" s="20" t="n">
        <v>5</v>
      </c>
      <c r="D28" s="7" t="inlineStr">
        <is>
          <t>60+</t>
        </is>
      </c>
      <c r="E28" s="20" t="n">
        <v>6</v>
      </c>
      <c r="G28" s="20" t="n">
        <v>4</v>
      </c>
      <c r="H28" s="21" t="n">
        <v>246000</v>
      </c>
      <c r="M28" s="7" t="inlineStr">
        <is>
          <t>Geciken</t>
        </is>
      </c>
      <c r="N28" s="20" t="n">
        <v>8</v>
      </c>
      <c r="P28" s="20" t="n">
        <v>4</v>
      </c>
      <c r="Q28" s="21" t="n">
        <v>1230000</v>
      </c>
    </row>
    <row r="29">
      <c r="A29" s="7" t="inlineStr">
        <is>
          <t>İptal</t>
        </is>
      </c>
      <c r="B29" s="20" t="n">
        <v>4</v>
      </c>
      <c r="G29" s="20" t="n">
        <v>5</v>
      </c>
      <c r="H29" s="21" t="n">
        <v>268000</v>
      </c>
      <c r="P29" s="20" t="n">
        <v>5</v>
      </c>
      <c r="Q29" s="21" t="n">
        <v>1340000</v>
      </c>
    </row>
    <row r="30">
      <c r="G30" s="20" t="n">
        <v>6</v>
      </c>
      <c r="H30" s="21" t="n">
        <v>290000</v>
      </c>
      <c r="P30" s="20" t="n">
        <v>6</v>
      </c>
      <c r="Q30" s="21" t="n">
        <v>1450000</v>
      </c>
    </row>
    <row r="31">
      <c r="G31" s="20" t="n">
        <v>7</v>
      </c>
      <c r="H31" s="21" t="n">
        <v>312000</v>
      </c>
    </row>
    <row r="32">
      <c r="G32" s="20" t="n">
        <v>8</v>
      </c>
      <c r="H32" s="21" t="n">
        <v>334000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D12:H12"/>
    <mergeCell ref="D7:H7"/>
    <mergeCell ref="D8:H8"/>
    <mergeCell ref="D10:H10"/>
    <mergeCell ref="D11:H11"/>
    <mergeCell ref="D13:H13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&amp;Lİnşaat Hakediş Yönetim Sistemi | Pano | 1.0.0&amp;CExcelArşiv&amp;RSayfa &amp;P / &amp;N</oddFooter>
    <evenHeader/>
    <evenFooter>&amp;Lİnşaat Hakediş Yönetim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Taşeron / proje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İşlem satırları — durum makinesi + yetim + geçersiz geçiş + zincir bayrakları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ihy_kuyrukOzeti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33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6" t="inlineStr">
        <is>
          <t>Dönemsel Hakediş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8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2026-08-10T20:56:03Z</dcterms:created>
  <dcterms:modified xsi:type="dcterms:W3CDTF">2026-08-10T20:56:03Z</dcterms:modified>
</cp:coreProperties>
</file>