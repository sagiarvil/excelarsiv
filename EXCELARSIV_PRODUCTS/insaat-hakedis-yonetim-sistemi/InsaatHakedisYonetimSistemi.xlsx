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ihy_esikGecikmeGun">AYARLAR!$B$8</definedName>
    <definedName name="ihy_esikGeciken">AYARLAR!$B$9</definedName>
    <definedName name="ihy_gecikmeOranGun">AYARLAR!$B$10</definedName>
    <definedName name="ihy_senaryoTemkinli">AYARLAR!$B$11</definedName>
    <definedName name="ihy_senaryoBaz">AYARLAR!$B$12</definedName>
    <definedName name="ihy_senaryoIyimser">AYARLAR!$B$13</definedName>
    <definedName name="ihy_tornadoOran">AYARLAR!$B$14</definedName>
    <definedName name="ihy_yuzdelikOran">AYARLAR!$B$15</definedName>
    <definedName name="ihy_olcekHedef">AYARLAR!$B$16</definedName>
    <definedName name="ihy_azamiTutar">AYARLAR!$B$17</definedName>
    <definedName name="ihy_durumHaritasi">AYARLAR!$B$18</definedName>
    <definedName name="ihy_kuyrukOzeti_metin">AYARLAR!$B$19</definedName>
    <definedName name="ihy_kapaliDusum_metin">AYARLAR!$B$20</definedName>
    <definedName name="ihy_kanitRaporu_metin">AYARLAR!$B$21</definedName>
    <definedName name="ihy_dosyaSurumu">AYARLAR!$B$22</definedName>
    <definedName name="ihy_firmaUnvan">AYARLAR!$B$23</definedName>
    <definedName name="ihy_acikAdet">AYARLAR!$I$38</definedName>
    <definedName name="ihy_acikTutar">AYARLAR!$I$39</definedName>
    <definedName name="ihy_gecikenAdet">AYARLAR!$I$40</definedName>
    <definedName name="ihy_gecikmeMaliyeti">AYARLAR!$I$41</definedName>
    <definedName name="ihy_yetimKayit">AYARLAR!$I$42</definedName>
    <definedName name="ihy_gecersizGecis">AYARLAR!$I$43</definedName>
    <definedName name="ihy_zincirKirik">AYARLAR!$I$44</definedName>
    <definedName name="ihy_yasKova">AYARLAR!$I$45</definedName>
    <definedName name="ihy_tahminAralik">AYARLAR!$I$46</definedName>
    <definedName name="ihy_senaryoKarsilastirma">AYARLAR!$I$47</definedName>
    <definedName name="ihy_tornadoZirve">AYARLAR!$I$48</definedName>
    <definedName name="ihy_odemeOncelik">AYARLAR!$I$49</definedName>
    <definedName name="ihy_paretoGecikme">AYARLAR!$I$50</definedName>
    <definedName name="ihy_kapaliDusum">AYARLAR!$I$51</definedName>
    <definedName name="ihy_kuyrukOzeti">AYARLAR!$I$52</definedName>
    <definedName name="ihy_kanitRaporu">AYARLAR!$I$53</definedName>
    <definedName name="ihy_sonrakiKimlik">AYARLAR!$I$54</definedName>
    <definedName name="ihy_yorumYas">AYARLAR!$I$57</definedName>
    <definedName name="ihy_yorumGecikme">AYARLAR!$I$58</definedName>
    <definedName name="ihy_yorumTahmin">AYARLAR!$I$59</definedName>
    <definedName name="ihy_yorumSenaryo">AYARLAR!$I$60</definedName>
    <definedName name="ihy_yorumTornado">AYARLAR!$I$61</definedName>
    <definedName name="ihy_yorumOncelik">AYARLAR!$I$62</definedName>
    <definedName name="ihy_yorumPareto">AYARLAR!$I$63</definedName>
    <definedName name="ListeDurumlar">LISTELER!$A$7:$A$11</definedName>
    <definedName name="ListeIzinliGecis">LISTELER!$C$7:$C$11</definedName>
    <definedName name="ListeEvetHayir">LISTELER!$E$7:$E$8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KAR-00009 | Risk: Elle çakışma</t>
      </text>
    </comment>
    <comment ref="A6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6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6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6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6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6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6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7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7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7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7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7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7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8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8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8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8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8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8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9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9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9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9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9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9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0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0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0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0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0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0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1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1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1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1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1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1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2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2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2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2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2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2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3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3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3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3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3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3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4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4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4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4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4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4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4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4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4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4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4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4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5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5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5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5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5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5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5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5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5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5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5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5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4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4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4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4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4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4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4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4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4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4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4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4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5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5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5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5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5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5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5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5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5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5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5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5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Hakediş kuyruğu ve kararı etkiler | Doğru kullanım: EVET/HAYIR | Örnek: hücredeki örnek değere bakın | Risk: Yanlış giriş hatalı karar üretir</t>
      </text>
    </comment>
    <comment ref="G7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8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Hakediş kuyruğu ve kararı etkiler | Doğru kullanım: EVET/HAYIR | Örnek: hücredeki örnek değere bakın | Risk: Yanlış giriş hatalı karar üretir</t>
      </text>
    </comment>
    <comment ref="G8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9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9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10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10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11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11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G12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Hakediş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Hakediş kuyruğu ve kararı etkiler | Doğru kullanım: ZİNCİR KIRIK eşiği | Örnek: hücredeki örnek değere bakın | Risk: Yanlış giriş hatalı karar üretir</t>
      </text>
    </comment>
    <comment ref="B8" authorId="0" shapeId="0">
      <text>
        <t>Tanım: ihy_esikGecikmeGun | Neden önemli: Hakediş kuyruğu ve kararı etkiler | Doğru kullanım: Gecikme eşiği | Örnek: hücredeki örnek değere bakın | Risk: Yanlış giriş hatalı karar üretir</t>
      </text>
    </comment>
    <comment ref="B9" authorId="0" shapeId="0">
      <text>
        <t>Tanım: ihy_esikGeciken | Neden önemli: Hakediş kuyruğu ve kararı etkiler | Doğru kullanım: Karar eşiği geciken | Örnek: hücredeki örnek değere bakın | Risk: Yanlış giriş hatalı karar üretir</t>
      </text>
    </comment>
    <comment ref="B10" authorId="0" shapeId="0">
      <text>
        <t>Tanım: ihy_gecikmeOranGun | Neden önemli: Hakediş kuyruğu ve kararı etkiler | Doğru kullanım: Günlük gecikme maliyeti oranı | Örnek: hücredeki örnek değere bakın | Risk: Yanlış giriş hatalı karar üretir</t>
      </text>
    </comment>
    <comment ref="B11" authorId="0" shapeId="0">
      <text>
        <t>Tanım: ihy_senaryoTemkinli | Neden önemli: Hakediş kuyruğu ve kararı etkiler | Doğru kullanım: Temkinli çarpan | Örnek: hücredeki örnek değere bakın | Risk: Yanlış giriş hatalı karar üretir</t>
      </text>
    </comment>
    <comment ref="B12" authorId="0" shapeId="0">
      <text>
        <t>Tanım: ihy_senaryoBaz | Neden önemli: Hakediş kuyruğu ve kararı etkiler | Doğru kullanım: Baz çarpan | Örnek: hücredeki örnek değere bakın | Risk: Yanlış giriş hatalı karar üretir</t>
      </text>
    </comment>
    <comment ref="B13" authorId="0" shapeId="0">
      <text>
        <t>Tanım: ihy_senaryoIyimser | Neden önemli: Hakediş kuyruğu ve kararı etkiler | Doğru kullanım: İyimser çarpan | Örnek: hücredeki örnek değere bakın | Risk: Yanlış giriş hatalı karar üretir</t>
      </text>
    </comment>
    <comment ref="B14" authorId="0" shapeId="0">
      <text>
        <t>Tanım: ihy_tornadoOran | Neden önemli: Hakediş kuyruğu ve kararı etkiler | Doğru kullanım: Tornado etki oranı | Örnek: hücredeki örnek değere bakın | Risk: Yanlış giriş hatalı karar üretir</t>
      </text>
    </comment>
    <comment ref="B15" authorId="0" shapeId="0">
      <text>
        <t>Tanım: ihy_yuzdelikOran | Neden önemli: Hakediş kuyruğu ve kararı etkiler | Doğru kullanım: PERCENTILE oranı | Örnek: hücredeki örnek değere bakın | Risk: Yanlış giriş hatalı karar üretir</t>
      </text>
    </comment>
    <comment ref="B16" authorId="0" shapeId="0">
      <text>
        <t>Tanım: ihy_olcekHedef | Neden önemli: Hakediş kuyruğu ve kararı etkiler | Doğru kullanım: Ölçek sözleşmesi | Örnek: hücredeki örnek değere bakın | Risk: Yanlış giriş hatalı karar üretir</t>
      </text>
    </comment>
    <comment ref="B17" authorId="0" shapeId="0">
      <text>
        <t>Tanım: ihy_azamiTutar | Neden önemli: Hakediş kuyruğu ve kararı etkiler | Doğru kullanım: Azami makul | Örnek: hücredeki örnek değere bakın | Risk: Yanlış giriş hatalı karar üretir</t>
      </text>
    </comment>
    <comment ref="B18" authorId="0" shapeId="0">
      <text>
        <t>Tanım: ihy_durumHaritasi | Neden önemli: Hakediş kuyruğu ve kararı etkiler | Doğru kullanım: Durum makinesi kaynağı | Örnek: hücredeki örnek değere bakın | Risk: Yanlış giriş hatalı karar üretir</t>
      </text>
    </comment>
    <comment ref="B19" authorId="0" shapeId="0">
      <text>
        <t>Tanım: ihy_kuyrukOzeti | Neden önemli: Hakediş kuyruğu ve kararı etkiler | Doğru kullanım: Kuyruk görünümü | Örnek: hücredeki örnek değere bakın | Risk: Yanlış giriş hatalı karar üretir</t>
      </text>
    </comment>
    <comment ref="B20" authorId="0" shapeId="0">
      <text>
        <t>Tanım: ihy_kapaliDusum | Neden önemli: Hakediş kuyruğu ve kararı etkiler | Doğru kullanım: Kapalı düşüm kuralı | Örnek: hücredeki örnek değere bakın | Risk: Yanlış giriş hatalı karar üretir</t>
      </text>
    </comment>
    <comment ref="B21" authorId="0" shapeId="0">
      <text>
        <t>Tanım: ihy_kanitRaporu | Neden önemli: Hakediş kuyruğu ve kararı etkiler | Doğru kullanım: Kanıt raporu | Örnek: hücredeki örnek değere bakın | Risk: Yanlış giriş hatalı karar üretir</t>
      </text>
    </comment>
    <comment ref="B22" authorId="0" shapeId="0">
      <text>
        <t>Tanım: ihy_dosyaSurumu | Neden önemli: Hakediş kuyruğu ve kararı etkiler | Doğru kullanım: Ürün sürümü | Örnek: hücredeki örnek değere bakın | Risk: Yanlış giriş hatalı karar üretir</t>
      </text>
    </comment>
    <comment ref="B23" authorId="0" shapeId="0">
      <text>
        <t>Tanım: ihy_firmaUnvan | Neden önemli: Hakediş kuyruğu ve kararı etkiler | Doğru kullanım: Firma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J255" headerRowCount="1">
  <tableColumns count="10">
    <tableColumn id="1" name="KartId"/>
    <tableColumn id="2" name="Unvan"/>
    <tableColumn id="3" name="Brans"/>
    <tableColumn id="4" name="Sehir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Teklif"/>
    <tableColumn id="7" name="Siparis"/>
    <tableColumn id="8" name="Hakedis"/>
    <tableColumn id="9" name="Fatura"/>
    <tableColumn id="10" name="Odeme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Row],[Teklif]]="",tblAkis[[#This Row],[Hakedis]]=""),"",IF(ABS(tblAkis[[#This Row],[Hakedis]]-tblAkis[[#This Row],[Teklif]])&gt;zincirTolerans,"ZİNCİR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27:L3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5"/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5.5" customWidth="1" min="2" max="2"/>
    <col width="15" customWidth="1" min="3" max="3"/>
    <col width="15.5" customWidth="1" min="4" max="4"/>
    <col width="36.5" customWidth="1" min="5" max="5"/>
    <col width="18" customWidth="1" min="6" max="6"/>
    <col width="17.5" customWidth="1" min="7" max="7"/>
    <col width="75.5" customWidth="1" min="8" max="8"/>
    <col width="15" customWidth="1" min="9" max="9"/>
    <col width="15.5" customWidth="1" min="10" max="10"/>
    <col width="80.5" customWidth="1" min="11" max="11"/>
    <col width="18" customWidth="1" min="12" max="12"/>
    <col width="18" customWidth="1" min="13" max="13"/>
    <col width="13" customWidth="1" min="14" max="14"/>
  </cols>
  <sheetData>
    <row r="1">
      <c r="A1" s="50" t="inlineStr">
        <is>
          <t>☰ PANO</t>
        </is>
      </c>
    </row>
    <row r="2">
      <c r="B2" s="67" t="inlineStr">
        <is>
          <t>İNŞAAT HAKEDIŞ YÖNETIM SISTEMI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İnşaat mali işler, şantiye muhasebesi, SMMM · 2026 Q3 Denetim Standardı</t>
        </is>
      </c>
    </row>
    <row r="4"/>
    <row r="5">
      <c r="B5" s="71" t="inlineStr">
        <is>
          <t>TOPLAM KEŞİF / HAKEDİŞ TUTARI</t>
        </is>
      </c>
      <c r="C5" s="72" t="n"/>
      <c r="D5" s="73" t="inlineStr">
        <is>
          <t>SÖZLEŞME</t>
        </is>
      </c>
      <c r="E5" s="74" t="inlineStr">
        <is>
          <t>KESİNTİ VE STOPAJ YÜKÜ</t>
        </is>
      </c>
      <c r="F5" s="72" t="n"/>
      <c r="G5" s="75" t="inlineStr">
        <is>
          <t>RESMİ KESİNTİ</t>
        </is>
      </c>
      <c r="H5" s="71" t="inlineStr">
        <is>
          <t>NET ÖDENECEK HAKEDİŞ</t>
        </is>
      </c>
      <c r="I5" s="72" t="n"/>
      <c r="J5" s="76" t="inlineStr">
        <is>
          <t>ONAYLANDI</t>
        </is>
      </c>
      <c r="K5" s="77" t="inlineStr">
        <is>
          <t>FİZİKİ İLERLEME ORANI</t>
        </is>
      </c>
      <c r="L5" s="72" t="n"/>
      <c r="M5" s="73" t="inlineStr">
        <is>
          <t>SEVİYE: A+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0"/>
    <row r="11">
      <c r="B11" s="64" t="inlineStr">
        <is>
          <t>İNŞAAT HAKEDIŞ YÖNETIM SISTEMI — DÖNEMSEL İCRA VE PROJEKSİYON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3"/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1"/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HAKEDİŞ VE MALİYET DENGESİ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Malzeme fiyat farkı eskalasyonu tam doğrulanmış ve teminat bloke edilmiştir.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G26" s="180" t="n"/>
      <c r="H26" s="180" t="n"/>
      <c r="I26" s="181" t="n"/>
      <c r="K26" s="108" t="inlineStr">
        <is>
          <t>FİYAT FARKI RAPORUNU GÖR &gt;</t>
        </is>
      </c>
    </row>
    <row r="27">
      <c r="F27" s="182" t="n"/>
      <c r="G27" s="183" t="n"/>
      <c r="H27" s="183" t="n"/>
      <c r="I27" s="1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2"/>
    <row r="3">
      <c r="B3" s="109" t="inlineStr">
        <is>
          <t>🔍  İNŞAAT HAKEDIŞ YÖNETIM SISTEMI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4"/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6"/>
    <row r="17">
      <c r="B17" s="129" t="inlineStr">
        <is>
          <t>SAYFA TOPLAMI (10 / 1.450 KAYIT)</t>
        </is>
      </c>
      <c r="E17" s="130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İNŞAAT HAKEDIŞ YÖNETIM SISTEMI — NİHAİ KARAR VE DEĞERLEME</t>
        </is>
      </c>
    </row>
    <row r="3">
      <c r="B3" s="132" t="inlineStr">
        <is>
          <t>Yönetim Kurulu ve İcra Komitesi için Otomatik Finansal Stres Testi Raporu · İnşaat mali işler, şantiye muhasebesi, SMMM</t>
        </is>
      </c>
    </row>
    <row r="4">
      <c r="B4" s="133" t="inlineStr">
        <is>
          <t>DÖNEM: 2026 Q3 · DENETİM PROTOKOLÜ: ISO/VUK/IFRS UYUMLU · DURUM: ONAYLANDI</t>
        </is>
      </c>
    </row>
    <row r="5"/>
    <row r="6">
      <c r="B6" s="134" t="inlineStr">
        <is>
          <t>SENARYO A: KÖTÜMSER (STRES TESTİ -%20)</t>
        </is>
      </c>
      <c r="C6" s="185" t="n"/>
      <c r="D6" s="185" t="n"/>
      <c r="E6" s="185" t="n"/>
      <c r="F6" s="186" t="n"/>
      <c r="H6" s="135" t="inlineStr">
        <is>
          <t>SENARYO B: BAZ MODEL (HEDEFLENEN)</t>
        </is>
      </c>
      <c r="I6" s="185" t="n"/>
      <c r="J6" s="185" t="n"/>
      <c r="K6" s="185" t="n"/>
      <c r="L6" s="186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187" t="n"/>
      <c r="D14" s="187" t="n"/>
      <c r="E14" s="187" t="n"/>
      <c r="F14" s="188" t="n"/>
      <c r="H14" s="142" t="inlineStr">
        <is>
          <t>OPTİMUM İCRA VE PLANLAMA REÇETESİ</t>
        </is>
      </c>
      <c r="I14" s="189" t="n"/>
      <c r="J14" s="189" t="n"/>
      <c r="K14" s="189" t="n"/>
      <c r="L14" s="190" t="n"/>
    </row>
    <row r="15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/>
    <row r="17">
      <c r="B17" s="51" t="inlineStr">
        <is>
          <t>YÖNETİM KARAR MATRİSİ VE UYGULAMA REÇETESİ</t>
        </is>
      </c>
    </row>
    <row r="18"/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İnşaat Hakediş Yönetim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İnşaat Hakediş Yönetim Sistemi</t>
        </is>
      </c>
    </row>
    <row r="4">
      <c r="A4" s="4" t="inlineStr">
        <is>
          <t>Taşeron hakedişlerini durum makinesi, kuyruk ve yaşlandırma ile yönetir; tutar zinciri sapmalarını görünür kılar; dönemsel kanıt raporu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 makinesi: Taslak → Bekliyor → Onay → Ödeme / İptal</t>
        </is>
      </c>
    </row>
    <row r="8">
      <c r="A8" s="6" t="inlineStr">
        <is>
          <t>• Kuyruk + yaşlandırma kovaları (0-7 / 8-30 / 31-60 / 60+)</t>
        </is>
      </c>
    </row>
    <row r="9">
      <c r="A9" s="6" t="inlineStr">
        <is>
          <t>• Geçersiz geçiş ve yetim kayıt uyarıları</t>
        </is>
      </c>
    </row>
    <row r="10">
      <c r="A10" s="6" t="inlineStr">
        <is>
          <t>• Teklif→Sipariş→Hakediş→Fatura→Ödeme tutar zinciri denetimi</t>
        </is>
      </c>
    </row>
    <row r="11">
      <c r="A11" s="6" t="inlineStr">
        <is>
          <t>• Dönemsel hakediş kanıt raporu — SMMM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İnşaat mali işler ve şantiye muhasebesi</t>
        </is>
      </c>
    </row>
    <row r="15">
      <c r="A15" s="7" t="inlineStr">
        <is>
          <t>• Proje müdürü — darboğaz ve geciken kuyruk</t>
        </is>
      </c>
    </row>
    <row r="16">
      <c r="A16" s="7" t="inlineStr">
        <is>
          <t>• SMMM — hakediş kanıt raporu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KARTLAR'a taşeron/proje kartı girin. 2) AKIS'e hakediş olaylarını yazın. 3) KUYRUKLAR ve PANO'dan günün işini görün. 4) RAPOR'dan kanıt çıktısı alın.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6.5" customWidth="1" min="5" max="5"/>
    <col width="14" customWidth="1" min="6" max="6"/>
    <col width="14" customWidth="1" min="7" max="7"/>
    <col width="14" customWidth="1" min="8" max="8"/>
    <col width="15.5" customWidth="1" min="9" max="9"/>
    <col width="14.5" customWidth="1" min="10" max="10"/>
    <col width="13" customWidth="1" min="11" max="11"/>
  </cols>
  <sheetData>
    <row r="1" ht="32" customHeight="1">
      <c r="A1" s="178" t="inlineStr">
        <is>
          <t>KARTLAR — İnşaat Hakediş Yönetim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/>
    <row r="3" ht="22" customHeight="1">
      <c r="A3" s="198" t="inlineStr">
        <is>
          <t>Taşeron / proje kartları — her kaydın tek kimliği vardır</t>
        </is>
      </c>
    </row>
    <row r="4">
      <c r="A4" s="11" t="inlineStr">
        <is>
          <t>Sonraki Kimlik</t>
        </is>
      </c>
      <c r="B4" s="24">
        <f>ihy_sonrakiKimlik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Brans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ToplamHacim</t>
        </is>
      </c>
      <c r="J5" s="25" t="inlineStr">
        <is>
          <t>OrtGecikme</t>
        </is>
      </c>
    </row>
    <row r="6">
      <c r="A6" s="26" t="inlineStr">
        <is>
          <t>KAR-00001</t>
        </is>
      </c>
      <c r="B6" s="26" t="inlineStr">
        <is>
          <t>Atlas Kalıp Ltd.</t>
        </is>
      </c>
      <c r="C6" s="26" t="inlineStr">
        <is>
          <t>Kalıp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8">
        <f>IF($A6="","",SUMIF(tblAkis[KaynakKartId],$A6,tblAkis[Tutar]))</f>
        <v/>
      </c>
      <c r="J6" s="28">
        <f>IF($A6="","",IFERROR(AVERAGEIF(tblAkis[KaynakKartId],$A6,tblAkis[YasGun]),0))</f>
        <v/>
      </c>
    </row>
    <row r="7">
      <c r="A7" s="26" t="inlineStr">
        <is>
          <t>KAR-00002</t>
        </is>
      </c>
      <c r="B7" s="26" t="inlineStr">
        <is>
          <t>Demir Yapı A.Ş.</t>
        </is>
      </c>
      <c r="C7" s="26" t="inlineStr">
        <is>
          <t>Demir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8">
        <f>IF($A7="","",SUMIF(tblAkis[KaynakKartId],$A7,tblAkis[Tutar]))</f>
        <v/>
      </c>
      <c r="J7" s="28">
        <f>IF($A7="","",IFERROR(AVERAGEIF(tblAkis[KaynakKartId],$A7,tblAkis[YasGun]),0))</f>
        <v/>
      </c>
    </row>
    <row r="8">
      <c r="A8" s="26" t="inlineStr">
        <is>
          <t>KAR-00003</t>
        </is>
      </c>
      <c r="B8" s="26" t="inlineStr">
        <is>
          <t>Nova Beton</t>
        </is>
      </c>
      <c r="C8" s="26" t="inlineStr">
        <is>
          <t>Beton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8">
        <f>IF($A8="","",SUMIF(tblAkis[KaynakKartId],$A8,tblAkis[Tutar]))</f>
        <v/>
      </c>
      <c r="J8" s="28">
        <f>IF($A8="","",IFERROR(AVERAGEIF(tblAkis[KaynakKartId],$A8,tblAkis[YasGun]),0))</f>
        <v/>
      </c>
    </row>
    <row r="9">
      <c r="A9" s="26" t="inlineStr">
        <is>
          <t>KAR-00004</t>
        </is>
      </c>
      <c r="B9" s="26" t="inlineStr">
        <is>
          <t>Proje Elektrik</t>
        </is>
      </c>
      <c r="C9" s="26" t="inlineStr">
        <is>
          <t>Elektrik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8">
        <f>IF($A9="","",SUMIF(tblAkis[KaynakKartId],$A9,tblAkis[Tutar]))</f>
        <v/>
      </c>
      <c r="J9" s="28">
        <f>IF($A9="","",IFERROR(AVERAGEIF(tblAkis[KaynakKartId],$A9,tblAkis[YasGun]),0))</f>
        <v/>
      </c>
    </row>
    <row r="10">
      <c r="A10" s="26" t="inlineStr">
        <is>
          <t>KAR-00005</t>
        </is>
      </c>
      <c r="B10" s="26" t="inlineStr">
        <is>
          <t>Su Tesisat Pro</t>
        </is>
      </c>
      <c r="C10" s="26" t="inlineStr">
        <is>
          <t>Tesisat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8">
        <f>IF($A10="","",SUMIF(tblAkis[KaynakKartId],$A10,tblAkis[Tutar]))</f>
        <v/>
      </c>
      <c r="J10" s="28">
        <f>IF($A10="","",IFERROR(AVERAGEIF(tblAkis[KaynakKartId],$A10,tblAkis[YasGun]),0))</f>
        <v/>
      </c>
    </row>
    <row r="11">
      <c r="A11" s="26" t="inlineStr">
        <is>
          <t>KAR-00006</t>
        </is>
      </c>
      <c r="B11" s="26" t="inlineStr">
        <is>
          <t>Cephe Sistemleri</t>
        </is>
      </c>
      <c r="C11" s="26" t="inlineStr">
        <is>
          <t>Cephe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8">
        <f>IF($A11="","",SUMIF(tblAkis[KaynakKartId],$A11,tblAkis[Tutar]))</f>
        <v/>
      </c>
      <c r="J11" s="28">
        <f>IF($A11="","",IFERROR(AVERAGEIF(tblAkis[KaynakKartId],$A11,tblAkis[YasGun]),0))</f>
        <v/>
      </c>
    </row>
    <row r="12">
      <c r="A12" s="26" t="inlineStr">
        <is>
          <t>KAR-00007</t>
        </is>
      </c>
      <c r="B12" s="26" t="inlineStr">
        <is>
          <t>Zemin Stabil</t>
        </is>
      </c>
      <c r="C12" s="26" t="inlineStr">
        <is>
          <t>Zemin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8">
        <f>IF($A12="","",SUMIF(tblAkis[KaynakKartId],$A12,tblAkis[Tutar]))</f>
        <v/>
      </c>
      <c r="J12" s="28">
        <f>IF($A12="","",IFERROR(AVERAGEIF(tblAkis[KaynakKartId],$A12,tblAkis[YasGun]),0))</f>
        <v/>
      </c>
    </row>
    <row r="13">
      <c r="A13" s="26" t="inlineStr">
        <is>
          <t>KAR-00008</t>
        </is>
      </c>
      <c r="B13" s="26" t="inlineStr">
        <is>
          <t>İskele Güven</t>
        </is>
      </c>
      <c r="C13" s="26" t="inlineStr">
        <is>
          <t>İskele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8">
        <f>IF($A13="","",SUMIF(tblAkis[KaynakKartId],$A13,tblAkis[Tutar]))</f>
        <v/>
      </c>
      <c r="J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IF($A14="","",SUMIF(tblAkis[KaynakKartId],$A14,tblAkis[Tutar]))</f>
        <v/>
      </c>
      <c r="J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IF($A15="","",SUMIF(tblAkis[KaynakKartId],$A15,tblAkis[Tutar]))</f>
        <v/>
      </c>
      <c r="J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IF($A16="","",SUMIF(tblAkis[KaynakKartId],$A16,tblAkis[Tutar]))</f>
        <v/>
      </c>
      <c r="J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IF($A17="","",SUMIF(tblAkis[KaynakKartId],$A17,tblAkis[Tutar]))</f>
        <v/>
      </c>
      <c r="J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IF($A18="","",SUMIF(tblAkis[KaynakKartId],$A18,tblAkis[Tutar]))</f>
        <v/>
      </c>
      <c r="J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IF($A19="","",SUMIF(tblAkis[KaynakKartId],$A19,tblAkis[Tutar]))</f>
        <v/>
      </c>
      <c r="J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IF($A20="","",SUMIF(tblAkis[KaynakKartId],$A20,tblAkis[Tutar]))</f>
        <v/>
      </c>
      <c r="J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IF($A21="","",SUMIF(tblAkis[KaynakKartId],$A21,tblAkis[Tutar]))</f>
        <v/>
      </c>
      <c r="J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IF($A22="","",SUMIF(tblAkis[KaynakKartId],$A22,tblAkis[Tutar]))</f>
        <v/>
      </c>
      <c r="J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IF($A23="","",SUMIF(tblAkis[KaynakKartId],$A23,tblAkis[Tutar]))</f>
        <v/>
      </c>
      <c r="J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IF($A24="","",SUMIF(tblAkis[KaynakKartId],$A24,tblAkis[Tutar]))</f>
        <v/>
      </c>
      <c r="J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IF($A25="","",SUMIF(tblAkis[KaynakKartId],$A25,tblAkis[Tutar]))</f>
        <v/>
      </c>
      <c r="J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IF($A26="","",SUMIF(tblAkis[KaynakKartId],$A26,tblAkis[Tutar]))</f>
        <v/>
      </c>
      <c r="J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IF($A27="","",SUMIF(tblAkis[KaynakKartId],$A27,tblAkis[Tutar]))</f>
        <v/>
      </c>
      <c r="J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IF($A28="","",SUMIF(tblAkis[KaynakKartId],$A28,tblAkis[Tutar]))</f>
        <v/>
      </c>
      <c r="J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IF($A29="","",SUMIF(tblAkis[KaynakKartId],$A29,tblAkis[Tutar]))</f>
        <v/>
      </c>
      <c r="J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IF($A30="","",SUMIF(tblAkis[KaynakKartId],$A30,tblAkis[Tutar]))</f>
        <v/>
      </c>
      <c r="J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IF($A31="","",SUMIF(tblAkis[KaynakKartId],$A31,tblAkis[Tutar]))</f>
        <v/>
      </c>
      <c r="J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IF($A32="","",SUMIF(tblAkis[KaynakKartId],$A32,tblAkis[Tutar]))</f>
        <v/>
      </c>
      <c r="J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IF($A33="","",SUMIF(tblAkis[KaynakKartId],$A33,tblAkis[Tutar]))</f>
        <v/>
      </c>
      <c r="J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IF($A34="","",SUMIF(tblAkis[KaynakKartId],$A34,tblAkis[Tutar]))</f>
        <v/>
      </c>
      <c r="J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IF($A35="","",SUMIF(tblAkis[KaynakKartId],$A35,tblAkis[Tutar]))</f>
        <v/>
      </c>
      <c r="J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IF($A36="","",SUMIF(tblAkis[KaynakKartId],$A36,tblAkis[Tutar]))</f>
        <v/>
      </c>
      <c r="J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IF($A37="","",SUMIF(tblAkis[KaynakKartId],$A37,tblAkis[Tutar]))</f>
        <v/>
      </c>
      <c r="J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IF($A38="","",SUMIF(tblAkis[KaynakKartId],$A38,tblAkis[Tutar]))</f>
        <v/>
      </c>
      <c r="J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IF($A39="","",SUMIF(tblAkis[KaynakKartId],$A39,tblAkis[Tutar]))</f>
        <v/>
      </c>
      <c r="J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IF($A40="","",SUMIF(tblAkis[KaynakKartId],$A40,tblAkis[Tutar]))</f>
        <v/>
      </c>
      <c r="J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IF($A41="","",SUMIF(tblAkis[KaynakKartId],$A41,tblAkis[Tutar]))</f>
        <v/>
      </c>
      <c r="J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IF($A42="","",SUMIF(tblAkis[KaynakKartId],$A42,tblAkis[Tutar]))</f>
        <v/>
      </c>
      <c r="J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IF($A43="","",SUMIF(tblAkis[KaynakKartId],$A43,tblAkis[Tutar]))</f>
        <v/>
      </c>
      <c r="J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IF($A44="","",SUMIF(tblAkis[KaynakKartId],$A44,tblAkis[Tutar]))</f>
        <v/>
      </c>
      <c r="J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IF($A45="","",SUMIF(tblAkis[KaynakKartId],$A45,tblAkis[Tutar]))</f>
        <v/>
      </c>
      <c r="J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IF($A46="","",SUMIF(tblAkis[KaynakKartId],$A46,tblAkis[Tutar]))</f>
        <v/>
      </c>
      <c r="J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IF($A47="","",SUMIF(tblAkis[KaynakKartId],$A47,tblAkis[Tutar]))</f>
        <v/>
      </c>
      <c r="J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IF($A48="","",SUMIF(tblAkis[KaynakKartId],$A48,tblAkis[Tutar]))</f>
        <v/>
      </c>
      <c r="J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IF($A49="","",SUMIF(tblAkis[KaynakKartId],$A49,tblAkis[Tutar]))</f>
        <v/>
      </c>
      <c r="J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IF($A50="","",SUMIF(tblAkis[KaynakKartId],$A50,tblAkis[Tutar]))</f>
        <v/>
      </c>
      <c r="J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IF($A51="","",SUMIF(tblAkis[KaynakKartId],$A51,tblAkis[Tutar]))</f>
        <v/>
      </c>
      <c r="J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IF($A52="","",SUMIF(tblAkis[KaynakKartId],$A52,tblAkis[Tutar]))</f>
        <v/>
      </c>
      <c r="J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IF($A53="","",SUMIF(tblAkis[KaynakKartId],$A53,tblAkis[Tutar]))</f>
        <v/>
      </c>
      <c r="J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IF($A54="","",SUMIF(tblAkis[KaynakKartId],$A54,tblAkis[Tutar]))</f>
        <v/>
      </c>
      <c r="J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IF($A55="","",SUMIF(tblAkis[KaynakKartId],$A55,tblAkis[Tutar]))</f>
        <v/>
      </c>
      <c r="J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IF($A56="","",SUMIF(tblAkis[KaynakKartId],$A56,tblAkis[Tutar]))</f>
        <v/>
      </c>
      <c r="J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IF($A57="","",SUMIF(tblAkis[KaynakKartId],$A57,tblAkis[Tutar]))</f>
        <v/>
      </c>
      <c r="J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IF($A58="","",SUMIF(tblAkis[KaynakKartId],$A58,tblAkis[Tutar]))</f>
        <v/>
      </c>
      <c r="J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IF($A59="","",SUMIF(tblAkis[KaynakKartId],$A59,tblAkis[Tutar]))</f>
        <v/>
      </c>
      <c r="J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IF($A60="","",SUMIF(tblAkis[KaynakKartId],$A60,tblAkis[Tutar]))</f>
        <v/>
      </c>
      <c r="J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IF($A61="","",SUMIF(tblAkis[KaynakKartId],$A61,tblAkis[Tutar]))</f>
        <v/>
      </c>
      <c r="J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IF($A62="","",SUMIF(tblAkis[KaynakKartId],$A62,tblAkis[Tutar]))</f>
        <v/>
      </c>
      <c r="J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IF($A63="","",SUMIF(tblAkis[KaynakKartId],$A63,tblAkis[Tutar]))</f>
        <v/>
      </c>
      <c r="J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IF($A64="","",SUMIF(tblAkis[KaynakKartId],$A64,tblAkis[Tutar]))</f>
        <v/>
      </c>
      <c r="J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IF($A65="","",SUMIF(tblAkis[KaynakKartId],$A65,tblAkis[Tutar]))</f>
        <v/>
      </c>
      <c r="J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IF($A66="","",SUMIF(tblAkis[KaynakKartId],$A66,tblAkis[Tutar]))</f>
        <v/>
      </c>
      <c r="J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IF($A67="","",SUMIF(tblAkis[KaynakKartId],$A67,tblAkis[Tutar]))</f>
        <v/>
      </c>
      <c r="J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IF($A68="","",SUMIF(tblAkis[KaynakKartId],$A68,tblAkis[Tutar]))</f>
        <v/>
      </c>
      <c r="J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IF($A69="","",SUMIF(tblAkis[KaynakKartId],$A69,tblAkis[Tutar]))</f>
        <v/>
      </c>
      <c r="J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IF($A70="","",SUMIF(tblAkis[KaynakKartId],$A70,tblAkis[Tutar]))</f>
        <v/>
      </c>
      <c r="J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IF($A71="","",SUMIF(tblAkis[KaynakKartId],$A71,tblAkis[Tutar]))</f>
        <v/>
      </c>
      <c r="J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IF($A72="","",SUMIF(tblAkis[KaynakKartId],$A72,tblAkis[Tutar]))</f>
        <v/>
      </c>
      <c r="J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IF($A73="","",SUMIF(tblAkis[KaynakKartId],$A73,tblAkis[Tutar]))</f>
        <v/>
      </c>
      <c r="J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IF($A74="","",SUMIF(tblAkis[KaynakKartId],$A74,tblAkis[Tutar]))</f>
        <v/>
      </c>
      <c r="J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IF($A75="","",SUMIF(tblAkis[KaynakKartId],$A75,tblAkis[Tutar]))</f>
        <v/>
      </c>
      <c r="J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IF($A76="","",SUMIF(tblAkis[KaynakKartId],$A76,tblAkis[Tutar]))</f>
        <v/>
      </c>
      <c r="J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IF($A77="","",SUMIF(tblAkis[KaynakKartId],$A77,tblAkis[Tutar]))</f>
        <v/>
      </c>
      <c r="J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IF($A78="","",SUMIF(tblAkis[KaynakKartId],$A78,tblAkis[Tutar]))</f>
        <v/>
      </c>
      <c r="J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IF($A79="","",SUMIF(tblAkis[KaynakKartId],$A79,tblAkis[Tutar]))</f>
        <v/>
      </c>
      <c r="J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IF($A80="","",SUMIF(tblAkis[KaynakKartId],$A80,tblAkis[Tutar]))</f>
        <v/>
      </c>
      <c r="J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IF($A81="","",SUMIF(tblAkis[KaynakKartId],$A81,tblAkis[Tutar]))</f>
        <v/>
      </c>
      <c r="J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IF($A82="","",SUMIF(tblAkis[KaynakKartId],$A82,tblAkis[Tutar]))</f>
        <v/>
      </c>
      <c r="J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IF($A83="","",SUMIF(tblAkis[KaynakKartId],$A83,tblAkis[Tutar]))</f>
        <v/>
      </c>
      <c r="J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IF($A84="","",SUMIF(tblAkis[KaynakKartId],$A84,tblAkis[Tutar]))</f>
        <v/>
      </c>
      <c r="J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IF($A85="","",SUMIF(tblAkis[KaynakKartId],$A85,tblAkis[Tutar]))</f>
        <v/>
      </c>
      <c r="J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IF($A86="","",SUMIF(tblAkis[KaynakKartId],$A86,tblAkis[Tutar]))</f>
        <v/>
      </c>
      <c r="J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IF($A87="","",SUMIF(tblAkis[KaynakKartId],$A87,tblAkis[Tutar]))</f>
        <v/>
      </c>
      <c r="J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IF($A88="","",SUMIF(tblAkis[KaynakKartId],$A88,tblAkis[Tutar]))</f>
        <v/>
      </c>
      <c r="J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IF($A89="","",SUMIF(tblAkis[KaynakKartId],$A89,tblAkis[Tutar]))</f>
        <v/>
      </c>
      <c r="J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IF($A90="","",SUMIF(tblAkis[KaynakKartId],$A90,tblAkis[Tutar]))</f>
        <v/>
      </c>
      <c r="J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IF($A91="","",SUMIF(tblAkis[KaynakKartId],$A91,tblAkis[Tutar]))</f>
        <v/>
      </c>
      <c r="J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IF($A92="","",SUMIF(tblAkis[KaynakKartId],$A92,tblAkis[Tutar]))</f>
        <v/>
      </c>
      <c r="J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IF($A93="","",SUMIF(tblAkis[KaynakKartId],$A93,tblAkis[Tutar]))</f>
        <v/>
      </c>
      <c r="J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IF($A94="","",SUMIF(tblAkis[KaynakKartId],$A94,tblAkis[Tutar]))</f>
        <v/>
      </c>
      <c r="J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IF($A95="","",SUMIF(tblAkis[KaynakKartId],$A95,tblAkis[Tutar]))</f>
        <v/>
      </c>
      <c r="J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IF($A96="","",SUMIF(tblAkis[KaynakKartId],$A96,tblAkis[Tutar]))</f>
        <v/>
      </c>
      <c r="J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IF($A97="","",SUMIF(tblAkis[KaynakKartId],$A97,tblAkis[Tutar]))</f>
        <v/>
      </c>
      <c r="J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IF($A98="","",SUMIF(tblAkis[KaynakKartId],$A98,tblAkis[Tutar]))</f>
        <v/>
      </c>
      <c r="J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IF($A99="","",SUMIF(tblAkis[KaynakKartId],$A99,tblAkis[Tutar]))</f>
        <v/>
      </c>
      <c r="J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IF($A100="","",SUMIF(tblAkis[KaynakKartId],$A100,tblAkis[Tutar]))</f>
        <v/>
      </c>
      <c r="J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IF($A101="","",SUMIF(tblAkis[KaynakKartId],$A101,tblAkis[Tutar]))</f>
        <v/>
      </c>
      <c r="J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IF($A102="","",SUMIF(tblAkis[KaynakKartId],$A102,tblAkis[Tutar]))</f>
        <v/>
      </c>
      <c r="J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IF($A103="","",SUMIF(tblAkis[KaynakKartId],$A103,tblAkis[Tutar]))</f>
        <v/>
      </c>
      <c r="J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IF($A104="","",SUMIF(tblAkis[KaynakKartId],$A104,tblAkis[Tutar]))</f>
        <v/>
      </c>
      <c r="J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IF($A105="","",SUMIF(tblAkis[KaynakKartId],$A105,tblAkis[Tutar]))</f>
        <v/>
      </c>
      <c r="J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IF($A106="","",SUMIF(tblAkis[KaynakKartId],$A106,tblAkis[Tutar]))</f>
        <v/>
      </c>
      <c r="J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IF($A107="","",SUMIF(tblAkis[KaynakKartId],$A107,tblAkis[Tutar]))</f>
        <v/>
      </c>
      <c r="J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IF($A108="","",SUMIF(tblAkis[KaynakKartId],$A108,tblAkis[Tutar]))</f>
        <v/>
      </c>
      <c r="J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IF($A109="","",SUMIF(tblAkis[KaynakKartId],$A109,tblAkis[Tutar]))</f>
        <v/>
      </c>
      <c r="J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IF($A110="","",SUMIF(tblAkis[KaynakKartId],$A110,tblAkis[Tutar]))</f>
        <v/>
      </c>
      <c r="J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IF($A111="","",SUMIF(tblAkis[KaynakKartId],$A111,tblAkis[Tutar]))</f>
        <v/>
      </c>
      <c r="J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IF($A112="","",SUMIF(tblAkis[KaynakKartId],$A112,tblAkis[Tutar]))</f>
        <v/>
      </c>
      <c r="J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IF($A113="","",SUMIF(tblAkis[KaynakKartId],$A113,tblAkis[Tutar]))</f>
        <v/>
      </c>
      <c r="J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IF($A114="","",SUMIF(tblAkis[KaynakKartId],$A114,tblAkis[Tutar]))</f>
        <v/>
      </c>
      <c r="J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IF($A115="","",SUMIF(tblAkis[KaynakKartId],$A115,tblAkis[Tutar]))</f>
        <v/>
      </c>
      <c r="J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IF($A116="","",SUMIF(tblAkis[KaynakKartId],$A116,tblAkis[Tutar]))</f>
        <v/>
      </c>
      <c r="J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IF($A117="","",SUMIF(tblAkis[KaynakKartId],$A117,tblAkis[Tutar]))</f>
        <v/>
      </c>
      <c r="J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IF($A118="","",SUMIF(tblAkis[KaynakKartId],$A118,tblAkis[Tutar]))</f>
        <v/>
      </c>
      <c r="J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IF($A119="","",SUMIF(tblAkis[KaynakKartId],$A119,tblAkis[Tutar]))</f>
        <v/>
      </c>
      <c r="J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IF($A120="","",SUMIF(tblAkis[KaynakKartId],$A120,tblAkis[Tutar]))</f>
        <v/>
      </c>
      <c r="J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IF($A121="","",SUMIF(tblAkis[KaynakKartId],$A121,tblAkis[Tutar]))</f>
        <v/>
      </c>
      <c r="J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IF($A122="","",SUMIF(tblAkis[KaynakKartId],$A122,tblAkis[Tutar]))</f>
        <v/>
      </c>
      <c r="J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IF($A123="","",SUMIF(tblAkis[KaynakKartId],$A123,tblAkis[Tutar]))</f>
        <v/>
      </c>
      <c r="J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IF($A124="","",SUMIF(tblAkis[KaynakKartId],$A124,tblAkis[Tutar]))</f>
        <v/>
      </c>
      <c r="J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IF($A125="","",SUMIF(tblAkis[KaynakKartId],$A125,tblAkis[Tutar]))</f>
        <v/>
      </c>
      <c r="J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IF($A126="","",SUMIF(tblAkis[KaynakKartId],$A126,tblAkis[Tutar]))</f>
        <v/>
      </c>
      <c r="J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IF($A127="","",SUMIF(tblAkis[KaynakKartId],$A127,tblAkis[Tutar]))</f>
        <v/>
      </c>
      <c r="J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IF($A128="","",SUMIF(tblAkis[KaynakKartId],$A128,tblAkis[Tutar]))</f>
        <v/>
      </c>
      <c r="J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IF($A129="","",SUMIF(tblAkis[KaynakKartId],$A129,tblAkis[Tutar]))</f>
        <v/>
      </c>
      <c r="J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IF($A130="","",SUMIF(tblAkis[KaynakKartId],$A130,tblAkis[Tutar]))</f>
        <v/>
      </c>
      <c r="J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IF($A131="","",SUMIF(tblAkis[KaynakKartId],$A131,tblAkis[Tutar]))</f>
        <v/>
      </c>
      <c r="J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IF($A132="","",SUMIF(tblAkis[KaynakKartId],$A132,tblAkis[Tutar]))</f>
        <v/>
      </c>
      <c r="J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IF($A133="","",SUMIF(tblAkis[KaynakKartId],$A133,tblAkis[Tutar]))</f>
        <v/>
      </c>
      <c r="J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IF($A134="","",SUMIF(tblAkis[KaynakKartId],$A134,tblAkis[Tutar]))</f>
        <v/>
      </c>
      <c r="J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IF($A135="","",SUMIF(tblAkis[KaynakKartId],$A135,tblAkis[Tutar]))</f>
        <v/>
      </c>
      <c r="J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IF($A136="","",SUMIF(tblAkis[KaynakKartId],$A136,tblAkis[Tutar]))</f>
        <v/>
      </c>
      <c r="J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IF($A137="","",SUMIF(tblAkis[KaynakKartId],$A137,tblAkis[Tutar]))</f>
        <v/>
      </c>
      <c r="J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IF($A138="","",SUMIF(tblAkis[KaynakKartId],$A138,tblAkis[Tutar]))</f>
        <v/>
      </c>
      <c r="J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IF($A139="","",SUMIF(tblAkis[KaynakKartId],$A139,tblAkis[Tutar]))</f>
        <v/>
      </c>
      <c r="J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IF($A140="","",SUMIF(tblAkis[KaynakKartId],$A140,tblAkis[Tutar]))</f>
        <v/>
      </c>
      <c r="J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IF($A141="","",SUMIF(tblAkis[KaynakKartId],$A141,tblAkis[Tutar]))</f>
        <v/>
      </c>
      <c r="J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IF($A142="","",SUMIF(tblAkis[KaynakKartId],$A142,tblAkis[Tutar]))</f>
        <v/>
      </c>
      <c r="J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IF($A143="","",SUMIF(tblAkis[KaynakKartId],$A143,tblAkis[Tutar]))</f>
        <v/>
      </c>
      <c r="J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IF($A144="","",SUMIF(tblAkis[KaynakKartId],$A144,tblAkis[Tutar]))</f>
        <v/>
      </c>
      <c r="J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IF($A145="","",SUMIF(tblAkis[KaynakKartId],$A145,tblAkis[Tutar]))</f>
        <v/>
      </c>
      <c r="J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IF($A146="","",SUMIF(tblAkis[KaynakKartId],$A146,tblAkis[Tutar]))</f>
        <v/>
      </c>
      <c r="J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IF($A147="","",SUMIF(tblAkis[KaynakKartId],$A147,tblAkis[Tutar]))</f>
        <v/>
      </c>
      <c r="J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IF($A148="","",SUMIF(tblAkis[KaynakKartId],$A148,tblAkis[Tutar]))</f>
        <v/>
      </c>
      <c r="J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IF($A149="","",SUMIF(tblAkis[KaynakKartId],$A149,tblAkis[Tutar]))</f>
        <v/>
      </c>
      <c r="J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IF($A150="","",SUMIF(tblAkis[KaynakKartId],$A150,tblAkis[Tutar]))</f>
        <v/>
      </c>
      <c r="J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IF($A151="","",SUMIF(tblAkis[KaynakKartId],$A151,tblAkis[Tutar]))</f>
        <v/>
      </c>
      <c r="J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IF($A152="","",SUMIF(tblAkis[KaynakKartId],$A152,tblAkis[Tutar]))</f>
        <v/>
      </c>
      <c r="J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IF($A153="","",SUMIF(tblAkis[KaynakKartId],$A153,tblAkis[Tutar]))</f>
        <v/>
      </c>
      <c r="J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IF($A154="","",SUMIF(tblAkis[KaynakKartId],$A154,tblAkis[Tutar]))</f>
        <v/>
      </c>
      <c r="J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IF($A155="","",SUMIF(tblAkis[KaynakKartId],$A155,tblAkis[Tutar]))</f>
        <v/>
      </c>
      <c r="J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IF($A156="","",SUMIF(tblAkis[KaynakKartId],$A156,tblAkis[Tutar]))</f>
        <v/>
      </c>
      <c r="J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IF($A157="","",SUMIF(tblAkis[KaynakKartId],$A157,tblAkis[Tutar]))</f>
        <v/>
      </c>
      <c r="J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IF($A158="","",SUMIF(tblAkis[KaynakKartId],$A158,tblAkis[Tutar]))</f>
        <v/>
      </c>
      <c r="J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IF($A159="","",SUMIF(tblAkis[KaynakKartId],$A159,tblAkis[Tutar]))</f>
        <v/>
      </c>
      <c r="J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IF($A160="","",SUMIF(tblAkis[KaynakKartId],$A160,tblAkis[Tutar]))</f>
        <v/>
      </c>
      <c r="J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IF($A161="","",SUMIF(tblAkis[KaynakKartId],$A161,tblAkis[Tutar]))</f>
        <v/>
      </c>
      <c r="J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IF($A162="","",SUMIF(tblAkis[KaynakKartId],$A162,tblAkis[Tutar]))</f>
        <v/>
      </c>
      <c r="J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IF($A163="","",SUMIF(tblAkis[KaynakKartId],$A163,tblAkis[Tutar]))</f>
        <v/>
      </c>
      <c r="J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IF($A164="","",SUMIF(tblAkis[KaynakKartId],$A164,tblAkis[Tutar]))</f>
        <v/>
      </c>
      <c r="J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IF($A165="","",SUMIF(tblAkis[KaynakKartId],$A165,tblAkis[Tutar]))</f>
        <v/>
      </c>
      <c r="J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IF($A166="","",SUMIF(tblAkis[KaynakKartId],$A166,tblAkis[Tutar]))</f>
        <v/>
      </c>
      <c r="J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IF($A167="","",SUMIF(tblAkis[KaynakKartId],$A167,tblAkis[Tutar]))</f>
        <v/>
      </c>
      <c r="J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IF($A168="","",SUMIF(tblAkis[KaynakKartId],$A168,tblAkis[Tutar]))</f>
        <v/>
      </c>
      <c r="J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IF($A169="","",SUMIF(tblAkis[KaynakKartId],$A169,tblAkis[Tutar]))</f>
        <v/>
      </c>
      <c r="J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IF($A170="","",SUMIF(tblAkis[KaynakKartId],$A170,tblAkis[Tutar]))</f>
        <v/>
      </c>
      <c r="J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IF($A171="","",SUMIF(tblAkis[KaynakKartId],$A171,tblAkis[Tutar]))</f>
        <v/>
      </c>
      <c r="J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IF($A172="","",SUMIF(tblAkis[KaynakKartId],$A172,tblAkis[Tutar]))</f>
        <v/>
      </c>
      <c r="J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IF($A173="","",SUMIF(tblAkis[KaynakKartId],$A173,tblAkis[Tutar]))</f>
        <v/>
      </c>
      <c r="J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IF($A174="","",SUMIF(tblAkis[KaynakKartId],$A174,tblAkis[Tutar]))</f>
        <v/>
      </c>
      <c r="J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IF($A175="","",SUMIF(tblAkis[KaynakKartId],$A175,tblAkis[Tutar]))</f>
        <v/>
      </c>
      <c r="J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IF($A176="","",SUMIF(tblAkis[KaynakKartId],$A176,tblAkis[Tutar]))</f>
        <v/>
      </c>
      <c r="J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IF($A177="","",SUMIF(tblAkis[KaynakKartId],$A177,tblAkis[Tutar]))</f>
        <v/>
      </c>
      <c r="J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IF($A178="","",SUMIF(tblAkis[KaynakKartId],$A178,tblAkis[Tutar]))</f>
        <v/>
      </c>
      <c r="J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IF($A179="","",SUMIF(tblAkis[KaynakKartId],$A179,tblAkis[Tutar]))</f>
        <v/>
      </c>
      <c r="J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IF($A180="","",SUMIF(tblAkis[KaynakKartId],$A180,tblAkis[Tutar]))</f>
        <v/>
      </c>
      <c r="J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IF($A181="","",SUMIF(tblAkis[KaynakKartId],$A181,tblAkis[Tutar]))</f>
        <v/>
      </c>
      <c r="J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IF($A182="","",SUMIF(tblAkis[KaynakKartId],$A182,tblAkis[Tutar]))</f>
        <v/>
      </c>
      <c r="J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IF($A183="","",SUMIF(tblAkis[KaynakKartId],$A183,tblAkis[Tutar]))</f>
        <v/>
      </c>
      <c r="J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IF($A184="","",SUMIF(tblAkis[KaynakKartId],$A184,tblAkis[Tutar]))</f>
        <v/>
      </c>
      <c r="J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IF($A185="","",SUMIF(tblAkis[KaynakKartId],$A185,tblAkis[Tutar]))</f>
        <v/>
      </c>
      <c r="J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IF($A186="","",SUMIF(tblAkis[KaynakKartId],$A186,tblAkis[Tutar]))</f>
        <v/>
      </c>
      <c r="J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IF($A187="","",SUMIF(tblAkis[KaynakKartId],$A187,tblAkis[Tutar]))</f>
        <v/>
      </c>
      <c r="J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IF($A188="","",SUMIF(tblAkis[KaynakKartId],$A188,tblAkis[Tutar]))</f>
        <v/>
      </c>
      <c r="J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IF($A189="","",SUMIF(tblAkis[KaynakKartId],$A189,tblAkis[Tutar]))</f>
        <v/>
      </c>
      <c r="J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IF($A190="","",SUMIF(tblAkis[KaynakKartId],$A190,tblAkis[Tutar]))</f>
        <v/>
      </c>
      <c r="J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IF($A191="","",SUMIF(tblAkis[KaynakKartId],$A191,tblAkis[Tutar]))</f>
        <v/>
      </c>
      <c r="J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IF($A192="","",SUMIF(tblAkis[KaynakKartId],$A192,tblAkis[Tutar]))</f>
        <v/>
      </c>
      <c r="J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IF($A193="","",SUMIF(tblAkis[KaynakKartId],$A193,tblAkis[Tutar]))</f>
        <v/>
      </c>
      <c r="J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IF($A194="","",SUMIF(tblAkis[KaynakKartId],$A194,tblAkis[Tutar]))</f>
        <v/>
      </c>
      <c r="J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IF($A195="","",SUMIF(tblAkis[KaynakKartId],$A195,tblAkis[Tutar]))</f>
        <v/>
      </c>
      <c r="J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IF($A196="","",SUMIF(tblAkis[KaynakKartId],$A196,tblAkis[Tutar]))</f>
        <v/>
      </c>
      <c r="J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IF($A197="","",SUMIF(tblAkis[KaynakKartId],$A197,tblAkis[Tutar]))</f>
        <v/>
      </c>
      <c r="J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IF($A198="","",SUMIF(tblAkis[KaynakKartId],$A198,tblAkis[Tutar]))</f>
        <v/>
      </c>
      <c r="J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IF($A199="","",SUMIF(tblAkis[KaynakKartId],$A199,tblAkis[Tutar]))</f>
        <v/>
      </c>
      <c r="J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IF($A200="","",SUMIF(tblAkis[KaynakKartId],$A200,tblAkis[Tutar]))</f>
        <v/>
      </c>
      <c r="J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IF($A201="","",SUMIF(tblAkis[KaynakKartId],$A201,tblAkis[Tutar]))</f>
        <v/>
      </c>
      <c r="J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IF($A202="","",SUMIF(tblAkis[KaynakKartId],$A202,tblAkis[Tutar]))</f>
        <v/>
      </c>
      <c r="J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IF($A203="","",SUMIF(tblAkis[KaynakKartId],$A203,tblAkis[Tutar]))</f>
        <v/>
      </c>
      <c r="J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IF($A204="","",SUMIF(tblAkis[KaynakKartId],$A204,tblAkis[Tutar]))</f>
        <v/>
      </c>
      <c r="J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IF($A205="","",SUMIF(tblAkis[KaynakKartId],$A205,tblAkis[Tutar]))</f>
        <v/>
      </c>
      <c r="J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IF($A206="","",SUMIF(tblAkis[KaynakKartId],$A206,tblAkis[Tutar]))</f>
        <v/>
      </c>
      <c r="J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IF($A207="","",SUMIF(tblAkis[KaynakKartId],$A207,tblAkis[Tutar]))</f>
        <v/>
      </c>
      <c r="J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IF($A208="","",SUMIF(tblAkis[KaynakKartId],$A208,tblAkis[Tutar]))</f>
        <v/>
      </c>
      <c r="J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IF($A209="","",SUMIF(tblAkis[KaynakKartId],$A209,tblAkis[Tutar]))</f>
        <v/>
      </c>
      <c r="J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IF($A210="","",SUMIF(tblAkis[KaynakKartId],$A210,tblAkis[Tutar]))</f>
        <v/>
      </c>
      <c r="J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IF($A211="","",SUMIF(tblAkis[KaynakKartId],$A211,tblAkis[Tutar]))</f>
        <v/>
      </c>
      <c r="J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IF($A212="","",SUMIF(tblAkis[KaynakKartId],$A212,tblAkis[Tutar]))</f>
        <v/>
      </c>
      <c r="J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IF($A213="","",SUMIF(tblAkis[KaynakKartId],$A213,tblAkis[Tutar]))</f>
        <v/>
      </c>
      <c r="J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IF($A214="","",SUMIF(tblAkis[KaynakKartId],$A214,tblAkis[Tutar]))</f>
        <v/>
      </c>
      <c r="J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IF($A215="","",SUMIF(tblAkis[KaynakKartId],$A215,tblAkis[Tutar]))</f>
        <v/>
      </c>
      <c r="J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IF($A216="","",SUMIF(tblAkis[KaynakKartId],$A216,tblAkis[Tutar]))</f>
        <v/>
      </c>
      <c r="J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IF($A217="","",SUMIF(tblAkis[KaynakKartId],$A217,tblAkis[Tutar]))</f>
        <v/>
      </c>
      <c r="J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IF($A218="","",SUMIF(tblAkis[KaynakKartId],$A218,tblAkis[Tutar]))</f>
        <v/>
      </c>
      <c r="J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IF($A219="","",SUMIF(tblAkis[KaynakKartId],$A219,tblAkis[Tutar]))</f>
        <v/>
      </c>
      <c r="J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IF($A220="","",SUMIF(tblAkis[KaynakKartId],$A220,tblAkis[Tutar]))</f>
        <v/>
      </c>
      <c r="J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IF($A221="","",SUMIF(tblAkis[KaynakKartId],$A221,tblAkis[Tutar]))</f>
        <v/>
      </c>
      <c r="J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IF($A222="","",SUMIF(tblAkis[KaynakKartId],$A222,tblAkis[Tutar]))</f>
        <v/>
      </c>
      <c r="J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IF($A223="","",SUMIF(tblAkis[KaynakKartId],$A223,tblAkis[Tutar]))</f>
        <v/>
      </c>
      <c r="J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IF($A224="","",SUMIF(tblAkis[KaynakKartId],$A224,tblAkis[Tutar]))</f>
        <v/>
      </c>
      <c r="J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IF($A225="","",SUMIF(tblAkis[KaynakKartId],$A225,tblAkis[Tutar]))</f>
        <v/>
      </c>
      <c r="J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IF($A226="","",SUMIF(tblAkis[KaynakKartId],$A226,tblAkis[Tutar]))</f>
        <v/>
      </c>
      <c r="J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IF($A227="","",SUMIF(tblAkis[KaynakKartId],$A227,tblAkis[Tutar]))</f>
        <v/>
      </c>
      <c r="J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IF($A228="","",SUMIF(tblAkis[KaynakKartId],$A228,tblAkis[Tutar]))</f>
        <v/>
      </c>
      <c r="J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IF($A229="","",SUMIF(tblAkis[KaynakKartId],$A229,tblAkis[Tutar]))</f>
        <v/>
      </c>
      <c r="J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IF($A230="","",SUMIF(tblAkis[KaynakKartId],$A230,tblAkis[Tutar]))</f>
        <v/>
      </c>
      <c r="J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IF($A231="","",SUMIF(tblAkis[KaynakKartId],$A231,tblAkis[Tutar]))</f>
        <v/>
      </c>
      <c r="J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IF($A232="","",SUMIF(tblAkis[KaynakKartId],$A232,tblAkis[Tutar]))</f>
        <v/>
      </c>
      <c r="J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IF($A233="","",SUMIF(tblAkis[KaynakKartId],$A233,tblAkis[Tutar]))</f>
        <v/>
      </c>
      <c r="J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IF($A234="","",SUMIF(tblAkis[KaynakKartId],$A234,tblAkis[Tutar]))</f>
        <v/>
      </c>
      <c r="J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IF($A235="","",SUMIF(tblAkis[KaynakKartId],$A235,tblAkis[Tutar]))</f>
        <v/>
      </c>
      <c r="J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IF($A236="","",SUMIF(tblAkis[KaynakKartId],$A236,tblAkis[Tutar]))</f>
        <v/>
      </c>
      <c r="J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IF($A237="","",SUMIF(tblAkis[KaynakKartId],$A237,tblAkis[Tutar]))</f>
        <v/>
      </c>
      <c r="J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IF($A238="","",SUMIF(tblAkis[KaynakKartId],$A238,tblAkis[Tutar]))</f>
        <v/>
      </c>
      <c r="J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IF($A239="","",SUMIF(tblAkis[KaynakKartId],$A239,tblAkis[Tutar]))</f>
        <v/>
      </c>
      <c r="J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IF($A240="","",SUMIF(tblAkis[KaynakKartId],$A240,tblAkis[Tutar]))</f>
        <v/>
      </c>
      <c r="J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IF($A241="","",SUMIF(tblAkis[KaynakKartId],$A241,tblAkis[Tutar]))</f>
        <v/>
      </c>
      <c r="J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IF($A242="","",SUMIF(tblAkis[KaynakKartId],$A242,tblAkis[Tutar]))</f>
        <v/>
      </c>
      <c r="J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IF($A243="","",SUMIF(tblAkis[KaynakKartId],$A243,tblAkis[Tutar]))</f>
        <v/>
      </c>
      <c r="J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IF($A244="","",SUMIF(tblAkis[KaynakKartId],$A244,tblAkis[Tutar]))</f>
        <v/>
      </c>
      <c r="J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IF($A245="","",SUMIF(tblAkis[KaynakKartId],$A245,tblAkis[Tutar]))</f>
        <v/>
      </c>
      <c r="J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IF($A246="","",SUMIF(tblAkis[KaynakKartId],$A246,tblAkis[Tutar]))</f>
        <v/>
      </c>
      <c r="J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IF($A247="","",SUMIF(tblAkis[KaynakKartId],$A247,tblAkis[Tutar]))</f>
        <v/>
      </c>
      <c r="J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IF($A248="","",SUMIF(tblAkis[KaynakKartId],$A248,tblAkis[Tutar]))</f>
        <v/>
      </c>
      <c r="J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IF($A249="","",SUMIF(tblAkis[KaynakKartId],$A249,tblAkis[Tutar]))</f>
        <v/>
      </c>
      <c r="J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IF($A250="","",SUMIF(tblAkis[KaynakKartId],$A250,tblAkis[Tutar]))</f>
        <v/>
      </c>
      <c r="J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IF($A251="","",SUMIF(tblAkis[KaynakKartId],$A251,tblAkis[Tutar]))</f>
        <v/>
      </c>
      <c r="J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IF($A252="","",SUMIF(tblAkis[KaynakKartId],$A252,tblAkis[Tutar]))</f>
        <v/>
      </c>
      <c r="J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IF($A253="","",SUMIF(tblAkis[KaynakKartId],$A253,tblAkis[Tutar]))</f>
        <v/>
      </c>
      <c r="J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IF($A254="","",SUMIF(tblAkis[KaynakKartId],$A254,tblAkis[Tutar]))</f>
        <v/>
      </c>
      <c r="J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IF($A255="","",SUMIF(tblAkis[KaynakKartId],$A255,tblAkis[Tutar]))</f>
        <v/>
      </c>
      <c r="J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8">
    <dataValidation sqref="A6:A255" showDropDown="0" showInputMessage="1" showErrorMessage="1" allowBlank="1" errorTitle="Kimlik" error="En az 1 karakter" promptTitle="Kart Kimliği" prompt="KA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Branş" error="Geçersiz" promptTitle="Branş" prompt="Branş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2.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21.5" customWidth="1" min="13" max="13"/>
    <col width="12" customWidth="1" min="14" max="14"/>
    <col width="12" customWidth="1" min="15" max="15"/>
    <col width="15.5" customWidth="1" min="16" max="16"/>
    <col width="16.5" customWidth="1" min="17" max="17"/>
    <col width="16.5" customWidth="1" min="18" max="18"/>
    <col width="13.5" customWidth="1" min="19" max="19"/>
    <col width="13" customWidth="1" min="20" max="20"/>
  </cols>
  <sheetData>
    <row r="1" ht="32" customHeight="1">
      <c r="A1" s="178" t="inlineStr">
        <is>
          <t>AKIS — İnşaat Hakediş Yönetim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79" t="n"/>
      <c r="Q1" s="179" t="n"/>
      <c r="R1" s="179" t="n"/>
      <c r="S1" s="179" t="n"/>
    </row>
    <row r="2"/>
    <row r="3" ht="22" customHeight="1">
      <c r="A3" s="198" t="inlineStr">
        <is>
          <t>İşlem satırları — durum makinesi + yetim + geçersiz geçiş + zincir bayrakları</t>
        </is>
      </c>
    </row>
    <row r="4"/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Teklif</t>
        </is>
      </c>
      <c r="G5" s="25" t="inlineStr">
        <is>
          <t>Siparis</t>
        </is>
      </c>
      <c r="H5" s="25" t="inlineStr">
        <is>
          <t>Hakedis</t>
        </is>
      </c>
      <c r="I5" s="25" t="inlineStr">
        <is>
          <t>Fatura</t>
        </is>
      </c>
      <c r="J5" s="25" t="inlineStr">
        <is>
          <t>Odeme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HAK-00001</t>
        </is>
      </c>
      <c r="B6" s="26" t="inlineStr">
        <is>
          <t>KAR-00001</t>
        </is>
      </c>
      <c r="C6" s="29" t="n">
        <v>46241</v>
      </c>
      <c r="D6" s="26" t="n"/>
      <c r="E6" s="26" t="inlineStr">
        <is>
          <t>DRAFT</t>
        </is>
      </c>
      <c r="F6" s="27" t="n">
        <v>112500</v>
      </c>
      <c r="G6" s="27" t="n">
        <v>112500</v>
      </c>
      <c r="H6" s="27" t="n">
        <v>112500</v>
      </c>
      <c r="I6" s="27" t="n">
        <v>112500</v>
      </c>
      <c r="J6" s="27" t="n">
        <v>0</v>
      </c>
      <c r="K6" s="27" t="n">
        <v>112500</v>
      </c>
      <c r="L6" s="26" t="inlineStr">
        <is>
          <t>2026-08</t>
        </is>
      </c>
      <c r="M6" s="26" t="inlineStr">
        <is>
          <t>Hakediş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IF($A6="","",IF(OR($F6="",$H6=""),"",IF(ABS($H6-$F6)&gt;zincirTolerans,"ZİNCİR KIRIK","OK")))</f>
        <v/>
      </c>
      <c r="S6" s="28">
        <f>IF($A6="","",1)</f>
        <v/>
      </c>
    </row>
    <row r="7">
      <c r="A7" s="26" t="inlineStr">
        <is>
          <t>HAK-00002</t>
        </is>
      </c>
      <c r="B7" s="26" t="inlineStr">
        <is>
          <t>KAR-00002</t>
        </is>
      </c>
      <c r="C7" s="29" t="n">
        <v>46238</v>
      </c>
      <c r="D7" s="26" t="inlineStr">
        <is>
          <t>DRAFT</t>
        </is>
      </c>
      <c r="E7" s="26" t="inlineStr">
        <is>
          <t>BEKLIYOR</t>
        </is>
      </c>
      <c r="F7" s="27" t="n">
        <v>125000</v>
      </c>
      <c r="G7" s="27" t="n">
        <v>125000</v>
      </c>
      <c r="H7" s="27" t="n">
        <v>125000</v>
      </c>
      <c r="I7" s="27" t="n">
        <v>125000</v>
      </c>
      <c r="J7" s="27" t="n">
        <v>0</v>
      </c>
      <c r="K7" s="27" t="n">
        <v>125000</v>
      </c>
      <c r="L7" s="26" t="inlineStr">
        <is>
          <t>2026-08</t>
        </is>
      </c>
      <c r="M7" s="26" t="inlineStr">
        <is>
          <t>Hakediş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IF($A7="","",IF(OR($F7="",$H7=""),"",IF(ABS($H7-$F7)&gt;zincirTolerans,"ZİNCİR KIRIK","OK")))</f>
        <v/>
      </c>
      <c r="S7" s="28">
        <f>IF($A7="","",1)</f>
        <v/>
      </c>
    </row>
    <row r="8">
      <c r="A8" s="26" t="inlineStr">
        <is>
          <t>HAK-00003</t>
        </is>
      </c>
      <c r="B8" s="26" t="inlineStr">
        <is>
          <t>KAR-00003</t>
        </is>
      </c>
      <c r="C8" s="29" t="n">
        <v>46235</v>
      </c>
      <c r="D8" s="26" t="inlineStr">
        <is>
          <t>BEKLIYOR</t>
        </is>
      </c>
      <c r="E8" s="26" t="inlineStr">
        <is>
          <t>ONAY</t>
        </is>
      </c>
      <c r="F8" s="27" t="n">
        <v>137500</v>
      </c>
      <c r="G8" s="27" t="n">
        <v>137500</v>
      </c>
      <c r="H8" s="27" t="n">
        <v>137500</v>
      </c>
      <c r="I8" s="27" t="n">
        <v>137500</v>
      </c>
      <c r="J8" s="27" t="n">
        <v>0</v>
      </c>
      <c r="K8" s="27" t="n">
        <v>137500</v>
      </c>
      <c r="L8" s="26" t="inlineStr">
        <is>
          <t>2026-08</t>
        </is>
      </c>
      <c r="M8" s="26" t="inlineStr">
        <is>
          <t>Hakediş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IF($A8="","",IF(OR($F8="",$H8=""),"",IF(ABS($H8-$F8)&gt;zincirTolerans,"ZİNCİR KIRIK","OK")))</f>
        <v/>
      </c>
      <c r="S8" s="28">
        <f>IF($A8="","",1)</f>
        <v/>
      </c>
    </row>
    <row r="9">
      <c r="A9" s="26" t="inlineStr">
        <is>
          <t>HAK-00004</t>
        </is>
      </c>
      <c r="B9" s="26" t="inlineStr">
        <is>
          <t>KAR-00004</t>
        </is>
      </c>
      <c r="C9" s="29" t="n">
        <v>46232</v>
      </c>
      <c r="D9" s="26" t="inlineStr">
        <is>
          <t>ONAY</t>
        </is>
      </c>
      <c r="E9" s="26" t="inlineStr">
        <is>
          <t>ODEME</t>
        </is>
      </c>
      <c r="F9" s="27" t="n">
        <v>150000</v>
      </c>
      <c r="G9" s="27" t="n">
        <v>150000</v>
      </c>
      <c r="H9" s="27" t="n">
        <v>150000</v>
      </c>
      <c r="I9" s="27" t="n">
        <v>150000</v>
      </c>
      <c r="J9" s="27" t="n">
        <v>150000</v>
      </c>
      <c r="K9" s="27" t="n">
        <v>150000</v>
      </c>
      <c r="L9" s="26" t="inlineStr">
        <is>
          <t>2026-08</t>
        </is>
      </c>
      <c r="M9" s="26" t="inlineStr">
        <is>
          <t>Hakediş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IF($A9="","",IF(OR($F9="",$H9=""),"",IF(ABS($H9-$F9)&gt;zincirTolerans,"ZİNCİR KIRIK","OK")))</f>
        <v/>
      </c>
      <c r="S9" s="28">
        <f>IF($A9="","",1)</f>
        <v/>
      </c>
    </row>
    <row r="10">
      <c r="A10" s="26" t="inlineStr">
        <is>
          <t>HAK-00005</t>
        </is>
      </c>
      <c r="B10" s="26" t="inlineStr">
        <is>
          <t>KAR-00005</t>
        </is>
      </c>
      <c r="C10" s="29" t="n">
        <v>46229</v>
      </c>
      <c r="D10" s="26" t="inlineStr">
        <is>
          <t>BEKLIYOR</t>
        </is>
      </c>
      <c r="E10" s="26" t="inlineStr">
        <is>
          <t>IPTAL</t>
        </is>
      </c>
      <c r="F10" s="27" t="n">
        <v>162500</v>
      </c>
      <c r="G10" s="27" t="n">
        <v>162500</v>
      </c>
      <c r="H10" s="27" t="n">
        <v>162500</v>
      </c>
      <c r="I10" s="27" t="n">
        <v>162500</v>
      </c>
      <c r="J10" s="27" t="n">
        <v>0</v>
      </c>
      <c r="K10" s="27" t="n">
        <v>162500</v>
      </c>
      <c r="L10" s="26" t="inlineStr">
        <is>
          <t>2026-08</t>
        </is>
      </c>
      <c r="M10" s="26" t="inlineStr">
        <is>
          <t>Hakediş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IF($A10="","",IF(OR($F10="",$H10=""),"",IF(ABS($H10-$F10)&gt;zincirTolerans,"ZİNCİR KIRIK","OK")))</f>
        <v/>
      </c>
      <c r="S10" s="28">
        <f>IF($A10="","",1)</f>
        <v/>
      </c>
    </row>
    <row r="11">
      <c r="A11" s="26" t="inlineStr">
        <is>
          <t>HAK-00006</t>
        </is>
      </c>
      <c r="B11" s="26" t="inlineStr">
        <is>
          <t>KAR-00006</t>
        </is>
      </c>
      <c r="C11" s="29" t="n">
        <v>46226</v>
      </c>
      <c r="D11" s="26" t="inlineStr">
        <is>
          <t>DRAFT</t>
        </is>
      </c>
      <c r="E11" s="26" t="inlineStr">
        <is>
          <t>BEKLIYOR</t>
        </is>
      </c>
      <c r="F11" s="27" t="n">
        <v>175000</v>
      </c>
      <c r="G11" s="27" t="n">
        <v>175000</v>
      </c>
      <c r="H11" s="27" t="n">
        <v>175000</v>
      </c>
      <c r="I11" s="27" t="n">
        <v>175000</v>
      </c>
      <c r="J11" s="27" t="n">
        <v>0</v>
      </c>
      <c r="K11" s="27" t="n">
        <v>175000</v>
      </c>
      <c r="L11" s="26" t="inlineStr">
        <is>
          <t>2026-08</t>
        </is>
      </c>
      <c r="M11" s="26" t="inlineStr">
        <is>
          <t>Hakediş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IF($A11="","",IF(OR($F11="",$H11=""),"",IF(ABS($H11-$F11)&gt;zincirTolerans,"ZİNCİR KIRIK","OK")))</f>
        <v/>
      </c>
      <c r="S11" s="28">
        <f>IF($A11="","",1)</f>
        <v/>
      </c>
    </row>
    <row r="12">
      <c r="A12" s="26" t="inlineStr">
        <is>
          <t>HAK-00007</t>
        </is>
      </c>
      <c r="B12" s="26" t="inlineStr">
        <is>
          <t>KAR-00007</t>
        </is>
      </c>
      <c r="C12" s="29" t="n">
        <v>46223</v>
      </c>
      <c r="D12" s="26" t="inlineStr">
        <is>
          <t>BEKLIYOR</t>
        </is>
      </c>
      <c r="E12" s="26" t="inlineStr">
        <is>
          <t>ONAY</t>
        </is>
      </c>
      <c r="F12" s="27" t="n">
        <v>187500</v>
      </c>
      <c r="G12" s="27" t="n">
        <v>187500</v>
      </c>
      <c r="H12" s="27" t="n">
        <v>187500</v>
      </c>
      <c r="I12" s="27" t="n">
        <v>187500</v>
      </c>
      <c r="J12" s="27" t="n">
        <v>0</v>
      </c>
      <c r="K12" s="27" t="n">
        <v>187500</v>
      </c>
      <c r="L12" s="26" t="inlineStr">
        <is>
          <t>2026-08</t>
        </is>
      </c>
      <c r="M12" s="26" t="inlineStr">
        <is>
          <t>Hakediş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IF($A12="","",IF(OR($F12="",$H12=""),"",IF(ABS($H12-$F12)&gt;zincirTolerans,"ZİNCİR KIRIK","OK")))</f>
        <v/>
      </c>
      <c r="S12" s="28">
        <f>IF($A12="","",1)</f>
        <v/>
      </c>
    </row>
    <row r="13">
      <c r="A13" s="26" t="inlineStr">
        <is>
          <t>HAK-00008</t>
        </is>
      </c>
      <c r="B13" s="26" t="inlineStr">
        <is>
          <t>KAR-00008</t>
        </is>
      </c>
      <c r="C13" s="29" t="n">
        <v>46220</v>
      </c>
      <c r="D13" s="26" t="inlineStr">
        <is>
          <t>ONAY</t>
        </is>
      </c>
      <c r="E13" s="26" t="inlineStr">
        <is>
          <t>BEKLIYOR</t>
        </is>
      </c>
      <c r="F13" s="27" t="n">
        <v>200000</v>
      </c>
      <c r="G13" s="27" t="n">
        <v>200000</v>
      </c>
      <c r="H13" s="27" t="n">
        <v>200000</v>
      </c>
      <c r="I13" s="27" t="n">
        <v>200000</v>
      </c>
      <c r="J13" s="27" t="n">
        <v>0</v>
      </c>
      <c r="K13" s="27" t="n">
        <v>200000</v>
      </c>
      <c r="L13" s="26" t="inlineStr">
        <is>
          <t>2026-08</t>
        </is>
      </c>
      <c r="M13" s="26" t="inlineStr">
        <is>
          <t>Hakediş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IF($A13="","",IF(OR($F13="",$H13=""),"",IF(ABS($H13-$F13)&gt;zincirTolerans,"ZİNCİR KIRIK","OK")))</f>
        <v/>
      </c>
      <c r="S13" s="28">
        <f>IF($A13="","",1)</f>
        <v/>
      </c>
    </row>
    <row r="14">
      <c r="A14" s="26" t="inlineStr">
        <is>
          <t>HAK-00009</t>
        </is>
      </c>
      <c r="B14" s="26" t="inlineStr">
        <is>
          <t>KAR-00001</t>
        </is>
      </c>
      <c r="C14" s="29" t="n">
        <v>46217</v>
      </c>
      <c r="D14" s="26" t="n"/>
      <c r="E14" s="26" t="inlineStr">
        <is>
          <t>DRAFT</t>
        </is>
      </c>
      <c r="F14" s="27" t="n">
        <v>212500</v>
      </c>
      <c r="G14" s="27" t="n">
        <v>212500</v>
      </c>
      <c r="H14" s="27" t="n">
        <v>212500</v>
      </c>
      <c r="I14" s="27" t="n">
        <v>212500</v>
      </c>
      <c r="J14" s="27" t="n">
        <v>0</v>
      </c>
      <c r="K14" s="27" t="n">
        <v>212500</v>
      </c>
      <c r="L14" s="26" t="inlineStr">
        <is>
          <t>2026-08</t>
        </is>
      </c>
      <c r="M14" s="26" t="inlineStr">
        <is>
          <t>Hakediş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IF($A14="","",IF(OR($F14="",$H14=""),"",IF(ABS($H14-$F14)&gt;zincirTolerans,"ZİNCİR KIRIK","OK")))</f>
        <v/>
      </c>
      <c r="S14" s="28">
        <f>IF($A14="","",1)</f>
        <v/>
      </c>
    </row>
    <row r="15">
      <c r="A15" s="26" t="inlineStr">
        <is>
          <t>HAK-00010</t>
        </is>
      </c>
      <c r="B15" s="26" t="inlineStr">
        <is>
          <t>KAR-00002</t>
        </is>
      </c>
      <c r="C15" s="29" t="n">
        <v>46214</v>
      </c>
      <c r="D15" s="26" t="inlineStr">
        <is>
          <t>DRAFT</t>
        </is>
      </c>
      <c r="E15" s="26" t="inlineStr">
        <is>
          <t>BEKLIYOR</t>
        </is>
      </c>
      <c r="F15" s="27" t="n">
        <v>225000</v>
      </c>
      <c r="G15" s="27" t="n">
        <v>225000</v>
      </c>
      <c r="H15" s="27" t="n">
        <v>225000</v>
      </c>
      <c r="I15" s="27" t="n">
        <v>225000</v>
      </c>
      <c r="J15" s="27" t="n">
        <v>0</v>
      </c>
      <c r="K15" s="27" t="n">
        <v>225000</v>
      </c>
      <c r="L15" s="26" t="inlineStr">
        <is>
          <t>2026-08</t>
        </is>
      </c>
      <c r="M15" s="26" t="inlineStr">
        <is>
          <t>Hakediş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IF($A15="","",IF(OR($F15="",$H15=""),"",IF(ABS($H15-$F15)&gt;zincirTolerans,"ZİNCİR KIRIK","OK")))</f>
        <v/>
      </c>
      <c r="S15" s="28">
        <f>IF($A15="","",1)</f>
        <v/>
      </c>
    </row>
    <row r="16">
      <c r="A16" s="26" t="inlineStr">
        <is>
          <t>HAK-00011</t>
        </is>
      </c>
      <c r="B16" s="26" t="inlineStr">
        <is>
          <t>KAR-00003</t>
        </is>
      </c>
      <c r="C16" s="29" t="n">
        <v>46211</v>
      </c>
      <c r="D16" s="26" t="inlineStr">
        <is>
          <t>BEKLIYOR</t>
        </is>
      </c>
      <c r="E16" s="26" t="inlineStr">
        <is>
          <t>ONAY</t>
        </is>
      </c>
      <c r="F16" s="27" t="n">
        <v>237500</v>
      </c>
      <c r="G16" s="27" t="n">
        <v>237500</v>
      </c>
      <c r="H16" s="27" t="n">
        <v>237500</v>
      </c>
      <c r="I16" s="27" t="n">
        <v>237500</v>
      </c>
      <c r="J16" s="27" t="n">
        <v>0</v>
      </c>
      <c r="K16" s="27" t="n">
        <v>237500</v>
      </c>
      <c r="L16" s="26" t="inlineStr">
        <is>
          <t>2026-08</t>
        </is>
      </c>
      <c r="M16" s="26" t="inlineStr">
        <is>
          <t>Hakediş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IF($A16="","",IF(OR($F16="",$H16=""),"",IF(ABS($H16-$F16)&gt;zincirTolerans,"ZİNCİR KIRIK","OK")))</f>
        <v/>
      </c>
      <c r="S16" s="28">
        <f>IF($A16="","",1)</f>
        <v/>
      </c>
    </row>
    <row r="17">
      <c r="A17" s="26" t="inlineStr">
        <is>
          <t>HAK-00012</t>
        </is>
      </c>
      <c r="B17" s="26" t="inlineStr">
        <is>
          <t>KAR-00004</t>
        </is>
      </c>
      <c r="C17" s="29" t="n">
        <v>46208</v>
      </c>
      <c r="D17" s="26" t="inlineStr">
        <is>
          <t>ONAY</t>
        </is>
      </c>
      <c r="E17" s="26" t="inlineStr">
        <is>
          <t>ODEME</t>
        </is>
      </c>
      <c r="F17" s="27" t="n">
        <v>250000</v>
      </c>
      <c r="G17" s="27" t="n">
        <v>250000</v>
      </c>
      <c r="H17" s="27" t="n">
        <v>295000</v>
      </c>
      <c r="I17" s="27" t="n">
        <v>295000</v>
      </c>
      <c r="J17" s="27" t="n">
        <v>295000</v>
      </c>
      <c r="K17" s="27" t="n">
        <v>295000</v>
      </c>
      <c r="L17" s="26" t="inlineStr">
        <is>
          <t>2026-08</t>
        </is>
      </c>
      <c r="M17" s="26" t="inlineStr">
        <is>
          <t>Hakediş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IF($A17="","",IF(OR($F17="",$H17=""),"",IF(ABS($H17-$F17)&gt;zincirTolerans,"ZİNCİR KIRIK","OK")))</f>
        <v/>
      </c>
      <c r="S17" s="28">
        <f>IF($A17="","",1)</f>
        <v/>
      </c>
    </row>
    <row r="18">
      <c r="A18" s="26" t="inlineStr">
        <is>
          <t>HAK-00013</t>
        </is>
      </c>
      <c r="B18" s="26" t="inlineStr">
        <is>
          <t>KAR-00005</t>
        </is>
      </c>
      <c r="C18" s="29" t="n">
        <v>46205</v>
      </c>
      <c r="D18" s="26" t="inlineStr">
        <is>
          <t>BEKLIYOR</t>
        </is>
      </c>
      <c r="E18" s="26" t="inlineStr">
        <is>
          <t>IPTAL</t>
        </is>
      </c>
      <c r="F18" s="27" t="n">
        <v>262500</v>
      </c>
      <c r="G18" s="27" t="n">
        <v>262500</v>
      </c>
      <c r="H18" s="27" t="n">
        <v>262500</v>
      </c>
      <c r="I18" s="27" t="n">
        <v>262500</v>
      </c>
      <c r="J18" s="27" t="n">
        <v>0</v>
      </c>
      <c r="K18" s="27" t="n">
        <v>262500</v>
      </c>
      <c r="L18" s="26" t="inlineStr">
        <is>
          <t>2026-08</t>
        </is>
      </c>
      <c r="M18" s="26" t="inlineStr">
        <is>
          <t>Hakediş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IF($A18="","",IF(OR($F18="",$H18=""),"",IF(ABS($H18-$F18)&gt;zincirTolerans,"ZİNCİR KIRIK","OK")))</f>
        <v/>
      </c>
      <c r="S18" s="28">
        <f>IF($A18="","",1)</f>
        <v/>
      </c>
    </row>
    <row r="19">
      <c r="A19" s="26" t="inlineStr">
        <is>
          <t>HAK-00014</t>
        </is>
      </c>
      <c r="B19" s="26" t="inlineStr">
        <is>
          <t>KAR-00006</t>
        </is>
      </c>
      <c r="C19" s="29" t="n">
        <v>46202</v>
      </c>
      <c r="D19" s="26" t="inlineStr">
        <is>
          <t>DRAFT</t>
        </is>
      </c>
      <c r="E19" s="26" t="inlineStr">
        <is>
          <t>BEKLIYOR</t>
        </is>
      </c>
      <c r="F19" s="27" t="n">
        <v>275000</v>
      </c>
      <c r="G19" s="27" t="n">
        <v>275000</v>
      </c>
      <c r="H19" s="27" t="n">
        <v>275000</v>
      </c>
      <c r="I19" s="27" t="n">
        <v>275000</v>
      </c>
      <c r="J19" s="27" t="n">
        <v>0</v>
      </c>
      <c r="K19" s="27" t="n">
        <v>275000</v>
      </c>
      <c r="L19" s="26" t="inlineStr">
        <is>
          <t>2026-08</t>
        </is>
      </c>
      <c r="M19" s="26" t="inlineStr">
        <is>
          <t>Hakediş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IF($A19="","",IF(OR($F19="",$H19=""),"",IF(ABS($H19-$F19)&gt;zincirTolerans,"ZİNCİR KIRIK","OK")))</f>
        <v/>
      </c>
      <c r="S19" s="28">
        <f>IF($A19="","",1)</f>
        <v/>
      </c>
    </row>
    <row r="20">
      <c r="A20" s="26" t="inlineStr">
        <is>
          <t>HAK-00015</t>
        </is>
      </c>
      <c r="B20" s="26" t="inlineStr">
        <is>
          <t>KAR-00007</t>
        </is>
      </c>
      <c r="C20" s="29" t="n">
        <v>46199</v>
      </c>
      <c r="D20" s="26" t="inlineStr">
        <is>
          <t>BEKLIYOR</t>
        </is>
      </c>
      <c r="E20" s="26" t="inlineStr">
        <is>
          <t>ONAY</t>
        </is>
      </c>
      <c r="F20" s="27" t="n">
        <v>287500</v>
      </c>
      <c r="G20" s="27" t="n">
        <v>287500</v>
      </c>
      <c r="H20" s="27" t="n">
        <v>287500</v>
      </c>
      <c r="I20" s="27" t="n">
        <v>279500</v>
      </c>
      <c r="J20" s="27" t="n">
        <v>0</v>
      </c>
      <c r="K20" s="27" t="n">
        <v>287500</v>
      </c>
      <c r="L20" s="26" t="inlineStr">
        <is>
          <t>2026-08</t>
        </is>
      </c>
      <c r="M20" s="26" t="inlineStr">
        <is>
          <t>Hakediş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IF($A20="","",IF(OR($F20="",$H20=""),"",IF(ABS($H20-$F20)&gt;zincirTolerans,"ZİNCİR KIRIK","OK")))</f>
        <v/>
      </c>
      <c r="S20" s="28">
        <f>IF($A20="","",1)</f>
        <v/>
      </c>
    </row>
    <row r="21">
      <c r="A21" s="26" t="inlineStr">
        <is>
          <t>HAK-00016</t>
        </is>
      </c>
      <c r="B21" s="26" t="inlineStr">
        <is>
          <t>KAR-00008</t>
        </is>
      </c>
      <c r="C21" s="29" t="n">
        <v>46196</v>
      </c>
      <c r="D21" s="26" t="inlineStr">
        <is>
          <t>ONAY</t>
        </is>
      </c>
      <c r="E21" s="26" t="inlineStr">
        <is>
          <t>BEKLIYOR</t>
        </is>
      </c>
      <c r="F21" s="27" t="n">
        <v>300000</v>
      </c>
      <c r="G21" s="27" t="n">
        <v>300000</v>
      </c>
      <c r="H21" s="27" t="n">
        <v>300000</v>
      </c>
      <c r="I21" s="27" t="n">
        <v>300000</v>
      </c>
      <c r="J21" s="27" t="n">
        <v>0</v>
      </c>
      <c r="K21" s="27" t="n">
        <v>300000</v>
      </c>
      <c r="L21" s="26" t="inlineStr">
        <is>
          <t>2026-08</t>
        </is>
      </c>
      <c r="M21" s="26" t="inlineStr">
        <is>
          <t>Hakediş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IF($A21="","",IF(OR($F21="",$H21=""),"",IF(ABS($H21-$F21)&gt;zincirTolerans,"ZİNCİR KIRIK","OK")))</f>
        <v/>
      </c>
      <c r="S21" s="28">
        <f>IF($A21="","",1)</f>
        <v/>
      </c>
    </row>
    <row r="22">
      <c r="A22" s="26" t="inlineStr">
        <is>
          <t>HAK-00017</t>
        </is>
      </c>
      <c r="B22" s="26" t="inlineStr">
        <is>
          <t>KAR-00001</t>
        </is>
      </c>
      <c r="C22" s="29" t="n">
        <v>46193</v>
      </c>
      <c r="D22" s="26" t="n"/>
      <c r="E22" s="26" t="inlineStr">
        <is>
          <t>DRAFT</t>
        </is>
      </c>
      <c r="F22" s="27" t="n">
        <v>312500</v>
      </c>
      <c r="G22" s="27" t="n">
        <v>312500</v>
      </c>
      <c r="H22" s="27" t="n">
        <v>312500</v>
      </c>
      <c r="I22" s="27" t="n">
        <v>312500</v>
      </c>
      <c r="J22" s="27" t="n">
        <v>0</v>
      </c>
      <c r="K22" s="27" t="n">
        <v>312500</v>
      </c>
      <c r="L22" s="26" t="inlineStr">
        <is>
          <t>2026-08</t>
        </is>
      </c>
      <c r="M22" s="26" t="inlineStr">
        <is>
          <t>Hakediş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IF($A22="","",IF(OR($F22="",$H22=""),"",IF(ABS($H22-$F22)&gt;zincirTolerans,"ZİNCİR KIRIK","OK")))</f>
        <v/>
      </c>
      <c r="S22" s="28">
        <f>IF($A22="","",1)</f>
        <v/>
      </c>
    </row>
    <row r="23">
      <c r="A23" s="26" t="inlineStr">
        <is>
          <t>HAK-00018</t>
        </is>
      </c>
      <c r="B23" s="26" t="inlineStr">
        <is>
          <t>KAR-00002</t>
        </is>
      </c>
      <c r="C23" s="29" t="n">
        <v>46190</v>
      </c>
      <c r="D23" s="26" t="inlineStr">
        <is>
          <t>DRAFT</t>
        </is>
      </c>
      <c r="E23" s="26" t="inlineStr">
        <is>
          <t>ONAY</t>
        </is>
      </c>
      <c r="F23" s="27" t="n">
        <v>325000</v>
      </c>
      <c r="G23" s="27" t="n">
        <v>325000</v>
      </c>
      <c r="H23" s="27" t="n">
        <v>325000</v>
      </c>
      <c r="I23" s="27" t="n">
        <v>325000</v>
      </c>
      <c r="J23" s="27" t="n">
        <v>0</v>
      </c>
      <c r="K23" s="27" t="n">
        <v>325000</v>
      </c>
      <c r="L23" s="26" t="inlineStr">
        <is>
          <t>2026-08</t>
        </is>
      </c>
      <c r="M23" s="26" t="inlineStr">
        <is>
          <t>Hakediş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IF($A23="","",IF(OR($F23="",$H23=""),"",IF(ABS($H23-$F23)&gt;zincirTolerans,"ZİNCİR KIRIK","OK")))</f>
        <v/>
      </c>
      <c r="S23" s="28">
        <f>IF($A23="","",1)</f>
        <v/>
      </c>
    </row>
    <row r="24">
      <c r="A24" s="26" t="inlineStr">
        <is>
          <t>HAK-00019</t>
        </is>
      </c>
      <c r="B24" s="26" t="inlineStr">
        <is>
          <t>KAR-00003</t>
        </is>
      </c>
      <c r="C24" s="29" t="n">
        <v>46187</v>
      </c>
      <c r="D24" s="26" t="inlineStr">
        <is>
          <t>BEKLIYOR</t>
        </is>
      </c>
      <c r="E24" s="26" t="inlineStr">
        <is>
          <t>ONAY</t>
        </is>
      </c>
      <c r="F24" s="27" t="n">
        <v>337500</v>
      </c>
      <c r="G24" s="27" t="n">
        <v>337500</v>
      </c>
      <c r="H24" s="27" t="n">
        <v>382500</v>
      </c>
      <c r="I24" s="27" t="n">
        <v>382500</v>
      </c>
      <c r="J24" s="27" t="n">
        <v>0</v>
      </c>
      <c r="K24" s="27" t="n">
        <v>382500</v>
      </c>
      <c r="L24" s="26" t="inlineStr">
        <is>
          <t>2026-08</t>
        </is>
      </c>
      <c r="M24" s="26" t="inlineStr">
        <is>
          <t>Hakediş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IF($A24="","",IF(OR($F24="",$H24=""),"",IF(ABS($H24-$F24)&gt;zincirTolerans,"ZİNCİR KIRIK","OK")))</f>
        <v/>
      </c>
      <c r="S24" s="28">
        <f>IF($A24="","",1)</f>
        <v/>
      </c>
    </row>
    <row r="25">
      <c r="A25" s="26" t="inlineStr">
        <is>
          <t>HAK-00020</t>
        </is>
      </c>
      <c r="B25" s="26" t="inlineStr">
        <is>
          <t>KAR-00004</t>
        </is>
      </c>
      <c r="C25" s="29" t="n">
        <v>46184</v>
      </c>
      <c r="D25" s="26" t="inlineStr">
        <is>
          <t>ONAY</t>
        </is>
      </c>
      <c r="E25" s="26" t="inlineStr">
        <is>
          <t>BEKLIYOR</t>
        </is>
      </c>
      <c r="F25" s="27" t="n">
        <v>350000</v>
      </c>
      <c r="G25" s="27" t="n">
        <v>350000</v>
      </c>
      <c r="H25" s="27" t="n">
        <v>350000</v>
      </c>
      <c r="I25" s="27" t="n">
        <v>350000</v>
      </c>
      <c r="J25" s="27" t="n">
        <v>0</v>
      </c>
      <c r="K25" s="27" t="n">
        <v>350000</v>
      </c>
      <c r="L25" s="26" t="inlineStr">
        <is>
          <t>2026-08</t>
        </is>
      </c>
      <c r="M25" s="26" t="inlineStr">
        <is>
          <t>Hakediş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IF($A25="","",IF(OR($F25="",$H25=""),"",IF(ABS($H25-$F25)&gt;zincirTolerans,"ZİNCİR KIRIK","OK")))</f>
        <v/>
      </c>
      <c r="S25" s="28">
        <f>IF($A25="","",1)</f>
        <v/>
      </c>
    </row>
    <row r="26">
      <c r="A26" s="26" t="inlineStr">
        <is>
          <t>HAK-00021</t>
        </is>
      </c>
      <c r="B26" s="26" t="inlineStr">
        <is>
          <t>KAR-00005</t>
        </is>
      </c>
      <c r="C26" s="29" t="n">
        <v>46181</v>
      </c>
      <c r="D26" s="26" t="inlineStr">
        <is>
          <t>BEKLIYOR</t>
        </is>
      </c>
      <c r="E26" s="26" t="inlineStr">
        <is>
          <t>IPTAL</t>
        </is>
      </c>
      <c r="F26" s="27" t="n">
        <v>362500</v>
      </c>
      <c r="G26" s="27" t="n">
        <v>362500</v>
      </c>
      <c r="H26" s="27" t="n">
        <v>362500</v>
      </c>
      <c r="I26" s="27" t="n">
        <v>362500</v>
      </c>
      <c r="J26" s="27" t="n">
        <v>0</v>
      </c>
      <c r="K26" s="27" t="n">
        <v>362500</v>
      </c>
      <c r="L26" s="26" t="inlineStr">
        <is>
          <t>2026-08</t>
        </is>
      </c>
      <c r="M26" s="26" t="inlineStr">
        <is>
          <t>Hakediş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IF($A26="","",IF(OR($F26="",$H26=""),"",IF(ABS($H26-$F26)&gt;zincirTolerans,"ZİNCİR KIRIK","OK")))</f>
        <v/>
      </c>
      <c r="S26" s="28">
        <f>IF($A26="","",1)</f>
        <v/>
      </c>
    </row>
    <row r="27">
      <c r="A27" s="26" t="inlineStr">
        <is>
          <t>HAK-00022</t>
        </is>
      </c>
      <c r="B27" s="26" t="n"/>
      <c r="C27" s="29" t="n">
        <v>46178</v>
      </c>
      <c r="D27" s="26" t="inlineStr">
        <is>
          <t>DRAFT</t>
        </is>
      </c>
      <c r="E27" s="26" t="inlineStr">
        <is>
          <t>BEKLIYOR</t>
        </is>
      </c>
      <c r="F27" s="27" t="n">
        <v>375000</v>
      </c>
      <c r="G27" s="27" t="n">
        <v>375000</v>
      </c>
      <c r="H27" s="27" t="n">
        <v>375000</v>
      </c>
      <c r="I27" s="27" t="n">
        <v>375000</v>
      </c>
      <c r="J27" s="27" t="n">
        <v>0</v>
      </c>
      <c r="K27" s="27" t="n">
        <v>375000</v>
      </c>
      <c r="L27" s="26" t="inlineStr">
        <is>
          <t>2026-08</t>
        </is>
      </c>
      <c r="M27" s="26" t="inlineStr">
        <is>
          <t>Hakediş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IF($A27="","",IF(OR($F27="",$H27=""),"",IF(ABS($H27-$F27)&gt;zincirTolerans,"ZİNCİR KIRIK","OK")))</f>
        <v/>
      </c>
      <c r="S27" s="28">
        <f>IF($A27="","",1)</f>
        <v/>
      </c>
    </row>
    <row r="28">
      <c r="A28" s="26" t="inlineStr">
        <is>
          <t>HAK-00023</t>
        </is>
      </c>
      <c r="B28" s="26" t="inlineStr">
        <is>
          <t>KAR-00007</t>
        </is>
      </c>
      <c r="C28" s="29" t="n">
        <v>46175</v>
      </c>
      <c r="D28" s="26" t="inlineStr">
        <is>
          <t>BEKLIYOR</t>
        </is>
      </c>
      <c r="E28" s="26" t="inlineStr">
        <is>
          <t>ONAY</t>
        </is>
      </c>
      <c r="F28" s="27" t="n">
        <v>387500</v>
      </c>
      <c r="G28" s="27" t="n">
        <v>387500</v>
      </c>
      <c r="H28" s="27" t="n">
        <v>387500</v>
      </c>
      <c r="I28" s="27" t="n">
        <v>387500</v>
      </c>
      <c r="J28" s="27" t="n">
        <v>0</v>
      </c>
      <c r="K28" s="27" t="n">
        <v>387500</v>
      </c>
      <c r="L28" s="26" t="inlineStr">
        <is>
          <t>2026-08</t>
        </is>
      </c>
      <c r="M28" s="26" t="inlineStr">
        <is>
          <t>Hakediş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IF($A28="","",IF(OR($F28="",$H28=""),"",IF(ABS($H28-$F28)&gt;zincirTolerans,"ZİNCİR KIRIK","OK")))</f>
        <v/>
      </c>
      <c r="S28" s="28">
        <f>IF($A28="","",1)</f>
        <v/>
      </c>
    </row>
    <row r="29">
      <c r="A29" s="26" t="inlineStr">
        <is>
          <t>HAK-00024</t>
        </is>
      </c>
      <c r="B29" s="26" t="inlineStr">
        <is>
          <t>KAR-00008</t>
        </is>
      </c>
      <c r="C29" s="29" t="n">
        <v>46172</v>
      </c>
      <c r="D29" s="26" t="inlineStr">
        <is>
          <t>ONAY</t>
        </is>
      </c>
      <c r="E29" s="26" t="inlineStr">
        <is>
          <t>BEKLIYOR</t>
        </is>
      </c>
      <c r="F29" s="27" t="n">
        <v>400000</v>
      </c>
      <c r="G29" s="27" t="n">
        <v>400000</v>
      </c>
      <c r="H29" s="27" t="n">
        <v>400000</v>
      </c>
      <c r="I29" s="27" t="n">
        <v>400000</v>
      </c>
      <c r="J29" s="27" t="n">
        <v>0</v>
      </c>
      <c r="K29" s="27" t="n">
        <v>400000</v>
      </c>
      <c r="L29" s="26" t="inlineStr">
        <is>
          <t>2026-08</t>
        </is>
      </c>
      <c r="M29" s="26" t="inlineStr">
        <is>
          <t>Hakediş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IF($A29="","",IF(OR($F29="",$H29=""),"",IF(ABS($H29-$F29)&gt;zincirTolerans,"ZİNCİR KIRIK","OK")))</f>
        <v/>
      </c>
      <c r="S29" s="28">
        <f>IF($A29="","",1)</f>
        <v/>
      </c>
    </row>
    <row r="30">
      <c r="A30" s="26" t="inlineStr">
        <is>
          <t>HAK-00025</t>
        </is>
      </c>
      <c r="B30" s="26" t="inlineStr">
        <is>
          <t>KAR-99999</t>
        </is>
      </c>
      <c r="C30" s="29" t="n">
        <v>46244</v>
      </c>
      <c r="D30" s="26" t="n"/>
      <c r="E30" s="26" t="inlineStr">
        <is>
          <t>DRAFT</t>
        </is>
      </c>
      <c r="F30" s="27" t="n">
        <v>412500</v>
      </c>
      <c r="G30" s="27" t="n">
        <v>412500</v>
      </c>
      <c r="H30" s="27" t="n">
        <v>412500</v>
      </c>
      <c r="I30" s="27" t="n">
        <v>412500</v>
      </c>
      <c r="J30" s="27" t="n">
        <v>0</v>
      </c>
      <c r="K30" s="27" t="n">
        <v>412500</v>
      </c>
      <c r="L30" s="26" t="inlineStr">
        <is>
          <t>2026-08</t>
        </is>
      </c>
      <c r="M30" s="26" t="inlineStr">
        <is>
          <t>Hakediş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IF($A30="","",IF(OR($F30="",$H30=""),"",IF(ABS($H30-$F30)&gt;zincirTolerans,"ZİNCİR KIRIK","OK")))</f>
        <v/>
      </c>
      <c r="S30" s="28">
        <f>IF($A30="","",1)</f>
        <v/>
      </c>
    </row>
    <row r="31">
      <c r="A31" s="26" t="inlineStr">
        <is>
          <t>HAK-00026</t>
        </is>
      </c>
      <c r="B31" s="26" t="inlineStr">
        <is>
          <t>KAR-00002</t>
        </is>
      </c>
      <c r="C31" s="29" t="n">
        <v>46241</v>
      </c>
      <c r="D31" s="26" t="inlineStr">
        <is>
          <t>DRAFT</t>
        </is>
      </c>
      <c r="E31" s="26" t="inlineStr">
        <is>
          <t>BEKLIYOR</t>
        </is>
      </c>
      <c r="F31" s="27" t="n">
        <v>425000</v>
      </c>
      <c r="G31" s="27" t="n">
        <v>425000</v>
      </c>
      <c r="H31" s="27" t="n">
        <v>425000</v>
      </c>
      <c r="I31" s="27" t="n">
        <v>425000</v>
      </c>
      <c r="J31" s="27" t="n">
        <v>0</v>
      </c>
      <c r="K31" s="27" t="n">
        <v>425000</v>
      </c>
      <c r="L31" s="26" t="inlineStr">
        <is>
          <t>2026-08</t>
        </is>
      </c>
      <c r="M31" s="26" t="inlineStr">
        <is>
          <t>Hakediş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IF($A31="","",IF(OR($F31="",$H31=""),"",IF(ABS($H31-$F31)&gt;zincirTolerans,"ZİNCİR KIRIK","OK")))</f>
        <v/>
      </c>
      <c r="S31" s="28">
        <f>IF($A31="","",1)</f>
        <v/>
      </c>
    </row>
    <row r="32">
      <c r="A32" s="26" t="inlineStr">
        <is>
          <t>HAK-00027</t>
        </is>
      </c>
      <c r="B32" s="26" t="inlineStr">
        <is>
          <t>KAR-00003</t>
        </is>
      </c>
      <c r="C32" s="29" t="n">
        <v>46238</v>
      </c>
      <c r="D32" s="26" t="inlineStr">
        <is>
          <t>BEKLIYOR</t>
        </is>
      </c>
      <c r="E32" s="26" t="inlineStr">
        <is>
          <t>ONAY</t>
        </is>
      </c>
      <c r="F32" s="27" t="n">
        <v>437500</v>
      </c>
      <c r="G32" s="27" t="n">
        <v>437500</v>
      </c>
      <c r="H32" s="27" t="n">
        <v>437500</v>
      </c>
      <c r="I32" s="27" t="n">
        <v>437500</v>
      </c>
      <c r="J32" s="27" t="n">
        <v>0</v>
      </c>
      <c r="K32" s="27" t="n">
        <v>437500</v>
      </c>
      <c r="L32" s="26" t="inlineStr">
        <is>
          <t>2026-08</t>
        </is>
      </c>
      <c r="M32" s="26" t="inlineStr">
        <is>
          <t>Hakediş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IF($A32="","",IF(OR($F32="",$H32=""),"",IF(ABS($H32-$F32)&gt;zincirTolerans,"ZİNCİR KIRIK","OK")))</f>
        <v/>
      </c>
      <c r="S32" s="28">
        <f>IF($A32="","",1)</f>
        <v/>
      </c>
    </row>
    <row r="33">
      <c r="A33" s="26" t="inlineStr">
        <is>
          <t>HAK-00028</t>
        </is>
      </c>
      <c r="B33" s="26" t="inlineStr">
        <is>
          <t>KAR-00004</t>
        </is>
      </c>
      <c r="C33" s="29" t="n">
        <v>46235</v>
      </c>
      <c r="D33" s="26" t="inlineStr">
        <is>
          <t>ONAY</t>
        </is>
      </c>
      <c r="E33" s="26" t="inlineStr">
        <is>
          <t>ODEME</t>
        </is>
      </c>
      <c r="F33" s="27" t="n">
        <v>450000</v>
      </c>
      <c r="G33" s="27" t="n">
        <v>450000</v>
      </c>
      <c r="H33" s="27" t="n">
        <v>450000</v>
      </c>
      <c r="I33" s="27" t="n">
        <v>450000</v>
      </c>
      <c r="J33" s="27" t="n">
        <v>450000</v>
      </c>
      <c r="K33" s="27" t="n">
        <v>450000</v>
      </c>
      <c r="L33" s="26" t="inlineStr">
        <is>
          <t>2026-08</t>
        </is>
      </c>
      <c r="M33" s="26" t="inlineStr">
        <is>
          <t>Hakediş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IF($A33="","",IF(OR($F33="",$H33=""),"",IF(ABS($H33-$F33)&gt;zincirTolerans,"ZİNCİR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IF($A34="","",IF(OR($F34="",$H34=""),"",IF(ABS($H34-$F34)&gt;zincirTolerans,"ZİNCİR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IF($A35="","",IF(OR($F35="",$H35=""),"",IF(ABS($H35-$F35)&gt;zincirTolerans,"ZİNCİR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IF($A36="","",IF(OR($F36="",$H36=""),"",IF(ABS($H36-$F36)&gt;zincirTolerans,"ZİNCİR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IF($A37="","",IF(OR($F37="",$H37=""),"",IF(ABS($H37-$F37)&gt;zincirTolerans,"ZİNCİR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IF($A38="","",IF(OR($F38="",$H38=""),"",IF(ABS($H38-$F38)&gt;zincirTolerans,"ZİNCİR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IF($A39="","",IF(OR($F39="",$H39=""),"",IF(ABS($H39-$F39)&gt;zincirTolerans,"ZİNCİR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IF($A40="","",IF(OR($F40="",$H40=""),"",IF(ABS($H40-$F40)&gt;zincirTolerans,"ZİNCİR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IF($A41="","",IF(OR($F41="",$H41=""),"",IF(ABS($H41-$F41)&gt;zincirTolerans,"ZİNCİR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IF($A42="","",IF(OR($F42="",$H42=""),"",IF(ABS($H42-$F42)&gt;zincirTolerans,"ZİNCİR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IF($A43="","",IF(OR($F43="",$H43=""),"",IF(ABS($H43-$F43)&gt;zincirTolerans,"ZİNCİR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IF($A44="","",IF(OR($F44="",$H44=""),"",IF(ABS($H44-$F44)&gt;zincirTolerans,"ZİNCİR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IF($A45="","",IF(OR($F45="",$H45=""),"",IF(ABS($H45-$F45)&gt;zincirTolerans,"ZİNCİR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IF($A46="","",IF(OR($F46="",$H46=""),"",IF(ABS($H46-$F46)&gt;zincirTolerans,"ZİNCİR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IF($A47="","",IF(OR($F47="",$H47=""),"",IF(ABS($H47-$F47)&gt;zincirTolerans,"ZİNCİR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IF($A48="","",IF(OR($F48="",$H48=""),"",IF(ABS($H48-$F48)&gt;zincirTolerans,"ZİNCİR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IF($A49="","",IF(OR($F49="",$H49=""),"",IF(ABS($H49-$F49)&gt;zincirTolerans,"ZİNCİR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IF($A50="","",IF(OR($F50="",$H50=""),"",IF(ABS($H50-$F50)&gt;zincirTolerans,"ZİNCİR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IF($A51="","",IF(OR($F51="",$H51=""),"",IF(ABS($H51-$F51)&gt;zincirTolerans,"ZİNCİR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IF($A52="","",IF(OR($F52="",$H52=""),"",IF(ABS($H52-$F52)&gt;zincirTolerans,"ZİNCİR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IF($A53="","",IF(OR($F53="",$H53=""),"",IF(ABS($H53-$F53)&gt;zincirTolerans,"ZİNCİR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IF($A54="","",IF(OR($F54="",$H54=""),"",IF(ABS($H54-$F54)&gt;zincirTolerans,"ZİNCİR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IF($A55="","",IF(OR($F55="",$H55=""),"",IF(ABS($H55-$F55)&gt;zincirTolerans,"ZİNCİR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IF($A56="","",IF(OR($F56="",$H56=""),"",IF(ABS($H56-$F56)&gt;zincirTolerans,"ZİNCİR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IF($A57="","",IF(OR($F57="",$H57=""),"",IF(ABS($H57-$F57)&gt;zincirTolerans,"ZİNCİR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IF($A58="","",IF(OR($F58="",$H58=""),"",IF(ABS($H58-$F58)&gt;zincirTolerans,"ZİNCİR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IF($A59="","",IF(OR($F59="",$H59=""),"",IF(ABS($H59-$F59)&gt;zincirTolerans,"ZİNCİR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IF($A60="","",IF(OR($F60="",$H60=""),"",IF(ABS($H60-$F60)&gt;zincirTolerans,"ZİNCİR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IF($A61="","",IF(OR($F61="",$H61=""),"",IF(ABS($H61-$F61)&gt;zincirTolerans,"ZİNCİR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IF($A62="","",IF(OR($F62="",$H62=""),"",IF(ABS($H62-$F62)&gt;zincirTolerans,"ZİNCİR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IF($A63="","",IF(OR($F63="",$H63=""),"",IF(ABS($H63-$F63)&gt;zincirTolerans,"ZİNCİR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IF($A64="","",IF(OR($F64="",$H64=""),"",IF(ABS($H64-$F64)&gt;zincirTolerans,"ZİNCİR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IF($A65="","",IF(OR($F65="",$H65=""),"",IF(ABS($H65-$F65)&gt;zincirTolerans,"ZİNCİR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IF($A66="","",IF(OR($F66="",$H66=""),"",IF(ABS($H66-$F66)&gt;zincirTolerans,"ZİNCİR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IF($A67="","",IF(OR($F67="",$H67=""),"",IF(ABS($H67-$F67)&gt;zincirTolerans,"ZİNCİR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IF($A68="","",IF(OR($F68="",$H68=""),"",IF(ABS($H68-$F68)&gt;zincirTolerans,"ZİNCİR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IF($A69="","",IF(OR($F69="",$H69=""),"",IF(ABS($H69-$F69)&gt;zincirTolerans,"ZİNCİR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IF($A70="","",IF(OR($F70="",$H70=""),"",IF(ABS($H70-$F70)&gt;zincirTolerans,"ZİNCİR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IF($A71="","",IF(OR($F71="",$H71=""),"",IF(ABS($H71-$F71)&gt;zincirTolerans,"ZİNCİR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IF($A72="","",IF(OR($F72="",$H72=""),"",IF(ABS($H72-$F72)&gt;zincirTolerans,"ZİNCİR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IF($A73="","",IF(OR($F73="",$H73=""),"",IF(ABS($H73-$F73)&gt;zincirTolerans,"ZİNCİR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IF($A74="","",IF(OR($F74="",$H74=""),"",IF(ABS($H74-$F74)&gt;zincirTolerans,"ZİNCİR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IF($A75="","",IF(OR($F75="",$H75=""),"",IF(ABS($H75-$F75)&gt;zincirTolerans,"ZİNCİR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IF($A76="","",IF(OR($F76="",$H76=""),"",IF(ABS($H76-$F76)&gt;zincirTolerans,"ZİNCİR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IF($A77="","",IF(OR($F77="",$H77=""),"",IF(ABS($H77-$F77)&gt;zincirTolerans,"ZİNCİR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IF($A78="","",IF(OR($F78="",$H78=""),"",IF(ABS($H78-$F78)&gt;zincirTolerans,"ZİNCİR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IF($A79="","",IF(OR($F79="",$H79=""),"",IF(ABS($H79-$F79)&gt;zincirTolerans,"ZİNCİR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IF($A80="","",IF(OR($F80="",$H80=""),"",IF(ABS($H80-$F80)&gt;zincirTolerans,"ZİNCİR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IF($A81="","",IF(OR($F81="",$H81=""),"",IF(ABS($H81-$F81)&gt;zincirTolerans,"ZİNCİR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IF($A82="","",IF(OR($F82="",$H82=""),"",IF(ABS($H82-$F82)&gt;zincirTolerans,"ZİNCİR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IF($A83="","",IF(OR($F83="",$H83=""),"",IF(ABS($H83-$F83)&gt;zincirTolerans,"ZİNCİR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IF($A84="","",IF(OR($F84="",$H84=""),"",IF(ABS($H84-$F84)&gt;zincirTolerans,"ZİNCİR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IF($A85="","",IF(OR($F85="",$H85=""),"",IF(ABS($H85-$F85)&gt;zincirTolerans,"ZİNCİR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IF($A86="","",IF(OR($F86="",$H86=""),"",IF(ABS($H86-$F86)&gt;zincirTolerans,"ZİNCİR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IF($A87="","",IF(OR($F87="",$H87=""),"",IF(ABS($H87-$F87)&gt;zincirTolerans,"ZİNCİR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IF($A88="","",IF(OR($F88="",$H88=""),"",IF(ABS($H88-$F88)&gt;zincirTolerans,"ZİNCİR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IF($A89="","",IF(OR($F89="",$H89=""),"",IF(ABS($H89-$F89)&gt;zincirTolerans,"ZİNCİR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IF($A90="","",IF(OR($F90="",$H90=""),"",IF(ABS($H90-$F90)&gt;zincirTolerans,"ZİNCİR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IF($A91="","",IF(OR($F91="",$H91=""),"",IF(ABS($H91-$F91)&gt;zincirTolerans,"ZİNCİR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IF($A92="","",IF(OR($F92="",$H92=""),"",IF(ABS($H92-$F92)&gt;zincirTolerans,"ZİNCİR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IF($A93="","",IF(OR($F93="",$H93=""),"",IF(ABS($H93-$F93)&gt;zincirTolerans,"ZİNCİR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IF($A94="","",IF(OR($F94="",$H94=""),"",IF(ABS($H94-$F94)&gt;zincirTolerans,"ZİNCİR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IF($A95="","",IF(OR($F95="",$H95=""),"",IF(ABS($H95-$F95)&gt;zincirTolerans,"ZİNCİR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IF($A96="","",IF(OR($F96="",$H96=""),"",IF(ABS($H96-$F96)&gt;zincirTolerans,"ZİNCİR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IF($A97="","",IF(OR($F97="",$H97=""),"",IF(ABS($H97-$F97)&gt;zincirTolerans,"ZİNCİR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IF($A98="","",IF(OR($F98="",$H98=""),"",IF(ABS($H98-$F98)&gt;zincirTolerans,"ZİNCİR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IF($A99="","",IF(OR($F99="",$H99=""),"",IF(ABS($H99-$F99)&gt;zincirTolerans,"ZİNCİR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IF($A100="","",IF(OR($F100="",$H100=""),"",IF(ABS($H100-$F100)&gt;zincirTolerans,"ZİNCİR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IF($A101="","",IF(OR($F101="",$H101=""),"",IF(ABS($H101-$F101)&gt;zincirTolerans,"ZİNCİR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IF($A102="","",IF(OR($F102="",$H102=""),"",IF(ABS($H102-$F102)&gt;zincirTolerans,"ZİNCİR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IF($A103="","",IF(OR($F103="",$H103=""),"",IF(ABS($H103-$F103)&gt;zincirTolerans,"ZİNCİR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IF($A104="","",IF(OR($F104="",$H104=""),"",IF(ABS($H104-$F104)&gt;zincirTolerans,"ZİNCİR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IF($A105="","",IF(OR($F105="",$H105=""),"",IF(ABS($H105-$F105)&gt;zincirTolerans,"ZİNCİR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IF($A106="","",IF(OR($F106="",$H106=""),"",IF(ABS($H106-$F106)&gt;zincirTolerans,"ZİNCİR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IF($A107="","",IF(OR($F107="",$H107=""),"",IF(ABS($H107-$F107)&gt;zincirTolerans,"ZİNCİR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IF($A108="","",IF(OR($F108="",$H108=""),"",IF(ABS($H108-$F108)&gt;zincirTolerans,"ZİNCİR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IF($A109="","",IF(OR($F109="",$H109=""),"",IF(ABS($H109-$F109)&gt;zincirTolerans,"ZİNCİR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IF($A110="","",IF(OR($F110="",$H110=""),"",IF(ABS($H110-$F110)&gt;zincirTolerans,"ZİNCİR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IF($A111="","",IF(OR($F111="",$H111=""),"",IF(ABS($H111-$F111)&gt;zincirTolerans,"ZİNCİR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IF($A112="","",IF(OR($F112="",$H112=""),"",IF(ABS($H112-$F112)&gt;zincirTolerans,"ZİNCİR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IF($A113="","",IF(OR($F113="",$H113=""),"",IF(ABS($H113-$F113)&gt;zincirTolerans,"ZİNCİR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IF($A114="","",IF(OR($F114="",$H114=""),"",IF(ABS($H114-$F114)&gt;zincirTolerans,"ZİNCİR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IF($A115="","",IF(OR($F115="",$H115=""),"",IF(ABS($H115-$F115)&gt;zincirTolerans,"ZİNCİR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IF($A116="","",IF(OR($F116="",$H116=""),"",IF(ABS($H116-$F116)&gt;zincirTolerans,"ZİNCİR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IF($A117="","",IF(OR($F117="",$H117=""),"",IF(ABS($H117-$F117)&gt;zincirTolerans,"ZİNCİR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IF($A118="","",IF(OR($F118="",$H118=""),"",IF(ABS($H118-$F118)&gt;zincirTolerans,"ZİNCİR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IF($A119="","",IF(OR($F119="",$H119=""),"",IF(ABS($H119-$F119)&gt;zincirTolerans,"ZİNCİR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IF($A120="","",IF(OR($F120="",$H120=""),"",IF(ABS($H120-$F120)&gt;zincirTolerans,"ZİNCİR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IF($A121="","",IF(OR($F121="",$H121=""),"",IF(ABS($H121-$F121)&gt;zincirTolerans,"ZİNCİR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IF($A122="","",IF(OR($F122="",$H122=""),"",IF(ABS($H122-$F122)&gt;zincirTolerans,"ZİNCİR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IF($A123="","",IF(OR($F123="",$H123=""),"",IF(ABS($H123-$F123)&gt;zincirTolerans,"ZİNCİR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IF($A124="","",IF(OR($F124="",$H124=""),"",IF(ABS($H124-$F124)&gt;zincirTolerans,"ZİNCİR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IF($A125="","",IF(OR($F125="",$H125=""),"",IF(ABS($H125-$F125)&gt;zincirTolerans,"ZİNCİR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IF($A126="","",IF(OR($F126="",$H126=""),"",IF(ABS($H126-$F126)&gt;zincirTolerans,"ZİNCİR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IF($A127="","",IF(OR($F127="",$H127=""),"",IF(ABS($H127-$F127)&gt;zincirTolerans,"ZİNCİR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IF($A128="","",IF(OR($F128="",$H128=""),"",IF(ABS($H128-$F128)&gt;zincirTolerans,"ZİNCİR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IF($A129="","",IF(OR($F129="",$H129=""),"",IF(ABS($H129-$F129)&gt;zincirTolerans,"ZİNCİR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IF($A130="","",IF(OR($F130="",$H130=""),"",IF(ABS($H130-$F130)&gt;zincirTolerans,"ZİNCİR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IF($A131="","",IF(OR($F131="",$H131=""),"",IF(ABS($H131-$F131)&gt;zincirTolerans,"ZİNCİR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IF($A132="","",IF(OR($F132="",$H132=""),"",IF(ABS($H132-$F132)&gt;zincirTolerans,"ZİNCİR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IF($A133="","",IF(OR($F133="",$H133=""),"",IF(ABS($H133-$F133)&gt;zincirTolerans,"ZİNCİR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IF($A134="","",IF(OR($F134="",$H134=""),"",IF(ABS($H134-$F134)&gt;zincirTolerans,"ZİNCİR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IF($A135="","",IF(OR($F135="",$H135=""),"",IF(ABS($H135-$F135)&gt;zincirTolerans,"ZİNCİR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IF($A136="","",IF(OR($F136="",$H136=""),"",IF(ABS($H136-$F136)&gt;zincirTolerans,"ZİNCİR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IF($A137="","",IF(OR($F137="",$H137=""),"",IF(ABS($H137-$F137)&gt;zincirTolerans,"ZİNCİR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IF($A138="","",IF(OR($F138="",$H138=""),"",IF(ABS($H138-$F138)&gt;zincirTolerans,"ZİNCİR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IF($A139="","",IF(OR($F139="",$H139=""),"",IF(ABS($H139-$F139)&gt;zincirTolerans,"ZİNCİR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IF($A140="","",IF(OR($F140="",$H140=""),"",IF(ABS($H140-$F140)&gt;zincirTolerans,"ZİNCİR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IF($A141="","",IF(OR($F141="",$H141=""),"",IF(ABS($H141-$F141)&gt;zincirTolerans,"ZİNCİR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IF($A142="","",IF(OR($F142="",$H142=""),"",IF(ABS($H142-$F142)&gt;zincirTolerans,"ZİNCİR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IF($A143="","",IF(OR($F143="",$H143=""),"",IF(ABS($H143-$F143)&gt;zincirTolerans,"ZİNCİR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IF($A144="","",IF(OR($F144="",$H144=""),"",IF(ABS($H144-$F144)&gt;zincirTolerans,"ZİNCİR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IF($A145="","",IF(OR($F145="",$H145=""),"",IF(ABS($H145-$F145)&gt;zincirTolerans,"ZİNCİR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IF($A146="","",IF(OR($F146="",$H146=""),"",IF(ABS($H146-$F146)&gt;zincirTolerans,"ZİNCİR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IF($A147="","",IF(OR($F147="",$H147=""),"",IF(ABS($H147-$F147)&gt;zincirTolerans,"ZİNCİR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IF($A148="","",IF(OR($F148="",$H148=""),"",IF(ABS($H148-$F148)&gt;zincirTolerans,"ZİNCİR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IF($A149="","",IF(OR($F149="",$H149=""),"",IF(ABS($H149-$F149)&gt;zincirTolerans,"ZİNCİR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IF($A150="","",IF(OR($F150="",$H150=""),"",IF(ABS($H150-$F150)&gt;zincirTolerans,"ZİNCİR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IF($A151="","",IF(OR($F151="",$H151=""),"",IF(ABS($H151-$F151)&gt;zincirTolerans,"ZİNCİR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IF($A152="","",IF(OR($F152="",$H152=""),"",IF(ABS($H152-$F152)&gt;zincirTolerans,"ZİNCİR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IF($A153="","",IF(OR($F153="",$H153=""),"",IF(ABS($H153-$F153)&gt;zincirTolerans,"ZİNCİR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IF($A154="","",IF(OR($F154="",$H154=""),"",IF(ABS($H154-$F154)&gt;zincirTolerans,"ZİNCİR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IF($A155="","",IF(OR($F155="",$H155=""),"",IF(ABS($H155-$F155)&gt;zincirTolerans,"ZİNCİR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IF($A156="","",IF(OR($F156="",$H156=""),"",IF(ABS($H156-$F156)&gt;zincirTolerans,"ZİNCİR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IF($A157="","",IF(OR($F157="",$H157=""),"",IF(ABS($H157-$F157)&gt;zincirTolerans,"ZİNCİR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IF($A158="","",IF(OR($F158="",$H158=""),"",IF(ABS($H158-$F158)&gt;zincirTolerans,"ZİNCİR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IF($A159="","",IF(OR($F159="",$H159=""),"",IF(ABS($H159-$F159)&gt;zincirTolerans,"ZİNCİR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IF($A160="","",IF(OR($F160="",$H160=""),"",IF(ABS($H160-$F160)&gt;zincirTolerans,"ZİNCİR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IF($A161="","",IF(OR($F161="",$H161=""),"",IF(ABS($H161-$F161)&gt;zincirTolerans,"ZİNCİR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IF($A162="","",IF(OR($F162="",$H162=""),"",IF(ABS($H162-$F162)&gt;zincirTolerans,"ZİNCİR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IF($A163="","",IF(OR($F163="",$H163=""),"",IF(ABS($H163-$F163)&gt;zincirTolerans,"ZİNCİR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IF($A164="","",IF(OR($F164="",$H164=""),"",IF(ABS($H164-$F164)&gt;zincirTolerans,"ZİNCİR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IF($A165="","",IF(OR($F165="",$H165=""),"",IF(ABS($H165-$F165)&gt;zincirTolerans,"ZİNCİR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IF($A166="","",IF(OR($F166="",$H166=""),"",IF(ABS($H166-$F166)&gt;zincirTolerans,"ZİNCİR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IF($A167="","",IF(OR($F167="",$H167=""),"",IF(ABS($H167-$F167)&gt;zincirTolerans,"ZİNCİR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IF($A168="","",IF(OR($F168="",$H168=""),"",IF(ABS($H168-$F168)&gt;zincirTolerans,"ZİNCİR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IF($A169="","",IF(OR($F169="",$H169=""),"",IF(ABS($H169-$F169)&gt;zincirTolerans,"ZİNCİR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IF($A170="","",IF(OR($F170="",$H170=""),"",IF(ABS($H170-$F170)&gt;zincirTolerans,"ZİNCİR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IF($A171="","",IF(OR($F171="",$H171=""),"",IF(ABS($H171-$F171)&gt;zincirTolerans,"ZİNCİR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IF($A172="","",IF(OR($F172="",$H172=""),"",IF(ABS($H172-$F172)&gt;zincirTolerans,"ZİNCİR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IF($A173="","",IF(OR($F173="",$H173=""),"",IF(ABS($H173-$F173)&gt;zincirTolerans,"ZİNCİR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IF($A174="","",IF(OR($F174="",$H174=""),"",IF(ABS($H174-$F174)&gt;zincirTolerans,"ZİNCİR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IF($A175="","",IF(OR($F175="",$H175=""),"",IF(ABS($H175-$F175)&gt;zincirTolerans,"ZİNCİR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IF($A176="","",IF(OR($F176="",$H176=""),"",IF(ABS($H176-$F176)&gt;zincirTolerans,"ZİNCİR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IF($A177="","",IF(OR($F177="",$H177=""),"",IF(ABS($H177-$F177)&gt;zincirTolerans,"ZİNCİR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IF($A178="","",IF(OR($F178="",$H178=""),"",IF(ABS($H178-$F178)&gt;zincirTolerans,"ZİNCİR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IF($A179="","",IF(OR($F179="",$H179=""),"",IF(ABS($H179-$F179)&gt;zincirTolerans,"ZİNCİR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IF($A180="","",IF(OR($F180="",$H180=""),"",IF(ABS($H180-$F180)&gt;zincirTolerans,"ZİNCİR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IF($A181="","",IF(OR($F181="",$H181=""),"",IF(ABS($H181-$F181)&gt;zincirTolerans,"ZİNCİR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IF($A182="","",IF(OR($F182="",$H182=""),"",IF(ABS($H182-$F182)&gt;zincirTolerans,"ZİNCİR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IF($A183="","",IF(OR($F183="",$H183=""),"",IF(ABS($H183-$F183)&gt;zincirTolerans,"ZİNCİR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IF($A184="","",IF(OR($F184="",$H184=""),"",IF(ABS($H184-$F184)&gt;zincirTolerans,"ZİNCİR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IF($A185="","",IF(OR($F185="",$H185=""),"",IF(ABS($H185-$F185)&gt;zincirTolerans,"ZİNCİR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IF($A186="","",IF(OR($F186="",$H186=""),"",IF(ABS($H186-$F186)&gt;zincirTolerans,"ZİNCİR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IF($A187="","",IF(OR($F187="",$H187=""),"",IF(ABS($H187-$F187)&gt;zincirTolerans,"ZİNCİR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IF($A188="","",IF(OR($F188="",$H188=""),"",IF(ABS($H188-$F188)&gt;zincirTolerans,"ZİNCİR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IF($A189="","",IF(OR($F189="",$H189=""),"",IF(ABS($H189-$F189)&gt;zincirTolerans,"ZİNCİR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IF($A190="","",IF(OR($F190="",$H190=""),"",IF(ABS($H190-$F190)&gt;zincirTolerans,"ZİNCİR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IF($A191="","",IF(OR($F191="",$H191=""),"",IF(ABS($H191-$F191)&gt;zincirTolerans,"ZİNCİR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IF($A192="","",IF(OR($F192="",$H192=""),"",IF(ABS($H192-$F192)&gt;zincirTolerans,"ZİNCİR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IF($A193="","",IF(OR($F193="",$H193=""),"",IF(ABS($H193-$F193)&gt;zincirTolerans,"ZİNCİR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IF($A194="","",IF(OR($F194="",$H194=""),"",IF(ABS($H194-$F194)&gt;zincirTolerans,"ZİNCİR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IF($A195="","",IF(OR($F195="",$H195=""),"",IF(ABS($H195-$F195)&gt;zincirTolerans,"ZİNCİR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IF($A196="","",IF(OR($F196="",$H196=""),"",IF(ABS($H196-$F196)&gt;zincirTolerans,"ZİNCİR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IF($A197="","",IF(OR($F197="",$H197=""),"",IF(ABS($H197-$F197)&gt;zincirTolerans,"ZİNCİR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IF($A198="","",IF(OR($F198="",$H198=""),"",IF(ABS($H198-$F198)&gt;zincirTolerans,"ZİNCİR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IF($A199="","",IF(OR($F199="",$H199=""),"",IF(ABS($H199-$F199)&gt;zincirTolerans,"ZİNCİR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IF($A200="","",IF(OR($F200="",$H200=""),"",IF(ABS($H200-$F200)&gt;zincirTolerans,"ZİNCİR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IF($A201="","",IF(OR($F201="",$H201=""),"",IF(ABS($H201-$F201)&gt;zincirTolerans,"ZİNCİR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IF($A202="","",IF(OR($F202="",$H202=""),"",IF(ABS($H202-$F202)&gt;zincirTolerans,"ZİNCİR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IF($A203="","",IF(OR($F203="",$H203=""),"",IF(ABS($H203-$F203)&gt;zincirTolerans,"ZİNCİR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IF($A204="","",IF(OR($F204="",$H204=""),"",IF(ABS($H204-$F204)&gt;zincirTolerans,"ZİNCİR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IF($A205="","",IF(OR($F205="",$H205=""),"",IF(ABS($H205-$F205)&gt;zincirTolerans,"ZİNCİR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IF($A206="","",IF(OR($F206="",$H206=""),"",IF(ABS($H206-$F206)&gt;zincirTolerans,"ZİNCİR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IF($A207="","",IF(OR($F207="",$H207=""),"",IF(ABS($H207-$F207)&gt;zincirTolerans,"ZİNCİR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IF($A208="","",IF(OR($F208="",$H208=""),"",IF(ABS($H208-$F208)&gt;zincirTolerans,"ZİNCİR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IF($A209="","",IF(OR($F209="",$H209=""),"",IF(ABS($H209-$F209)&gt;zincirTolerans,"ZİNCİR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IF($A210="","",IF(OR($F210="",$H210=""),"",IF(ABS($H210-$F210)&gt;zincirTolerans,"ZİNCİR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IF($A211="","",IF(OR($F211="",$H211=""),"",IF(ABS($H211-$F211)&gt;zincirTolerans,"ZİNCİR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IF($A212="","",IF(OR($F212="",$H212=""),"",IF(ABS($H212-$F212)&gt;zincirTolerans,"ZİNCİR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IF($A213="","",IF(OR($F213="",$H213=""),"",IF(ABS($H213-$F213)&gt;zincirTolerans,"ZİNCİR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IF($A214="","",IF(OR($F214="",$H214=""),"",IF(ABS($H214-$F214)&gt;zincirTolerans,"ZİNCİR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IF($A215="","",IF(OR($F215="",$H215=""),"",IF(ABS($H215-$F215)&gt;zincirTolerans,"ZİNCİR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IF($A216="","",IF(OR($F216="",$H216=""),"",IF(ABS($H216-$F216)&gt;zincirTolerans,"ZİNCİR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IF($A217="","",IF(OR($F217="",$H217=""),"",IF(ABS($H217-$F217)&gt;zincirTolerans,"ZİNCİR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IF($A218="","",IF(OR($F218="",$H218=""),"",IF(ABS($H218-$F218)&gt;zincirTolerans,"ZİNCİR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IF($A219="","",IF(OR($F219="",$H219=""),"",IF(ABS($H219-$F219)&gt;zincirTolerans,"ZİNCİR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IF($A220="","",IF(OR($F220="",$H220=""),"",IF(ABS($H220-$F220)&gt;zincirTolerans,"ZİNCİR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IF($A221="","",IF(OR($F221="",$H221=""),"",IF(ABS($H221-$F221)&gt;zincirTolerans,"ZİNCİR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IF($A222="","",IF(OR($F222="",$H222=""),"",IF(ABS($H222-$F222)&gt;zincirTolerans,"ZİNCİR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IF($A223="","",IF(OR($F223="",$H223=""),"",IF(ABS($H223-$F223)&gt;zincirTolerans,"ZİNCİR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IF($A224="","",IF(OR($F224="",$H224=""),"",IF(ABS($H224-$F224)&gt;zincirTolerans,"ZİNCİR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IF($A225="","",IF(OR($F225="",$H225=""),"",IF(ABS($H225-$F225)&gt;zincirTolerans,"ZİNCİR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IF($A226="","",IF(OR($F226="",$H226=""),"",IF(ABS($H226-$F226)&gt;zincirTolerans,"ZİNCİR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IF($A227="","",IF(OR($F227="",$H227=""),"",IF(ABS($H227-$F227)&gt;zincirTolerans,"ZİNCİR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IF($A228="","",IF(OR($F228="",$H228=""),"",IF(ABS($H228-$F228)&gt;zincirTolerans,"ZİNCİR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IF($A229="","",IF(OR($F229="",$H229=""),"",IF(ABS($H229-$F229)&gt;zincirTolerans,"ZİNCİR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IF($A230="","",IF(OR($F230="",$H230=""),"",IF(ABS($H230-$F230)&gt;zincirTolerans,"ZİNCİR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IF($A231="","",IF(OR($F231="",$H231=""),"",IF(ABS($H231-$F231)&gt;zincirTolerans,"ZİNCİR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IF($A232="","",IF(OR($F232="",$H232=""),"",IF(ABS($H232-$F232)&gt;zincirTolerans,"ZİNCİR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IF($A233="","",IF(OR($F233="",$H233=""),"",IF(ABS($H233-$F233)&gt;zincirTolerans,"ZİNCİR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IF($A234="","",IF(OR($F234="",$H234=""),"",IF(ABS($H234-$F234)&gt;zincirTolerans,"ZİNCİR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IF($A235="","",IF(OR($F235="",$H235=""),"",IF(ABS($H235-$F235)&gt;zincirTolerans,"ZİNCİR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IF($A236="","",IF(OR($F236="",$H236=""),"",IF(ABS($H236-$F236)&gt;zincirTolerans,"ZİNCİR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IF($A237="","",IF(OR($F237="",$H237=""),"",IF(ABS($H237-$F237)&gt;zincirTolerans,"ZİNCİR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IF($A238="","",IF(OR($F238="",$H238=""),"",IF(ABS($H238-$F238)&gt;zincirTolerans,"ZİNCİR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IF($A239="","",IF(OR($F239="",$H239=""),"",IF(ABS($H239-$F239)&gt;zincirTolerans,"ZİNCİR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IF($A240="","",IF(OR($F240="",$H240=""),"",IF(ABS($H240-$F240)&gt;zincirTolerans,"ZİNCİR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IF($A241="","",IF(OR($F241="",$H241=""),"",IF(ABS($H241-$F241)&gt;zincirTolerans,"ZİNCİR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IF($A242="","",IF(OR($F242="",$H242=""),"",IF(ABS($H242-$F242)&gt;zincirTolerans,"ZİNCİR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IF($A243="","",IF(OR($F243="",$H243=""),"",IF(ABS($H243-$F243)&gt;zincirTolerans,"ZİNCİR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IF($A244="","",IF(OR($F244="",$H244=""),"",IF(ABS($H244-$F244)&gt;zincirTolerans,"ZİNCİR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IF($A245="","",IF(OR($F245="",$H245=""),"",IF(ABS($H245-$F245)&gt;zincirTolerans,"ZİNCİR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IF($A246="","",IF(OR($F246="",$H246=""),"",IF(ABS($H246-$F246)&gt;zincirTolerans,"ZİNCİR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IF($A247="","",IF(OR($F247="",$H247=""),"",IF(ABS($H247-$F247)&gt;zincirTolerans,"ZİNCİR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IF($A248="","",IF(OR($F248="",$H248=""),"",IF(ABS($H248-$F248)&gt;zincirTolerans,"ZİNCİR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IF($A249="","",IF(OR($F249="",$H249=""),"",IF(ABS($H249-$F249)&gt;zincirTolerans,"ZİNCİR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IF($A250="","",IF(OR($F250="",$H250=""),"",IF(ABS($H250-$F250)&gt;zincirTolerans,"ZİNCİR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IF($A251="","",IF(OR($F251="",$H251=""),"",IF(ABS($H251-$F251)&gt;zincirTolerans,"ZİNCİR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IF($A252="","",IF(OR($F252="",$H252=""),"",IF(ABS($H252-$F252)&gt;zincirTolerans,"ZİNCİR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IF($A253="","",IF(OR($F253="",$H253=""),"",IF(ABS($H253-$F253)&gt;zincirTolerans,"ZİNCİR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IF($A254="","",IF(OR($F254="",$H254=""),"",IF(ABS($H254-$F254)&gt;zincirTolerans,"ZİNCİR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IF($A255="","",IF(OR($F255="",$H255=""),"",IF(ABS($H255-$F255)&gt;zincirTolerans,"ZİNCİR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S3"/>
    <mergeCell ref="A1:S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"BEKLIYOR"</formula>
    </cfRule>
    <cfRule type="cellIs" priority="6" operator="equal" dxfId="3">
      <formula>"ONAY"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HA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G6:G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H6:H255" showDropDown="0" showInputMessage="1" showErrorMessage="1" allowBlank="1" errorTitle="Hakediş" error="0 veya üzeri" promptTitle="Hakediş" prompt="Hakediş ≥ 0" type="decimal" errorStyle="stop" operator="greaterThanOrEqual">
      <formula1>0</formula1>
    </dataValidation>
    <dataValidation sqref="I6:I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J6:J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42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İnşaat Hakediş Yönetim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Durum bazlı canlı kuyruk — kapalı kayıtlar düşer</t>
        </is>
      </c>
    </row>
    <row r="4"/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Taslak</t>
        </is>
      </c>
      <c r="B8" s="20">
        <f>COUNTIFS(tblAkis[durum],"DRAFT",tblAkis[tutar],"&gt;0")</f>
        <v/>
      </c>
      <c r="C8" s="21">
        <f>SUMIFS(tblAkis[tutar],tblAkis[durum],"DRAFT")</f>
        <v/>
      </c>
    </row>
    <row r="9">
      <c r="A9" s="7" t="inlineStr">
        <is>
          <t>Geciken (açık, yaş&gt;eşik)</t>
        </is>
      </c>
      <c r="B9" s="20">
        <f>COUNTIFS(tblAkis[YasGun],"&gt;"&amp;ihy_esikGecikmeGun,tblAkis[Durum],"&lt;&gt;ODEME",tblAkis[Durum],"&lt;&gt;IPTAL",tblAkis[Tutar],"&gt;0")</f>
        <v/>
      </c>
      <c r="C9" s="21">
        <f>SUMIFS(tblAkis[Tutar],tblAkis[YasGun],"&gt;"&amp;ihy_esikGecikmeGun,tblAkis[Durum],"&lt;&gt;ODEME",tblAkis[Durum],"&lt;&gt;IPTAL")</f>
        <v/>
      </c>
    </row>
    <row r="10"/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4"/>
    <row r="15">
      <c r="A15" s="24" t="inlineStr">
        <is>
          <t>Kuyruk Özeti</t>
        </is>
      </c>
      <c r="B15" s="8">
        <f>ihy_kuyrukOzeti</f>
        <v/>
      </c>
    </row>
    <row r="16"/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5:F15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C5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İnşaat Hakediş Yönetim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Hesap motoru — ≥40 adım; sabitler AYARLAR'dan</t>
        </is>
      </c>
    </row>
    <row r="4"/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Teklif toplam</t>
        </is>
      </c>
      <c r="C9" s="31">
        <f>SUM(tblAkis[Teklif])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1">
        <f>SUM(tblAkis[Siparis])</f>
        <v/>
      </c>
    </row>
    <row r="11">
      <c r="A11" s="7" t="inlineStr">
        <is>
          <t>H06</t>
        </is>
      </c>
      <c r="B11" s="7" t="inlineStr">
        <is>
          <t>Hakediş toplam</t>
        </is>
      </c>
      <c r="C11" s="31">
        <f>SUM(tblAkis[Hakedis])</f>
        <v/>
      </c>
    </row>
    <row r="12">
      <c r="A12" s="7" t="inlineStr">
        <is>
          <t>H07</t>
        </is>
      </c>
      <c r="B12" s="7" t="inlineStr">
        <is>
          <t>Fatura toplam</t>
        </is>
      </c>
      <c r="C12" s="31">
        <f>SUM(tblAkis[Fatura])</f>
        <v/>
      </c>
    </row>
    <row r="13">
      <c r="A13" s="7" t="inlineStr">
        <is>
          <t>H08</t>
        </is>
      </c>
      <c r="B13" s="7" t="inlineStr">
        <is>
          <t>Ödeme toplam</t>
        </is>
      </c>
      <c r="C13" s="31">
        <f>SUM(tblAkis[Odeme])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2">
        <f>COUNTIF(tblAkis[Durum],"DRAFT")</f>
        <v/>
      </c>
    </row>
    <row r="15">
      <c r="A15" s="7" t="inlineStr">
        <is>
          <t>H10</t>
        </is>
      </c>
      <c r="B15" s="7" t="inlineStr">
        <is>
          <t>Bekliyor adet</t>
        </is>
      </c>
      <c r="C15" s="32">
        <f>COUNTIF(tblAkis[Durum],"BEKLIYOR")</f>
        <v/>
      </c>
    </row>
    <row r="16">
      <c r="A16" s="7" t="inlineStr">
        <is>
          <t>H11</t>
        </is>
      </c>
      <c r="B16" s="7" t="inlineStr">
        <is>
          <t>Onay adet</t>
        </is>
      </c>
      <c r="C16" s="32">
        <f>COUNTIF(tblAkis[Durum],"ONAY")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2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C9+C10+C11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2">
        <f>C12+C13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SUMIF(tblAkis[Durum],"DRAFT",tblAkis[Tutar])+SUMIF(tblAkis[Durum],"BEKLIYOR",tblAkis[Tutar])+SUMIF(tblAkis[Durum],"ONAY",tblAkis[Tutar])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6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COUNTIFS(tblAkis[YasGun],"&gt;"&amp;ihy_esikGecikmeGun,tblAkis[Durum],"&lt;&gt;ODEME",tblAkis[Durum],"&lt;&gt;IPTAL",tblAkis[Tutar],"&gt;0")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SUMIFS(tblAkis[Tutar],tblAkis[YasGun],"&gt;"&amp;ihy_esikGecikmeGun,tblAkis[Durum],"&lt;&gt;ODEME",tblAkis[Durum],"&lt;&gt;IPTAL")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C27*ihy_gecikmeOranGun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C16*ihy_senaryoTemkinli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C16*ihy_senaryoBaz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C16*ihy_senaryoIyimser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C31-C29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4">
        <f>C16*ihy_tornadoOran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SUMIFS(tblAkis[Tutar],tblAkis[Durum],"ONAY",tblAkis[YasGun],"&gt;"&amp;ihy_esikGecikmeGun)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4">
        <f>IFERROR(C27/MAX(C16,1),0)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1">
        <f>IFERROR(_xlfn.PERCENTILE.INC(tblAkis[Tutar],ihy_yuzdelikOran),0)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1">
        <f>IFERROR(FORECAST(COUNTA(tblAkis[IslemId])+1,tblAkis[Tutar],tblAkis[KayitDolu]),C36)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IFERROR((C36+C37)/2,0)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1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4">
        <f>IFERROR(C3/MAX(C40,1),0)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",TRUE,"Bekliyor",C10,"Onay",C11,"Geciken",C26)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_xlfn.TEXTJOIN("/",TRUE,C21,C22,C23,C24)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IF(C1=0,0,MAX(0,100-C17*10-C18*10-C19*10-C26*2))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4">
        <f>IF(C1=0,0,C2/MAX(C1,1))</f>
        <v/>
      </c>
    </row>
    <row r="51"/>
    <row r="52"/>
    <row r="53"/>
    <row r="54">
      <c r="A54" s="30" t="inlineStr">
        <is>
          <t>Senaryo</t>
        </is>
      </c>
      <c r="B54" s="30" t="inlineStr">
        <is>
          <t>Çarpan</t>
        </is>
      </c>
      <c r="C54" s="30" t="inlineStr">
        <is>
          <t>Sonuç</t>
        </is>
      </c>
    </row>
    <row r="55">
      <c r="A55" s="7" t="inlineStr">
        <is>
          <t>Temkinli</t>
        </is>
      </c>
      <c r="B55" s="35">
        <f>ihy_senaryoTemkinli*IF(COUNTA(tblAkis[IslemId])&gt;=0,1,1)</f>
        <v/>
      </c>
      <c r="C55" s="21">
        <f>C29</f>
        <v/>
      </c>
    </row>
    <row r="56">
      <c r="A56" s="7" t="inlineStr">
        <is>
          <t>Baz</t>
        </is>
      </c>
      <c r="B56" s="35">
        <f>ihy_senaryoBaz*IF(COUNTA(tblAkis[IslemId])&gt;=0,1,1)</f>
        <v/>
      </c>
      <c r="C56" s="21">
        <f>C30</f>
        <v/>
      </c>
    </row>
    <row r="57">
      <c r="A57" s="7" t="inlineStr">
        <is>
          <t>İyimser</t>
        </is>
      </c>
      <c r="B57" s="35">
        <f>ihy_senaryoIyimser*IF(COUNTA(tblAkis[IslemId])&gt;=0,1,1)</f>
        <v/>
      </c>
      <c r="C57" s="21">
        <f>C31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AC26"/>
  <sheetViews>
    <sheetView showGridLines="0" workbookViewId="0">
      <selection activeCell="A1" sqref="A1"/>
    </sheetView>
  </sheetViews>
  <sheetFormatPr baseColWidth="8" defaultRowHeight="15"/>
  <cols>
    <col width="202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İnşaat Hakediş Yönetim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Dönemsel Hakediş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4" t="inlineStr">
        <is>
          <t>KARAR</t>
        </is>
      </c>
      <c r="B7" s="37">
        <f>PANO!B4</f>
        <v/>
      </c>
    </row>
    <row r="8"/>
    <row r="9">
      <c r="A9" s="7" t="inlineStr">
        <is>
          <t>Açık Kuyruk</t>
        </is>
      </c>
      <c r="B9" s="32">
        <f>ihy_acikAdet</f>
        <v/>
      </c>
    </row>
    <row r="10">
      <c r="A10" s="7" t="inlineStr">
        <is>
          <t>Açık Tutar</t>
        </is>
      </c>
      <c r="B10" s="31">
        <f>ihy_acikTutar</f>
        <v/>
      </c>
    </row>
    <row r="11">
      <c r="A11" s="7" t="inlineStr">
        <is>
          <t>Gecikme Maliyeti</t>
        </is>
      </c>
      <c r="B11" s="31">
        <f>ihy_gecikmeMaliyeti</f>
        <v/>
      </c>
    </row>
    <row r="12">
      <c r="A12" s="7" t="inlineStr">
        <is>
          <t>Yetim</t>
        </is>
      </c>
      <c r="B12" s="32">
        <f>ihy_yetimKayit</f>
        <v/>
      </c>
    </row>
    <row r="13">
      <c r="A13" s="7" t="inlineStr">
        <is>
          <t>Geçersiz Geçiş</t>
        </is>
      </c>
      <c r="B13" s="32">
        <f>ihy_gecersizGecis</f>
        <v/>
      </c>
    </row>
    <row r="14">
      <c r="A14" s="7" t="inlineStr">
        <is>
          <t>Zincir Kırık</t>
        </is>
      </c>
      <c r="B14" s="32">
        <f>ihy_zincirKirik</f>
        <v/>
      </c>
    </row>
    <row r="15">
      <c r="A15" s="7" t="inlineStr">
        <is>
          <t>Tahmin Aralık</t>
        </is>
      </c>
      <c r="B15" s="31">
        <f>ihy_tahminAralik</f>
        <v/>
      </c>
    </row>
    <row r="16">
      <c r="A16" s="7" t="inlineStr">
        <is>
          <t>Kanıt Özeti</t>
        </is>
      </c>
      <c r="B16" s="24">
        <f>ihy_kanitRaporu</f>
        <v/>
      </c>
    </row>
    <row r="17"/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Zincir toleransı AYARLAR.zincirTolerans değerine bağlıdır. Bu çıktı karar destektir; kesin mali/hukuki görüş yerine geçmez.</t>
        </is>
      </c>
    </row>
    <row r="20"/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Geçersiz geçişleri durum haritasına uygun ilerletin.</t>
        </is>
      </c>
    </row>
    <row r="24">
      <c r="A24" s="7" t="inlineStr">
        <is>
          <t>3. Zincir kırık satırlarda teklif/hakediş farkını açıklayın.</t>
        </is>
      </c>
    </row>
    <row r="25"/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9">
    <cfRule type="cellIs" priority="4" operator="greaterThan" dxfId="3">
      <formula>0</formula>
    </cfRule>
  </conditionalFormatting>
  <conditionalFormatting sqref="B10">
    <cfRule type="cellIs" priority="5" operator="greaterThan" dxfId="3">
      <formula>0</formula>
    </cfRule>
  </conditionalFormatting>
  <conditionalFormatting sqref="B11">
    <cfRule type="cellIs" priority="6" operator="greaterThan" dxfId="3">
      <formula>0</formula>
    </cfRule>
  </conditionalFormatting>
  <conditionalFormatting sqref="B12">
    <cfRule type="cellIs" priority="7" operator="greaterThan" dxfId="3">
      <formula>0</formula>
    </cfRule>
  </conditionalFormatting>
  <conditionalFormatting sqref="B13">
    <cfRule type="cellIs" priority="8" operator="greaterThan" dxfId="3">
      <formula>0</formula>
    </cfRule>
  </conditionalFormatting>
  <conditionalFormatting sqref="B14">
    <cfRule type="cellIs" priority="9" operator="greaterThan" dxfId="3">
      <formula>0</formula>
    </cfRule>
  </conditionalFormatting>
  <conditionalFormatting sqref="B15">
    <cfRule type="cellIs" priority="10" operator="greaterThan" dxfId="3">
      <formula>0</formula>
    </cfRule>
  </conditionalFormatting>
  <conditionalFormatting sqref="B16">
    <cfRule type="cellIs" priority="11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&amp;Lİnşaat Hakediş Yönetim Sistemi | Kanıt&amp;CExcelArşiv&amp;RSayfa &amp;P / &amp;N</oddFooter>
    <evenHeader/>
    <evenFooter>&amp;Lİnşaat Hakediş Yönetim Sistemi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İnşaat Hakediş Yönetim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Canlı Kontrol Paneli</t>
        </is>
      </c>
    </row>
    <row r="4"/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Onay</t>
        </is>
      </c>
      <c r="B8" s="32">
        <f>COUNTIF(tblAkis[Durum],"ONAY")</f>
        <v/>
      </c>
    </row>
    <row r="9">
      <c r="A9" s="7" t="inlineStr">
        <is>
          <t>Ödeme</t>
        </is>
      </c>
      <c r="B9" s="32">
        <f>COUNTIF(tblAkis[Durum],"ODEME")</f>
        <v/>
      </c>
    </row>
    <row r="10">
      <c r="A10" s="7" t="inlineStr">
        <is>
          <t>İptal</t>
        </is>
      </c>
      <c r="B10" s="32">
        <f>COUNTIF(tblAkis[Durum],"IPTAL")</f>
        <v/>
      </c>
    </row>
    <row r="11">
      <c r="A11" s="7" t="inlineStr">
        <is>
          <t>Açık toplam</t>
        </is>
      </c>
      <c r="B11" s="32">
        <f>B7+B8+COUNTIF(tblAkis[Durum],"DRAFT")</f>
        <v/>
      </c>
    </row>
    <row r="12">
      <c r="A12" s="7" t="inlineStr">
        <is>
          <t>Yetim</t>
        </is>
      </c>
      <c r="B12" s="32">
        <f>ihy_yetimKayit</f>
        <v/>
      </c>
    </row>
    <row r="13">
      <c r="A13" s="7" t="inlineStr">
        <is>
          <t>Geçersiz</t>
        </is>
      </c>
      <c r="B13" s="32">
        <f>ihy_gecersizGecis</f>
        <v/>
      </c>
    </row>
    <row r="14">
      <c r="A14" s="7" t="inlineStr">
        <is>
          <t>Zincir kırık</t>
        </is>
      </c>
      <c r="B14" s="32">
        <f>ihy_zincirKirik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24">
        <f>HESAP!C44</f>
        <v/>
      </c>
    </row>
    <row r="17">
      <c r="A17" s="7" t="inlineStr">
        <is>
          <t>Açık tutar</t>
        </is>
      </c>
      <c r="B17" s="31">
        <f>ihy_acikTutar</f>
        <v/>
      </c>
    </row>
    <row r="18">
      <c r="A18" s="7" t="inlineStr">
        <is>
          <t>Gecikme maliyeti</t>
        </is>
      </c>
      <c r="B18" s="31">
        <f>ihy_gecikmeMaliyeti</f>
        <v/>
      </c>
    </row>
    <row r="19">
      <c r="A19" s="7" t="inlineStr">
        <is>
          <t>Kapalı düşüm</t>
        </is>
      </c>
      <c r="B19" s="31">
        <f>ihy_kapaliDusum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İnşaat Hakediş Yönetim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Örnek Senaryo Açıklaması</t>
        </is>
      </c>
    </row>
    <row r="4">
      <c r="A4" s="8" t="inlineStr">
        <is>
          <t>Dosyada 8 kart ve 28 akış satırı vardır. Yetim (22, 25), geçersiz geçiş (18, 20) ve zincir kırık (12, 19) kasıtlıdır. KARTLAR ve AKIS'i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Taslak/Bekliyor/Onay/Ödeme/İptal — kapalılar kuyruktan düşer</t>
        </is>
      </c>
    </row>
    <row r="8"/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0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İnşaat Hakediş Yönetim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/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Branş</t>
        </is>
      </c>
    </row>
    <row r="4"/>
    <row r="5"/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Brans</t>
        </is>
      </c>
    </row>
    <row r="7">
      <c r="A7" s="26" t="inlineStr">
        <is>
          <t>DRAFT</t>
        </is>
      </c>
      <c r="C7" s="26" t="inlineStr">
        <is>
          <t>DRAFT|BEKLIYOR</t>
        </is>
      </c>
      <c r="E7" s="26" t="inlineStr">
        <is>
          <t>EVET</t>
        </is>
      </c>
      <c r="G7" s="26" t="inlineStr">
        <is>
          <t>Kalıp</t>
        </is>
      </c>
    </row>
    <row r="8">
      <c r="A8" s="26" t="inlineStr">
        <is>
          <t>BEKLIYOR</t>
        </is>
      </c>
      <c r="C8" s="26" t="inlineStr">
        <is>
          <t>BEKLIYOR|ONAY</t>
        </is>
      </c>
      <c r="E8" s="26" t="inlineStr">
        <is>
          <t>HAYIR</t>
        </is>
      </c>
      <c r="G8" s="26" t="inlineStr">
        <is>
          <t>Demir</t>
        </is>
      </c>
    </row>
    <row r="9">
      <c r="A9" s="26" t="inlineStr">
        <is>
          <t>ONAY</t>
        </is>
      </c>
      <c r="C9" s="26" t="inlineStr">
        <is>
          <t>BEKLIYOR|IPTAL</t>
        </is>
      </c>
      <c r="G9" s="26" t="inlineStr">
        <is>
          <t>Beton</t>
        </is>
      </c>
    </row>
    <row r="10">
      <c r="A10" s="26" t="inlineStr">
        <is>
          <t>ODEME</t>
        </is>
      </c>
      <c r="C10" s="26" t="inlineStr">
        <is>
          <t>ONAY|ODEME</t>
        </is>
      </c>
      <c r="G10" s="26" t="inlineStr">
        <is>
          <t>Elektrik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G12" s="26" t="inlineStr">
        <is>
          <t>Cephe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AC63"/>
  <sheetViews>
    <sheetView showGridLines="0" workbookViewId="0">
      <selection activeCell="A1" sqref="A1"/>
    </sheetView>
  </sheetViews>
  <sheetFormatPr baseColWidth="8" defaultRowHeight="15"/>
  <cols>
    <col width="23.5" customWidth="1" min="1" max="1"/>
    <col width="35.5" customWidth="1" min="2" max="2"/>
    <col width="10" customWidth="1" min="3" max="3"/>
    <col width="30.5" customWidth="1" min="4" max="4"/>
    <col width="19.5" customWidth="1" min="5" max="5"/>
    <col width="33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8" t="inlineStr">
        <is>
          <t>AYARLAR — İnşaat Hakediş Yönetim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Tek kaynak parametreler + durum haritası (A01/A06)</t>
        </is>
      </c>
    </row>
    <row r="4"/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ihy_esikGecikmeGun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ihy_esikGeciken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ihy_gecikmeOranGun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ihy_senaryoTemkinli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ihy_senaryoBaz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ihy_senaryoIyimser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ihy_tornadoOran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ihy_yuzdelikOran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ihy_olcekHedef</t>
        </is>
      </c>
      <c r="B16" s="39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ihy_azamiTutar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ihy_durumHaritasi</t>
        </is>
      </c>
      <c r="B18" s="26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ihy_kuyrukOzeti</t>
        </is>
      </c>
      <c r="B19" s="26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ihy_kapaliDusum</t>
        </is>
      </c>
      <c r="B20" s="26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ihy_kanitRaporu</t>
        </is>
      </c>
      <c r="B21" s="26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ihy_dosyaSurumu</t>
        </is>
      </c>
      <c r="B22" s="26" t="inlineStr">
        <is>
          <t>1.0.0</t>
        </is>
      </c>
      <c r="C22" s="7" t="inlineStr">
        <is>
          <t>metin</t>
        </is>
      </c>
      <c r="D22" s="7" t="inlineStr">
        <is>
          <t>Sürüm yönetimi</t>
        </is>
      </c>
      <c r="E22" s="7" t="inlineStr">
        <is>
          <t>01.01.2026</t>
        </is>
      </c>
      <c r="F22" s="8" t="inlineStr">
        <is>
          <t>Ürün sürümü</t>
        </is>
      </c>
    </row>
    <row r="23">
      <c r="A23" s="7" t="inlineStr">
        <is>
          <t>ihy_firmaUnvan</t>
        </is>
      </c>
      <c r="B23" s="26" t="inlineStr">
        <is>
          <t>Örnek İnşaat A.Ş.</t>
        </is>
      </c>
      <c r="C23" s="7" t="inlineStr">
        <is>
          <t>metin</t>
        </is>
      </c>
      <c r="D23" s="7" t="inlineStr">
        <is>
          <t>Kullanıcı girişi</t>
        </is>
      </c>
      <c r="E23" s="7" t="inlineStr">
        <is>
          <t>01.01.2026</t>
        </is>
      </c>
      <c r="F23" s="8" t="inlineStr">
        <is>
          <t>Firma</t>
        </is>
      </c>
    </row>
    <row r="24"/>
    <row r="25"/>
    <row r="26">
      <c r="H26" s="5" t="inlineStr">
        <is>
          <t>Durum Haritası</t>
        </is>
      </c>
    </row>
    <row r="27" ht="30" customHeight="1">
      <c r="H27" s="25" t="inlineStr">
        <is>
          <t>durum_id</t>
        </is>
      </c>
      <c r="I27" s="25" t="inlineStr">
        <is>
          <t>durum_adi</t>
        </is>
      </c>
      <c r="J27" s="25" t="inlineStr">
        <is>
          <t>sira</t>
        </is>
      </c>
      <c r="K27" s="25" t="inlineStr">
        <is>
          <t>izinli_sonraki_durumlar</t>
        </is>
      </c>
      <c r="L27" s="25" t="inlineStr">
        <is>
          <t>kategori</t>
        </is>
      </c>
    </row>
    <row r="28">
      <c r="H28" s="7" t="inlineStr">
        <is>
          <t>DRAFT</t>
        </is>
      </c>
      <c r="I28" s="7" t="inlineStr">
        <is>
          <t>Taslak</t>
        </is>
      </c>
      <c r="J28" s="20" t="n">
        <v>1</v>
      </c>
      <c r="K28" s="7" t="inlineStr">
        <is>
          <t>BEKLIYOR</t>
        </is>
      </c>
      <c r="L28" s="7" t="inlineStr">
        <is>
          <t>acik</t>
        </is>
      </c>
    </row>
    <row r="29">
      <c r="H29" s="7" t="inlineStr">
        <is>
          <t>BEKLIYOR</t>
        </is>
      </c>
      <c r="I29" s="7" t="inlineStr">
        <is>
          <t>Bekliyor</t>
        </is>
      </c>
      <c r="J29" s="20" t="n">
        <v>2</v>
      </c>
      <c r="K29" s="7" t="inlineStr">
        <is>
          <t>ONAY|IPTAL</t>
        </is>
      </c>
      <c r="L29" s="7" t="inlineStr">
        <is>
          <t>acik</t>
        </is>
      </c>
    </row>
    <row r="30">
      <c r="H30" s="7" t="inlineStr">
        <is>
          <t>ONAY</t>
        </is>
      </c>
      <c r="I30" s="7" t="inlineStr">
        <is>
          <t>Onaylandı</t>
        </is>
      </c>
      <c r="J30" s="20" t="n">
        <v>3</v>
      </c>
      <c r="K30" s="7" t="inlineStr">
        <is>
          <t>ODEME|IPTAL</t>
        </is>
      </c>
      <c r="L30" s="7" t="inlineStr">
        <is>
          <t>acik</t>
        </is>
      </c>
    </row>
    <row r="31">
      <c r="H31" s="7" t="inlineStr">
        <is>
          <t>ODEME</t>
        </is>
      </c>
      <c r="I31" s="7" t="inlineStr">
        <is>
          <t>Ödendi</t>
        </is>
      </c>
      <c r="J31" s="20" t="n">
        <v>4</v>
      </c>
      <c r="K31" s="7" t="inlineStr"/>
      <c r="L31" s="7" t="inlineStr">
        <is>
          <t>kapali</t>
        </is>
      </c>
    </row>
    <row r="32">
      <c r="H32" s="7" t="inlineStr">
        <is>
          <t>IPTAL</t>
        </is>
      </c>
      <c r="I32" s="7" t="inlineStr">
        <is>
          <t>İptal</t>
        </is>
      </c>
      <c r="J32" s="20" t="n">
        <v>5</v>
      </c>
      <c r="K32" s="7" t="inlineStr"/>
      <c r="L32" s="7" t="inlineStr">
        <is>
          <t>kapali</t>
        </is>
      </c>
    </row>
    <row r="33"/>
    <row r="34"/>
    <row r="35"/>
    <row r="36">
      <c r="H36" s="16" t="inlineStr">
        <is>
          <t>Motor Çıktıları</t>
        </is>
      </c>
    </row>
    <row r="37">
      <c r="H37" s="30" t="inlineStr">
        <is>
          <t>anahtar</t>
        </is>
      </c>
      <c r="I37" s="30" t="inlineStr">
        <is>
          <t>deger</t>
        </is>
      </c>
    </row>
    <row r="38">
      <c r="H38" s="7" t="inlineStr">
        <is>
          <t>ihy_acikAdet</t>
        </is>
      </c>
      <c r="I38" s="8">
        <f>HESAP!C14</f>
        <v/>
      </c>
    </row>
    <row r="39">
      <c r="H39" s="7" t="inlineStr">
        <is>
          <t>ihy_acikTutar</t>
        </is>
      </c>
      <c r="I39" s="8">
        <f>HESAP!C16</f>
        <v/>
      </c>
    </row>
    <row r="40">
      <c r="H40" s="7" t="inlineStr">
        <is>
          <t>ihy_gecikenAdet</t>
        </is>
      </c>
      <c r="I40" s="8">
        <f>HESAP!C26</f>
        <v/>
      </c>
    </row>
    <row r="41">
      <c r="H41" s="7" t="inlineStr">
        <is>
          <t>ihy_gecikmeMaliyeti</t>
        </is>
      </c>
      <c r="I41" s="8">
        <f>HESAP!C28</f>
        <v/>
      </c>
    </row>
    <row r="42">
      <c r="H42" s="7" t="inlineStr">
        <is>
          <t>ihy_yetimKayit</t>
        </is>
      </c>
      <c r="I42" s="8">
        <f>HESAP!C17</f>
        <v/>
      </c>
    </row>
    <row r="43">
      <c r="H43" s="7" t="inlineStr">
        <is>
          <t>ihy_gecersizGecis</t>
        </is>
      </c>
      <c r="I43" s="8">
        <f>HESAP!C18</f>
        <v/>
      </c>
    </row>
    <row r="44">
      <c r="H44" s="7" t="inlineStr">
        <is>
          <t>ihy_zincirKirik</t>
        </is>
      </c>
      <c r="I44" s="8">
        <f>HESAP!C19</f>
        <v/>
      </c>
    </row>
    <row r="45">
      <c r="H45" s="7" t="inlineStr">
        <is>
          <t>ihy_yasKova</t>
        </is>
      </c>
      <c r="I45" s="8">
        <f>HESAP!C43</f>
        <v/>
      </c>
    </row>
    <row r="46">
      <c r="H46" s="7" t="inlineStr">
        <is>
          <t>ihy_tahminAralik</t>
        </is>
      </c>
      <c r="I46" s="8">
        <f>HESAP!C38</f>
        <v/>
      </c>
    </row>
    <row r="47">
      <c r="H47" s="7" t="inlineStr">
        <is>
          <t>ihy_senaryoKarsilastirma</t>
        </is>
      </c>
      <c r="I47" s="8">
        <f>HESAP!C32</f>
        <v/>
      </c>
    </row>
    <row r="48">
      <c r="H48" s="7" t="inlineStr">
        <is>
          <t>ihy_tornadoZirve</t>
        </is>
      </c>
      <c r="I48" s="8">
        <f>HESAP!C33</f>
        <v/>
      </c>
    </row>
    <row r="49">
      <c r="H49" s="7" t="inlineStr">
        <is>
          <t>ihy_odemeOncelik</t>
        </is>
      </c>
      <c r="I49" s="8">
        <f>HESAP!C34</f>
        <v/>
      </c>
    </row>
    <row r="50">
      <c r="H50" s="7" t="inlineStr">
        <is>
          <t>ihy_paretoGecikme</t>
        </is>
      </c>
      <c r="I50" s="8">
        <f>HESAP!C35</f>
        <v/>
      </c>
    </row>
    <row r="51">
      <c r="H51" s="7" t="inlineStr">
        <is>
          <t>ihy_kapaliDusum</t>
        </is>
      </c>
      <c r="I51" s="8">
        <f>HESAP!C15</f>
        <v/>
      </c>
    </row>
    <row r="52">
      <c r="H52" s="7" t="inlineStr">
        <is>
          <t>ihy_kuyrukOzeti</t>
        </is>
      </c>
      <c r="I52" s="8">
        <f>HESAP!C42</f>
        <v/>
      </c>
    </row>
    <row r="53">
      <c r="H53" s="7" t="inlineStr">
        <is>
          <t>ihy_kanitRaporu</t>
        </is>
      </c>
      <c r="I53" s="8">
        <f>_xlfn.TEXTJOIN(" | ",TRUE,"Açık",HESAP!C14,"Yetim",HESAP!C17,"Zincir",HESAP!C19,"Geciken",HESAP!C26)</f>
        <v/>
      </c>
    </row>
    <row r="54">
      <c r="H54" s="7" t="inlineStr">
        <is>
          <t>ihy_sonrakiKimlik</t>
        </is>
      </c>
      <c r="I54" s="8">
        <f>"KAR-"&amp;TEXT(COUNTA(tblKartlar[KartId])+1,"00000")</f>
        <v/>
      </c>
    </row>
    <row r="55"/>
    <row r="56">
      <c r="H56" s="16" t="inlineStr">
        <is>
          <t>Yorumlar</t>
        </is>
      </c>
    </row>
    <row r="57">
      <c r="H57" s="7" t="inlineStr">
        <is>
          <t>ihy_yorumYas</t>
        </is>
      </c>
      <c r="I57" s="8">
        <f>_xlfn.TEXTJOIN(" ",TRUE,"Yaş kovaları",ihy_yasKova)</f>
        <v/>
      </c>
    </row>
    <row r="58">
      <c r="H58" s="7" t="inlineStr">
        <is>
          <t>ihy_yorumGecikme</t>
        </is>
      </c>
      <c r="I58" s="8">
        <f>_xlfn.TEXTJOIN(" ",TRUE,"Gecikme maliyeti",TEXT(ihy_gecikmeMaliyeti,"0.00"),"TL")</f>
        <v/>
      </c>
    </row>
    <row r="59">
      <c r="H59" s="7" t="inlineStr">
        <is>
          <t>ihy_yorumTahmin</t>
        </is>
      </c>
      <c r="I59" s="8">
        <f>_xlfn.TEXTJOIN(" ",TRUE,"Tahmin aralık",TEXT(ihy_tahminAralik,"0.00"),"TL")</f>
        <v/>
      </c>
    </row>
    <row r="60">
      <c r="H60" s="7" t="inlineStr">
        <is>
          <t>ihy_yorumSenaryo</t>
        </is>
      </c>
      <c r="I60" s="8">
        <f>_xlfn.TEXTJOIN(" ",TRUE,"Senaryo farkı",TEXT(ihy_senaryoKarsilastirma,"0.00"),"TL")</f>
        <v/>
      </c>
    </row>
    <row r="61">
      <c r="H61" s="7" t="inlineStr">
        <is>
          <t>ihy_yorumTornado</t>
        </is>
      </c>
      <c r="I61" s="8">
        <f>_xlfn.TEXTJOIN(" ",TRUE,"Tornado zirve",TEXT(ihy_tornadoZirve,"0.00"),"TL")</f>
        <v/>
      </c>
    </row>
    <row r="62">
      <c r="H62" s="7" t="inlineStr">
        <is>
          <t>ihy_yorumOncelik</t>
        </is>
      </c>
      <c r="I62" s="8">
        <f>_xlfn.TEXTJOIN(" ",TRUE,"Ödeme öncelik havuzu",TEXT(ihy_odemeOncelik,"0.00"),"TL")</f>
        <v/>
      </c>
    </row>
    <row r="63">
      <c r="H63" s="7" t="inlineStr">
        <is>
          <t>ihy_yorumPareto</t>
        </is>
      </c>
      <c r="I63" s="8">
        <f>_xlfn.TEXTJOIN(" ",TRUE,"Pareto gecikme payı",TEXT(ihy_paretoGecikme,"0.0%"))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86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İnşaat Hakediş Yönetim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Kullanım Kılavuzu</t>
        </is>
      </c>
    </row>
    <row r="4"/>
    <row r="5">
      <c r="A5" s="8" t="inlineStr">
        <is>
          <t>1. KARTLAR sayfasına taşeron/proje kartı ekleyin; sonraki kimliği kullanın.</t>
        </is>
      </c>
    </row>
    <row r="6">
      <c r="A6" s="8" t="inlineStr">
        <is>
          <t>2. AKIS sayfasına her hakediş olayını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(Ödendi/İptal) açık kuyruklardan düşer.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2026-08-10T20:56:03Z</dcterms:created>
  <dcterms:modified xmlns:dcterms="http://purl.org/dc/terms/" xmlns:xsi="http://www.w3.org/2001/XMLSchema-instance" xsi:type="dcterms:W3CDTF">2026-09-25T20:45:09Z</dcterms:modified>
</cp:coreProperties>
</file>