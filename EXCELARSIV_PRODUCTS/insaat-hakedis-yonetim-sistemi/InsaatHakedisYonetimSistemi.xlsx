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RAPOR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ORNEK_VERI" sheetId="11" state="visible" r:id="rId11"/>
    <sheet xmlns:r="http://schemas.openxmlformats.org/officeDocument/2006/relationships" name="LISTELER" sheetId="12" state="visible" r:id="rId12"/>
    <sheet xmlns:r="http://schemas.openxmlformats.org/officeDocument/2006/relationships" name="AYARLAR" sheetId="13" state="visible" r:id="rId13"/>
    <sheet xmlns:r="http://schemas.openxmlformats.org/officeDocument/2006/relationships" name="KILAVUZ" sheetId="14" state="visible" r:id="rId14"/>
  </sheets>
  <definedNames>
    <definedName name="raporTarihi">AYARLAR!$B$6</definedName>
    <definedName name="zincirTolerans">AYARLAR!$B$7</definedName>
    <definedName name="ihy_esikGecikmeGun">AYARLAR!$B$8</definedName>
    <definedName name="ihy_esikGeciken">AYARLAR!$B$9</definedName>
    <definedName name="ihy_gecikmeOranGun">AYARLAR!$B$10</definedName>
    <definedName name="ihy_senaryoTemkinli">AYARLAR!$B$11</definedName>
    <definedName name="ihy_senaryoBaz">AYARLAR!$B$12</definedName>
    <definedName name="ihy_senaryoIyimser">AYARLAR!$B$13</definedName>
    <definedName name="ihy_tornadoOran">AYARLAR!$B$14</definedName>
    <definedName name="ihy_yuzdelikOran">AYARLAR!$B$15</definedName>
    <definedName name="ihy_olcekHedef">AYARLAR!$B$16</definedName>
    <definedName name="ihy_azamiTutar">AYARLAR!$B$17</definedName>
    <definedName name="ihy_durumHaritasi">AYARLAR!$B$18</definedName>
    <definedName name="ihy_kuyrukOzeti_metin">AYARLAR!$B$19</definedName>
    <definedName name="ihy_kapaliDusum_metin">AYARLAR!$B$20</definedName>
    <definedName name="ihy_kanitRaporu_metin">AYARLAR!$B$21</definedName>
    <definedName name="ihy_dosyaSurumu">AYARLAR!$B$22</definedName>
    <definedName name="ihy_firmaUnvan">AYARLAR!$B$23</definedName>
    <definedName name="ihy_acikAdet">AYARLAR!$I$38</definedName>
    <definedName name="ihy_acikTutar">AYARLAR!$I$39</definedName>
    <definedName name="ihy_gecikenAdet">AYARLAR!$I$40</definedName>
    <definedName name="ihy_gecikmeMaliyeti">AYARLAR!$I$41</definedName>
    <definedName name="ihy_yetimKayit">AYARLAR!$I$42</definedName>
    <definedName name="ihy_gecersizGecis">AYARLAR!$I$43</definedName>
    <definedName name="ihy_zincirKirik">AYARLAR!$I$44</definedName>
    <definedName name="ihy_yasKova">AYARLAR!$I$45</definedName>
    <definedName name="ihy_tahminAralik">AYARLAR!$I$46</definedName>
    <definedName name="ihy_senaryoKarsilastirma">AYARLAR!$I$47</definedName>
    <definedName name="ihy_tornadoZirve">AYARLAR!$I$48</definedName>
    <definedName name="ihy_odemeOncelik">AYARLAR!$I$49</definedName>
    <definedName name="ihy_paretoGecikme">AYARLAR!$I$50</definedName>
    <definedName name="ihy_kapaliDusum">AYARLAR!$I$51</definedName>
    <definedName name="ihy_kuyrukOzeti">AYARLAR!$I$52</definedName>
    <definedName name="ihy_kanitRaporu">AYARLAR!$I$53</definedName>
    <definedName name="ihy_sonrakiKimlik">AYARLAR!$I$54</definedName>
    <definedName name="ihy_yorumYas">AYARLAR!$I$57</definedName>
    <definedName name="ihy_yorumGecikme">AYARLAR!$I$58</definedName>
    <definedName name="ihy_yorumTahmin">AYARLAR!$I$59</definedName>
    <definedName name="ihy_yorumSenaryo">AYARLAR!$I$60</definedName>
    <definedName name="ihy_yorumTornado">AYARLAR!$I$61</definedName>
    <definedName name="ihy_yorumOncelik">AYARLAR!$I$62</definedName>
    <definedName name="ihy_yorumPareto">AYARLAR!$I$63</definedName>
    <definedName name="ListeDurumlar">LISTELER!$A$7:$A$11</definedName>
    <definedName name="ListeIzinliGecis">LISTELER!$C$7:$C$11</definedName>
    <definedName name="ListeEvetHayir">LISTELER!$E$7:$E$8</definedName>
    <definedName name="_xlnm.Print_Area" localSheetId="8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8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9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0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1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kararı etkiler | Doğru kullanım: ZİNCİR KIRIK eşiği | Örnek: hücredeki örnek değere bakın | Risk: Yanlış giriş hatalı karar üretir</t>
      </text>
    </comment>
    <comment ref="B8" authorId="0" shapeId="0">
      <text>
        <t>Tanım: ihy_esikGecikmeGun | Neden önemli: Hakediş kuyruğu ve kararı etkiler | Doğru kullanım: Gecikme eşiği | Örnek: hücredeki örnek değere bakın | Risk: Yanlış giriş hatalı karar üretir</t>
      </text>
    </comment>
    <comment ref="B9" authorId="0" shapeId="0">
      <text>
        <t>Tanım: ihy_esikGeciken | Neden önemli: Hakediş kuyruğu ve kararı etkiler | Doğru kullanım: Karar eşiği geciken | Örnek: hücredeki örnek değere bakın | Risk: Yanlış giriş hatalı karar üretir</t>
      </text>
    </comment>
    <comment ref="B10" authorId="0" shapeId="0">
      <text>
        <t>Tanım: ihy_gecikmeOranGun | Neden önemli: Hakediş kuyruğu ve kararı etkiler | Doğru kullanım: Günlük gecikme maliyeti oranı | Örnek: hücredeki örnek değere bakın | Risk: Yanlış giriş hatalı karar üretir</t>
      </text>
    </comment>
    <comment ref="B11" authorId="0" shapeId="0">
      <text>
        <t>Tanım: ihy_senaryoTemkinli | Neden önemli: Hakediş kuyruğu ve kararı etkiler | Doğru kullanım: Temkinli çarpan | Örnek: hücredeki örnek değere bakın | Risk: Yanlış giriş hatalı karar üretir</t>
      </text>
    </comment>
    <comment ref="B12" authorId="0" shapeId="0">
      <text>
        <t>Tanım: ihy_senaryoBaz | Neden önemli: Hakediş kuyruğu ve kararı etkiler | Doğru kullanım: Baz çarpan | Örnek: hücredeki örnek değere bakın | Risk: Yanlış giriş hatalı karar üretir</t>
      </text>
    </comment>
    <comment ref="B13" authorId="0" shapeId="0">
      <text>
        <t>Tanım: ihy_senaryoIyimser | Neden önemli: Hakediş kuyruğu ve kararı etkiler | Doğru kullanım: İyimser çarpan | Örnek: hücredeki örnek değere bakın | Risk: Yanlış giriş hatalı karar üretir</t>
      </text>
    </comment>
    <comment ref="B14" authorId="0" shapeId="0">
      <text>
        <t>Tanım: ihy_tornadoOran | Neden önemli: Hakediş kuyruğu ve kararı etkiler | Doğru kullanım: Tornado etki oranı | Örnek: hücredeki örnek değere bakın | Risk: Yanlış giriş hatalı karar üretir</t>
      </text>
    </comment>
    <comment ref="B15" authorId="0" shapeId="0">
      <text>
        <t>Tanım: ihy_yuzdelikOran | Neden önemli: Hakediş kuyruğu ve kararı etkiler | Doğru kullanım: PERCENTILE oranı | Örnek: hücredeki örnek değere bakın | Risk: Yanlış giriş hatalı karar üretir</t>
      </text>
    </comment>
    <comment ref="B16" authorId="0" shapeId="0">
      <text>
        <t>Tanım: ihy_olcekHedef | Neden önemli: Hakediş kuyruğu ve kararı etkiler | Doğru kullanım: Ölçek sözleşmesi | Örnek: hücredeki örnek değere bakın | Risk: Yanlış giriş hatalı karar üretir</t>
      </text>
    </comment>
    <comment ref="B17" authorId="0" shapeId="0">
      <text>
        <t>Tanım: ihy_azamiTutar | Neden önemli: Hakediş kuyruğu ve kararı etkiler | Doğru kullanım: Azami makul | Örnek: hücredeki örnek değere bakın | Risk: Yanlış giriş hatalı karar üretir</t>
      </text>
    </comment>
    <comment ref="B18" authorId="0" shapeId="0">
      <text>
        <t>Tanım: ihy_durumHaritasi | Neden önemli: Hakediş kuyruğu ve kararı etkiler | Doğru kullanım: Durum makinesi kaynağı | Örnek: hücredeki örnek değere bakın | Risk: Yanlış giriş hatalı karar üretir</t>
      </text>
    </comment>
    <comment ref="B19" authorId="0" shapeId="0">
      <text>
        <t>Tanım: ihy_kuyrukOzeti | Neden önemli: Hakediş kuyruğu ve kararı etkiler | Doğru kullanım: Kuyruk görünümü | Örnek: hücredeki örnek değere bakın | Risk: Yanlış giriş hatalı karar üretir</t>
      </text>
    </comment>
    <comment ref="B20" authorId="0" shapeId="0">
      <text>
        <t>Tanım: ihy_kapaliDusum | Neden önemli: Hakediş kuyruğu ve kararı etkiler | Doğru kullanım: Kapalı düşüm kuralı | Örnek: hücredeki örnek değere bakın | Risk: Yanlış giriş hatalı karar üretir</t>
      </text>
    </comment>
    <comment ref="B21" authorId="0" shapeId="0">
      <text>
        <t>Tanım: ihy_kanitRaporu | Neden önemli: Hakediş kuyruğu ve kararı etkiler | Doğru kullanım: Kanıt raporu | Örnek: hücredeki örnek değere bakın | Risk: Yanlış giriş hatalı karar üretir</t>
      </text>
    </comment>
    <comment ref="B22" authorId="0" shapeId="0">
      <text>
        <t>Tanım: ihy_dosyaSurumu | Neden önemli: Hakediş kuyruğu ve kararı etkiler | Doğru kullanım: Ürün sürümü | Örnek: hücredeki örnek değere bakın | Risk: Yanlış giriş hatalı karar üretir</t>
      </text>
    </comment>
    <comment ref="B23" authorId="0" shapeId="0">
      <text>
        <t>Tanım: ihy_firmaUnvan | Neden önemli: Hakediş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Teklif"/>
    <tableColumn id="7" name="Siparis"/>
    <tableColumn id="8" name="Hakedis"/>
    <tableColumn id="9" name="Fatura"/>
    <tableColumn id="10" name="Odeme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INSAAT HAKEDIS YONETIM SISTEMI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INSAAT HAKEDIS YONETIM SISTEMI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Yönetim Sistemi</t>
        </is>
      </c>
    </row>
    <row r="3" ht="30" customHeight="1">
      <c r="A3" s="3" t="inlineStr">
        <is>
          <t>İnşaat Hakediş Yönetim Sistemi</t>
        </is>
      </c>
    </row>
    <row r="4">
      <c r="A4" s="4" t="inlineStr">
        <is>
          <t>Taşeron hakedişlerini durum makinesi, kuyruk ve yaşlandırma ile yönetir; tutar zinciri sapmalarını görünür kılar; dönemsel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Kuyruk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Teklif→Sipariş→Hakediş→Fatura→Ödeme tutar zinciri denetimi</t>
        </is>
      </c>
    </row>
    <row r="11">
      <c r="A11" s="6" t="inlineStr">
        <is>
          <t>• Dönemsel hakediş kanıt raporu —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İnşaat mali işler ve şantiye muhasebesi</t>
        </is>
      </c>
    </row>
    <row r="15">
      <c r="A15" s="7" t="inlineStr">
        <is>
          <t>• Proje müdürü — darboğaz ve geciken kuyruk</t>
        </is>
      </c>
    </row>
    <row r="16">
      <c r="A16" s="7" t="inlineStr">
        <is>
          <t>• SMMM — hakediş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taşeron/proje kartı girin. 2) AKIS'e hakediş olaylarını yazın. 3) KUYRUKLAR ve PANO'dan günün işini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İnşaat Hakediş Yönetim Sistemi</t>
        </is>
      </c>
    </row>
    <row r="3" ht="20" customHeight="1">
      <c r="A3" s="22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ihy_sonrakiKimlik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İnşaat Hakediş Yönetim Sistemi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Teklif</t>
        </is>
      </c>
      <c r="G5" s="25" t="inlineStr">
        <is>
          <t>Siparis</t>
        </is>
      </c>
      <c r="H5" s="25" t="inlineStr">
        <is>
          <t>Hakedis</t>
        </is>
      </c>
      <c r="I5" s="25" t="inlineStr">
        <is>
          <t>Fatura</t>
        </is>
      </c>
      <c r="J5" s="25" t="inlineStr">
        <is>
          <t>Odeme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9" t="n">
        <v>46241</v>
      </c>
      <c r="D6" s="26" t="n"/>
      <c r="E6" s="26" t="inlineStr">
        <is>
          <t>DRAFT</t>
        </is>
      </c>
      <c r="F6" s="27" t="n">
        <v>112500</v>
      </c>
      <c r="G6" s="27" t="n">
        <v>112500</v>
      </c>
      <c r="H6" s="27" t="n">
        <v>112500</v>
      </c>
      <c r="I6" s="27" t="n">
        <v>112500</v>
      </c>
      <c r="J6" s="27" t="n">
        <v>0</v>
      </c>
      <c r="K6" s="27" t="n">
        <v>112500</v>
      </c>
      <c r="L6" s="26" t="inlineStr">
        <is>
          <t>2026-08</t>
        </is>
      </c>
      <c r="M6" s="26" t="inlineStr">
        <is>
          <t>Hakediş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9" t="n">
        <v>46238</v>
      </c>
      <c r="D7" s="26" t="inlineStr">
        <is>
          <t>DRAFT</t>
        </is>
      </c>
      <c r="E7" s="26" t="inlineStr">
        <is>
          <t>BEKLIYOR</t>
        </is>
      </c>
      <c r="F7" s="27" t="n">
        <v>125000</v>
      </c>
      <c r="G7" s="27" t="n">
        <v>125000</v>
      </c>
      <c r="H7" s="27" t="n">
        <v>125000</v>
      </c>
      <c r="I7" s="27" t="n">
        <v>125000</v>
      </c>
      <c r="J7" s="27" t="n">
        <v>0</v>
      </c>
      <c r="K7" s="27" t="n">
        <v>125000</v>
      </c>
      <c r="L7" s="26" t="inlineStr">
        <is>
          <t>2026-08</t>
        </is>
      </c>
      <c r="M7" s="26" t="inlineStr">
        <is>
          <t>Hakediş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9" t="n">
        <v>46235</v>
      </c>
      <c r="D8" s="26" t="inlineStr">
        <is>
          <t>BEKLIYOR</t>
        </is>
      </c>
      <c r="E8" s="26" t="inlineStr">
        <is>
          <t>ONAY</t>
        </is>
      </c>
      <c r="F8" s="27" t="n">
        <v>137500</v>
      </c>
      <c r="G8" s="27" t="n">
        <v>137500</v>
      </c>
      <c r="H8" s="27" t="n">
        <v>137500</v>
      </c>
      <c r="I8" s="27" t="n">
        <v>137500</v>
      </c>
      <c r="J8" s="27" t="n">
        <v>0</v>
      </c>
      <c r="K8" s="27" t="n">
        <v>137500</v>
      </c>
      <c r="L8" s="26" t="inlineStr">
        <is>
          <t>2026-08</t>
        </is>
      </c>
      <c r="M8" s="26" t="inlineStr">
        <is>
          <t>Hakediş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150000</v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6" t="inlineStr">
        <is>
          <t>2026-08</t>
        </is>
      </c>
      <c r="M9" s="26" t="inlineStr">
        <is>
          <t>Hakediş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9" t="n">
        <v>46229</v>
      </c>
      <c r="D10" s="26" t="inlineStr">
        <is>
          <t>BEKLIYOR</t>
        </is>
      </c>
      <c r="E10" s="26" t="inlineStr">
        <is>
          <t>IPTAL</t>
        </is>
      </c>
      <c r="F10" s="27" t="n">
        <v>162500</v>
      </c>
      <c r="G10" s="27" t="n">
        <v>162500</v>
      </c>
      <c r="H10" s="27" t="n">
        <v>162500</v>
      </c>
      <c r="I10" s="27" t="n">
        <v>162500</v>
      </c>
      <c r="J10" s="27" t="n">
        <v>0</v>
      </c>
      <c r="K10" s="27" t="n">
        <v>162500</v>
      </c>
      <c r="L10" s="26" t="inlineStr">
        <is>
          <t>2026-08</t>
        </is>
      </c>
      <c r="M10" s="26" t="inlineStr">
        <is>
          <t>Hakediş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9" t="n">
        <v>46226</v>
      </c>
      <c r="D11" s="26" t="inlineStr">
        <is>
          <t>DRAFT</t>
        </is>
      </c>
      <c r="E11" s="26" t="inlineStr">
        <is>
          <t>BEKLIYOR</t>
        </is>
      </c>
      <c r="F11" s="27" t="n">
        <v>175000</v>
      </c>
      <c r="G11" s="27" t="n">
        <v>175000</v>
      </c>
      <c r="H11" s="27" t="n">
        <v>175000</v>
      </c>
      <c r="I11" s="27" t="n">
        <v>175000</v>
      </c>
      <c r="J11" s="27" t="n">
        <v>0</v>
      </c>
      <c r="K11" s="27" t="n">
        <v>175000</v>
      </c>
      <c r="L11" s="26" t="inlineStr">
        <is>
          <t>2026-08</t>
        </is>
      </c>
      <c r="M11" s="26" t="inlineStr">
        <is>
          <t>Hakediş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9" t="n">
        <v>46223</v>
      </c>
      <c r="D12" s="26" t="inlineStr">
        <is>
          <t>BEKLIYOR</t>
        </is>
      </c>
      <c r="E12" s="26" t="inlineStr">
        <is>
          <t>ONAY</t>
        </is>
      </c>
      <c r="F12" s="27" t="n">
        <v>187500</v>
      </c>
      <c r="G12" s="27" t="n">
        <v>187500</v>
      </c>
      <c r="H12" s="27" t="n">
        <v>187500</v>
      </c>
      <c r="I12" s="27" t="n">
        <v>187500</v>
      </c>
      <c r="J12" s="27" t="n">
        <v>0</v>
      </c>
      <c r="K12" s="27" t="n">
        <v>187500</v>
      </c>
      <c r="L12" s="26" t="inlineStr">
        <is>
          <t>2026-08</t>
        </is>
      </c>
      <c r="M12" s="26" t="inlineStr">
        <is>
          <t>Hakediş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9" t="n">
        <v>46220</v>
      </c>
      <c r="D13" s="26" t="inlineStr">
        <is>
          <t>ONAY</t>
        </is>
      </c>
      <c r="E13" s="26" t="inlineStr">
        <is>
          <t>BEKLIYOR</t>
        </is>
      </c>
      <c r="F13" s="27" t="n">
        <v>200000</v>
      </c>
      <c r="G13" s="27" t="n">
        <v>200000</v>
      </c>
      <c r="H13" s="27" t="n">
        <v>200000</v>
      </c>
      <c r="I13" s="27" t="n">
        <v>200000</v>
      </c>
      <c r="J13" s="27" t="n">
        <v>0</v>
      </c>
      <c r="K13" s="27" t="n">
        <v>200000</v>
      </c>
      <c r="L13" s="26" t="inlineStr">
        <is>
          <t>2026-08</t>
        </is>
      </c>
      <c r="M13" s="26" t="inlineStr">
        <is>
          <t>Hakediş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9" t="n">
        <v>46217</v>
      </c>
      <c r="D14" s="26" t="n"/>
      <c r="E14" s="26" t="inlineStr">
        <is>
          <t>DRAFT</t>
        </is>
      </c>
      <c r="F14" s="27" t="n">
        <v>212500</v>
      </c>
      <c r="G14" s="27" t="n">
        <v>212500</v>
      </c>
      <c r="H14" s="27" t="n">
        <v>212500</v>
      </c>
      <c r="I14" s="27" t="n">
        <v>212500</v>
      </c>
      <c r="J14" s="27" t="n">
        <v>0</v>
      </c>
      <c r="K14" s="27" t="n">
        <v>212500</v>
      </c>
      <c r="L14" s="26" t="inlineStr">
        <is>
          <t>2026-08</t>
        </is>
      </c>
      <c r="M14" s="26" t="inlineStr">
        <is>
          <t>Hakediş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9" t="n">
        <v>46214</v>
      </c>
      <c r="D15" s="26" t="inlineStr">
        <is>
          <t>DRAFT</t>
        </is>
      </c>
      <c r="E15" s="26" t="inlineStr">
        <is>
          <t>BEKLIYOR</t>
        </is>
      </c>
      <c r="F15" s="27" t="n">
        <v>225000</v>
      </c>
      <c r="G15" s="27" t="n">
        <v>225000</v>
      </c>
      <c r="H15" s="27" t="n">
        <v>225000</v>
      </c>
      <c r="I15" s="27" t="n">
        <v>225000</v>
      </c>
      <c r="J15" s="27" t="n">
        <v>0</v>
      </c>
      <c r="K15" s="27" t="n">
        <v>225000</v>
      </c>
      <c r="L15" s="26" t="inlineStr">
        <is>
          <t>2026-08</t>
        </is>
      </c>
      <c r="M15" s="26" t="inlineStr">
        <is>
          <t>Hakediş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9" t="n">
        <v>46211</v>
      </c>
      <c r="D16" s="26" t="inlineStr">
        <is>
          <t>BEKLIYOR</t>
        </is>
      </c>
      <c r="E16" s="26" t="inlineStr">
        <is>
          <t>ONAY</t>
        </is>
      </c>
      <c r="F16" s="27" t="n">
        <v>237500</v>
      </c>
      <c r="G16" s="27" t="n">
        <v>237500</v>
      </c>
      <c r="H16" s="27" t="n">
        <v>237500</v>
      </c>
      <c r="I16" s="27" t="n">
        <v>237500</v>
      </c>
      <c r="J16" s="27" t="n">
        <v>0</v>
      </c>
      <c r="K16" s="27" t="n">
        <v>237500</v>
      </c>
      <c r="L16" s="26" t="inlineStr">
        <is>
          <t>2026-08</t>
        </is>
      </c>
      <c r="M16" s="26" t="inlineStr">
        <is>
          <t>Hakediş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250000</v>
      </c>
      <c r="G17" s="27" t="n">
        <v>250000</v>
      </c>
      <c r="H17" s="27" t="n">
        <v>295000</v>
      </c>
      <c r="I17" s="27" t="n">
        <v>295000</v>
      </c>
      <c r="J17" s="27" t="n">
        <v>295000</v>
      </c>
      <c r="K17" s="27" t="n">
        <v>295000</v>
      </c>
      <c r="L17" s="26" t="inlineStr">
        <is>
          <t>2026-08</t>
        </is>
      </c>
      <c r="M17" s="26" t="inlineStr">
        <is>
          <t>Hakediş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9" t="n">
        <v>46205</v>
      </c>
      <c r="D18" s="26" t="inlineStr">
        <is>
          <t>BEKLIYOR</t>
        </is>
      </c>
      <c r="E18" s="26" t="inlineStr">
        <is>
          <t>IPTAL</t>
        </is>
      </c>
      <c r="F18" s="27" t="n">
        <v>262500</v>
      </c>
      <c r="G18" s="27" t="n">
        <v>262500</v>
      </c>
      <c r="H18" s="27" t="n">
        <v>262500</v>
      </c>
      <c r="I18" s="27" t="n">
        <v>262500</v>
      </c>
      <c r="J18" s="27" t="n">
        <v>0</v>
      </c>
      <c r="K18" s="27" t="n">
        <v>262500</v>
      </c>
      <c r="L18" s="26" t="inlineStr">
        <is>
          <t>2026-08</t>
        </is>
      </c>
      <c r="M18" s="26" t="inlineStr">
        <is>
          <t>Hakediş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9" t="n">
        <v>46202</v>
      </c>
      <c r="D19" s="26" t="inlineStr">
        <is>
          <t>DRAFT</t>
        </is>
      </c>
      <c r="E19" s="26" t="inlineStr">
        <is>
          <t>BEKLIYOR</t>
        </is>
      </c>
      <c r="F19" s="27" t="n">
        <v>275000</v>
      </c>
      <c r="G19" s="27" t="n">
        <v>275000</v>
      </c>
      <c r="H19" s="27" t="n">
        <v>275000</v>
      </c>
      <c r="I19" s="27" t="n">
        <v>275000</v>
      </c>
      <c r="J19" s="27" t="n">
        <v>0</v>
      </c>
      <c r="K19" s="27" t="n">
        <v>275000</v>
      </c>
      <c r="L19" s="26" t="inlineStr">
        <is>
          <t>2026-08</t>
        </is>
      </c>
      <c r="M19" s="26" t="inlineStr">
        <is>
          <t>Hakediş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9" t="n">
        <v>46199</v>
      </c>
      <c r="D20" s="26" t="inlineStr">
        <is>
          <t>BEKLIYOR</t>
        </is>
      </c>
      <c r="E20" s="26" t="inlineStr">
        <is>
          <t>ONAY</t>
        </is>
      </c>
      <c r="F20" s="27" t="n">
        <v>287500</v>
      </c>
      <c r="G20" s="27" t="n">
        <v>287500</v>
      </c>
      <c r="H20" s="27" t="n">
        <v>287500</v>
      </c>
      <c r="I20" s="27" t="n">
        <v>279500</v>
      </c>
      <c r="J20" s="27" t="n">
        <v>0</v>
      </c>
      <c r="K20" s="27" t="n">
        <v>287500</v>
      </c>
      <c r="L20" s="26" t="inlineStr">
        <is>
          <t>2026-08</t>
        </is>
      </c>
      <c r="M20" s="26" t="inlineStr">
        <is>
          <t>Hakediş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9" t="n">
        <v>46196</v>
      </c>
      <c r="D21" s="26" t="inlineStr">
        <is>
          <t>ONAY</t>
        </is>
      </c>
      <c r="E21" s="26" t="inlineStr">
        <is>
          <t>BEKLIYOR</t>
        </is>
      </c>
      <c r="F21" s="27" t="n">
        <v>300000</v>
      </c>
      <c r="G21" s="27" t="n">
        <v>300000</v>
      </c>
      <c r="H21" s="27" t="n">
        <v>300000</v>
      </c>
      <c r="I21" s="27" t="n">
        <v>300000</v>
      </c>
      <c r="J21" s="27" t="n">
        <v>0</v>
      </c>
      <c r="K21" s="27" t="n">
        <v>300000</v>
      </c>
      <c r="L21" s="26" t="inlineStr">
        <is>
          <t>2026-08</t>
        </is>
      </c>
      <c r="M21" s="26" t="inlineStr">
        <is>
          <t>Hakediş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9" t="n">
        <v>46193</v>
      </c>
      <c r="D22" s="26" t="n"/>
      <c r="E22" s="26" t="inlineStr">
        <is>
          <t>DRAFT</t>
        </is>
      </c>
      <c r="F22" s="27" t="n">
        <v>312500</v>
      </c>
      <c r="G22" s="27" t="n">
        <v>312500</v>
      </c>
      <c r="H22" s="27" t="n">
        <v>312500</v>
      </c>
      <c r="I22" s="27" t="n">
        <v>312500</v>
      </c>
      <c r="J22" s="27" t="n">
        <v>0</v>
      </c>
      <c r="K22" s="27" t="n">
        <v>312500</v>
      </c>
      <c r="L22" s="26" t="inlineStr">
        <is>
          <t>2026-08</t>
        </is>
      </c>
      <c r="M22" s="26" t="inlineStr">
        <is>
          <t>Hakediş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9" t="n">
        <v>46190</v>
      </c>
      <c r="D23" s="26" t="inlineStr">
        <is>
          <t>DRAFT</t>
        </is>
      </c>
      <c r="E23" s="26" t="inlineStr">
        <is>
          <t>ONAY</t>
        </is>
      </c>
      <c r="F23" s="27" t="n">
        <v>325000</v>
      </c>
      <c r="G23" s="27" t="n">
        <v>325000</v>
      </c>
      <c r="H23" s="27" t="n">
        <v>325000</v>
      </c>
      <c r="I23" s="27" t="n">
        <v>325000</v>
      </c>
      <c r="J23" s="27" t="n">
        <v>0</v>
      </c>
      <c r="K23" s="27" t="n">
        <v>325000</v>
      </c>
      <c r="L23" s="26" t="inlineStr">
        <is>
          <t>2026-08</t>
        </is>
      </c>
      <c r="M23" s="26" t="inlineStr">
        <is>
          <t>Hakediş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9" t="n">
        <v>46187</v>
      </c>
      <c r="D24" s="26" t="inlineStr">
        <is>
          <t>BEKLIYOR</t>
        </is>
      </c>
      <c r="E24" s="26" t="inlineStr">
        <is>
          <t>ONAY</t>
        </is>
      </c>
      <c r="F24" s="27" t="n">
        <v>337500</v>
      </c>
      <c r="G24" s="27" t="n">
        <v>337500</v>
      </c>
      <c r="H24" s="27" t="n">
        <v>382500</v>
      </c>
      <c r="I24" s="27" t="n">
        <v>382500</v>
      </c>
      <c r="J24" s="27" t="n">
        <v>0</v>
      </c>
      <c r="K24" s="27" t="n">
        <v>382500</v>
      </c>
      <c r="L24" s="26" t="inlineStr">
        <is>
          <t>2026-08</t>
        </is>
      </c>
      <c r="M24" s="26" t="inlineStr">
        <is>
          <t>Hakediş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9" t="n">
        <v>46184</v>
      </c>
      <c r="D25" s="26" t="inlineStr">
        <is>
          <t>ONAY</t>
        </is>
      </c>
      <c r="E25" s="26" t="inlineStr">
        <is>
          <t>BEKLIYOR</t>
        </is>
      </c>
      <c r="F25" s="27" t="n">
        <v>350000</v>
      </c>
      <c r="G25" s="27" t="n">
        <v>350000</v>
      </c>
      <c r="H25" s="27" t="n">
        <v>350000</v>
      </c>
      <c r="I25" s="27" t="n">
        <v>350000</v>
      </c>
      <c r="J25" s="27" t="n">
        <v>0</v>
      </c>
      <c r="K25" s="27" t="n">
        <v>350000</v>
      </c>
      <c r="L25" s="26" t="inlineStr">
        <is>
          <t>2026-08</t>
        </is>
      </c>
      <c r="M25" s="26" t="inlineStr">
        <is>
          <t>Hakediş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9" t="n">
        <v>46181</v>
      </c>
      <c r="D26" s="26" t="inlineStr">
        <is>
          <t>BEKLIYOR</t>
        </is>
      </c>
      <c r="E26" s="26" t="inlineStr">
        <is>
          <t>IPTAL</t>
        </is>
      </c>
      <c r="F26" s="27" t="n">
        <v>362500</v>
      </c>
      <c r="G26" s="27" t="n">
        <v>362500</v>
      </c>
      <c r="H26" s="27" t="n">
        <v>362500</v>
      </c>
      <c r="I26" s="27" t="n">
        <v>362500</v>
      </c>
      <c r="J26" s="27" t="n">
        <v>0</v>
      </c>
      <c r="K26" s="27" t="n">
        <v>362500</v>
      </c>
      <c r="L26" s="26" t="inlineStr">
        <is>
          <t>2026-08</t>
        </is>
      </c>
      <c r="M26" s="26" t="inlineStr">
        <is>
          <t>Hakediş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HAK-00022</t>
        </is>
      </c>
      <c r="B27" s="26" t="n"/>
      <c r="C27" s="29" t="n">
        <v>46178</v>
      </c>
      <c r="D27" s="26" t="inlineStr">
        <is>
          <t>DRAFT</t>
        </is>
      </c>
      <c r="E27" s="26" t="inlineStr">
        <is>
          <t>BEKLIYOR</t>
        </is>
      </c>
      <c r="F27" s="27" t="n">
        <v>375000</v>
      </c>
      <c r="G27" s="27" t="n">
        <v>375000</v>
      </c>
      <c r="H27" s="27" t="n">
        <v>375000</v>
      </c>
      <c r="I27" s="27" t="n">
        <v>375000</v>
      </c>
      <c r="J27" s="27" t="n">
        <v>0</v>
      </c>
      <c r="K27" s="27" t="n">
        <v>375000</v>
      </c>
      <c r="L27" s="26" t="inlineStr">
        <is>
          <t>2026-08</t>
        </is>
      </c>
      <c r="M27" s="26" t="inlineStr">
        <is>
          <t>Hakediş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9" t="n">
        <v>46175</v>
      </c>
      <c r="D28" s="26" t="inlineStr">
        <is>
          <t>BEKLIYOR</t>
        </is>
      </c>
      <c r="E28" s="26" t="inlineStr">
        <is>
          <t>ONAY</t>
        </is>
      </c>
      <c r="F28" s="27" t="n">
        <v>387500</v>
      </c>
      <c r="G28" s="27" t="n">
        <v>387500</v>
      </c>
      <c r="H28" s="27" t="n">
        <v>387500</v>
      </c>
      <c r="I28" s="27" t="n">
        <v>387500</v>
      </c>
      <c r="J28" s="27" t="n">
        <v>0</v>
      </c>
      <c r="K28" s="27" t="n">
        <v>387500</v>
      </c>
      <c r="L28" s="26" t="inlineStr">
        <is>
          <t>2026-08</t>
        </is>
      </c>
      <c r="M28" s="26" t="inlineStr">
        <is>
          <t>Hakediş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9" t="n">
        <v>46172</v>
      </c>
      <c r="D29" s="26" t="inlineStr">
        <is>
          <t>ONAY</t>
        </is>
      </c>
      <c r="E29" s="26" t="inlineStr">
        <is>
          <t>BEKLIYOR</t>
        </is>
      </c>
      <c r="F29" s="27" t="n">
        <v>400000</v>
      </c>
      <c r="G29" s="27" t="n">
        <v>400000</v>
      </c>
      <c r="H29" s="27" t="n">
        <v>400000</v>
      </c>
      <c r="I29" s="27" t="n">
        <v>400000</v>
      </c>
      <c r="J29" s="27" t="n">
        <v>0</v>
      </c>
      <c r="K29" s="27" t="n">
        <v>400000</v>
      </c>
      <c r="L29" s="26" t="inlineStr">
        <is>
          <t>2026-08</t>
        </is>
      </c>
      <c r="M29" s="26" t="inlineStr">
        <is>
          <t>Hakediş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9" t="n">
        <v>46244</v>
      </c>
      <c r="D30" s="26" t="n"/>
      <c r="E30" s="26" t="inlineStr">
        <is>
          <t>DRAFT</t>
        </is>
      </c>
      <c r="F30" s="27" t="n">
        <v>412500</v>
      </c>
      <c r="G30" s="27" t="n">
        <v>412500</v>
      </c>
      <c r="H30" s="27" t="n">
        <v>412500</v>
      </c>
      <c r="I30" s="27" t="n">
        <v>412500</v>
      </c>
      <c r="J30" s="27" t="n">
        <v>0</v>
      </c>
      <c r="K30" s="27" t="n">
        <v>412500</v>
      </c>
      <c r="L30" s="26" t="inlineStr">
        <is>
          <t>2026-08</t>
        </is>
      </c>
      <c r="M30" s="26" t="inlineStr">
        <is>
          <t>Hakediş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9" t="n">
        <v>46241</v>
      </c>
      <c r="D31" s="26" t="inlineStr">
        <is>
          <t>DRAFT</t>
        </is>
      </c>
      <c r="E31" s="26" t="inlineStr">
        <is>
          <t>BEKLIYOR</t>
        </is>
      </c>
      <c r="F31" s="27" t="n">
        <v>425000</v>
      </c>
      <c r="G31" s="27" t="n">
        <v>425000</v>
      </c>
      <c r="H31" s="27" t="n">
        <v>425000</v>
      </c>
      <c r="I31" s="27" t="n">
        <v>425000</v>
      </c>
      <c r="J31" s="27" t="n">
        <v>0</v>
      </c>
      <c r="K31" s="27" t="n">
        <v>425000</v>
      </c>
      <c r="L31" s="26" t="inlineStr">
        <is>
          <t>2026-08</t>
        </is>
      </c>
      <c r="M31" s="26" t="inlineStr">
        <is>
          <t>Hakediş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9" t="n">
        <v>46238</v>
      </c>
      <c r="D32" s="26" t="inlineStr">
        <is>
          <t>BEKLIYOR</t>
        </is>
      </c>
      <c r="E32" s="26" t="inlineStr">
        <is>
          <t>ONAY</t>
        </is>
      </c>
      <c r="F32" s="27" t="n">
        <v>437500</v>
      </c>
      <c r="G32" s="27" t="n">
        <v>437500</v>
      </c>
      <c r="H32" s="27" t="n">
        <v>437500</v>
      </c>
      <c r="I32" s="27" t="n">
        <v>437500</v>
      </c>
      <c r="J32" s="27" t="n">
        <v>0</v>
      </c>
      <c r="K32" s="27" t="n">
        <v>437500</v>
      </c>
      <c r="L32" s="26" t="inlineStr">
        <is>
          <t>2026-08</t>
        </is>
      </c>
      <c r="M32" s="26" t="inlineStr">
        <is>
          <t>Hakediş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450000</v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6" t="inlineStr">
        <is>
          <t>2026-08</t>
        </is>
      </c>
      <c r="M33" s="26" t="inlineStr">
        <is>
          <t>Hakediş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G6:G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H6:H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I6:I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J6:J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Yönetim Sistemi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COUNTIFS(tblAkis[YasGun],"&gt;"&amp;ihy_esikGecikmeGun,tblAkis[Durum],"&lt;&gt;ODEME",tblAkis[Durum],"&lt;&gt;IPTAL",tblAkis[Tutar],"&gt;0")</f>
        <v/>
      </c>
      <c r="C9" s="21">
        <f>SUMIFS(tblAkis[Tutar],tblAkis[YasGun],"&gt;"&amp;ihy_esikGecikmeGun,tblAkis[Durum],"&lt;&gt;ODEME",tblAkis[Durum],"&lt;&gt;IPTAL")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ihy_kuyrukOzeti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5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Yönetim Sistemi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C9+C10+C11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C12+C13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COUNTIFS(tblAkis[YasGun],"&gt;"&amp;ihy_esikGecikmeGun,tblAkis[Durum],"&lt;&gt;ODEME",tblAkis[Durum],"&lt;&gt;IPTAL",tblAkis[Tutar],"&gt;0")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SUMIFS(tblAkis[Tutar],tblAkis[YasGun],"&gt;"&amp;ihy_esikGecikmeGun,tblAkis[Durum],"&lt;&gt;ODEME",tblAkis[Durum],"&lt;&gt;IPTAL")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C27*ihy_gecikmeOranGun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C16*ihy_senaryoTemkinli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C16*ihy_senaryoBaz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C16*ihy_senaryoIyimser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C31-C29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C16*ihy_tornadoOran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SUMIFS(tblAkis[Tutar],tblAkis[Durum],"ONAY",tblAkis[YasGun],"&gt;"&amp;ihy_esikGecikmeGun)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IFERROR(C27/MAX(C16,1),0)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1">
        <f>IFERROR(_xlfn.PERCENTILE.INC(tblAkis[Tutar],ihy_yuzdelikOran),0)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1">
        <f>IFERROR(FORECAST(COUNTA(tblAkis[IslemId])+1,tblAkis[Tutar],tblAkis[KayitDolu]),C36)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IFERROR((C36+C37)/2,0)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IFERROR(C3/MAX(C40,1),0)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",TRUE,"Bekliyor",C10,"Onay",C11,"Geciken",C26)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_xlfn.TEXTJOIN("/",TRUE,C21,C22,C23,C24)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IF(C1=0,0,MAX(0,100-C17*10-C18*10-C19*10-C26*2))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IF(C1=0,0,C2/MAX(C1,1))</f>
        <v/>
      </c>
    </row>
    <row r="54">
      <c r="A54" s="30" t="inlineStr">
        <is>
          <t>Senaryo</t>
        </is>
      </c>
      <c r="B54" s="30" t="inlineStr">
        <is>
          <t>Çarpan</t>
        </is>
      </c>
      <c r="C54" s="30" t="inlineStr">
        <is>
          <t>Sonuç</t>
        </is>
      </c>
    </row>
    <row r="55">
      <c r="A55" s="7" t="inlineStr">
        <is>
          <t>Temkinli</t>
        </is>
      </c>
      <c r="B55" s="35">
        <f>ihy_senaryoTemkinli*IF(COUNTA(tblAkis[IslemId])&gt;=0,1,1)</f>
        <v/>
      </c>
      <c r="C55" s="21">
        <f>C29</f>
        <v/>
      </c>
    </row>
    <row r="56">
      <c r="A56" s="7" t="inlineStr">
        <is>
          <t>Baz</t>
        </is>
      </c>
      <c r="B56" s="35">
        <f>ihy_senaryoBaz*IF(COUNTA(tblAkis[IslemId])&gt;=0,1,1)</f>
        <v/>
      </c>
      <c r="C56" s="21">
        <f>C30</f>
        <v/>
      </c>
    </row>
    <row r="57">
      <c r="A57" s="7" t="inlineStr">
        <is>
          <t>İyimser</t>
        </is>
      </c>
      <c r="B57" s="35">
        <f>ihy_senaryoIyimser*IF(COUNTA(tblAkis[IslemId])&gt;=0,1,1)</f>
        <v/>
      </c>
      <c r="C57" s="21">
        <f>C31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Yönetim Sistemi</t>
        </is>
      </c>
    </row>
    <row r="3" ht="28" customHeight="1">
      <c r="A3" s="36" t="inlineStr">
        <is>
          <t>Dönemsel Hakediş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ihy_acikAdet</f>
        <v/>
      </c>
    </row>
    <row r="10">
      <c r="A10" s="7" t="inlineStr">
        <is>
          <t>Açık Tutar</t>
        </is>
      </c>
      <c r="B10" s="31">
        <f>ihy_acikTutar</f>
        <v/>
      </c>
    </row>
    <row r="11">
      <c r="A11" s="7" t="inlineStr">
        <is>
          <t>Gecikme Maliyeti</t>
        </is>
      </c>
      <c r="B11" s="31">
        <f>ihy_gecikmeMaliyeti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 Geçiş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Tahmin Aralık</t>
        </is>
      </c>
      <c r="B15" s="31">
        <f>ihy_tahminAralik</f>
        <v/>
      </c>
    </row>
    <row r="16">
      <c r="A16" s="7" t="inlineStr">
        <is>
          <t>Kanıt Özeti</t>
        </is>
      </c>
      <c r="B16" s="24">
        <f>ihy_kanitRaporu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teklif/hakediş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Yönetim Sistemi | Kanıt&amp;CExcelArşiv&amp;RSayfa &amp;P / &amp;N</oddFooter>
    <evenHeader/>
    <evenFooter>&amp;Lİnşaat Hakediş Yönetim Sistemi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Yönetim Sistemi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HESAP!C44</f>
        <v/>
      </c>
    </row>
    <row r="17">
      <c r="A17" s="7" t="inlineStr">
        <is>
          <t>Açık tutar</t>
        </is>
      </c>
      <c r="B17" s="31">
        <f>ihy_acikTutar</f>
        <v/>
      </c>
    </row>
    <row r="18">
      <c r="A18" s="7" t="inlineStr">
        <is>
          <t>Gecikme maliyeti</t>
        </is>
      </c>
      <c r="B18" s="31">
        <f>ihy_gecikmeMaliyeti</f>
        <v/>
      </c>
    </row>
    <row r="19">
      <c r="A19" s="7" t="inlineStr">
        <is>
          <t>Kapalı düşüm</t>
        </is>
      </c>
      <c r="B19" s="31">
        <f>ihy_kapaliDusum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Yönetim Sistemi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İnşaat Hakediş Yönetim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Yönetim Sistemi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ihy_esikGecikmeGun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ihy_esikGeciken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ihy_gecikmeOranGun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ihy_senaryoTemkinli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ihy_senaryoBaz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ihy_senaryoIyimser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ihy_tornadoOran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ihy_yuzdelikOran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ihy_olcekHedef</t>
        </is>
      </c>
      <c r="B16" s="39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ihy_azamiTutar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ihy_durumHaritasi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ihy_kuyrukOzeti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ihy_kapaliDusum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ihy_kanitRaporu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ihy_dosyaSurumu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ihy_firmaUnvan</t>
        </is>
      </c>
      <c r="B23" s="26" t="inlineStr">
        <is>
          <t>Örnek İnşaat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DRAFT</t>
        </is>
      </c>
      <c r="I28" s="7" t="inlineStr">
        <is>
          <t>Taslak</t>
        </is>
      </c>
      <c r="J28" s="20" t="n">
        <v>1</v>
      </c>
      <c r="K28" s="7" t="inlineStr">
        <is>
          <t>BEKLIYOR</t>
        </is>
      </c>
      <c r="L28" s="7" t="inlineStr">
        <is>
          <t>acik</t>
        </is>
      </c>
    </row>
    <row r="29">
      <c r="H29" s="7" t="inlineStr">
        <is>
          <t>BEKLIYOR</t>
        </is>
      </c>
      <c r="I29" s="7" t="inlineStr">
        <is>
          <t>Bekliyor</t>
        </is>
      </c>
      <c r="J29" s="20" t="n">
        <v>2</v>
      </c>
      <c r="K29" s="7" t="inlineStr">
        <is>
          <t>ONAY|IPTAL</t>
        </is>
      </c>
      <c r="L29" s="7" t="inlineStr">
        <is>
          <t>acik</t>
        </is>
      </c>
    </row>
    <row r="30">
      <c r="H30" s="7" t="inlineStr">
        <is>
          <t>ONAY</t>
        </is>
      </c>
      <c r="I30" s="7" t="inlineStr">
        <is>
          <t>Onaylandı</t>
        </is>
      </c>
      <c r="J30" s="20" t="n">
        <v>3</v>
      </c>
      <c r="K30" s="7" t="inlineStr">
        <is>
          <t>ODEME|IPTAL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0" t="inlineStr">
        <is>
          <t>anahtar</t>
        </is>
      </c>
      <c r="I37" s="30" t="inlineStr">
        <is>
          <t>deger</t>
        </is>
      </c>
    </row>
    <row r="38">
      <c r="H38" s="7" t="inlineStr">
        <is>
          <t>ihy_acikAdet</t>
        </is>
      </c>
      <c r="I38" s="8">
        <f>HESAP!C14</f>
        <v/>
      </c>
    </row>
    <row r="39">
      <c r="H39" s="7" t="inlineStr">
        <is>
          <t>ihy_acikTutar</t>
        </is>
      </c>
      <c r="I39" s="8">
        <f>HESAP!C16</f>
        <v/>
      </c>
    </row>
    <row r="40">
      <c r="H40" s="7" t="inlineStr">
        <is>
          <t>ihy_gecikenAdet</t>
        </is>
      </c>
      <c r="I40" s="8">
        <f>HESAP!C26</f>
        <v/>
      </c>
    </row>
    <row r="41">
      <c r="H41" s="7" t="inlineStr">
        <is>
          <t>ihy_gecikmeMaliyeti</t>
        </is>
      </c>
      <c r="I41" s="8">
        <f>HESAP!C28</f>
        <v/>
      </c>
    </row>
    <row r="42">
      <c r="H42" s="7" t="inlineStr">
        <is>
          <t>ihy_yetimKayit</t>
        </is>
      </c>
      <c r="I42" s="8">
        <f>HESAP!C17</f>
        <v/>
      </c>
    </row>
    <row r="43">
      <c r="H43" s="7" t="inlineStr">
        <is>
          <t>ihy_gecersizGecis</t>
        </is>
      </c>
      <c r="I43" s="8">
        <f>HESAP!C18</f>
        <v/>
      </c>
    </row>
    <row r="44">
      <c r="H44" s="7" t="inlineStr">
        <is>
          <t>ihy_zincirKirik</t>
        </is>
      </c>
      <c r="I44" s="8">
        <f>HESAP!C19</f>
        <v/>
      </c>
    </row>
    <row r="45">
      <c r="H45" s="7" t="inlineStr">
        <is>
          <t>ihy_yasKova</t>
        </is>
      </c>
      <c r="I45" s="8">
        <f>HESAP!C43</f>
        <v/>
      </c>
    </row>
    <row r="46">
      <c r="H46" s="7" t="inlineStr">
        <is>
          <t>ihy_tahminAralik</t>
        </is>
      </c>
      <c r="I46" s="8">
        <f>HESAP!C38</f>
        <v/>
      </c>
    </row>
    <row r="47">
      <c r="H47" s="7" t="inlineStr">
        <is>
          <t>ihy_senaryoKarsilastirma</t>
        </is>
      </c>
      <c r="I47" s="8">
        <f>HESAP!C32</f>
        <v/>
      </c>
    </row>
    <row r="48">
      <c r="H48" s="7" t="inlineStr">
        <is>
          <t>ihy_tornadoZirve</t>
        </is>
      </c>
      <c r="I48" s="8">
        <f>HESAP!C33</f>
        <v/>
      </c>
    </row>
    <row r="49">
      <c r="H49" s="7" t="inlineStr">
        <is>
          <t>ihy_odemeOncelik</t>
        </is>
      </c>
      <c r="I49" s="8">
        <f>HESAP!C34</f>
        <v/>
      </c>
    </row>
    <row r="50">
      <c r="H50" s="7" t="inlineStr">
        <is>
          <t>ihy_paretoGecikme</t>
        </is>
      </c>
      <c r="I50" s="8">
        <f>HESAP!C35</f>
        <v/>
      </c>
    </row>
    <row r="51">
      <c r="H51" s="7" t="inlineStr">
        <is>
          <t>ihy_kapaliDusum</t>
        </is>
      </c>
      <c r="I51" s="8">
        <f>HESAP!C15</f>
        <v/>
      </c>
    </row>
    <row r="52">
      <c r="H52" s="7" t="inlineStr">
        <is>
          <t>ihy_kuyrukOzeti</t>
        </is>
      </c>
      <c r="I52" s="8">
        <f>HESAP!C42</f>
        <v/>
      </c>
    </row>
    <row r="53">
      <c r="H53" s="7" t="inlineStr">
        <is>
          <t>ihy_kanitRaporu</t>
        </is>
      </c>
      <c r="I53" s="8">
        <f>_xlfn.TEXTJOIN(" | ",TRUE,"Açık",HESAP!C14,"Yetim",HESAP!C17,"Zincir",HESAP!C19,"Geciken",HESAP!C26)</f>
        <v/>
      </c>
    </row>
    <row r="54">
      <c r="H54" s="7" t="inlineStr">
        <is>
          <t>ihy_sonrakiKimlik</t>
        </is>
      </c>
      <c r="I54" s="8">
        <f>"KAR-"&amp;TEXT(COUNTA(tblKartlar[KartId])+1,"00000")</f>
        <v/>
      </c>
    </row>
    <row r="56">
      <c r="H56" s="16" t="inlineStr">
        <is>
          <t>Yorumlar</t>
        </is>
      </c>
    </row>
    <row r="57">
      <c r="H57" s="7" t="inlineStr">
        <is>
          <t>ihy_yorumYas</t>
        </is>
      </c>
      <c r="I57" s="8">
        <f>_xlfn.TEXTJOIN(" ",TRUE,"Yaş kovaları",ihy_yasKova)</f>
        <v/>
      </c>
    </row>
    <row r="58">
      <c r="H58" s="7" t="inlineStr">
        <is>
          <t>ihy_yorumGecikme</t>
        </is>
      </c>
      <c r="I58" s="8">
        <f>_xlfn.TEXTJOIN(" ",TRUE,"Gecikme maliyeti",TEXT(ihy_gecikmeMaliyeti,"0.00"),"TL")</f>
        <v/>
      </c>
    </row>
    <row r="59">
      <c r="H59" s="7" t="inlineStr">
        <is>
          <t>ihy_yorumTahmin</t>
        </is>
      </c>
      <c r="I59" s="8">
        <f>_xlfn.TEXTJOIN(" ",TRUE,"Tahmin aralık",TEXT(ihy_tahminAralik,"0.00"),"TL")</f>
        <v/>
      </c>
    </row>
    <row r="60">
      <c r="H60" s="7" t="inlineStr">
        <is>
          <t>ihy_yorumSenaryo</t>
        </is>
      </c>
      <c r="I60" s="8">
        <f>_xlfn.TEXTJOIN(" ",TRUE,"Senaryo farkı",TEXT(ihy_senaryoKarsilastirma,"0.00"),"TL")</f>
        <v/>
      </c>
    </row>
    <row r="61">
      <c r="H61" s="7" t="inlineStr">
        <is>
          <t>ihy_yorumTornado</t>
        </is>
      </c>
      <c r="I61" s="8">
        <f>_xlfn.TEXTJOIN(" ",TRUE,"Tornado zirve",TEXT(ihy_tornadoZirve,"0.00"),"TL")</f>
        <v/>
      </c>
    </row>
    <row r="62">
      <c r="H62" s="7" t="inlineStr">
        <is>
          <t>ihy_yorumOncelik</t>
        </is>
      </c>
      <c r="I62" s="8">
        <f>_xlfn.TEXTJOIN(" ",TRUE,"Ödeme öncelik havuzu",TEXT(ihy_odemeOncelik,"0.00"),"TL")</f>
        <v/>
      </c>
    </row>
    <row r="63">
      <c r="H63" s="7" t="inlineStr">
        <is>
          <t>ihy_yorumPareto</t>
        </is>
      </c>
      <c r="I63" s="8">
        <f>_xlfn.TEXTJOIN(" ",TRUE,"Pareto gecikme payı",TEXT(ihy_paretoGecikme,"0.0%"))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Yönetim Sistemi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taşeron/proje kartı ekleyin; sonraki kimliği kullanın.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2026-08-10T20:56:03Z</dcterms:created>
  <dcterms:modified xmlns:dcterms="http://purl.org/dc/terms/" xmlns:xsi="http://www.w3.org/2001/XMLSchema-instance" xsi:type="dcterms:W3CDTF">2026-09-25T14:23:13Z</dcterms:modified>
</cp:coreProperties>
</file>