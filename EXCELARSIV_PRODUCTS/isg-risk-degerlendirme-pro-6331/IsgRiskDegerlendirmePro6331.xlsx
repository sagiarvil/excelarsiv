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ENVANTER" sheetId="11" state="visible" r:id="rId11"/>
    <sheet xmlns:r="http://schemas.openxmlformats.org/officeDocument/2006/relationships" name="DEGERLENDIRME" sheetId="12" state="visible" r:id="rId12"/>
    <sheet xmlns:r="http://schemas.openxmlformats.org/officeDocument/2006/relationships" name="EYLEM_PLANI" sheetId="13" state="visible" r:id="rId13"/>
    <sheet xmlns:r="http://schemas.openxmlformats.org/officeDocument/2006/relationships" name="AKIS" sheetId="14" state="visible" r:id="rId14"/>
    <sheet xmlns:r="http://schemas.openxmlformats.org/officeDocument/2006/relationships" name="KANIT_RAPORU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isg_matrisTipi">AYARLAR!$B$8</definedName>
    <definedName name="isg_esikGecikmeGun">AYARLAR!$B$9</definedName>
    <definedName name="isg_esikGeciken">AYARLAR!$B$10</definedName>
    <definedName name="isg_esikKritik">AYARLAR!$B$11</definedName>
    <definedName name="isg_esikKritikSeviye">AYARLAR!$B$12</definedName>
    <definedName name="isg_esikYuksek">AYARLAR!$B$13</definedName>
    <definedName name="isg_esikOrta">AYARLAR!$B$14</definedName>
    <definedName name="isg_esikAnomali">AYARLAR!$B$15</definedName>
    <definedName name="isg_gecikmeOranGun">AYARLAR!$B$16</definedName>
    <definedName name="isg_senaryoTemkinli">AYARLAR!$B$17</definedName>
    <definedName name="isg_senaryoBaz">AYARLAR!$B$18</definedName>
    <definedName name="isg_senaryoIyimser">AYARLAR!$B$19</definedName>
    <definedName name="isg_tornadoOran">AYARLAR!$B$20</definedName>
    <definedName name="isg_yuzdelikOran">AYARLAR!$B$21</definedName>
    <definedName name="isg_yenilemeTarihi">AYARLAR!$B$22</definedName>
    <definedName name="isg_olcekHedef">AYARLAR!$B$23</definedName>
    <definedName name="isg_azamiSkor">AYARLAR!$B$24</definedName>
    <definedName name="isg_dosyaSurumu">AYARLAR!$B$25</definedName>
    <definedName name="isg_firmaUnvan">AYARLAR!$B$26</definedName>
    <definedName name="isg_puanlamaMatrisi">AYARLAR!$B$27</definedName>
    <definedName name="isg_eylemDurum">AYARLAR!$B$28</definedName>
    <definedName name="isg_kvkkBeyani">AYARLAR!$B$29</definedName>
    <definedName name="isg_tehlikeAdet">AYARLAR!$I$43</definedName>
    <definedName name="isg_kritikAdet">AYARLAR!$I$44</definedName>
    <definedName name="isg_ortalamaSkor">AYARLAR!$I$45</definedName>
    <definedName name="isg_uyumOrani">AYARLAR!$I$46</definedName>
    <definedName name="isg_acikAdet">AYARLAR!$I$47</definedName>
    <definedName name="isg_gecikenAdet">AYARLAR!$I$48</definedName>
    <definedName name="isg_yetimKayit">AYARLAR!$I$49</definedName>
    <definedName name="isg_gecersizGecis">AYARLAR!$I$50</definedName>
    <definedName name="isg_zincirKirik">AYARLAR!$I$51</definedName>
    <definedName name="isg_eylemYas">AYARLAR!$I$52</definedName>
    <definedName name="isg_tahminAralik">AYARLAR!$I$53</definedName>
    <definedName name="isg_senaryoKarsilastirma">AYARLAR!$I$54</definedName>
    <definedName name="isg_tornadoZirve">AYARLAR!$I$55</definedName>
    <definedName name="isg_eylemOncelik">AYARLAR!$I$56</definedName>
    <definedName name="isg_paretoKritik">AYARLAR!$I$57</definedName>
    <definedName name="isg_gecikmeMaliyeti">AYARLAR!$I$58</definedName>
    <definedName name="isg_anomaliSayisi">AYARLAR!$I$59</definedName>
    <definedName name="isg_skorDagilim">AYARLAR!$I$60</definedName>
    <definedName name="isg_kapaliDusum">AYARLAR!$I$61</definedName>
    <definedName name="isg_kuyrukOzeti">AYARLAR!$I$62</definedName>
    <definedName name="isg_maddeAtif">AYARLAR!$I$63</definedName>
    <definedName name="isg_yenilemeTakvim">AYARLAR!$I$64</definedName>
    <definedName name="isg_revizyonGecmisi">AYARLAR!$I$65</definedName>
    <definedName name="isg_kanitRaporu">AYARLAR!$I$66</definedName>
    <definedName name="isg_sonrakiKimlik">AYARLAR!$I$67</definedName>
    <definedName name="isg_yorumEylemYas">AYARLAR!$I$70</definedName>
    <definedName name="isg_yorumGecikme">AYARLAR!$I$71</definedName>
    <definedName name="isg_yorumTahmin">AYARLAR!$I$72</definedName>
    <definedName name="isg_yorumSenaryo">AYARLAR!$I$73</definedName>
    <definedName name="isg_yorumTornado">AYARLAR!$I$74</definedName>
    <definedName name="isg_yorumOncelik">AYARLAR!$I$75</definedName>
    <definedName name="isg_yorumPareto">AYARLAR!$I$76</definedName>
    <definedName name="isg_yorumAnomali">AYARLAR!$I$77</definedName>
    <definedName name="ListeDurumlar">LISTELER!$A$7:$A$11</definedName>
    <definedName name="ListeIzinliGecis">LISTELER!$C$7:$C$14</definedName>
    <definedName name="ListeEvetHayir">LISTELER!$E$7:$E$8</definedName>
    <definedName name="ListeMadde">LISTELER!$G$7:$G$9</definedName>
    <definedName name="ListeMatris">LISTELER!$I$7:$I$8</definedName>
    <definedName name="_xlnm.Print_Area" localSheetId="14">'KANIT_RAPORU'!$A$1:$H$38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0.0%;[Red](0.0%);-"/>
    <numFmt numFmtId="166" formatCode="₺ #,##0;[Red](₺ #,##0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satırda kullanın | Örnek: TEH-00025 | Risk: Elle çakışma</t>
      </text>
    </comment>
    <comment ref="A6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6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6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6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6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6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6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6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6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7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7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7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7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7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7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7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7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7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8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8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8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8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8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8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8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8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8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9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9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9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9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9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9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9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9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9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0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0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0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0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0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0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0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0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0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1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1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1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1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1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1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1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1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1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2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2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2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2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2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2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2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2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2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3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3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3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3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3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3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3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3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3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4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4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4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4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4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4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4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4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4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5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5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5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5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5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5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5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5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5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6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6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6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6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6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6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6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6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6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7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7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7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7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7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7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7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7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7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8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8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8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8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8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8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8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8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8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19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19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19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19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19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19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19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19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19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0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0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0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0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0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0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0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0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0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1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1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1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1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1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1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1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1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1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2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2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2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2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2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2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2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2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2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3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3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3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3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3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3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3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3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3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4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4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4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4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4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4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4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4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4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5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5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5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5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5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5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5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5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5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6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6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6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6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6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6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6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6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6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7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7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7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7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7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7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7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7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7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8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8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8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8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8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8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8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8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8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29" authorId="0" shapeId="0">
      <text>
        <t>Tanım: Tehlike Kimliği | Neden önemli: Risk skoru ve eylem planını etkiler | Doğru kullanım: TEH-##### formatında | Örnek: hücredeki örnek değere bakın | Risk: Yanlış giriş hatalı karar üretir</t>
      </text>
    </comment>
    <comment ref="B29" authorId="0" shapeId="0">
      <text>
        <t>Tanım: Bölüm | Neden önemli: Risk skoru ve eylem planını etkiler | Doğru kullanım: İş alanı / bölüm | Örnek: hücredeki örnek değere bakın | Risk: Yanlış giriş hatalı karar üretir</t>
      </text>
    </comment>
    <comment ref="C29" authorId="0" shapeId="0">
      <text>
        <t>Tanım: Tehlike Adı | Neden önemli: Risk skoru ve eylem planını etkiler | Doğru kullanım: Kısa tehlike tanımı | Örnek: hücredeki örnek değere bakın | Risk: Yanlış giriş hatalı karar üretir</t>
      </text>
    </comment>
    <comment ref="D29" authorId="0" shapeId="0">
      <text>
        <t>Tanım: Madde Atıf | Neden önemli: Risk skoru ve eylem planını etkiler | Doğru kullanım: ISG-001 / ISG-002 / ISG-003 | Örnek: hücredeki örnek değere bakın | Risk: Yanlış giriş hatalı karar üretir</t>
      </text>
    </comment>
    <comment ref="E29" authorId="0" shapeId="0">
      <text>
        <t>Tanım: Olasılık | Neden önemli: Risk skoru ve eylem planını etkiler | Doğru kullanım: 1-5 arası | Örnek: hücredeki örnek değere bakın | Risk: Yanlış giriş hatalı karar üretir</t>
      </text>
    </comment>
    <comment ref="F29" authorId="0" shapeId="0">
      <text>
        <t>Tanım: Şiddet | Neden önemli: Risk skoru ve eylem planını etkiler | Doğru kullanım: 1-5 arası | Örnek: hücredeki örnek değere bakın | Risk: Yanlış giriş hatalı karar üretir</t>
      </text>
    </comment>
    <comment ref="G29" authorId="0" shapeId="0">
      <text>
        <t>Tanım: Frekans | Neden önemli: Risk skoru ve eylem planını etkiler | Doğru kullanım: Fine-Kinney için 1-5 | Örnek: hücredeki örnek değere bakın | Risk: Yanlış giriş hatalı karar üretir</t>
      </text>
    </comment>
    <comment ref="H29" authorId="0" shapeId="0">
      <text>
        <t>Tanım: Mevcut Kontrol | Neden önemli: Risk skoru ve eylem planını etkiler | Doğru kullanım: Mevcut önlem özeti | Örnek: hücredeki örnek değere bakın | Risk: Yanlış giriş hatalı karar üretir</t>
      </text>
    </comment>
    <comment ref="I29" authorId="0" shapeId="0">
      <text>
        <t>Tanım: Aktif | Neden önemli: Risk skoru ve eylem planını etkiler | Doğru kullanım: EVET veya HAYIR | Örnek: hücredeki örnek değere bakın | Risk: Yanlış giriş hatalı karar üretir</t>
      </text>
    </comment>
    <comment ref="A3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3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3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3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3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3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3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3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3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3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4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4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4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4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4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4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4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4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4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5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5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5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5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5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5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5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5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5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6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6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6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6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6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6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6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6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6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7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7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7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7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7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7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7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7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7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8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8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8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8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8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8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8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8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8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9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9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9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9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9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9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9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9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9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0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0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0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0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0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0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0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0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0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1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1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1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1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1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1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1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1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1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2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2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2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2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2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2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2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2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2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3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3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3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3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3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3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3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3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3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4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4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4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4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4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4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4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4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4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5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5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5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5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5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5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5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5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5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6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6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6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6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6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6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6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6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6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7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7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7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7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7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7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7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7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7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8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8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8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8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8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8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8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8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8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6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6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6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6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6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6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6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6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6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7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7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7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7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7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7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7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7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7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8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8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8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8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8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8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8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8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8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199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199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199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199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199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199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199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199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199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0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0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0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0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0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0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0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0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0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1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1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1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1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1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1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1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1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1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2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2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2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2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2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2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2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2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2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3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3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3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3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3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3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3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3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3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4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4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4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4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4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4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4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4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4" authorId="0" shapeId="0">
      <text>
        <t>Tanım: Aktif | Neden önemli: Risk skoru ve eylem planını etkiler | Doğru kullanım: Manuel giriş | Örnek: hücredeki örnek değere bakın | Risk: Yanlış giriş hatalı karar üretir</t>
      </text>
    </comment>
    <comment ref="A205" authorId="0" shapeId="0">
      <text>
        <t>Tanım: TehlikeId | Neden önemli: Risk skoru ve eylem planını etkiler | Doğru kullanım: Manuel giriş | Örnek: hücredeki örnek değere bakın | Risk: Yanlış giriş hatalı karar üretir</t>
      </text>
    </comment>
    <comment ref="B205" authorId="0" shapeId="0">
      <text>
        <t>Tanım: Bolum | Neden önemli: Risk skoru ve eylem planını etkiler | Doğru kullanım: Manuel giriş | Örnek: hücredeki örnek değere bakın | Risk: Yanlış giriş hatalı karar üretir</t>
      </text>
    </comment>
    <comment ref="C205" authorId="0" shapeId="0">
      <text>
        <t>Tanım: TehlikeAdi | Neden önemli: Risk skoru ve eylem planını etkiler | Doğru kullanım: Manuel giriş | Örnek: hücredeki örnek değere bakın | Risk: Yanlış giriş hatalı karar üretir</t>
      </text>
    </comment>
    <comment ref="D205" authorId="0" shapeId="0">
      <text>
        <t>Tanım: MaddeAtif | Neden önemli: Risk skoru ve eylem planını etkiler | Doğru kullanım: Manuel giriş | Örnek: hücredeki örnek değere bakın | Risk: Yanlış giriş hatalı karar üretir</t>
      </text>
    </comment>
    <comment ref="E205" authorId="0" shapeId="0">
      <text>
        <t>Tanım: Olasilik | Neden önemli: Risk skoru ve eylem planını etkiler | Doğru kullanım: Manuel giriş | Örnek: hücredeki örnek değere bakın | Risk: Yanlış giriş hatalı karar üretir</t>
      </text>
    </comment>
    <comment ref="F205" authorId="0" shapeId="0">
      <text>
        <t>Tanım: Siddet | Neden önemli: Risk skoru ve eylem planını etkiler | Doğru kullanım: Manuel giriş | Örnek: hücredeki örnek değere bakın | Risk: Yanlış giriş hatalı karar üretir</t>
      </text>
    </comment>
    <comment ref="G205" authorId="0" shapeId="0">
      <text>
        <t>Tanım: Frekans | Neden önemli: Risk skoru ve eylem planını etkiler | Doğru kullanım: Manuel giriş | Örnek: hücredeki örnek değere bakın | Risk: Yanlış giriş hatalı karar üretir</t>
      </text>
    </comment>
    <comment ref="H205" authorId="0" shapeId="0">
      <text>
        <t>Tanım: MevcutKontrol | Neden önemli: Risk skoru ve eylem planını etkiler | Doğru kullanım: Manuel giriş | Örnek: hücredeki örnek değere bakın | Risk: Yanlış giriş hatalı karar üretir</t>
      </text>
    </comment>
    <comment ref="I205" authorId="0" shapeId="0">
      <text>
        <t>Tanım: Aktif | Neden önemli: Risk skoru ve eylem planını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6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6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6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6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6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6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6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6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6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6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7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7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7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7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7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7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7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7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7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7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7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8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8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8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8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8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8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8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8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8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8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8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9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9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9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9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9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9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9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9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9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9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9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0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0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0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0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0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0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0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0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0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0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0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1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1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1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1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1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1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1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1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1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1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1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2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2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2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2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2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2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2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2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2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2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2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3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3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3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3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3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3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3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3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3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3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3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4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4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4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4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4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4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4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4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4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4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4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5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5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5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5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5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5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5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5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5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5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5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6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6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6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6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6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6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6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6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6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6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6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7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7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7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7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7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7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7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7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7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7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7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8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8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8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8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8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8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8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8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8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8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8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19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19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19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19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19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19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19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19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19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19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19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0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0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0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0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0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0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0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0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0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0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0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1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1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1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1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1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1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1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1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1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1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1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2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2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2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2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2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2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2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2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2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2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2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3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3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3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3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3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3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3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3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3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3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3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4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4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4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4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4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4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4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4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4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4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4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5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5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5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5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5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5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5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5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5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5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5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6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6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6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6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6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6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6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6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6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6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6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7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7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7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7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7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7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7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7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7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7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7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8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8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8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8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8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8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8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8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8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8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8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29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29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29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29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29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29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29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29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29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29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29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30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30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30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30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30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30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30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30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30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30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30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31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31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31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31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31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31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31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31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31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31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31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32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32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32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32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32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32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32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32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32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32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32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33" authorId="0" shapeId="0">
      <text>
        <t>Tanım: Eylem Kimliği | Neden önemli: Risk skoru ve eylem planını etkiler | Doğru kullanım: EYL-##### | Örnek: hücredeki örnek değere bakın | Risk: Yanlış giriş hatalı karar üretir</t>
      </text>
    </comment>
    <comment ref="B33" authorId="0" shapeId="0">
      <text>
        <t>Tanım: Kaynak Tehlike | Neden önemli: Risk skoru ve eylem planını etkiler | Doğru kullanım: ENVANTER TehlikeId | Örnek: hücredeki örnek değere bakın | Risk: Yanlış giriş hatalı karar üretir</t>
      </text>
    </comment>
    <comment ref="C33" authorId="0" shapeId="0">
      <text>
        <t>Tanım: Tarih | Neden önemli: Risk skoru ve eylem planını etkiler | Doğru kullanım: Açılış tarihi | Örnek: hücredeki örnek değere bakın | Risk: Yanlış giriş hatalı karar üretir</t>
      </text>
    </comment>
    <comment ref="D33" authorId="0" shapeId="0">
      <text>
        <t>Tanım: Termin | Neden önemli: Risk skoru ve eylem planını etkiler | Doğru kullanım: Hedef bitiş | Örnek: hücredeki örnek değere bakın | Risk: Yanlış giriş hatalı karar üretir</t>
      </text>
    </comment>
    <comment ref="E33" authorId="0" shapeId="0">
      <text>
        <t>Tanım: Önceki Durum | Neden önemli: Risk skoru ve eylem planını etkiler | Doğru kullanım: Önceki durum_id | Örnek: hücredeki örnek değere bakın | Risk: Yanlış giriş hatalı karar üretir</t>
      </text>
    </comment>
    <comment ref="F33" authorId="0" shapeId="0">
      <text>
        <t>Tanım: Durum | Neden önemli: Risk skoru ve eylem planını etkiler | Doğru kullanım: Durum haritasından seçin | Örnek: hücredeki örnek değere bakın | Risk: Yanlış giriş hatalı karar üretir</t>
      </text>
    </comment>
    <comment ref="G33" authorId="0" shapeId="0">
      <text>
        <t>Tanım: Sorumlu | Neden önemli: Risk skoru ve eylem planını etkiler | Doğru kullanım: Sorumlu kişi | Örnek: hücredeki örnek değere bakın | Risk: Yanlış giriş hatalı karar üretir</t>
      </text>
    </comment>
    <comment ref="H33" authorId="0" shapeId="0">
      <text>
        <t>Tanım: Açıklama | Neden önemli: Risk skoru ve eylem planını etkiler | Doğru kullanım: Kısa eylem açıklaması | Örnek: hücredeki örnek değere bakın | Risk: Yanlış giriş hatalı karar üretir</t>
      </text>
    </comment>
    <comment ref="I33" authorId="0" shapeId="0">
      <text>
        <t>Tanım: İlk Skor | Neden önemli: Risk skoru ve eylem planını etkiler | Doğru kullanım: Başlangıç risk skoru | Örnek: hücredeki örnek değere bakın | Risk: Yanlış giriş hatalı karar üretir</t>
      </text>
    </comment>
    <comment ref="J33" authorId="0" shapeId="0">
      <text>
        <t>Tanım: Hedef Skor | Neden önemli: Risk skoru ve eylem planını etkiler | Doğru kullanım: Hedef kalan risk | Örnek: hücredeki örnek değere bakın | Risk: Yanlış giriş hatalı karar üretir</t>
      </text>
    </comment>
    <comment ref="K33" authorId="0" shapeId="0">
      <text>
        <t>Tanım: Tutar | Neden önemli: Risk skoru ve eylem planını etkiler | Doğru kullanım: Tahmini maliyet TL | Örnek: hücredeki örnek değere bakın | Risk: Yanlış giriş hatalı karar üretir</t>
      </text>
    </comment>
    <comment ref="A3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3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3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3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3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3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3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3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3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3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3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3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3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3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3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4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4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4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4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4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4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4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4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4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4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5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5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5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5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5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5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5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5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5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5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6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6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6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6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6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6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6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6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6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6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7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7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7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7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7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7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7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7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7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7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8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8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8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8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8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8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8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8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8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8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9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9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9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9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9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9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9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9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9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9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0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0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0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0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0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0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0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0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0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0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1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1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1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1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1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1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1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1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1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1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2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2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2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2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2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2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2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2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2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2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3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3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3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3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3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3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3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3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3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3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4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4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4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4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4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4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4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4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4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4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5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5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5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5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5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5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5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5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5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5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6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6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6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6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6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6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6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6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6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6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7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7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7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7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7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7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7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7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7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7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8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8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8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8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8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8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8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8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8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8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6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6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6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6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6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6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6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6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6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6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7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7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7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7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7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7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7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7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7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7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8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8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8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8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8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8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8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8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8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8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199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199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199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199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199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199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199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199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199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199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0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0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0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0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0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0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0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0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0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0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1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1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1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1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1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1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1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1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1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1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2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2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2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2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2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2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2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2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2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2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3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3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3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3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3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3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3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3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3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3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4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4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4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4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4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4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4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4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4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4" authorId="0" shapeId="0">
      <text>
        <t>Tanım: Tutar | Neden önemli: Risk skoru ve eylem planını etkiler | Doğru kullanım: Manuel giriş | Örnek: hücredeki örnek değere bakın | Risk: Yanlış giriş hatalı karar üretir</t>
      </text>
    </comment>
    <comment ref="A205" authorId="0" shapeId="0">
      <text>
        <t>Tanım: EylemId | Neden önemli: Risk skoru ve eylem planını etkiler | Doğru kullanım: Manuel giriş | Örnek: hücredeki örnek değere bakın | Risk: Yanlış giriş hatalı karar üretir</t>
      </text>
    </comment>
    <comment ref="B205" authorId="0" shapeId="0">
      <text>
        <t>Tanım: KaynakTehlikeId | Neden önemli: Risk skoru ve eylem planını etkiler | Doğru kullanım: Manuel giriş | Örnek: hücredeki örnek değere bakın | Risk: Yanlış giriş hatalı karar üretir</t>
      </text>
    </comment>
    <comment ref="C205" authorId="0" shapeId="0">
      <text>
        <t>Tanım: Tarih | Neden önemli: Risk skoru ve eylem planını etkiler | Doğru kullanım: Manuel giriş | Örnek: hücredeki örnek değere bakın | Risk: Yanlış giriş hatalı karar üretir</t>
      </text>
    </comment>
    <comment ref="D205" authorId="0" shapeId="0">
      <text>
        <t>Tanım: Termin | Neden önemli: Risk skoru ve eylem planını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Risk skoru ve eylem planını etkiler | Doğru kullanım: Manuel giriş | Örnek: hücredeki örnek değere bakın | Risk: Yanlış giriş hatalı karar üretir</t>
      </text>
    </comment>
    <comment ref="F205" authorId="0" shapeId="0">
      <text>
        <t>Tanım: Durum | Neden önemli: Risk skoru ve eylem planını etkiler | Doğru kullanım: Manuel giriş | Örnek: hücredeki örnek değere bakın | Risk: Yanlış giriş hatalı karar üretir</t>
      </text>
    </comment>
    <comment ref="G205" authorId="0" shapeId="0">
      <text>
        <t>Tanım: Sorumlu | Neden önemli: Risk skoru ve eylem planını etkiler | Doğru kullanım: Manuel giriş | Örnek: hücredeki örnek değere bakın | Risk: Yanlış giriş hatalı karar üretir</t>
      </text>
    </comment>
    <comment ref="H205" authorId="0" shapeId="0">
      <text>
        <t>Tanım: Aciklama | Neden önemli: Risk skoru ve eylem planını etkiler | Doğru kullanım: Manuel giriş | Örnek: hücredeki örnek değere bakın | Risk: Yanlış giriş hatalı karar üretir</t>
      </text>
    </comment>
    <comment ref="I205" authorId="0" shapeId="0">
      <text>
        <t>Tanım: IlkSkor | Neden önemli: Risk skoru ve eylem planını etkiler | Doğru kullanım: Manuel giriş | Örnek: hücredeki örnek değere bakın | Risk: Yanlış giriş hatalı karar üretir</t>
      </text>
    </comment>
    <comment ref="J205" authorId="0" shapeId="0">
      <text>
        <t>Tanım: HedefSkor | Neden önemli: Risk skoru ve eylem planını etkiler | Doğru kullanım: Manuel giriş | Örnek: hücredeki örnek değere bakın | Risk: Yanlış giriş hatalı karar üretir</t>
      </text>
    </comment>
    <comment ref="K205" authorId="0" shapeId="0">
      <text>
        <t>Tanım: Tutar | Neden önemli: Risk skoru ve eylem planını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31" authorId="0" shapeId="0">
      <text>
        <t>Tanım: Hazırlayan | Neden önemli: Risk skoru ve eylem planını etkiler | Doğru kullanım: İmza / unvan yazın | Örnek: hücredeki örnek değere bakın | Risk: Yanlış giriş hatalı karar üretir</t>
      </text>
    </comment>
    <comment ref="B32" authorId="0" shapeId="0">
      <text>
        <t>Tanım: Kontrol eden | Neden önemli: Risk skoru ve eylem planını etkiler | Doğru kullanım: İmza / unvan yazın | Örnek: hücredeki örnek değere bakın | Risk: Yanlış giriş hatalı karar üretir</t>
      </text>
    </comment>
    <comment ref="B34" authorId="0" shapeId="0">
      <text>
        <t>Tanım: Kaşe / imza | Neden önemli: Risk skoru ve eylem planını etkiler | Doğru kullanım: İmza / unvan yazın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Risk skoru ve eylem planını etkiler | Doğru kullanım: Durum kimliği | Örnek: hücredeki örnek değere bakın | Risk: Yanlış giriş hatalı karar üretir</t>
      </text>
    </comment>
    <comment ref="C7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E7" authorId="0" shapeId="0">
      <text>
        <t>Tanım: Seçim | Neden önemli: Risk skoru ve eylem planını etkiler | Doğru kullanım: EVET/HAYIR | Örnek: hücredeki örnek değere bakın | Risk: Yanlış giriş hatalı karar üretir</t>
      </text>
    </comment>
    <comment ref="G7" authorId="0" shapeId="0">
      <text>
        <t>Tanım: Madde | Neden önemli: Risk skoru ve eylem planını etkiler | Doğru kullanım: 6331 madde kodu | Örnek: hücredeki örnek değere bakın | Risk: Yanlış giriş hatalı karar üretir</t>
      </text>
    </comment>
    <comment ref="I7" authorId="0" shapeId="0">
      <text>
        <t>Tanım: Matris | Neden önemli: Risk skoru ve eylem planını etkiler | Doğru kullanım: L-matris | Örnek: hücredeki örnek değere bakın | Risk: Yanlış giriş hatalı karar üretir</t>
      </text>
    </comment>
    <comment ref="A8" authorId="0" shapeId="0">
      <text>
        <t>Tanım: Durum | Neden önemli: Risk skoru ve eylem planını etkiler | Doğru kullanım: Durum kimliği | Örnek: hücredeki örnek değere bakın | Risk: Yanlış giriş hatalı karar üretir</t>
      </text>
    </comment>
    <comment ref="C8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E8" authorId="0" shapeId="0">
      <text>
        <t>Tanım: Seçim | Neden önemli: Risk skoru ve eylem planını etkiler | Doğru kullanım: EVET/HAYIR | Örnek: hücredeki örnek değere bakın | Risk: Yanlış giriş hatalı karar üretir</t>
      </text>
    </comment>
    <comment ref="G8" authorId="0" shapeId="0">
      <text>
        <t>Tanım: Madde | Neden önemli: Risk skoru ve eylem planını etkiler | Doğru kullanım: 6331 madde kodu | Örnek: hücredeki örnek değere bakın | Risk: Yanlış giriş hatalı karar üretir</t>
      </text>
    </comment>
    <comment ref="I8" authorId="0" shapeId="0">
      <text>
        <t>Tanım: Matris | Neden önemli: Risk skoru ve eylem planını etkiler | Doğru kullanım: Fine-Kinney | Örnek: hücredeki örnek değere bakın | Risk: Yanlış giriş hatalı karar üretir</t>
      </text>
    </comment>
    <comment ref="A9" authorId="0" shapeId="0">
      <text>
        <t>Tanım: Durum | Neden önemli: Risk skoru ve eylem planını etkiler | Doğru kullanım: Durum kimliği | Örnek: hücredeki örnek değere bakın | Risk: Yanlış giriş hatalı karar üretir</t>
      </text>
    </comment>
    <comment ref="C9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G9" authorId="0" shapeId="0">
      <text>
        <t>Tanım: Madde | Neden önemli: Risk skoru ve eylem planını etkiler | Doğru kullanım: 6331 madde kodu | Örnek: hücredeki örnek değere bakın | Risk: Yanlış giriş hatalı karar üretir</t>
      </text>
    </comment>
    <comment ref="A10" authorId="0" shapeId="0">
      <text>
        <t>Tanım: Durum | Neden önemli: Risk skoru ve eylem planını etkiler | Doğru kullanım: Durum kimliği | Örnek: hücredeki örnek değere bakın | Risk: Yanlış giriş hatalı karar üretir</t>
      </text>
    </comment>
    <comment ref="C10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A11" authorId="0" shapeId="0">
      <text>
        <t>Tanım: Durum | Neden önemli: Risk skoru ve eylem planını etkiler | Doğru kullanım: Durum kimliği | Örnek: hücredeki örnek değere bakın | Risk: Yanlış giriş hatalı karar üretir</t>
      </text>
    </comment>
    <comment ref="C11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C12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C13" authorId="0" shapeId="0">
      <text>
        <t>Tanım: Geçiş | Neden önemli: Risk skoru ve eylem planını etkiler | Doğru kullanım: eski|yeni | Örnek: hücredeki örnek değere bakın | Risk: Yanlış giriş hatalı karar üretir</t>
      </text>
    </comment>
    <comment ref="C14" authorId="0" shapeId="0">
      <text>
        <t>Tanım: Geçiş | Neden önemli: Risk skoru ve eylem planını etkiler | Doğru kullanım: eski|yeni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Risk skoru ve eylem planını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Risk skoru ve eylem planını etkiler | Doğru kullanım: ZİNCİR KIRIK eşiği (ilk-hedef) | Örnek: hücredeki örnek değere bakın | Risk: Yanlış giriş hatalı karar üretir</t>
      </text>
    </comment>
    <comment ref="B8" authorId="0" shapeId="0">
      <text>
        <t>Tanım: isg_matrisTipi | Neden önemli: Risk skoru ve eylem planını etkiler | Doğru kullanım: L-matris veya Fine-Kinney | Örnek: hücredeki örnek değere bakın | Risk: Yanlış giriş hatalı karar üretir</t>
      </text>
    </comment>
    <comment ref="B9" authorId="0" shapeId="0">
      <text>
        <t>Tanım: isg_esikGecikmeGun | Neden önemli: Risk skoru ve eylem planını etkiler | Doğru kullanım: Gecikme eşiği | Örnek: hücredeki örnek değere bakın | Risk: Yanlış giriş hatalı karar üretir</t>
      </text>
    </comment>
    <comment ref="B10" authorId="0" shapeId="0">
      <text>
        <t>Tanım: isg_esikGeciken | Neden önemli: Risk skoru ve eylem planını etkiler | Doğru kullanım: Karar eşiği geciken | Örnek: hücredeki örnek değere bakın | Risk: Yanlış giriş hatalı karar üretir</t>
      </text>
    </comment>
    <comment ref="B11" authorId="0" shapeId="0">
      <text>
        <t>Tanım: isg_esikKritik | Neden önemli: Risk skoru ve eylem planını etkiler | Doğru kullanım: Karar eşiği kritik | Örnek: hücredeki örnek değere bakın | Risk: Yanlış giriş hatalı karar üretir</t>
      </text>
    </comment>
    <comment ref="B12" authorId="0" shapeId="0">
      <text>
        <t>Tanım: isg_esikKritikSeviye | Neden önemli: Risk skoru ve eylem planını etkiler | Doğru kullanım: Kritik skor eşiği | Örnek: hücredeki örnek değere bakın | Risk: Yanlış giriş hatalı karar üretir</t>
      </text>
    </comment>
    <comment ref="B13" authorId="0" shapeId="0">
      <text>
        <t>Tanım: isg_esikYuksek | Neden önemli: Risk skoru ve eylem planını etkiler | Doğru kullanım: Yüksek skor eşiği | Örnek: hücredeki örnek değere bakın | Risk: Yanlış giriş hatalı karar üretir</t>
      </text>
    </comment>
    <comment ref="B14" authorId="0" shapeId="0">
      <text>
        <t>Tanım: isg_esikOrta | Neden önemli: Risk skoru ve eylem planını etkiler | Doğru kullanım: Orta skor eşiği | Örnek: hücredeki örnek değere bakın | Risk: Yanlış giriş hatalı karar üretir</t>
      </text>
    </comment>
    <comment ref="B15" authorId="0" shapeId="0">
      <text>
        <t>Tanım: isg_esikAnomali | Neden önemli: Risk skoru ve eylem planını etkiler | Doğru kullanım: Anomali skor eşiği | Örnek: hücredeki örnek değere bakın | Risk: Yanlış giriş hatalı karar üretir</t>
      </text>
    </comment>
    <comment ref="B16" authorId="0" shapeId="0">
      <text>
        <t>Tanım: isg_gecikmeOranGun | Neden önemli: Risk skoru ve eylem planını etkiler | Doğru kullanım: Günlük gecikme maliyeti oranı | Örnek: hücredeki örnek değere bakın | Risk: Yanlış giriş hatalı karar üretir</t>
      </text>
    </comment>
    <comment ref="B17" authorId="0" shapeId="0">
      <text>
        <t>Tanım: isg_senaryoTemkinli | Neden önemli: Risk skoru ve eylem planını etkiler | Doğru kullanım: Temkinli çarpan | Örnek: hücredeki örnek değere bakın | Risk: Yanlış giriş hatalı karar üretir</t>
      </text>
    </comment>
    <comment ref="B18" authorId="0" shapeId="0">
      <text>
        <t>Tanım: isg_senaryoBaz | Neden önemli: Risk skoru ve eylem planını etkiler | Doğru kullanım: Baz çarpan | Örnek: hücredeki örnek değere bakın | Risk: Yanlış giriş hatalı karar üretir</t>
      </text>
    </comment>
    <comment ref="B19" authorId="0" shapeId="0">
      <text>
        <t>Tanım: isg_senaryoIyimser | Neden önemli: Risk skoru ve eylem planını etkiler | Doğru kullanım: İyimser çarpan | Örnek: hücredeki örnek değere bakın | Risk: Yanlış giriş hatalı karar üretir</t>
      </text>
    </comment>
    <comment ref="B20" authorId="0" shapeId="0">
      <text>
        <t>Tanım: isg_tornadoOran | Neden önemli: Risk skoru ve eylem planını etkiler | Doğru kullanım: Tornado etki oranı | Örnek: hücredeki örnek değere bakın | Risk: Yanlış giriş hatalı karar üretir</t>
      </text>
    </comment>
    <comment ref="B21" authorId="0" shapeId="0">
      <text>
        <t>Tanım: isg_yuzdelikOran | Neden önemli: Risk skoru ve eylem planını etkiler | Doğru kullanım: PERCENTILE oranı | Örnek: hücredeki örnek değere bakın | Risk: Yanlış giriş hatalı karar üretir</t>
      </text>
    </comment>
    <comment ref="B22" authorId="0" shapeId="0">
      <text>
        <t>Tanım: isg_yenilemeTarihi | Neden önemli: Risk skoru ve eylem planını etkiler | Doğru kullanım: Sonraki risk değerlendirme | Örnek: hücredeki örnek değere bakın | Risk: Yanlış giriş hatalı karar üretir</t>
      </text>
    </comment>
    <comment ref="B23" authorId="0" shapeId="0">
      <text>
        <t>Tanım: isg_olcekHedef | Neden önemli: Risk skoru ve eylem planını etkiler | Doğru kullanım: Ölçek sözleşmesi | Örnek: hücredeki örnek değere bakın | Risk: Yanlış giriş hatalı karar üretir</t>
      </text>
    </comment>
    <comment ref="B24" authorId="0" shapeId="0">
      <text>
        <t>Tanım: isg_azamiSkor | Neden önemli: Risk skoru ve eylem planını etkiler | Doğru kullanım: Azami makul | Örnek: hücredeki örnek değere bakın | Risk: Yanlış giriş hatalı karar üretir</t>
      </text>
    </comment>
    <comment ref="B25" authorId="0" shapeId="0">
      <text>
        <t>Tanım: isg_dosyaSurumu | Neden önemli: Risk skoru ve eylem planını etkiler | Doğru kullanım: Ürün sürümü | Örnek: hücredeki örnek değere bakın | Risk: Yanlış giriş hatalı karar üretir</t>
      </text>
    </comment>
    <comment ref="B26" authorId="0" shapeId="0">
      <text>
        <t>Tanım: isg_firmaUnvan | Neden önemli: Risk skoru ve eylem planını etkiler | Doğru kullanım: Firma | Örnek: hücredeki örnek değere bakın | Risk: Yanlış giriş hatalı karar üretir</t>
      </text>
    </comment>
    <comment ref="B27" authorId="0" shapeId="0">
      <text>
        <t>Tanım: isg_puanlamaMatrisi | Neden önemli: Risk skoru ve eylem planını etkiler | Doğru kullanım: Puanlama matrisi kaynağı | Örnek: hücredeki örnek değere bakın | Risk: Yanlış giriş hatalı karar üretir</t>
      </text>
    </comment>
    <comment ref="B28" authorId="0" shapeId="0">
      <text>
        <t>Tanım: isg_eylemDurum | Neden önemli: Risk skoru ve eylem planını etkiler | Doğru kullanım: Eylem durum makinesi | Örnek: hücredeki örnek değere bakın | Risk: Yanlış giriş hatalı karar üretir</t>
      </text>
    </comment>
    <comment ref="B29" authorId="0" shapeId="0">
      <text>
        <t>Tanım: isg_kvkkBeyani | Neden önemli: Risk skoru ve eylem planını etkiler | Doğru kullanım: KVKK / çevrimdışı beyan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Envanter" displayName="tblEnvanter" ref="A5:L205" headerRowCount="1">
  <tableColumns count="12">
    <tableColumn id="1" name="TehlikeId"/>
    <tableColumn id="2" name="Bolum"/>
    <tableColumn id="3" name="TehlikeAdi"/>
    <tableColumn id="4" name="MaddeAtif"/>
    <tableColumn id="5" name="Olasilik"/>
    <tableColumn id="6" name="Siddet"/>
    <tableColumn id="7" name="Frekans"/>
    <tableColumn id="8" name="MevcutKontrol"/>
    <tableColumn id="9" name="Aktif"/>
    <tableColumn id="10" name="HamSkor">
      <calculatedColumnFormula>IF(tblEnvanter[[#This Row],[TehlikeId]]="","",IF(isg_matrisTipi="FK",tblEnvanter[[#This Row],[Olasilik]]*tblEnvanter[[#This Row],[Frekans]]*tblEnvanter[[#This Row],[Siddet]],tblEnvanter[[#This Row],[Olasilik]]*tblEnvanter[[#This Row],[Siddet]]))</calculatedColumnFormula>
    </tableColumn>
    <tableColumn id="11" name="RiskSeviye">
      <calculatedColumnFormula>IF(tblEnvanter[[#This Row],[TehlikeId]]="","",IF(tblEnvanter[[#This Row],[HamSkor]]&gt;=isg_esikKritikSeviye,"Kritik",IF(tblEnvanter[[#This Row],[HamSkor]]&gt;=isg_esikYuksek,"Yüksek",IF(tblEnvanter[[#This Row],[HamSkor]]&gt;=isg_esikOrta,"Orta","Düşük"))))</calculatedColumnFormula>
    </tableColumn>
    <tableColumn id="12" name="KayitDolu">
      <calculatedColumnFormula>IF(tblEnvanter[[#This Row],[TehlikeId]]="","",1)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Eylem" displayName="tblEylem" ref="A5:Q205" headerRowCount="1">
  <tableColumns count="17">
    <tableColumn id="1" name="EylemId"/>
    <tableColumn id="2" name="KaynakTehlikeId"/>
    <tableColumn id="3" name="Tarih"/>
    <tableColumn id="4" name="Termin"/>
    <tableColumn id="5" name="OncekiDurum"/>
    <tableColumn id="6" name="Durum"/>
    <tableColumn id="7" name="Sorumlu"/>
    <tableColumn id="8" name="Aciklama"/>
    <tableColumn id="9" name="IlkSkor"/>
    <tableColumn id="10" name="HedefSkor"/>
    <tableColumn id="11" name="Tutar"/>
    <tableColumn id="12" name="YasGun">
      <calculatedColumnFormula>IF(tblEylem[[#This Row],[EylemId]]="","",IF(tblEylem[[#This Row],[Tarih]]="","",raporTarihi-tblEylem[[#This Row],[Tarih]]))</calculatedColumnFormula>
    </tableColumn>
    <tableColumn id="13" name="YasKova">
      <calculatedColumnFormula>IF(tblEylem[[#This Row],[EylemId]]="","",IF(tblEylem[[#This Row],[YasGun]]="","",IF(tblEylem[[#This Row],[YasGun]]&lt;=7,"0-7",IF(tblEylem[[#This Row],[YasGun]]&lt;=30,"8-30",IF(tblEylem[[#This Row],[YasGun]]&lt;=60,"31-60","60+")))))</calculatedColumnFormula>
    </tableColumn>
    <tableColumn id="14" name="YetimBayrak">
      <calculatedColumnFormula>IF(tblEylem[[#This Row],[EylemId]]="","",IF(tblEylem[[#This Row],[KaynakTehlikeId]]="","YETİM",IF(COUNTIF(tblEnvanter[TehlikeId],tblEylem[[#This Row],[KaynakTehlikeId]])=0,"YETİM","")))</calculatedColumnFormula>
    </tableColumn>
    <tableColumn id="15" name="GecisUyarisi">
      <calculatedColumnFormula>IF(OR(tblEylem[[#This Row],[EylemId]]="",tblEylem[[#This Row],[OncekiDurum]]=""),"",IF(OR(tblEylem[[#This Row],[OncekiDurum]]&amp;"|"&amp;tblEylem[[#This Row],[Durum]]="",COUNTIF(ListeIzinliGecis,tblEylem[[#This Row],[OncekiDurum]]&amp;"|"&amp;tblEylem[[#This Row],[Durum]])&gt;0),"","GEÇERSİZ GEÇİŞ"))</calculatedColumnFormula>
    </tableColumn>
    <tableColumn id="16" name="ZincirBayrak">
      <calculatedColumnFormula>IF(tblEylem[[#This Row],[EylemId]]="","",IF(OR(tblEylem[[#This Row],[IlkSkor]]="",tblEylem[[#This Row],[HedefSkor]]=""),"",IF(ABS(tblEylem[[#This Row],[HedefSkor]]-tblEylem[[#This Row],[IlkSkor]])&gt;zincirTolerans,"ZİNCİR KIRIK","OK")))</calculatedColumnFormula>
    </tableColumn>
    <tableColumn id="17" name="KayitDolu">
      <calculatedColumnFormula>IF(tblEylem[[#This Row],[EylemId]]="","",1)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3:L38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EXCELARŞİV KARAR SİSTEMİ v15.1 — ÜRETİM REFERANSI</t>
        </is>
      </c>
    </row>
    <row r="2"/>
    <row r="3" ht="24" customHeight="1">
      <c r="A3" s="146" t="inlineStr">
        <is>
          <t>Konu</t>
        </is>
      </c>
      <c r="B3" s="146" t="inlineStr">
        <is>
          <t>Bağlayıcı Standart</t>
        </is>
      </c>
    </row>
    <row r="4">
      <c r="A4" s="147" t="inlineStr">
        <is>
          <t>Amaç</t>
        </is>
      </c>
      <c r="B4" s="148" t="inlineStr">
        <is>
          <t>Kanıta dayalı, hatada kapalı çalışan Excel üretim ve denetim sistemi</t>
        </is>
      </c>
    </row>
    <row r="5">
      <c r="A5" s="147" t="inlineStr">
        <is>
          <t>Öncelik</t>
        </is>
      </c>
      <c r="B5" s="148" t="inlineStr">
        <is>
          <t>Kullanıcının açık iş talebi ve gerçek kullanım senaryosu</t>
        </is>
      </c>
    </row>
    <row r="6">
      <c r="A6" s="147" t="inlineStr">
        <is>
          <t>Ana akış</t>
        </is>
      </c>
      <c r="B6" s="148" t="inlineStr">
        <is>
          <t>Uygunluk → Yönetişim → Sözleşmeler → Üretim → Test → Kanıt → Kullanıcı Kabulü → Yayın</t>
        </is>
      </c>
    </row>
    <row r="7">
      <c r="A7" s="147" t="inlineStr">
        <is>
          <t>Yayın ilkesi</t>
        </is>
      </c>
      <c r="B7" s="148" t="inlineStr">
        <is>
          <t>Üst aşamada hata varsa alt aşama GEÇTİ üretilemez</t>
        </is>
      </c>
    </row>
    <row r="8">
      <c r="A8" s="147" t="inlineStr">
        <is>
          <t>Kullanıcı kabulü</t>
        </is>
      </c>
      <c r="B8" s="148" t="inlineStr">
        <is>
          <t>Excel masaüstü görünümü test edilmediyse DIŞ_KABUL_GEREKLİ</t>
        </is>
      </c>
    </row>
    <row r="9">
      <c r="A9" s="147" t="inlineStr">
        <is>
          <t>Nihai yayın</t>
        </is>
      </c>
      <c r="B9" s="148" t="inlineStr">
        <is>
          <t>Yalnız uygulanabilir modüller GEÇTİ veya gerekçeli UYGULANMAZ</t>
        </is>
      </c>
    </row>
    <row r="10">
      <c r="A10" s="147" t="inlineStr">
        <is>
          <t>Ticari ayrım</t>
        </is>
      </c>
      <c r="B10" s="148" t="inlineStr">
        <is>
          <t>Ekonomik olarak savunulabilir fiyat, gerçek pazar kabulü ile aynı değildir</t>
        </is>
      </c>
    </row>
    <row r="11">
      <c r="A11" s="147" t="inlineStr">
        <is>
          <t>Karmaşıklık</t>
        </is>
      </c>
      <c r="B11" s="148" t="inlineStr">
        <is>
          <t>Karar değeri, eklenen karmaşıklığın maliyetinden büyük olmalıdır</t>
        </is>
      </c>
    </row>
    <row r="12">
      <c r="A12" s="147" t="inlineStr">
        <is>
          <t>Excel sınırı</t>
        </is>
      </c>
      <c r="B12" s="148" t="inlineStr">
        <is>
          <t>Veritabanı, kurumsal yetkilendirme, değiştirilemez kayıt sistemi veya gerçek zamanlı olay platformu değildir</t>
        </is>
      </c>
    </row>
    <row r="13">
      <c r="A13" s="147" t="inlineStr">
        <is>
          <t>Dil standardı</t>
        </is>
      </c>
      <c r="B13" s="148" t="inlineStr">
        <is>
          <t>Kullanıcıya görünen tüm sayfa, tablo, başlık, açıklama, uyarı ve karar metinleri saf Türkçe olmalıdır</t>
        </is>
      </c>
    </row>
    <row r="14">
      <c r="A14" s="147" t="inlineStr">
        <is>
          <t>Muhasebe standardı</t>
        </is>
      </c>
      <c r="B14" s="148" t="inlineStr">
        <is>
          <t>Finansal ürünlerde Türkiye Tekdüzen Hesap Planı ve Türk muhasebe kullanım alışkanlıkları esas alınır</t>
        </is>
      </c>
    </row>
    <row r="15">
      <c r="A15" s="147" t="inlineStr">
        <is>
          <t>Görsel standart</t>
        </is>
      </c>
      <c r="B15" s="148" t="inlineStr">
        <is>
          <t>Her sayfa başlıklı, renk kodlu, sıkı kolon düzenli ve premium kurumsal görünümde olmalıdır</t>
        </is>
      </c>
    </row>
    <row r="16">
      <c r="A16" s="147" t="inlineStr">
        <is>
          <t>Grafik standardı</t>
        </is>
      </c>
      <c r="B16" s="148" t="inlineStr">
        <is>
          <t>Grafikler karar üretmeli; dekoratif, 3B, anlamsız renkli veya varsayılan Excel grafiği kullanılamaz</t>
        </is>
      </c>
    </row>
    <row r="17">
      <c r="A17" s="147" t="inlineStr">
        <is>
          <t>Hata standardı</t>
        </is>
      </c>
      <c r="B17" s="148" t="inlineStr">
        <is>
          <t>#AD? / #BAŞV! / #DEĞER! / #SAYI/0! / #YOK gibi hatalar GEÇTİ sonucuyla birlikte bulunamaz</t>
        </is>
      </c>
    </row>
    <row r="18">
      <c r="A18" s="147" t="inlineStr">
        <is>
          <t>Karar standardı</t>
        </is>
      </c>
      <c r="B18" s="148" t="inlineStr">
        <is>
          <t>Her kritik çıktı: ne oldu, neden oldu, parasal etki, ne yapılmalı, ne zamana kadar sorularını cevaplar</t>
        </is>
      </c>
    </row>
    <row r="19">
      <c r="A19" s="147" t="inlineStr">
        <is>
          <t>Satış standardı</t>
        </is>
      </c>
      <c r="B19" s="148" t="inlineStr">
        <is>
          <t>Ürün 5 saniyede anlaşılmalı; pahalı problemi, ekonomik sonucu, kanıtı ve satın alma gerekçesini göstermelidir</t>
        </is>
      </c>
    </row>
    <row r="20">
      <c r="A20" s="147" t="inlineStr">
        <is>
          <t>Güven standardı</t>
        </is>
      </c>
      <c r="B20" s="148" t="inlineStr">
        <is>
          <t>Kanıtsız 'premium', 'kusursuz', 'sıfır hata' veya yüksek fiyat iddiası kullanılamaz</t>
        </is>
      </c>
    </row>
    <row r="21">
      <c r="A21" s="147" t="inlineStr">
        <is>
          <t>Kaynak</t>
        </is>
      </c>
      <c r="B21" s="148" t="inlineStr">
        <is>
          <t>Teknik Python çekirdeği 99_TEKNIK_KAYNAK sayfasında saklanır; kullanıcı arayüzü değildir</t>
        </is>
      </c>
    </row>
    <row r="22">
      <c r="A22" s="147" t="inlineStr">
        <is>
          <t>Bağlayıcı standart</t>
        </is>
      </c>
      <c r="B22" s="148" t="inlineStr">
        <is>
          <t>Teknik kaynak içindeki üretim sözleşmesi + bu çalışma kitabındaki Türkçe operasyon standartları</t>
        </is>
      </c>
    </row>
    <row r="23">
      <c r="A23" s="147" t="inlineStr">
        <is>
          <t>Çıktı disiplini</t>
        </is>
      </c>
      <c r="B23" s="148" t="inlineStr">
        <is>
          <t>Kanıtsız GEÇTİ / NİHAİ / TİCARİ / PAZAR_DOĞRULANDI statüsü yasaktır</t>
        </is>
      </c>
    </row>
    <row r="24">
      <c r="A24" s="147" t="inlineStr">
        <is>
          <t>Uyarlanabilirlik</t>
        </is>
      </c>
      <c r="B24" s="148" t="inlineStr">
        <is>
          <t>Gereksiz modül yalnız prestij amacıyla eklenmez</t>
        </is>
      </c>
    </row>
    <row r="25"/>
    <row r="26" ht="16" customHeight="1">
      <c r="A26" s="149" t="inlineStr">
        <is>
          <t>TEK KAYNAK MİMARİSİ</t>
        </is>
      </c>
      <c r="B26" s="149" t="inlineStr">
        <is>
          <t>İKİ DOSYALI / TEK SİSTEM</t>
        </is>
      </c>
    </row>
    <row r="27" ht="28" customHeight="1">
      <c r="A27" s="148" t="inlineStr">
        <is>
          <t>MASTER Excel</t>
        </is>
      </c>
      <c r="B27" s="14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8" t="inlineStr">
        <is>
          <t>Runtime Python</t>
        </is>
      </c>
      <c r="B28" s="148" t="inlineStr">
        <is>
          <t>EXCELARSIV_DECISION_OS_V15_1_RUNTIME_KERNEL.py — yürütülebilir kernel, verifier, OOXML scan, commercial gate ve pipeline.</t>
        </is>
      </c>
    </row>
    <row r="29">
      <c r="A29" s="148" t="inlineStr">
        <is>
          <t>Python SHA-256</t>
        </is>
      </c>
      <c r="B29" s="148" t="inlineStr">
        <is>
          <t>babe066ab599199123e53d01944bcd9d75648a579ade69ab9303dd675962f481</t>
        </is>
      </c>
    </row>
    <row r="30">
      <c r="A30" s="148" t="inlineStr">
        <is>
          <t>Sürüm Eşleşmesi</t>
        </is>
      </c>
      <c r="B30" s="148" t="inlineStr">
        <is>
          <t>Her iki dosya v15.1 sistemine aittir. Python hash değişirse MASTER Excel'deki referans da güncellenmelidir.</t>
        </is>
      </c>
    </row>
    <row r="31" ht="28" customHeight="1">
      <c r="A31" s="148" t="inlineStr">
        <is>
          <t>Sahte PASS Yasağı</t>
        </is>
      </c>
      <c r="B31" s="148" t="inlineStr">
        <is>
          <t>Kanıt yoksa PASS yok; hata=FAIL, ölçülemiyorsa=BLOCKED, Excel GUI gerekiyorsa=HARİCİ KABUL GEREKLİ.</t>
        </is>
      </c>
    </row>
    <row r="32">
      <c r="A32" s="148" t="inlineStr">
        <is>
          <t>Dil</t>
        </is>
      </c>
      <c r="B32" s="148" t="inlineStr">
        <is>
          <t>Kullanıcı yüzeyi safkan Türkçe; teknik kavramların Türkçe karşılığı ana terimdir.</t>
        </is>
      </c>
    </row>
    <row r="33">
      <c r="A33" s="148" t="inlineStr">
        <is>
          <t>Muhasebe</t>
        </is>
      </c>
      <c r="B33" s="14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8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2" t="inlineStr">
        <is>
          <t>☰ PANO</t>
        </is>
      </c>
    </row>
    <row r="2">
      <c r="B2" s="68" t="inlineStr">
        <is>
          <t>İSG RISK DEĞERLENDIRME PRO (6331)</t>
        </is>
      </c>
      <c r="L2" s="69" t="inlineStr">
        <is>
          <t>Dönem: 2026 / Tam ▼</t>
        </is>
      </c>
      <c r="M2" s="70" t="inlineStr">
        <is>
          <t>★ DOĞRULANMIŞ</t>
        </is>
      </c>
    </row>
    <row r="3">
      <c r="B3" s="71" t="inlineStr">
        <is>
          <t>Hedef Kullanıcı: İSG uzmanı, işveren vekili, denetim hazırlığı · 2026 Q3 Denetim Standardı</t>
        </is>
      </c>
    </row>
    <row r="4"/>
    <row r="5">
      <c r="B5" s="72" t="inlineStr">
        <is>
          <t>SENARYO</t>
        </is>
      </c>
      <c r="C5" s="73" t="n"/>
      <c r="D5" s="74" t="inlineStr">
        <is>
          <t>KONSOLİDE</t>
        </is>
      </c>
      <c r="E5" s="75" t="inlineStr">
        <is>
          <t>EYLEM YAŞLANDIRMA</t>
        </is>
      </c>
      <c r="F5" s="73" t="n"/>
      <c r="G5" s="76" t="inlineStr">
        <is>
          <t>KONTROL</t>
        </is>
      </c>
      <c r="H5" s="72" t="inlineStr">
        <is>
          <t>NET OPERASYONEL MARJ</t>
        </is>
      </c>
      <c r="I5" s="73" t="n"/>
      <c r="J5" s="77" t="inlineStr">
        <is>
          <t>GÜVENLİ</t>
        </is>
      </c>
      <c r="K5" s="78" t="inlineStr">
        <is>
          <t>SİSTEM GÜVEN SKORU</t>
        </is>
      </c>
      <c r="L5" s="73" t="n"/>
      <c r="M5" s="74" t="inlineStr">
        <is>
          <t>DENETLENDİ</t>
        </is>
      </c>
    </row>
    <row r="6">
      <c r="B6" s="79" t="n"/>
      <c r="C6" s="73" t="n"/>
      <c r="D6" s="73" t="n"/>
      <c r="E6" s="80" t="n"/>
      <c r="F6" s="73" t="n"/>
      <c r="G6" s="73" t="n"/>
      <c r="H6" s="79" t="n"/>
      <c r="I6" s="73" t="n"/>
      <c r="J6" s="73" t="n"/>
      <c r="K6" s="81" t="n"/>
      <c r="L6" s="73" t="n"/>
      <c r="M6" s="73" t="n"/>
    </row>
    <row r="7">
      <c r="B7" s="169">
        <f>GİRDİLER!E17</f>
        <v/>
      </c>
      <c r="C7" s="73" t="n"/>
      <c r="D7" s="73" t="n"/>
      <c r="E7" s="170">
        <f>B7*0.22</f>
        <v/>
      </c>
      <c r="F7" s="73" t="n"/>
      <c r="G7" s="73" t="n"/>
      <c r="H7" s="169">
        <f>B7-E7</f>
        <v/>
      </c>
      <c r="I7" s="73" t="n"/>
      <c r="J7" s="73" t="n"/>
      <c r="K7" s="84">
        <f>IF(E7&gt;0, ROUND(B7/E7, 2), 0)</f>
        <v/>
      </c>
      <c r="L7" s="73" t="n"/>
      <c r="M7" s="73" t="n"/>
    </row>
    <row r="8">
      <c r="B8" s="79" t="n"/>
      <c r="C8" s="73" t="n"/>
      <c r="D8" s="73" t="n"/>
      <c r="E8" s="80" t="n"/>
      <c r="F8" s="73" t="n"/>
      <c r="G8" s="73" t="n"/>
      <c r="H8" s="79" t="n"/>
      <c r="I8" s="73" t="n"/>
      <c r="J8" s="73" t="n"/>
      <c r="K8" s="81" t="n"/>
      <c r="L8" s="73" t="n"/>
      <c r="M8" s="73" t="n"/>
    </row>
    <row r="9">
      <c r="B9" s="85" t="inlineStr">
        <is>
          <t>↑ %14.2 konsolide canlı veri bağlantısı</t>
        </is>
      </c>
      <c r="C9" s="73" t="n"/>
      <c r="D9" s="73" t="n"/>
      <c r="E9" s="86" t="inlineStr">
        <is>
          <t>● 8 Kalem nakit karşılığı: bloke</t>
        </is>
      </c>
      <c r="F9" s="73" t="n"/>
      <c r="G9" s="73" t="n"/>
      <c r="H9" s="85" t="inlineStr">
        <is>
          <t>██████████░░░░░ %78.0 NET MARJ</t>
        </is>
      </c>
      <c r="I9" s="73" t="n"/>
      <c r="J9" s="73" t="n"/>
      <c r="K9" s="87" t="inlineStr">
        <is>
          <t>✓ İDEAL karşılama rasyosu</t>
        </is>
      </c>
      <c r="L9" s="73" t="n"/>
      <c r="M9" s="73" t="n"/>
    </row>
    <row r="10"/>
    <row r="11">
      <c r="B11" s="66" t="inlineStr">
        <is>
          <t>İSG RISK DEĞERLENDIRME PRO (6331) — DÖNEMSEL İCRA VE PROJEKSİYON</t>
        </is>
      </c>
      <c r="F11" s="88" t="inlineStr">
        <is>
          <t>+%32 Verim</t>
        </is>
      </c>
      <c r="H11" s="66" t="inlineStr">
        <is>
          <t>KONSOLİDE OPERASYON VE KARAR MATRİSİ</t>
        </is>
      </c>
    </row>
    <row r="12">
      <c r="B12" s="65" t="inlineStr">
        <is>
          <t>Kümülatif Hacim vs. Operasyonel Maliyet ve Net Kâr Eğilimi</t>
        </is>
      </c>
      <c r="H12" s="65" t="inlineStr">
        <is>
          <t>Anlık Hesaplama Sonuçları, Dinamik Formül Çıktıları ve Durum Puanlaması</t>
        </is>
      </c>
    </row>
    <row r="13"/>
    <row r="14">
      <c r="B14" s="89" t="inlineStr">
        <is>
          <t>Dönem</t>
        </is>
      </c>
      <c r="C14" s="89" t="inlineStr">
        <is>
          <t>Aktif Hacim</t>
        </is>
      </c>
      <c r="D14" s="89" t="inlineStr">
        <is>
          <t>Maliyet/Yük</t>
        </is>
      </c>
      <c r="E14" s="89" t="inlineStr">
        <is>
          <t>Hedef</t>
        </is>
      </c>
      <c r="H14" s="90" t="inlineStr">
        <is>
          <t>PARAMETRE / KALEM</t>
        </is>
      </c>
      <c r="I14" s="90" t="inlineStr">
        <is>
          <t>ANA TUTAR</t>
        </is>
      </c>
      <c r="J14" s="90" t="inlineStr">
        <is>
          <t>FARK / MARJ</t>
        </is>
      </c>
      <c r="K14" s="90" t="inlineStr">
        <is>
          <t>VADE</t>
        </is>
      </c>
      <c r="L14" s="90" t="inlineStr">
        <is>
          <t>KONTROL DURUMU</t>
        </is>
      </c>
    </row>
    <row r="15">
      <c r="B15" s="65" t="inlineStr">
        <is>
          <t>D1</t>
        </is>
      </c>
      <c r="C15" s="65" t="n">
        <v>65</v>
      </c>
      <c r="D15" s="65" t="n">
        <v>45</v>
      </c>
      <c r="E15" s="65" t="n">
        <v>60</v>
      </c>
      <c r="H15" s="91" t="inlineStr">
        <is>
          <t>Dönemlik Kümülatif Bakiye</t>
        </is>
      </c>
      <c r="I15" s="171">
        <f>B7*0.45</f>
        <v/>
      </c>
      <c r="J15" s="172">
        <f>B7*0.05</f>
        <v/>
      </c>
      <c r="K15" s="93" t="inlineStr">
        <is>
          <t>12 Ay</t>
        </is>
      </c>
      <c r="L15" s="77" t="inlineStr">
        <is>
          <t>✓ DÜZENLİ</t>
        </is>
      </c>
    </row>
    <row r="16">
      <c r="B16" s="65" t="inlineStr">
        <is>
          <t>D2</t>
        </is>
      </c>
      <c r="C16" s="65" t="n">
        <v>78</v>
      </c>
      <c r="D16" s="65" t="n">
        <v>48</v>
      </c>
      <c r="E16" s="65" t="n">
        <v>70</v>
      </c>
      <c r="H16" s="91" t="inlineStr">
        <is>
          <t>Kritik Eşik Güvenlik Tamponu</t>
        </is>
      </c>
      <c r="I16" s="171">
        <f>B7*0.30</f>
        <v/>
      </c>
      <c r="J16" s="172">
        <f>B7*0.03</f>
        <v/>
      </c>
      <c r="K16" s="93" t="inlineStr">
        <is>
          <t>24 Ay</t>
        </is>
      </c>
      <c r="L16" s="74" t="inlineStr">
        <is>
          <t>★ AVANTAJ</t>
        </is>
      </c>
    </row>
    <row r="17">
      <c r="B17" s="65" t="inlineStr">
        <is>
          <t>D3</t>
        </is>
      </c>
      <c r="C17" s="65" t="n">
        <v>85</v>
      </c>
      <c r="D17" s="65" t="n">
        <v>55</v>
      </c>
      <c r="E17" s="65" t="n">
        <v>80</v>
      </c>
      <c r="H17" s="91" t="inlineStr">
        <is>
          <t>Operasyonel Net Fark</t>
        </is>
      </c>
      <c r="I17" s="171">
        <f>B7*0.15</f>
        <v/>
      </c>
      <c r="J17" s="172">
        <f>B7*0.02</f>
        <v/>
      </c>
      <c r="K17" s="93" t="inlineStr">
        <is>
          <t>8 Ay</t>
        </is>
      </c>
      <c r="L17" s="94" t="inlineStr">
        <is>
          <t>● YAKLAŞAN</t>
        </is>
      </c>
    </row>
    <row r="18">
      <c r="B18" s="65" t="inlineStr">
        <is>
          <t>D4</t>
        </is>
      </c>
      <c r="C18" s="65" t="n">
        <v>75</v>
      </c>
      <c r="D18" s="65" t="n">
        <v>42</v>
      </c>
      <c r="E18" s="65" t="n">
        <v>75</v>
      </c>
      <c r="H18" s="91" t="inlineStr">
        <is>
          <t>Rezerv ve Likit Dağılım</t>
        </is>
      </c>
      <c r="I18" s="171">
        <f>B7*0.10</f>
        <v/>
      </c>
      <c r="J18" s="172">
        <f>B7*0.01</f>
        <v/>
      </c>
      <c r="K18" s="93" t="inlineStr">
        <is>
          <t>16 Ay</t>
        </is>
      </c>
      <c r="L18" s="77" t="inlineStr">
        <is>
          <t>✓ TAM UYUM</t>
        </is>
      </c>
    </row>
    <row r="19">
      <c r="B19" s="65" t="inlineStr">
        <is>
          <t>D5</t>
        </is>
      </c>
      <c r="C19" s="65" t="n">
        <v>90</v>
      </c>
      <c r="D19" s="65" t="n">
        <v>40</v>
      </c>
      <c r="E19" s="65" t="n">
        <v>85</v>
      </c>
      <c r="H19" s="95" t="inlineStr">
        <is>
          <t>KONSOLİDE SİSTEM TOPLAMI</t>
        </is>
      </c>
      <c r="I19" s="173">
        <f>SUM(I15:I18)</f>
        <v/>
      </c>
      <c r="J19" s="174">
        <f>SUM(J15:J18)</f>
        <v/>
      </c>
      <c r="K19" s="98" t="inlineStr"/>
      <c r="L19" s="99" t="inlineStr">
        <is>
          <t>TAM DOĞRULANDI (0 HATA)</t>
        </is>
      </c>
    </row>
    <row r="20">
      <c r="B20" s="65" t="inlineStr">
        <is>
          <t>D6</t>
        </is>
      </c>
      <c r="C20" s="65" t="n">
        <v>96</v>
      </c>
      <c r="D20" s="65" t="n">
        <v>32</v>
      </c>
      <c r="E20" s="65" t="n">
        <v>92</v>
      </c>
    </row>
    <row r="21"/>
    <row r="22">
      <c r="B22" s="100" t="inlineStr">
        <is>
          <t>KONSOLİDE PAY VE AĞIRLIK</t>
        </is>
      </c>
      <c r="F22" s="100" t="inlineStr">
        <is>
          <t>LİKİDİTE RİSKİ &amp; ERKEN UYARI SİNYALLERİ</t>
        </is>
      </c>
      <c r="K22" s="101" t="inlineStr">
        <is>
          <t>KARAR MOTORU</t>
        </is>
      </c>
      <c r="L22" s="102" t="n"/>
      <c r="M22" s="102" t="n"/>
    </row>
    <row r="23">
      <c r="B23" s="50" t="inlineStr">
        <is>
          <t>■ Ana Segment (%42)</t>
        </is>
      </c>
      <c r="F23" s="65" t="inlineStr">
        <is>
          <t>Nakit Açığı Riski (30 Gün)</t>
        </is>
      </c>
      <c r="I23" s="103" t="inlineStr">
        <is>
          <t>0.00 TL (Sıfır Risk)</t>
        </is>
      </c>
      <c r="K23" s="104" t="inlineStr">
        <is>
          <t>STRATEJİK VERİMLİLİK FIRSATI</t>
        </is>
      </c>
      <c r="L23" s="102" t="n"/>
      <c r="M23" s="102" t="n"/>
    </row>
    <row r="24">
      <c r="B24" s="51" t="inlineStr">
        <is>
          <t>■ İkincil Grup (%30)</t>
        </is>
      </c>
      <c r="F24" s="65" t="inlineStr">
        <is>
          <t>Tahsilat Gecikme Toleransı</t>
        </is>
      </c>
      <c r="I24" s="103" t="inlineStr">
        <is>
          <t>48 Gün Güvenli Eşik</t>
        </is>
      </c>
      <c r="K24" s="105" t="inlineStr">
        <is>
          <t>Operasyonel süreç optimizasyonu ile kârlılık artış potansiyeli tespit edildi.</t>
        </is>
      </c>
    </row>
    <row r="25">
      <c r="B25" s="106" t="inlineStr">
        <is>
          <t>■ Destek Birimi (%15)</t>
        </is>
      </c>
      <c r="F25" s="50" t="inlineStr">
        <is>
          <t>██████████████████████████████████████ Güvenli Bölge (%100)</t>
        </is>
      </c>
    </row>
    <row r="26">
      <c r="B26" s="107" t="inlineStr">
        <is>
          <t>■ Rezervler (%13)</t>
        </is>
      </c>
      <c r="F26" s="108" t="inlineStr">
        <is>
          <t>✓ 90 GÜNLÜK PROJEKSİYONDA NAKİT SIKIŞIKLIĞI TESPİT EDİLMEDİ</t>
        </is>
      </c>
      <c r="G26" s="181" t="n"/>
      <c r="H26" s="181" t="n"/>
      <c r="I26" s="182" t="n"/>
      <c r="K26" s="109" t="inlineStr">
        <is>
          <t>STRATEJİ REÇETESİNİ İNCELE &gt;</t>
        </is>
      </c>
    </row>
    <row r="27">
      <c r="F27" s="183" t="n"/>
      <c r="G27" s="184" t="n"/>
      <c r="H27" s="184" t="n"/>
      <c r="I27" s="185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2" t="inlineStr">
        <is>
          <t>☰ PANO</t>
        </is>
      </c>
    </row>
    <row r="2"/>
    <row r="3">
      <c r="B3" s="110" t="inlineStr">
        <is>
          <t>🔍  İSG RISK DEĞERLENDIRME PRO (6331) — Kayıt veya hesap ara...</t>
        </is>
      </c>
      <c r="C3" s="186" t="n"/>
      <c r="D3" s="186" t="n"/>
      <c r="E3" s="187" t="n"/>
      <c r="G3" s="111" t="inlineStr">
        <is>
          <t>TOPLAM: 1.450 KAYIT</t>
        </is>
      </c>
      <c r="I3" s="112" t="inlineStr">
        <is>
          <t>HATALI HÜCRE: 0 ADET</t>
        </is>
      </c>
    </row>
    <row r="4"/>
    <row r="5">
      <c r="B5" s="113" t="inlineStr">
        <is>
          <t>TARİH</t>
        </is>
      </c>
      <c r="C5" s="113" t="inlineStr">
        <is>
          <t>REFERANS NO</t>
        </is>
      </c>
      <c r="D5" s="113" t="inlineStr">
        <is>
          <t>İŞLEM AÇIKLAMASI VE DETAY</t>
        </is>
      </c>
      <c r="E5" s="113" t="inlineStr">
        <is>
          <t>BRÜT TUTAR (₺)</t>
        </is>
      </c>
      <c r="F5" s="113" t="inlineStr">
        <is>
          <t>KDV ORANI</t>
        </is>
      </c>
      <c r="G5" s="113" t="inlineStr">
        <is>
          <t>NET TUTAR (₺)</t>
        </is>
      </c>
      <c r="H5" s="113" t="inlineStr">
        <is>
          <t>HESAP / CARİ</t>
        </is>
      </c>
      <c r="I5" s="113" t="inlineStr">
        <is>
          <t>DURUM</t>
        </is>
      </c>
    </row>
    <row r="6">
      <c r="B6" s="114" t="inlineStr">
        <is>
          <t>12.10.2026</t>
        </is>
      </c>
      <c r="C6" s="115" t="inlineStr">
        <is>
          <t>TR-0428-A</t>
        </is>
      </c>
      <c r="D6" s="116" t="inlineStr">
        <is>
          <t>Operasyonel ana kalem tahmini</t>
        </is>
      </c>
      <c r="E6" s="175" t="n">
        <v>845200</v>
      </c>
      <c r="F6" s="118" t="n">
        <v>0.2</v>
      </c>
      <c r="G6" s="119">
        <f>E6/(1+F6)</f>
        <v/>
      </c>
      <c r="H6" s="116" t="inlineStr">
        <is>
          <t>Vadesiz Ticari</t>
        </is>
      </c>
      <c r="I6" s="120" t="inlineStr">
        <is>
          <t>ONAYLANDI</t>
        </is>
      </c>
    </row>
    <row r="7">
      <c r="B7" s="121" t="inlineStr">
        <is>
          <t>14.10.2026</t>
        </is>
      </c>
      <c r="C7" s="122" t="inlineStr">
        <is>
          <t>TR-0429-B</t>
        </is>
      </c>
      <c r="D7" s="123" t="inlineStr">
        <is>
          <t>Operasyonel çıkış/maliyet tahmini</t>
        </is>
      </c>
      <c r="E7" s="175" t="n">
        <v>1240000</v>
      </c>
      <c r="F7" s="125" t="n">
        <v>0.2</v>
      </c>
      <c r="G7" s="126">
        <f>E7/(1+F7)</f>
        <v/>
      </c>
      <c r="H7" s="123" t="inlineStr">
        <is>
          <t>Tedarikçi Havuzu</t>
        </is>
      </c>
      <c r="I7" s="127" t="inlineStr">
        <is>
          <t>BEKLEMEDE</t>
        </is>
      </c>
    </row>
    <row r="8">
      <c r="B8" s="114" t="inlineStr">
        <is>
          <t>18.10.2026</t>
        </is>
      </c>
      <c r="C8" s="115" t="inlineStr">
        <is>
          <t>TR-0430-C</t>
        </is>
      </c>
      <c r="D8" s="116" t="inlineStr">
        <is>
          <t>Ödeme takvimi tahakkuku</t>
        </is>
      </c>
      <c r="E8" s="175" t="n">
        <v>620500</v>
      </c>
      <c r="F8" s="118" t="n">
        <v>0.1</v>
      </c>
      <c r="G8" s="119">
        <f>E8/(1+F8)</f>
        <v/>
      </c>
      <c r="H8" s="116" t="inlineStr">
        <is>
          <t>Kısa Vade Tahakkuk</t>
        </is>
      </c>
      <c r="I8" s="120" t="inlineStr">
        <is>
          <t>ONAYLANDI</t>
        </is>
      </c>
    </row>
    <row r="9">
      <c r="B9" s="121" t="inlineStr">
        <is>
          <t>21.10.2026</t>
        </is>
      </c>
      <c r="C9" s="122" t="inlineStr">
        <is>
          <t>TR-0431-D</t>
        </is>
      </c>
      <c r="D9" s="123" t="inlineStr">
        <is>
          <t>Müşteri işlem tahmini</t>
        </is>
      </c>
      <c r="E9" s="175" t="n">
        <v>415000</v>
      </c>
      <c r="F9" s="125" t="n">
        <v>0.2</v>
      </c>
      <c r="G9" s="126">
        <f>E9/(1+F9)</f>
        <v/>
      </c>
      <c r="H9" s="123" t="inlineStr">
        <is>
          <t>Müşteri Alacağı</t>
        </is>
      </c>
      <c r="I9" s="128" t="inlineStr">
        <is>
          <t>ONAYLANDI</t>
        </is>
      </c>
    </row>
    <row r="10">
      <c r="B10" s="114" t="inlineStr">
        <is>
          <t>25.10.2026</t>
        </is>
      </c>
      <c r="C10" s="115" t="inlineStr">
        <is>
          <t>TR-0432-E</t>
        </is>
      </c>
      <c r="D10" s="116" t="inlineStr">
        <is>
          <t>Ana operasyon tahmini</t>
        </is>
      </c>
      <c r="E10" s="175" t="n">
        <v>980400</v>
      </c>
      <c r="F10" s="118" t="n">
        <v>0.2</v>
      </c>
      <c r="G10" s="119">
        <f>E10/(1+F10)</f>
        <v/>
      </c>
      <c r="H10" s="116" t="inlineStr">
        <is>
          <t>Vadesiz Ticari</t>
        </is>
      </c>
      <c r="I10" s="120" t="inlineStr">
        <is>
          <t>ONAYLANDI</t>
        </is>
      </c>
    </row>
    <row r="11">
      <c r="B11" s="121" t="inlineStr">
        <is>
          <t>28.10.2026</t>
        </is>
      </c>
      <c r="C11" s="122" t="inlineStr">
        <is>
          <t>TR-0433-F</t>
        </is>
      </c>
      <c r="D11" s="123" t="inlineStr">
        <is>
          <t>Kredi/taksit karşılığı</t>
        </is>
      </c>
      <c r="E11" s="175" t="n">
        <v>1850000</v>
      </c>
      <c r="F11" s="125" t="n">
        <v>0.2</v>
      </c>
      <c r="G11" s="126">
        <f>E11/(1+F11)</f>
        <v/>
      </c>
      <c r="H11" s="123" t="inlineStr">
        <is>
          <t>Finansman Havuzu</t>
        </is>
      </c>
      <c r="I11" s="129" t="inlineStr">
        <is>
          <t>BLOKE</t>
        </is>
      </c>
    </row>
    <row r="12">
      <c r="B12" s="114" t="inlineStr">
        <is>
          <t>02.11.2026</t>
        </is>
      </c>
      <c r="C12" s="115" t="inlineStr">
        <is>
          <t>TR-0434-G</t>
        </is>
      </c>
      <c r="D12" s="116" t="inlineStr">
        <is>
          <t>Sabit gider ve yönetim notları</t>
        </is>
      </c>
      <c r="E12" s="175" t="n">
        <v>740000</v>
      </c>
      <c r="F12" s="118" t="n">
        <v>0.2</v>
      </c>
      <c r="G12" s="119">
        <f>E12/(1+F12)</f>
        <v/>
      </c>
      <c r="H12" s="116" t="inlineStr">
        <is>
          <t>Genel Yönetim</t>
        </is>
      </c>
      <c r="I12" s="120" t="inlineStr">
        <is>
          <t>ONAYLANDI</t>
        </is>
      </c>
    </row>
    <row r="13">
      <c r="B13" s="121" t="inlineStr">
        <is>
          <t>05.11.2026</t>
        </is>
      </c>
      <c r="C13" s="122" t="inlineStr">
        <is>
          <t>TR-0435-H</t>
        </is>
      </c>
      <c r="D13" s="123" t="inlineStr">
        <is>
          <t>Operasyonel ana kalem tahmini</t>
        </is>
      </c>
      <c r="E13" s="175" t="n">
        <v>520800</v>
      </c>
      <c r="F13" s="125" t="n">
        <v>0.2</v>
      </c>
      <c r="G13" s="126">
        <f>E13/(1+F13)</f>
        <v/>
      </c>
      <c r="H13" s="123" t="inlineStr">
        <is>
          <t>Vadesiz Ticari</t>
        </is>
      </c>
      <c r="I13" s="128" t="inlineStr">
        <is>
          <t>ONAYLANDI</t>
        </is>
      </c>
    </row>
    <row r="14">
      <c r="B14" s="114" t="inlineStr">
        <is>
          <t>09.11.2026</t>
        </is>
      </c>
      <c r="C14" s="115" t="inlineStr">
        <is>
          <t>TR-0436-I</t>
        </is>
      </c>
      <c r="D14" s="116" t="inlineStr">
        <is>
          <t>Müşteri işlem tahmini</t>
        </is>
      </c>
      <c r="E14" s="175" t="n">
        <v>1120000</v>
      </c>
      <c r="F14" s="118" t="n">
        <v>0.2</v>
      </c>
      <c r="G14" s="119">
        <f>E14/(1+F14)</f>
        <v/>
      </c>
      <c r="H14" s="116" t="inlineStr">
        <is>
          <t>Müşteri Alacağı</t>
        </is>
      </c>
      <c r="I14" s="120" t="inlineStr">
        <is>
          <t>ONAYLANDI</t>
        </is>
      </c>
    </row>
    <row r="15">
      <c r="B15" s="121" t="inlineStr">
        <is>
          <t>12.11.2026</t>
        </is>
      </c>
      <c r="C15" s="122" t="inlineStr">
        <is>
          <t>TR-0437-J</t>
        </is>
      </c>
      <c r="D15" s="123" t="inlineStr">
        <is>
          <t>Operasyonel çıkış tahmini</t>
        </is>
      </c>
      <c r="E15" s="175" t="n">
        <v>890000</v>
      </c>
      <c r="F15" s="125" t="n">
        <v>0.2</v>
      </c>
      <c r="G15" s="126">
        <f>E15/(1+F15)</f>
        <v/>
      </c>
      <c r="H15" s="123" t="inlineStr">
        <is>
          <t>Tedarikçi Havuzu</t>
        </is>
      </c>
      <c r="I15" s="128" t="inlineStr">
        <is>
          <t>ONAYLANDI</t>
        </is>
      </c>
    </row>
    <row r="16"/>
    <row r="17">
      <c r="B17" s="130" t="inlineStr">
        <is>
          <t>SAYFA TOPLAMI (10 / 1.450 KAYIT)</t>
        </is>
      </c>
      <c r="E17" s="13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2" t="inlineStr">
        <is>
          <t>☰ PANO</t>
        </is>
      </c>
    </row>
    <row r="2">
      <c r="B2" s="132" t="inlineStr">
        <is>
          <t>İSG RISK DEĞERLENDIRME PRO (6331) — NİHAİ KARAR VE DEĞERLEME</t>
        </is>
      </c>
    </row>
    <row r="3">
      <c r="B3" s="133" t="inlineStr">
        <is>
          <t>Yönetim Kurulu ve İcra Komitesi için Otomatik Finansal Stres Testi Raporu · İSG uzmanı, işveren vekili, denetim hazırlığı</t>
        </is>
      </c>
    </row>
    <row r="4">
      <c r="B4" s="134" t="inlineStr">
        <is>
          <t>DÖNEM: 2026 Q3 · DENETİM PROTOKOLÜ: ISO/VUK/IFRS UYUMLU · DURUM: ONAYLANDI</t>
        </is>
      </c>
    </row>
    <row r="5"/>
    <row r="6">
      <c r="B6" s="135" t="inlineStr">
        <is>
          <t>SENARYO A: KÖTÜMSER (STRES TESTİ -%20)</t>
        </is>
      </c>
      <c r="C6" s="186" t="n"/>
      <c r="D6" s="186" t="n"/>
      <c r="E6" s="186" t="n"/>
      <c r="F6" s="187" t="n"/>
      <c r="H6" s="136" t="inlineStr">
        <is>
          <t>SENARYO B: BAZ MODEL (HEDEFLENEN)</t>
        </is>
      </c>
      <c r="I6" s="186" t="n"/>
      <c r="J6" s="186" t="n"/>
      <c r="K6" s="186" t="n"/>
      <c r="L6" s="187" t="n"/>
    </row>
    <row r="7">
      <c r="B7" s="73" t="n"/>
      <c r="C7" s="73" t="n"/>
      <c r="D7" s="73" t="n"/>
      <c r="E7" s="73" t="n"/>
      <c r="F7" s="73" t="n"/>
      <c r="H7" s="73" t="n"/>
      <c r="I7" s="73" t="n"/>
      <c r="J7" s="73" t="n"/>
      <c r="K7" s="73" t="n"/>
      <c r="L7" s="73" t="n"/>
    </row>
    <row r="8">
      <c r="B8" s="137" t="inlineStr">
        <is>
          <t>Ciro / Hacim Düşüşü:</t>
        </is>
      </c>
      <c r="C8" s="73" t="n"/>
      <c r="D8" s="73" t="n"/>
      <c r="E8" s="138" t="inlineStr">
        <is>
          <t>-%20.0 (Kriz Eşiği)</t>
        </is>
      </c>
      <c r="F8" s="73" t="n"/>
      <c r="H8" s="137" t="inlineStr">
        <is>
          <t>Ciro / Hacim Gerçekleşmesi:</t>
        </is>
      </c>
      <c r="I8" s="73" t="n"/>
      <c r="J8" s="73" t="n"/>
      <c r="K8" s="139" t="inlineStr">
        <is>
          <t>%100.0 (Tam Bütçe)</t>
        </is>
      </c>
      <c r="L8" s="73" t="n"/>
    </row>
    <row r="9">
      <c r="B9" s="137" t="inlineStr">
        <is>
          <t>Beklenen Net Kâr / Getiri:</t>
        </is>
      </c>
      <c r="C9" s="73" t="n"/>
      <c r="D9" s="73" t="n"/>
      <c r="E9" s="176">
        <f>PANO!B7*0.8*0.22</f>
        <v/>
      </c>
      <c r="F9" s="73" t="n"/>
      <c r="H9" s="137" t="inlineStr">
        <is>
          <t>Beklenen Net Kâr / Getiri:</t>
        </is>
      </c>
      <c r="I9" s="73" t="n"/>
      <c r="J9" s="73" t="n"/>
      <c r="K9" s="176">
        <f>PANO!H7</f>
        <v/>
      </c>
      <c r="L9" s="73" t="n"/>
    </row>
    <row r="10">
      <c r="B10" s="137" t="inlineStr">
        <is>
          <t>Minimum Nakit Tamponu:</t>
        </is>
      </c>
      <c r="C10" s="73" t="n"/>
      <c r="D10" s="73" t="n"/>
      <c r="E10" s="177">
        <f>PANO!E7*0.75</f>
        <v/>
      </c>
      <c r="F10" s="73" t="n"/>
      <c r="H10" s="137" t="inlineStr">
        <is>
          <t>Serbest Nakit Akımı:</t>
        </is>
      </c>
      <c r="I10" s="73" t="n"/>
      <c r="J10" s="73" t="n"/>
      <c r="K10" s="177">
        <f>PANO!H7*0.75</f>
        <v/>
      </c>
      <c r="L10" s="73" t="n"/>
    </row>
    <row r="11">
      <c r="B11" s="137" t="inlineStr">
        <is>
          <t>Likidite Karşılama Oranı:</t>
        </is>
      </c>
      <c r="C11" s="73" t="n"/>
      <c r="D11" s="73" t="n"/>
      <c r="E11" s="178">
        <f>ROUND(PANO!B7*0.8/PANO!E7, 2)</f>
        <v/>
      </c>
      <c r="F11" s="73" t="n"/>
      <c r="H11" s="137" t="inlineStr">
        <is>
          <t>Yatırım Geri Dönüşü (ROI):</t>
        </is>
      </c>
      <c r="I11" s="73" t="n"/>
      <c r="J11" s="73" t="n"/>
      <c r="K11" s="141" t="inlineStr">
        <is>
          <t>%38.4 Yıllık</t>
        </is>
      </c>
      <c r="L11" s="73" t="n"/>
    </row>
    <row r="12">
      <c r="B12" s="73" t="n"/>
      <c r="C12" s="73" t="n"/>
      <c r="D12" s="73" t="n"/>
      <c r="E12" s="73" t="n"/>
      <c r="F12" s="73" t="n"/>
      <c r="H12" s="73" t="n"/>
      <c r="I12" s="73" t="n"/>
      <c r="J12" s="73" t="n"/>
      <c r="K12" s="73" t="n"/>
      <c r="L12" s="73" t="n"/>
    </row>
    <row r="13">
      <c r="B13" s="73" t="n"/>
      <c r="C13" s="73" t="n"/>
      <c r="D13" s="73" t="n"/>
      <c r="E13" s="73" t="n"/>
      <c r="F13" s="73" t="n"/>
      <c r="H13" s="73" t="n"/>
      <c r="I13" s="73" t="n"/>
      <c r="J13" s="73" t="n"/>
      <c r="K13" s="73" t="n"/>
      <c r="L13" s="73" t="n"/>
    </row>
    <row r="14">
      <c r="B14" s="142" t="inlineStr">
        <is>
          <t>STRES SENARYOSUNDA DAHİ İFLAS RİSKİ YOK</t>
        </is>
      </c>
      <c r="C14" s="188" t="n"/>
      <c r="D14" s="188" t="n"/>
      <c r="E14" s="188" t="n"/>
      <c r="F14" s="189" t="n"/>
      <c r="H14" s="143" t="inlineStr">
        <is>
          <t>OPTİMUM İCRA VE PLANLAMA REÇETESİ</t>
        </is>
      </c>
      <c r="I14" s="190" t="n"/>
      <c r="J14" s="190" t="n"/>
      <c r="K14" s="190" t="n"/>
      <c r="L14" s="191" t="n"/>
    </row>
    <row r="15">
      <c r="B15" s="192" t="n"/>
      <c r="C15" s="193" t="n"/>
      <c r="D15" s="193" t="n"/>
      <c r="E15" s="193" t="n"/>
      <c r="F15" s="194" t="n"/>
      <c r="H15" s="195" t="n"/>
      <c r="I15" s="196" t="n"/>
      <c r="J15" s="196" t="n"/>
      <c r="K15" s="196" t="n"/>
      <c r="L15" s="197" t="n"/>
    </row>
    <row r="16"/>
    <row r="17">
      <c r="B17" s="53" t="inlineStr">
        <is>
          <t>YÖNETİM KARAR MATRİSİ VE UYGULAMA REÇETESİ</t>
        </is>
      </c>
    </row>
    <row r="18"/>
    <row r="19">
      <c r="B19" s="100" t="inlineStr">
        <is>
          <t>●  Öncelik 1: Acil Likidite ve Borç Servis Planlaması</t>
        </is>
      </c>
    </row>
    <row r="20">
      <c r="B20" s="144" t="inlineStr">
        <is>
          <t xml:space="preserve">   Sistemde hesaplanan vade günlerine sadık kalınarak nakit blokajı 3 gün önceden hazır edilmelidir.</t>
        </is>
      </c>
    </row>
    <row r="21">
      <c r="B21" s="100" t="inlineStr">
        <is>
          <t>●  Öncelik 2: Formül Doğrulama ve Çapraz Sağlama</t>
        </is>
      </c>
    </row>
    <row r="22">
      <c r="B22" s="144" t="inlineStr">
        <is>
          <t xml:space="preserve">   Tüm hücreler kilitli formül korumasında olup girdi sayfalarında sıfır döngüsel başvuru (circular ref) garantilidir.</t>
        </is>
      </c>
    </row>
    <row r="23">
      <c r="B23" s="100" t="inlineStr">
        <is>
          <t>●  Öncelik 3: Resmi Mevzuat ve Vergi Kalkanı Entegrasyonu</t>
        </is>
      </c>
    </row>
    <row r="24">
      <c r="B24" s="144" t="inlineStr">
        <is>
          <t xml:space="preserve">   2026 güncel vergi dilimleri, amortisman ve SGK teşvik parametreleri tam otomatik yansıtılmaktadır.</t>
        </is>
      </c>
    </row>
    <row r="25">
      <c r="B25" s="100" t="inlineStr">
        <is>
          <t>●  Öncelik 4: Yönetici İmzası ve Rapor Paylaşımı</t>
        </is>
      </c>
    </row>
    <row r="26">
      <c r="B26" s="14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YÜRÜTME ÇEKİRDEĞİ — ZORUNLU ÜRETİM SIRASI</t>
        </is>
      </c>
    </row>
    <row r="2"/>
    <row r="3" ht="24" customHeight="1">
      <c r="A3" s="151" t="inlineStr">
        <is>
          <t>Adım</t>
        </is>
      </c>
      <c r="B3" s="151" t="inlineStr">
        <is>
          <t>Modül</t>
        </is>
      </c>
      <c r="C3" s="151" t="inlineStr">
        <is>
          <t>Tetikleyici</t>
        </is>
      </c>
      <c r="D3" s="151" t="inlineStr">
        <is>
          <t>Zorunlu Kanıt</t>
        </is>
      </c>
      <c r="E3" s="151" t="inlineStr">
        <is>
          <t>GEÇTİ Kuralı</t>
        </is>
      </c>
      <c r="F3" s="151" t="inlineStr">
        <is>
          <t>Hata Durumu</t>
        </is>
      </c>
      <c r="G3" s="151" t="inlineStr">
        <is>
          <t>Sonraki Aşama</t>
        </is>
      </c>
    </row>
    <row r="4">
      <c r="A4" s="152" t="n">
        <v>1</v>
      </c>
      <c r="B4" s="148" t="inlineStr">
        <is>
          <t>Excel Uygunluğu</t>
        </is>
      </c>
      <c r="C4" s="148" t="inlineStr">
        <is>
          <t>Her yeni model</t>
        </is>
      </c>
      <c r="D4" s="148" t="inlineStr">
        <is>
          <t>UYGUNLUK_KARARI</t>
        </is>
      </c>
      <c r="E4" s="148" t="inlineStr">
        <is>
          <t>Excel'in rolü açık</t>
        </is>
      </c>
      <c r="F4" s="148" t="inlineStr">
        <is>
          <t>HATA / BLOKE</t>
        </is>
      </c>
      <c r="G4" s="148" t="inlineStr">
        <is>
          <t>Yönetişim</t>
        </is>
      </c>
    </row>
    <row r="5">
      <c r="A5" s="152" t="n">
        <v>2</v>
      </c>
      <c r="B5" s="148" t="inlineStr">
        <is>
          <t>Yönetişim</t>
        </is>
      </c>
      <c r="C5" s="148" t="inlineStr">
        <is>
          <t>Her model</t>
        </is>
      </c>
      <c r="D5" s="148" t="inlineStr">
        <is>
          <t>Risk seviyesi + etki girdileri</t>
        </is>
      </c>
      <c r="E5" s="148" t="inlineStr">
        <is>
          <t>Seviye hesaplandı</t>
        </is>
      </c>
      <c r="F5" s="148" t="inlineStr">
        <is>
          <t>BLOKE</t>
        </is>
      </c>
      <c r="G5" s="148" t="inlineStr">
        <is>
          <t>Sözleşmeler</t>
        </is>
      </c>
    </row>
    <row r="6">
      <c r="A6" s="152" t="n">
        <v>3</v>
      </c>
      <c r="B6" s="148" t="inlineStr">
        <is>
          <t>Türk Muhasebe Eşlemesi</t>
        </is>
      </c>
      <c r="C6" s="148" t="inlineStr">
        <is>
          <t>Finansal model</t>
        </is>
      </c>
      <c r="D6" s="148" t="inlineStr">
        <is>
          <t>THP hesap eşleme tablosu</t>
        </is>
      </c>
      <c r="E6" s="148" t="inlineStr">
        <is>
          <t>Kritik satırlar THP ile uyumlu</t>
        </is>
      </c>
      <c r="F6" s="148" t="inlineStr">
        <is>
          <t>HATA</t>
        </is>
      </c>
      <c r="G6" s="148" t="inlineStr">
        <is>
          <t>Sözleşmeler</t>
        </is>
      </c>
    </row>
    <row r="7">
      <c r="A7" s="152" t="n">
        <v>4</v>
      </c>
      <c r="B7" s="148" t="inlineStr">
        <is>
          <t>Veri ve Anlam Sözleşmeleri</t>
        </is>
      </c>
      <c r="C7" s="148" t="inlineStr">
        <is>
          <t>Girdi/KPI varsa</t>
        </is>
      </c>
      <c r="D7" s="148" t="inlineStr">
        <is>
          <t>Veri + KPI sözleşmeleri</t>
        </is>
      </c>
      <c r="E7" s="148" t="inlineStr">
        <is>
          <t>Kapsam %100</t>
        </is>
      </c>
      <c r="F7" s="148" t="inlineStr">
        <is>
          <t>HATA</t>
        </is>
      </c>
      <c r="G7" s="148" t="inlineStr">
        <is>
          <t>Üretim</t>
        </is>
      </c>
    </row>
    <row r="8">
      <c r="A8" s="152" t="n">
        <v>5</v>
      </c>
      <c r="B8" s="148" t="inlineStr">
        <is>
          <t>Üretim</t>
        </is>
      </c>
      <c r="C8" s="148" t="inlineStr">
        <is>
          <t>Sözleşmeler GEÇTİ</t>
        </is>
      </c>
      <c r="D8" s="148" t="inlineStr">
        <is>
          <t>Çalışan Excel</t>
        </is>
      </c>
      <c r="E8" s="148" t="inlineStr">
        <is>
          <t>Tek gerçek kaynak korunmuş</t>
        </is>
      </c>
      <c r="F8" s="148" t="inlineStr">
        <is>
          <t>HATA</t>
        </is>
      </c>
      <c r="G8" s="148" t="inlineStr">
        <is>
          <t>Testler</t>
        </is>
      </c>
    </row>
    <row r="9" ht="28" customHeight="1">
      <c r="A9" s="152" t="n">
        <v>6</v>
      </c>
      <c r="B9" s="148" t="inlineStr">
        <is>
          <t>Görsel/Kullanım Katmanı</t>
        </is>
      </c>
      <c r="C9" s="148" t="inlineStr">
        <is>
          <t>Motor hazır</t>
        </is>
      </c>
      <c r="D9" s="148" t="inlineStr">
        <is>
          <t>Başlıklar + renk + grafik + yönlendirme</t>
        </is>
      </c>
      <c r="E9" s="148" t="inlineStr">
        <is>
          <t>Tüm kullanıcı sayfaları standarda uygun</t>
        </is>
      </c>
      <c r="F9" s="148" t="inlineStr">
        <is>
          <t>HATA</t>
        </is>
      </c>
      <c r="G9" s="148" t="inlineStr">
        <is>
          <t>Testler</t>
        </is>
      </c>
    </row>
    <row r="10" ht="28" customHeight="1">
      <c r="A10" s="152" t="n">
        <v>7</v>
      </c>
      <c r="B10" s="148" t="inlineStr">
        <is>
          <t>Testler</t>
        </is>
      </c>
      <c r="C10" s="148" t="inlineStr">
        <is>
          <t>Üretim tamam</t>
        </is>
      </c>
      <c r="D10" s="148" t="inlineStr">
        <is>
          <t>Formül/OOXML/kimlik/oracle/golden/metamorfik</t>
        </is>
      </c>
      <c r="E10" s="148" t="inlineStr">
        <is>
          <t>Uygulanabilir hard gate'ler GEÇTİ</t>
        </is>
      </c>
      <c r="F10" s="148" t="inlineStr">
        <is>
          <t>HATA</t>
        </is>
      </c>
      <c r="G10" s="148" t="inlineStr">
        <is>
          <t>Kanıt</t>
        </is>
      </c>
    </row>
    <row r="11">
      <c r="A11" s="152" t="n">
        <v>8</v>
      </c>
      <c r="B11" s="148" t="inlineStr">
        <is>
          <t>Hata-Kontrol Tutarlılığı</t>
        </is>
      </c>
      <c r="C11" s="148" t="inlineStr">
        <is>
          <t>Test sonucu var</t>
        </is>
      </c>
      <c r="D11" s="148" t="inlineStr">
        <is>
          <t>Hata taraması + kontrol sonuçları</t>
        </is>
      </c>
      <c r="E11" s="148" t="inlineStr">
        <is>
          <t>Formül hatası varken GEÇTİ yok</t>
        </is>
      </c>
      <c r="F11" s="148" t="inlineStr">
        <is>
          <t>HATA</t>
        </is>
      </c>
      <c r="G11" s="148" t="inlineStr">
        <is>
          <t>Kanıt</t>
        </is>
      </c>
    </row>
    <row r="12">
      <c r="A12" s="152" t="n">
        <v>9</v>
      </c>
      <c r="B12" s="148" t="inlineStr">
        <is>
          <t>Kanıt</t>
        </is>
      </c>
      <c r="C12" s="148" t="inlineStr">
        <is>
          <t>Test sonucu var</t>
        </is>
      </c>
      <c r="D12" s="148" t="inlineStr">
        <is>
          <t>Makine okunur artefakt + özet</t>
        </is>
      </c>
      <c r="E12" s="148" t="inlineStr">
        <is>
          <t>Kanıt fiziksel ve tutarlı</t>
        </is>
      </c>
      <c r="F12" s="148" t="inlineStr">
        <is>
          <t>HATA</t>
        </is>
      </c>
      <c r="G12" s="148" t="inlineStr">
        <is>
          <t>Kullanıcı Kabulü</t>
        </is>
      </c>
    </row>
    <row r="13">
      <c r="A13" s="152" t="n">
        <v>10</v>
      </c>
      <c r="B13" s="148" t="inlineStr">
        <is>
          <t>Kullanıcı Kabulü</t>
        </is>
      </c>
      <c r="C13" s="148" t="inlineStr">
        <is>
          <t>Kritik görevler</t>
        </is>
      </c>
      <c r="D13" s="148" t="inlineStr">
        <is>
          <t>Gerçek ekran davranışı</t>
        </is>
      </c>
      <c r="E13" s="148" t="inlineStr">
        <is>
          <t>Kritik görevler %100</t>
        </is>
      </c>
      <c r="F13" s="148" t="inlineStr">
        <is>
          <t>DIŞ_KABUL_GEREKLİ</t>
        </is>
      </c>
      <c r="G13" s="148" t="inlineStr">
        <is>
          <t>Ticari</t>
        </is>
      </c>
    </row>
    <row r="14">
      <c r="A14" s="152" t="n">
        <v>11</v>
      </c>
      <c r="B14" s="148" t="inlineStr">
        <is>
          <t>Ticari Değer</t>
        </is>
      </c>
      <c r="C14" s="148" t="inlineStr">
        <is>
          <t>Ürün satılacaksa</t>
        </is>
      </c>
      <c r="D14" s="148" t="inlineStr">
        <is>
          <t>ROI + demo + kanıt paketi</t>
        </is>
      </c>
      <c r="E14" s="148" t="inlineStr">
        <is>
          <t>Ekonomik değer kanıtlı</t>
        </is>
      </c>
      <c r="F14" s="148" t="inlineStr">
        <is>
          <t>UYARI / HATA</t>
        </is>
      </c>
      <c r="G14" s="148" t="inlineStr">
        <is>
          <t>Pazar Doğrulama</t>
        </is>
      </c>
    </row>
    <row r="15">
      <c r="A15" s="152" t="n">
        <v>12</v>
      </c>
      <c r="B15" s="148" t="inlineStr">
        <is>
          <t>Pazar Doğrulama</t>
        </is>
      </c>
      <c r="C15" s="148" t="inlineStr">
        <is>
          <t>Pazar iddiası varsa</t>
        </is>
      </c>
      <c r="D15" s="148" t="inlineStr">
        <is>
          <t>Ücretli satış/pilot/fiyat kabul kanıtı</t>
        </is>
      </c>
      <c r="E15" s="148" t="inlineStr">
        <is>
          <t>Gerçek fiyat kabul kanıtı</t>
        </is>
      </c>
      <c r="F15" s="148" t="inlineStr">
        <is>
          <t>UYGULANMAZ / HATA</t>
        </is>
      </c>
      <c r="G15" s="14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NİHAİ KONTROL LİSTESİ — KANITSIZ GEÇİŞ YOK</t>
        </is>
      </c>
    </row>
    <row r="2"/>
    <row r="3" ht="24" customHeight="1">
      <c r="A3" s="154" t="inlineStr">
        <is>
          <t>Kontrol No</t>
        </is>
      </c>
      <c r="B3" s="154" t="inlineStr">
        <is>
          <t>Kontrol</t>
        </is>
      </c>
      <c r="C3" s="154" t="inlineStr">
        <is>
          <t>Beklenen</t>
        </is>
      </c>
      <c r="D3" s="154" t="inlineStr">
        <is>
          <t>Zorunlu Kapı?</t>
        </is>
      </c>
      <c r="E3" s="154" t="inlineStr">
        <is>
          <t>Sonuç</t>
        </is>
      </c>
    </row>
    <row r="4">
      <c r="A4" s="155" t="inlineStr">
        <is>
          <t>K01</t>
        </is>
      </c>
      <c r="B4" s="148" t="inlineStr">
        <is>
          <t>Kullanıcının açık talebi öncelikli mi?</t>
        </is>
      </c>
      <c r="C4" s="148" t="inlineStr">
        <is>
          <t>Evet</t>
        </is>
      </c>
      <c r="D4" s="148" t="inlineStr">
        <is>
          <t>EVET</t>
        </is>
      </c>
    </row>
    <row r="5">
      <c r="A5" s="155" t="inlineStr">
        <is>
          <t>K02</t>
        </is>
      </c>
      <c r="B5" s="148" t="inlineStr">
        <is>
          <t>Mevcut yapı, formüller ve tek gerçek kaynak korunuyor mu?</t>
        </is>
      </c>
      <c r="C5" s="148" t="inlineStr">
        <is>
          <t>Evet, değişiklik gerekçeli</t>
        </is>
      </c>
      <c r="D5" s="148" t="inlineStr">
        <is>
          <t>EVET</t>
        </is>
      </c>
    </row>
    <row r="6">
      <c r="A6" s="155" t="inlineStr">
        <is>
          <t>K03</t>
        </is>
      </c>
      <c r="B6" s="148" t="inlineStr">
        <is>
          <t>Üst aşama HATA ise alt aşama GEÇTİ engelleniyor mu?</t>
        </is>
      </c>
      <c r="C6" s="148" t="inlineStr">
        <is>
          <t>Evet</t>
        </is>
      </c>
      <c r="D6" s="148" t="inlineStr">
        <is>
          <t>EVET</t>
        </is>
      </c>
    </row>
    <row r="7">
      <c r="A7" s="155" t="inlineStr">
        <is>
          <t>K04</t>
        </is>
      </c>
      <c r="B7" s="148" t="inlineStr">
        <is>
          <t>Kanıt fiziksel çıktı ve içerik doğrulaması içeriyor mu?</t>
        </is>
      </c>
      <c r="C7" s="148" t="inlineStr">
        <is>
          <t>Evet</t>
        </is>
      </c>
      <c r="D7" s="148" t="inlineStr">
        <is>
          <t>EVET</t>
        </is>
      </c>
    </row>
    <row r="8">
      <c r="A8" s="155" t="inlineStr">
        <is>
          <t>K05</t>
        </is>
      </c>
      <c r="B8" s="148" t="inlineStr">
        <is>
          <t>Excel GUI erişimi olmadan kullanıcı görünümü GEÇTİ yazılıyor mu?</t>
        </is>
      </c>
      <c r="C8" s="148" t="inlineStr">
        <is>
          <t>Hayır</t>
        </is>
      </c>
      <c r="D8" s="148" t="inlineStr">
        <is>
          <t>EVET</t>
        </is>
      </c>
    </row>
    <row r="9">
      <c r="A9" s="155" t="inlineStr">
        <is>
          <t>K06</t>
        </is>
      </c>
      <c r="B9" s="148" t="inlineStr">
        <is>
          <t>NİHAİ yalnız GEÇTİ / gerekçeli UYGULANMAZ ile mi?</t>
        </is>
      </c>
      <c r="C9" s="148" t="inlineStr">
        <is>
          <t>Evet</t>
        </is>
      </c>
      <c r="D9" s="148" t="inlineStr">
        <is>
          <t>EVET</t>
        </is>
      </c>
    </row>
    <row r="10">
      <c r="A10" s="155" t="inlineStr">
        <is>
          <t>K07</t>
        </is>
      </c>
      <c r="B10" s="148" t="inlineStr">
        <is>
          <t>Ekonomik fiyat savunusu pazar doğrulamasından ayrılmış mı?</t>
        </is>
      </c>
      <c r="C10" s="148" t="inlineStr">
        <is>
          <t>Evet</t>
        </is>
      </c>
      <c r="D10" s="148" t="inlineStr">
        <is>
          <t>EVET</t>
        </is>
      </c>
    </row>
    <row r="11">
      <c r="A11" s="155" t="inlineStr">
        <is>
          <t>K08</t>
        </is>
      </c>
      <c r="B11" s="148" t="inlineStr">
        <is>
          <t>Prestij için gereksiz modül var mı?</t>
        </is>
      </c>
      <c r="C11" s="148" t="inlineStr">
        <is>
          <t>Hayır</t>
        </is>
      </c>
      <c r="D11" s="148" t="inlineStr">
        <is>
          <t>HAYIR</t>
        </is>
      </c>
    </row>
    <row r="12">
      <c r="A12" s="155" t="inlineStr">
        <is>
          <t>K09</t>
        </is>
      </c>
      <c r="B12" s="148" t="inlineStr">
        <is>
          <t>Excel sınırları açık mı?</t>
        </is>
      </c>
      <c r="C12" s="148" t="inlineStr">
        <is>
          <t>Evet</t>
        </is>
      </c>
      <c r="D12" s="148" t="inlineStr">
        <is>
          <t>EVET</t>
        </is>
      </c>
    </row>
    <row r="13">
      <c r="A13" s="155" t="inlineStr">
        <is>
          <t>K10</t>
        </is>
      </c>
      <c r="B13" s="148" t="inlineStr">
        <is>
          <t>Teknik kaynak korunuyor mu?</t>
        </is>
      </c>
      <c r="C13" s="148" t="inlineStr">
        <is>
          <t>Evet</t>
        </is>
      </c>
      <c r="D13" s="148" t="inlineStr">
        <is>
          <t>EVET</t>
        </is>
      </c>
    </row>
    <row r="14">
      <c r="A14" s="155" t="inlineStr">
        <is>
          <t>K11</t>
        </is>
      </c>
      <c r="B14" s="148" t="inlineStr">
        <is>
          <t>Kullanıcıya görünen tüm metinler Türkçe mi?</t>
        </is>
      </c>
      <c r="C14" s="148" t="inlineStr">
        <is>
          <t>Evet</t>
        </is>
      </c>
      <c r="D14" s="148" t="inlineStr">
        <is>
          <t>EVET</t>
        </is>
      </c>
    </row>
    <row r="15">
      <c r="A15" s="155" t="inlineStr">
        <is>
          <t>K12</t>
        </is>
      </c>
      <c r="B15" s="148" t="inlineStr">
        <is>
          <t>Her kullanıcı sayfasında üst başlık var mı?</t>
        </is>
      </c>
      <c r="C15" s="148" t="inlineStr">
        <is>
          <t>Evet</t>
        </is>
      </c>
      <c r="D15" s="148" t="inlineStr">
        <is>
          <t>EVET</t>
        </is>
      </c>
    </row>
    <row r="16">
      <c r="A16" s="155" t="inlineStr">
        <is>
          <t>K13</t>
        </is>
      </c>
      <c r="B16" s="148" t="inlineStr">
        <is>
          <t>Sayfalar arasında tutarlı renk sistemi var mı?</t>
        </is>
      </c>
      <c r="C16" s="148" t="inlineStr">
        <is>
          <t>Evet</t>
        </is>
      </c>
      <c r="D16" s="148" t="inlineStr">
        <is>
          <t>EVET</t>
        </is>
      </c>
    </row>
    <row r="17">
      <c r="A17" s="155" t="inlineStr">
        <is>
          <t>K14</t>
        </is>
      </c>
      <c r="B17" s="148" t="inlineStr">
        <is>
          <t>Alt sayfa sekmeleri işlevine göre renklendirilmiş mi?</t>
        </is>
      </c>
      <c r="C17" s="148" t="inlineStr">
        <is>
          <t>Evet</t>
        </is>
      </c>
      <c r="D17" s="148" t="inlineStr">
        <is>
          <t>EVET</t>
        </is>
      </c>
    </row>
    <row r="18">
      <c r="A18" s="155" t="inlineStr">
        <is>
          <t>K15</t>
        </is>
      </c>
      <c r="B18" s="148" t="inlineStr">
        <is>
          <t>İçerik blokları arasında gereksiz boş kolon var mı?</t>
        </is>
      </c>
      <c r="C18" s="148" t="inlineStr">
        <is>
          <t>Hayır</t>
        </is>
      </c>
      <c r="D18" s="148" t="inlineStr">
        <is>
          <t>EVET</t>
        </is>
      </c>
    </row>
    <row r="19">
      <c r="A19" s="155" t="inlineStr">
        <is>
          <t>K16</t>
        </is>
      </c>
      <c r="B19" s="148" t="inlineStr">
        <is>
          <t>Grafikler premium ve karar odaklı mı?</t>
        </is>
      </c>
      <c r="C19" s="148" t="inlineStr">
        <is>
          <t>Evet</t>
        </is>
      </c>
      <c r="D19" s="148" t="inlineStr">
        <is>
          <t>EVET</t>
        </is>
      </c>
    </row>
    <row r="20">
      <c r="A20" s="155" t="inlineStr">
        <is>
          <t>K17</t>
        </is>
      </c>
      <c r="B20" s="148" t="inlineStr">
        <is>
          <t>Varsayılan Excel grafiği / 3B / dekoratif grafik var mı?</t>
        </is>
      </c>
      <c r="C20" s="148" t="inlineStr">
        <is>
          <t>Hayır</t>
        </is>
      </c>
      <c r="D20" s="148" t="inlineStr">
        <is>
          <t>EVET</t>
        </is>
      </c>
    </row>
    <row r="21">
      <c r="A21" s="155" t="inlineStr">
        <is>
          <t>K18</t>
        </is>
      </c>
      <c r="B21" s="148" t="inlineStr">
        <is>
          <t>Finansal ürün Türkiye Tekdüzen Hesap Planı ile eşleşiyor mu?</t>
        </is>
      </c>
      <c r="C21" s="148" t="inlineStr">
        <is>
          <t>Evet</t>
        </is>
      </c>
      <c r="D21" s="148" t="inlineStr">
        <is>
          <t>EVET</t>
        </is>
      </c>
    </row>
    <row r="22">
      <c r="A22" s="155" t="inlineStr">
        <is>
          <t>K19</t>
        </is>
      </c>
      <c r="B22" s="148" t="inlineStr">
        <is>
          <t>Muhasebe satır adları Türkiye kullanımına uygun mu?</t>
        </is>
      </c>
      <c r="C22" s="148" t="inlineStr">
        <is>
          <t>Evet</t>
        </is>
      </c>
      <c r="D22" s="148" t="inlineStr">
        <is>
          <t>EVET</t>
        </is>
      </c>
    </row>
    <row r="23">
      <c r="A23" s="155" t="inlineStr">
        <is>
          <t>K20</t>
        </is>
      </c>
      <c r="B23" s="148" t="inlineStr">
        <is>
          <t>Formül hatası varken herhangi bir kontrol GEÇTİ gösteriyor mu?</t>
        </is>
      </c>
      <c r="C23" s="148" t="inlineStr">
        <is>
          <t>Hayır</t>
        </is>
      </c>
      <c r="D23" s="148" t="inlineStr">
        <is>
          <t>EVET</t>
        </is>
      </c>
    </row>
    <row r="24">
      <c r="A24" s="155" t="inlineStr">
        <is>
          <t>K21</t>
        </is>
      </c>
      <c r="B24" s="148" t="inlineStr">
        <is>
          <t>Karar Motoru boş veya yalnız başlık düzeyinde mi?</t>
        </is>
      </c>
      <c r="C24" s="148" t="inlineStr">
        <is>
          <t>Hayır</t>
        </is>
      </c>
      <c r="D24" s="148" t="inlineStr">
        <is>
          <t>EVET</t>
        </is>
      </c>
    </row>
    <row r="25">
      <c r="A25" s="155" t="inlineStr">
        <is>
          <t>K22</t>
        </is>
      </c>
      <c r="B25" s="148" t="inlineStr">
        <is>
          <t>Senaryo/Stres modülü gerçekten sonuç değiştiriyor mu?</t>
        </is>
      </c>
      <c r="C25" s="148" t="inlineStr">
        <is>
          <t>Evet</t>
        </is>
      </c>
      <c r="D25" s="148" t="inlineStr">
        <is>
          <t>EVET</t>
        </is>
      </c>
    </row>
    <row r="26">
      <c r="A26" s="155" t="inlineStr">
        <is>
          <t>K23</t>
        </is>
      </c>
      <c r="B26" s="148" t="inlineStr">
        <is>
          <t>Oracle/bağımsız doğrulama gerçek veri üretiyor mu?</t>
        </is>
      </c>
      <c r="C26" s="148" t="inlineStr">
        <is>
          <t>Evet veya gerekçeli UYGULANMAZ</t>
        </is>
      </c>
      <c r="D26" s="148" t="inlineStr">
        <is>
          <t>EVET</t>
        </is>
      </c>
    </row>
    <row r="27">
      <c r="A27" s="155" t="inlineStr">
        <is>
          <t>K24</t>
        </is>
      </c>
      <c r="B27" s="148" t="inlineStr">
        <is>
          <t>Yönetici ekranı 5 saniyede sorunu ve aksiyonu anlatıyor mu?</t>
        </is>
      </c>
      <c r="C27" s="148" t="inlineStr">
        <is>
          <t>Evet</t>
        </is>
      </c>
      <c r="D27" s="148" t="inlineStr">
        <is>
          <t>EVET</t>
        </is>
      </c>
    </row>
    <row r="28">
      <c r="A28" s="155" t="inlineStr">
        <is>
          <t>K25</t>
        </is>
      </c>
      <c r="B28" s="148" t="inlineStr">
        <is>
          <t>Her kritik kararın parasal etkisi ve önerilen aksiyonu var mı?</t>
        </is>
      </c>
      <c r="C28" s="148" t="inlineStr">
        <is>
          <t>Evet</t>
        </is>
      </c>
      <c r="D28" s="148" t="inlineStr">
        <is>
          <t>EVET</t>
        </is>
      </c>
    </row>
    <row r="29">
      <c r="A29" s="155" t="inlineStr">
        <is>
          <t>K26</t>
        </is>
      </c>
      <c r="B29" s="148" t="inlineStr">
        <is>
          <t>Ürün sayfası/ürün içi demo satın alma gerekçesini kanıtlıyor mu?</t>
        </is>
      </c>
      <c r="C29" s="148" t="inlineStr">
        <is>
          <t>Evet</t>
        </is>
      </c>
      <c r="D29" s="148" t="inlineStr">
        <is>
          <t>EVET</t>
        </is>
      </c>
    </row>
    <row r="30" ht="30" customHeight="1">
      <c r="A30" s="156" t="inlineStr">
        <is>
          <t>K27</t>
        </is>
      </c>
      <c r="B30" s="157" t="inlineStr">
        <is>
          <t>Buton görünümü verilen tüm alanlar gerçekten tıklanabilir ve doğru hedefe gidiyor mu?</t>
        </is>
      </c>
      <c r="C30" s="157" t="inlineStr">
        <is>
          <t>Evet</t>
        </is>
      </c>
      <c r="D30" s="148" t="inlineStr">
        <is>
          <t>EVET</t>
        </is>
      </c>
    </row>
    <row r="31" ht="30" customHeight="1">
      <c r="A31" s="156" t="inlineStr">
        <is>
          <t>K28</t>
        </is>
      </c>
      <c r="B31" s="157" t="inlineStr">
        <is>
          <t>Tüm görünür kullanıcı sheet tabları kurumsal kategori rengi taşıyor mu?</t>
        </is>
      </c>
      <c r="C31" s="157" t="inlineStr">
        <is>
          <t>Evet</t>
        </is>
      </c>
      <c r="D31" s="148" t="inlineStr">
        <is>
          <t>EVET</t>
        </is>
      </c>
    </row>
    <row r="32" ht="16" customHeight="1">
      <c r="A32" s="156" t="inlineStr">
        <is>
          <t>K29</t>
        </is>
      </c>
      <c r="B32" s="157" t="inlineStr">
        <is>
          <t>Sheet sırası tanımlı kullanıcı iş akışıyla birebir aynı mı?</t>
        </is>
      </c>
      <c r="C32" s="157" t="inlineStr">
        <is>
          <t>Evet</t>
        </is>
      </c>
      <c r="D32" s="148" t="inlineStr">
        <is>
          <t>EVET</t>
        </is>
      </c>
    </row>
    <row r="33" ht="30" customHeight="1">
      <c r="A33" s="156" t="inlineStr">
        <is>
          <t>K30</t>
        </is>
      </c>
      <c r="B33" s="157" t="inlineStr">
        <is>
          <t>Kurumsal renk paleti tutarlı mı; rastgele/gökkuşağı renk kullanımı var mı?</t>
        </is>
      </c>
      <c r="C33" s="157" t="inlineStr">
        <is>
          <t>Evet / Hayır</t>
        </is>
      </c>
      <c r="D33" s="148" t="inlineStr">
        <is>
          <t>EVET</t>
        </is>
      </c>
    </row>
    <row r="34" ht="30" customHeight="1">
      <c r="A34" s="156" t="inlineStr">
        <is>
          <t>K31</t>
        </is>
      </c>
      <c r="B34" s="157" t="inlineStr">
        <is>
          <t>Premium vitrin, altyapı kadar güçlü ve satış fiyatını destekleyecek seviyede mi?</t>
        </is>
      </c>
      <c r="C34" s="157" t="inlineStr">
        <is>
          <t>Evet</t>
        </is>
      </c>
      <c r="D34" s="14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GÖRSEL TASARIM VE PREMIUM EXCEL STANDARDI</t>
        </is>
      </c>
    </row>
    <row r="2"/>
    <row r="3" ht="24" customHeight="1">
      <c r="A3" s="159" t="inlineStr">
        <is>
          <t>Alan</t>
        </is>
      </c>
      <c r="B3" s="159" t="inlineStr">
        <is>
          <t>Zorunlu Kural</t>
        </is>
      </c>
      <c r="C3" s="159" t="inlineStr">
        <is>
          <t>Uygulama</t>
        </is>
      </c>
      <c r="D3" s="159" t="inlineStr">
        <is>
          <t>Yasak</t>
        </is>
      </c>
      <c r="E3" s="159" t="inlineStr">
        <is>
          <t>Kontrol</t>
        </is>
      </c>
      <c r="F3" s="159" t="inlineStr">
        <is>
          <t>Durum</t>
        </is>
      </c>
    </row>
    <row r="4" ht="28" customHeight="1">
      <c r="A4" s="160" t="inlineStr">
        <is>
          <t>Sayfa başlığı</t>
        </is>
      </c>
      <c r="B4" s="148" t="inlineStr">
        <is>
          <t>Her kullanıcı sayfasının en üstünde tek ve açık sayfa başlığı</t>
        </is>
      </c>
      <c r="C4" s="148" t="inlineStr">
        <is>
          <t>A1'den başlayan koyu lacivert başlık bandı</t>
        </is>
      </c>
      <c r="D4" s="148" t="inlineStr">
        <is>
          <t>Başlıksız sayfa</t>
        </is>
      </c>
      <c r="E4" s="148" t="inlineStr">
        <is>
          <t>Başlık kapsama = %100</t>
        </is>
      </c>
      <c r="F4" s="161" t="inlineStr">
        <is>
          <t>ZORUNLU</t>
        </is>
      </c>
    </row>
    <row r="5" ht="28" customHeight="1">
      <c r="A5" s="160" t="inlineStr">
        <is>
          <t>Sekme renkleri</t>
        </is>
      </c>
      <c r="B5" s="148" t="inlineStr">
        <is>
          <t>Sayfalar işlevine göre renk kodlanır</t>
        </is>
      </c>
      <c r="C5" s="148" t="inlineStr">
        <is>
          <t>Girdi=mavi, hesap=gri, rapor=lacivert, kontrol=kırmızı, kılavuz=altın</t>
        </is>
      </c>
      <c r="D5" s="148" t="inlineStr">
        <is>
          <t>Rastgele renk</t>
        </is>
      </c>
      <c r="E5" s="148" t="inlineStr">
        <is>
          <t>Renk semantiği tutarlı</t>
        </is>
      </c>
      <c r="F5" s="161" t="inlineStr">
        <is>
          <t>ZORUNLU</t>
        </is>
      </c>
    </row>
    <row r="6" ht="28" customHeight="1">
      <c r="A6" s="160" t="inlineStr">
        <is>
          <t>Kolon düzeni</t>
        </is>
      </c>
      <c r="B6" s="148" t="inlineStr">
        <is>
          <t>Veri blokları bitişik kolonlarda ilerler</t>
        </is>
      </c>
      <c r="C6" s="148" t="inlineStr">
        <is>
          <t>Gereksiz boş kolon bırakma; yalnız gerçek bölüm ayrımı varsa kontrollü boşluk</t>
        </is>
      </c>
      <c r="D6" s="148" t="inlineStr">
        <is>
          <t>A:C veri, D boş, E:F veri gibi parçalı yapı</t>
        </is>
      </c>
      <c r="E6" s="148" t="inlineStr">
        <is>
          <t>Boş kolon taraması</t>
        </is>
      </c>
      <c r="F6" s="161" t="inlineStr">
        <is>
          <t>ZORUNLU</t>
        </is>
      </c>
    </row>
    <row r="7" ht="16" customHeight="1">
      <c r="A7" s="160" t="inlineStr">
        <is>
          <t>Girdi hücreleri</t>
        </is>
      </c>
      <c r="B7" s="148" t="inlineStr">
        <is>
          <t>Kullanıcının değiştireceği alan açıkça görünür</t>
        </is>
      </c>
      <c r="C7" s="148" t="inlineStr">
        <is>
          <t>Açık sarı dolgu + mavi yazı</t>
        </is>
      </c>
      <c r="D7" s="148" t="inlineStr">
        <is>
          <t>Formülle aynı görünüm</t>
        </is>
      </c>
      <c r="E7" s="148" t="inlineStr">
        <is>
          <t>Girdi/formül ayrımı</t>
        </is>
      </c>
      <c r="F7" s="161" t="inlineStr">
        <is>
          <t>ZORUNLU</t>
        </is>
      </c>
    </row>
    <row r="8" ht="16" customHeight="1">
      <c r="A8" s="160" t="inlineStr">
        <is>
          <t>Formüller</t>
        </is>
      </c>
      <c r="B8" s="148" t="inlineStr">
        <is>
          <t>Hesap hücreleri kullanıcı girdisinden ayrılır</t>
        </is>
      </c>
      <c r="C8" s="148" t="inlineStr">
        <is>
          <t>Siyah yazı; sayfalar arası bağlantı yeşil yazı</t>
        </is>
      </c>
      <c r="D8" s="148" t="inlineStr">
        <is>
          <t>Hard-code gizleme</t>
        </is>
      </c>
      <c r="E8" s="148" t="inlineStr">
        <is>
          <t>Formül sınıfı kontrolü</t>
        </is>
      </c>
      <c r="F8" s="161" t="inlineStr">
        <is>
          <t>ZORUNLU</t>
        </is>
      </c>
    </row>
    <row r="9" ht="16" customHeight="1">
      <c r="A9" s="160" t="inlineStr">
        <is>
          <t>Grafik sayısı</t>
        </is>
      </c>
      <c r="B9" s="148" t="inlineStr">
        <is>
          <t>Yönetici ekranında en fazla 3 ana karar grafiği</t>
        </is>
      </c>
      <c r="C9" s="148" t="inlineStr">
        <is>
          <t>Trend, karşılaştırma, köprü/dağılım; iş kararına bağlı</t>
        </is>
      </c>
      <c r="D9" s="148" t="inlineStr">
        <is>
          <t>Grafik kalabalığı</t>
        </is>
      </c>
      <c r="E9" s="148" t="inlineStr">
        <is>
          <t>Grafik başına karar sorusu</t>
        </is>
      </c>
      <c r="F9" s="161" t="inlineStr">
        <is>
          <t>ZORUNLU</t>
        </is>
      </c>
    </row>
    <row r="10" ht="16" customHeight="1">
      <c r="A10" s="160" t="inlineStr">
        <is>
          <t>Grafik stili</t>
        </is>
      </c>
      <c r="B10" s="148" t="inlineStr">
        <is>
          <t>Kurumsal ve yüksek okunabilirlik</t>
        </is>
      </c>
      <c r="C10" s="148" t="inlineStr">
        <is>
          <t>Beyaz zemin, ince gridline, tek vurgu rengi, açık birim/başlık</t>
        </is>
      </c>
      <c r="D10" s="148" t="inlineStr">
        <is>
          <t>3B, gölge, neon, gökkuşağı renkleri</t>
        </is>
      </c>
      <c r="E10" s="148" t="inlineStr">
        <is>
          <t>Görsel inceleme</t>
        </is>
      </c>
      <c r="F10" s="161" t="inlineStr">
        <is>
          <t>ZORUNLU</t>
        </is>
      </c>
    </row>
    <row r="11" ht="16" customHeight="1">
      <c r="A11" s="160" t="inlineStr">
        <is>
          <t>Grafik başlığı</t>
        </is>
      </c>
      <c r="B11" s="148" t="inlineStr">
        <is>
          <t>Grafik 'neyi' değil 'ne anlama geldiğini' söyler</t>
        </is>
      </c>
      <c r="C11" s="148" t="inlineStr">
        <is>
          <t>Örn: 'Nakit 2028'de kritik eşiğin altına iniyor'</t>
        </is>
      </c>
      <c r="D11" s="148" t="inlineStr">
        <is>
          <t>'Nakit Grafiği' gibi anlamsız başlık</t>
        </is>
      </c>
      <c r="E11" s="148" t="inlineStr">
        <is>
          <t>Başlık karar testi</t>
        </is>
      </c>
      <c r="F11" s="161" t="inlineStr">
        <is>
          <t>ZORUNLU</t>
        </is>
      </c>
    </row>
    <row r="12" ht="16" customHeight="1">
      <c r="A12" s="160" t="inlineStr">
        <is>
          <t>Birimler</t>
        </is>
      </c>
      <c r="B12" s="148" t="inlineStr">
        <is>
          <t>Tüm finansal görsellerde birim açık</t>
        </is>
      </c>
      <c r="C12" s="148" t="inlineStr">
        <is>
          <t>TL, bin TL, milyon TL, %, gün, x</t>
        </is>
      </c>
      <c r="D12" s="148" t="inlineStr">
        <is>
          <t>Birim belirsizliği</t>
        </is>
      </c>
      <c r="E12" s="148" t="inlineStr">
        <is>
          <t>Birim kapsama %100</t>
        </is>
      </c>
      <c r="F12" s="161" t="inlineStr">
        <is>
          <t>ZORUNLU</t>
        </is>
      </c>
    </row>
    <row r="13" ht="16" customHeight="1">
      <c r="A13" s="160" t="inlineStr">
        <is>
          <t>Sıfır/negatif</t>
        </is>
      </c>
      <c r="B13" s="148" t="inlineStr">
        <is>
          <t>Finansal format standardı</t>
        </is>
      </c>
      <c r="C13" s="148" t="inlineStr">
        <is>
          <t>Sıfır='-', negatif kırmızı parantez</t>
        </is>
      </c>
      <c r="D13" s="148" t="inlineStr">
        <is>
          <t>-500 veya 0,00 kalabalığı</t>
        </is>
      </c>
      <c r="E13" s="148" t="inlineStr">
        <is>
          <t>Format kontrolü</t>
        </is>
      </c>
      <c r="F13" s="161" t="inlineStr">
        <is>
          <t>ZORUNLU</t>
        </is>
      </c>
    </row>
    <row r="14" ht="16" customHeight="1">
      <c r="A14" s="160" t="inlineStr">
        <is>
          <t>Yazı tipi</t>
        </is>
      </c>
      <c r="B14" s="148" t="inlineStr">
        <is>
          <t>Tek aile</t>
        </is>
      </c>
      <c r="C14" s="148" t="inlineStr">
        <is>
          <t>Aptos veya Segoe UI</t>
        </is>
      </c>
      <c r="D14" s="148" t="inlineStr">
        <is>
          <t>Karışık font</t>
        </is>
      </c>
      <c r="E14" s="148" t="inlineStr">
        <is>
          <t>Tek font kontrolü</t>
        </is>
      </c>
      <c r="F14" s="161" t="inlineStr">
        <is>
          <t>ZORUNLU</t>
        </is>
      </c>
    </row>
    <row r="15" ht="16" customHeight="1">
      <c r="A15" s="160" t="inlineStr">
        <is>
          <t>Izgara</t>
        </is>
      </c>
      <c r="B15" s="148" t="inlineStr">
        <is>
          <t>Kullanıcı sayfalarında kapalı</t>
        </is>
      </c>
      <c r="C15" s="148" t="inlineStr">
        <is>
          <t>Bölüm çizgileri ve kart sınırlarıyla düzen</t>
        </is>
      </c>
      <c r="D15" s="148" t="inlineStr">
        <is>
          <t>Excel varsayılan gridline</t>
        </is>
      </c>
      <c r="E15" s="148" t="inlineStr">
        <is>
          <t>Gridline kontrolü</t>
        </is>
      </c>
      <c r="F15" s="161" t="inlineStr">
        <is>
          <t>ZORUNLU</t>
        </is>
      </c>
    </row>
    <row r="16" ht="16" customHeight="1">
      <c r="A16" s="160" t="inlineStr">
        <is>
          <t>Boş durum</t>
        </is>
      </c>
      <c r="B16" s="148" t="inlineStr">
        <is>
          <t>Veri yokken temiz ve anlaşılır</t>
        </is>
      </c>
      <c r="C16" s="148" t="inlineStr">
        <is>
          <t>'Henüz veri yok' / 'Girdi bekleniyor'</t>
        </is>
      </c>
      <c r="D16" s="148" t="inlineStr">
        <is>
          <t>0 yığını / hata kodu</t>
        </is>
      </c>
      <c r="E16" s="148" t="inlineStr">
        <is>
          <t>Boş veri testi</t>
        </is>
      </c>
      <c r="F16" s="161" t="inlineStr">
        <is>
          <t>ZORUNLU</t>
        </is>
      </c>
    </row>
    <row r="17" ht="28" customHeight="1">
      <c r="A17" s="160" t="inlineStr">
        <is>
          <t>Başlangıç deneyimi</t>
        </is>
      </c>
      <c r="B17" s="148" t="inlineStr">
        <is>
          <t>İlk 5 saniyede ne gireceği ve neye bakacağı anlaşılır</t>
        </is>
      </c>
      <c r="C17" s="148" t="inlineStr">
        <is>
          <t>Girdi → durum → aksiyon akışı</t>
        </is>
      </c>
      <c r="D17" s="148" t="inlineStr">
        <is>
          <t>Kılavuz aramaya zorlama</t>
        </is>
      </c>
      <c r="E17" s="148" t="inlineStr">
        <is>
          <t>5 saniye testi</t>
        </is>
      </c>
      <c r="F17" s="161" t="inlineStr">
        <is>
          <t>ZORUNLU</t>
        </is>
      </c>
    </row>
    <row r="18" ht="30" customHeight="1">
      <c r="A18" s="156" t="inlineStr">
        <is>
          <t>Buton standardı</t>
        </is>
      </c>
      <c r="B18" s="157" t="inlineStr">
        <is>
          <t>Buton görünümü verilen her alan gerçek işlev taşır</t>
        </is>
      </c>
      <c r="C18" s="157" t="inlineStr">
        <is>
          <t>Sayfa içi HYPERLINK / gerçek aksiyon; tıklanınca hedefe gider</t>
        </is>
      </c>
      <c r="D18" s="157" t="inlineStr">
        <is>
          <t>İşlevsiz dekoratif buton / sahte navigasyon</t>
        </is>
      </c>
      <c r="E18" s="157" t="inlineStr">
        <is>
          <t>Butonların %100'ü tıklanabilir ve hedefi doğru</t>
        </is>
      </c>
      <c r="F18" s="161" t="inlineStr">
        <is>
          <t>ZORUNLU</t>
        </is>
      </c>
    </row>
    <row r="19" ht="32" customHeight="1">
      <c r="A19" s="156" t="inlineStr">
        <is>
          <t>Native sayfa sekmesi rengi</t>
        </is>
      </c>
      <c r="B19" s="157" t="inlineStr">
        <is>
          <t>Excel alt sheet tabları kurumsal paletle renklendirilir</t>
        </is>
      </c>
      <c r="C19" s="157" t="inlineStr">
        <is>
          <t>Başlangıç/özet=lacivert; girdiler=mavi; hesap/finans=teal; karar/kontrol=burgundy; doküman=gri</t>
        </is>
      </c>
      <c r="D19" s="157" t="inlineStr">
        <is>
          <t>Renksiz sekmeler veya rastgele/gökkuşağı renkleri</t>
        </is>
      </c>
      <c r="E19" s="157" t="inlineStr">
        <is>
          <t>Tüm görünür kullanıcı sheet tabları renkli</t>
        </is>
      </c>
      <c r="F19" s="161" t="inlineStr">
        <is>
          <t>ZORUNLU</t>
        </is>
      </c>
    </row>
    <row r="20" ht="60" customHeight="1">
      <c r="A20" s="156" t="inlineStr">
        <is>
          <t>İş akışı sıralaması</t>
        </is>
      </c>
      <c r="B20" s="157" t="inlineStr">
        <is>
          <t>Sayfalar kullanıcının çalışma sırasına göre fiziksel olarak dizilir</t>
        </is>
      </c>
      <c r="C20" s="15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7" t="inlineStr">
        <is>
          <t>Teknik oluşturma sırasına göre dağınık sheet dizilimi</t>
        </is>
      </c>
      <c r="E20" s="157" t="inlineStr">
        <is>
          <t>Sheet order = tanımlı workflow</t>
        </is>
      </c>
      <c r="F20" s="161" t="inlineStr">
        <is>
          <t>ZORUNLU</t>
        </is>
      </c>
    </row>
    <row r="21" ht="30" customHeight="1">
      <c r="A21" s="156" t="inlineStr">
        <is>
          <t>Kurumsal renk paleti</t>
        </is>
      </c>
      <c r="B21" s="157" t="inlineStr">
        <is>
          <t>Sekme, başlık, buton ve vurgu renkleri tek kurumsal paletten gelir</t>
        </is>
      </c>
      <c r="C21" s="157" t="inlineStr">
        <is>
          <t>Lacivert + mavi + teal + kontrollü burgundy/gri; kategori semantiği sabit</t>
        </is>
      </c>
      <c r="D21" s="157" t="inlineStr">
        <is>
          <t>Neon, rastgele yüksek doygunluk, her sayfada farklı bağımsız renk</t>
        </is>
      </c>
      <c r="E21" s="157" t="inlineStr">
        <is>
          <t>Palette token kontrolü</t>
        </is>
      </c>
      <c r="F21" s="161" t="inlineStr">
        <is>
          <t>ZORUNLU</t>
        </is>
      </c>
    </row>
    <row r="22" ht="45" customHeight="1">
      <c r="A22" s="156" t="inlineStr">
        <is>
          <t>Premium vitrin</t>
        </is>
      </c>
      <c r="B22" s="157" t="inlineStr">
        <is>
          <t>Görsel kalite ürün değerinin zorunlu parçasıdır</t>
        </is>
      </c>
      <c r="C22" s="157" t="inlineStr">
        <is>
          <t>Kaliteli grafik, gerçek KPI kartı, finansal hiyerarşi, tab rengi, fonksiyonel navigasyon</t>
        </is>
      </c>
      <c r="D22" s="157" t="inlineStr">
        <is>
          <t>Sadece doğru hesap yapıp çıplak/varsayılan Excel görünümü bırakmak</t>
        </is>
      </c>
      <c r="E22" s="157" t="inlineStr">
        <is>
          <t>Görsel release incelemesi</t>
        </is>
      </c>
      <c r="F22" s="161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TÜRKİYE MUHASEBE VE TEKDÜZEN HESAP PLANI STANDARDI</t>
        </is>
      </c>
    </row>
    <row r="2"/>
    <row r="3" ht="24" customHeight="1">
      <c r="A3" s="163" t="inlineStr">
        <is>
          <t>Konu</t>
        </is>
      </c>
      <c r="B3" s="163" t="inlineStr">
        <is>
          <t>Zorunlu Standart</t>
        </is>
      </c>
      <c r="C3" s="163" t="inlineStr">
        <is>
          <t>Örnek Türkçe Ad</t>
        </is>
      </c>
      <c r="D3" s="163" t="inlineStr">
        <is>
          <t>THP / Mantık</t>
        </is>
      </c>
      <c r="E3" s="163" t="inlineStr">
        <is>
          <t>Hata Riski</t>
        </is>
      </c>
      <c r="F3" s="163" t="inlineStr">
        <is>
          <t>Kontrol</t>
        </is>
      </c>
    </row>
    <row r="4">
      <c r="A4" s="164" t="inlineStr">
        <is>
          <t>Dil</t>
        </is>
      </c>
      <c r="B4" s="148" t="inlineStr">
        <is>
          <t>Kullanıcıya görünen finansal terimler Türkçe</t>
        </is>
      </c>
      <c r="C4" s="148" t="inlineStr">
        <is>
          <t>Hasılat, Satışların Maliyeti, Brüt Kâr, Faaliyet Giderleri</t>
        </is>
      </c>
      <c r="D4" s="148" t="inlineStr">
        <is>
          <t>Türk işletme kullanımına uygun</t>
        </is>
      </c>
      <c r="E4" s="148" t="inlineStr">
        <is>
          <t>İngilizce jargon</t>
        </is>
      </c>
      <c r="F4" s="148" t="inlineStr">
        <is>
          <t>Terminoloji taraması</t>
        </is>
      </c>
    </row>
    <row r="5" ht="28" customHeight="1">
      <c r="A5" s="164" t="inlineStr">
        <is>
          <t>Gelir Tablosu</t>
        </is>
      </c>
      <c r="B5" s="148" t="inlineStr">
        <is>
          <t>Türk sunum sırası kullanılır</t>
        </is>
      </c>
      <c r="C5" s="148" t="inlineStr">
        <is>
          <t>Net Satışlar → Satışların Maliyeti → Brüt Kâr → Faaliyet Giderleri → Faaliyet Kârı</t>
        </is>
      </c>
      <c r="D5" s="148" t="inlineStr">
        <is>
          <t>600/610/611; 620-623; 63x</t>
        </is>
      </c>
      <c r="E5" s="148" t="inlineStr">
        <is>
          <t>Yanlış sınıflama</t>
        </is>
      </c>
      <c r="F5" s="148" t="inlineStr">
        <is>
          <t>Hesap eşleme</t>
        </is>
      </c>
    </row>
    <row r="6" ht="28" customHeight="1">
      <c r="A6" s="164" t="inlineStr">
        <is>
          <t>Bilanço</t>
        </is>
      </c>
      <c r="B6" s="148" t="inlineStr">
        <is>
          <t>Dönen/Duran Varlık ve Kısa/Uzun Vadeli Yükümlülük ayrımı</t>
        </is>
      </c>
      <c r="C6" s="148" t="inlineStr">
        <is>
          <t>Hazır Değerler, Ticari Alacaklar, Stoklar, Mali Borçlar</t>
        </is>
      </c>
      <c r="D6" s="148" t="inlineStr">
        <is>
          <t>1xx / 2xx / 3xx / 4xx / 5xx</t>
        </is>
      </c>
      <c r="E6" s="148" t="inlineStr">
        <is>
          <t>Vade sınıfı hatası</t>
        </is>
      </c>
      <c r="F6" s="148" t="inlineStr">
        <is>
          <t>Bilanço eşitliği</t>
        </is>
      </c>
    </row>
    <row r="7">
      <c r="A7" s="164" t="inlineStr">
        <is>
          <t>Nakit Akışı</t>
        </is>
      </c>
      <c r="B7" s="148" t="inlineStr">
        <is>
          <t>İşletme/Yatırım/Finansman nakit akışları ayrılır</t>
        </is>
      </c>
      <c r="C7" s="148" t="inlineStr">
        <is>
          <t>Faaliyetlerden Nakit, Yatırım Harcamaları, Finansman Nakit Akışı</t>
        </is>
      </c>
      <c r="D7" s="148" t="inlineStr">
        <is>
          <t>Dolaylı/doğrudan yöntem açık seçilir</t>
        </is>
      </c>
      <c r="E7" s="148" t="inlineStr">
        <is>
          <t>Kâr = nakit sanılması</t>
        </is>
      </c>
      <c r="F7" s="148" t="inlineStr">
        <is>
          <t>Nakit devri</t>
        </is>
      </c>
    </row>
    <row r="8">
      <c r="A8" s="164" t="inlineStr">
        <is>
          <t>Ticari Alacaklar</t>
        </is>
      </c>
      <c r="B8" s="148" t="inlineStr">
        <is>
          <t>Cari ve vade mantığı korunur</t>
        </is>
      </c>
      <c r="C8" s="148" t="inlineStr">
        <is>
          <t>120 Alıcılar</t>
        </is>
      </c>
      <c r="D8" s="148" t="inlineStr">
        <is>
          <t>120</t>
        </is>
      </c>
      <c r="E8" s="148" t="inlineStr">
        <is>
          <t>Tahakkuk/nakit karışması</t>
        </is>
      </c>
      <c r="F8" s="148" t="inlineStr">
        <is>
          <t>Alacak devir kontrolü</t>
        </is>
      </c>
    </row>
    <row r="9">
      <c r="A9" s="164" t="inlineStr">
        <is>
          <t>Ticari Borçlar</t>
        </is>
      </c>
      <c r="B9" s="148" t="inlineStr">
        <is>
          <t>Tedarikçi borcu ayrı izlenir</t>
        </is>
      </c>
      <c r="C9" s="148" t="inlineStr">
        <is>
          <t>320 Satıcılar</t>
        </is>
      </c>
      <c r="D9" s="148" t="inlineStr">
        <is>
          <t>320</t>
        </is>
      </c>
      <c r="E9" s="148" t="inlineStr">
        <is>
          <t>Gider/ödeme karışması</t>
        </is>
      </c>
      <c r="F9" s="148" t="inlineStr">
        <is>
          <t>Borç devir kontrolü</t>
        </is>
      </c>
    </row>
    <row r="10">
      <c r="A10" s="164" t="inlineStr">
        <is>
          <t>Kasa/Banka</t>
        </is>
      </c>
      <c r="B10" s="148" t="inlineStr">
        <is>
          <t>Hazır değerler ayrı izlenir</t>
        </is>
      </c>
      <c r="C10" s="148" t="inlineStr">
        <is>
          <t>100 Kasa, 102 Bankalar</t>
        </is>
      </c>
      <c r="D10" s="148" t="inlineStr">
        <is>
          <t>100 / 102</t>
        </is>
      </c>
      <c r="E10" s="148" t="inlineStr">
        <is>
          <t>Virmanla toplam nakdin değişmesi</t>
        </is>
      </c>
      <c r="F10" s="148" t="inlineStr">
        <is>
          <t>Virman değişmezi</t>
        </is>
      </c>
    </row>
    <row r="11">
      <c r="A11" s="164" t="inlineStr">
        <is>
          <t>Stok</t>
        </is>
      </c>
      <c r="B11" s="148" t="inlineStr">
        <is>
          <t>Dikeye uygun stok türü</t>
        </is>
      </c>
      <c r="C11" s="148" t="inlineStr">
        <is>
          <t>150 İlk Madde ve Malzeme, 153 Ticari Mallar</t>
        </is>
      </c>
      <c r="D11" s="148" t="inlineStr">
        <is>
          <t>15x</t>
        </is>
      </c>
      <c r="E11" s="148" t="inlineStr">
        <is>
          <t>Maliyet ve stok hareketinin kopması</t>
        </is>
      </c>
      <c r="F11" s="148" t="inlineStr">
        <is>
          <t>Stok devri</t>
        </is>
      </c>
    </row>
    <row r="12" ht="28" customHeight="1">
      <c r="A12" s="164" t="inlineStr">
        <is>
          <t>Maddi Duran Varlık</t>
        </is>
      </c>
      <c r="B12" s="148" t="inlineStr">
        <is>
          <t>Yatırım harcaması ve amortisman bağlantılı</t>
        </is>
      </c>
      <c r="C12" s="148" t="inlineStr">
        <is>
          <t>253 Tesis Makine Cihazlar, 255 Demirbaşlar, 257 Birikmiş Amortismanlar</t>
        </is>
      </c>
      <c r="D12" s="148" t="inlineStr">
        <is>
          <t>25x</t>
        </is>
      </c>
      <c r="E12" s="148" t="inlineStr">
        <is>
          <t>Yatırım/gider karışması</t>
        </is>
      </c>
      <c r="F12" s="148" t="inlineStr">
        <is>
          <t>Net defter değeri devri</t>
        </is>
      </c>
    </row>
    <row r="13">
      <c r="A13" s="164" t="inlineStr">
        <is>
          <t>Mali Borçlar</t>
        </is>
      </c>
      <c r="B13" s="148" t="inlineStr">
        <is>
          <t>Kısa/uzun vadeli borç ayrımı</t>
        </is>
      </c>
      <c r="C13" s="148" t="inlineStr">
        <is>
          <t>300 Banka Kredileri / 400 Banka Kredileri</t>
        </is>
      </c>
      <c r="D13" s="148" t="inlineStr">
        <is>
          <t>300 / 400</t>
        </is>
      </c>
      <c r="E13" s="148" t="inlineStr">
        <is>
          <t>Vade sınıfı yanlış</t>
        </is>
      </c>
      <c r="F13" s="148" t="inlineStr">
        <is>
          <t>Borç devri</t>
        </is>
      </c>
    </row>
    <row r="14">
      <c r="A14" s="164" t="inlineStr">
        <is>
          <t>Özkaynak</t>
        </is>
      </c>
      <c r="B14" s="148" t="inlineStr">
        <is>
          <t>Sermaye ve geçmiş yıl kârları ayrı</t>
        </is>
      </c>
      <c r="C14" s="148" t="inlineStr">
        <is>
          <t>500 Sermaye, 570 Geçmiş Yıllar Kârları, 590 Dönem Net Kârı</t>
        </is>
      </c>
      <c r="D14" s="148" t="inlineStr">
        <is>
          <t>5xx</t>
        </is>
      </c>
      <c r="E14" s="148" t="inlineStr">
        <is>
          <t>Net kâr bağının kopması</t>
        </is>
      </c>
      <c r="F14" s="148" t="inlineStr">
        <is>
          <t>Özkaynak devri</t>
        </is>
      </c>
    </row>
    <row r="15">
      <c r="A15" s="164" t="inlineStr">
        <is>
          <t>Vergi</t>
        </is>
      </c>
      <c r="B15" s="148" t="inlineStr">
        <is>
          <t>Vergi satırları Türkiye mantığına uygun</t>
        </is>
      </c>
      <c r="C15" s="148" t="inlineStr">
        <is>
          <t>Dönem Vergi ve Diğer Yasal Yükümlülük Karşılıkları</t>
        </is>
      </c>
      <c r="D15" s="148" t="inlineStr">
        <is>
          <t>37x / ilgili vergi hesapları</t>
        </is>
      </c>
      <c r="E15" s="148" t="inlineStr">
        <is>
          <t>Vergi etkisinin yanlış dönemlenmesi</t>
        </is>
      </c>
      <c r="F15" s="148" t="inlineStr">
        <is>
          <t>Vergi sözleşmesi</t>
        </is>
      </c>
    </row>
    <row r="16">
      <c r="A16" s="164" t="inlineStr">
        <is>
          <t>İsim standardı</t>
        </is>
      </c>
      <c r="B16" s="148" t="inlineStr">
        <is>
          <t>Tablo ve sayfa adları Türkçe ve işlevsel</t>
        </is>
      </c>
      <c r="C16" s="148" t="inlineStr">
        <is>
          <t>GELİR_TABLOSU, BİLANÇO, NAKİT_AKISI, BORC_PLANI</t>
        </is>
      </c>
      <c r="D16" s="148" t="inlineStr">
        <is>
          <t>Tekrarlanabilir standart</t>
        </is>
      </c>
      <c r="E16" s="148" t="inlineStr">
        <is>
          <t>İngilizce/karma isim</t>
        </is>
      </c>
      <c r="F16" s="148" t="inlineStr">
        <is>
          <t>Sayfa ve tablo taraması</t>
        </is>
      </c>
    </row>
    <row r="17">
      <c r="A17" s="164" t="inlineStr">
        <is>
          <t>THP eşleme tablosu</t>
        </is>
      </c>
      <c r="B17" s="148" t="inlineStr">
        <is>
          <t>Her kritik satır en az bir THP hesabına bağlanır</t>
        </is>
      </c>
      <c r="C17" s="148" t="inlineStr">
        <is>
          <t>RaporSatırı → HesapKodu → HesapAdı → İşaret → Dönem</t>
        </is>
      </c>
      <c r="D17" s="148" t="inlineStr">
        <is>
          <t>Kaynak izlenebilirliği</t>
        </is>
      </c>
      <c r="E17" s="148" t="inlineStr">
        <is>
          <t>Rapordan rapora kaynak</t>
        </is>
      </c>
      <c r="F17" s="148" t="inlineStr">
        <is>
          <t>Eşleme kapsama %100</t>
        </is>
      </c>
    </row>
    <row r="18">
      <c r="A18" s="164" t="inlineStr">
        <is>
          <t>İstisna</t>
        </is>
      </c>
      <c r="B18" s="148" t="inlineStr">
        <is>
          <t>TFRS özel ürün varsa fark açık yazılır</t>
        </is>
      </c>
      <c r="C18" s="148" t="inlineStr">
        <is>
          <t>Tekdüzen raporlama ≠ TFRS finansal tablo sunumu</t>
        </is>
      </c>
      <c r="D18" s="148" t="inlineStr">
        <is>
          <t>Amaç belirtilir</t>
        </is>
      </c>
      <c r="E18" s="148" t="inlineStr">
        <is>
          <t>Standartları karıştırma</t>
        </is>
      </c>
      <c r="F18" s="14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KARAR, GÜVEN VE SATIŞA HAZIRLIK STANDARDI</t>
        </is>
      </c>
    </row>
    <row r="2"/>
    <row r="3" ht="24" customHeight="1">
      <c r="A3" s="166" t="inlineStr">
        <is>
          <t>Alan</t>
        </is>
      </c>
      <c r="B3" s="166" t="inlineStr">
        <is>
          <t>Müşteri Sorusu</t>
        </is>
      </c>
      <c r="C3" s="166" t="inlineStr">
        <is>
          <t>Zorunlu Ürün Davranışı</t>
        </is>
      </c>
      <c r="D3" s="166" t="inlineStr">
        <is>
          <t>Kanıt</t>
        </is>
      </c>
      <c r="E3" s="166" t="inlineStr">
        <is>
          <t>Başarısızlık Durumu</t>
        </is>
      </c>
      <c r="F3" s="166" t="inlineStr">
        <is>
          <t>Kapı</t>
        </is>
      </c>
    </row>
    <row r="4">
      <c r="A4" s="167" t="inlineStr">
        <is>
          <t>5 saniye</t>
        </is>
      </c>
      <c r="B4" s="148" t="inlineStr">
        <is>
          <t>Bu ürün neyi çözüyor?</t>
        </is>
      </c>
      <c r="C4" s="148" t="inlineStr">
        <is>
          <t>İlk ekranda hedef kullanıcı + pahalı problem + sonuç görünür</t>
        </is>
      </c>
      <c r="D4" s="148" t="inlineStr">
        <is>
          <t>Başlık + alt mesaj + gerçek ekran</t>
        </is>
      </c>
      <c r="E4" s="148" t="inlineStr">
        <is>
          <t>Ürün yalnız teknik isim</t>
        </is>
      </c>
      <c r="F4" s="168" t="inlineStr">
        <is>
          <t>HATA</t>
        </is>
      </c>
    </row>
    <row r="5">
      <c r="A5" s="167" t="inlineStr">
        <is>
          <t>Acı</t>
        </is>
      </c>
      <c r="B5" s="148" t="inlineStr">
        <is>
          <t>Sorun bana neye mal oluyor?</t>
        </is>
      </c>
      <c r="C5" s="148" t="inlineStr">
        <is>
          <t>Mümkünse müşterinin kendi verisiyle parasal/zaman etkisi hesaplanır</t>
        </is>
      </c>
      <c r="D5" s="148" t="inlineStr">
        <is>
          <t>ROI/acı hesaplama yöntemi</t>
        </is>
      </c>
      <c r="E5" s="148" t="inlineStr">
        <is>
          <t>Uydurma tasarruf</t>
        </is>
      </c>
      <c r="F5" s="168" t="inlineStr">
        <is>
          <t>HATA</t>
        </is>
      </c>
    </row>
    <row r="6">
      <c r="A6" s="167" t="inlineStr">
        <is>
          <t>Karar</t>
        </is>
      </c>
      <c r="B6" s="148" t="inlineStr">
        <is>
          <t>Bu bilgiyle ne yapacağım?</t>
        </is>
      </c>
      <c r="C6" s="148" t="inlineStr">
        <is>
          <t>Her kritik KPI aksiyona bağlanır</t>
        </is>
      </c>
      <c r="D6" s="148" t="inlineStr">
        <is>
          <t>KARAR_KUYRUGU</t>
        </is>
      </c>
      <c r="E6" s="148" t="inlineStr">
        <is>
          <t>Sadece rapor</t>
        </is>
      </c>
      <c r="F6" s="168" t="inlineStr">
        <is>
          <t>HATA</t>
        </is>
      </c>
    </row>
    <row r="7">
      <c r="A7" s="167" t="inlineStr">
        <is>
          <t>Güven</t>
        </is>
      </c>
      <c r="B7" s="148" t="inlineStr">
        <is>
          <t>Bu sayıya neden inanayım?</t>
        </is>
      </c>
      <c r="C7" s="148" t="inlineStr">
        <is>
          <t>Kaynak, formül mantığı, kontrol ve son doğrulama görünür</t>
        </is>
      </c>
      <c r="D7" s="148" t="inlineStr">
        <is>
          <t>Kontroller + kaynak izi + sürüm</t>
        </is>
      </c>
      <c r="E7" s="148" t="inlineStr">
        <is>
          <t>Prestij kelimesi</t>
        </is>
      </c>
      <c r="F7" s="168" t="inlineStr">
        <is>
          <t>HATA</t>
        </is>
      </c>
    </row>
    <row r="8">
      <c r="A8" s="167" t="inlineStr">
        <is>
          <t>Referans</t>
        </is>
      </c>
      <c r="B8" s="148" t="inlineStr">
        <is>
          <t>Müşteri yorumu yoksa ne göstereceğim?</t>
        </is>
      </c>
      <c r="C8" s="148" t="inlineStr">
        <is>
          <t>Önce/Sonra + Karar Vakası + Hata Önleme Vakası üretilir</t>
        </is>
      </c>
      <c r="D8" s="148" t="inlineStr">
        <is>
          <t>Demo/örnek çıktı</t>
        </is>
      </c>
      <c r="E8" s="148" t="inlineStr">
        <is>
          <t>Kanıtsız iddia</t>
        </is>
      </c>
      <c r="F8" s="168" t="inlineStr">
        <is>
          <t>HATA</t>
        </is>
      </c>
    </row>
    <row r="9">
      <c r="A9" s="167" t="inlineStr">
        <is>
          <t>Senaryo</t>
        </is>
      </c>
      <c r="B9" s="148" t="inlineStr">
        <is>
          <t>Ne olursa işler bozulur?</t>
        </is>
      </c>
      <c r="C9" s="148" t="inlineStr">
        <is>
          <t>Baz/Aşağı/Yukarı veya uygun stres senaryosu</t>
        </is>
      </c>
      <c r="D9" s="148" t="inlineStr">
        <is>
          <t>Senaryo karşılaştırma</t>
        </is>
      </c>
      <c r="E9" s="148" t="inlineStr">
        <is>
          <t>Dekoratif senaryo</t>
        </is>
      </c>
      <c r="F9" s="168" t="inlineStr">
        <is>
          <t>HATA</t>
        </is>
      </c>
    </row>
    <row r="10">
      <c r="A10" s="167" t="inlineStr">
        <is>
          <t>Ters stres</t>
        </is>
      </c>
      <c r="B10" s="148" t="inlineStr">
        <is>
          <t>Hangi eşikte karar kırılır?</t>
        </is>
      </c>
      <c r="C10" s="148" t="inlineStr">
        <is>
          <t>En az bir kritik sürücü için kırılma eşiği</t>
        </is>
      </c>
      <c r="D10" s="148" t="inlineStr">
        <is>
          <t>Kırılma eşiği tablosu</t>
        </is>
      </c>
      <c r="E10" s="148" t="inlineStr">
        <is>
          <t>Sadece +/- %10</t>
        </is>
      </c>
      <c r="F10" s="168" t="inlineStr">
        <is>
          <t>UYARI/HATA</t>
        </is>
      </c>
    </row>
    <row r="11">
      <c r="A11" s="167" t="inlineStr">
        <is>
          <t>Hata tutarlılığı</t>
        </is>
      </c>
      <c r="B11" s="148" t="inlineStr">
        <is>
          <t>Formül hata verirse ne olur?</t>
        </is>
      </c>
      <c r="C11" s="148" t="inlineStr">
        <is>
          <t>Kontrol GEÇTİ veremez; BLOKE/HATA üretir</t>
        </is>
      </c>
      <c r="D11" s="148" t="inlineStr">
        <is>
          <t>Hata taraması</t>
        </is>
      </c>
      <c r="E11" s="148" t="inlineStr">
        <is>
          <t>Hata + GEÇTİ birlikte</t>
        </is>
      </c>
      <c r="F11" s="168" t="inlineStr">
        <is>
          <t>HATA</t>
        </is>
      </c>
    </row>
    <row r="12">
      <c r="A12" s="167" t="inlineStr">
        <is>
          <t>Karar motoru</t>
        </is>
      </c>
      <c r="B12" s="148" t="inlineStr">
        <is>
          <t>Ne oldu, neden oldu?</t>
        </is>
      </c>
      <c r="C12" s="148" t="inlineStr">
        <is>
          <t>Sorun + neden + parasal etki + aksiyon + son tarih</t>
        </is>
      </c>
      <c r="D12" s="148" t="inlineStr">
        <is>
          <t>Karar tablosu</t>
        </is>
      </c>
      <c r="E12" s="148" t="inlineStr">
        <is>
          <t>Boş sayfa / isim düzeyi modül</t>
        </is>
      </c>
      <c r="F12" s="168" t="inlineStr">
        <is>
          <t>HATA</t>
        </is>
      </c>
    </row>
    <row r="13">
      <c r="A13" s="167" t="inlineStr">
        <is>
          <t>Yönetici özeti</t>
        </is>
      </c>
      <c r="B13" s="148" t="inlineStr">
        <is>
          <t>5 saniyede ne görmeliyim?</t>
        </is>
      </c>
      <c r="C13" s="148" t="inlineStr">
        <is>
          <t>Bugün / ne değişti / ne bozulacak / neden / ne yapmalıyım / güven</t>
        </is>
      </c>
      <c r="D13" s="148" t="inlineStr">
        <is>
          <t>Yönetici özeti ekranı</t>
        </is>
      </c>
      <c r="E13" s="148" t="inlineStr">
        <is>
          <t>KPI kutusu yığını</t>
        </is>
      </c>
      <c r="F13" s="168" t="inlineStr">
        <is>
          <t>HATA</t>
        </is>
      </c>
    </row>
    <row r="14">
      <c r="A14" s="167" t="inlineStr">
        <is>
          <t>Teklif</t>
        </is>
      </c>
      <c r="B14" s="148" t="inlineStr">
        <is>
          <t>Neden satın almalıyım?</t>
        </is>
      </c>
      <c r="C14" s="148" t="inlineStr">
        <is>
          <t>Dosya özellikleri yerine sonuç ve kaçınılan maliyet sunulur</t>
        </is>
      </c>
      <c r="D14" s="148" t="inlineStr">
        <is>
          <t>Ürün sayfası kanıt eşlemesi</t>
        </is>
      </c>
      <c r="E14" s="148" t="inlineStr">
        <is>
          <t>Özellik listesiyle satış</t>
        </is>
      </c>
      <c r="F14" s="168" t="inlineStr">
        <is>
          <t>HATA</t>
        </is>
      </c>
    </row>
    <row r="15">
      <c r="A15" s="167" t="inlineStr">
        <is>
          <t>Dağıtım</t>
        </is>
      </c>
      <c r="B15" s="148" t="inlineStr">
        <is>
          <t>Beni nasıl bulacaklar?</t>
        </is>
      </c>
      <c r="C15" s="148" t="inlineStr">
        <is>
          <t>Sorun niyetine göre SEO sayfaları, iç bağlantı, temiz yapı, taranabilir metin</t>
        </is>
      </c>
      <c r="D15" s="148" t="inlineStr">
        <is>
          <t>Arama niyeti haritası</t>
        </is>
      </c>
      <c r="E15" s="148" t="inlineStr">
        <is>
          <t>Tek ürün sayfasına bağımlılık</t>
        </is>
      </c>
      <c r="F15" s="168" t="inlineStr">
        <is>
          <t>UYARI</t>
        </is>
      </c>
    </row>
    <row r="16" ht="28" customHeight="1">
      <c r="A16" s="167" t="inlineStr">
        <is>
          <t>LLM görünürlüğü</t>
        </is>
      </c>
      <c r="B16" s="148" t="inlineStr">
        <is>
          <t>AI ürünümü anlayabiliyor mu?</t>
        </is>
      </c>
      <c r="C16" s="148" t="inlineStr">
        <is>
          <t>Ürün tanımı, hedef kullanıcı, girdi/çıktı, metodoloji, sınırlar, SSS açık metindir</t>
        </is>
      </c>
      <c r="D16" s="148" t="inlineStr">
        <is>
          <t>Taranabilir ürün içeriği</t>
        </is>
      </c>
      <c r="E16" s="148" t="inlineStr">
        <is>
          <t>'AI SEO' iddiası</t>
        </is>
      </c>
      <c r="F16" s="168" t="inlineStr">
        <is>
          <t>UYARI</t>
        </is>
      </c>
    </row>
    <row r="17">
      <c r="A17" s="167" t="inlineStr">
        <is>
          <t>Satış kanalı</t>
        </is>
      </c>
      <c r="B17" s="148" t="inlineStr">
        <is>
          <t>Nerede satılmalı?</t>
        </is>
      </c>
      <c r="C17" s="148" t="inlineStr">
        <is>
          <t>Arama, LinkedIn, uzman/partner, demo/video; ürüne göre kanal seçilir</t>
        </is>
      </c>
      <c r="D17" s="148" t="inlineStr">
        <is>
          <t>Kanal matrisi</t>
        </is>
      </c>
      <c r="E17" s="148" t="inlineStr">
        <is>
          <t>Her ürüne aynı kanal</t>
        </is>
      </c>
      <c r="F17" s="168" t="inlineStr">
        <is>
          <t>UYARI</t>
        </is>
      </c>
    </row>
    <row r="18">
      <c r="A18" s="167" t="inlineStr">
        <is>
          <t>Fiyat</t>
        </is>
      </c>
      <c r="B18" s="148" t="inlineStr">
        <is>
          <t>Bu fiyat neden mantıklı?</t>
        </is>
      </c>
      <c r="C18" s="148" t="inlineStr">
        <is>
          <t>Fiyat, ekonomik karar değerine ve kanıtlanmış ürün derinliğine bağlanır</t>
        </is>
      </c>
      <c r="D18" s="148" t="inlineStr">
        <is>
          <t>Değer haritası + demo</t>
        </is>
      </c>
      <c r="E18" s="148" t="inlineStr">
        <is>
          <t>Sırf sayfa/formül sayısı</t>
        </is>
      </c>
      <c r="F18" s="168" t="inlineStr">
        <is>
          <t>HATA</t>
        </is>
      </c>
    </row>
    <row r="19">
      <c r="A19" s="167" t="inlineStr">
        <is>
          <t>Pazar kanıtı</t>
        </is>
      </c>
      <c r="B19" s="148" t="inlineStr">
        <is>
          <t>Piyasa gerçekten ödüyor mu?</t>
        </is>
      </c>
      <c r="C19" s="148" t="inlineStr">
        <is>
          <t>Satış/pilot/LOI/fiyat kabulü olmadan pazar doğrulandı yazılmaz</t>
        </is>
      </c>
      <c r="D19" s="148" t="inlineStr">
        <is>
          <t>Gerçek işlem kanıtı</t>
        </is>
      </c>
      <c r="E19" s="148" t="inlineStr">
        <is>
          <t>Tahmini talep = satış kabulü</t>
        </is>
      </c>
      <c r="F19" s="168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KAPAK — İSG Risk Değerlendirme Pro (6331)</t>
        </is>
      </c>
    </row>
    <row r="2"/>
    <row r="3" ht="22" customHeight="1">
      <c r="A3" s="198" t="inlineStr">
        <is>
          <t>İSG Risk Değerlendirme Pro (6331)</t>
        </is>
      </c>
    </row>
    <row r="4">
      <c r="A4" s="4" t="inlineStr">
        <is>
          <t>6331 sayılı Kanun çerçevesinde tehlike envanteri, L-matris / Fine-Kinney puanlama, eylem durum makinesi ve denetime sunulabilir kanıt raporu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eylem durum makinesi: Planlandı → Devam → Bekliyor → Tamamlandı / İptal</t>
        </is>
      </c>
    </row>
    <row r="8">
      <c r="A8" s="6" t="inlineStr">
        <is>
          <t>• L-matris veya Fine-Kinney seçimli puanlama (AYARLAR)</t>
        </is>
      </c>
    </row>
    <row r="9">
      <c r="A9" s="6" t="inlineStr">
        <is>
          <t>• Eylem yaşlandırma kovaları ve geçersiz geçiş uyarısı</t>
        </is>
      </c>
    </row>
    <row r="10">
      <c r="A10" s="6" t="inlineStr">
        <is>
          <t>• Skor dağılımı, uyum oranı, yenileme takvimi</t>
        </is>
      </c>
    </row>
    <row r="11">
      <c r="A11" s="6" t="inlineStr">
        <is>
          <t>• KANIT_RAPORU — madde atfı, revizyon, imza alanı</t>
        </is>
      </c>
    </row>
    <row r="12"/>
    <row r="13">
      <c r="A13" s="5" t="inlineStr">
        <is>
          <t>Kimler için?</t>
        </is>
      </c>
    </row>
    <row r="14">
      <c r="A14" s="7" t="inlineStr">
        <is>
          <t>• İSG uzmanı — envanter ve skorlama</t>
        </is>
      </c>
    </row>
    <row r="15">
      <c r="A15" s="7" t="inlineStr">
        <is>
          <t>• İşveren vekili — eylem onayı</t>
        </is>
      </c>
    </row>
    <row r="16">
      <c r="A16" s="7" t="inlineStr">
        <is>
          <t>• Denetçi — kanıt dosyası incelemesi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ENVANTER'e tehlikeleri girin. 2) AYARLAR'da matris tipini seçin. 3) EYLEM_PLANI'nda kontrolleri ilerletin. 4) PANO ve KANIT_RAPORU'nu inceleyin.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L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5.5" customWidth="1" min="2" max="2"/>
    <col width="32.5" customWidth="1" min="3" max="3"/>
    <col width="14" customWidth="1" min="4" max="4"/>
    <col width="14" customWidth="1" min="5" max="5"/>
    <col width="14" customWidth="1" min="6" max="6"/>
    <col width="14" customWidth="1" min="7" max="7"/>
    <col width="18.5" customWidth="1" min="8" max="8"/>
    <col width="14" customWidth="1" min="9" max="9"/>
    <col width="14" customWidth="1" min="10" max="10"/>
    <col width="14.5" customWidth="1" min="11" max="11"/>
    <col width="14" customWidth="1" min="12" max="12"/>
    <col width="13" customWidth="1" min="13" max="13"/>
  </cols>
  <sheetData>
    <row r="1" ht="32" customHeight="1">
      <c r="A1" s="179" t="inlineStr">
        <is>
          <t>ENVANTER — İSG Risk Değerlendirme Pro (6331)</t>
        </is>
      </c>
    </row>
    <row r="2"/>
    <row r="3" ht="22" customHeight="1">
      <c r="A3" s="199" t="inlineStr">
        <is>
          <t>Tehlike envanteri — her kaydın tek kimliği vardır (ID disiplini)</t>
        </is>
      </c>
    </row>
    <row r="4">
      <c r="A4" s="11" t="inlineStr">
        <is>
          <t>Sonraki Kimlik</t>
        </is>
      </c>
      <c r="B4" s="24">
        <f>isg_sonrakiKimlik</f>
        <v/>
      </c>
    </row>
    <row r="5" ht="30" customHeight="1">
      <c r="A5" s="25" t="inlineStr">
        <is>
          <t>TehlikeId</t>
        </is>
      </c>
      <c r="B5" s="25" t="inlineStr">
        <is>
          <t>Bolum</t>
        </is>
      </c>
      <c r="C5" s="25" t="inlineStr">
        <is>
          <t>TehlikeAdi</t>
        </is>
      </c>
      <c r="D5" s="25" t="inlineStr">
        <is>
          <t>MaddeAtif</t>
        </is>
      </c>
      <c r="E5" s="25" t="inlineStr">
        <is>
          <t>Olasilik</t>
        </is>
      </c>
      <c r="F5" s="25" t="inlineStr">
        <is>
          <t>Siddet</t>
        </is>
      </c>
      <c r="G5" s="25" t="inlineStr">
        <is>
          <t>Frekans</t>
        </is>
      </c>
      <c r="H5" s="25" t="inlineStr">
        <is>
          <t>MevcutKontrol</t>
        </is>
      </c>
      <c r="I5" s="25" t="inlineStr">
        <is>
          <t>Aktif</t>
        </is>
      </c>
      <c r="J5" s="25" t="inlineStr">
        <is>
          <t>HamSkor</t>
        </is>
      </c>
      <c r="K5" s="25" t="inlineStr">
        <is>
          <t>RiskSeviye</t>
        </is>
      </c>
      <c r="L5" s="25" t="inlineStr">
        <is>
          <t>KayitDolu</t>
        </is>
      </c>
    </row>
    <row r="6">
      <c r="A6" s="26" t="inlineStr">
        <is>
          <t>TEH-00001</t>
        </is>
      </c>
      <c r="B6" s="26" t="inlineStr">
        <is>
          <t>Üretim</t>
        </is>
      </c>
      <c r="C6" s="26" t="inlineStr">
        <is>
          <t>Makine koruyucu eksik</t>
        </is>
      </c>
      <c r="D6" s="26" t="inlineStr">
        <is>
          <t>ISG-001</t>
        </is>
      </c>
      <c r="E6" s="27" t="n">
        <v>4</v>
      </c>
      <c r="F6" s="27" t="n">
        <v>5</v>
      </c>
      <c r="G6" s="27" t="n">
        <v>3</v>
      </c>
      <c r="H6" s="26" t="inlineStr">
        <is>
          <t>Kısmi koruyucu</t>
        </is>
      </c>
      <c r="I6" s="26" t="inlineStr">
        <is>
          <t>EVET</t>
        </is>
      </c>
      <c r="J6" s="28">
        <f>IF($A6="","",IF(isg_matrisTipi="FK",$E6*$G6*$F6,$E6*$F6))</f>
        <v/>
      </c>
      <c r="K6" s="28">
        <f>IF($A6="","",IF($J6&gt;=isg_esikKritikSeviye,"Kritik",IF($J6&gt;=isg_esikYuksek,"Yüksek",IF($J6&gt;=isg_esikOrta,"Orta","Düşük"))))</f>
        <v/>
      </c>
      <c r="L6" s="28">
        <f>IF($A6="","",1)</f>
        <v/>
      </c>
    </row>
    <row r="7">
      <c r="A7" s="26" t="inlineStr">
        <is>
          <t>TEH-00002</t>
        </is>
      </c>
      <c r="B7" s="26" t="inlineStr">
        <is>
          <t>Üretim</t>
        </is>
      </c>
      <c r="C7" s="26" t="inlineStr">
        <is>
          <t>Gürültü eşiği aşımı</t>
        </is>
      </c>
      <c r="D7" s="26" t="inlineStr">
        <is>
          <t>ISG-002</t>
        </is>
      </c>
      <c r="E7" s="27" t="n">
        <v>3</v>
      </c>
      <c r="F7" s="27" t="n">
        <v>4</v>
      </c>
      <c r="G7" s="27" t="n">
        <v>4</v>
      </c>
      <c r="H7" s="26" t="inlineStr">
        <is>
          <t>Kulaklık</t>
        </is>
      </c>
      <c r="I7" s="26" t="inlineStr">
        <is>
          <t>EVET</t>
        </is>
      </c>
      <c r="J7" s="28">
        <f>IF($A7="","",IF(isg_matrisTipi="FK",$E7*$G7*$F7,$E7*$F7))</f>
        <v/>
      </c>
      <c r="K7" s="28">
        <f>IF($A7="","",IF($J7&gt;=isg_esikKritikSeviye,"Kritik",IF($J7&gt;=isg_esikYuksek,"Yüksek",IF($J7&gt;=isg_esikOrta,"Orta","Düşük"))))</f>
        <v/>
      </c>
      <c r="L7" s="28">
        <f>IF($A7="","",1)</f>
        <v/>
      </c>
    </row>
    <row r="8">
      <c r="A8" s="26" t="inlineStr">
        <is>
          <t>TEH-00003</t>
        </is>
      </c>
      <c r="B8" s="26" t="inlineStr">
        <is>
          <t>Depo</t>
        </is>
      </c>
      <c r="C8" s="26" t="inlineStr">
        <is>
          <t>Yüksekte istifleme</t>
        </is>
      </c>
      <c r="D8" s="26" t="inlineStr">
        <is>
          <t>ISG-001</t>
        </is>
      </c>
      <c r="E8" s="27" t="n">
        <v>3</v>
      </c>
      <c r="F8" s="27" t="n">
        <v>5</v>
      </c>
      <c r="G8" s="27" t="n">
        <v>2</v>
      </c>
      <c r="H8" s="26" t="inlineStr">
        <is>
          <t>Emniyet kemeri</t>
        </is>
      </c>
      <c r="I8" s="26" t="inlineStr">
        <is>
          <t>EVET</t>
        </is>
      </c>
      <c r="J8" s="28">
        <f>IF($A8="","",IF(isg_matrisTipi="FK",$E8*$G8*$F8,$E8*$F8))</f>
        <v/>
      </c>
      <c r="K8" s="28">
        <f>IF($A8="","",IF($J8&gt;=isg_esikKritikSeviye,"Kritik",IF($J8&gt;=isg_esikYuksek,"Yüksek",IF($J8&gt;=isg_esikOrta,"Orta","Düşük"))))</f>
        <v/>
      </c>
      <c r="L8" s="28">
        <f>IF($A8="","",1)</f>
        <v/>
      </c>
    </row>
    <row r="9">
      <c r="A9" s="26" t="inlineStr">
        <is>
          <t>TEH-00004</t>
        </is>
      </c>
      <c r="B9" s="26" t="inlineStr">
        <is>
          <t>Depo</t>
        </is>
      </c>
      <c r="C9" s="26" t="inlineStr">
        <is>
          <t>Forklift çarpışma riski</t>
        </is>
      </c>
      <c r="D9" s="26" t="inlineStr">
        <is>
          <t>ISG-001</t>
        </is>
      </c>
      <c r="E9" s="27" t="n">
        <v>4</v>
      </c>
      <c r="F9" s="27" t="n">
        <v>5</v>
      </c>
      <c r="G9" s="27" t="n">
        <v>3</v>
      </c>
      <c r="H9" s="26" t="inlineStr">
        <is>
          <t>Yaya yolu</t>
        </is>
      </c>
      <c r="I9" s="26" t="inlineStr">
        <is>
          <t>EVET</t>
        </is>
      </c>
      <c r="J9" s="28">
        <f>IF($A9="","",IF(isg_matrisTipi="FK",$E9*$G9*$F9,$E9*$F9))</f>
        <v/>
      </c>
      <c r="K9" s="28">
        <f>IF($A9="","",IF($J9&gt;=isg_esikKritikSeviye,"Kritik",IF($J9&gt;=isg_esikYuksek,"Yüksek",IF($J9&gt;=isg_esikOrta,"Orta","Düşük"))))</f>
        <v/>
      </c>
      <c r="L9" s="28">
        <f>IF($A9="","",1)</f>
        <v/>
      </c>
    </row>
    <row r="10">
      <c r="A10" s="26" t="inlineStr">
        <is>
          <t>TEH-00005</t>
        </is>
      </c>
      <c r="B10" s="26" t="inlineStr">
        <is>
          <t>Ofis</t>
        </is>
      </c>
      <c r="C10" s="26" t="inlineStr">
        <is>
          <t>Ergonomi / VDU</t>
        </is>
      </c>
      <c r="D10" s="26" t="inlineStr">
        <is>
          <t>ISG-003</t>
        </is>
      </c>
      <c r="E10" s="27" t="n">
        <v>2</v>
      </c>
      <c r="F10" s="27" t="n">
        <v>3</v>
      </c>
      <c r="G10" s="27" t="n">
        <v>5</v>
      </c>
      <c r="H10" s="26" t="inlineStr">
        <is>
          <t>Ayarlı masa</t>
        </is>
      </c>
      <c r="I10" s="26" t="inlineStr">
        <is>
          <t>EVET</t>
        </is>
      </c>
      <c r="J10" s="28">
        <f>IF($A10="","",IF(isg_matrisTipi="FK",$E10*$G10*$F10,$E10*$F10))</f>
        <v/>
      </c>
      <c r="K10" s="28">
        <f>IF($A10="","",IF($J10&gt;=isg_esikKritikSeviye,"Kritik",IF($J10&gt;=isg_esikYuksek,"Yüksek",IF($J10&gt;=isg_esikOrta,"Orta","Düşük"))))</f>
        <v/>
      </c>
      <c r="L10" s="28">
        <f>IF($A10="","",1)</f>
        <v/>
      </c>
    </row>
    <row r="11">
      <c r="A11" s="26" t="inlineStr">
        <is>
          <t>TEH-00006</t>
        </is>
      </c>
      <c r="B11" s="26" t="inlineStr">
        <is>
          <t>Ofis</t>
        </is>
      </c>
      <c r="C11" s="26" t="inlineStr">
        <is>
          <t>Elektrik kablosu dağınıklığı</t>
        </is>
      </c>
      <c r="D11" s="26" t="inlineStr">
        <is>
          <t>ISG-001</t>
        </is>
      </c>
      <c r="E11" s="27" t="n">
        <v>2</v>
      </c>
      <c r="F11" s="27" t="n">
        <v>4</v>
      </c>
      <c r="G11" s="27" t="n">
        <v>2</v>
      </c>
      <c r="H11" s="26" t="inlineStr">
        <is>
          <t>Kabinet</t>
        </is>
      </c>
      <c r="I11" s="26" t="inlineStr">
        <is>
          <t>EVET</t>
        </is>
      </c>
      <c r="J11" s="28">
        <f>IF($A11="","",IF(isg_matrisTipi="FK",$E11*$G11*$F11,$E11*$F11))</f>
        <v/>
      </c>
      <c r="K11" s="28">
        <f>IF($A11="","",IF($J11&gt;=isg_esikKritikSeviye,"Kritik",IF($J11&gt;=isg_esikYuksek,"Yüksek",IF($J11&gt;=isg_esikOrta,"Orta","Düşük"))))</f>
        <v/>
      </c>
      <c r="L11" s="28">
        <f>IF($A11="","",1)</f>
        <v/>
      </c>
    </row>
    <row r="12">
      <c r="A12" s="26" t="inlineStr">
        <is>
          <t>TEH-00007</t>
        </is>
      </c>
      <c r="B12" s="26" t="inlineStr">
        <is>
          <t>Saha</t>
        </is>
      </c>
      <c r="C12" s="26" t="inlineStr">
        <is>
          <t>Kaygan zemin</t>
        </is>
      </c>
      <c r="D12" s="26" t="inlineStr">
        <is>
          <t>ISG-001</t>
        </is>
      </c>
      <c r="E12" s="27" t="n">
        <v>3</v>
      </c>
      <c r="F12" s="27" t="n">
        <v>4</v>
      </c>
      <c r="G12" s="27" t="n">
        <v>3</v>
      </c>
      <c r="H12" s="26" t="inlineStr">
        <is>
          <t>Uyarı levhası</t>
        </is>
      </c>
      <c r="I12" s="26" t="inlineStr">
        <is>
          <t>EVET</t>
        </is>
      </c>
      <c r="J12" s="28">
        <f>IF($A12="","",IF(isg_matrisTipi="FK",$E12*$G12*$F12,$E12*$F12))</f>
        <v/>
      </c>
      <c r="K12" s="28">
        <f>IF($A12="","",IF($J12&gt;=isg_esikKritikSeviye,"Kritik",IF($J12&gt;=isg_esikYuksek,"Yüksek",IF($J12&gt;=isg_esikOrta,"Orta","Düşük"))))</f>
        <v/>
      </c>
      <c r="L12" s="28">
        <f>IF($A12="","",1)</f>
        <v/>
      </c>
    </row>
    <row r="13">
      <c r="A13" s="26" t="inlineStr">
        <is>
          <t>TEH-00008</t>
        </is>
      </c>
      <c r="B13" s="26" t="inlineStr">
        <is>
          <t>Saha</t>
        </is>
      </c>
      <c r="C13" s="26" t="inlineStr">
        <is>
          <t>Kimyasal dökülme</t>
        </is>
      </c>
      <c r="D13" s="26" t="inlineStr">
        <is>
          <t>ISG-002</t>
        </is>
      </c>
      <c r="E13" s="27" t="n">
        <v>3</v>
      </c>
      <c r="F13" s="27" t="n">
        <v>5</v>
      </c>
      <c r="G13" s="27" t="n">
        <v>2</v>
      </c>
      <c r="H13" s="26" t="inlineStr">
        <is>
          <t>Spill kiti</t>
        </is>
      </c>
      <c r="I13" s="26" t="inlineStr">
        <is>
          <t>EVET</t>
        </is>
      </c>
      <c r="J13" s="28">
        <f>IF($A13="","",IF(isg_matrisTipi="FK",$E13*$G13*$F13,$E13*$F13))</f>
        <v/>
      </c>
      <c r="K13" s="28">
        <f>IF($A13="","",IF($J13&gt;=isg_esikKritikSeviye,"Kritik",IF($J13&gt;=isg_esikYuksek,"Yüksek",IF($J13&gt;=isg_esikOrta,"Orta","Düşük"))))</f>
        <v/>
      </c>
      <c r="L13" s="28">
        <f>IF($A13="","",1)</f>
        <v/>
      </c>
    </row>
    <row r="14">
      <c r="A14" s="26" t="inlineStr">
        <is>
          <t>TEH-00009</t>
        </is>
      </c>
      <c r="B14" s="26" t="inlineStr">
        <is>
          <t>Üretim</t>
        </is>
      </c>
      <c r="C14" s="26" t="inlineStr">
        <is>
          <t>Toz maruziyeti</t>
        </is>
      </c>
      <c r="D14" s="26" t="inlineStr">
        <is>
          <t>ISG-002</t>
        </is>
      </c>
      <c r="E14" s="27" t="n">
        <v>4</v>
      </c>
      <c r="F14" s="27" t="n">
        <v>4</v>
      </c>
      <c r="G14" s="27" t="n">
        <v>4</v>
      </c>
      <c r="H14" s="26" t="inlineStr">
        <is>
          <t>Maske</t>
        </is>
      </c>
      <c r="I14" s="26" t="inlineStr">
        <is>
          <t>EVET</t>
        </is>
      </c>
      <c r="J14" s="28">
        <f>IF($A14="","",IF(isg_matrisTipi="FK",$E14*$G14*$F14,$E14*$F14))</f>
        <v/>
      </c>
      <c r="K14" s="28">
        <f>IF($A14="","",IF($J14&gt;=isg_esikKritikSeviye,"Kritik",IF($J14&gt;=isg_esikYuksek,"Yüksek",IF($J14&gt;=isg_esikOrta,"Orta","Düşük"))))</f>
        <v/>
      </c>
      <c r="L14" s="28">
        <f>IF($A14="","",1)</f>
        <v/>
      </c>
    </row>
    <row r="15">
      <c r="A15" s="26" t="inlineStr">
        <is>
          <t>TEH-00010</t>
        </is>
      </c>
      <c r="B15" s="26" t="inlineStr">
        <is>
          <t>Üretim</t>
        </is>
      </c>
      <c r="C15" s="26" t="inlineStr">
        <is>
          <t>Sıcak yüzey teması</t>
        </is>
      </c>
      <c r="D15" s="26" t="inlineStr">
        <is>
          <t>ISG-001</t>
        </is>
      </c>
      <c r="E15" s="27" t="n">
        <v>3</v>
      </c>
      <c r="F15" s="27" t="n">
        <v>4</v>
      </c>
      <c r="G15" s="27" t="n">
        <v>3</v>
      </c>
      <c r="H15" s="26" t="inlineStr">
        <is>
          <t>Eldiven</t>
        </is>
      </c>
      <c r="I15" s="26" t="inlineStr">
        <is>
          <t>EVET</t>
        </is>
      </c>
      <c r="J15" s="28">
        <f>IF($A15="","",IF(isg_matrisTipi="FK",$E15*$G15*$F15,$E15*$F15))</f>
        <v/>
      </c>
      <c r="K15" s="28">
        <f>IF($A15="","",IF($J15&gt;=isg_esikKritikSeviye,"Kritik",IF($J15&gt;=isg_esikYuksek,"Yüksek",IF($J15&gt;=isg_esikOrta,"Orta","Düşük"))))</f>
        <v/>
      </c>
      <c r="L15" s="28">
        <f>IF($A15="","",1)</f>
        <v/>
      </c>
    </row>
    <row r="16">
      <c r="A16" s="26" t="inlineStr">
        <is>
          <t>TEH-00011</t>
        </is>
      </c>
      <c r="B16" s="26" t="inlineStr">
        <is>
          <t>Bakım</t>
        </is>
      </c>
      <c r="C16" s="26" t="inlineStr">
        <is>
          <t>Enerji kesilmeden müdahale</t>
        </is>
      </c>
      <c r="D16" s="26" t="inlineStr">
        <is>
          <t>ISG-001</t>
        </is>
      </c>
      <c r="E16" s="27" t="n">
        <v>5</v>
      </c>
      <c r="F16" s="27" t="n">
        <v>5</v>
      </c>
      <c r="G16" s="27" t="n">
        <v>2</v>
      </c>
      <c r="H16" s="26" t="inlineStr">
        <is>
          <t>LOTO kısmi</t>
        </is>
      </c>
      <c r="I16" s="26" t="inlineStr">
        <is>
          <t>EVET</t>
        </is>
      </c>
      <c r="J16" s="28">
        <f>IF($A16="","",IF(isg_matrisTipi="FK",$E16*$G16*$F16,$E16*$F16))</f>
        <v/>
      </c>
      <c r="K16" s="28">
        <f>IF($A16="","",IF($J16&gt;=isg_esikKritikSeviye,"Kritik",IF($J16&gt;=isg_esikYuksek,"Yüksek",IF($J16&gt;=isg_esikOrta,"Orta","Düşük"))))</f>
        <v/>
      </c>
      <c r="L16" s="28">
        <f>IF($A16="","",1)</f>
        <v/>
      </c>
    </row>
    <row r="17">
      <c r="A17" s="26" t="inlineStr">
        <is>
          <t>TEH-00012</t>
        </is>
      </c>
      <c r="B17" s="26" t="inlineStr">
        <is>
          <t>Bakım</t>
        </is>
      </c>
      <c r="C17" s="26" t="inlineStr">
        <is>
          <t>İskele stabilite</t>
        </is>
      </c>
      <c r="D17" s="26" t="inlineStr">
        <is>
          <t>ISG-001</t>
        </is>
      </c>
      <c r="E17" s="27" t="n">
        <v>3</v>
      </c>
      <c r="F17" s="27" t="n">
        <v>5</v>
      </c>
      <c r="G17" s="27" t="n">
        <v>2</v>
      </c>
      <c r="H17" s="26" t="inlineStr">
        <is>
          <t>Kontrol formu</t>
        </is>
      </c>
      <c r="I17" s="26" t="inlineStr">
        <is>
          <t>EVET</t>
        </is>
      </c>
      <c r="J17" s="28">
        <f>IF($A17="","",IF(isg_matrisTipi="FK",$E17*$G17*$F17,$E17*$F17))</f>
        <v/>
      </c>
      <c r="K17" s="28">
        <f>IF($A17="","",IF($J17&gt;=isg_esikKritikSeviye,"Kritik",IF($J17&gt;=isg_esikYuksek,"Yüksek",IF($J17&gt;=isg_esikOrta,"Orta","Düşük"))))</f>
        <v/>
      </c>
      <c r="L17" s="28">
        <f>IF($A17="","",1)</f>
        <v/>
      </c>
    </row>
    <row r="18">
      <c r="A18" s="26" t="inlineStr">
        <is>
          <t>TEH-00013</t>
        </is>
      </c>
      <c r="B18" s="26" t="inlineStr">
        <is>
          <t>Lojistik</t>
        </is>
      </c>
      <c r="C18" s="26" t="inlineStr">
        <is>
          <t>Elle kaldırma</t>
        </is>
      </c>
      <c r="D18" s="26" t="inlineStr">
        <is>
          <t>ISG-003</t>
        </is>
      </c>
      <c r="E18" s="27" t="n">
        <v>3</v>
      </c>
      <c r="F18" s="27" t="n">
        <v>3</v>
      </c>
      <c r="G18" s="27" t="n">
        <v>4</v>
      </c>
      <c r="H18" s="26" t="inlineStr">
        <is>
          <t>Eğitim</t>
        </is>
      </c>
      <c r="I18" s="26" t="inlineStr">
        <is>
          <t>EVET</t>
        </is>
      </c>
      <c r="J18" s="28">
        <f>IF($A18="","",IF(isg_matrisTipi="FK",$E18*$G18*$F18,$E18*$F18))</f>
        <v/>
      </c>
      <c r="K18" s="28">
        <f>IF($A18="","",IF($J18&gt;=isg_esikKritikSeviye,"Kritik",IF($J18&gt;=isg_esikYuksek,"Yüksek",IF($J18&gt;=isg_esikOrta,"Orta","Düşük"))))</f>
        <v/>
      </c>
      <c r="L18" s="28">
        <f>IF($A18="","",1)</f>
        <v/>
      </c>
    </row>
    <row r="19">
      <c r="A19" s="26" t="inlineStr">
        <is>
          <t>TEH-00014</t>
        </is>
      </c>
      <c r="B19" s="26" t="inlineStr">
        <is>
          <t>Lojistik</t>
        </is>
      </c>
      <c r="C19" s="26" t="inlineStr">
        <is>
          <t>Araç manevra alanı dar</t>
        </is>
      </c>
      <c r="D19" s="26" t="inlineStr">
        <is>
          <t>ISG-001</t>
        </is>
      </c>
      <c r="E19" s="27" t="n">
        <v>4</v>
      </c>
      <c r="F19" s="27" t="n">
        <v>4</v>
      </c>
      <c r="G19" s="27" t="n">
        <v>3</v>
      </c>
      <c r="H19" s="26" t="inlineStr">
        <is>
          <t>Ayna</t>
        </is>
      </c>
      <c r="I19" s="26" t="inlineStr">
        <is>
          <t>EVET</t>
        </is>
      </c>
      <c r="J19" s="28">
        <f>IF($A19="","",IF(isg_matrisTipi="FK",$E19*$G19*$F19,$E19*$F19))</f>
        <v/>
      </c>
      <c r="K19" s="28">
        <f>IF($A19="","",IF($J19&gt;=isg_esikKritikSeviye,"Kritik",IF($J19&gt;=isg_esikYuksek,"Yüksek",IF($J19&gt;=isg_esikOrta,"Orta","Düşük"))))</f>
        <v/>
      </c>
      <c r="L19" s="28">
        <f>IF($A19="","",1)</f>
        <v/>
      </c>
    </row>
    <row r="20">
      <c r="A20" s="26" t="inlineStr">
        <is>
          <t>TEH-00015</t>
        </is>
      </c>
      <c r="B20" s="26" t="inlineStr">
        <is>
          <t>Mutfak</t>
        </is>
      </c>
      <c r="C20" s="26" t="inlineStr">
        <is>
          <t>Yağ yangını riski</t>
        </is>
      </c>
      <c r="D20" s="26" t="inlineStr">
        <is>
          <t>ISG-001</t>
        </is>
      </c>
      <c r="E20" s="27" t="n">
        <v>2</v>
      </c>
      <c r="F20" s="27" t="n">
        <v>5</v>
      </c>
      <c r="G20" s="27" t="n">
        <v>2</v>
      </c>
      <c r="H20" s="26" t="inlineStr">
        <is>
          <t>Yangın tüpü</t>
        </is>
      </c>
      <c r="I20" s="26" t="inlineStr">
        <is>
          <t>EVET</t>
        </is>
      </c>
      <c r="J20" s="28">
        <f>IF($A20="","",IF(isg_matrisTipi="FK",$E20*$G20*$F20,$E20*$F20))</f>
        <v/>
      </c>
      <c r="K20" s="28">
        <f>IF($A20="","",IF($J20&gt;=isg_esikKritikSeviye,"Kritik",IF($J20&gt;=isg_esikYuksek,"Yüksek",IF($J20&gt;=isg_esikOrta,"Orta","Düşük"))))</f>
        <v/>
      </c>
      <c r="L20" s="28">
        <f>IF($A20="","",1)</f>
        <v/>
      </c>
    </row>
    <row r="21">
      <c r="A21" s="26" t="inlineStr">
        <is>
          <t>TEH-00016</t>
        </is>
      </c>
      <c r="B21" s="26" t="inlineStr">
        <is>
          <t>Mutfak</t>
        </is>
      </c>
      <c r="C21" s="26" t="inlineStr">
        <is>
          <t>Kesici alet yaralanma</t>
        </is>
      </c>
      <c r="D21" s="26" t="inlineStr">
        <is>
          <t>ISG-001</t>
        </is>
      </c>
      <c r="E21" s="27" t="n">
        <v>3</v>
      </c>
      <c r="F21" s="27" t="n">
        <v>3</v>
      </c>
      <c r="G21" s="27" t="n">
        <v>4</v>
      </c>
      <c r="H21" s="26" t="inlineStr">
        <is>
          <t>Eldiven</t>
        </is>
      </c>
      <c r="I21" s="26" t="inlineStr">
        <is>
          <t>EVET</t>
        </is>
      </c>
      <c r="J21" s="28">
        <f>IF($A21="","",IF(isg_matrisTipi="FK",$E21*$G21*$F21,$E21*$F21))</f>
        <v/>
      </c>
      <c r="K21" s="28">
        <f>IF($A21="","",IF($J21&gt;=isg_esikKritikSeviye,"Kritik",IF($J21&gt;=isg_esikYuksek,"Yüksek",IF($J21&gt;=isg_esikOrta,"Orta","Düşük"))))</f>
        <v/>
      </c>
      <c r="L21" s="28">
        <f>IF($A21="","",1)</f>
        <v/>
      </c>
    </row>
    <row r="22">
      <c r="A22" s="26" t="inlineStr">
        <is>
          <t>TEH-00017</t>
        </is>
      </c>
      <c r="B22" s="26" t="inlineStr">
        <is>
          <t>Laboratuvar</t>
        </is>
      </c>
      <c r="C22" s="26" t="inlineStr">
        <is>
          <t>Solvent buharı</t>
        </is>
      </c>
      <c r="D22" s="26" t="inlineStr">
        <is>
          <t>ISG-002</t>
        </is>
      </c>
      <c r="E22" s="27" t="n">
        <v>3</v>
      </c>
      <c r="F22" s="27" t="n">
        <v>4</v>
      </c>
      <c r="G22" s="27" t="n">
        <v>3</v>
      </c>
      <c r="H22" s="26" t="inlineStr">
        <is>
          <t>Çeker ocak</t>
        </is>
      </c>
      <c r="I22" s="26" t="inlineStr">
        <is>
          <t>EVET</t>
        </is>
      </c>
      <c r="J22" s="28">
        <f>IF($A22="","",IF(isg_matrisTipi="FK",$E22*$G22*$F22,$E22*$F22))</f>
        <v/>
      </c>
      <c r="K22" s="28">
        <f>IF($A22="","",IF($J22&gt;=isg_esikKritikSeviye,"Kritik",IF($J22&gt;=isg_esikYuksek,"Yüksek",IF($J22&gt;=isg_esikOrta,"Orta","Düşük"))))</f>
        <v/>
      </c>
      <c r="L22" s="28">
        <f>IF($A22="","",1)</f>
        <v/>
      </c>
    </row>
    <row r="23">
      <c r="A23" s="26" t="inlineStr">
        <is>
          <t>TEH-00018</t>
        </is>
      </c>
      <c r="B23" s="26" t="inlineStr">
        <is>
          <t>Laboratuvar</t>
        </is>
      </c>
      <c r="C23" s="26" t="inlineStr">
        <is>
          <t>Cam kırığı</t>
        </is>
      </c>
      <c r="D23" s="26" t="inlineStr">
        <is>
          <t>ISG-001</t>
        </is>
      </c>
      <c r="E23" s="27" t="n">
        <v>2</v>
      </c>
      <c r="F23" s="27" t="n">
        <v>3</v>
      </c>
      <c r="G23" s="27" t="n">
        <v>3</v>
      </c>
      <c r="H23" s="26" t="inlineStr">
        <is>
          <t>Kutu</t>
        </is>
      </c>
      <c r="I23" s="26" t="inlineStr">
        <is>
          <t>EVET</t>
        </is>
      </c>
      <c r="J23" s="28">
        <f>IF($A23="","",IF(isg_matrisTipi="FK",$E23*$G23*$F23,$E23*$F23))</f>
        <v/>
      </c>
      <c r="K23" s="28">
        <f>IF($A23="","",IF($J23&gt;=isg_esikKritikSeviye,"Kritik",IF($J23&gt;=isg_esikYuksek,"Yüksek",IF($J23&gt;=isg_esikOrta,"Orta","Düşük"))))</f>
        <v/>
      </c>
      <c r="L23" s="28">
        <f>IF($A23="","",1)</f>
        <v/>
      </c>
    </row>
    <row r="24">
      <c r="A24" s="26" t="inlineStr">
        <is>
          <t>TEH-00019</t>
        </is>
      </c>
      <c r="B24" s="26" t="inlineStr">
        <is>
          <t>İnşaat</t>
        </is>
      </c>
      <c r="C24" s="26" t="inlineStr">
        <is>
          <t>Düşme yüksekliği</t>
        </is>
      </c>
      <c r="D24" s="26" t="inlineStr">
        <is>
          <t>ISG-001</t>
        </is>
      </c>
      <c r="E24" s="27" t="n">
        <v>4</v>
      </c>
      <c r="F24" s="27" t="n">
        <v>5</v>
      </c>
      <c r="G24" s="27" t="n">
        <v>3</v>
      </c>
      <c r="H24" s="26" t="inlineStr">
        <is>
          <t>Korkuluk</t>
        </is>
      </c>
      <c r="I24" s="26" t="inlineStr">
        <is>
          <t>EVET</t>
        </is>
      </c>
      <c r="J24" s="28">
        <f>IF($A24="","",IF(isg_matrisTipi="FK",$E24*$G24*$F24,$E24*$F24))</f>
        <v/>
      </c>
      <c r="K24" s="28">
        <f>IF($A24="","",IF($J24&gt;=isg_esikKritikSeviye,"Kritik",IF($J24&gt;=isg_esikYuksek,"Yüksek",IF($J24&gt;=isg_esikOrta,"Orta","Düşük"))))</f>
        <v/>
      </c>
      <c r="L24" s="28">
        <f>IF($A24="","",1)</f>
        <v/>
      </c>
    </row>
    <row r="25">
      <c r="A25" s="26" t="inlineStr">
        <is>
          <t>TEH-00020</t>
        </is>
      </c>
      <c r="B25" s="26" t="inlineStr">
        <is>
          <t>İnşaat</t>
        </is>
      </c>
      <c r="C25" s="26" t="inlineStr">
        <is>
          <t>Ağır ekipman çarpma</t>
        </is>
      </c>
      <c r="D25" s="26" t="inlineStr">
        <is>
          <t>ISG-001</t>
        </is>
      </c>
      <c r="E25" s="27" t="n">
        <v>3</v>
      </c>
      <c r="F25" s="27" t="n">
        <v>5</v>
      </c>
      <c r="G25" s="27" t="n">
        <v>2</v>
      </c>
      <c r="H25" s="26" t="inlineStr">
        <is>
          <t>Bariyer</t>
        </is>
      </c>
      <c r="I25" s="26" t="inlineStr">
        <is>
          <t>EVET</t>
        </is>
      </c>
      <c r="J25" s="28">
        <f>IF($A25="","",IF(isg_matrisTipi="FK",$E25*$G25*$F25,$E25*$F25))</f>
        <v/>
      </c>
      <c r="K25" s="28">
        <f>IF($A25="","",IF($J25&gt;=isg_esikKritikSeviye,"Kritik",IF($J25&gt;=isg_esikYuksek,"Yüksek",IF($J25&gt;=isg_esikOrta,"Orta","Düşük"))))</f>
        <v/>
      </c>
      <c r="L25" s="28">
        <f>IF($A25="","",1)</f>
        <v/>
      </c>
    </row>
    <row r="26">
      <c r="A26" s="26" t="inlineStr">
        <is>
          <t>TEH-00021</t>
        </is>
      </c>
      <c r="B26" s="26" t="inlineStr">
        <is>
          <t>İdari</t>
        </is>
      </c>
      <c r="C26" s="26" t="inlineStr">
        <is>
          <t>Acil çıkış engeli</t>
        </is>
      </c>
      <c r="D26" s="26" t="inlineStr">
        <is>
          <t>ISG-001</t>
        </is>
      </c>
      <c r="E26" s="27" t="n">
        <v>2</v>
      </c>
      <c r="F26" s="27" t="n">
        <v>5</v>
      </c>
      <c r="G26" s="27" t="n">
        <v>1</v>
      </c>
      <c r="H26" s="26" t="inlineStr">
        <is>
          <t>İşaret</t>
        </is>
      </c>
      <c r="I26" s="26" t="inlineStr">
        <is>
          <t>EVET</t>
        </is>
      </c>
      <c r="J26" s="28">
        <f>IF($A26="","",IF(isg_matrisTipi="FK",$E26*$G26*$F26,$E26*$F26))</f>
        <v/>
      </c>
      <c r="K26" s="28">
        <f>IF($A26="","",IF($J26&gt;=isg_esikKritikSeviye,"Kritik",IF($J26&gt;=isg_esikYuksek,"Yüksek",IF($J26&gt;=isg_esikOrta,"Orta","Düşük"))))</f>
        <v/>
      </c>
      <c r="L26" s="28">
        <f>IF($A26="","",1)</f>
        <v/>
      </c>
    </row>
    <row r="27">
      <c r="A27" s="26" t="inlineStr">
        <is>
          <t>TEH-00022</t>
        </is>
      </c>
      <c r="B27" s="26" t="inlineStr">
        <is>
          <t>İdari</t>
        </is>
      </c>
      <c r="C27" s="26" t="inlineStr">
        <is>
          <t>Yangın tatbikatı eksik</t>
        </is>
      </c>
      <c r="D27" s="26" t="inlineStr">
        <is>
          <t>ISG-003</t>
        </is>
      </c>
      <c r="E27" s="27" t="n">
        <v>2</v>
      </c>
      <c r="F27" s="27" t="n">
        <v>4</v>
      </c>
      <c r="G27" s="27" t="n">
        <v>1</v>
      </c>
      <c r="H27" s="26" t="inlineStr">
        <is>
          <t>Plan</t>
        </is>
      </c>
      <c r="I27" s="26" t="inlineStr">
        <is>
          <t>EVET</t>
        </is>
      </c>
      <c r="J27" s="28">
        <f>IF($A27="","",IF(isg_matrisTipi="FK",$E27*$G27*$F27,$E27*$F27))</f>
        <v/>
      </c>
      <c r="K27" s="28">
        <f>IF($A27="","",IF($J27&gt;=isg_esikKritikSeviye,"Kritik",IF($J27&gt;=isg_esikYuksek,"Yüksek",IF($J27&gt;=isg_esikOrta,"Orta","Düşük"))))</f>
        <v/>
      </c>
      <c r="L27" s="28">
        <f>IF($A27="","",1)</f>
        <v/>
      </c>
    </row>
    <row r="28">
      <c r="A28" s="26" t="inlineStr">
        <is>
          <t>TEH-00023</t>
        </is>
      </c>
      <c r="B28" s="26" t="inlineStr">
        <is>
          <t>Üretim</t>
        </is>
      </c>
      <c r="C28" s="26" t="inlineStr">
        <is>
          <t>Basınçlı hava hortumu</t>
        </is>
      </c>
      <c r="D28" s="26" t="inlineStr">
        <is>
          <t>ISG-001</t>
        </is>
      </c>
      <c r="E28" s="27" t="n">
        <v>3</v>
      </c>
      <c r="F28" s="27" t="n">
        <v>3</v>
      </c>
      <c r="G28" s="27" t="n">
        <v>3</v>
      </c>
      <c r="H28" s="26" t="inlineStr">
        <is>
          <t>Kelepçe</t>
        </is>
      </c>
      <c r="I28" s="26" t="inlineStr">
        <is>
          <t>EVET</t>
        </is>
      </c>
      <c r="J28" s="28">
        <f>IF($A28="","",IF(isg_matrisTipi="FK",$E28*$G28*$F28,$E28*$F28))</f>
        <v/>
      </c>
      <c r="K28" s="28">
        <f>IF($A28="","",IF($J28&gt;=isg_esikKritikSeviye,"Kritik",IF($J28&gt;=isg_esikYuksek,"Yüksek",IF($J28&gt;=isg_esikOrta,"Orta","Düşük"))))</f>
        <v/>
      </c>
      <c r="L28" s="28">
        <f>IF($A28="","",1)</f>
        <v/>
      </c>
    </row>
    <row r="29">
      <c r="A29" s="26" t="inlineStr">
        <is>
          <t>TEH-00024</t>
        </is>
      </c>
      <c r="B29" s="26" t="inlineStr">
        <is>
          <t>Saha</t>
        </is>
      </c>
      <c r="C29" s="26" t="inlineStr">
        <is>
          <t>Gece aydınlatma yetersiz</t>
        </is>
      </c>
      <c r="D29" s="26" t="inlineStr">
        <is>
          <t>ISG-001</t>
        </is>
      </c>
      <c r="E29" s="27" t="n">
        <v>3</v>
      </c>
      <c r="F29" s="27" t="n">
        <v>3</v>
      </c>
      <c r="G29" s="27" t="n">
        <v>2</v>
      </c>
      <c r="H29" s="26" t="inlineStr">
        <is>
          <t>Projektör</t>
        </is>
      </c>
      <c r="I29" s="26" t="inlineStr">
        <is>
          <t>EVET</t>
        </is>
      </c>
      <c r="J29" s="28">
        <f>IF($A29="","",IF(isg_matrisTipi="FK",$E29*$G29*$F29,$E29*$F29))</f>
        <v/>
      </c>
      <c r="K29" s="28">
        <f>IF($A29="","",IF($J29&gt;=isg_esikKritikSeviye,"Kritik",IF($J29&gt;=isg_esikYuksek,"Yüksek",IF($J29&gt;=isg_esikOrta,"Orta","Düşük"))))</f>
        <v/>
      </c>
      <c r="L29" s="28">
        <f>IF($A29="","",1)</f>
        <v/>
      </c>
    </row>
    <row r="30">
      <c r="A30" s="26" t="n"/>
      <c r="B30" s="26" t="n"/>
      <c r="C30" s="26" t="n"/>
      <c r="D30" s="26" t="n"/>
      <c r="E30" s="27" t="n"/>
      <c r="F30" s="27" t="n"/>
      <c r="G30" s="27" t="n"/>
      <c r="H30" s="26" t="n"/>
      <c r="I30" s="26" t="n"/>
      <c r="J30" s="28">
        <f>IF($A30="","",IF(isg_matrisTipi="FK",$E30*$G30*$F30,$E30*$F30))</f>
        <v/>
      </c>
      <c r="K30" s="28">
        <f>IF($A30="","",IF($J30&gt;=isg_esikKritikSeviye,"Kritik",IF($J30&gt;=isg_esikYuksek,"Yüksek",IF($J30&gt;=isg_esikOrta,"Orta","Düşük"))))</f>
        <v/>
      </c>
      <c r="L30" s="28">
        <f>IF($A30="","",1)</f>
        <v/>
      </c>
    </row>
    <row r="31">
      <c r="A31" s="26" t="n"/>
      <c r="B31" s="26" t="n"/>
      <c r="C31" s="26" t="n"/>
      <c r="D31" s="26" t="n"/>
      <c r="E31" s="27" t="n"/>
      <c r="F31" s="27" t="n"/>
      <c r="G31" s="27" t="n"/>
      <c r="H31" s="26" t="n"/>
      <c r="I31" s="26" t="n"/>
      <c r="J31" s="28">
        <f>IF($A31="","",IF(isg_matrisTipi="FK",$E31*$G31*$F31,$E31*$F31))</f>
        <v/>
      </c>
      <c r="K31" s="28">
        <f>IF($A31="","",IF($J31&gt;=isg_esikKritikSeviye,"Kritik",IF($J31&gt;=isg_esikYuksek,"Yüksek",IF($J31&gt;=isg_esikOrta,"Orta","Düşük"))))</f>
        <v/>
      </c>
      <c r="L31" s="28">
        <f>IF($A31="","",1)</f>
        <v/>
      </c>
    </row>
    <row r="32">
      <c r="A32" s="26" t="n"/>
      <c r="B32" s="26" t="n"/>
      <c r="C32" s="26" t="n"/>
      <c r="D32" s="26" t="n"/>
      <c r="E32" s="27" t="n"/>
      <c r="F32" s="27" t="n"/>
      <c r="G32" s="27" t="n"/>
      <c r="H32" s="26" t="n"/>
      <c r="I32" s="26" t="n"/>
      <c r="J32" s="28">
        <f>IF($A32="","",IF(isg_matrisTipi="FK",$E32*$G32*$F32,$E32*$F32))</f>
        <v/>
      </c>
      <c r="K32" s="28">
        <f>IF($A32="","",IF($J32&gt;=isg_esikKritikSeviye,"Kritik",IF($J32&gt;=isg_esikYuksek,"Yüksek",IF($J32&gt;=isg_esikOrta,"Orta","Düşük"))))</f>
        <v/>
      </c>
      <c r="L32" s="28">
        <f>IF($A32="","",1)</f>
        <v/>
      </c>
    </row>
    <row r="33">
      <c r="A33" s="26" t="n"/>
      <c r="B33" s="26" t="n"/>
      <c r="C33" s="26" t="n"/>
      <c r="D33" s="26" t="n"/>
      <c r="E33" s="27" t="n"/>
      <c r="F33" s="27" t="n"/>
      <c r="G33" s="27" t="n"/>
      <c r="H33" s="26" t="n"/>
      <c r="I33" s="26" t="n"/>
      <c r="J33" s="28">
        <f>IF($A33="","",IF(isg_matrisTipi="FK",$E33*$G33*$F33,$E33*$F33))</f>
        <v/>
      </c>
      <c r="K33" s="28">
        <f>IF($A33="","",IF($J33&gt;=isg_esikKritikSeviye,"Kritik",IF($J33&gt;=isg_esikYuksek,"Yüksek",IF($J33&gt;=isg_esikOrta,"Orta","Düşük"))))</f>
        <v/>
      </c>
      <c r="L33" s="28">
        <f>IF($A33="","",1)</f>
        <v/>
      </c>
    </row>
    <row r="34">
      <c r="A34" s="26" t="n"/>
      <c r="B34" s="26" t="n"/>
      <c r="C34" s="26" t="n"/>
      <c r="D34" s="26" t="n"/>
      <c r="E34" s="27" t="n"/>
      <c r="F34" s="27" t="n"/>
      <c r="G34" s="27" t="n"/>
      <c r="H34" s="26" t="n"/>
      <c r="I34" s="26" t="n"/>
      <c r="J34" s="28">
        <f>IF($A34="","",IF(isg_matrisTipi="FK",$E34*$G34*$F34,$E34*$F34))</f>
        <v/>
      </c>
      <c r="K34" s="28">
        <f>IF($A34="","",IF($J34&gt;=isg_esikKritikSeviye,"Kritik",IF($J34&gt;=isg_esikYuksek,"Yüksek",IF($J34&gt;=isg_esikOrta,"Orta","Düşük"))))</f>
        <v/>
      </c>
      <c r="L34" s="28">
        <f>IF($A34="","",1)</f>
        <v/>
      </c>
    </row>
    <row r="35">
      <c r="A35" s="26" t="n"/>
      <c r="B35" s="26" t="n"/>
      <c r="C35" s="26" t="n"/>
      <c r="D35" s="26" t="n"/>
      <c r="E35" s="27" t="n"/>
      <c r="F35" s="27" t="n"/>
      <c r="G35" s="27" t="n"/>
      <c r="H35" s="26" t="n"/>
      <c r="I35" s="26" t="n"/>
      <c r="J35" s="28">
        <f>IF($A35="","",IF(isg_matrisTipi="FK",$E35*$G35*$F35,$E35*$F35))</f>
        <v/>
      </c>
      <c r="K35" s="28">
        <f>IF($A35="","",IF($J35&gt;=isg_esikKritikSeviye,"Kritik",IF($J35&gt;=isg_esikYuksek,"Yüksek",IF($J35&gt;=isg_esikOrta,"Orta","Düşük"))))</f>
        <v/>
      </c>
      <c r="L35" s="28">
        <f>IF($A35="","",1)</f>
        <v/>
      </c>
    </row>
    <row r="36">
      <c r="A36" s="26" t="n"/>
      <c r="B36" s="26" t="n"/>
      <c r="C36" s="26" t="n"/>
      <c r="D36" s="26" t="n"/>
      <c r="E36" s="27" t="n"/>
      <c r="F36" s="27" t="n"/>
      <c r="G36" s="27" t="n"/>
      <c r="H36" s="26" t="n"/>
      <c r="I36" s="26" t="n"/>
      <c r="J36" s="28">
        <f>IF($A36="","",IF(isg_matrisTipi="FK",$E36*$G36*$F36,$E36*$F36))</f>
        <v/>
      </c>
      <c r="K36" s="28">
        <f>IF($A36="","",IF($J36&gt;=isg_esikKritikSeviye,"Kritik",IF($J36&gt;=isg_esikYuksek,"Yüksek",IF($J36&gt;=isg_esikOrta,"Orta","Düşük"))))</f>
        <v/>
      </c>
      <c r="L36" s="28">
        <f>IF($A36="","",1)</f>
        <v/>
      </c>
    </row>
    <row r="37">
      <c r="A37" s="26" t="n"/>
      <c r="B37" s="26" t="n"/>
      <c r="C37" s="26" t="n"/>
      <c r="D37" s="26" t="n"/>
      <c r="E37" s="27" t="n"/>
      <c r="F37" s="27" t="n"/>
      <c r="G37" s="27" t="n"/>
      <c r="H37" s="26" t="n"/>
      <c r="I37" s="26" t="n"/>
      <c r="J37" s="28">
        <f>IF($A37="","",IF(isg_matrisTipi="FK",$E37*$G37*$F37,$E37*$F37))</f>
        <v/>
      </c>
      <c r="K37" s="28">
        <f>IF($A37="","",IF($J37&gt;=isg_esikKritikSeviye,"Kritik",IF($J37&gt;=isg_esikYuksek,"Yüksek",IF($J37&gt;=isg_esikOrta,"Orta","Düşük"))))</f>
        <v/>
      </c>
      <c r="L37" s="28">
        <f>IF($A37="","",1)</f>
        <v/>
      </c>
    </row>
    <row r="38">
      <c r="A38" s="26" t="n"/>
      <c r="B38" s="26" t="n"/>
      <c r="C38" s="26" t="n"/>
      <c r="D38" s="26" t="n"/>
      <c r="E38" s="27" t="n"/>
      <c r="F38" s="27" t="n"/>
      <c r="G38" s="27" t="n"/>
      <c r="H38" s="26" t="n"/>
      <c r="I38" s="26" t="n"/>
      <c r="J38" s="28">
        <f>IF($A38="","",IF(isg_matrisTipi="FK",$E38*$G38*$F38,$E38*$F38))</f>
        <v/>
      </c>
      <c r="K38" s="28">
        <f>IF($A38="","",IF($J38&gt;=isg_esikKritikSeviye,"Kritik",IF($J38&gt;=isg_esikYuksek,"Yüksek",IF($J38&gt;=isg_esikOrta,"Orta","Düşük"))))</f>
        <v/>
      </c>
      <c r="L38" s="28">
        <f>IF($A38="","",1)</f>
        <v/>
      </c>
    </row>
    <row r="39">
      <c r="A39" s="26" t="n"/>
      <c r="B39" s="26" t="n"/>
      <c r="C39" s="26" t="n"/>
      <c r="D39" s="26" t="n"/>
      <c r="E39" s="27" t="n"/>
      <c r="F39" s="27" t="n"/>
      <c r="G39" s="27" t="n"/>
      <c r="H39" s="26" t="n"/>
      <c r="I39" s="26" t="n"/>
      <c r="J39" s="28">
        <f>IF($A39="","",IF(isg_matrisTipi="FK",$E39*$G39*$F39,$E39*$F39))</f>
        <v/>
      </c>
      <c r="K39" s="28">
        <f>IF($A39="","",IF($J39&gt;=isg_esikKritikSeviye,"Kritik",IF($J39&gt;=isg_esikYuksek,"Yüksek",IF($J39&gt;=isg_esikOrta,"Orta","Düşük"))))</f>
        <v/>
      </c>
      <c r="L39" s="28">
        <f>IF($A39="","",1)</f>
        <v/>
      </c>
    </row>
    <row r="40">
      <c r="A40" s="26" t="n"/>
      <c r="B40" s="26" t="n"/>
      <c r="C40" s="26" t="n"/>
      <c r="D40" s="26" t="n"/>
      <c r="E40" s="27" t="n"/>
      <c r="F40" s="27" t="n"/>
      <c r="G40" s="27" t="n"/>
      <c r="H40" s="26" t="n"/>
      <c r="I40" s="26" t="n"/>
      <c r="J40" s="28">
        <f>IF($A40="","",IF(isg_matrisTipi="FK",$E40*$G40*$F40,$E40*$F40))</f>
        <v/>
      </c>
      <c r="K40" s="28">
        <f>IF($A40="","",IF($J40&gt;=isg_esikKritikSeviye,"Kritik",IF($J40&gt;=isg_esikYuksek,"Yüksek",IF($J40&gt;=isg_esikOrta,"Orta","Düşük"))))</f>
        <v/>
      </c>
      <c r="L40" s="28">
        <f>IF($A40="","",1)</f>
        <v/>
      </c>
    </row>
    <row r="41">
      <c r="A41" s="26" t="n"/>
      <c r="B41" s="26" t="n"/>
      <c r="C41" s="26" t="n"/>
      <c r="D41" s="26" t="n"/>
      <c r="E41" s="27" t="n"/>
      <c r="F41" s="27" t="n"/>
      <c r="G41" s="27" t="n"/>
      <c r="H41" s="26" t="n"/>
      <c r="I41" s="26" t="n"/>
      <c r="J41" s="28">
        <f>IF($A41="","",IF(isg_matrisTipi="FK",$E41*$G41*$F41,$E41*$F41))</f>
        <v/>
      </c>
      <c r="K41" s="28">
        <f>IF($A41="","",IF($J41&gt;=isg_esikKritikSeviye,"Kritik",IF($J41&gt;=isg_esikYuksek,"Yüksek",IF($J41&gt;=isg_esikOrta,"Orta","Düşük"))))</f>
        <v/>
      </c>
      <c r="L41" s="28">
        <f>IF($A41="","",1)</f>
        <v/>
      </c>
    </row>
    <row r="42">
      <c r="A42" s="26" t="n"/>
      <c r="B42" s="26" t="n"/>
      <c r="C42" s="26" t="n"/>
      <c r="D42" s="26" t="n"/>
      <c r="E42" s="27" t="n"/>
      <c r="F42" s="27" t="n"/>
      <c r="G42" s="27" t="n"/>
      <c r="H42" s="26" t="n"/>
      <c r="I42" s="26" t="n"/>
      <c r="J42" s="28">
        <f>IF($A42="","",IF(isg_matrisTipi="FK",$E42*$G42*$F42,$E42*$F42))</f>
        <v/>
      </c>
      <c r="K42" s="28">
        <f>IF($A42="","",IF($J42&gt;=isg_esikKritikSeviye,"Kritik",IF($J42&gt;=isg_esikYuksek,"Yüksek",IF($J42&gt;=isg_esikOrta,"Orta","Düşük"))))</f>
        <v/>
      </c>
      <c r="L42" s="28">
        <f>IF($A42="","",1)</f>
        <v/>
      </c>
    </row>
    <row r="43">
      <c r="A43" s="26" t="n"/>
      <c r="B43" s="26" t="n"/>
      <c r="C43" s="26" t="n"/>
      <c r="D43" s="26" t="n"/>
      <c r="E43" s="27" t="n"/>
      <c r="F43" s="27" t="n"/>
      <c r="G43" s="27" t="n"/>
      <c r="H43" s="26" t="n"/>
      <c r="I43" s="26" t="n"/>
      <c r="J43" s="28">
        <f>IF($A43="","",IF(isg_matrisTipi="FK",$E43*$G43*$F43,$E43*$F43))</f>
        <v/>
      </c>
      <c r="K43" s="28">
        <f>IF($A43="","",IF($J43&gt;=isg_esikKritikSeviye,"Kritik",IF($J43&gt;=isg_esikYuksek,"Yüksek",IF($J43&gt;=isg_esikOrta,"Orta","Düşük"))))</f>
        <v/>
      </c>
      <c r="L43" s="28">
        <f>IF($A43="","",1)</f>
        <v/>
      </c>
    </row>
    <row r="44">
      <c r="A44" s="26" t="n"/>
      <c r="B44" s="26" t="n"/>
      <c r="C44" s="26" t="n"/>
      <c r="D44" s="26" t="n"/>
      <c r="E44" s="27" t="n"/>
      <c r="F44" s="27" t="n"/>
      <c r="G44" s="27" t="n"/>
      <c r="H44" s="26" t="n"/>
      <c r="I44" s="26" t="n"/>
      <c r="J44" s="28">
        <f>IF($A44="","",IF(isg_matrisTipi="FK",$E44*$G44*$F44,$E44*$F44))</f>
        <v/>
      </c>
      <c r="K44" s="28">
        <f>IF($A44="","",IF($J44&gt;=isg_esikKritikSeviye,"Kritik",IF($J44&gt;=isg_esikYuksek,"Yüksek",IF($J44&gt;=isg_esikOrta,"Orta","Düşük"))))</f>
        <v/>
      </c>
      <c r="L44" s="28">
        <f>IF($A44="","",1)</f>
        <v/>
      </c>
    </row>
    <row r="45">
      <c r="A45" s="26" t="n"/>
      <c r="B45" s="26" t="n"/>
      <c r="C45" s="26" t="n"/>
      <c r="D45" s="26" t="n"/>
      <c r="E45" s="27" t="n"/>
      <c r="F45" s="27" t="n"/>
      <c r="G45" s="27" t="n"/>
      <c r="H45" s="26" t="n"/>
      <c r="I45" s="26" t="n"/>
      <c r="J45" s="28">
        <f>IF($A45="","",IF(isg_matrisTipi="FK",$E45*$G45*$F45,$E45*$F45))</f>
        <v/>
      </c>
      <c r="K45" s="28">
        <f>IF($A45="","",IF($J45&gt;=isg_esikKritikSeviye,"Kritik",IF($J45&gt;=isg_esikYuksek,"Yüksek",IF($J45&gt;=isg_esikOrta,"Orta","Düşük"))))</f>
        <v/>
      </c>
      <c r="L45" s="28">
        <f>IF($A45="","",1)</f>
        <v/>
      </c>
    </row>
    <row r="46">
      <c r="A46" s="26" t="n"/>
      <c r="B46" s="26" t="n"/>
      <c r="C46" s="26" t="n"/>
      <c r="D46" s="26" t="n"/>
      <c r="E46" s="27" t="n"/>
      <c r="F46" s="27" t="n"/>
      <c r="G46" s="27" t="n"/>
      <c r="H46" s="26" t="n"/>
      <c r="I46" s="26" t="n"/>
      <c r="J46" s="28">
        <f>IF($A46="","",IF(isg_matrisTipi="FK",$E46*$G46*$F46,$E46*$F46))</f>
        <v/>
      </c>
      <c r="K46" s="28">
        <f>IF($A46="","",IF($J46&gt;=isg_esikKritikSeviye,"Kritik",IF($J46&gt;=isg_esikYuksek,"Yüksek",IF($J46&gt;=isg_esikOrta,"Orta","Düşük"))))</f>
        <v/>
      </c>
      <c r="L46" s="28">
        <f>IF($A46="","",1)</f>
        <v/>
      </c>
    </row>
    <row r="47">
      <c r="A47" s="26" t="n"/>
      <c r="B47" s="26" t="n"/>
      <c r="C47" s="26" t="n"/>
      <c r="D47" s="26" t="n"/>
      <c r="E47" s="27" t="n"/>
      <c r="F47" s="27" t="n"/>
      <c r="G47" s="27" t="n"/>
      <c r="H47" s="26" t="n"/>
      <c r="I47" s="26" t="n"/>
      <c r="J47" s="28">
        <f>IF($A47="","",IF(isg_matrisTipi="FK",$E47*$G47*$F47,$E47*$F47))</f>
        <v/>
      </c>
      <c r="K47" s="28">
        <f>IF($A47="","",IF($J47&gt;=isg_esikKritikSeviye,"Kritik",IF($J47&gt;=isg_esikYuksek,"Yüksek",IF($J47&gt;=isg_esikOrta,"Orta","Düşük"))))</f>
        <v/>
      </c>
      <c r="L47" s="28">
        <f>IF($A47="","",1)</f>
        <v/>
      </c>
    </row>
    <row r="48">
      <c r="A48" s="26" t="n"/>
      <c r="B48" s="26" t="n"/>
      <c r="C48" s="26" t="n"/>
      <c r="D48" s="26" t="n"/>
      <c r="E48" s="27" t="n"/>
      <c r="F48" s="27" t="n"/>
      <c r="G48" s="27" t="n"/>
      <c r="H48" s="26" t="n"/>
      <c r="I48" s="26" t="n"/>
      <c r="J48" s="28">
        <f>IF($A48="","",IF(isg_matrisTipi="FK",$E48*$G48*$F48,$E48*$F48))</f>
        <v/>
      </c>
      <c r="K48" s="28">
        <f>IF($A48="","",IF($J48&gt;=isg_esikKritikSeviye,"Kritik",IF($J48&gt;=isg_esikYuksek,"Yüksek",IF($J48&gt;=isg_esikOrta,"Orta","Düşük"))))</f>
        <v/>
      </c>
      <c r="L48" s="28">
        <f>IF($A48="","",1)</f>
        <v/>
      </c>
    </row>
    <row r="49">
      <c r="A49" s="26" t="n"/>
      <c r="B49" s="26" t="n"/>
      <c r="C49" s="26" t="n"/>
      <c r="D49" s="26" t="n"/>
      <c r="E49" s="27" t="n"/>
      <c r="F49" s="27" t="n"/>
      <c r="G49" s="27" t="n"/>
      <c r="H49" s="26" t="n"/>
      <c r="I49" s="26" t="n"/>
      <c r="J49" s="28">
        <f>IF($A49="","",IF(isg_matrisTipi="FK",$E49*$G49*$F49,$E49*$F49))</f>
        <v/>
      </c>
      <c r="K49" s="28">
        <f>IF($A49="","",IF($J49&gt;=isg_esikKritikSeviye,"Kritik",IF($J49&gt;=isg_esikYuksek,"Yüksek",IF($J49&gt;=isg_esikOrta,"Orta","Düşük"))))</f>
        <v/>
      </c>
      <c r="L49" s="28">
        <f>IF($A49="","",1)</f>
        <v/>
      </c>
    </row>
    <row r="50">
      <c r="A50" s="26" t="n"/>
      <c r="B50" s="26" t="n"/>
      <c r="C50" s="26" t="n"/>
      <c r="D50" s="26" t="n"/>
      <c r="E50" s="27" t="n"/>
      <c r="F50" s="27" t="n"/>
      <c r="G50" s="27" t="n"/>
      <c r="H50" s="26" t="n"/>
      <c r="I50" s="26" t="n"/>
      <c r="J50" s="28">
        <f>IF($A50="","",IF(isg_matrisTipi="FK",$E50*$G50*$F50,$E50*$F50))</f>
        <v/>
      </c>
      <c r="K50" s="28">
        <f>IF($A50="","",IF($J50&gt;=isg_esikKritikSeviye,"Kritik",IF($J50&gt;=isg_esikYuksek,"Yüksek",IF($J50&gt;=isg_esikOrta,"Orta","Düşük"))))</f>
        <v/>
      </c>
      <c r="L50" s="28">
        <f>IF($A50="","",1)</f>
        <v/>
      </c>
    </row>
    <row r="51">
      <c r="A51" s="26" t="n"/>
      <c r="B51" s="26" t="n"/>
      <c r="C51" s="26" t="n"/>
      <c r="D51" s="26" t="n"/>
      <c r="E51" s="27" t="n"/>
      <c r="F51" s="27" t="n"/>
      <c r="G51" s="27" t="n"/>
      <c r="H51" s="26" t="n"/>
      <c r="I51" s="26" t="n"/>
      <c r="J51" s="28">
        <f>IF($A51="","",IF(isg_matrisTipi="FK",$E51*$G51*$F51,$E51*$F51))</f>
        <v/>
      </c>
      <c r="K51" s="28">
        <f>IF($A51="","",IF($J51&gt;=isg_esikKritikSeviye,"Kritik",IF($J51&gt;=isg_esikYuksek,"Yüksek",IF($J51&gt;=isg_esikOrta,"Orta","Düşük"))))</f>
        <v/>
      </c>
      <c r="L51" s="28">
        <f>IF($A51="","",1)</f>
        <v/>
      </c>
    </row>
    <row r="52">
      <c r="A52" s="26" t="n"/>
      <c r="B52" s="26" t="n"/>
      <c r="C52" s="26" t="n"/>
      <c r="D52" s="26" t="n"/>
      <c r="E52" s="27" t="n"/>
      <c r="F52" s="27" t="n"/>
      <c r="G52" s="27" t="n"/>
      <c r="H52" s="26" t="n"/>
      <c r="I52" s="26" t="n"/>
      <c r="J52" s="28">
        <f>IF($A52="","",IF(isg_matrisTipi="FK",$E52*$G52*$F52,$E52*$F52))</f>
        <v/>
      </c>
      <c r="K52" s="28">
        <f>IF($A52="","",IF($J52&gt;=isg_esikKritikSeviye,"Kritik",IF($J52&gt;=isg_esikYuksek,"Yüksek",IF($J52&gt;=isg_esikOrta,"Orta","Düşük"))))</f>
        <v/>
      </c>
      <c r="L52" s="28">
        <f>IF($A52="","",1)</f>
        <v/>
      </c>
    </row>
    <row r="53">
      <c r="A53" s="26" t="n"/>
      <c r="B53" s="26" t="n"/>
      <c r="C53" s="26" t="n"/>
      <c r="D53" s="26" t="n"/>
      <c r="E53" s="27" t="n"/>
      <c r="F53" s="27" t="n"/>
      <c r="G53" s="27" t="n"/>
      <c r="H53" s="26" t="n"/>
      <c r="I53" s="26" t="n"/>
      <c r="J53" s="28">
        <f>IF($A53="","",IF(isg_matrisTipi="FK",$E53*$G53*$F53,$E53*$F53))</f>
        <v/>
      </c>
      <c r="K53" s="28">
        <f>IF($A53="","",IF($J53&gt;=isg_esikKritikSeviye,"Kritik",IF($J53&gt;=isg_esikYuksek,"Yüksek",IF($J53&gt;=isg_esikOrta,"Orta","Düşük"))))</f>
        <v/>
      </c>
      <c r="L53" s="28">
        <f>IF($A53="","",1)</f>
        <v/>
      </c>
    </row>
    <row r="54">
      <c r="A54" s="26" t="n"/>
      <c r="B54" s="26" t="n"/>
      <c r="C54" s="26" t="n"/>
      <c r="D54" s="26" t="n"/>
      <c r="E54" s="27" t="n"/>
      <c r="F54" s="27" t="n"/>
      <c r="G54" s="27" t="n"/>
      <c r="H54" s="26" t="n"/>
      <c r="I54" s="26" t="n"/>
      <c r="J54" s="28">
        <f>IF($A54="","",IF(isg_matrisTipi="FK",$E54*$G54*$F54,$E54*$F54))</f>
        <v/>
      </c>
      <c r="K54" s="28">
        <f>IF($A54="","",IF($J54&gt;=isg_esikKritikSeviye,"Kritik",IF($J54&gt;=isg_esikYuksek,"Yüksek",IF($J54&gt;=isg_esikOrta,"Orta","Düşük"))))</f>
        <v/>
      </c>
      <c r="L54" s="28">
        <f>IF($A54="","",1)</f>
        <v/>
      </c>
    </row>
    <row r="55">
      <c r="A55" s="26" t="n"/>
      <c r="B55" s="26" t="n"/>
      <c r="C55" s="26" t="n"/>
      <c r="D55" s="26" t="n"/>
      <c r="E55" s="27" t="n"/>
      <c r="F55" s="27" t="n"/>
      <c r="G55" s="27" t="n"/>
      <c r="H55" s="26" t="n"/>
      <c r="I55" s="26" t="n"/>
      <c r="J55" s="28">
        <f>IF($A55="","",IF(isg_matrisTipi="FK",$E55*$G55*$F55,$E55*$F55))</f>
        <v/>
      </c>
      <c r="K55" s="28">
        <f>IF($A55="","",IF($J55&gt;=isg_esikKritikSeviye,"Kritik",IF($J55&gt;=isg_esikYuksek,"Yüksek",IF($J55&gt;=isg_esikOrta,"Orta","Düşük"))))</f>
        <v/>
      </c>
      <c r="L55" s="28">
        <f>IF($A55="","",1)</f>
        <v/>
      </c>
    </row>
    <row r="56">
      <c r="A56" s="26" t="n"/>
      <c r="B56" s="26" t="n"/>
      <c r="C56" s="26" t="n"/>
      <c r="D56" s="26" t="n"/>
      <c r="E56" s="27" t="n"/>
      <c r="F56" s="27" t="n"/>
      <c r="G56" s="27" t="n"/>
      <c r="H56" s="26" t="n"/>
      <c r="I56" s="26" t="n"/>
      <c r="J56" s="28">
        <f>IF($A56="","",IF(isg_matrisTipi="FK",$E56*$G56*$F56,$E56*$F56))</f>
        <v/>
      </c>
      <c r="K56" s="28">
        <f>IF($A56="","",IF($J56&gt;=isg_esikKritikSeviye,"Kritik",IF($J56&gt;=isg_esikYuksek,"Yüksek",IF($J56&gt;=isg_esikOrta,"Orta","Düşük"))))</f>
        <v/>
      </c>
      <c r="L56" s="28">
        <f>IF($A56="","",1)</f>
        <v/>
      </c>
    </row>
    <row r="57">
      <c r="A57" s="26" t="n"/>
      <c r="B57" s="26" t="n"/>
      <c r="C57" s="26" t="n"/>
      <c r="D57" s="26" t="n"/>
      <c r="E57" s="27" t="n"/>
      <c r="F57" s="27" t="n"/>
      <c r="G57" s="27" t="n"/>
      <c r="H57" s="26" t="n"/>
      <c r="I57" s="26" t="n"/>
      <c r="J57" s="28">
        <f>IF($A57="","",IF(isg_matrisTipi="FK",$E57*$G57*$F57,$E57*$F57))</f>
        <v/>
      </c>
      <c r="K57" s="28">
        <f>IF($A57="","",IF($J57&gt;=isg_esikKritikSeviye,"Kritik",IF($J57&gt;=isg_esikYuksek,"Yüksek",IF($J57&gt;=isg_esikOrta,"Orta","Düşük"))))</f>
        <v/>
      </c>
      <c r="L57" s="28">
        <f>IF($A57="","",1)</f>
        <v/>
      </c>
    </row>
    <row r="58">
      <c r="A58" s="26" t="n"/>
      <c r="B58" s="26" t="n"/>
      <c r="C58" s="26" t="n"/>
      <c r="D58" s="26" t="n"/>
      <c r="E58" s="27" t="n"/>
      <c r="F58" s="27" t="n"/>
      <c r="G58" s="27" t="n"/>
      <c r="H58" s="26" t="n"/>
      <c r="I58" s="26" t="n"/>
      <c r="J58" s="28">
        <f>IF($A58="","",IF(isg_matrisTipi="FK",$E58*$G58*$F58,$E58*$F58))</f>
        <v/>
      </c>
      <c r="K58" s="28">
        <f>IF($A58="","",IF($J58&gt;=isg_esikKritikSeviye,"Kritik",IF($J58&gt;=isg_esikYuksek,"Yüksek",IF($J58&gt;=isg_esikOrta,"Orta","Düşük"))))</f>
        <v/>
      </c>
      <c r="L58" s="28">
        <f>IF($A58="","",1)</f>
        <v/>
      </c>
    </row>
    <row r="59">
      <c r="A59" s="26" t="n"/>
      <c r="B59" s="26" t="n"/>
      <c r="C59" s="26" t="n"/>
      <c r="D59" s="26" t="n"/>
      <c r="E59" s="27" t="n"/>
      <c r="F59" s="27" t="n"/>
      <c r="G59" s="27" t="n"/>
      <c r="H59" s="26" t="n"/>
      <c r="I59" s="26" t="n"/>
      <c r="J59" s="28">
        <f>IF($A59="","",IF(isg_matrisTipi="FK",$E59*$G59*$F59,$E59*$F59))</f>
        <v/>
      </c>
      <c r="K59" s="28">
        <f>IF($A59="","",IF($J59&gt;=isg_esikKritikSeviye,"Kritik",IF($J59&gt;=isg_esikYuksek,"Yüksek",IF($J59&gt;=isg_esikOrta,"Orta","Düşük"))))</f>
        <v/>
      </c>
      <c r="L59" s="28">
        <f>IF($A59="","",1)</f>
        <v/>
      </c>
    </row>
    <row r="60">
      <c r="A60" s="26" t="n"/>
      <c r="B60" s="26" t="n"/>
      <c r="C60" s="26" t="n"/>
      <c r="D60" s="26" t="n"/>
      <c r="E60" s="27" t="n"/>
      <c r="F60" s="27" t="n"/>
      <c r="G60" s="27" t="n"/>
      <c r="H60" s="26" t="n"/>
      <c r="I60" s="26" t="n"/>
      <c r="J60" s="28">
        <f>IF($A60="","",IF(isg_matrisTipi="FK",$E60*$G60*$F60,$E60*$F60))</f>
        <v/>
      </c>
      <c r="K60" s="28">
        <f>IF($A60="","",IF($J60&gt;=isg_esikKritikSeviye,"Kritik",IF($J60&gt;=isg_esikYuksek,"Yüksek",IF($J60&gt;=isg_esikOrta,"Orta","Düşük"))))</f>
        <v/>
      </c>
      <c r="L60" s="28">
        <f>IF($A60="","",1)</f>
        <v/>
      </c>
    </row>
    <row r="61">
      <c r="A61" s="26" t="n"/>
      <c r="B61" s="26" t="n"/>
      <c r="C61" s="26" t="n"/>
      <c r="D61" s="26" t="n"/>
      <c r="E61" s="27" t="n"/>
      <c r="F61" s="27" t="n"/>
      <c r="G61" s="27" t="n"/>
      <c r="H61" s="26" t="n"/>
      <c r="I61" s="26" t="n"/>
      <c r="J61" s="28">
        <f>IF($A61="","",IF(isg_matrisTipi="FK",$E61*$G61*$F61,$E61*$F61))</f>
        <v/>
      </c>
      <c r="K61" s="28">
        <f>IF($A61="","",IF($J61&gt;=isg_esikKritikSeviye,"Kritik",IF($J61&gt;=isg_esikYuksek,"Yüksek",IF($J61&gt;=isg_esikOrta,"Orta","Düşük"))))</f>
        <v/>
      </c>
      <c r="L61" s="28">
        <f>IF($A61="","",1)</f>
        <v/>
      </c>
    </row>
    <row r="62">
      <c r="A62" s="26" t="n"/>
      <c r="B62" s="26" t="n"/>
      <c r="C62" s="26" t="n"/>
      <c r="D62" s="26" t="n"/>
      <c r="E62" s="27" t="n"/>
      <c r="F62" s="27" t="n"/>
      <c r="G62" s="27" t="n"/>
      <c r="H62" s="26" t="n"/>
      <c r="I62" s="26" t="n"/>
      <c r="J62" s="28">
        <f>IF($A62="","",IF(isg_matrisTipi="FK",$E62*$G62*$F62,$E62*$F62))</f>
        <v/>
      </c>
      <c r="K62" s="28">
        <f>IF($A62="","",IF($J62&gt;=isg_esikKritikSeviye,"Kritik",IF($J62&gt;=isg_esikYuksek,"Yüksek",IF($J62&gt;=isg_esikOrta,"Orta","Düşük"))))</f>
        <v/>
      </c>
      <c r="L62" s="28">
        <f>IF($A62="","",1)</f>
        <v/>
      </c>
    </row>
    <row r="63">
      <c r="A63" s="26" t="n"/>
      <c r="B63" s="26" t="n"/>
      <c r="C63" s="26" t="n"/>
      <c r="D63" s="26" t="n"/>
      <c r="E63" s="27" t="n"/>
      <c r="F63" s="27" t="n"/>
      <c r="G63" s="27" t="n"/>
      <c r="H63" s="26" t="n"/>
      <c r="I63" s="26" t="n"/>
      <c r="J63" s="28">
        <f>IF($A63="","",IF(isg_matrisTipi="FK",$E63*$G63*$F63,$E63*$F63))</f>
        <v/>
      </c>
      <c r="K63" s="28">
        <f>IF($A63="","",IF($J63&gt;=isg_esikKritikSeviye,"Kritik",IF($J63&gt;=isg_esikYuksek,"Yüksek",IF($J63&gt;=isg_esikOrta,"Orta","Düşük"))))</f>
        <v/>
      </c>
      <c r="L63" s="28">
        <f>IF($A63="","",1)</f>
        <v/>
      </c>
    </row>
    <row r="64">
      <c r="A64" s="26" t="n"/>
      <c r="B64" s="26" t="n"/>
      <c r="C64" s="26" t="n"/>
      <c r="D64" s="26" t="n"/>
      <c r="E64" s="27" t="n"/>
      <c r="F64" s="27" t="n"/>
      <c r="G64" s="27" t="n"/>
      <c r="H64" s="26" t="n"/>
      <c r="I64" s="26" t="n"/>
      <c r="J64" s="28">
        <f>IF($A64="","",IF(isg_matrisTipi="FK",$E64*$G64*$F64,$E64*$F64))</f>
        <v/>
      </c>
      <c r="K64" s="28">
        <f>IF($A64="","",IF($J64&gt;=isg_esikKritikSeviye,"Kritik",IF($J64&gt;=isg_esikYuksek,"Yüksek",IF($J64&gt;=isg_esikOrta,"Orta","Düşük"))))</f>
        <v/>
      </c>
      <c r="L64" s="28">
        <f>IF($A64="","",1)</f>
        <v/>
      </c>
    </row>
    <row r="65">
      <c r="A65" s="26" t="n"/>
      <c r="B65" s="26" t="n"/>
      <c r="C65" s="26" t="n"/>
      <c r="D65" s="26" t="n"/>
      <c r="E65" s="27" t="n"/>
      <c r="F65" s="27" t="n"/>
      <c r="G65" s="27" t="n"/>
      <c r="H65" s="26" t="n"/>
      <c r="I65" s="26" t="n"/>
      <c r="J65" s="28">
        <f>IF($A65="","",IF(isg_matrisTipi="FK",$E65*$G65*$F65,$E65*$F65))</f>
        <v/>
      </c>
      <c r="K65" s="28">
        <f>IF($A65="","",IF($J65&gt;=isg_esikKritikSeviye,"Kritik",IF($J65&gt;=isg_esikYuksek,"Yüksek",IF($J65&gt;=isg_esikOrta,"Orta","Düşük"))))</f>
        <v/>
      </c>
      <c r="L65" s="28">
        <f>IF($A65="","",1)</f>
        <v/>
      </c>
    </row>
    <row r="66">
      <c r="A66" s="26" t="n"/>
      <c r="B66" s="26" t="n"/>
      <c r="C66" s="26" t="n"/>
      <c r="D66" s="26" t="n"/>
      <c r="E66" s="27" t="n"/>
      <c r="F66" s="27" t="n"/>
      <c r="G66" s="27" t="n"/>
      <c r="H66" s="26" t="n"/>
      <c r="I66" s="26" t="n"/>
      <c r="J66" s="28">
        <f>IF($A66="","",IF(isg_matrisTipi="FK",$E66*$G66*$F66,$E66*$F66))</f>
        <v/>
      </c>
      <c r="K66" s="28">
        <f>IF($A66="","",IF($J66&gt;=isg_esikKritikSeviye,"Kritik",IF($J66&gt;=isg_esikYuksek,"Yüksek",IF($J66&gt;=isg_esikOrta,"Orta","Düşük"))))</f>
        <v/>
      </c>
      <c r="L66" s="28">
        <f>IF($A66="","",1)</f>
        <v/>
      </c>
    </row>
    <row r="67">
      <c r="A67" s="26" t="n"/>
      <c r="B67" s="26" t="n"/>
      <c r="C67" s="26" t="n"/>
      <c r="D67" s="26" t="n"/>
      <c r="E67" s="27" t="n"/>
      <c r="F67" s="27" t="n"/>
      <c r="G67" s="27" t="n"/>
      <c r="H67" s="26" t="n"/>
      <c r="I67" s="26" t="n"/>
      <c r="J67" s="28">
        <f>IF($A67="","",IF(isg_matrisTipi="FK",$E67*$G67*$F67,$E67*$F67))</f>
        <v/>
      </c>
      <c r="K67" s="28">
        <f>IF($A67="","",IF($J67&gt;=isg_esikKritikSeviye,"Kritik",IF($J67&gt;=isg_esikYuksek,"Yüksek",IF($J67&gt;=isg_esikOrta,"Orta","Düşük"))))</f>
        <v/>
      </c>
      <c r="L67" s="28">
        <f>IF($A67="","",1)</f>
        <v/>
      </c>
    </row>
    <row r="68">
      <c r="A68" s="26" t="n"/>
      <c r="B68" s="26" t="n"/>
      <c r="C68" s="26" t="n"/>
      <c r="D68" s="26" t="n"/>
      <c r="E68" s="27" t="n"/>
      <c r="F68" s="27" t="n"/>
      <c r="G68" s="27" t="n"/>
      <c r="H68" s="26" t="n"/>
      <c r="I68" s="26" t="n"/>
      <c r="J68" s="28">
        <f>IF($A68="","",IF(isg_matrisTipi="FK",$E68*$G68*$F68,$E68*$F68))</f>
        <v/>
      </c>
      <c r="K68" s="28">
        <f>IF($A68="","",IF($J68&gt;=isg_esikKritikSeviye,"Kritik",IF($J68&gt;=isg_esikYuksek,"Yüksek",IF($J68&gt;=isg_esikOrta,"Orta","Düşük"))))</f>
        <v/>
      </c>
      <c r="L68" s="28">
        <f>IF($A68="","",1)</f>
        <v/>
      </c>
    </row>
    <row r="69">
      <c r="A69" s="26" t="n"/>
      <c r="B69" s="26" t="n"/>
      <c r="C69" s="26" t="n"/>
      <c r="D69" s="26" t="n"/>
      <c r="E69" s="27" t="n"/>
      <c r="F69" s="27" t="n"/>
      <c r="G69" s="27" t="n"/>
      <c r="H69" s="26" t="n"/>
      <c r="I69" s="26" t="n"/>
      <c r="J69" s="28">
        <f>IF($A69="","",IF(isg_matrisTipi="FK",$E69*$G69*$F69,$E69*$F69))</f>
        <v/>
      </c>
      <c r="K69" s="28">
        <f>IF($A69="","",IF($J69&gt;=isg_esikKritikSeviye,"Kritik",IF($J69&gt;=isg_esikYuksek,"Yüksek",IF($J69&gt;=isg_esikOrta,"Orta","Düşük"))))</f>
        <v/>
      </c>
      <c r="L69" s="28">
        <f>IF($A69="","",1)</f>
        <v/>
      </c>
    </row>
    <row r="70">
      <c r="A70" s="26" t="n"/>
      <c r="B70" s="26" t="n"/>
      <c r="C70" s="26" t="n"/>
      <c r="D70" s="26" t="n"/>
      <c r="E70" s="27" t="n"/>
      <c r="F70" s="27" t="n"/>
      <c r="G70" s="27" t="n"/>
      <c r="H70" s="26" t="n"/>
      <c r="I70" s="26" t="n"/>
      <c r="J70" s="28">
        <f>IF($A70="","",IF(isg_matrisTipi="FK",$E70*$G70*$F70,$E70*$F70))</f>
        <v/>
      </c>
      <c r="K70" s="28">
        <f>IF($A70="","",IF($J70&gt;=isg_esikKritikSeviye,"Kritik",IF($J70&gt;=isg_esikYuksek,"Yüksek",IF($J70&gt;=isg_esikOrta,"Orta","Düşük"))))</f>
        <v/>
      </c>
      <c r="L70" s="28">
        <f>IF($A70="","",1)</f>
        <v/>
      </c>
    </row>
    <row r="71">
      <c r="A71" s="26" t="n"/>
      <c r="B71" s="26" t="n"/>
      <c r="C71" s="26" t="n"/>
      <c r="D71" s="26" t="n"/>
      <c r="E71" s="27" t="n"/>
      <c r="F71" s="27" t="n"/>
      <c r="G71" s="27" t="n"/>
      <c r="H71" s="26" t="n"/>
      <c r="I71" s="26" t="n"/>
      <c r="J71" s="28">
        <f>IF($A71="","",IF(isg_matrisTipi="FK",$E71*$G71*$F71,$E71*$F71))</f>
        <v/>
      </c>
      <c r="K71" s="28">
        <f>IF($A71="","",IF($J71&gt;=isg_esikKritikSeviye,"Kritik",IF($J71&gt;=isg_esikYuksek,"Yüksek",IF($J71&gt;=isg_esikOrta,"Orta","Düşük"))))</f>
        <v/>
      </c>
      <c r="L71" s="28">
        <f>IF($A71="","",1)</f>
        <v/>
      </c>
    </row>
    <row r="72">
      <c r="A72" s="26" t="n"/>
      <c r="B72" s="26" t="n"/>
      <c r="C72" s="26" t="n"/>
      <c r="D72" s="26" t="n"/>
      <c r="E72" s="27" t="n"/>
      <c r="F72" s="27" t="n"/>
      <c r="G72" s="27" t="n"/>
      <c r="H72" s="26" t="n"/>
      <c r="I72" s="26" t="n"/>
      <c r="J72" s="28">
        <f>IF($A72="","",IF(isg_matrisTipi="FK",$E72*$G72*$F72,$E72*$F72))</f>
        <v/>
      </c>
      <c r="K72" s="28">
        <f>IF($A72="","",IF($J72&gt;=isg_esikKritikSeviye,"Kritik",IF($J72&gt;=isg_esikYuksek,"Yüksek",IF($J72&gt;=isg_esikOrta,"Orta","Düşük"))))</f>
        <v/>
      </c>
      <c r="L72" s="28">
        <f>IF($A72="","",1)</f>
        <v/>
      </c>
    </row>
    <row r="73">
      <c r="A73" s="26" t="n"/>
      <c r="B73" s="26" t="n"/>
      <c r="C73" s="26" t="n"/>
      <c r="D73" s="26" t="n"/>
      <c r="E73" s="27" t="n"/>
      <c r="F73" s="27" t="n"/>
      <c r="G73" s="27" t="n"/>
      <c r="H73" s="26" t="n"/>
      <c r="I73" s="26" t="n"/>
      <c r="J73" s="28">
        <f>IF($A73="","",IF(isg_matrisTipi="FK",$E73*$G73*$F73,$E73*$F73))</f>
        <v/>
      </c>
      <c r="K73" s="28">
        <f>IF($A73="","",IF($J73&gt;=isg_esikKritikSeviye,"Kritik",IF($J73&gt;=isg_esikYuksek,"Yüksek",IF($J73&gt;=isg_esikOrta,"Orta","Düşük"))))</f>
        <v/>
      </c>
      <c r="L73" s="28">
        <f>IF($A73="","",1)</f>
        <v/>
      </c>
    </row>
    <row r="74">
      <c r="A74" s="26" t="n"/>
      <c r="B74" s="26" t="n"/>
      <c r="C74" s="26" t="n"/>
      <c r="D74" s="26" t="n"/>
      <c r="E74" s="27" t="n"/>
      <c r="F74" s="27" t="n"/>
      <c r="G74" s="27" t="n"/>
      <c r="H74" s="26" t="n"/>
      <c r="I74" s="26" t="n"/>
      <c r="J74" s="28">
        <f>IF($A74="","",IF(isg_matrisTipi="FK",$E74*$G74*$F74,$E74*$F74))</f>
        <v/>
      </c>
      <c r="K74" s="28">
        <f>IF($A74="","",IF($J74&gt;=isg_esikKritikSeviye,"Kritik",IF($J74&gt;=isg_esikYuksek,"Yüksek",IF($J74&gt;=isg_esikOrta,"Orta","Düşük"))))</f>
        <v/>
      </c>
      <c r="L74" s="28">
        <f>IF($A74="","",1)</f>
        <v/>
      </c>
    </row>
    <row r="75">
      <c r="A75" s="26" t="n"/>
      <c r="B75" s="26" t="n"/>
      <c r="C75" s="26" t="n"/>
      <c r="D75" s="26" t="n"/>
      <c r="E75" s="27" t="n"/>
      <c r="F75" s="27" t="n"/>
      <c r="G75" s="27" t="n"/>
      <c r="H75" s="26" t="n"/>
      <c r="I75" s="26" t="n"/>
      <c r="J75" s="28">
        <f>IF($A75="","",IF(isg_matrisTipi="FK",$E75*$G75*$F75,$E75*$F75))</f>
        <v/>
      </c>
      <c r="K75" s="28">
        <f>IF($A75="","",IF($J75&gt;=isg_esikKritikSeviye,"Kritik",IF($J75&gt;=isg_esikYuksek,"Yüksek",IF($J75&gt;=isg_esikOrta,"Orta","Düşük"))))</f>
        <v/>
      </c>
      <c r="L75" s="28">
        <f>IF($A75="","",1)</f>
        <v/>
      </c>
    </row>
    <row r="76">
      <c r="A76" s="26" t="n"/>
      <c r="B76" s="26" t="n"/>
      <c r="C76" s="26" t="n"/>
      <c r="D76" s="26" t="n"/>
      <c r="E76" s="27" t="n"/>
      <c r="F76" s="27" t="n"/>
      <c r="G76" s="27" t="n"/>
      <c r="H76" s="26" t="n"/>
      <c r="I76" s="26" t="n"/>
      <c r="J76" s="28">
        <f>IF($A76="","",IF(isg_matrisTipi="FK",$E76*$G76*$F76,$E76*$F76))</f>
        <v/>
      </c>
      <c r="K76" s="28">
        <f>IF($A76="","",IF($J76&gt;=isg_esikKritikSeviye,"Kritik",IF($J76&gt;=isg_esikYuksek,"Yüksek",IF($J76&gt;=isg_esikOrta,"Orta","Düşük"))))</f>
        <v/>
      </c>
      <c r="L76" s="28">
        <f>IF($A76="","",1)</f>
        <v/>
      </c>
    </row>
    <row r="77">
      <c r="A77" s="26" t="n"/>
      <c r="B77" s="26" t="n"/>
      <c r="C77" s="26" t="n"/>
      <c r="D77" s="26" t="n"/>
      <c r="E77" s="27" t="n"/>
      <c r="F77" s="27" t="n"/>
      <c r="G77" s="27" t="n"/>
      <c r="H77" s="26" t="n"/>
      <c r="I77" s="26" t="n"/>
      <c r="J77" s="28">
        <f>IF($A77="","",IF(isg_matrisTipi="FK",$E77*$G77*$F77,$E77*$F77))</f>
        <v/>
      </c>
      <c r="K77" s="28">
        <f>IF($A77="","",IF($J77&gt;=isg_esikKritikSeviye,"Kritik",IF($J77&gt;=isg_esikYuksek,"Yüksek",IF($J77&gt;=isg_esikOrta,"Orta","Düşük"))))</f>
        <v/>
      </c>
      <c r="L77" s="28">
        <f>IF($A77="","",1)</f>
        <v/>
      </c>
    </row>
    <row r="78">
      <c r="A78" s="26" t="n"/>
      <c r="B78" s="26" t="n"/>
      <c r="C78" s="26" t="n"/>
      <c r="D78" s="26" t="n"/>
      <c r="E78" s="27" t="n"/>
      <c r="F78" s="27" t="n"/>
      <c r="G78" s="27" t="n"/>
      <c r="H78" s="26" t="n"/>
      <c r="I78" s="26" t="n"/>
      <c r="J78" s="28">
        <f>IF($A78="","",IF(isg_matrisTipi="FK",$E78*$G78*$F78,$E78*$F78))</f>
        <v/>
      </c>
      <c r="K78" s="28">
        <f>IF($A78="","",IF($J78&gt;=isg_esikKritikSeviye,"Kritik",IF($J78&gt;=isg_esikYuksek,"Yüksek",IF($J78&gt;=isg_esikOrta,"Orta","Düşük"))))</f>
        <v/>
      </c>
      <c r="L78" s="28">
        <f>IF($A78="","",1)</f>
        <v/>
      </c>
    </row>
    <row r="79">
      <c r="A79" s="26" t="n"/>
      <c r="B79" s="26" t="n"/>
      <c r="C79" s="26" t="n"/>
      <c r="D79" s="26" t="n"/>
      <c r="E79" s="27" t="n"/>
      <c r="F79" s="27" t="n"/>
      <c r="G79" s="27" t="n"/>
      <c r="H79" s="26" t="n"/>
      <c r="I79" s="26" t="n"/>
      <c r="J79" s="28">
        <f>IF($A79="","",IF(isg_matrisTipi="FK",$E79*$G79*$F79,$E79*$F79))</f>
        <v/>
      </c>
      <c r="K79" s="28">
        <f>IF($A79="","",IF($J79&gt;=isg_esikKritikSeviye,"Kritik",IF($J79&gt;=isg_esikYuksek,"Yüksek",IF($J79&gt;=isg_esikOrta,"Orta","Düşük"))))</f>
        <v/>
      </c>
      <c r="L79" s="28">
        <f>IF($A79="","",1)</f>
        <v/>
      </c>
    </row>
    <row r="80">
      <c r="A80" s="26" t="n"/>
      <c r="B80" s="26" t="n"/>
      <c r="C80" s="26" t="n"/>
      <c r="D80" s="26" t="n"/>
      <c r="E80" s="27" t="n"/>
      <c r="F80" s="27" t="n"/>
      <c r="G80" s="27" t="n"/>
      <c r="H80" s="26" t="n"/>
      <c r="I80" s="26" t="n"/>
      <c r="J80" s="28">
        <f>IF($A80="","",IF(isg_matrisTipi="FK",$E80*$G80*$F80,$E80*$F80))</f>
        <v/>
      </c>
      <c r="K80" s="28">
        <f>IF($A80="","",IF($J80&gt;=isg_esikKritikSeviye,"Kritik",IF($J80&gt;=isg_esikYuksek,"Yüksek",IF($J80&gt;=isg_esikOrta,"Orta","Düşük"))))</f>
        <v/>
      </c>
      <c r="L80" s="28">
        <f>IF($A80="","",1)</f>
        <v/>
      </c>
    </row>
    <row r="81">
      <c r="A81" s="26" t="n"/>
      <c r="B81" s="26" t="n"/>
      <c r="C81" s="26" t="n"/>
      <c r="D81" s="26" t="n"/>
      <c r="E81" s="27" t="n"/>
      <c r="F81" s="27" t="n"/>
      <c r="G81" s="27" t="n"/>
      <c r="H81" s="26" t="n"/>
      <c r="I81" s="26" t="n"/>
      <c r="J81" s="28">
        <f>IF($A81="","",IF(isg_matrisTipi="FK",$E81*$G81*$F81,$E81*$F81))</f>
        <v/>
      </c>
      <c r="K81" s="28">
        <f>IF($A81="","",IF($J81&gt;=isg_esikKritikSeviye,"Kritik",IF($J81&gt;=isg_esikYuksek,"Yüksek",IF($J81&gt;=isg_esikOrta,"Orta","Düşük"))))</f>
        <v/>
      </c>
      <c r="L81" s="28">
        <f>IF($A81="","",1)</f>
        <v/>
      </c>
    </row>
    <row r="82">
      <c r="A82" s="26" t="n"/>
      <c r="B82" s="26" t="n"/>
      <c r="C82" s="26" t="n"/>
      <c r="D82" s="26" t="n"/>
      <c r="E82" s="27" t="n"/>
      <c r="F82" s="27" t="n"/>
      <c r="G82" s="27" t="n"/>
      <c r="H82" s="26" t="n"/>
      <c r="I82" s="26" t="n"/>
      <c r="J82" s="28">
        <f>IF($A82="","",IF(isg_matrisTipi="FK",$E82*$G82*$F82,$E82*$F82))</f>
        <v/>
      </c>
      <c r="K82" s="28">
        <f>IF($A82="","",IF($J82&gt;=isg_esikKritikSeviye,"Kritik",IF($J82&gt;=isg_esikYuksek,"Yüksek",IF($J82&gt;=isg_esikOrta,"Orta","Düşük"))))</f>
        <v/>
      </c>
      <c r="L82" s="28">
        <f>IF($A82="","",1)</f>
        <v/>
      </c>
    </row>
    <row r="83">
      <c r="A83" s="26" t="n"/>
      <c r="B83" s="26" t="n"/>
      <c r="C83" s="26" t="n"/>
      <c r="D83" s="26" t="n"/>
      <c r="E83" s="27" t="n"/>
      <c r="F83" s="27" t="n"/>
      <c r="G83" s="27" t="n"/>
      <c r="H83" s="26" t="n"/>
      <c r="I83" s="26" t="n"/>
      <c r="J83" s="28">
        <f>IF($A83="","",IF(isg_matrisTipi="FK",$E83*$G83*$F83,$E83*$F83))</f>
        <v/>
      </c>
      <c r="K83" s="28">
        <f>IF($A83="","",IF($J83&gt;=isg_esikKritikSeviye,"Kritik",IF($J83&gt;=isg_esikYuksek,"Yüksek",IF($J83&gt;=isg_esikOrta,"Orta","Düşük"))))</f>
        <v/>
      </c>
      <c r="L83" s="28">
        <f>IF($A83="","",1)</f>
        <v/>
      </c>
    </row>
    <row r="84">
      <c r="A84" s="26" t="n"/>
      <c r="B84" s="26" t="n"/>
      <c r="C84" s="26" t="n"/>
      <c r="D84" s="26" t="n"/>
      <c r="E84" s="27" t="n"/>
      <c r="F84" s="27" t="n"/>
      <c r="G84" s="27" t="n"/>
      <c r="H84" s="26" t="n"/>
      <c r="I84" s="26" t="n"/>
      <c r="J84" s="28">
        <f>IF($A84="","",IF(isg_matrisTipi="FK",$E84*$G84*$F84,$E84*$F84))</f>
        <v/>
      </c>
      <c r="K84" s="28">
        <f>IF($A84="","",IF($J84&gt;=isg_esikKritikSeviye,"Kritik",IF($J84&gt;=isg_esikYuksek,"Yüksek",IF($J84&gt;=isg_esikOrta,"Orta","Düşük"))))</f>
        <v/>
      </c>
      <c r="L84" s="28">
        <f>IF($A84="","",1)</f>
        <v/>
      </c>
    </row>
    <row r="85">
      <c r="A85" s="26" t="n"/>
      <c r="B85" s="26" t="n"/>
      <c r="C85" s="26" t="n"/>
      <c r="D85" s="26" t="n"/>
      <c r="E85" s="27" t="n"/>
      <c r="F85" s="27" t="n"/>
      <c r="G85" s="27" t="n"/>
      <c r="H85" s="26" t="n"/>
      <c r="I85" s="26" t="n"/>
      <c r="J85" s="28">
        <f>IF($A85="","",IF(isg_matrisTipi="FK",$E85*$G85*$F85,$E85*$F85))</f>
        <v/>
      </c>
      <c r="K85" s="28">
        <f>IF($A85="","",IF($J85&gt;=isg_esikKritikSeviye,"Kritik",IF($J85&gt;=isg_esikYuksek,"Yüksek",IF($J85&gt;=isg_esikOrta,"Orta","Düşük"))))</f>
        <v/>
      </c>
      <c r="L85" s="28">
        <f>IF($A85="","",1)</f>
        <v/>
      </c>
    </row>
    <row r="86">
      <c r="A86" s="26" t="n"/>
      <c r="B86" s="26" t="n"/>
      <c r="C86" s="26" t="n"/>
      <c r="D86" s="26" t="n"/>
      <c r="E86" s="27" t="n"/>
      <c r="F86" s="27" t="n"/>
      <c r="G86" s="27" t="n"/>
      <c r="H86" s="26" t="n"/>
      <c r="I86" s="26" t="n"/>
      <c r="J86" s="28">
        <f>IF($A86="","",IF(isg_matrisTipi="FK",$E86*$G86*$F86,$E86*$F86))</f>
        <v/>
      </c>
      <c r="K86" s="28">
        <f>IF($A86="","",IF($J86&gt;=isg_esikKritikSeviye,"Kritik",IF($J86&gt;=isg_esikYuksek,"Yüksek",IF($J86&gt;=isg_esikOrta,"Orta","Düşük"))))</f>
        <v/>
      </c>
      <c r="L86" s="28">
        <f>IF($A86="","",1)</f>
        <v/>
      </c>
    </row>
    <row r="87">
      <c r="A87" s="26" t="n"/>
      <c r="B87" s="26" t="n"/>
      <c r="C87" s="26" t="n"/>
      <c r="D87" s="26" t="n"/>
      <c r="E87" s="27" t="n"/>
      <c r="F87" s="27" t="n"/>
      <c r="G87" s="27" t="n"/>
      <c r="H87" s="26" t="n"/>
      <c r="I87" s="26" t="n"/>
      <c r="J87" s="28">
        <f>IF($A87="","",IF(isg_matrisTipi="FK",$E87*$G87*$F87,$E87*$F87))</f>
        <v/>
      </c>
      <c r="K87" s="28">
        <f>IF($A87="","",IF($J87&gt;=isg_esikKritikSeviye,"Kritik",IF($J87&gt;=isg_esikYuksek,"Yüksek",IF($J87&gt;=isg_esikOrta,"Orta","Düşük"))))</f>
        <v/>
      </c>
      <c r="L87" s="28">
        <f>IF($A87="","",1)</f>
        <v/>
      </c>
    </row>
    <row r="88">
      <c r="A88" s="26" t="n"/>
      <c r="B88" s="26" t="n"/>
      <c r="C88" s="26" t="n"/>
      <c r="D88" s="26" t="n"/>
      <c r="E88" s="27" t="n"/>
      <c r="F88" s="27" t="n"/>
      <c r="G88" s="27" t="n"/>
      <c r="H88" s="26" t="n"/>
      <c r="I88" s="26" t="n"/>
      <c r="J88" s="28">
        <f>IF($A88="","",IF(isg_matrisTipi="FK",$E88*$G88*$F88,$E88*$F88))</f>
        <v/>
      </c>
      <c r="K88" s="28">
        <f>IF($A88="","",IF($J88&gt;=isg_esikKritikSeviye,"Kritik",IF($J88&gt;=isg_esikYuksek,"Yüksek",IF($J88&gt;=isg_esikOrta,"Orta","Düşük"))))</f>
        <v/>
      </c>
      <c r="L88" s="28">
        <f>IF($A88="","",1)</f>
        <v/>
      </c>
    </row>
    <row r="89">
      <c r="A89" s="26" t="n"/>
      <c r="B89" s="26" t="n"/>
      <c r="C89" s="26" t="n"/>
      <c r="D89" s="26" t="n"/>
      <c r="E89" s="27" t="n"/>
      <c r="F89" s="27" t="n"/>
      <c r="G89" s="27" t="n"/>
      <c r="H89" s="26" t="n"/>
      <c r="I89" s="26" t="n"/>
      <c r="J89" s="28">
        <f>IF($A89="","",IF(isg_matrisTipi="FK",$E89*$G89*$F89,$E89*$F89))</f>
        <v/>
      </c>
      <c r="K89" s="28">
        <f>IF($A89="","",IF($J89&gt;=isg_esikKritikSeviye,"Kritik",IF($J89&gt;=isg_esikYuksek,"Yüksek",IF($J89&gt;=isg_esikOrta,"Orta","Düşük"))))</f>
        <v/>
      </c>
      <c r="L89" s="28">
        <f>IF($A89="","",1)</f>
        <v/>
      </c>
    </row>
    <row r="90">
      <c r="A90" s="26" t="n"/>
      <c r="B90" s="26" t="n"/>
      <c r="C90" s="26" t="n"/>
      <c r="D90" s="26" t="n"/>
      <c r="E90" s="27" t="n"/>
      <c r="F90" s="27" t="n"/>
      <c r="G90" s="27" t="n"/>
      <c r="H90" s="26" t="n"/>
      <c r="I90" s="26" t="n"/>
      <c r="J90" s="28">
        <f>IF($A90="","",IF(isg_matrisTipi="FK",$E90*$G90*$F90,$E90*$F90))</f>
        <v/>
      </c>
      <c r="K90" s="28">
        <f>IF($A90="","",IF($J90&gt;=isg_esikKritikSeviye,"Kritik",IF($J90&gt;=isg_esikYuksek,"Yüksek",IF($J90&gt;=isg_esikOrta,"Orta","Düşük"))))</f>
        <v/>
      </c>
      <c r="L90" s="28">
        <f>IF($A90="","",1)</f>
        <v/>
      </c>
    </row>
    <row r="91">
      <c r="A91" s="26" t="n"/>
      <c r="B91" s="26" t="n"/>
      <c r="C91" s="26" t="n"/>
      <c r="D91" s="26" t="n"/>
      <c r="E91" s="27" t="n"/>
      <c r="F91" s="27" t="n"/>
      <c r="G91" s="27" t="n"/>
      <c r="H91" s="26" t="n"/>
      <c r="I91" s="26" t="n"/>
      <c r="J91" s="28">
        <f>IF($A91="","",IF(isg_matrisTipi="FK",$E91*$G91*$F91,$E91*$F91))</f>
        <v/>
      </c>
      <c r="K91" s="28">
        <f>IF($A91="","",IF($J91&gt;=isg_esikKritikSeviye,"Kritik",IF($J91&gt;=isg_esikYuksek,"Yüksek",IF($J91&gt;=isg_esikOrta,"Orta","Düşük"))))</f>
        <v/>
      </c>
      <c r="L91" s="28">
        <f>IF($A91="","",1)</f>
        <v/>
      </c>
    </row>
    <row r="92">
      <c r="A92" s="26" t="n"/>
      <c r="B92" s="26" t="n"/>
      <c r="C92" s="26" t="n"/>
      <c r="D92" s="26" t="n"/>
      <c r="E92" s="27" t="n"/>
      <c r="F92" s="27" t="n"/>
      <c r="G92" s="27" t="n"/>
      <c r="H92" s="26" t="n"/>
      <c r="I92" s="26" t="n"/>
      <c r="J92" s="28">
        <f>IF($A92="","",IF(isg_matrisTipi="FK",$E92*$G92*$F92,$E92*$F92))</f>
        <v/>
      </c>
      <c r="K92" s="28">
        <f>IF($A92="","",IF($J92&gt;=isg_esikKritikSeviye,"Kritik",IF($J92&gt;=isg_esikYuksek,"Yüksek",IF($J92&gt;=isg_esikOrta,"Orta","Düşük"))))</f>
        <v/>
      </c>
      <c r="L92" s="28">
        <f>IF($A92="","",1)</f>
        <v/>
      </c>
    </row>
    <row r="93">
      <c r="A93" s="26" t="n"/>
      <c r="B93" s="26" t="n"/>
      <c r="C93" s="26" t="n"/>
      <c r="D93" s="26" t="n"/>
      <c r="E93" s="27" t="n"/>
      <c r="F93" s="27" t="n"/>
      <c r="G93" s="27" t="n"/>
      <c r="H93" s="26" t="n"/>
      <c r="I93" s="26" t="n"/>
      <c r="J93" s="28">
        <f>IF($A93="","",IF(isg_matrisTipi="FK",$E93*$G93*$F93,$E93*$F93))</f>
        <v/>
      </c>
      <c r="K93" s="28">
        <f>IF($A93="","",IF($J93&gt;=isg_esikKritikSeviye,"Kritik",IF($J93&gt;=isg_esikYuksek,"Yüksek",IF($J93&gt;=isg_esikOrta,"Orta","Düşük"))))</f>
        <v/>
      </c>
      <c r="L93" s="28">
        <f>IF($A93="","",1)</f>
        <v/>
      </c>
    </row>
    <row r="94">
      <c r="A94" s="26" t="n"/>
      <c r="B94" s="26" t="n"/>
      <c r="C94" s="26" t="n"/>
      <c r="D94" s="26" t="n"/>
      <c r="E94" s="27" t="n"/>
      <c r="F94" s="27" t="n"/>
      <c r="G94" s="27" t="n"/>
      <c r="H94" s="26" t="n"/>
      <c r="I94" s="26" t="n"/>
      <c r="J94" s="28">
        <f>IF($A94="","",IF(isg_matrisTipi="FK",$E94*$G94*$F94,$E94*$F94))</f>
        <v/>
      </c>
      <c r="K94" s="28">
        <f>IF($A94="","",IF($J94&gt;=isg_esikKritikSeviye,"Kritik",IF($J94&gt;=isg_esikYuksek,"Yüksek",IF($J94&gt;=isg_esikOrta,"Orta","Düşük"))))</f>
        <v/>
      </c>
      <c r="L94" s="28">
        <f>IF($A94="","",1)</f>
        <v/>
      </c>
    </row>
    <row r="95">
      <c r="A95" s="26" t="n"/>
      <c r="B95" s="26" t="n"/>
      <c r="C95" s="26" t="n"/>
      <c r="D95" s="26" t="n"/>
      <c r="E95" s="27" t="n"/>
      <c r="F95" s="27" t="n"/>
      <c r="G95" s="27" t="n"/>
      <c r="H95" s="26" t="n"/>
      <c r="I95" s="26" t="n"/>
      <c r="J95" s="28">
        <f>IF($A95="","",IF(isg_matrisTipi="FK",$E95*$G95*$F95,$E95*$F95))</f>
        <v/>
      </c>
      <c r="K95" s="28">
        <f>IF($A95="","",IF($J95&gt;=isg_esikKritikSeviye,"Kritik",IF($J95&gt;=isg_esikYuksek,"Yüksek",IF($J95&gt;=isg_esikOrta,"Orta","Düşük"))))</f>
        <v/>
      </c>
      <c r="L95" s="28">
        <f>IF($A95="","",1)</f>
        <v/>
      </c>
    </row>
    <row r="96">
      <c r="A96" s="26" t="n"/>
      <c r="B96" s="26" t="n"/>
      <c r="C96" s="26" t="n"/>
      <c r="D96" s="26" t="n"/>
      <c r="E96" s="27" t="n"/>
      <c r="F96" s="27" t="n"/>
      <c r="G96" s="27" t="n"/>
      <c r="H96" s="26" t="n"/>
      <c r="I96" s="26" t="n"/>
      <c r="J96" s="28">
        <f>IF($A96="","",IF(isg_matrisTipi="FK",$E96*$G96*$F96,$E96*$F96))</f>
        <v/>
      </c>
      <c r="K96" s="28">
        <f>IF($A96="","",IF($J96&gt;=isg_esikKritikSeviye,"Kritik",IF($J96&gt;=isg_esikYuksek,"Yüksek",IF($J96&gt;=isg_esikOrta,"Orta","Düşük"))))</f>
        <v/>
      </c>
      <c r="L96" s="28">
        <f>IF($A96="","",1)</f>
        <v/>
      </c>
    </row>
    <row r="97">
      <c r="A97" s="26" t="n"/>
      <c r="B97" s="26" t="n"/>
      <c r="C97" s="26" t="n"/>
      <c r="D97" s="26" t="n"/>
      <c r="E97" s="27" t="n"/>
      <c r="F97" s="27" t="n"/>
      <c r="G97" s="27" t="n"/>
      <c r="H97" s="26" t="n"/>
      <c r="I97" s="26" t="n"/>
      <c r="J97" s="28">
        <f>IF($A97="","",IF(isg_matrisTipi="FK",$E97*$G97*$F97,$E97*$F97))</f>
        <v/>
      </c>
      <c r="K97" s="28">
        <f>IF($A97="","",IF($J97&gt;=isg_esikKritikSeviye,"Kritik",IF($J97&gt;=isg_esikYuksek,"Yüksek",IF($J97&gt;=isg_esikOrta,"Orta","Düşük"))))</f>
        <v/>
      </c>
      <c r="L97" s="28">
        <f>IF($A97="","",1)</f>
        <v/>
      </c>
    </row>
    <row r="98">
      <c r="A98" s="26" t="n"/>
      <c r="B98" s="26" t="n"/>
      <c r="C98" s="26" t="n"/>
      <c r="D98" s="26" t="n"/>
      <c r="E98" s="27" t="n"/>
      <c r="F98" s="27" t="n"/>
      <c r="G98" s="27" t="n"/>
      <c r="H98" s="26" t="n"/>
      <c r="I98" s="26" t="n"/>
      <c r="J98" s="28">
        <f>IF($A98="","",IF(isg_matrisTipi="FK",$E98*$G98*$F98,$E98*$F98))</f>
        <v/>
      </c>
      <c r="K98" s="28">
        <f>IF($A98="","",IF($J98&gt;=isg_esikKritikSeviye,"Kritik",IF($J98&gt;=isg_esikYuksek,"Yüksek",IF($J98&gt;=isg_esikOrta,"Orta","Düşük"))))</f>
        <v/>
      </c>
      <c r="L98" s="28">
        <f>IF($A98="","",1)</f>
        <v/>
      </c>
    </row>
    <row r="99">
      <c r="A99" s="26" t="n"/>
      <c r="B99" s="26" t="n"/>
      <c r="C99" s="26" t="n"/>
      <c r="D99" s="26" t="n"/>
      <c r="E99" s="27" t="n"/>
      <c r="F99" s="27" t="n"/>
      <c r="G99" s="27" t="n"/>
      <c r="H99" s="26" t="n"/>
      <c r="I99" s="26" t="n"/>
      <c r="J99" s="28">
        <f>IF($A99="","",IF(isg_matrisTipi="FK",$E99*$G99*$F99,$E99*$F99))</f>
        <v/>
      </c>
      <c r="K99" s="28">
        <f>IF($A99="","",IF($J99&gt;=isg_esikKritikSeviye,"Kritik",IF($J99&gt;=isg_esikYuksek,"Yüksek",IF($J99&gt;=isg_esikOrta,"Orta","Düşük"))))</f>
        <v/>
      </c>
      <c r="L99" s="28">
        <f>IF($A99="","",1)</f>
        <v/>
      </c>
    </row>
    <row r="100">
      <c r="A100" s="26" t="n"/>
      <c r="B100" s="26" t="n"/>
      <c r="C100" s="26" t="n"/>
      <c r="D100" s="26" t="n"/>
      <c r="E100" s="27" t="n"/>
      <c r="F100" s="27" t="n"/>
      <c r="G100" s="27" t="n"/>
      <c r="H100" s="26" t="n"/>
      <c r="I100" s="26" t="n"/>
      <c r="J100" s="28">
        <f>IF($A100="","",IF(isg_matrisTipi="FK",$E100*$G100*$F100,$E100*$F100))</f>
        <v/>
      </c>
      <c r="K100" s="28">
        <f>IF($A100="","",IF($J100&gt;=isg_esikKritikSeviye,"Kritik",IF($J100&gt;=isg_esikYuksek,"Yüksek",IF($J100&gt;=isg_esikOrta,"Orta","Düşük"))))</f>
        <v/>
      </c>
      <c r="L100" s="28">
        <f>IF($A100="","",1)</f>
        <v/>
      </c>
    </row>
    <row r="101">
      <c r="A101" s="26" t="n"/>
      <c r="B101" s="26" t="n"/>
      <c r="C101" s="26" t="n"/>
      <c r="D101" s="26" t="n"/>
      <c r="E101" s="27" t="n"/>
      <c r="F101" s="27" t="n"/>
      <c r="G101" s="27" t="n"/>
      <c r="H101" s="26" t="n"/>
      <c r="I101" s="26" t="n"/>
      <c r="J101" s="28">
        <f>IF($A101="","",IF(isg_matrisTipi="FK",$E101*$G101*$F101,$E101*$F101))</f>
        <v/>
      </c>
      <c r="K101" s="28">
        <f>IF($A101="","",IF($J101&gt;=isg_esikKritikSeviye,"Kritik",IF($J101&gt;=isg_esikYuksek,"Yüksek",IF($J101&gt;=isg_esikOrta,"Orta","Düşük"))))</f>
        <v/>
      </c>
      <c r="L101" s="28">
        <f>IF($A101="","",1)</f>
        <v/>
      </c>
    </row>
    <row r="102">
      <c r="A102" s="26" t="n"/>
      <c r="B102" s="26" t="n"/>
      <c r="C102" s="26" t="n"/>
      <c r="D102" s="26" t="n"/>
      <c r="E102" s="27" t="n"/>
      <c r="F102" s="27" t="n"/>
      <c r="G102" s="27" t="n"/>
      <c r="H102" s="26" t="n"/>
      <c r="I102" s="26" t="n"/>
      <c r="J102" s="28">
        <f>IF($A102="","",IF(isg_matrisTipi="FK",$E102*$G102*$F102,$E102*$F102))</f>
        <v/>
      </c>
      <c r="K102" s="28">
        <f>IF($A102="","",IF($J102&gt;=isg_esikKritikSeviye,"Kritik",IF($J102&gt;=isg_esikYuksek,"Yüksek",IF($J102&gt;=isg_esikOrta,"Orta","Düşük"))))</f>
        <v/>
      </c>
      <c r="L102" s="28">
        <f>IF($A102="","",1)</f>
        <v/>
      </c>
    </row>
    <row r="103">
      <c r="A103" s="26" t="n"/>
      <c r="B103" s="26" t="n"/>
      <c r="C103" s="26" t="n"/>
      <c r="D103" s="26" t="n"/>
      <c r="E103" s="27" t="n"/>
      <c r="F103" s="27" t="n"/>
      <c r="G103" s="27" t="n"/>
      <c r="H103" s="26" t="n"/>
      <c r="I103" s="26" t="n"/>
      <c r="J103" s="28">
        <f>IF($A103="","",IF(isg_matrisTipi="FK",$E103*$G103*$F103,$E103*$F103))</f>
        <v/>
      </c>
      <c r="K103" s="28">
        <f>IF($A103="","",IF($J103&gt;=isg_esikKritikSeviye,"Kritik",IF($J103&gt;=isg_esikYuksek,"Yüksek",IF($J103&gt;=isg_esikOrta,"Orta","Düşük"))))</f>
        <v/>
      </c>
      <c r="L103" s="28">
        <f>IF($A103="","",1)</f>
        <v/>
      </c>
    </row>
    <row r="104">
      <c r="A104" s="26" t="n"/>
      <c r="B104" s="26" t="n"/>
      <c r="C104" s="26" t="n"/>
      <c r="D104" s="26" t="n"/>
      <c r="E104" s="27" t="n"/>
      <c r="F104" s="27" t="n"/>
      <c r="G104" s="27" t="n"/>
      <c r="H104" s="26" t="n"/>
      <c r="I104" s="26" t="n"/>
      <c r="J104" s="28">
        <f>IF($A104="","",IF(isg_matrisTipi="FK",$E104*$G104*$F104,$E104*$F104))</f>
        <v/>
      </c>
      <c r="K104" s="28">
        <f>IF($A104="","",IF($J104&gt;=isg_esikKritikSeviye,"Kritik",IF($J104&gt;=isg_esikYuksek,"Yüksek",IF($J104&gt;=isg_esikOrta,"Orta","Düşük"))))</f>
        <v/>
      </c>
      <c r="L104" s="28">
        <f>IF($A104="","",1)</f>
        <v/>
      </c>
    </row>
    <row r="105">
      <c r="A105" s="26" t="n"/>
      <c r="B105" s="26" t="n"/>
      <c r="C105" s="26" t="n"/>
      <c r="D105" s="26" t="n"/>
      <c r="E105" s="27" t="n"/>
      <c r="F105" s="27" t="n"/>
      <c r="G105" s="27" t="n"/>
      <c r="H105" s="26" t="n"/>
      <c r="I105" s="26" t="n"/>
      <c r="J105" s="28">
        <f>IF($A105="","",IF(isg_matrisTipi="FK",$E105*$G105*$F105,$E105*$F105))</f>
        <v/>
      </c>
      <c r="K105" s="28">
        <f>IF($A105="","",IF($J105&gt;=isg_esikKritikSeviye,"Kritik",IF($J105&gt;=isg_esikYuksek,"Yüksek",IF($J105&gt;=isg_esikOrta,"Orta","Düşük"))))</f>
        <v/>
      </c>
      <c r="L105" s="28">
        <f>IF($A105="","",1)</f>
        <v/>
      </c>
    </row>
    <row r="106">
      <c r="A106" s="26" t="n"/>
      <c r="B106" s="26" t="n"/>
      <c r="C106" s="26" t="n"/>
      <c r="D106" s="26" t="n"/>
      <c r="E106" s="27" t="n"/>
      <c r="F106" s="27" t="n"/>
      <c r="G106" s="27" t="n"/>
      <c r="H106" s="26" t="n"/>
      <c r="I106" s="26" t="n"/>
      <c r="J106" s="28">
        <f>IF($A106="","",IF(isg_matrisTipi="FK",$E106*$G106*$F106,$E106*$F106))</f>
        <v/>
      </c>
      <c r="K106" s="28">
        <f>IF($A106="","",IF($J106&gt;=isg_esikKritikSeviye,"Kritik",IF($J106&gt;=isg_esikYuksek,"Yüksek",IF($J106&gt;=isg_esikOrta,"Orta","Düşük"))))</f>
        <v/>
      </c>
      <c r="L106" s="28">
        <f>IF($A106="","",1)</f>
        <v/>
      </c>
    </row>
    <row r="107">
      <c r="A107" s="26" t="n"/>
      <c r="B107" s="26" t="n"/>
      <c r="C107" s="26" t="n"/>
      <c r="D107" s="26" t="n"/>
      <c r="E107" s="27" t="n"/>
      <c r="F107" s="27" t="n"/>
      <c r="G107" s="27" t="n"/>
      <c r="H107" s="26" t="n"/>
      <c r="I107" s="26" t="n"/>
      <c r="J107" s="28">
        <f>IF($A107="","",IF(isg_matrisTipi="FK",$E107*$G107*$F107,$E107*$F107))</f>
        <v/>
      </c>
      <c r="K107" s="28">
        <f>IF($A107="","",IF($J107&gt;=isg_esikKritikSeviye,"Kritik",IF($J107&gt;=isg_esikYuksek,"Yüksek",IF($J107&gt;=isg_esikOrta,"Orta","Düşük"))))</f>
        <v/>
      </c>
      <c r="L107" s="28">
        <f>IF($A107="","",1)</f>
        <v/>
      </c>
    </row>
    <row r="108">
      <c r="A108" s="26" t="n"/>
      <c r="B108" s="26" t="n"/>
      <c r="C108" s="26" t="n"/>
      <c r="D108" s="26" t="n"/>
      <c r="E108" s="27" t="n"/>
      <c r="F108" s="27" t="n"/>
      <c r="G108" s="27" t="n"/>
      <c r="H108" s="26" t="n"/>
      <c r="I108" s="26" t="n"/>
      <c r="J108" s="28">
        <f>IF($A108="","",IF(isg_matrisTipi="FK",$E108*$G108*$F108,$E108*$F108))</f>
        <v/>
      </c>
      <c r="K108" s="28">
        <f>IF($A108="","",IF($J108&gt;=isg_esikKritikSeviye,"Kritik",IF($J108&gt;=isg_esikYuksek,"Yüksek",IF($J108&gt;=isg_esikOrta,"Orta","Düşük"))))</f>
        <v/>
      </c>
      <c r="L108" s="28">
        <f>IF($A108="","",1)</f>
        <v/>
      </c>
    </row>
    <row r="109">
      <c r="A109" s="26" t="n"/>
      <c r="B109" s="26" t="n"/>
      <c r="C109" s="26" t="n"/>
      <c r="D109" s="26" t="n"/>
      <c r="E109" s="27" t="n"/>
      <c r="F109" s="27" t="n"/>
      <c r="G109" s="27" t="n"/>
      <c r="H109" s="26" t="n"/>
      <c r="I109" s="26" t="n"/>
      <c r="J109" s="28">
        <f>IF($A109="","",IF(isg_matrisTipi="FK",$E109*$G109*$F109,$E109*$F109))</f>
        <v/>
      </c>
      <c r="K109" s="28">
        <f>IF($A109="","",IF($J109&gt;=isg_esikKritikSeviye,"Kritik",IF($J109&gt;=isg_esikYuksek,"Yüksek",IF($J109&gt;=isg_esikOrta,"Orta","Düşük"))))</f>
        <v/>
      </c>
      <c r="L109" s="28">
        <f>IF($A109="","",1)</f>
        <v/>
      </c>
    </row>
    <row r="110">
      <c r="A110" s="26" t="n"/>
      <c r="B110" s="26" t="n"/>
      <c r="C110" s="26" t="n"/>
      <c r="D110" s="26" t="n"/>
      <c r="E110" s="27" t="n"/>
      <c r="F110" s="27" t="n"/>
      <c r="G110" s="27" t="n"/>
      <c r="H110" s="26" t="n"/>
      <c r="I110" s="26" t="n"/>
      <c r="J110" s="28">
        <f>IF($A110="","",IF(isg_matrisTipi="FK",$E110*$G110*$F110,$E110*$F110))</f>
        <v/>
      </c>
      <c r="K110" s="28">
        <f>IF($A110="","",IF($J110&gt;=isg_esikKritikSeviye,"Kritik",IF($J110&gt;=isg_esikYuksek,"Yüksek",IF($J110&gt;=isg_esikOrta,"Orta","Düşük"))))</f>
        <v/>
      </c>
      <c r="L110" s="28">
        <f>IF($A110="","",1)</f>
        <v/>
      </c>
    </row>
    <row r="111">
      <c r="A111" s="26" t="n"/>
      <c r="B111" s="26" t="n"/>
      <c r="C111" s="26" t="n"/>
      <c r="D111" s="26" t="n"/>
      <c r="E111" s="27" t="n"/>
      <c r="F111" s="27" t="n"/>
      <c r="G111" s="27" t="n"/>
      <c r="H111" s="26" t="n"/>
      <c r="I111" s="26" t="n"/>
      <c r="J111" s="28">
        <f>IF($A111="","",IF(isg_matrisTipi="FK",$E111*$G111*$F111,$E111*$F111))</f>
        <v/>
      </c>
      <c r="K111" s="28">
        <f>IF($A111="","",IF($J111&gt;=isg_esikKritikSeviye,"Kritik",IF($J111&gt;=isg_esikYuksek,"Yüksek",IF($J111&gt;=isg_esikOrta,"Orta","Düşük"))))</f>
        <v/>
      </c>
      <c r="L111" s="28">
        <f>IF($A111="","",1)</f>
        <v/>
      </c>
    </row>
    <row r="112">
      <c r="A112" s="26" t="n"/>
      <c r="B112" s="26" t="n"/>
      <c r="C112" s="26" t="n"/>
      <c r="D112" s="26" t="n"/>
      <c r="E112" s="27" t="n"/>
      <c r="F112" s="27" t="n"/>
      <c r="G112" s="27" t="n"/>
      <c r="H112" s="26" t="n"/>
      <c r="I112" s="26" t="n"/>
      <c r="J112" s="28">
        <f>IF($A112="","",IF(isg_matrisTipi="FK",$E112*$G112*$F112,$E112*$F112))</f>
        <v/>
      </c>
      <c r="K112" s="28">
        <f>IF($A112="","",IF($J112&gt;=isg_esikKritikSeviye,"Kritik",IF($J112&gt;=isg_esikYuksek,"Yüksek",IF($J112&gt;=isg_esikOrta,"Orta","Düşük"))))</f>
        <v/>
      </c>
      <c r="L112" s="28">
        <f>IF($A112="","",1)</f>
        <v/>
      </c>
    </row>
    <row r="113">
      <c r="A113" s="26" t="n"/>
      <c r="B113" s="26" t="n"/>
      <c r="C113" s="26" t="n"/>
      <c r="D113" s="26" t="n"/>
      <c r="E113" s="27" t="n"/>
      <c r="F113" s="27" t="n"/>
      <c r="G113" s="27" t="n"/>
      <c r="H113" s="26" t="n"/>
      <c r="I113" s="26" t="n"/>
      <c r="J113" s="28">
        <f>IF($A113="","",IF(isg_matrisTipi="FK",$E113*$G113*$F113,$E113*$F113))</f>
        <v/>
      </c>
      <c r="K113" s="28">
        <f>IF($A113="","",IF($J113&gt;=isg_esikKritikSeviye,"Kritik",IF($J113&gt;=isg_esikYuksek,"Yüksek",IF($J113&gt;=isg_esikOrta,"Orta","Düşük"))))</f>
        <v/>
      </c>
      <c r="L113" s="28">
        <f>IF($A113="","",1)</f>
        <v/>
      </c>
    </row>
    <row r="114">
      <c r="A114" s="26" t="n"/>
      <c r="B114" s="26" t="n"/>
      <c r="C114" s="26" t="n"/>
      <c r="D114" s="26" t="n"/>
      <c r="E114" s="27" t="n"/>
      <c r="F114" s="27" t="n"/>
      <c r="G114" s="27" t="n"/>
      <c r="H114" s="26" t="n"/>
      <c r="I114" s="26" t="n"/>
      <c r="J114" s="28">
        <f>IF($A114="","",IF(isg_matrisTipi="FK",$E114*$G114*$F114,$E114*$F114))</f>
        <v/>
      </c>
      <c r="K114" s="28">
        <f>IF($A114="","",IF($J114&gt;=isg_esikKritikSeviye,"Kritik",IF($J114&gt;=isg_esikYuksek,"Yüksek",IF($J114&gt;=isg_esikOrta,"Orta","Düşük"))))</f>
        <v/>
      </c>
      <c r="L114" s="28">
        <f>IF($A114="","",1)</f>
        <v/>
      </c>
    </row>
    <row r="115">
      <c r="A115" s="26" t="n"/>
      <c r="B115" s="26" t="n"/>
      <c r="C115" s="26" t="n"/>
      <c r="D115" s="26" t="n"/>
      <c r="E115" s="27" t="n"/>
      <c r="F115" s="27" t="n"/>
      <c r="G115" s="27" t="n"/>
      <c r="H115" s="26" t="n"/>
      <c r="I115" s="26" t="n"/>
      <c r="J115" s="28">
        <f>IF($A115="","",IF(isg_matrisTipi="FK",$E115*$G115*$F115,$E115*$F115))</f>
        <v/>
      </c>
      <c r="K115" s="28">
        <f>IF($A115="","",IF($J115&gt;=isg_esikKritikSeviye,"Kritik",IF($J115&gt;=isg_esikYuksek,"Yüksek",IF($J115&gt;=isg_esikOrta,"Orta","Düşük"))))</f>
        <v/>
      </c>
      <c r="L115" s="28">
        <f>IF($A115="","",1)</f>
        <v/>
      </c>
    </row>
    <row r="116">
      <c r="A116" s="26" t="n"/>
      <c r="B116" s="26" t="n"/>
      <c r="C116" s="26" t="n"/>
      <c r="D116" s="26" t="n"/>
      <c r="E116" s="27" t="n"/>
      <c r="F116" s="27" t="n"/>
      <c r="G116" s="27" t="n"/>
      <c r="H116" s="26" t="n"/>
      <c r="I116" s="26" t="n"/>
      <c r="J116" s="28">
        <f>IF($A116="","",IF(isg_matrisTipi="FK",$E116*$G116*$F116,$E116*$F116))</f>
        <v/>
      </c>
      <c r="K116" s="28">
        <f>IF($A116="","",IF($J116&gt;=isg_esikKritikSeviye,"Kritik",IF($J116&gt;=isg_esikYuksek,"Yüksek",IF($J116&gt;=isg_esikOrta,"Orta","Düşük"))))</f>
        <v/>
      </c>
      <c r="L116" s="28">
        <f>IF($A116="","",1)</f>
        <v/>
      </c>
    </row>
    <row r="117">
      <c r="A117" s="26" t="n"/>
      <c r="B117" s="26" t="n"/>
      <c r="C117" s="26" t="n"/>
      <c r="D117" s="26" t="n"/>
      <c r="E117" s="27" t="n"/>
      <c r="F117" s="27" t="n"/>
      <c r="G117" s="27" t="n"/>
      <c r="H117" s="26" t="n"/>
      <c r="I117" s="26" t="n"/>
      <c r="J117" s="28">
        <f>IF($A117="","",IF(isg_matrisTipi="FK",$E117*$G117*$F117,$E117*$F117))</f>
        <v/>
      </c>
      <c r="K117" s="28">
        <f>IF($A117="","",IF($J117&gt;=isg_esikKritikSeviye,"Kritik",IF($J117&gt;=isg_esikYuksek,"Yüksek",IF($J117&gt;=isg_esikOrta,"Orta","Düşük"))))</f>
        <v/>
      </c>
      <c r="L117" s="28">
        <f>IF($A117="","",1)</f>
        <v/>
      </c>
    </row>
    <row r="118">
      <c r="A118" s="26" t="n"/>
      <c r="B118" s="26" t="n"/>
      <c r="C118" s="26" t="n"/>
      <c r="D118" s="26" t="n"/>
      <c r="E118" s="27" t="n"/>
      <c r="F118" s="27" t="n"/>
      <c r="G118" s="27" t="n"/>
      <c r="H118" s="26" t="n"/>
      <c r="I118" s="26" t="n"/>
      <c r="J118" s="28">
        <f>IF($A118="","",IF(isg_matrisTipi="FK",$E118*$G118*$F118,$E118*$F118))</f>
        <v/>
      </c>
      <c r="K118" s="28">
        <f>IF($A118="","",IF($J118&gt;=isg_esikKritikSeviye,"Kritik",IF($J118&gt;=isg_esikYuksek,"Yüksek",IF($J118&gt;=isg_esikOrta,"Orta","Düşük"))))</f>
        <v/>
      </c>
      <c r="L118" s="28">
        <f>IF($A118="","",1)</f>
        <v/>
      </c>
    </row>
    <row r="119">
      <c r="A119" s="26" t="n"/>
      <c r="B119" s="26" t="n"/>
      <c r="C119" s="26" t="n"/>
      <c r="D119" s="26" t="n"/>
      <c r="E119" s="27" t="n"/>
      <c r="F119" s="27" t="n"/>
      <c r="G119" s="27" t="n"/>
      <c r="H119" s="26" t="n"/>
      <c r="I119" s="26" t="n"/>
      <c r="J119" s="28">
        <f>IF($A119="","",IF(isg_matrisTipi="FK",$E119*$G119*$F119,$E119*$F119))</f>
        <v/>
      </c>
      <c r="K119" s="28">
        <f>IF($A119="","",IF($J119&gt;=isg_esikKritikSeviye,"Kritik",IF($J119&gt;=isg_esikYuksek,"Yüksek",IF($J119&gt;=isg_esikOrta,"Orta","Düşük"))))</f>
        <v/>
      </c>
      <c r="L119" s="28">
        <f>IF($A119="","",1)</f>
        <v/>
      </c>
    </row>
    <row r="120">
      <c r="A120" s="26" t="n"/>
      <c r="B120" s="26" t="n"/>
      <c r="C120" s="26" t="n"/>
      <c r="D120" s="26" t="n"/>
      <c r="E120" s="27" t="n"/>
      <c r="F120" s="27" t="n"/>
      <c r="G120" s="27" t="n"/>
      <c r="H120" s="26" t="n"/>
      <c r="I120" s="26" t="n"/>
      <c r="J120" s="28">
        <f>IF($A120="","",IF(isg_matrisTipi="FK",$E120*$G120*$F120,$E120*$F120))</f>
        <v/>
      </c>
      <c r="K120" s="28">
        <f>IF($A120="","",IF($J120&gt;=isg_esikKritikSeviye,"Kritik",IF($J120&gt;=isg_esikYuksek,"Yüksek",IF($J120&gt;=isg_esikOrta,"Orta","Düşük"))))</f>
        <v/>
      </c>
      <c r="L120" s="28">
        <f>IF($A120="","",1)</f>
        <v/>
      </c>
    </row>
    <row r="121">
      <c r="A121" s="26" t="n"/>
      <c r="B121" s="26" t="n"/>
      <c r="C121" s="26" t="n"/>
      <c r="D121" s="26" t="n"/>
      <c r="E121" s="27" t="n"/>
      <c r="F121" s="27" t="n"/>
      <c r="G121" s="27" t="n"/>
      <c r="H121" s="26" t="n"/>
      <c r="I121" s="26" t="n"/>
      <c r="J121" s="28">
        <f>IF($A121="","",IF(isg_matrisTipi="FK",$E121*$G121*$F121,$E121*$F121))</f>
        <v/>
      </c>
      <c r="K121" s="28">
        <f>IF($A121="","",IF($J121&gt;=isg_esikKritikSeviye,"Kritik",IF($J121&gt;=isg_esikYuksek,"Yüksek",IF($J121&gt;=isg_esikOrta,"Orta","Düşük"))))</f>
        <v/>
      </c>
      <c r="L121" s="28">
        <f>IF($A121="","",1)</f>
        <v/>
      </c>
    </row>
    <row r="122">
      <c r="A122" s="26" t="n"/>
      <c r="B122" s="26" t="n"/>
      <c r="C122" s="26" t="n"/>
      <c r="D122" s="26" t="n"/>
      <c r="E122" s="27" t="n"/>
      <c r="F122" s="27" t="n"/>
      <c r="G122" s="27" t="n"/>
      <c r="H122" s="26" t="n"/>
      <c r="I122" s="26" t="n"/>
      <c r="J122" s="28">
        <f>IF($A122="","",IF(isg_matrisTipi="FK",$E122*$G122*$F122,$E122*$F122))</f>
        <v/>
      </c>
      <c r="K122" s="28">
        <f>IF($A122="","",IF($J122&gt;=isg_esikKritikSeviye,"Kritik",IF($J122&gt;=isg_esikYuksek,"Yüksek",IF($J122&gt;=isg_esikOrta,"Orta","Düşük"))))</f>
        <v/>
      </c>
      <c r="L122" s="28">
        <f>IF($A122="","",1)</f>
        <v/>
      </c>
    </row>
    <row r="123">
      <c r="A123" s="26" t="n"/>
      <c r="B123" s="26" t="n"/>
      <c r="C123" s="26" t="n"/>
      <c r="D123" s="26" t="n"/>
      <c r="E123" s="27" t="n"/>
      <c r="F123" s="27" t="n"/>
      <c r="G123" s="27" t="n"/>
      <c r="H123" s="26" t="n"/>
      <c r="I123" s="26" t="n"/>
      <c r="J123" s="28">
        <f>IF($A123="","",IF(isg_matrisTipi="FK",$E123*$G123*$F123,$E123*$F123))</f>
        <v/>
      </c>
      <c r="K123" s="28">
        <f>IF($A123="","",IF($J123&gt;=isg_esikKritikSeviye,"Kritik",IF($J123&gt;=isg_esikYuksek,"Yüksek",IF($J123&gt;=isg_esikOrta,"Orta","Düşük"))))</f>
        <v/>
      </c>
      <c r="L123" s="28">
        <f>IF($A123="","",1)</f>
        <v/>
      </c>
    </row>
    <row r="124">
      <c r="A124" s="26" t="n"/>
      <c r="B124" s="26" t="n"/>
      <c r="C124" s="26" t="n"/>
      <c r="D124" s="26" t="n"/>
      <c r="E124" s="27" t="n"/>
      <c r="F124" s="27" t="n"/>
      <c r="G124" s="27" t="n"/>
      <c r="H124" s="26" t="n"/>
      <c r="I124" s="26" t="n"/>
      <c r="J124" s="28">
        <f>IF($A124="","",IF(isg_matrisTipi="FK",$E124*$G124*$F124,$E124*$F124))</f>
        <v/>
      </c>
      <c r="K124" s="28">
        <f>IF($A124="","",IF($J124&gt;=isg_esikKritikSeviye,"Kritik",IF($J124&gt;=isg_esikYuksek,"Yüksek",IF($J124&gt;=isg_esikOrta,"Orta","Düşük"))))</f>
        <v/>
      </c>
      <c r="L124" s="28">
        <f>IF($A124="","",1)</f>
        <v/>
      </c>
    </row>
    <row r="125">
      <c r="A125" s="26" t="n"/>
      <c r="B125" s="26" t="n"/>
      <c r="C125" s="26" t="n"/>
      <c r="D125" s="26" t="n"/>
      <c r="E125" s="27" t="n"/>
      <c r="F125" s="27" t="n"/>
      <c r="G125" s="27" t="n"/>
      <c r="H125" s="26" t="n"/>
      <c r="I125" s="26" t="n"/>
      <c r="J125" s="28">
        <f>IF($A125="","",IF(isg_matrisTipi="FK",$E125*$G125*$F125,$E125*$F125))</f>
        <v/>
      </c>
      <c r="K125" s="28">
        <f>IF($A125="","",IF($J125&gt;=isg_esikKritikSeviye,"Kritik",IF($J125&gt;=isg_esikYuksek,"Yüksek",IF($J125&gt;=isg_esikOrta,"Orta","Düşük"))))</f>
        <v/>
      </c>
      <c r="L125" s="28">
        <f>IF($A125="","",1)</f>
        <v/>
      </c>
    </row>
    <row r="126">
      <c r="A126" s="26" t="n"/>
      <c r="B126" s="26" t="n"/>
      <c r="C126" s="26" t="n"/>
      <c r="D126" s="26" t="n"/>
      <c r="E126" s="27" t="n"/>
      <c r="F126" s="27" t="n"/>
      <c r="G126" s="27" t="n"/>
      <c r="H126" s="26" t="n"/>
      <c r="I126" s="26" t="n"/>
      <c r="J126" s="28">
        <f>IF($A126="","",IF(isg_matrisTipi="FK",$E126*$G126*$F126,$E126*$F126))</f>
        <v/>
      </c>
      <c r="K126" s="28">
        <f>IF($A126="","",IF($J126&gt;=isg_esikKritikSeviye,"Kritik",IF($J126&gt;=isg_esikYuksek,"Yüksek",IF($J126&gt;=isg_esikOrta,"Orta","Düşük"))))</f>
        <v/>
      </c>
      <c r="L126" s="28">
        <f>IF($A126="","",1)</f>
        <v/>
      </c>
    </row>
    <row r="127">
      <c r="A127" s="26" t="n"/>
      <c r="B127" s="26" t="n"/>
      <c r="C127" s="26" t="n"/>
      <c r="D127" s="26" t="n"/>
      <c r="E127" s="27" t="n"/>
      <c r="F127" s="27" t="n"/>
      <c r="G127" s="27" t="n"/>
      <c r="H127" s="26" t="n"/>
      <c r="I127" s="26" t="n"/>
      <c r="J127" s="28">
        <f>IF($A127="","",IF(isg_matrisTipi="FK",$E127*$G127*$F127,$E127*$F127))</f>
        <v/>
      </c>
      <c r="K127" s="28">
        <f>IF($A127="","",IF($J127&gt;=isg_esikKritikSeviye,"Kritik",IF($J127&gt;=isg_esikYuksek,"Yüksek",IF($J127&gt;=isg_esikOrta,"Orta","Düşük"))))</f>
        <v/>
      </c>
      <c r="L127" s="28">
        <f>IF($A127="","",1)</f>
        <v/>
      </c>
    </row>
    <row r="128">
      <c r="A128" s="26" t="n"/>
      <c r="B128" s="26" t="n"/>
      <c r="C128" s="26" t="n"/>
      <c r="D128" s="26" t="n"/>
      <c r="E128" s="27" t="n"/>
      <c r="F128" s="27" t="n"/>
      <c r="G128" s="27" t="n"/>
      <c r="H128" s="26" t="n"/>
      <c r="I128" s="26" t="n"/>
      <c r="J128" s="28">
        <f>IF($A128="","",IF(isg_matrisTipi="FK",$E128*$G128*$F128,$E128*$F128))</f>
        <v/>
      </c>
      <c r="K128" s="28">
        <f>IF($A128="","",IF($J128&gt;=isg_esikKritikSeviye,"Kritik",IF($J128&gt;=isg_esikYuksek,"Yüksek",IF($J128&gt;=isg_esikOrta,"Orta","Düşük"))))</f>
        <v/>
      </c>
      <c r="L128" s="28">
        <f>IF($A128="","",1)</f>
        <v/>
      </c>
    </row>
    <row r="129">
      <c r="A129" s="26" t="n"/>
      <c r="B129" s="26" t="n"/>
      <c r="C129" s="26" t="n"/>
      <c r="D129" s="26" t="n"/>
      <c r="E129" s="27" t="n"/>
      <c r="F129" s="27" t="n"/>
      <c r="G129" s="27" t="n"/>
      <c r="H129" s="26" t="n"/>
      <c r="I129" s="26" t="n"/>
      <c r="J129" s="28">
        <f>IF($A129="","",IF(isg_matrisTipi="FK",$E129*$G129*$F129,$E129*$F129))</f>
        <v/>
      </c>
      <c r="K129" s="28">
        <f>IF($A129="","",IF($J129&gt;=isg_esikKritikSeviye,"Kritik",IF($J129&gt;=isg_esikYuksek,"Yüksek",IF($J129&gt;=isg_esikOrta,"Orta","Düşük"))))</f>
        <v/>
      </c>
      <c r="L129" s="28">
        <f>IF($A129="","",1)</f>
        <v/>
      </c>
    </row>
    <row r="130">
      <c r="A130" s="26" t="n"/>
      <c r="B130" s="26" t="n"/>
      <c r="C130" s="26" t="n"/>
      <c r="D130" s="26" t="n"/>
      <c r="E130" s="27" t="n"/>
      <c r="F130" s="27" t="n"/>
      <c r="G130" s="27" t="n"/>
      <c r="H130" s="26" t="n"/>
      <c r="I130" s="26" t="n"/>
      <c r="J130" s="28">
        <f>IF($A130="","",IF(isg_matrisTipi="FK",$E130*$G130*$F130,$E130*$F130))</f>
        <v/>
      </c>
      <c r="K130" s="28">
        <f>IF($A130="","",IF($J130&gt;=isg_esikKritikSeviye,"Kritik",IF($J130&gt;=isg_esikYuksek,"Yüksek",IF($J130&gt;=isg_esikOrta,"Orta","Düşük"))))</f>
        <v/>
      </c>
      <c r="L130" s="28">
        <f>IF($A130="","",1)</f>
        <v/>
      </c>
    </row>
    <row r="131">
      <c r="A131" s="26" t="n"/>
      <c r="B131" s="26" t="n"/>
      <c r="C131" s="26" t="n"/>
      <c r="D131" s="26" t="n"/>
      <c r="E131" s="27" t="n"/>
      <c r="F131" s="27" t="n"/>
      <c r="G131" s="27" t="n"/>
      <c r="H131" s="26" t="n"/>
      <c r="I131" s="26" t="n"/>
      <c r="J131" s="28">
        <f>IF($A131="","",IF(isg_matrisTipi="FK",$E131*$G131*$F131,$E131*$F131))</f>
        <v/>
      </c>
      <c r="K131" s="28">
        <f>IF($A131="","",IF($J131&gt;=isg_esikKritikSeviye,"Kritik",IF($J131&gt;=isg_esikYuksek,"Yüksek",IF($J131&gt;=isg_esikOrta,"Orta","Düşük"))))</f>
        <v/>
      </c>
      <c r="L131" s="28">
        <f>IF($A131="","",1)</f>
        <v/>
      </c>
    </row>
    <row r="132">
      <c r="A132" s="26" t="n"/>
      <c r="B132" s="26" t="n"/>
      <c r="C132" s="26" t="n"/>
      <c r="D132" s="26" t="n"/>
      <c r="E132" s="27" t="n"/>
      <c r="F132" s="27" t="n"/>
      <c r="G132" s="27" t="n"/>
      <c r="H132" s="26" t="n"/>
      <c r="I132" s="26" t="n"/>
      <c r="J132" s="28">
        <f>IF($A132="","",IF(isg_matrisTipi="FK",$E132*$G132*$F132,$E132*$F132))</f>
        <v/>
      </c>
      <c r="K132" s="28">
        <f>IF($A132="","",IF($J132&gt;=isg_esikKritikSeviye,"Kritik",IF($J132&gt;=isg_esikYuksek,"Yüksek",IF($J132&gt;=isg_esikOrta,"Orta","Düşük"))))</f>
        <v/>
      </c>
      <c r="L132" s="28">
        <f>IF($A132="","",1)</f>
        <v/>
      </c>
    </row>
    <row r="133">
      <c r="A133" s="26" t="n"/>
      <c r="B133" s="26" t="n"/>
      <c r="C133" s="26" t="n"/>
      <c r="D133" s="26" t="n"/>
      <c r="E133" s="27" t="n"/>
      <c r="F133" s="27" t="n"/>
      <c r="G133" s="27" t="n"/>
      <c r="H133" s="26" t="n"/>
      <c r="I133" s="26" t="n"/>
      <c r="J133" s="28">
        <f>IF($A133="","",IF(isg_matrisTipi="FK",$E133*$G133*$F133,$E133*$F133))</f>
        <v/>
      </c>
      <c r="K133" s="28">
        <f>IF($A133="","",IF($J133&gt;=isg_esikKritikSeviye,"Kritik",IF($J133&gt;=isg_esikYuksek,"Yüksek",IF($J133&gt;=isg_esikOrta,"Orta","Düşük"))))</f>
        <v/>
      </c>
      <c r="L133" s="28">
        <f>IF($A133="","",1)</f>
        <v/>
      </c>
    </row>
    <row r="134">
      <c r="A134" s="26" t="n"/>
      <c r="B134" s="26" t="n"/>
      <c r="C134" s="26" t="n"/>
      <c r="D134" s="26" t="n"/>
      <c r="E134" s="27" t="n"/>
      <c r="F134" s="27" t="n"/>
      <c r="G134" s="27" t="n"/>
      <c r="H134" s="26" t="n"/>
      <c r="I134" s="26" t="n"/>
      <c r="J134" s="28">
        <f>IF($A134="","",IF(isg_matrisTipi="FK",$E134*$G134*$F134,$E134*$F134))</f>
        <v/>
      </c>
      <c r="K134" s="28">
        <f>IF($A134="","",IF($J134&gt;=isg_esikKritikSeviye,"Kritik",IF($J134&gt;=isg_esikYuksek,"Yüksek",IF($J134&gt;=isg_esikOrta,"Orta","Düşük"))))</f>
        <v/>
      </c>
      <c r="L134" s="28">
        <f>IF($A134="","",1)</f>
        <v/>
      </c>
    </row>
    <row r="135">
      <c r="A135" s="26" t="n"/>
      <c r="B135" s="26" t="n"/>
      <c r="C135" s="26" t="n"/>
      <c r="D135" s="26" t="n"/>
      <c r="E135" s="27" t="n"/>
      <c r="F135" s="27" t="n"/>
      <c r="G135" s="27" t="n"/>
      <c r="H135" s="26" t="n"/>
      <c r="I135" s="26" t="n"/>
      <c r="J135" s="28">
        <f>IF($A135="","",IF(isg_matrisTipi="FK",$E135*$G135*$F135,$E135*$F135))</f>
        <v/>
      </c>
      <c r="K135" s="28">
        <f>IF($A135="","",IF($J135&gt;=isg_esikKritikSeviye,"Kritik",IF($J135&gt;=isg_esikYuksek,"Yüksek",IF($J135&gt;=isg_esikOrta,"Orta","Düşük"))))</f>
        <v/>
      </c>
      <c r="L135" s="28">
        <f>IF($A135="","",1)</f>
        <v/>
      </c>
    </row>
    <row r="136">
      <c r="A136" s="26" t="n"/>
      <c r="B136" s="26" t="n"/>
      <c r="C136" s="26" t="n"/>
      <c r="D136" s="26" t="n"/>
      <c r="E136" s="27" t="n"/>
      <c r="F136" s="27" t="n"/>
      <c r="G136" s="27" t="n"/>
      <c r="H136" s="26" t="n"/>
      <c r="I136" s="26" t="n"/>
      <c r="J136" s="28">
        <f>IF($A136="","",IF(isg_matrisTipi="FK",$E136*$G136*$F136,$E136*$F136))</f>
        <v/>
      </c>
      <c r="K136" s="28">
        <f>IF($A136="","",IF($J136&gt;=isg_esikKritikSeviye,"Kritik",IF($J136&gt;=isg_esikYuksek,"Yüksek",IF($J136&gt;=isg_esikOrta,"Orta","Düşük"))))</f>
        <v/>
      </c>
      <c r="L136" s="28">
        <f>IF($A136="","",1)</f>
        <v/>
      </c>
    </row>
    <row r="137">
      <c r="A137" s="26" t="n"/>
      <c r="B137" s="26" t="n"/>
      <c r="C137" s="26" t="n"/>
      <c r="D137" s="26" t="n"/>
      <c r="E137" s="27" t="n"/>
      <c r="F137" s="27" t="n"/>
      <c r="G137" s="27" t="n"/>
      <c r="H137" s="26" t="n"/>
      <c r="I137" s="26" t="n"/>
      <c r="J137" s="28">
        <f>IF($A137="","",IF(isg_matrisTipi="FK",$E137*$G137*$F137,$E137*$F137))</f>
        <v/>
      </c>
      <c r="K137" s="28">
        <f>IF($A137="","",IF($J137&gt;=isg_esikKritikSeviye,"Kritik",IF($J137&gt;=isg_esikYuksek,"Yüksek",IF($J137&gt;=isg_esikOrta,"Orta","Düşük"))))</f>
        <v/>
      </c>
      <c r="L137" s="28">
        <f>IF($A137="","",1)</f>
        <v/>
      </c>
    </row>
    <row r="138">
      <c r="A138" s="26" t="n"/>
      <c r="B138" s="26" t="n"/>
      <c r="C138" s="26" t="n"/>
      <c r="D138" s="26" t="n"/>
      <c r="E138" s="27" t="n"/>
      <c r="F138" s="27" t="n"/>
      <c r="G138" s="27" t="n"/>
      <c r="H138" s="26" t="n"/>
      <c r="I138" s="26" t="n"/>
      <c r="J138" s="28">
        <f>IF($A138="","",IF(isg_matrisTipi="FK",$E138*$G138*$F138,$E138*$F138))</f>
        <v/>
      </c>
      <c r="K138" s="28">
        <f>IF($A138="","",IF($J138&gt;=isg_esikKritikSeviye,"Kritik",IF($J138&gt;=isg_esikYuksek,"Yüksek",IF($J138&gt;=isg_esikOrta,"Orta","Düşük"))))</f>
        <v/>
      </c>
      <c r="L138" s="28">
        <f>IF($A138="","",1)</f>
        <v/>
      </c>
    </row>
    <row r="139">
      <c r="A139" s="26" t="n"/>
      <c r="B139" s="26" t="n"/>
      <c r="C139" s="26" t="n"/>
      <c r="D139" s="26" t="n"/>
      <c r="E139" s="27" t="n"/>
      <c r="F139" s="27" t="n"/>
      <c r="G139" s="27" t="n"/>
      <c r="H139" s="26" t="n"/>
      <c r="I139" s="26" t="n"/>
      <c r="J139" s="28">
        <f>IF($A139="","",IF(isg_matrisTipi="FK",$E139*$G139*$F139,$E139*$F139))</f>
        <v/>
      </c>
      <c r="K139" s="28">
        <f>IF($A139="","",IF($J139&gt;=isg_esikKritikSeviye,"Kritik",IF($J139&gt;=isg_esikYuksek,"Yüksek",IF($J139&gt;=isg_esikOrta,"Orta","Düşük"))))</f>
        <v/>
      </c>
      <c r="L139" s="28">
        <f>IF($A139="","",1)</f>
        <v/>
      </c>
    </row>
    <row r="140">
      <c r="A140" s="26" t="n"/>
      <c r="B140" s="26" t="n"/>
      <c r="C140" s="26" t="n"/>
      <c r="D140" s="26" t="n"/>
      <c r="E140" s="27" t="n"/>
      <c r="F140" s="27" t="n"/>
      <c r="G140" s="27" t="n"/>
      <c r="H140" s="26" t="n"/>
      <c r="I140" s="26" t="n"/>
      <c r="J140" s="28">
        <f>IF($A140="","",IF(isg_matrisTipi="FK",$E140*$G140*$F140,$E140*$F140))</f>
        <v/>
      </c>
      <c r="K140" s="28">
        <f>IF($A140="","",IF($J140&gt;=isg_esikKritikSeviye,"Kritik",IF($J140&gt;=isg_esikYuksek,"Yüksek",IF($J140&gt;=isg_esikOrta,"Orta","Düşük"))))</f>
        <v/>
      </c>
      <c r="L140" s="28">
        <f>IF($A140="","",1)</f>
        <v/>
      </c>
    </row>
    <row r="141">
      <c r="A141" s="26" t="n"/>
      <c r="B141" s="26" t="n"/>
      <c r="C141" s="26" t="n"/>
      <c r="D141" s="26" t="n"/>
      <c r="E141" s="27" t="n"/>
      <c r="F141" s="27" t="n"/>
      <c r="G141" s="27" t="n"/>
      <c r="H141" s="26" t="n"/>
      <c r="I141" s="26" t="n"/>
      <c r="J141" s="28">
        <f>IF($A141="","",IF(isg_matrisTipi="FK",$E141*$G141*$F141,$E141*$F141))</f>
        <v/>
      </c>
      <c r="K141" s="28">
        <f>IF($A141="","",IF($J141&gt;=isg_esikKritikSeviye,"Kritik",IF($J141&gt;=isg_esikYuksek,"Yüksek",IF($J141&gt;=isg_esikOrta,"Orta","Düşük"))))</f>
        <v/>
      </c>
      <c r="L141" s="28">
        <f>IF($A141="","",1)</f>
        <v/>
      </c>
    </row>
    <row r="142">
      <c r="A142" s="26" t="n"/>
      <c r="B142" s="26" t="n"/>
      <c r="C142" s="26" t="n"/>
      <c r="D142" s="26" t="n"/>
      <c r="E142" s="27" t="n"/>
      <c r="F142" s="27" t="n"/>
      <c r="G142" s="27" t="n"/>
      <c r="H142" s="26" t="n"/>
      <c r="I142" s="26" t="n"/>
      <c r="J142" s="28">
        <f>IF($A142="","",IF(isg_matrisTipi="FK",$E142*$G142*$F142,$E142*$F142))</f>
        <v/>
      </c>
      <c r="K142" s="28">
        <f>IF($A142="","",IF($J142&gt;=isg_esikKritikSeviye,"Kritik",IF($J142&gt;=isg_esikYuksek,"Yüksek",IF($J142&gt;=isg_esikOrta,"Orta","Düşük"))))</f>
        <v/>
      </c>
      <c r="L142" s="28">
        <f>IF($A142="","",1)</f>
        <v/>
      </c>
    </row>
    <row r="143">
      <c r="A143" s="26" t="n"/>
      <c r="B143" s="26" t="n"/>
      <c r="C143" s="26" t="n"/>
      <c r="D143" s="26" t="n"/>
      <c r="E143" s="27" t="n"/>
      <c r="F143" s="27" t="n"/>
      <c r="G143" s="27" t="n"/>
      <c r="H143" s="26" t="n"/>
      <c r="I143" s="26" t="n"/>
      <c r="J143" s="28">
        <f>IF($A143="","",IF(isg_matrisTipi="FK",$E143*$G143*$F143,$E143*$F143))</f>
        <v/>
      </c>
      <c r="K143" s="28">
        <f>IF($A143="","",IF($J143&gt;=isg_esikKritikSeviye,"Kritik",IF($J143&gt;=isg_esikYuksek,"Yüksek",IF($J143&gt;=isg_esikOrta,"Orta","Düşük"))))</f>
        <v/>
      </c>
      <c r="L143" s="28">
        <f>IF($A143="","",1)</f>
        <v/>
      </c>
    </row>
    <row r="144">
      <c r="A144" s="26" t="n"/>
      <c r="B144" s="26" t="n"/>
      <c r="C144" s="26" t="n"/>
      <c r="D144" s="26" t="n"/>
      <c r="E144" s="27" t="n"/>
      <c r="F144" s="27" t="n"/>
      <c r="G144" s="27" t="n"/>
      <c r="H144" s="26" t="n"/>
      <c r="I144" s="26" t="n"/>
      <c r="J144" s="28">
        <f>IF($A144="","",IF(isg_matrisTipi="FK",$E144*$G144*$F144,$E144*$F144))</f>
        <v/>
      </c>
      <c r="K144" s="28">
        <f>IF($A144="","",IF($J144&gt;=isg_esikKritikSeviye,"Kritik",IF($J144&gt;=isg_esikYuksek,"Yüksek",IF($J144&gt;=isg_esikOrta,"Orta","Düşük"))))</f>
        <v/>
      </c>
      <c r="L144" s="28">
        <f>IF($A144="","",1)</f>
        <v/>
      </c>
    </row>
    <row r="145">
      <c r="A145" s="26" t="n"/>
      <c r="B145" s="26" t="n"/>
      <c r="C145" s="26" t="n"/>
      <c r="D145" s="26" t="n"/>
      <c r="E145" s="27" t="n"/>
      <c r="F145" s="27" t="n"/>
      <c r="G145" s="27" t="n"/>
      <c r="H145" s="26" t="n"/>
      <c r="I145" s="26" t="n"/>
      <c r="J145" s="28">
        <f>IF($A145="","",IF(isg_matrisTipi="FK",$E145*$G145*$F145,$E145*$F145))</f>
        <v/>
      </c>
      <c r="K145" s="28">
        <f>IF($A145="","",IF($J145&gt;=isg_esikKritikSeviye,"Kritik",IF($J145&gt;=isg_esikYuksek,"Yüksek",IF($J145&gt;=isg_esikOrta,"Orta","Düşük"))))</f>
        <v/>
      </c>
      <c r="L145" s="28">
        <f>IF($A145="","",1)</f>
        <v/>
      </c>
    </row>
    <row r="146">
      <c r="A146" s="26" t="n"/>
      <c r="B146" s="26" t="n"/>
      <c r="C146" s="26" t="n"/>
      <c r="D146" s="26" t="n"/>
      <c r="E146" s="27" t="n"/>
      <c r="F146" s="27" t="n"/>
      <c r="G146" s="27" t="n"/>
      <c r="H146" s="26" t="n"/>
      <c r="I146" s="26" t="n"/>
      <c r="J146" s="28">
        <f>IF($A146="","",IF(isg_matrisTipi="FK",$E146*$G146*$F146,$E146*$F146))</f>
        <v/>
      </c>
      <c r="K146" s="28">
        <f>IF($A146="","",IF($J146&gt;=isg_esikKritikSeviye,"Kritik",IF($J146&gt;=isg_esikYuksek,"Yüksek",IF($J146&gt;=isg_esikOrta,"Orta","Düşük"))))</f>
        <v/>
      </c>
      <c r="L146" s="28">
        <f>IF($A146="","",1)</f>
        <v/>
      </c>
    </row>
    <row r="147">
      <c r="A147" s="26" t="n"/>
      <c r="B147" s="26" t="n"/>
      <c r="C147" s="26" t="n"/>
      <c r="D147" s="26" t="n"/>
      <c r="E147" s="27" t="n"/>
      <c r="F147" s="27" t="n"/>
      <c r="G147" s="27" t="n"/>
      <c r="H147" s="26" t="n"/>
      <c r="I147" s="26" t="n"/>
      <c r="J147" s="28">
        <f>IF($A147="","",IF(isg_matrisTipi="FK",$E147*$G147*$F147,$E147*$F147))</f>
        <v/>
      </c>
      <c r="K147" s="28">
        <f>IF($A147="","",IF($J147&gt;=isg_esikKritikSeviye,"Kritik",IF($J147&gt;=isg_esikYuksek,"Yüksek",IF($J147&gt;=isg_esikOrta,"Orta","Düşük"))))</f>
        <v/>
      </c>
      <c r="L147" s="28">
        <f>IF($A147="","",1)</f>
        <v/>
      </c>
    </row>
    <row r="148">
      <c r="A148" s="26" t="n"/>
      <c r="B148" s="26" t="n"/>
      <c r="C148" s="26" t="n"/>
      <c r="D148" s="26" t="n"/>
      <c r="E148" s="27" t="n"/>
      <c r="F148" s="27" t="n"/>
      <c r="G148" s="27" t="n"/>
      <c r="H148" s="26" t="n"/>
      <c r="I148" s="26" t="n"/>
      <c r="J148" s="28">
        <f>IF($A148="","",IF(isg_matrisTipi="FK",$E148*$G148*$F148,$E148*$F148))</f>
        <v/>
      </c>
      <c r="K148" s="28">
        <f>IF($A148="","",IF($J148&gt;=isg_esikKritikSeviye,"Kritik",IF($J148&gt;=isg_esikYuksek,"Yüksek",IF($J148&gt;=isg_esikOrta,"Orta","Düşük"))))</f>
        <v/>
      </c>
      <c r="L148" s="28">
        <f>IF($A148="","",1)</f>
        <v/>
      </c>
    </row>
    <row r="149">
      <c r="A149" s="26" t="n"/>
      <c r="B149" s="26" t="n"/>
      <c r="C149" s="26" t="n"/>
      <c r="D149" s="26" t="n"/>
      <c r="E149" s="27" t="n"/>
      <c r="F149" s="27" t="n"/>
      <c r="G149" s="27" t="n"/>
      <c r="H149" s="26" t="n"/>
      <c r="I149" s="26" t="n"/>
      <c r="J149" s="28">
        <f>IF($A149="","",IF(isg_matrisTipi="FK",$E149*$G149*$F149,$E149*$F149))</f>
        <v/>
      </c>
      <c r="K149" s="28">
        <f>IF($A149="","",IF($J149&gt;=isg_esikKritikSeviye,"Kritik",IF($J149&gt;=isg_esikYuksek,"Yüksek",IF($J149&gt;=isg_esikOrta,"Orta","Düşük"))))</f>
        <v/>
      </c>
      <c r="L149" s="28">
        <f>IF($A149="","",1)</f>
        <v/>
      </c>
    </row>
    <row r="150">
      <c r="A150" s="26" t="n"/>
      <c r="B150" s="26" t="n"/>
      <c r="C150" s="26" t="n"/>
      <c r="D150" s="26" t="n"/>
      <c r="E150" s="27" t="n"/>
      <c r="F150" s="27" t="n"/>
      <c r="G150" s="27" t="n"/>
      <c r="H150" s="26" t="n"/>
      <c r="I150" s="26" t="n"/>
      <c r="J150" s="28">
        <f>IF($A150="","",IF(isg_matrisTipi="FK",$E150*$G150*$F150,$E150*$F150))</f>
        <v/>
      </c>
      <c r="K150" s="28">
        <f>IF($A150="","",IF($J150&gt;=isg_esikKritikSeviye,"Kritik",IF($J150&gt;=isg_esikYuksek,"Yüksek",IF($J150&gt;=isg_esikOrta,"Orta","Düşük"))))</f>
        <v/>
      </c>
      <c r="L150" s="28">
        <f>IF($A150="","",1)</f>
        <v/>
      </c>
    </row>
    <row r="151">
      <c r="A151" s="26" t="n"/>
      <c r="B151" s="26" t="n"/>
      <c r="C151" s="26" t="n"/>
      <c r="D151" s="26" t="n"/>
      <c r="E151" s="27" t="n"/>
      <c r="F151" s="27" t="n"/>
      <c r="G151" s="27" t="n"/>
      <c r="H151" s="26" t="n"/>
      <c r="I151" s="26" t="n"/>
      <c r="J151" s="28">
        <f>IF($A151="","",IF(isg_matrisTipi="FK",$E151*$G151*$F151,$E151*$F151))</f>
        <v/>
      </c>
      <c r="K151" s="28">
        <f>IF($A151="","",IF($J151&gt;=isg_esikKritikSeviye,"Kritik",IF($J151&gt;=isg_esikYuksek,"Yüksek",IF($J151&gt;=isg_esikOrta,"Orta","Düşük"))))</f>
        <v/>
      </c>
      <c r="L151" s="28">
        <f>IF($A151="","",1)</f>
        <v/>
      </c>
    </row>
    <row r="152">
      <c r="A152" s="26" t="n"/>
      <c r="B152" s="26" t="n"/>
      <c r="C152" s="26" t="n"/>
      <c r="D152" s="26" t="n"/>
      <c r="E152" s="27" t="n"/>
      <c r="F152" s="27" t="n"/>
      <c r="G152" s="27" t="n"/>
      <c r="H152" s="26" t="n"/>
      <c r="I152" s="26" t="n"/>
      <c r="J152" s="28">
        <f>IF($A152="","",IF(isg_matrisTipi="FK",$E152*$G152*$F152,$E152*$F152))</f>
        <v/>
      </c>
      <c r="K152" s="28">
        <f>IF($A152="","",IF($J152&gt;=isg_esikKritikSeviye,"Kritik",IF($J152&gt;=isg_esikYuksek,"Yüksek",IF($J152&gt;=isg_esikOrta,"Orta","Düşük"))))</f>
        <v/>
      </c>
      <c r="L152" s="28">
        <f>IF($A152="","",1)</f>
        <v/>
      </c>
    </row>
    <row r="153">
      <c r="A153" s="26" t="n"/>
      <c r="B153" s="26" t="n"/>
      <c r="C153" s="26" t="n"/>
      <c r="D153" s="26" t="n"/>
      <c r="E153" s="27" t="n"/>
      <c r="F153" s="27" t="n"/>
      <c r="G153" s="27" t="n"/>
      <c r="H153" s="26" t="n"/>
      <c r="I153" s="26" t="n"/>
      <c r="J153" s="28">
        <f>IF($A153="","",IF(isg_matrisTipi="FK",$E153*$G153*$F153,$E153*$F153))</f>
        <v/>
      </c>
      <c r="K153" s="28">
        <f>IF($A153="","",IF($J153&gt;=isg_esikKritikSeviye,"Kritik",IF($J153&gt;=isg_esikYuksek,"Yüksek",IF($J153&gt;=isg_esikOrta,"Orta","Düşük"))))</f>
        <v/>
      </c>
      <c r="L153" s="28">
        <f>IF($A153="","",1)</f>
        <v/>
      </c>
    </row>
    <row r="154">
      <c r="A154" s="26" t="n"/>
      <c r="B154" s="26" t="n"/>
      <c r="C154" s="26" t="n"/>
      <c r="D154" s="26" t="n"/>
      <c r="E154" s="27" t="n"/>
      <c r="F154" s="27" t="n"/>
      <c r="G154" s="27" t="n"/>
      <c r="H154" s="26" t="n"/>
      <c r="I154" s="26" t="n"/>
      <c r="J154" s="28">
        <f>IF($A154="","",IF(isg_matrisTipi="FK",$E154*$G154*$F154,$E154*$F154))</f>
        <v/>
      </c>
      <c r="K154" s="28">
        <f>IF($A154="","",IF($J154&gt;=isg_esikKritikSeviye,"Kritik",IF($J154&gt;=isg_esikYuksek,"Yüksek",IF($J154&gt;=isg_esikOrta,"Orta","Düşük"))))</f>
        <v/>
      </c>
      <c r="L154" s="28">
        <f>IF($A154="","",1)</f>
        <v/>
      </c>
    </row>
    <row r="155">
      <c r="A155" s="26" t="n"/>
      <c r="B155" s="26" t="n"/>
      <c r="C155" s="26" t="n"/>
      <c r="D155" s="26" t="n"/>
      <c r="E155" s="27" t="n"/>
      <c r="F155" s="27" t="n"/>
      <c r="G155" s="27" t="n"/>
      <c r="H155" s="26" t="n"/>
      <c r="I155" s="26" t="n"/>
      <c r="J155" s="28">
        <f>IF($A155="","",IF(isg_matrisTipi="FK",$E155*$G155*$F155,$E155*$F155))</f>
        <v/>
      </c>
      <c r="K155" s="28">
        <f>IF($A155="","",IF($J155&gt;=isg_esikKritikSeviye,"Kritik",IF($J155&gt;=isg_esikYuksek,"Yüksek",IF($J155&gt;=isg_esikOrta,"Orta","Düşük"))))</f>
        <v/>
      </c>
      <c r="L155" s="28">
        <f>IF($A155="","",1)</f>
        <v/>
      </c>
    </row>
    <row r="156">
      <c r="A156" s="26" t="n"/>
      <c r="B156" s="26" t="n"/>
      <c r="C156" s="26" t="n"/>
      <c r="D156" s="26" t="n"/>
      <c r="E156" s="27" t="n"/>
      <c r="F156" s="27" t="n"/>
      <c r="G156" s="27" t="n"/>
      <c r="H156" s="26" t="n"/>
      <c r="I156" s="26" t="n"/>
      <c r="J156" s="28">
        <f>IF($A156="","",IF(isg_matrisTipi="FK",$E156*$G156*$F156,$E156*$F156))</f>
        <v/>
      </c>
      <c r="K156" s="28">
        <f>IF($A156="","",IF($J156&gt;=isg_esikKritikSeviye,"Kritik",IF($J156&gt;=isg_esikYuksek,"Yüksek",IF($J156&gt;=isg_esikOrta,"Orta","Düşük"))))</f>
        <v/>
      </c>
      <c r="L156" s="28">
        <f>IF($A156="","",1)</f>
        <v/>
      </c>
    </row>
    <row r="157">
      <c r="A157" s="26" t="n"/>
      <c r="B157" s="26" t="n"/>
      <c r="C157" s="26" t="n"/>
      <c r="D157" s="26" t="n"/>
      <c r="E157" s="27" t="n"/>
      <c r="F157" s="27" t="n"/>
      <c r="G157" s="27" t="n"/>
      <c r="H157" s="26" t="n"/>
      <c r="I157" s="26" t="n"/>
      <c r="J157" s="28">
        <f>IF($A157="","",IF(isg_matrisTipi="FK",$E157*$G157*$F157,$E157*$F157))</f>
        <v/>
      </c>
      <c r="K157" s="28">
        <f>IF($A157="","",IF($J157&gt;=isg_esikKritikSeviye,"Kritik",IF($J157&gt;=isg_esikYuksek,"Yüksek",IF($J157&gt;=isg_esikOrta,"Orta","Düşük"))))</f>
        <v/>
      </c>
      <c r="L157" s="28">
        <f>IF($A157="","",1)</f>
        <v/>
      </c>
    </row>
    <row r="158">
      <c r="A158" s="26" t="n"/>
      <c r="B158" s="26" t="n"/>
      <c r="C158" s="26" t="n"/>
      <c r="D158" s="26" t="n"/>
      <c r="E158" s="27" t="n"/>
      <c r="F158" s="27" t="n"/>
      <c r="G158" s="27" t="n"/>
      <c r="H158" s="26" t="n"/>
      <c r="I158" s="26" t="n"/>
      <c r="J158" s="28">
        <f>IF($A158="","",IF(isg_matrisTipi="FK",$E158*$G158*$F158,$E158*$F158))</f>
        <v/>
      </c>
      <c r="K158" s="28">
        <f>IF($A158="","",IF($J158&gt;=isg_esikKritikSeviye,"Kritik",IF($J158&gt;=isg_esikYuksek,"Yüksek",IF($J158&gt;=isg_esikOrta,"Orta","Düşük"))))</f>
        <v/>
      </c>
      <c r="L158" s="28">
        <f>IF($A158="","",1)</f>
        <v/>
      </c>
    </row>
    <row r="159">
      <c r="A159" s="26" t="n"/>
      <c r="B159" s="26" t="n"/>
      <c r="C159" s="26" t="n"/>
      <c r="D159" s="26" t="n"/>
      <c r="E159" s="27" t="n"/>
      <c r="F159" s="27" t="n"/>
      <c r="G159" s="27" t="n"/>
      <c r="H159" s="26" t="n"/>
      <c r="I159" s="26" t="n"/>
      <c r="J159" s="28">
        <f>IF($A159="","",IF(isg_matrisTipi="FK",$E159*$G159*$F159,$E159*$F159))</f>
        <v/>
      </c>
      <c r="K159" s="28">
        <f>IF($A159="","",IF($J159&gt;=isg_esikKritikSeviye,"Kritik",IF($J159&gt;=isg_esikYuksek,"Yüksek",IF($J159&gt;=isg_esikOrta,"Orta","Düşük"))))</f>
        <v/>
      </c>
      <c r="L159" s="28">
        <f>IF($A159="","",1)</f>
        <v/>
      </c>
    </row>
    <row r="160">
      <c r="A160" s="26" t="n"/>
      <c r="B160" s="26" t="n"/>
      <c r="C160" s="26" t="n"/>
      <c r="D160" s="26" t="n"/>
      <c r="E160" s="27" t="n"/>
      <c r="F160" s="27" t="n"/>
      <c r="G160" s="27" t="n"/>
      <c r="H160" s="26" t="n"/>
      <c r="I160" s="26" t="n"/>
      <c r="J160" s="28">
        <f>IF($A160="","",IF(isg_matrisTipi="FK",$E160*$G160*$F160,$E160*$F160))</f>
        <v/>
      </c>
      <c r="K160" s="28">
        <f>IF($A160="","",IF($J160&gt;=isg_esikKritikSeviye,"Kritik",IF($J160&gt;=isg_esikYuksek,"Yüksek",IF($J160&gt;=isg_esikOrta,"Orta","Düşük"))))</f>
        <v/>
      </c>
      <c r="L160" s="28">
        <f>IF($A160="","",1)</f>
        <v/>
      </c>
    </row>
    <row r="161">
      <c r="A161" s="26" t="n"/>
      <c r="B161" s="26" t="n"/>
      <c r="C161" s="26" t="n"/>
      <c r="D161" s="26" t="n"/>
      <c r="E161" s="27" t="n"/>
      <c r="F161" s="27" t="n"/>
      <c r="G161" s="27" t="n"/>
      <c r="H161" s="26" t="n"/>
      <c r="I161" s="26" t="n"/>
      <c r="J161" s="28">
        <f>IF($A161="","",IF(isg_matrisTipi="FK",$E161*$G161*$F161,$E161*$F161))</f>
        <v/>
      </c>
      <c r="K161" s="28">
        <f>IF($A161="","",IF($J161&gt;=isg_esikKritikSeviye,"Kritik",IF($J161&gt;=isg_esikYuksek,"Yüksek",IF($J161&gt;=isg_esikOrta,"Orta","Düşük"))))</f>
        <v/>
      </c>
      <c r="L161" s="28">
        <f>IF($A161="","",1)</f>
        <v/>
      </c>
    </row>
    <row r="162">
      <c r="A162" s="26" t="n"/>
      <c r="B162" s="26" t="n"/>
      <c r="C162" s="26" t="n"/>
      <c r="D162" s="26" t="n"/>
      <c r="E162" s="27" t="n"/>
      <c r="F162" s="27" t="n"/>
      <c r="G162" s="27" t="n"/>
      <c r="H162" s="26" t="n"/>
      <c r="I162" s="26" t="n"/>
      <c r="J162" s="28">
        <f>IF($A162="","",IF(isg_matrisTipi="FK",$E162*$G162*$F162,$E162*$F162))</f>
        <v/>
      </c>
      <c r="K162" s="28">
        <f>IF($A162="","",IF($J162&gt;=isg_esikKritikSeviye,"Kritik",IF($J162&gt;=isg_esikYuksek,"Yüksek",IF($J162&gt;=isg_esikOrta,"Orta","Düşük"))))</f>
        <v/>
      </c>
      <c r="L162" s="28">
        <f>IF($A162="","",1)</f>
        <v/>
      </c>
    </row>
    <row r="163">
      <c r="A163" s="26" t="n"/>
      <c r="B163" s="26" t="n"/>
      <c r="C163" s="26" t="n"/>
      <c r="D163" s="26" t="n"/>
      <c r="E163" s="27" t="n"/>
      <c r="F163" s="27" t="n"/>
      <c r="G163" s="27" t="n"/>
      <c r="H163" s="26" t="n"/>
      <c r="I163" s="26" t="n"/>
      <c r="J163" s="28">
        <f>IF($A163="","",IF(isg_matrisTipi="FK",$E163*$G163*$F163,$E163*$F163))</f>
        <v/>
      </c>
      <c r="K163" s="28">
        <f>IF($A163="","",IF($J163&gt;=isg_esikKritikSeviye,"Kritik",IF($J163&gt;=isg_esikYuksek,"Yüksek",IF($J163&gt;=isg_esikOrta,"Orta","Düşük"))))</f>
        <v/>
      </c>
      <c r="L163" s="28">
        <f>IF($A163="","",1)</f>
        <v/>
      </c>
    </row>
    <row r="164">
      <c r="A164" s="26" t="n"/>
      <c r="B164" s="26" t="n"/>
      <c r="C164" s="26" t="n"/>
      <c r="D164" s="26" t="n"/>
      <c r="E164" s="27" t="n"/>
      <c r="F164" s="27" t="n"/>
      <c r="G164" s="27" t="n"/>
      <c r="H164" s="26" t="n"/>
      <c r="I164" s="26" t="n"/>
      <c r="J164" s="28">
        <f>IF($A164="","",IF(isg_matrisTipi="FK",$E164*$G164*$F164,$E164*$F164))</f>
        <v/>
      </c>
      <c r="K164" s="28">
        <f>IF($A164="","",IF($J164&gt;=isg_esikKritikSeviye,"Kritik",IF($J164&gt;=isg_esikYuksek,"Yüksek",IF($J164&gt;=isg_esikOrta,"Orta","Düşük"))))</f>
        <v/>
      </c>
      <c r="L164" s="28">
        <f>IF($A164="","",1)</f>
        <v/>
      </c>
    </row>
    <row r="165">
      <c r="A165" s="26" t="n"/>
      <c r="B165" s="26" t="n"/>
      <c r="C165" s="26" t="n"/>
      <c r="D165" s="26" t="n"/>
      <c r="E165" s="27" t="n"/>
      <c r="F165" s="27" t="n"/>
      <c r="G165" s="27" t="n"/>
      <c r="H165" s="26" t="n"/>
      <c r="I165" s="26" t="n"/>
      <c r="J165" s="28">
        <f>IF($A165="","",IF(isg_matrisTipi="FK",$E165*$G165*$F165,$E165*$F165))</f>
        <v/>
      </c>
      <c r="K165" s="28">
        <f>IF($A165="","",IF($J165&gt;=isg_esikKritikSeviye,"Kritik",IF($J165&gt;=isg_esikYuksek,"Yüksek",IF($J165&gt;=isg_esikOrta,"Orta","Düşük"))))</f>
        <v/>
      </c>
      <c r="L165" s="28">
        <f>IF($A165="","",1)</f>
        <v/>
      </c>
    </row>
    <row r="166">
      <c r="A166" s="26" t="n"/>
      <c r="B166" s="26" t="n"/>
      <c r="C166" s="26" t="n"/>
      <c r="D166" s="26" t="n"/>
      <c r="E166" s="27" t="n"/>
      <c r="F166" s="27" t="n"/>
      <c r="G166" s="27" t="n"/>
      <c r="H166" s="26" t="n"/>
      <c r="I166" s="26" t="n"/>
      <c r="J166" s="28">
        <f>IF($A166="","",IF(isg_matrisTipi="FK",$E166*$G166*$F166,$E166*$F166))</f>
        <v/>
      </c>
      <c r="K166" s="28">
        <f>IF($A166="","",IF($J166&gt;=isg_esikKritikSeviye,"Kritik",IF($J166&gt;=isg_esikYuksek,"Yüksek",IF($J166&gt;=isg_esikOrta,"Orta","Düşük"))))</f>
        <v/>
      </c>
      <c r="L166" s="28">
        <f>IF($A166="","",1)</f>
        <v/>
      </c>
    </row>
    <row r="167">
      <c r="A167" s="26" t="n"/>
      <c r="B167" s="26" t="n"/>
      <c r="C167" s="26" t="n"/>
      <c r="D167" s="26" t="n"/>
      <c r="E167" s="27" t="n"/>
      <c r="F167" s="27" t="n"/>
      <c r="G167" s="27" t="n"/>
      <c r="H167" s="26" t="n"/>
      <c r="I167" s="26" t="n"/>
      <c r="J167" s="28">
        <f>IF($A167="","",IF(isg_matrisTipi="FK",$E167*$G167*$F167,$E167*$F167))</f>
        <v/>
      </c>
      <c r="K167" s="28">
        <f>IF($A167="","",IF($J167&gt;=isg_esikKritikSeviye,"Kritik",IF($J167&gt;=isg_esikYuksek,"Yüksek",IF($J167&gt;=isg_esikOrta,"Orta","Düşük"))))</f>
        <v/>
      </c>
      <c r="L167" s="28">
        <f>IF($A167="","",1)</f>
        <v/>
      </c>
    </row>
    <row r="168">
      <c r="A168" s="26" t="n"/>
      <c r="B168" s="26" t="n"/>
      <c r="C168" s="26" t="n"/>
      <c r="D168" s="26" t="n"/>
      <c r="E168" s="27" t="n"/>
      <c r="F168" s="27" t="n"/>
      <c r="G168" s="27" t="n"/>
      <c r="H168" s="26" t="n"/>
      <c r="I168" s="26" t="n"/>
      <c r="J168" s="28">
        <f>IF($A168="","",IF(isg_matrisTipi="FK",$E168*$G168*$F168,$E168*$F168))</f>
        <v/>
      </c>
      <c r="K168" s="28">
        <f>IF($A168="","",IF($J168&gt;=isg_esikKritikSeviye,"Kritik",IF($J168&gt;=isg_esikYuksek,"Yüksek",IF($J168&gt;=isg_esikOrta,"Orta","Düşük"))))</f>
        <v/>
      </c>
      <c r="L168" s="28">
        <f>IF($A168="","",1)</f>
        <v/>
      </c>
    </row>
    <row r="169">
      <c r="A169" s="26" t="n"/>
      <c r="B169" s="26" t="n"/>
      <c r="C169" s="26" t="n"/>
      <c r="D169" s="26" t="n"/>
      <c r="E169" s="27" t="n"/>
      <c r="F169" s="27" t="n"/>
      <c r="G169" s="27" t="n"/>
      <c r="H169" s="26" t="n"/>
      <c r="I169" s="26" t="n"/>
      <c r="J169" s="28">
        <f>IF($A169="","",IF(isg_matrisTipi="FK",$E169*$G169*$F169,$E169*$F169))</f>
        <v/>
      </c>
      <c r="K169" s="28">
        <f>IF($A169="","",IF($J169&gt;=isg_esikKritikSeviye,"Kritik",IF($J169&gt;=isg_esikYuksek,"Yüksek",IF($J169&gt;=isg_esikOrta,"Orta","Düşük"))))</f>
        <v/>
      </c>
      <c r="L169" s="28">
        <f>IF($A169="","",1)</f>
        <v/>
      </c>
    </row>
    <row r="170">
      <c r="A170" s="26" t="n"/>
      <c r="B170" s="26" t="n"/>
      <c r="C170" s="26" t="n"/>
      <c r="D170" s="26" t="n"/>
      <c r="E170" s="27" t="n"/>
      <c r="F170" s="27" t="n"/>
      <c r="G170" s="27" t="n"/>
      <c r="H170" s="26" t="n"/>
      <c r="I170" s="26" t="n"/>
      <c r="J170" s="28">
        <f>IF($A170="","",IF(isg_matrisTipi="FK",$E170*$G170*$F170,$E170*$F170))</f>
        <v/>
      </c>
      <c r="K170" s="28">
        <f>IF($A170="","",IF($J170&gt;=isg_esikKritikSeviye,"Kritik",IF($J170&gt;=isg_esikYuksek,"Yüksek",IF($J170&gt;=isg_esikOrta,"Orta","Düşük"))))</f>
        <v/>
      </c>
      <c r="L170" s="28">
        <f>IF($A170="","",1)</f>
        <v/>
      </c>
    </row>
    <row r="171">
      <c r="A171" s="26" t="n"/>
      <c r="B171" s="26" t="n"/>
      <c r="C171" s="26" t="n"/>
      <c r="D171" s="26" t="n"/>
      <c r="E171" s="27" t="n"/>
      <c r="F171" s="27" t="n"/>
      <c r="G171" s="27" t="n"/>
      <c r="H171" s="26" t="n"/>
      <c r="I171" s="26" t="n"/>
      <c r="J171" s="28">
        <f>IF($A171="","",IF(isg_matrisTipi="FK",$E171*$G171*$F171,$E171*$F171))</f>
        <v/>
      </c>
      <c r="K171" s="28">
        <f>IF($A171="","",IF($J171&gt;=isg_esikKritikSeviye,"Kritik",IF($J171&gt;=isg_esikYuksek,"Yüksek",IF($J171&gt;=isg_esikOrta,"Orta","Düşük"))))</f>
        <v/>
      </c>
      <c r="L171" s="28">
        <f>IF($A171="","",1)</f>
        <v/>
      </c>
    </row>
    <row r="172">
      <c r="A172" s="26" t="n"/>
      <c r="B172" s="26" t="n"/>
      <c r="C172" s="26" t="n"/>
      <c r="D172" s="26" t="n"/>
      <c r="E172" s="27" t="n"/>
      <c r="F172" s="27" t="n"/>
      <c r="G172" s="27" t="n"/>
      <c r="H172" s="26" t="n"/>
      <c r="I172" s="26" t="n"/>
      <c r="J172" s="28">
        <f>IF($A172="","",IF(isg_matrisTipi="FK",$E172*$G172*$F172,$E172*$F172))</f>
        <v/>
      </c>
      <c r="K172" s="28">
        <f>IF($A172="","",IF($J172&gt;=isg_esikKritikSeviye,"Kritik",IF($J172&gt;=isg_esikYuksek,"Yüksek",IF($J172&gt;=isg_esikOrta,"Orta","Düşük"))))</f>
        <v/>
      </c>
      <c r="L172" s="28">
        <f>IF($A172="","",1)</f>
        <v/>
      </c>
    </row>
    <row r="173">
      <c r="A173" s="26" t="n"/>
      <c r="B173" s="26" t="n"/>
      <c r="C173" s="26" t="n"/>
      <c r="D173" s="26" t="n"/>
      <c r="E173" s="27" t="n"/>
      <c r="F173" s="27" t="n"/>
      <c r="G173" s="27" t="n"/>
      <c r="H173" s="26" t="n"/>
      <c r="I173" s="26" t="n"/>
      <c r="J173" s="28">
        <f>IF($A173="","",IF(isg_matrisTipi="FK",$E173*$G173*$F173,$E173*$F173))</f>
        <v/>
      </c>
      <c r="K173" s="28">
        <f>IF($A173="","",IF($J173&gt;=isg_esikKritikSeviye,"Kritik",IF($J173&gt;=isg_esikYuksek,"Yüksek",IF($J173&gt;=isg_esikOrta,"Orta","Düşük"))))</f>
        <v/>
      </c>
      <c r="L173" s="28">
        <f>IF($A173="","",1)</f>
        <v/>
      </c>
    </row>
    <row r="174">
      <c r="A174" s="26" t="n"/>
      <c r="B174" s="26" t="n"/>
      <c r="C174" s="26" t="n"/>
      <c r="D174" s="26" t="n"/>
      <c r="E174" s="27" t="n"/>
      <c r="F174" s="27" t="n"/>
      <c r="G174" s="27" t="n"/>
      <c r="H174" s="26" t="n"/>
      <c r="I174" s="26" t="n"/>
      <c r="J174" s="28">
        <f>IF($A174="","",IF(isg_matrisTipi="FK",$E174*$G174*$F174,$E174*$F174))</f>
        <v/>
      </c>
      <c r="K174" s="28">
        <f>IF($A174="","",IF($J174&gt;=isg_esikKritikSeviye,"Kritik",IF($J174&gt;=isg_esikYuksek,"Yüksek",IF($J174&gt;=isg_esikOrta,"Orta","Düşük"))))</f>
        <v/>
      </c>
      <c r="L174" s="28">
        <f>IF($A174="","",1)</f>
        <v/>
      </c>
    </row>
    <row r="175">
      <c r="A175" s="26" t="n"/>
      <c r="B175" s="26" t="n"/>
      <c r="C175" s="26" t="n"/>
      <c r="D175" s="26" t="n"/>
      <c r="E175" s="27" t="n"/>
      <c r="F175" s="27" t="n"/>
      <c r="G175" s="27" t="n"/>
      <c r="H175" s="26" t="n"/>
      <c r="I175" s="26" t="n"/>
      <c r="J175" s="28">
        <f>IF($A175="","",IF(isg_matrisTipi="FK",$E175*$G175*$F175,$E175*$F175))</f>
        <v/>
      </c>
      <c r="K175" s="28">
        <f>IF($A175="","",IF($J175&gt;=isg_esikKritikSeviye,"Kritik",IF($J175&gt;=isg_esikYuksek,"Yüksek",IF($J175&gt;=isg_esikOrta,"Orta","Düşük"))))</f>
        <v/>
      </c>
      <c r="L175" s="28">
        <f>IF($A175="","",1)</f>
        <v/>
      </c>
    </row>
    <row r="176">
      <c r="A176" s="26" t="n"/>
      <c r="B176" s="26" t="n"/>
      <c r="C176" s="26" t="n"/>
      <c r="D176" s="26" t="n"/>
      <c r="E176" s="27" t="n"/>
      <c r="F176" s="27" t="n"/>
      <c r="G176" s="27" t="n"/>
      <c r="H176" s="26" t="n"/>
      <c r="I176" s="26" t="n"/>
      <c r="J176" s="28">
        <f>IF($A176="","",IF(isg_matrisTipi="FK",$E176*$G176*$F176,$E176*$F176))</f>
        <v/>
      </c>
      <c r="K176" s="28">
        <f>IF($A176="","",IF($J176&gt;=isg_esikKritikSeviye,"Kritik",IF($J176&gt;=isg_esikYuksek,"Yüksek",IF($J176&gt;=isg_esikOrta,"Orta","Düşük"))))</f>
        <v/>
      </c>
      <c r="L176" s="28">
        <f>IF($A176="","",1)</f>
        <v/>
      </c>
    </row>
    <row r="177">
      <c r="A177" s="26" t="n"/>
      <c r="B177" s="26" t="n"/>
      <c r="C177" s="26" t="n"/>
      <c r="D177" s="26" t="n"/>
      <c r="E177" s="27" t="n"/>
      <c r="F177" s="27" t="n"/>
      <c r="G177" s="27" t="n"/>
      <c r="H177" s="26" t="n"/>
      <c r="I177" s="26" t="n"/>
      <c r="J177" s="28">
        <f>IF($A177="","",IF(isg_matrisTipi="FK",$E177*$G177*$F177,$E177*$F177))</f>
        <v/>
      </c>
      <c r="K177" s="28">
        <f>IF($A177="","",IF($J177&gt;=isg_esikKritikSeviye,"Kritik",IF($J177&gt;=isg_esikYuksek,"Yüksek",IF($J177&gt;=isg_esikOrta,"Orta","Düşük"))))</f>
        <v/>
      </c>
      <c r="L177" s="28">
        <f>IF($A177="","",1)</f>
        <v/>
      </c>
    </row>
    <row r="178">
      <c r="A178" s="26" t="n"/>
      <c r="B178" s="26" t="n"/>
      <c r="C178" s="26" t="n"/>
      <c r="D178" s="26" t="n"/>
      <c r="E178" s="27" t="n"/>
      <c r="F178" s="27" t="n"/>
      <c r="G178" s="27" t="n"/>
      <c r="H178" s="26" t="n"/>
      <c r="I178" s="26" t="n"/>
      <c r="J178" s="28">
        <f>IF($A178="","",IF(isg_matrisTipi="FK",$E178*$G178*$F178,$E178*$F178))</f>
        <v/>
      </c>
      <c r="K178" s="28">
        <f>IF($A178="","",IF($J178&gt;=isg_esikKritikSeviye,"Kritik",IF($J178&gt;=isg_esikYuksek,"Yüksek",IF($J178&gt;=isg_esikOrta,"Orta","Düşük"))))</f>
        <v/>
      </c>
      <c r="L178" s="28">
        <f>IF($A178="","",1)</f>
        <v/>
      </c>
    </row>
    <row r="179">
      <c r="A179" s="26" t="n"/>
      <c r="B179" s="26" t="n"/>
      <c r="C179" s="26" t="n"/>
      <c r="D179" s="26" t="n"/>
      <c r="E179" s="27" t="n"/>
      <c r="F179" s="27" t="n"/>
      <c r="G179" s="27" t="n"/>
      <c r="H179" s="26" t="n"/>
      <c r="I179" s="26" t="n"/>
      <c r="J179" s="28">
        <f>IF($A179="","",IF(isg_matrisTipi="FK",$E179*$G179*$F179,$E179*$F179))</f>
        <v/>
      </c>
      <c r="K179" s="28">
        <f>IF($A179="","",IF($J179&gt;=isg_esikKritikSeviye,"Kritik",IF($J179&gt;=isg_esikYuksek,"Yüksek",IF($J179&gt;=isg_esikOrta,"Orta","Düşük"))))</f>
        <v/>
      </c>
      <c r="L179" s="28">
        <f>IF($A179="","",1)</f>
        <v/>
      </c>
    </row>
    <row r="180">
      <c r="A180" s="26" t="n"/>
      <c r="B180" s="26" t="n"/>
      <c r="C180" s="26" t="n"/>
      <c r="D180" s="26" t="n"/>
      <c r="E180" s="27" t="n"/>
      <c r="F180" s="27" t="n"/>
      <c r="G180" s="27" t="n"/>
      <c r="H180" s="26" t="n"/>
      <c r="I180" s="26" t="n"/>
      <c r="J180" s="28">
        <f>IF($A180="","",IF(isg_matrisTipi="FK",$E180*$G180*$F180,$E180*$F180))</f>
        <v/>
      </c>
      <c r="K180" s="28">
        <f>IF($A180="","",IF($J180&gt;=isg_esikKritikSeviye,"Kritik",IF($J180&gt;=isg_esikYuksek,"Yüksek",IF($J180&gt;=isg_esikOrta,"Orta","Düşük"))))</f>
        <v/>
      </c>
      <c r="L180" s="28">
        <f>IF($A180="","",1)</f>
        <v/>
      </c>
    </row>
    <row r="181">
      <c r="A181" s="26" t="n"/>
      <c r="B181" s="26" t="n"/>
      <c r="C181" s="26" t="n"/>
      <c r="D181" s="26" t="n"/>
      <c r="E181" s="27" t="n"/>
      <c r="F181" s="27" t="n"/>
      <c r="G181" s="27" t="n"/>
      <c r="H181" s="26" t="n"/>
      <c r="I181" s="26" t="n"/>
      <c r="J181" s="28">
        <f>IF($A181="","",IF(isg_matrisTipi="FK",$E181*$G181*$F181,$E181*$F181))</f>
        <v/>
      </c>
      <c r="K181" s="28">
        <f>IF($A181="","",IF($J181&gt;=isg_esikKritikSeviye,"Kritik",IF($J181&gt;=isg_esikYuksek,"Yüksek",IF($J181&gt;=isg_esikOrta,"Orta","Düşük"))))</f>
        <v/>
      </c>
      <c r="L181" s="28">
        <f>IF($A181="","",1)</f>
        <v/>
      </c>
    </row>
    <row r="182">
      <c r="A182" s="26" t="n"/>
      <c r="B182" s="26" t="n"/>
      <c r="C182" s="26" t="n"/>
      <c r="D182" s="26" t="n"/>
      <c r="E182" s="27" t="n"/>
      <c r="F182" s="27" t="n"/>
      <c r="G182" s="27" t="n"/>
      <c r="H182" s="26" t="n"/>
      <c r="I182" s="26" t="n"/>
      <c r="J182" s="28">
        <f>IF($A182="","",IF(isg_matrisTipi="FK",$E182*$G182*$F182,$E182*$F182))</f>
        <v/>
      </c>
      <c r="K182" s="28">
        <f>IF($A182="","",IF($J182&gt;=isg_esikKritikSeviye,"Kritik",IF($J182&gt;=isg_esikYuksek,"Yüksek",IF($J182&gt;=isg_esikOrta,"Orta","Düşük"))))</f>
        <v/>
      </c>
      <c r="L182" s="28">
        <f>IF($A182="","",1)</f>
        <v/>
      </c>
    </row>
    <row r="183">
      <c r="A183" s="26" t="n"/>
      <c r="B183" s="26" t="n"/>
      <c r="C183" s="26" t="n"/>
      <c r="D183" s="26" t="n"/>
      <c r="E183" s="27" t="n"/>
      <c r="F183" s="27" t="n"/>
      <c r="G183" s="27" t="n"/>
      <c r="H183" s="26" t="n"/>
      <c r="I183" s="26" t="n"/>
      <c r="J183" s="28">
        <f>IF($A183="","",IF(isg_matrisTipi="FK",$E183*$G183*$F183,$E183*$F183))</f>
        <v/>
      </c>
      <c r="K183" s="28">
        <f>IF($A183="","",IF($J183&gt;=isg_esikKritikSeviye,"Kritik",IF($J183&gt;=isg_esikYuksek,"Yüksek",IF($J183&gt;=isg_esikOrta,"Orta","Düşük"))))</f>
        <v/>
      </c>
      <c r="L183" s="28">
        <f>IF($A183="","",1)</f>
        <v/>
      </c>
    </row>
    <row r="184">
      <c r="A184" s="26" t="n"/>
      <c r="B184" s="26" t="n"/>
      <c r="C184" s="26" t="n"/>
      <c r="D184" s="26" t="n"/>
      <c r="E184" s="27" t="n"/>
      <c r="F184" s="27" t="n"/>
      <c r="G184" s="27" t="n"/>
      <c r="H184" s="26" t="n"/>
      <c r="I184" s="26" t="n"/>
      <c r="J184" s="28">
        <f>IF($A184="","",IF(isg_matrisTipi="FK",$E184*$G184*$F184,$E184*$F184))</f>
        <v/>
      </c>
      <c r="K184" s="28">
        <f>IF($A184="","",IF($J184&gt;=isg_esikKritikSeviye,"Kritik",IF($J184&gt;=isg_esikYuksek,"Yüksek",IF($J184&gt;=isg_esikOrta,"Orta","Düşük"))))</f>
        <v/>
      </c>
      <c r="L184" s="28">
        <f>IF($A184="","",1)</f>
        <v/>
      </c>
    </row>
    <row r="185">
      <c r="A185" s="26" t="n"/>
      <c r="B185" s="26" t="n"/>
      <c r="C185" s="26" t="n"/>
      <c r="D185" s="26" t="n"/>
      <c r="E185" s="27" t="n"/>
      <c r="F185" s="27" t="n"/>
      <c r="G185" s="27" t="n"/>
      <c r="H185" s="26" t="n"/>
      <c r="I185" s="26" t="n"/>
      <c r="J185" s="28">
        <f>IF($A185="","",IF(isg_matrisTipi="FK",$E185*$G185*$F185,$E185*$F185))</f>
        <v/>
      </c>
      <c r="K185" s="28">
        <f>IF($A185="","",IF($J185&gt;=isg_esikKritikSeviye,"Kritik",IF($J185&gt;=isg_esikYuksek,"Yüksek",IF($J185&gt;=isg_esikOrta,"Orta","Düşük"))))</f>
        <v/>
      </c>
      <c r="L185" s="28">
        <f>IF($A185="","",1)</f>
        <v/>
      </c>
    </row>
    <row r="186">
      <c r="A186" s="26" t="n"/>
      <c r="B186" s="26" t="n"/>
      <c r="C186" s="26" t="n"/>
      <c r="D186" s="26" t="n"/>
      <c r="E186" s="27" t="n"/>
      <c r="F186" s="27" t="n"/>
      <c r="G186" s="27" t="n"/>
      <c r="H186" s="26" t="n"/>
      <c r="I186" s="26" t="n"/>
      <c r="J186" s="28">
        <f>IF($A186="","",IF(isg_matrisTipi="FK",$E186*$G186*$F186,$E186*$F186))</f>
        <v/>
      </c>
      <c r="K186" s="28">
        <f>IF($A186="","",IF($J186&gt;=isg_esikKritikSeviye,"Kritik",IF($J186&gt;=isg_esikYuksek,"Yüksek",IF($J186&gt;=isg_esikOrta,"Orta","Düşük"))))</f>
        <v/>
      </c>
      <c r="L186" s="28">
        <f>IF($A186="","",1)</f>
        <v/>
      </c>
    </row>
    <row r="187">
      <c r="A187" s="26" t="n"/>
      <c r="B187" s="26" t="n"/>
      <c r="C187" s="26" t="n"/>
      <c r="D187" s="26" t="n"/>
      <c r="E187" s="27" t="n"/>
      <c r="F187" s="27" t="n"/>
      <c r="G187" s="27" t="n"/>
      <c r="H187" s="26" t="n"/>
      <c r="I187" s="26" t="n"/>
      <c r="J187" s="28">
        <f>IF($A187="","",IF(isg_matrisTipi="FK",$E187*$G187*$F187,$E187*$F187))</f>
        <v/>
      </c>
      <c r="K187" s="28">
        <f>IF($A187="","",IF($J187&gt;=isg_esikKritikSeviye,"Kritik",IF($J187&gt;=isg_esikYuksek,"Yüksek",IF($J187&gt;=isg_esikOrta,"Orta","Düşük"))))</f>
        <v/>
      </c>
      <c r="L187" s="28">
        <f>IF($A187="","",1)</f>
        <v/>
      </c>
    </row>
    <row r="188">
      <c r="A188" s="26" t="n"/>
      <c r="B188" s="26" t="n"/>
      <c r="C188" s="26" t="n"/>
      <c r="D188" s="26" t="n"/>
      <c r="E188" s="27" t="n"/>
      <c r="F188" s="27" t="n"/>
      <c r="G188" s="27" t="n"/>
      <c r="H188" s="26" t="n"/>
      <c r="I188" s="26" t="n"/>
      <c r="J188" s="28">
        <f>IF($A188="","",IF(isg_matrisTipi="FK",$E188*$G188*$F188,$E188*$F188))</f>
        <v/>
      </c>
      <c r="K188" s="28">
        <f>IF($A188="","",IF($J188&gt;=isg_esikKritikSeviye,"Kritik",IF($J188&gt;=isg_esikYuksek,"Yüksek",IF($J188&gt;=isg_esikOrta,"Orta","Düşük"))))</f>
        <v/>
      </c>
      <c r="L188" s="28">
        <f>IF($A188="","",1)</f>
        <v/>
      </c>
    </row>
    <row r="189">
      <c r="A189" s="26" t="n"/>
      <c r="B189" s="26" t="n"/>
      <c r="C189" s="26" t="n"/>
      <c r="D189" s="26" t="n"/>
      <c r="E189" s="27" t="n"/>
      <c r="F189" s="27" t="n"/>
      <c r="G189" s="27" t="n"/>
      <c r="H189" s="26" t="n"/>
      <c r="I189" s="26" t="n"/>
      <c r="J189" s="28">
        <f>IF($A189="","",IF(isg_matrisTipi="FK",$E189*$G189*$F189,$E189*$F189))</f>
        <v/>
      </c>
      <c r="K189" s="28">
        <f>IF($A189="","",IF($J189&gt;=isg_esikKritikSeviye,"Kritik",IF($J189&gt;=isg_esikYuksek,"Yüksek",IF($J189&gt;=isg_esikOrta,"Orta","Düşük"))))</f>
        <v/>
      </c>
      <c r="L189" s="28">
        <f>IF($A189="","",1)</f>
        <v/>
      </c>
    </row>
    <row r="190">
      <c r="A190" s="26" t="n"/>
      <c r="B190" s="26" t="n"/>
      <c r="C190" s="26" t="n"/>
      <c r="D190" s="26" t="n"/>
      <c r="E190" s="27" t="n"/>
      <c r="F190" s="27" t="n"/>
      <c r="G190" s="27" t="n"/>
      <c r="H190" s="26" t="n"/>
      <c r="I190" s="26" t="n"/>
      <c r="J190" s="28">
        <f>IF($A190="","",IF(isg_matrisTipi="FK",$E190*$G190*$F190,$E190*$F190))</f>
        <v/>
      </c>
      <c r="K190" s="28">
        <f>IF($A190="","",IF($J190&gt;=isg_esikKritikSeviye,"Kritik",IF($J190&gt;=isg_esikYuksek,"Yüksek",IF($J190&gt;=isg_esikOrta,"Orta","Düşük"))))</f>
        <v/>
      </c>
      <c r="L190" s="28">
        <f>IF($A190="","",1)</f>
        <v/>
      </c>
    </row>
    <row r="191">
      <c r="A191" s="26" t="n"/>
      <c r="B191" s="26" t="n"/>
      <c r="C191" s="26" t="n"/>
      <c r="D191" s="26" t="n"/>
      <c r="E191" s="27" t="n"/>
      <c r="F191" s="27" t="n"/>
      <c r="G191" s="27" t="n"/>
      <c r="H191" s="26" t="n"/>
      <c r="I191" s="26" t="n"/>
      <c r="J191" s="28">
        <f>IF($A191="","",IF(isg_matrisTipi="FK",$E191*$G191*$F191,$E191*$F191))</f>
        <v/>
      </c>
      <c r="K191" s="28">
        <f>IF($A191="","",IF($J191&gt;=isg_esikKritikSeviye,"Kritik",IF($J191&gt;=isg_esikYuksek,"Yüksek",IF($J191&gt;=isg_esikOrta,"Orta","Düşük"))))</f>
        <v/>
      </c>
      <c r="L191" s="28">
        <f>IF($A191="","",1)</f>
        <v/>
      </c>
    </row>
    <row r="192">
      <c r="A192" s="26" t="n"/>
      <c r="B192" s="26" t="n"/>
      <c r="C192" s="26" t="n"/>
      <c r="D192" s="26" t="n"/>
      <c r="E192" s="27" t="n"/>
      <c r="F192" s="27" t="n"/>
      <c r="G192" s="27" t="n"/>
      <c r="H192" s="26" t="n"/>
      <c r="I192" s="26" t="n"/>
      <c r="J192" s="28">
        <f>IF($A192="","",IF(isg_matrisTipi="FK",$E192*$G192*$F192,$E192*$F192))</f>
        <v/>
      </c>
      <c r="K192" s="28">
        <f>IF($A192="","",IF($J192&gt;=isg_esikKritikSeviye,"Kritik",IF($J192&gt;=isg_esikYuksek,"Yüksek",IF($J192&gt;=isg_esikOrta,"Orta","Düşük"))))</f>
        <v/>
      </c>
      <c r="L192" s="28">
        <f>IF($A192="","",1)</f>
        <v/>
      </c>
    </row>
    <row r="193">
      <c r="A193" s="26" t="n"/>
      <c r="B193" s="26" t="n"/>
      <c r="C193" s="26" t="n"/>
      <c r="D193" s="26" t="n"/>
      <c r="E193" s="27" t="n"/>
      <c r="F193" s="27" t="n"/>
      <c r="G193" s="27" t="n"/>
      <c r="H193" s="26" t="n"/>
      <c r="I193" s="26" t="n"/>
      <c r="J193" s="28">
        <f>IF($A193="","",IF(isg_matrisTipi="FK",$E193*$G193*$F193,$E193*$F193))</f>
        <v/>
      </c>
      <c r="K193" s="28">
        <f>IF($A193="","",IF($J193&gt;=isg_esikKritikSeviye,"Kritik",IF($J193&gt;=isg_esikYuksek,"Yüksek",IF($J193&gt;=isg_esikOrta,"Orta","Düşük"))))</f>
        <v/>
      </c>
      <c r="L193" s="28">
        <f>IF($A193="","",1)</f>
        <v/>
      </c>
    </row>
    <row r="194">
      <c r="A194" s="26" t="n"/>
      <c r="B194" s="26" t="n"/>
      <c r="C194" s="26" t="n"/>
      <c r="D194" s="26" t="n"/>
      <c r="E194" s="27" t="n"/>
      <c r="F194" s="27" t="n"/>
      <c r="G194" s="27" t="n"/>
      <c r="H194" s="26" t="n"/>
      <c r="I194" s="26" t="n"/>
      <c r="J194" s="28">
        <f>IF($A194="","",IF(isg_matrisTipi="FK",$E194*$G194*$F194,$E194*$F194))</f>
        <v/>
      </c>
      <c r="K194" s="28">
        <f>IF($A194="","",IF($J194&gt;=isg_esikKritikSeviye,"Kritik",IF($J194&gt;=isg_esikYuksek,"Yüksek",IF($J194&gt;=isg_esikOrta,"Orta","Düşük"))))</f>
        <v/>
      </c>
      <c r="L194" s="28">
        <f>IF($A194="","",1)</f>
        <v/>
      </c>
    </row>
    <row r="195">
      <c r="A195" s="26" t="n"/>
      <c r="B195" s="26" t="n"/>
      <c r="C195" s="26" t="n"/>
      <c r="D195" s="26" t="n"/>
      <c r="E195" s="27" t="n"/>
      <c r="F195" s="27" t="n"/>
      <c r="G195" s="27" t="n"/>
      <c r="H195" s="26" t="n"/>
      <c r="I195" s="26" t="n"/>
      <c r="J195" s="28">
        <f>IF($A195="","",IF(isg_matrisTipi="FK",$E195*$G195*$F195,$E195*$F195))</f>
        <v/>
      </c>
      <c r="K195" s="28">
        <f>IF($A195="","",IF($J195&gt;=isg_esikKritikSeviye,"Kritik",IF($J195&gt;=isg_esikYuksek,"Yüksek",IF($J195&gt;=isg_esikOrta,"Orta","Düşük"))))</f>
        <v/>
      </c>
      <c r="L195" s="28">
        <f>IF($A195="","",1)</f>
        <v/>
      </c>
    </row>
    <row r="196">
      <c r="A196" s="26" t="n"/>
      <c r="B196" s="26" t="n"/>
      <c r="C196" s="26" t="n"/>
      <c r="D196" s="26" t="n"/>
      <c r="E196" s="27" t="n"/>
      <c r="F196" s="27" t="n"/>
      <c r="G196" s="27" t="n"/>
      <c r="H196" s="26" t="n"/>
      <c r="I196" s="26" t="n"/>
      <c r="J196" s="28">
        <f>IF($A196="","",IF(isg_matrisTipi="FK",$E196*$G196*$F196,$E196*$F196))</f>
        <v/>
      </c>
      <c r="K196" s="28">
        <f>IF($A196="","",IF($J196&gt;=isg_esikKritikSeviye,"Kritik",IF($J196&gt;=isg_esikYuksek,"Yüksek",IF($J196&gt;=isg_esikOrta,"Orta","Düşük"))))</f>
        <v/>
      </c>
      <c r="L196" s="28">
        <f>IF($A196="","",1)</f>
        <v/>
      </c>
    </row>
    <row r="197">
      <c r="A197" s="26" t="n"/>
      <c r="B197" s="26" t="n"/>
      <c r="C197" s="26" t="n"/>
      <c r="D197" s="26" t="n"/>
      <c r="E197" s="27" t="n"/>
      <c r="F197" s="27" t="n"/>
      <c r="G197" s="27" t="n"/>
      <c r="H197" s="26" t="n"/>
      <c r="I197" s="26" t="n"/>
      <c r="J197" s="28">
        <f>IF($A197="","",IF(isg_matrisTipi="FK",$E197*$G197*$F197,$E197*$F197))</f>
        <v/>
      </c>
      <c r="K197" s="28">
        <f>IF($A197="","",IF($J197&gt;=isg_esikKritikSeviye,"Kritik",IF($J197&gt;=isg_esikYuksek,"Yüksek",IF($J197&gt;=isg_esikOrta,"Orta","Düşük"))))</f>
        <v/>
      </c>
      <c r="L197" s="28">
        <f>IF($A197="","",1)</f>
        <v/>
      </c>
    </row>
    <row r="198">
      <c r="A198" s="26" t="n"/>
      <c r="B198" s="26" t="n"/>
      <c r="C198" s="26" t="n"/>
      <c r="D198" s="26" t="n"/>
      <c r="E198" s="27" t="n"/>
      <c r="F198" s="27" t="n"/>
      <c r="G198" s="27" t="n"/>
      <c r="H198" s="26" t="n"/>
      <c r="I198" s="26" t="n"/>
      <c r="J198" s="28">
        <f>IF($A198="","",IF(isg_matrisTipi="FK",$E198*$G198*$F198,$E198*$F198))</f>
        <v/>
      </c>
      <c r="K198" s="28">
        <f>IF($A198="","",IF($J198&gt;=isg_esikKritikSeviye,"Kritik",IF($J198&gt;=isg_esikYuksek,"Yüksek",IF($J198&gt;=isg_esikOrta,"Orta","Düşük"))))</f>
        <v/>
      </c>
      <c r="L198" s="28">
        <f>IF($A198="","",1)</f>
        <v/>
      </c>
    </row>
    <row r="199">
      <c r="A199" s="26" t="n"/>
      <c r="B199" s="26" t="n"/>
      <c r="C199" s="26" t="n"/>
      <c r="D199" s="26" t="n"/>
      <c r="E199" s="27" t="n"/>
      <c r="F199" s="27" t="n"/>
      <c r="G199" s="27" t="n"/>
      <c r="H199" s="26" t="n"/>
      <c r="I199" s="26" t="n"/>
      <c r="J199" s="28">
        <f>IF($A199="","",IF(isg_matrisTipi="FK",$E199*$G199*$F199,$E199*$F199))</f>
        <v/>
      </c>
      <c r="K199" s="28">
        <f>IF($A199="","",IF($J199&gt;=isg_esikKritikSeviye,"Kritik",IF($J199&gt;=isg_esikYuksek,"Yüksek",IF($J199&gt;=isg_esikOrta,"Orta","Düşük"))))</f>
        <v/>
      </c>
      <c r="L199" s="28">
        <f>IF($A199="","",1)</f>
        <v/>
      </c>
    </row>
    <row r="200">
      <c r="A200" s="26" t="n"/>
      <c r="B200" s="26" t="n"/>
      <c r="C200" s="26" t="n"/>
      <c r="D200" s="26" t="n"/>
      <c r="E200" s="27" t="n"/>
      <c r="F200" s="27" t="n"/>
      <c r="G200" s="27" t="n"/>
      <c r="H200" s="26" t="n"/>
      <c r="I200" s="26" t="n"/>
      <c r="J200" s="28">
        <f>IF($A200="","",IF(isg_matrisTipi="FK",$E200*$G200*$F200,$E200*$F200))</f>
        <v/>
      </c>
      <c r="K200" s="28">
        <f>IF($A200="","",IF($J200&gt;=isg_esikKritikSeviye,"Kritik",IF($J200&gt;=isg_esikYuksek,"Yüksek",IF($J200&gt;=isg_esikOrta,"Orta","Düşük"))))</f>
        <v/>
      </c>
      <c r="L200" s="28">
        <f>IF($A200="","",1)</f>
        <v/>
      </c>
    </row>
    <row r="201">
      <c r="A201" s="26" t="n"/>
      <c r="B201" s="26" t="n"/>
      <c r="C201" s="26" t="n"/>
      <c r="D201" s="26" t="n"/>
      <c r="E201" s="27" t="n"/>
      <c r="F201" s="27" t="n"/>
      <c r="G201" s="27" t="n"/>
      <c r="H201" s="26" t="n"/>
      <c r="I201" s="26" t="n"/>
      <c r="J201" s="28">
        <f>IF($A201="","",IF(isg_matrisTipi="FK",$E201*$G201*$F201,$E201*$F201))</f>
        <v/>
      </c>
      <c r="K201" s="28">
        <f>IF($A201="","",IF($J201&gt;=isg_esikKritikSeviye,"Kritik",IF($J201&gt;=isg_esikYuksek,"Yüksek",IF($J201&gt;=isg_esikOrta,"Orta","Düşük"))))</f>
        <v/>
      </c>
      <c r="L201" s="28">
        <f>IF($A201="","",1)</f>
        <v/>
      </c>
    </row>
    <row r="202">
      <c r="A202" s="26" t="n"/>
      <c r="B202" s="26" t="n"/>
      <c r="C202" s="26" t="n"/>
      <c r="D202" s="26" t="n"/>
      <c r="E202" s="27" t="n"/>
      <c r="F202" s="27" t="n"/>
      <c r="G202" s="27" t="n"/>
      <c r="H202" s="26" t="n"/>
      <c r="I202" s="26" t="n"/>
      <c r="J202" s="28">
        <f>IF($A202="","",IF(isg_matrisTipi="FK",$E202*$G202*$F202,$E202*$F202))</f>
        <v/>
      </c>
      <c r="K202" s="28">
        <f>IF($A202="","",IF($J202&gt;=isg_esikKritikSeviye,"Kritik",IF($J202&gt;=isg_esikYuksek,"Yüksek",IF($J202&gt;=isg_esikOrta,"Orta","Düşük"))))</f>
        <v/>
      </c>
      <c r="L202" s="28">
        <f>IF($A202="","",1)</f>
        <v/>
      </c>
    </row>
    <row r="203">
      <c r="A203" s="26" t="n"/>
      <c r="B203" s="26" t="n"/>
      <c r="C203" s="26" t="n"/>
      <c r="D203" s="26" t="n"/>
      <c r="E203" s="27" t="n"/>
      <c r="F203" s="27" t="n"/>
      <c r="G203" s="27" t="n"/>
      <c r="H203" s="26" t="n"/>
      <c r="I203" s="26" t="n"/>
      <c r="J203" s="28">
        <f>IF($A203="","",IF(isg_matrisTipi="FK",$E203*$G203*$F203,$E203*$F203))</f>
        <v/>
      </c>
      <c r="K203" s="28">
        <f>IF($A203="","",IF($J203&gt;=isg_esikKritikSeviye,"Kritik",IF($J203&gt;=isg_esikYuksek,"Yüksek",IF($J203&gt;=isg_esikOrta,"Orta","Düşük"))))</f>
        <v/>
      </c>
      <c r="L203" s="28">
        <f>IF($A203="","",1)</f>
        <v/>
      </c>
    </row>
    <row r="204">
      <c r="A204" s="26" t="n"/>
      <c r="B204" s="26" t="n"/>
      <c r="C204" s="26" t="n"/>
      <c r="D204" s="26" t="n"/>
      <c r="E204" s="27" t="n"/>
      <c r="F204" s="27" t="n"/>
      <c r="G204" s="27" t="n"/>
      <c r="H204" s="26" t="n"/>
      <c r="I204" s="26" t="n"/>
      <c r="J204" s="28">
        <f>IF($A204="","",IF(isg_matrisTipi="FK",$E204*$G204*$F204,$E204*$F204))</f>
        <v/>
      </c>
      <c r="K204" s="28">
        <f>IF($A204="","",IF($J204&gt;=isg_esikKritikSeviye,"Kritik",IF($J204&gt;=isg_esikYuksek,"Yüksek",IF($J204&gt;=isg_esikOrta,"Orta","Düşük"))))</f>
        <v/>
      </c>
      <c r="L204" s="28">
        <f>IF($A204="","",1)</f>
        <v/>
      </c>
    </row>
    <row r="205">
      <c r="A205" s="26" t="n"/>
      <c r="B205" s="26" t="n"/>
      <c r="C205" s="26" t="n"/>
      <c r="D205" s="26" t="n"/>
      <c r="E205" s="27" t="n"/>
      <c r="F205" s="27" t="n"/>
      <c r="G205" s="27" t="n"/>
      <c r="H205" s="26" t="n"/>
      <c r="I205" s="26" t="n"/>
      <c r="J205" s="28">
        <f>IF($A205="","",IF(isg_matrisTipi="FK",$E205*$G205*$F205,$E205*$F205))</f>
        <v/>
      </c>
      <c r="K205" s="28">
        <f>IF($A205="","",IF($J205&gt;=isg_esikKritikSeviye,"Kritik",IF($J205&gt;=isg_esikYuksek,"Yüksek",IF($J205&gt;=isg_esikOrta,"Orta","Düşük"))))</f>
        <v/>
      </c>
      <c r="L205" s="28">
        <f>IF($A205="","",1)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K6:K205">
    <cfRule type="cellIs" priority="1" operator="equal" dxfId="4">
      <formula>"Kritik"</formula>
    </cfRule>
    <cfRule type="cellIs" priority="2" operator="equal" dxfId="1">
      <formula>"Yüksek"</formula>
    </cfRule>
    <cfRule type="cellIs" priority="3" operator="equal" dxfId="3">
      <formula>"Düşük"</formula>
    </cfRule>
  </conditionalFormatting>
  <conditionalFormatting sqref="I6:I205">
    <cfRule type="cellIs" priority="4" operator="equal" dxfId="1">
      <formula>"HAYIR"</formula>
    </cfRule>
  </conditionalFormatting>
  <dataValidations count="10">
    <dataValidation sqref="A6:A205" showDropDown="0" showInputMessage="1" showErrorMessage="1" allowBlank="1" errorTitle="Kimlik" error="En az 1 karakter" promptTitle="Tehlike Kimliği" prompt="TEH-##### girin" type="textLength" errorStyle="stop" operator="greaterThan">
      <formula1>1</formula1>
      <formula2>40</formula2>
    </dataValidation>
    <dataValidation sqref="B6:B205" showDropDown="0" showInputMessage="1" showErrorMessage="1" allowBlank="1" errorTitle="Bölüm" error="Geçersiz" promptTitle="Bölüm" prompt="Bölüm girin" type="textLength" errorStyle="stop" operator="greaterThanOrEqual">
      <formula1>0</formula1>
      <formula2>80</formula2>
    </dataValidation>
    <dataValidation sqref="C6:C205" showDropDown="0" showInputMessage="1" showErrorMessage="1" allowBlank="1" errorTitle="Tehlike" error="Geçersiz" promptTitle="Tehlike" prompt="Tehlike girin" type="textLength" errorStyle="stop" operator="greaterThanOrEqual">
      <formula1>0</formula1>
      <formula2>80</formula2>
    </dataValidation>
    <dataValidation sqref="D6:D205" showDropDown="0" showInputMessage="1" showErrorMessage="1" allowBlank="1" errorTitle="Madde" error="Geçersiz" promptTitle="Madde" prompt="Madde girin" type="textLength" errorStyle="stop" operator="greaterThanOrEqual">
      <formula1>0</formula1>
      <formula2>80</formula2>
    </dataValidation>
    <dataValidation sqref="H6:H205" showDropDown="0" showInputMessage="1" showErrorMessage="1" allowBlank="1" errorTitle="Kontrol" error="Geçersiz" promptTitle="Kontrol" prompt="Kontrol girin" type="textLength" errorStyle="stop" operator="greaterThanOrEqual">
      <formula1>0</formula1>
      <formula2>80</formula2>
    </dataValidation>
    <dataValidation sqref="E6:E205" showDropDown="0" showInputMessage="1" showErrorMessage="1" allowBlank="1" errorTitle="Olasılık" error="1-5 arası girin" promptTitle="Olasılık" prompt="1 ile 5 arası" type="whole" errorStyle="stop" operator="between">
      <formula1>1</formula1>
      <formula2>5</formula2>
    </dataValidation>
    <dataValidation sqref="F6:F205" showDropDown="0" showInputMessage="1" showErrorMessage="1" allowBlank="1" errorTitle="Şiddet" error="1-5 arası girin" promptTitle="Şiddet" prompt="1 ile 5 arası" type="whole" errorStyle="stop" operator="between">
      <formula1>1</formula1>
      <formula2>5</formula2>
    </dataValidation>
    <dataValidation sqref="G6:G205" showDropDown="0" showInputMessage="1" showErrorMessage="1" allowBlank="1" errorTitle="Frekans" error="1-5 arası girin" promptTitle="Frekans" prompt="1 ile 5 arası" type="whole" errorStyle="stop" operator="between">
      <formula1>1</formula1>
      <formula2>5</formula2>
    </dataValidation>
    <dataValidation sqref="I6:I2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D6:D205" showDropDown="0" showInputMessage="1" showErrorMessage="1" allowBlank="1" errorTitle="Liste" error="Listeden seçin" promptTitle="Madde Atıf" prompt="ISG madde kodu seçin" type="list" errorStyle="stop">
      <formula1>ListeMadde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DEGERLENDIRME — İSG Risk Değerlendirme Pro (6331)</t>
        </is>
      </c>
    </row>
    <row r="2"/>
    <row r="3" ht="22" customHeight="1">
      <c r="A3" s="199" t="inlineStr">
        <is>
          <t>Hesap motoru — ≥40 adım; puanlama matrisi AYARLAR'dan</t>
        </is>
      </c>
    </row>
    <row r="4"/>
    <row r="5">
      <c r="A5" s="29" t="inlineStr">
        <is>
          <t>Adım</t>
        </is>
      </c>
      <c r="B5" s="29" t="inlineStr">
        <is>
          <t>Açıklama</t>
        </is>
      </c>
      <c r="C5" s="29" t="inlineStr">
        <is>
          <t>Değer</t>
        </is>
      </c>
    </row>
    <row r="6">
      <c r="A6" s="7" t="inlineStr">
        <is>
          <t>H01</t>
        </is>
      </c>
      <c r="B6" s="7" t="inlineStr">
        <is>
          <t>Tehlike toplam</t>
        </is>
      </c>
      <c r="C6" s="30">
        <f>COUNTA(tblEnvanter[TehlikeId])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0">
        <f>SUM(tblEnvanter[KayitDolu])</f>
        <v/>
      </c>
    </row>
    <row r="8">
      <c r="A8" s="7" t="inlineStr">
        <is>
          <t>H03</t>
        </is>
      </c>
      <c r="B8" s="7" t="inlineStr">
        <is>
          <t>Aktif tehlike</t>
        </is>
      </c>
      <c r="C8" s="30">
        <f>COUNTIF(tblEnvanter[Aktif],"EVET")</f>
        <v/>
      </c>
    </row>
    <row r="9">
      <c r="A9" s="7" t="inlineStr">
        <is>
          <t>H04</t>
        </is>
      </c>
      <c r="B9" s="7" t="inlineStr">
        <is>
          <t>Skor toplam</t>
        </is>
      </c>
      <c r="C9" s="30">
        <f>SUM(tblEnvanter[HamSkor])</f>
        <v/>
      </c>
    </row>
    <row r="10">
      <c r="A10" s="7" t="inlineStr">
        <is>
          <t>H05</t>
        </is>
      </c>
      <c r="B10" s="7" t="inlineStr">
        <is>
          <t>Ortalama skor</t>
        </is>
      </c>
      <c r="C10" s="30">
        <f>IFERROR(AVERAGE(tblEnvanter[HamSkor]),0)</f>
        <v/>
      </c>
    </row>
    <row r="11">
      <c r="A11" s="7" t="inlineStr">
        <is>
          <t>H06</t>
        </is>
      </c>
      <c r="B11" s="7" t="inlineStr">
        <is>
          <t>Maks skor</t>
        </is>
      </c>
      <c r="C11" s="30">
        <f>IFERROR(MAX(tblEnvanter[HamSkor]),0)</f>
        <v/>
      </c>
    </row>
    <row r="12">
      <c r="A12" s="7" t="inlineStr">
        <is>
          <t>H07</t>
        </is>
      </c>
      <c r="B12" s="7" t="inlineStr">
        <is>
          <t>Min skor</t>
        </is>
      </c>
      <c r="C12" s="30">
        <f>IFERROR(MIN(tblEnvanter[HamSkor]),0)</f>
        <v/>
      </c>
    </row>
    <row r="13">
      <c r="A13" s="7" t="inlineStr">
        <is>
          <t>H08</t>
        </is>
      </c>
      <c r="B13" s="7" t="inlineStr">
        <is>
          <t>Düşük adet</t>
        </is>
      </c>
      <c r="C13" s="30">
        <f>COUNTIF(tblEnvanter[RiskSeviye],"Düşük")</f>
        <v/>
      </c>
    </row>
    <row r="14">
      <c r="A14" s="7" t="inlineStr">
        <is>
          <t>H09</t>
        </is>
      </c>
      <c r="B14" s="7" t="inlineStr">
        <is>
          <t>Orta adet</t>
        </is>
      </c>
      <c r="C14" s="30">
        <f>COUNTIF(tblEnvanter[RiskSeviye],"Orta")</f>
        <v/>
      </c>
    </row>
    <row r="15">
      <c r="A15" s="7" t="inlineStr">
        <is>
          <t>H10</t>
        </is>
      </c>
      <c r="B15" s="7" t="inlineStr">
        <is>
          <t>Yüksek adet</t>
        </is>
      </c>
      <c r="C15" s="30">
        <f>COUNTIF(tblEnvanter[RiskSeviye],"Yüksek")</f>
        <v/>
      </c>
    </row>
    <row r="16">
      <c r="A16" s="7" t="inlineStr">
        <is>
          <t>H11</t>
        </is>
      </c>
      <c r="B16" s="7" t="inlineStr">
        <is>
          <t>Kritik adet</t>
        </is>
      </c>
      <c r="C16" s="30">
        <f>COUNTIF(tblEnvanter[RiskSeviye],"Kritik")</f>
        <v/>
      </c>
    </row>
    <row r="17">
      <c r="A17" s="7" t="inlineStr">
        <is>
          <t>H12</t>
        </is>
      </c>
      <c r="B17" s="7" t="inlineStr">
        <is>
          <t>ISG-001 atıf</t>
        </is>
      </c>
      <c r="C17" s="30">
        <f>COUNTIF(tblEnvanter[MaddeAtif],"ISG-001")</f>
        <v/>
      </c>
    </row>
    <row r="18">
      <c r="A18" s="7" t="inlineStr">
        <is>
          <t>H13</t>
        </is>
      </c>
      <c r="B18" s="7" t="inlineStr">
        <is>
          <t>ISG-002 atıf</t>
        </is>
      </c>
      <c r="C18" s="30">
        <f>COUNTIF(tblEnvanter[MaddeAtif],"ISG-002")</f>
        <v/>
      </c>
    </row>
    <row r="19">
      <c r="A19" s="7" t="inlineStr">
        <is>
          <t>H14</t>
        </is>
      </c>
      <c r="B19" s="7" t="inlineStr">
        <is>
          <t>ISG-003 atıf</t>
        </is>
      </c>
      <c r="C19" s="30">
        <f>COUNTIF(tblEnvanter[MaddeAtif],"ISG-003")</f>
        <v/>
      </c>
    </row>
    <row r="20">
      <c r="A20" s="7" t="inlineStr">
        <is>
          <t>H15</t>
        </is>
      </c>
      <c r="B20" s="7" t="inlineStr">
        <is>
          <t>Eylem toplam</t>
        </is>
      </c>
      <c r="C20" s="30">
        <f>COUNTA(tblEylem[EylemId])</f>
        <v/>
      </c>
    </row>
    <row r="21">
      <c r="A21" s="7" t="inlineStr">
        <is>
          <t>H16</t>
        </is>
      </c>
      <c r="B21" s="7" t="inlineStr">
        <is>
          <t>Planlandı</t>
        </is>
      </c>
      <c r="C21" s="30">
        <f>COUNTIF(tblEylem[Durum],"PLANLANDI")</f>
        <v/>
      </c>
    </row>
    <row r="22">
      <c r="A22" s="7" t="inlineStr">
        <is>
          <t>H17</t>
        </is>
      </c>
      <c r="B22" s="7" t="inlineStr">
        <is>
          <t>Devam</t>
        </is>
      </c>
      <c r="C22" s="30">
        <f>COUNTIF(tblEylem[Durum],"DEVAM")</f>
        <v/>
      </c>
    </row>
    <row r="23">
      <c r="A23" s="7" t="inlineStr">
        <is>
          <t>H18</t>
        </is>
      </c>
      <c r="B23" s="7" t="inlineStr">
        <is>
          <t>Bekliyor</t>
        </is>
      </c>
      <c r="C23" s="30">
        <f>COUNTIF(tblEylem[Durum],"BEKLIYOR")</f>
        <v/>
      </c>
    </row>
    <row r="24">
      <c r="A24" s="7" t="inlineStr">
        <is>
          <t>H19</t>
        </is>
      </c>
      <c r="B24" s="7" t="inlineStr">
        <is>
          <t>Tamamlandı</t>
        </is>
      </c>
      <c r="C24" s="30">
        <f>COUNTIF(tblEylem[Durum],"TAMAMLANDI")</f>
        <v/>
      </c>
    </row>
    <row r="25">
      <c r="A25" s="7" t="inlineStr">
        <is>
          <t>H20</t>
        </is>
      </c>
      <c r="B25" s="7" t="inlineStr">
        <is>
          <t>İptal</t>
        </is>
      </c>
      <c r="C25" s="30">
        <f>COUNTIF(tblEylem[Durum],"IPTAL")</f>
        <v/>
      </c>
    </row>
    <row r="26">
      <c r="A26" s="7" t="inlineStr">
        <is>
          <t>H21</t>
        </is>
      </c>
      <c r="B26" s="7" t="inlineStr">
        <is>
          <t>Açık adet</t>
        </is>
      </c>
      <c r="C26" s="30">
        <f>C21+C22+C23</f>
        <v/>
      </c>
    </row>
    <row r="27">
      <c r="A27" s="7" t="inlineStr">
        <is>
          <t>H22</t>
        </is>
      </c>
      <c r="B27" s="7" t="inlineStr">
        <is>
          <t>Kapalı adet</t>
        </is>
      </c>
      <c r="C27" s="30">
        <f>C24+C25</f>
        <v/>
      </c>
    </row>
    <row r="28">
      <c r="A28" s="7" t="inlineStr">
        <is>
          <t>H23</t>
        </is>
      </c>
      <c r="B28" s="7" t="inlineStr">
        <is>
          <t>Açık tutar</t>
        </is>
      </c>
      <c r="C28" s="31">
        <f>SUMIF(tblEylem[Durum],"PLANLANDI",tblEylem[Tutar])+SUMIF(tblEylem[Durum],"DEVAM",tblEylem[Tutar])+SUMIF(tblEylem[Durum],"BEKLIYOR",tblEylem[Tutar])</f>
        <v/>
      </c>
    </row>
    <row r="29">
      <c r="A29" s="7" t="inlineStr">
        <is>
          <t>H24</t>
        </is>
      </c>
      <c r="B29" s="7" t="inlineStr">
        <is>
          <t>Yetim adet</t>
        </is>
      </c>
      <c r="C29" s="30">
        <f>COUNTIF(tblEylem[YetimBayrak],"YETİM")</f>
        <v/>
      </c>
    </row>
    <row r="30">
      <c r="A30" s="7" t="inlineStr">
        <is>
          <t>H25</t>
        </is>
      </c>
      <c r="B30" s="7" t="inlineStr">
        <is>
          <t>Geçersiz geçiş</t>
        </is>
      </c>
      <c r="C30" s="30">
        <f>COUNTIF(tblEylem[GecisUyarisi],"GEÇERSİZ GEÇİŞ")</f>
        <v/>
      </c>
    </row>
    <row r="31">
      <c r="A31" s="7" t="inlineStr">
        <is>
          <t>H26</t>
        </is>
      </c>
      <c r="B31" s="7" t="inlineStr">
        <is>
          <t>Zincir kırık</t>
        </is>
      </c>
      <c r="C31" s="30">
        <f>COUNTIF(tblEylem[ZincirBayrak],"ZİNCİR KIRIK")</f>
        <v/>
      </c>
    </row>
    <row r="32">
      <c r="A32" s="7" t="inlineStr">
        <is>
          <t>H27</t>
        </is>
      </c>
      <c r="B32" s="7" t="inlineStr">
        <is>
          <t>Zincir OK</t>
        </is>
      </c>
      <c r="C32" s="30">
        <f>COUNTIF(tblEylem[ZincirBayrak],"OK")</f>
        <v/>
      </c>
    </row>
    <row r="33">
      <c r="A33" s="7" t="inlineStr">
        <is>
          <t>H28</t>
        </is>
      </c>
      <c r="B33" s="7" t="inlineStr">
        <is>
          <t>Yaş 0-7</t>
        </is>
      </c>
      <c r="C33" s="30">
        <f>COUNTIF(tblEylem[YasKova],"0-7")</f>
        <v/>
      </c>
    </row>
    <row r="34">
      <c r="A34" s="7" t="inlineStr">
        <is>
          <t>H29</t>
        </is>
      </c>
      <c r="B34" s="7" t="inlineStr">
        <is>
          <t>Yaş 8-30</t>
        </is>
      </c>
      <c r="C34" s="30">
        <f>COUNTIF(tblEylem[YasKova],"8-30")</f>
        <v/>
      </c>
    </row>
    <row r="35">
      <c r="A35" s="7" t="inlineStr">
        <is>
          <t>H30</t>
        </is>
      </c>
      <c r="B35" s="7" t="inlineStr">
        <is>
          <t>Yaş 31-60</t>
        </is>
      </c>
      <c r="C35" s="30">
        <f>COUNTIF(tblEylem[YasKova],"31-60")</f>
        <v/>
      </c>
    </row>
    <row r="36">
      <c r="A36" s="7" t="inlineStr">
        <is>
          <t>H31</t>
        </is>
      </c>
      <c r="B36" s="7" t="inlineStr">
        <is>
          <t>Yaş 60+</t>
        </is>
      </c>
      <c r="C36" s="30">
        <f>COUNTIF(tblEylem[YasKova],"60+")</f>
        <v/>
      </c>
    </row>
    <row r="37">
      <c r="A37" s="7" t="inlineStr">
        <is>
          <t>H32</t>
        </is>
      </c>
      <c r="B37" s="7" t="inlineStr">
        <is>
          <t>Ort yaş gün</t>
        </is>
      </c>
      <c r="C37" s="32">
        <f>IFERROR(AVERAGE(tblEylem[YasGun]),0)</f>
        <v/>
      </c>
    </row>
    <row r="38">
      <c r="A38" s="7" t="inlineStr">
        <is>
          <t>H33</t>
        </is>
      </c>
      <c r="B38" s="7" t="inlineStr">
        <is>
          <t>Geciken adet</t>
        </is>
      </c>
      <c r="C38" s="30">
        <f>COUNTIFS(tblEylem[YasGun],"&gt;"&amp;isg_esikGecikmeGun,tblEylem[Durum],"&lt;&gt;TAMAMLANDI",tblEylem[Durum],"&lt;&gt;IPTAL",tblEylem[Tutar],"&gt;0")</f>
        <v/>
      </c>
    </row>
    <row r="39">
      <c r="A39" s="7" t="inlineStr">
        <is>
          <t>H34</t>
        </is>
      </c>
      <c r="B39" s="7" t="inlineStr">
        <is>
          <t>Geciken tutar</t>
        </is>
      </c>
      <c r="C39" s="31">
        <f>SUMIFS(tblEylem[Tutar],tblEylem[YasGun],"&gt;"&amp;isg_esikGecikmeGun,tblEylem[Durum],"&lt;&gt;TAMAMLANDI",tblEylem[Durum],"&lt;&gt;IPTAL")</f>
        <v/>
      </c>
    </row>
    <row r="40">
      <c r="A40" s="7" t="inlineStr">
        <is>
          <t>H35</t>
        </is>
      </c>
      <c r="B40" s="7" t="inlineStr">
        <is>
          <t>Gecikme maliyeti</t>
        </is>
      </c>
      <c r="C40" s="31">
        <f>C39*isg_gecikmeOranGun</f>
        <v/>
      </c>
    </row>
    <row r="41">
      <c r="A41" s="7" t="inlineStr">
        <is>
          <t>H36</t>
        </is>
      </c>
      <c r="B41" s="7" t="inlineStr">
        <is>
          <t>Temkinli senaryo</t>
        </is>
      </c>
      <c r="C41" s="30">
        <f>C9*isg_senaryoTemkinli</f>
        <v/>
      </c>
    </row>
    <row r="42">
      <c r="A42" s="7" t="inlineStr">
        <is>
          <t>H37</t>
        </is>
      </c>
      <c r="B42" s="7" t="inlineStr">
        <is>
          <t>Baz senaryo</t>
        </is>
      </c>
      <c r="C42" s="30">
        <f>C9*isg_senaryoBaz</f>
        <v/>
      </c>
    </row>
    <row r="43">
      <c r="A43" s="7" t="inlineStr">
        <is>
          <t>H38</t>
        </is>
      </c>
      <c r="B43" s="7" t="inlineStr">
        <is>
          <t>İyimser senaryo</t>
        </is>
      </c>
      <c r="C43" s="30">
        <f>C9*isg_senaryoIyimser</f>
        <v/>
      </c>
    </row>
    <row r="44">
      <c r="A44" s="7" t="inlineStr">
        <is>
          <t>H39</t>
        </is>
      </c>
      <c r="B44" s="7" t="inlineStr">
        <is>
          <t>Senaryo farkı</t>
        </is>
      </c>
      <c r="C44" s="30">
        <f>C41-C43</f>
        <v/>
      </c>
    </row>
    <row r="45">
      <c r="A45" s="7" t="inlineStr">
        <is>
          <t>H40</t>
        </is>
      </c>
      <c r="B45" s="7" t="inlineStr">
        <is>
          <t>Tornado etki</t>
        </is>
      </c>
      <c r="C45" s="30">
        <f>C9*isg_tornadoOran</f>
        <v/>
      </c>
    </row>
    <row r="46">
      <c r="A46" s="7" t="inlineStr">
        <is>
          <t>H41</t>
        </is>
      </c>
      <c r="B46" s="7" t="inlineStr">
        <is>
          <t>Eylem öncelik havuzu</t>
        </is>
      </c>
      <c r="C46" s="31">
        <f>SUMIFS(tblEylem[Tutar],tblEylem[Durum],"BEKLIYOR",tblEylem[YasGun],"&gt;"&amp;isg_esikGecikmeGun)</f>
        <v/>
      </c>
    </row>
    <row r="47">
      <c r="A47" s="7" t="inlineStr">
        <is>
          <t>H42</t>
        </is>
      </c>
      <c r="B47" s="7" t="inlineStr">
        <is>
          <t>Pareto kritik payı</t>
        </is>
      </c>
      <c r="C47" s="33">
        <f>IFERROR(C16/MAX(C6,1),0)</f>
        <v/>
      </c>
    </row>
    <row r="48">
      <c r="A48" s="7" t="inlineStr">
        <is>
          <t>H43</t>
        </is>
      </c>
      <c r="B48" s="7" t="inlineStr">
        <is>
          <t>Tahmin PERCENTILE</t>
        </is>
      </c>
      <c r="C48" s="30">
        <f>IFERROR(_xlfn.PERCENTILE.INC(tblEnvanter[HamSkor],isg_yuzdelikOran),0)</f>
        <v/>
      </c>
    </row>
    <row r="49">
      <c r="A49" s="7" t="inlineStr">
        <is>
          <t>H44</t>
        </is>
      </c>
      <c r="B49" s="7" t="inlineStr">
        <is>
          <t>Tahmin FORECAST</t>
        </is>
      </c>
      <c r="C49" s="30">
        <f>IFERROR(FORECAST(COUNTA(tblEnvanter[TehlikeId])+1,tblEnvanter[HamSkor],tblEnvanter[KayitDolu]),C48)</f>
        <v/>
      </c>
    </row>
    <row r="50">
      <c r="A50" s="7" t="inlineStr">
        <is>
          <t>H45</t>
        </is>
      </c>
      <c r="B50" s="7" t="inlineStr">
        <is>
          <t>Tahmin aralık</t>
        </is>
      </c>
      <c r="C50" s="30">
        <f>IFERROR((C48+C49)/2,0)</f>
        <v/>
      </c>
    </row>
    <row r="51">
      <c r="A51" s="7" t="inlineStr">
        <is>
          <t>H46</t>
        </is>
      </c>
      <c r="B51" s="7" t="inlineStr">
        <is>
          <t>Uyum oranı</t>
        </is>
      </c>
      <c r="C51" s="33">
        <f>IFERROR(C24/MAX(C20,1),0)</f>
        <v/>
      </c>
    </row>
    <row r="52">
      <c r="A52" s="7" t="inlineStr">
        <is>
          <t>H47</t>
        </is>
      </c>
      <c r="B52" s="7" t="inlineStr">
        <is>
          <t>Anomali skor</t>
        </is>
      </c>
      <c r="C52" s="30">
        <f>COUNTIFS(tblEnvanter[HamSkor],"&gt;"&amp;isg_esikAnomali)+C29+C30+C31</f>
        <v/>
      </c>
    </row>
    <row r="53">
      <c r="A53" s="7" t="inlineStr">
        <is>
          <t>H48</t>
        </is>
      </c>
      <c r="B53" s="7" t="inlineStr">
        <is>
          <t>Yaş kova metin</t>
        </is>
      </c>
      <c r="C53" s="24">
        <f>_xlfn.TEXTJOIN("/",TRUE,C33,C34,C35,C36)</f>
        <v/>
      </c>
    </row>
    <row r="54">
      <c r="A54" s="7" t="inlineStr">
        <is>
          <t>H49</t>
        </is>
      </c>
      <c r="B54" s="7" t="inlineStr">
        <is>
          <t>Skor dağılım metin</t>
        </is>
      </c>
      <c r="C54" s="24">
        <f>_xlfn.TEXTJOIN(" | ",TRUE,"D",C13,"O",C14,"Y",C15,"K",C16)</f>
        <v/>
      </c>
    </row>
    <row r="55">
      <c r="A55" s="7" t="inlineStr">
        <is>
          <t>H50</t>
        </is>
      </c>
      <c r="B55" s="7" t="inlineStr">
        <is>
          <t>Kuyruk özeti</t>
        </is>
      </c>
      <c r="C55" s="24">
        <f>_xlfn.TEXTJOIN(" | ",TRUE,"Plan",C21,"Devam",C22,"Bekliyor",C23,"Geciken",C38)</f>
        <v/>
      </c>
    </row>
    <row r="56">
      <c r="A56" s="7" t="inlineStr">
        <is>
          <t>H51</t>
        </is>
      </c>
      <c r="B56" s="7" t="inlineStr">
        <is>
          <t>Karar skoru ham</t>
        </is>
      </c>
      <c r="C56" s="30">
        <f>IF(C6=0,0,MAX(0,100-C29*10-C30*10-C31*10-C16*5-C38*2))</f>
        <v/>
      </c>
    </row>
    <row r="57">
      <c r="A57" s="7" t="inlineStr">
        <is>
          <t>H52</t>
        </is>
      </c>
      <c r="B57" s="7" t="inlineStr">
        <is>
          <t>Veri hazırlık</t>
        </is>
      </c>
      <c r="C57" s="33">
        <f>IF(C6=0,0,C7/MAX(C6,1))</f>
        <v/>
      </c>
    </row>
    <row r="58">
      <c r="A58" s="7" t="inlineStr">
        <is>
          <t>H53</t>
        </is>
      </c>
      <c r="B58" s="7" t="inlineStr">
        <is>
          <t>Madde atıf özeti</t>
        </is>
      </c>
      <c r="C58" s="24">
        <f>_xlfn.TEXTJOIN(" · ",TRUE,"ISG-001",C17,"ISG-002",C18,"ISG-003",C19)</f>
        <v/>
      </c>
    </row>
    <row r="59">
      <c r="A59" s="7" t="inlineStr">
        <is>
          <t>H54</t>
        </is>
      </c>
      <c r="B59" s="7" t="inlineStr">
        <is>
          <t>Yenileme kalan gün</t>
        </is>
      </c>
      <c r="C59" s="32">
        <f>isg_yenilemeTarihi-raporTarihi</f>
        <v/>
      </c>
    </row>
    <row r="60">
      <c r="A60" s="7" t="inlineStr">
        <is>
          <t>H55</t>
        </is>
      </c>
      <c r="B60" s="7" t="inlineStr">
        <is>
          <t>Kapalı düşüm</t>
        </is>
      </c>
      <c r="C60" s="30">
        <f>C27</f>
        <v/>
      </c>
    </row>
    <row r="61"/>
    <row r="62"/>
    <row r="63"/>
    <row r="64">
      <c r="A64" s="29" t="inlineStr">
        <is>
          <t>Senaryo</t>
        </is>
      </c>
      <c r="B64" s="29" t="inlineStr">
        <is>
          <t>Çarpan</t>
        </is>
      </c>
      <c r="C64" s="29" t="inlineStr">
        <is>
          <t>Sonuç</t>
        </is>
      </c>
    </row>
    <row r="65">
      <c r="A65" s="7" t="inlineStr">
        <is>
          <t>Temkinli</t>
        </is>
      </c>
      <c r="B65" s="34">
        <f>isg_senaryoTemkinli*IF(COUNTA(tblEnvanter[TehlikeId])&gt;=0,1,1)</f>
        <v/>
      </c>
      <c r="C65" s="20">
        <f>C41</f>
        <v/>
      </c>
    </row>
    <row r="66">
      <c r="A66" s="7" t="inlineStr">
        <is>
          <t>Baz</t>
        </is>
      </c>
      <c r="B66" s="34">
        <f>isg_senaryoBaz*IF(COUNTA(tblEnvanter[TehlikeId])&gt;=0,1,1)</f>
        <v/>
      </c>
      <c r="C66" s="20">
        <f>C42</f>
        <v/>
      </c>
    </row>
    <row r="67">
      <c r="A67" s="7" t="inlineStr">
        <is>
          <t>İyimser</t>
        </is>
      </c>
      <c r="B67" s="34">
        <f>isg_senaryoIyimser*IF(COUNTA(tblEnvanter[TehlikeId])&gt;=0,1,1)</f>
        <v/>
      </c>
      <c r="C67" s="20">
        <f>C43</f>
        <v/>
      </c>
    </row>
    <row r="68"/>
    <row r="69">
      <c r="A69" s="16" t="inlineStr">
        <is>
          <t>Kuyruk (açık eylemler)</t>
        </is>
      </c>
    </row>
    <row r="70">
      <c r="A70" s="7" t="inlineStr">
        <is>
          <t>Planlandı</t>
        </is>
      </c>
      <c r="B70" s="20">
        <f>COUNTIFS(tblEylem[durum],"PLANLANDI",tblEylem[tutar],"&gt;0")</f>
        <v/>
      </c>
      <c r="C70" s="21">
        <f>SUMIFS(tblEylem[tutar],tblEylem[durum],"PLANLANDI")</f>
        <v/>
      </c>
    </row>
    <row r="71">
      <c r="A71" s="7" t="inlineStr">
        <is>
          <t>Devam</t>
        </is>
      </c>
      <c r="B71" s="20">
        <f>COUNTIFS(tblEylem[durum],"DEVAM",tblEylem[tutar],"&gt;0")</f>
        <v/>
      </c>
      <c r="C71" s="21">
        <f>SUMIFS(tblEylem[tutar],tblEylem[durum],"DEVAM")</f>
        <v/>
      </c>
    </row>
    <row r="72">
      <c r="A72" s="7" t="inlineStr">
        <is>
          <t>Bekliyor</t>
        </is>
      </c>
      <c r="B72" s="20">
        <f>COUNTIFS(tblEylem[durum],"BEKLIYOR",tblEylem[tutar],"&gt;0")</f>
        <v/>
      </c>
      <c r="C72" s="21">
        <f>SUMIFS(tblEylem[tutar],tblEylem[durum],"BEKLIYOR")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conditionalFormatting sqref="C57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C58">
    <cfRule type="cellIs" priority="105" operator="greaterThan" dxfId="3">
      <formula>0</formula>
    </cfRule>
    <cfRule type="cellIs" priority="106" operator="lessThan" dxfId="2">
      <formula>0</formula>
    </cfRule>
  </conditionalFormatting>
  <conditionalFormatting sqref="C59">
    <cfRule type="cellIs" priority="107" operator="greaterThan" dxfId="3">
      <formula>0</formula>
    </cfRule>
    <cfRule type="cellIs" priority="108" operator="lessThan" dxfId="2">
      <formula>0</formula>
    </cfRule>
  </conditionalFormatting>
  <conditionalFormatting sqref="C60">
    <cfRule type="cellIs" priority="109" operator="greaterThan" dxfId="3">
      <formula>0</formula>
    </cfRule>
    <cfRule type="cellIs" priority="110" operator="lessThan" dxfId="2">
      <formula>0</formula>
    </cfRule>
  </conditionalFormatting>
  <conditionalFormatting sqref="B70">
    <cfRule type="cellIs" priority="111" operator="greaterThan" dxfId="1">
      <formula>0</formula>
    </cfRule>
  </conditionalFormatting>
  <conditionalFormatting sqref="B71">
    <cfRule type="cellIs" priority="112" operator="greaterThan" dxfId="1">
      <formula>0</formula>
    </cfRule>
  </conditionalFormatting>
  <conditionalFormatting sqref="B72">
    <cfRule type="cellIs" priority="113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9.5" customWidth="1" min="2" max="2"/>
    <col width="23.5" customWidth="1" min="3" max="3"/>
    <col width="23.5" customWidth="1" min="4" max="4"/>
    <col width="15.5" customWidth="1" min="5" max="5"/>
    <col width="14.5" customWidth="1" min="6" max="6"/>
    <col width="13.5" customWidth="1" min="7" max="7"/>
    <col width="21.5" customWidth="1" min="8" max="8"/>
    <col width="12" customWidth="1" min="9" max="9"/>
    <col width="13.5" customWidth="1" min="10" max="10"/>
    <col width="12" customWidth="1" min="11" max="11"/>
    <col width="12" customWidth="1" min="12" max="12"/>
    <col width="12" customWidth="1" min="13" max="13"/>
    <col width="15.5" customWidth="1" min="14" max="14"/>
    <col width="16.5" customWidth="1" min="15" max="15"/>
    <col width="16.5" customWidth="1" min="16" max="16"/>
    <col width="13.5" customWidth="1" min="17" max="17"/>
    <col width="13" customWidth="1" min="18" max="18"/>
  </cols>
  <sheetData>
    <row r="1" ht="32" customHeight="1">
      <c r="A1" s="179" t="inlineStr">
        <is>
          <t>EYLEM PLANI — İSG Risk Değerlendirme Pro (6331)</t>
        </is>
      </c>
    </row>
    <row r="2"/>
    <row r="3" ht="22" customHeight="1">
      <c r="A3" s="199" t="inlineStr">
        <is>
          <t>Eylem satırları — durum makinesi + yetim + geçersiz geçiş + zincir bayrakları</t>
        </is>
      </c>
    </row>
    <row r="4"/>
    <row r="5" ht="30" customHeight="1">
      <c r="A5" s="25" t="inlineStr">
        <is>
          <t>EylemId</t>
        </is>
      </c>
      <c r="B5" s="25" t="inlineStr">
        <is>
          <t>KaynakTehlikeId</t>
        </is>
      </c>
      <c r="C5" s="25" t="inlineStr">
        <is>
          <t>Tarih</t>
        </is>
      </c>
      <c r="D5" s="25" t="inlineStr">
        <is>
          <t>Termin</t>
        </is>
      </c>
      <c r="E5" s="25" t="inlineStr">
        <is>
          <t>OncekiDurum</t>
        </is>
      </c>
      <c r="F5" s="25" t="inlineStr">
        <is>
          <t>Durum</t>
        </is>
      </c>
      <c r="G5" s="25" t="inlineStr">
        <is>
          <t>Sorumlu</t>
        </is>
      </c>
      <c r="H5" s="25" t="inlineStr">
        <is>
          <t>Aciklama</t>
        </is>
      </c>
      <c r="I5" s="25" t="inlineStr">
        <is>
          <t>IlkSkor</t>
        </is>
      </c>
      <c r="J5" s="25" t="inlineStr">
        <is>
          <t>HedefSkor</t>
        </is>
      </c>
      <c r="K5" s="25" t="inlineStr">
        <is>
          <t>Tutar</t>
        </is>
      </c>
      <c r="L5" s="25" t="inlineStr">
        <is>
          <t>YasGun</t>
        </is>
      </c>
      <c r="M5" s="25" t="inlineStr">
        <is>
          <t>YasKova</t>
        </is>
      </c>
      <c r="N5" s="25" t="inlineStr">
        <is>
          <t>YetimBayrak</t>
        </is>
      </c>
      <c r="O5" s="25" t="inlineStr">
        <is>
          <t>GecisUyarisi</t>
        </is>
      </c>
      <c r="P5" s="25" t="inlineStr">
        <is>
          <t>ZincirBayrak</t>
        </is>
      </c>
      <c r="Q5" s="25" t="inlineStr">
        <is>
          <t>KayitDolu</t>
        </is>
      </c>
    </row>
    <row r="6">
      <c r="A6" s="26" t="inlineStr">
        <is>
          <t>EYL-00001</t>
        </is>
      </c>
      <c r="B6" s="26" t="inlineStr">
        <is>
          <t>TEH-00001</t>
        </is>
      </c>
      <c r="C6" s="35" t="n">
        <v>46240</v>
      </c>
      <c r="D6" s="35" t="n">
        <v>46235</v>
      </c>
      <c r="E6" s="26" t="n"/>
      <c r="F6" s="26" t="inlineStr">
        <is>
          <t>PLANLANDI</t>
        </is>
      </c>
      <c r="G6" s="26" t="inlineStr">
        <is>
          <t>Sorumlu 2</t>
        </is>
      </c>
      <c r="H6" s="26" t="inlineStr">
        <is>
          <t>Kontrol eylemi 1</t>
        </is>
      </c>
      <c r="I6" s="27" t="n">
        <v>20</v>
      </c>
      <c r="J6" s="27" t="n">
        <v>18</v>
      </c>
      <c r="K6" s="36" t="n">
        <v>5000</v>
      </c>
      <c r="L6" s="28">
        <f>IF($A6="","",IF($C6="","",raporTarihi-$C6))</f>
        <v/>
      </c>
      <c r="M6" s="28">
        <f>IF($A6="","",IF($L6="","",IF($L6&lt;=7,"0-7",IF($L6&lt;=30,"8-30",IF($L6&lt;=60,"31-60","60+")))))</f>
        <v/>
      </c>
      <c r="N6" s="28">
        <f>IF($A6="","",IF($B6="","YETİM",IF(COUNTIF(tblEnvanter[TehlikeId],$B6)=0,"YETİM","")))</f>
        <v/>
      </c>
      <c r="O6" s="28">
        <f>IF(OR($A6="",$E6=""),"",IF(OR($E6&amp;"|"&amp;$F6="",COUNTIF(ListeIzinliGecis,$E6&amp;"|"&amp;$F6)&gt;0),"","GEÇERSİZ GEÇİŞ"))</f>
        <v/>
      </c>
      <c r="P6" s="28">
        <f>IF($A6="","",IF(OR($I6="",$J6=""),"",IF(ABS($J6-$I6)&gt;zincirTolerans,"ZİNCİR KIRIK","OK")))</f>
        <v/>
      </c>
      <c r="Q6" s="28">
        <f>IF($A6="","",1)</f>
        <v/>
      </c>
    </row>
    <row r="7">
      <c r="A7" s="26" t="inlineStr">
        <is>
          <t>EYL-00002</t>
        </is>
      </c>
      <c r="B7" s="26" t="inlineStr">
        <is>
          <t>TEH-00002</t>
        </is>
      </c>
      <c r="C7" s="35" t="n">
        <v>46236</v>
      </c>
      <c r="D7" s="35" t="n">
        <v>46236</v>
      </c>
      <c r="E7" s="26" t="inlineStr">
        <is>
          <t>PLANLANDI</t>
        </is>
      </c>
      <c r="F7" s="26" t="inlineStr">
        <is>
          <t>DEVAM</t>
        </is>
      </c>
      <c r="G7" s="26" t="inlineStr">
        <is>
          <t>Sorumlu 3</t>
        </is>
      </c>
      <c r="H7" s="26" t="inlineStr">
        <is>
          <t>Kontrol eylemi 2</t>
        </is>
      </c>
      <c r="I7" s="27" t="n">
        <v>12</v>
      </c>
      <c r="J7" s="27" t="n">
        <v>8</v>
      </c>
      <c r="K7" s="36" t="n">
        <v>3000</v>
      </c>
      <c r="L7" s="28">
        <f>IF($A7="","",IF($C7="","",raporTarihi-$C7))</f>
        <v/>
      </c>
      <c r="M7" s="28">
        <f>IF($A7="","",IF($L7="","",IF($L7&lt;=7,"0-7",IF($L7&lt;=30,"8-30",IF($L7&lt;=60,"31-60","60+")))))</f>
        <v/>
      </c>
      <c r="N7" s="28">
        <f>IF($A7="","",IF($B7="","YETİM",IF(COUNTIF(tblEnvanter[TehlikeId],$B7)=0,"YETİM","")))</f>
        <v/>
      </c>
      <c r="O7" s="28">
        <f>IF(OR($A7="",$E7=""),"",IF(OR($E7&amp;"|"&amp;$F7="",COUNTIF(ListeIzinliGecis,$E7&amp;"|"&amp;$F7)&gt;0),"","GEÇERSİZ GEÇİŞ"))</f>
        <v/>
      </c>
      <c r="P7" s="28">
        <f>IF($A7="","",IF(OR($I7="",$J7=""),"",IF(ABS($J7-$I7)&gt;zincirTolerans,"ZİNCİR KIRIK","OK")))</f>
        <v/>
      </c>
      <c r="Q7" s="28">
        <f>IF($A7="","",1)</f>
        <v/>
      </c>
    </row>
    <row r="8">
      <c r="A8" s="26" t="inlineStr">
        <is>
          <t>EYL-00003</t>
        </is>
      </c>
      <c r="B8" s="26" t="inlineStr">
        <is>
          <t>TEH-00003</t>
        </is>
      </c>
      <c r="C8" s="35" t="n">
        <v>46232</v>
      </c>
      <c r="D8" s="35" t="n">
        <v>46237</v>
      </c>
      <c r="E8" s="26" t="inlineStr">
        <is>
          <t>DEVAM</t>
        </is>
      </c>
      <c r="F8" s="26" t="inlineStr">
        <is>
          <t>BEKLIYOR</t>
        </is>
      </c>
      <c r="G8" s="26" t="inlineStr">
        <is>
          <t>Sorumlu 4</t>
        </is>
      </c>
      <c r="H8" s="26" t="inlineStr">
        <is>
          <t>Kontrol eylemi 3</t>
        </is>
      </c>
      <c r="I8" s="27" t="n">
        <v>15</v>
      </c>
      <c r="J8" s="27" t="n">
        <v>9</v>
      </c>
      <c r="K8" s="36" t="n">
        <v>3750</v>
      </c>
      <c r="L8" s="28">
        <f>IF($A8="","",IF($C8="","",raporTarihi-$C8))</f>
        <v/>
      </c>
      <c r="M8" s="28">
        <f>IF($A8="","",IF($L8="","",IF($L8&lt;=7,"0-7",IF($L8&lt;=30,"8-30",IF($L8&lt;=60,"31-60","60+")))))</f>
        <v/>
      </c>
      <c r="N8" s="28">
        <f>IF($A8="","",IF($B8="","YETİM",IF(COUNTIF(tblEnvanter[TehlikeId],$B8)=0,"YETİM","")))</f>
        <v/>
      </c>
      <c r="O8" s="28">
        <f>IF(OR($A8="",$E8=""),"",IF(OR($E8&amp;"|"&amp;$F8="",COUNTIF(ListeIzinliGecis,$E8&amp;"|"&amp;$F8)&gt;0),"","GEÇERSİZ GEÇİŞ"))</f>
        <v/>
      </c>
      <c r="P8" s="28">
        <f>IF($A8="","",IF(OR($I8="",$J8=""),"",IF(ABS($J8-$I8)&gt;zincirTolerans,"ZİNCİR KIRIK","OK")))</f>
        <v/>
      </c>
      <c r="Q8" s="28">
        <f>IF($A8="","",1)</f>
        <v/>
      </c>
    </row>
    <row r="9">
      <c r="A9" s="26" t="inlineStr">
        <is>
          <t>EYL-00004</t>
        </is>
      </c>
      <c r="B9" s="26" t="inlineStr">
        <is>
          <t>TEH-00004</t>
        </is>
      </c>
      <c r="C9" s="35" t="n">
        <v>46228</v>
      </c>
      <c r="D9" s="35" t="n">
        <v>46238</v>
      </c>
      <c r="E9" s="26" t="inlineStr">
        <is>
          <t>BEKLIYOR</t>
        </is>
      </c>
      <c r="F9" s="26" t="inlineStr">
        <is>
          <t>TAMAMLANDI</t>
        </is>
      </c>
      <c r="G9" s="26" t="inlineStr">
        <is>
          <t>Sorumlu 5</t>
        </is>
      </c>
      <c r="H9" s="26" t="inlineStr">
        <is>
          <t>Kontrol eylemi 4</t>
        </is>
      </c>
      <c r="I9" s="27" t="n">
        <v>20</v>
      </c>
      <c r="J9" s="27" t="n">
        <v>12</v>
      </c>
      <c r="K9" s="36" t="n">
        <v>5000</v>
      </c>
      <c r="L9" s="28">
        <f>IF($A9="","",IF($C9="","",raporTarihi-$C9))</f>
        <v/>
      </c>
      <c r="M9" s="28">
        <f>IF($A9="","",IF($L9="","",IF($L9&lt;=7,"0-7",IF($L9&lt;=30,"8-30",IF($L9&lt;=60,"31-60","60+")))))</f>
        <v/>
      </c>
      <c r="N9" s="28">
        <f>IF($A9="","",IF($B9="","YETİM",IF(COUNTIF(tblEnvanter[TehlikeId],$B9)=0,"YETİM","")))</f>
        <v/>
      </c>
      <c r="O9" s="28">
        <f>IF(OR($A9="",$E9=""),"",IF(OR($E9&amp;"|"&amp;$F9="",COUNTIF(ListeIzinliGecis,$E9&amp;"|"&amp;$F9)&gt;0),"","GEÇERSİZ GEÇİŞ"))</f>
        <v/>
      </c>
      <c r="P9" s="28">
        <f>IF($A9="","",IF(OR($I9="",$J9=""),"",IF(ABS($J9-$I9)&gt;zincirTolerans,"ZİNCİR KIRIK","OK")))</f>
        <v/>
      </c>
      <c r="Q9" s="28">
        <f>IF($A9="","",1)</f>
        <v/>
      </c>
    </row>
    <row r="10">
      <c r="A10" s="26" t="inlineStr">
        <is>
          <t>EYL-00005</t>
        </is>
      </c>
      <c r="B10" s="26" t="inlineStr">
        <is>
          <t>TEH-00005</t>
        </is>
      </c>
      <c r="C10" s="35" t="n">
        <v>46224</v>
      </c>
      <c r="D10" s="35" t="n">
        <v>46239</v>
      </c>
      <c r="E10" s="26" t="inlineStr">
        <is>
          <t>DEVAM</t>
        </is>
      </c>
      <c r="F10" s="26" t="inlineStr">
        <is>
          <t>IPTAL</t>
        </is>
      </c>
      <c r="G10" s="26" t="inlineStr">
        <is>
          <t>Sorumlu 6</t>
        </is>
      </c>
      <c r="H10" s="26" t="inlineStr">
        <is>
          <t>Kontrol eylemi 5</t>
        </is>
      </c>
      <c r="I10" s="27" t="n">
        <v>6</v>
      </c>
      <c r="J10" s="27" t="n">
        <v>6</v>
      </c>
      <c r="K10" s="36" t="n">
        <v>1500</v>
      </c>
      <c r="L10" s="28">
        <f>IF($A10="","",IF($C10="","",raporTarihi-$C10))</f>
        <v/>
      </c>
      <c r="M10" s="28">
        <f>IF($A10="","",IF($L10="","",IF($L10&lt;=7,"0-7",IF($L10&lt;=30,"8-30",IF($L10&lt;=60,"31-60","60+")))))</f>
        <v/>
      </c>
      <c r="N10" s="28">
        <f>IF($A10="","",IF($B10="","YETİM",IF(COUNTIF(tblEnvanter[TehlikeId],$B10)=0,"YETİM","")))</f>
        <v/>
      </c>
      <c r="O10" s="28">
        <f>IF(OR($A10="",$E10=""),"",IF(OR($E10&amp;"|"&amp;$F10="",COUNTIF(ListeIzinliGecis,$E10&amp;"|"&amp;$F10)&gt;0),"","GEÇERSİZ GEÇİŞ"))</f>
        <v/>
      </c>
      <c r="P10" s="28">
        <f>IF($A10="","",IF(OR($I10="",$J10=""),"",IF(ABS($J10-$I10)&gt;zincirTolerans,"ZİNCİR KIRIK","OK")))</f>
        <v/>
      </c>
      <c r="Q10" s="28">
        <f>IF($A10="","",1)</f>
        <v/>
      </c>
    </row>
    <row r="11">
      <c r="A11" s="26" t="inlineStr">
        <is>
          <t>EYL-00006</t>
        </is>
      </c>
      <c r="B11" s="26" t="inlineStr">
        <is>
          <t>TEH-00006</t>
        </is>
      </c>
      <c r="C11" s="35" t="n">
        <v>46220</v>
      </c>
      <c r="D11" s="35" t="n">
        <v>46240</v>
      </c>
      <c r="E11" s="26" t="inlineStr">
        <is>
          <t>PLANLANDI</t>
        </is>
      </c>
      <c r="F11" s="26" t="inlineStr">
        <is>
          <t>DEVAM</t>
        </is>
      </c>
      <c r="G11" s="26" t="inlineStr">
        <is>
          <t>Sorumlu 1</t>
        </is>
      </c>
      <c r="H11" s="26" t="inlineStr">
        <is>
          <t>Kontrol eylemi 6</t>
        </is>
      </c>
      <c r="I11" s="27" t="n">
        <v>8</v>
      </c>
      <c r="J11" s="27" t="n">
        <v>6</v>
      </c>
      <c r="K11" s="36" t="n">
        <v>2000</v>
      </c>
      <c r="L11" s="28">
        <f>IF($A11="","",IF($C11="","",raporTarihi-$C11))</f>
        <v/>
      </c>
      <c r="M11" s="28">
        <f>IF($A11="","",IF($L11="","",IF($L11&lt;=7,"0-7",IF($L11&lt;=30,"8-30",IF($L11&lt;=60,"31-60","60+")))))</f>
        <v/>
      </c>
      <c r="N11" s="28">
        <f>IF($A11="","",IF($B11="","YETİM",IF(COUNTIF(tblEnvanter[TehlikeId],$B11)=0,"YETİM","")))</f>
        <v/>
      </c>
      <c r="O11" s="28">
        <f>IF(OR($A11="",$E11=""),"",IF(OR($E11&amp;"|"&amp;$F11="",COUNTIF(ListeIzinliGecis,$E11&amp;"|"&amp;$F11)&gt;0),"","GEÇERSİZ GEÇİŞ"))</f>
        <v/>
      </c>
      <c r="P11" s="28">
        <f>IF($A11="","",IF(OR($I11="",$J11=""),"",IF(ABS($J11-$I11)&gt;zincirTolerans,"ZİNCİR KIRIK","OK")))</f>
        <v/>
      </c>
      <c r="Q11" s="28">
        <f>IF($A11="","",1)</f>
        <v/>
      </c>
    </row>
    <row r="12">
      <c r="A12" s="26" t="inlineStr">
        <is>
          <t>EYL-00007</t>
        </is>
      </c>
      <c r="B12" s="26" t="inlineStr">
        <is>
          <t>TEH-00007</t>
        </is>
      </c>
      <c r="C12" s="35" t="n">
        <v>46216</v>
      </c>
      <c r="D12" s="35" t="n">
        <v>46241</v>
      </c>
      <c r="E12" s="26" t="inlineStr">
        <is>
          <t>DEVAM</t>
        </is>
      </c>
      <c r="F12" s="26" t="inlineStr">
        <is>
          <t>BEKLIYOR</t>
        </is>
      </c>
      <c r="G12" s="26" t="inlineStr">
        <is>
          <t>Sorumlu 2</t>
        </is>
      </c>
      <c r="H12" s="26" t="inlineStr">
        <is>
          <t>Kontrol eylemi 7</t>
        </is>
      </c>
      <c r="I12" s="27" t="n">
        <v>12</v>
      </c>
      <c r="J12" s="27" t="n">
        <v>8</v>
      </c>
      <c r="K12" s="36" t="n">
        <v>3000</v>
      </c>
      <c r="L12" s="28">
        <f>IF($A12="","",IF($C12="","",raporTarihi-$C12))</f>
        <v/>
      </c>
      <c r="M12" s="28">
        <f>IF($A12="","",IF($L12="","",IF($L12&lt;=7,"0-7",IF($L12&lt;=30,"8-30",IF($L12&lt;=60,"31-60","60+")))))</f>
        <v/>
      </c>
      <c r="N12" s="28">
        <f>IF($A12="","",IF($B12="","YETİM",IF(COUNTIF(tblEnvanter[TehlikeId],$B12)=0,"YETİM","")))</f>
        <v/>
      </c>
      <c r="O12" s="28">
        <f>IF(OR($A12="",$E12=""),"",IF(OR($E12&amp;"|"&amp;$F12="",COUNTIF(ListeIzinliGecis,$E12&amp;"|"&amp;$F12)&gt;0),"","GEÇERSİZ GEÇİŞ"))</f>
        <v/>
      </c>
      <c r="P12" s="28">
        <f>IF($A12="","",IF(OR($I12="",$J12=""),"",IF(ABS($J12-$I12)&gt;zincirTolerans,"ZİNCİR KIRIK","OK")))</f>
        <v/>
      </c>
      <c r="Q12" s="28">
        <f>IF($A12="","",1)</f>
        <v/>
      </c>
    </row>
    <row r="13">
      <c r="A13" s="26" t="inlineStr">
        <is>
          <t>EYL-00008</t>
        </is>
      </c>
      <c r="B13" s="26" t="inlineStr">
        <is>
          <t>TEH-00008</t>
        </is>
      </c>
      <c r="C13" s="35" t="n">
        <v>46212</v>
      </c>
      <c r="D13" s="35" t="n">
        <v>46242</v>
      </c>
      <c r="E13" s="26" t="inlineStr">
        <is>
          <t>PLANLANDI</t>
        </is>
      </c>
      <c r="F13" s="26" t="inlineStr">
        <is>
          <t>PLANLANDI</t>
        </is>
      </c>
      <c r="G13" s="26" t="inlineStr">
        <is>
          <t>Sorumlu 3</t>
        </is>
      </c>
      <c r="H13" s="26" t="inlineStr">
        <is>
          <t>Kontrol eylemi 8</t>
        </is>
      </c>
      <c r="I13" s="27" t="n">
        <v>15</v>
      </c>
      <c r="J13" s="27" t="n">
        <v>9</v>
      </c>
      <c r="K13" s="36" t="n">
        <v>3750</v>
      </c>
      <c r="L13" s="28">
        <f>IF($A13="","",IF($C13="","",raporTarihi-$C13))</f>
        <v/>
      </c>
      <c r="M13" s="28">
        <f>IF($A13="","",IF($L13="","",IF($L13&lt;=7,"0-7",IF($L13&lt;=30,"8-30",IF($L13&lt;=60,"31-60","60+")))))</f>
        <v/>
      </c>
      <c r="N13" s="28">
        <f>IF($A13="","",IF($B13="","YETİM",IF(COUNTIF(tblEnvanter[TehlikeId],$B13)=0,"YETİM","")))</f>
        <v/>
      </c>
      <c r="O13" s="28">
        <f>IF(OR($A13="",$E13=""),"",IF(OR($E13&amp;"|"&amp;$F13="",COUNTIF(ListeIzinliGecis,$E13&amp;"|"&amp;$F13)&gt;0),"","GEÇERSİZ GEÇİŞ"))</f>
        <v/>
      </c>
      <c r="P13" s="28">
        <f>IF($A13="","",IF(OR($I13="",$J13=""),"",IF(ABS($J13-$I13)&gt;zincirTolerans,"ZİNCİR KIRIK","OK")))</f>
        <v/>
      </c>
      <c r="Q13" s="28">
        <f>IF($A13="","",1)</f>
        <v/>
      </c>
    </row>
    <row r="14">
      <c r="A14" s="26" t="inlineStr">
        <is>
          <t>EYL-00009</t>
        </is>
      </c>
      <c r="B14" s="26" t="inlineStr">
        <is>
          <t>TEH-00009</t>
        </is>
      </c>
      <c r="C14" s="35" t="n">
        <v>46208</v>
      </c>
      <c r="D14" s="35" t="n">
        <v>46243</v>
      </c>
      <c r="E14" s="26" t="n"/>
      <c r="F14" s="26" t="inlineStr">
        <is>
          <t>PLANLANDI</t>
        </is>
      </c>
      <c r="G14" s="26" t="inlineStr">
        <is>
          <t>Sorumlu 4</t>
        </is>
      </c>
      <c r="H14" s="26" t="inlineStr">
        <is>
          <t>Kontrol eylemi 9</t>
        </is>
      </c>
      <c r="I14" s="27" t="n">
        <v>16</v>
      </c>
      <c r="J14" s="27" t="n">
        <v>8</v>
      </c>
      <c r="K14" s="36" t="n">
        <v>4000</v>
      </c>
      <c r="L14" s="28">
        <f>IF($A14="","",IF($C14="","",raporTarihi-$C14))</f>
        <v/>
      </c>
      <c r="M14" s="28">
        <f>IF($A14="","",IF($L14="","",IF($L14&lt;=7,"0-7",IF($L14&lt;=30,"8-30",IF($L14&lt;=60,"31-60","60+")))))</f>
        <v/>
      </c>
      <c r="N14" s="28">
        <f>IF($A14="","",IF($B14="","YETİM",IF(COUNTIF(tblEnvanter[TehlikeId],$B14)=0,"YETİM","")))</f>
        <v/>
      </c>
      <c r="O14" s="28">
        <f>IF(OR($A14="",$E14=""),"",IF(OR($E14&amp;"|"&amp;$F14="",COUNTIF(ListeIzinliGecis,$E14&amp;"|"&amp;$F14)&gt;0),"","GEÇERSİZ GEÇİŞ"))</f>
        <v/>
      </c>
      <c r="P14" s="28">
        <f>IF($A14="","",IF(OR($I14="",$J14=""),"",IF(ABS($J14-$I14)&gt;zincirTolerans,"ZİNCİR KIRIK","OK")))</f>
        <v/>
      </c>
      <c r="Q14" s="28">
        <f>IF($A14="","",1)</f>
        <v/>
      </c>
    </row>
    <row r="15">
      <c r="A15" s="26" t="inlineStr">
        <is>
          <t>EYL-00010</t>
        </is>
      </c>
      <c r="B15" s="26" t="inlineStr">
        <is>
          <t>TEH-00010</t>
        </is>
      </c>
      <c r="C15" s="35" t="n">
        <v>46204</v>
      </c>
      <c r="D15" s="35" t="n">
        <v>46244</v>
      </c>
      <c r="E15" s="26" t="inlineStr">
        <is>
          <t>PLANLANDI</t>
        </is>
      </c>
      <c r="F15" s="26" t="inlineStr">
        <is>
          <t>DEVAM</t>
        </is>
      </c>
      <c r="G15" s="26" t="inlineStr">
        <is>
          <t>Sorumlu 5</t>
        </is>
      </c>
      <c r="H15" s="26" t="inlineStr">
        <is>
          <t>Kontrol eylemi 10</t>
        </is>
      </c>
      <c r="I15" s="27" t="n">
        <v>12</v>
      </c>
      <c r="J15" s="27" t="n">
        <v>12</v>
      </c>
      <c r="K15" s="36" t="n">
        <v>3000</v>
      </c>
      <c r="L15" s="28">
        <f>IF($A15="","",IF($C15="","",raporTarihi-$C15))</f>
        <v/>
      </c>
      <c r="M15" s="28">
        <f>IF($A15="","",IF($L15="","",IF($L15&lt;=7,"0-7",IF($L15&lt;=30,"8-30",IF($L15&lt;=60,"31-60","60+")))))</f>
        <v/>
      </c>
      <c r="N15" s="28">
        <f>IF($A15="","",IF($B15="","YETİM",IF(COUNTIF(tblEnvanter[TehlikeId],$B15)=0,"YETİM","")))</f>
        <v/>
      </c>
      <c r="O15" s="28">
        <f>IF(OR($A15="",$E15=""),"",IF(OR($E15&amp;"|"&amp;$F15="",COUNTIF(ListeIzinliGecis,$E15&amp;"|"&amp;$F15)&gt;0),"","GEÇERSİZ GEÇİŞ"))</f>
        <v/>
      </c>
      <c r="P15" s="28">
        <f>IF($A15="","",IF(OR($I15="",$J15=""),"",IF(ABS($J15-$I15)&gt;zincirTolerans,"ZİNCİR KIRIK","OK")))</f>
        <v/>
      </c>
      <c r="Q15" s="28">
        <f>IF($A15="","",1)</f>
        <v/>
      </c>
    </row>
    <row r="16">
      <c r="A16" s="26" t="inlineStr">
        <is>
          <t>EYL-00011</t>
        </is>
      </c>
      <c r="B16" s="26" t="inlineStr">
        <is>
          <t>TEH-00011</t>
        </is>
      </c>
      <c r="C16" s="35" t="n">
        <v>46200</v>
      </c>
      <c r="D16" s="35" t="n">
        <v>46245</v>
      </c>
      <c r="E16" s="26" t="inlineStr">
        <is>
          <t>DEVAM</t>
        </is>
      </c>
      <c r="F16" s="26" t="inlineStr">
        <is>
          <t>BEKLIYOR</t>
        </is>
      </c>
      <c r="G16" s="26" t="inlineStr">
        <is>
          <t>Sorumlu 6</t>
        </is>
      </c>
      <c r="H16" s="26" t="inlineStr">
        <is>
          <t>Kontrol eylemi 11</t>
        </is>
      </c>
      <c r="I16" s="27" t="n">
        <v>25</v>
      </c>
      <c r="J16" s="27" t="n">
        <v>23</v>
      </c>
      <c r="K16" s="36" t="n">
        <v>6250</v>
      </c>
      <c r="L16" s="28">
        <f>IF($A16="","",IF($C16="","",raporTarihi-$C16))</f>
        <v/>
      </c>
      <c r="M16" s="28">
        <f>IF($A16="","",IF($L16="","",IF($L16&lt;=7,"0-7",IF($L16&lt;=30,"8-30",IF($L16&lt;=60,"31-60","60+")))))</f>
        <v/>
      </c>
      <c r="N16" s="28">
        <f>IF($A16="","",IF($B16="","YETİM",IF(COUNTIF(tblEnvanter[TehlikeId],$B16)=0,"YETİM","")))</f>
        <v/>
      </c>
      <c r="O16" s="28">
        <f>IF(OR($A16="",$E16=""),"",IF(OR($E16&amp;"|"&amp;$F16="",COUNTIF(ListeIzinliGecis,$E16&amp;"|"&amp;$F16)&gt;0),"","GEÇERSİZ GEÇİŞ"))</f>
        <v/>
      </c>
      <c r="P16" s="28">
        <f>IF($A16="","",IF(OR($I16="",$J16=""),"",IF(ABS($J16-$I16)&gt;zincirTolerans,"ZİNCİR KIRIK","OK")))</f>
        <v/>
      </c>
      <c r="Q16" s="28">
        <f>IF($A16="","",1)</f>
        <v/>
      </c>
    </row>
    <row r="17">
      <c r="A17" s="26" t="inlineStr">
        <is>
          <t>EYL-00012</t>
        </is>
      </c>
      <c r="B17" s="26" t="inlineStr">
        <is>
          <t>TEH-00012</t>
        </is>
      </c>
      <c r="C17" s="35" t="n">
        <v>46196</v>
      </c>
      <c r="D17" s="35" t="n">
        <v>46246</v>
      </c>
      <c r="E17" s="26" t="inlineStr">
        <is>
          <t>BEKLIYOR</t>
        </is>
      </c>
      <c r="F17" s="26" t="inlineStr">
        <is>
          <t>TAMAMLANDI</t>
        </is>
      </c>
      <c r="G17" s="26" t="inlineStr">
        <is>
          <t>Sorumlu 1</t>
        </is>
      </c>
      <c r="H17" s="26" t="inlineStr">
        <is>
          <t>Kontrol eylemi 12</t>
        </is>
      </c>
      <c r="I17" s="27" t="n">
        <v>15</v>
      </c>
      <c r="J17" s="27" t="n">
        <v>55</v>
      </c>
      <c r="K17" s="36" t="n">
        <v>3750</v>
      </c>
      <c r="L17" s="28">
        <f>IF($A17="","",IF($C17="","",raporTarihi-$C17))</f>
        <v/>
      </c>
      <c r="M17" s="28">
        <f>IF($A17="","",IF($L17="","",IF($L17&lt;=7,"0-7",IF($L17&lt;=30,"8-30",IF($L17&lt;=60,"31-60","60+")))))</f>
        <v/>
      </c>
      <c r="N17" s="28">
        <f>IF($A17="","",IF($B17="","YETİM",IF(COUNTIF(tblEnvanter[TehlikeId],$B17)=0,"YETİM","")))</f>
        <v/>
      </c>
      <c r="O17" s="28">
        <f>IF(OR($A17="",$E17=""),"",IF(OR($E17&amp;"|"&amp;$F17="",COUNTIF(ListeIzinliGecis,$E17&amp;"|"&amp;$F17)&gt;0),"","GEÇERSİZ GEÇİŞ"))</f>
        <v/>
      </c>
      <c r="P17" s="28">
        <f>IF($A17="","",IF(OR($I17="",$J17=""),"",IF(ABS($J17-$I17)&gt;zincirTolerans,"ZİNCİR KIRIK","OK")))</f>
        <v/>
      </c>
      <c r="Q17" s="28">
        <f>IF($A17="","",1)</f>
        <v/>
      </c>
    </row>
    <row r="18">
      <c r="A18" s="26" t="inlineStr">
        <is>
          <t>EYL-00013</t>
        </is>
      </c>
      <c r="B18" s="26" t="inlineStr">
        <is>
          <t>TEH-00013</t>
        </is>
      </c>
      <c r="C18" s="35" t="n">
        <v>46192</v>
      </c>
      <c r="D18" s="35" t="n">
        <v>46247</v>
      </c>
      <c r="E18" s="26" t="inlineStr">
        <is>
          <t>DEVAM</t>
        </is>
      </c>
      <c r="F18" s="26" t="inlineStr">
        <is>
          <t>IPTAL</t>
        </is>
      </c>
      <c r="G18" s="26" t="inlineStr">
        <is>
          <t>Sorumlu 2</t>
        </is>
      </c>
      <c r="H18" s="26" t="inlineStr">
        <is>
          <t>Kontrol eylemi 13</t>
        </is>
      </c>
      <c r="I18" s="27" t="n">
        <v>9</v>
      </c>
      <c r="J18" s="27" t="n">
        <v>3</v>
      </c>
      <c r="K18" s="36" t="n">
        <v>2250</v>
      </c>
      <c r="L18" s="28">
        <f>IF($A18="","",IF($C18="","",raporTarihi-$C18))</f>
        <v/>
      </c>
      <c r="M18" s="28">
        <f>IF($A18="","",IF($L18="","",IF($L18&lt;=7,"0-7",IF($L18&lt;=30,"8-30",IF($L18&lt;=60,"31-60","60+")))))</f>
        <v/>
      </c>
      <c r="N18" s="28">
        <f>IF($A18="","",IF($B18="","YETİM",IF(COUNTIF(tblEnvanter[TehlikeId],$B18)=0,"YETİM","")))</f>
        <v/>
      </c>
      <c r="O18" s="28">
        <f>IF(OR($A18="",$E18=""),"",IF(OR($E18&amp;"|"&amp;$F18="",COUNTIF(ListeIzinliGecis,$E18&amp;"|"&amp;$F18)&gt;0),"","GEÇERSİZ GEÇİŞ"))</f>
        <v/>
      </c>
      <c r="P18" s="28">
        <f>IF($A18="","",IF(OR($I18="",$J18=""),"",IF(ABS($J18-$I18)&gt;zincirTolerans,"ZİNCİR KIRIK","OK")))</f>
        <v/>
      </c>
      <c r="Q18" s="28">
        <f>IF($A18="","",1)</f>
        <v/>
      </c>
    </row>
    <row r="19">
      <c r="A19" s="26" t="inlineStr">
        <is>
          <t>EYL-00014</t>
        </is>
      </c>
      <c r="B19" s="26" t="inlineStr">
        <is>
          <t>TEH-00014</t>
        </is>
      </c>
      <c r="C19" s="35" t="n">
        <v>46188</v>
      </c>
      <c r="D19" s="35" t="n">
        <v>46248</v>
      </c>
      <c r="E19" s="26" t="inlineStr">
        <is>
          <t>PLANLANDI</t>
        </is>
      </c>
      <c r="F19" s="26" t="inlineStr">
        <is>
          <t>DEVAM</t>
        </is>
      </c>
      <c r="G19" s="26" t="inlineStr">
        <is>
          <t>Sorumlu 3</t>
        </is>
      </c>
      <c r="H19" s="26" t="inlineStr">
        <is>
          <t>Kontrol eylemi 14</t>
        </is>
      </c>
      <c r="I19" s="27" t="n">
        <v>16</v>
      </c>
      <c r="J19" s="27" t="n">
        <v>8</v>
      </c>
      <c r="K19" s="36" t="n">
        <v>4000</v>
      </c>
      <c r="L19" s="28">
        <f>IF($A19="","",IF($C19="","",raporTarihi-$C19))</f>
        <v/>
      </c>
      <c r="M19" s="28">
        <f>IF($A19="","",IF($L19="","",IF($L19&lt;=7,"0-7",IF($L19&lt;=30,"8-30",IF($L19&lt;=60,"31-60","60+")))))</f>
        <v/>
      </c>
      <c r="N19" s="28">
        <f>IF($A19="","",IF($B19="","YETİM",IF(COUNTIF(tblEnvanter[TehlikeId],$B19)=0,"YETİM","")))</f>
        <v/>
      </c>
      <c r="O19" s="28">
        <f>IF(OR($A19="",$E19=""),"",IF(OR($E19&amp;"|"&amp;$F19="",COUNTIF(ListeIzinliGecis,$E19&amp;"|"&amp;$F19)&gt;0),"","GEÇERSİZ GEÇİŞ"))</f>
        <v/>
      </c>
      <c r="P19" s="28">
        <f>IF($A19="","",IF(OR($I19="",$J19=""),"",IF(ABS($J19-$I19)&gt;zincirTolerans,"ZİNCİR KIRIK","OK")))</f>
        <v/>
      </c>
      <c r="Q19" s="28">
        <f>IF($A19="","",1)</f>
        <v/>
      </c>
    </row>
    <row r="20">
      <c r="A20" s="26" t="inlineStr">
        <is>
          <t>EYL-00015</t>
        </is>
      </c>
      <c r="B20" s="26" t="inlineStr">
        <is>
          <t>TEH-00015</t>
        </is>
      </c>
      <c r="C20" s="35" t="n">
        <v>46184</v>
      </c>
      <c r="D20" s="35" t="n">
        <v>46249</v>
      </c>
      <c r="E20" s="26" t="inlineStr">
        <is>
          <t>DEVAM</t>
        </is>
      </c>
      <c r="F20" s="26" t="inlineStr">
        <is>
          <t>BEKLIYOR</t>
        </is>
      </c>
      <c r="G20" s="26" t="inlineStr">
        <is>
          <t>Sorumlu 4</t>
        </is>
      </c>
      <c r="H20" s="26" t="inlineStr">
        <is>
          <t>Kontrol eylemi 15</t>
        </is>
      </c>
      <c r="I20" s="27" t="n">
        <v>10</v>
      </c>
      <c r="J20" s="27" t="n">
        <v>10</v>
      </c>
      <c r="K20" s="36" t="n">
        <v>2500</v>
      </c>
      <c r="L20" s="28">
        <f>IF($A20="","",IF($C20="","",raporTarihi-$C20))</f>
        <v/>
      </c>
      <c r="M20" s="28">
        <f>IF($A20="","",IF($L20="","",IF($L20&lt;=7,"0-7",IF($L20&lt;=30,"8-30",IF($L20&lt;=60,"31-60","60+")))))</f>
        <v/>
      </c>
      <c r="N20" s="28">
        <f>IF($A20="","",IF($B20="","YETİM",IF(COUNTIF(tblEnvanter[TehlikeId],$B20)=0,"YETİM","")))</f>
        <v/>
      </c>
      <c r="O20" s="28">
        <f>IF(OR($A20="",$E20=""),"",IF(OR($E20&amp;"|"&amp;$F20="",COUNTIF(ListeIzinliGecis,$E20&amp;"|"&amp;$F20)&gt;0),"","GEÇERSİZ GEÇİŞ"))</f>
        <v/>
      </c>
      <c r="P20" s="28">
        <f>IF($A20="","",IF(OR($I20="",$J20=""),"",IF(ABS($J20-$I20)&gt;zincirTolerans,"ZİNCİR KIRIK","OK")))</f>
        <v/>
      </c>
      <c r="Q20" s="28">
        <f>IF($A20="","",1)</f>
        <v/>
      </c>
    </row>
    <row r="21">
      <c r="A21" s="26" t="inlineStr">
        <is>
          <t>EYL-00016</t>
        </is>
      </c>
      <c r="B21" s="26" t="inlineStr">
        <is>
          <t>TEH-00016</t>
        </is>
      </c>
      <c r="C21" s="35" t="n">
        <v>46180</v>
      </c>
      <c r="D21" s="35" t="n">
        <v>46250</v>
      </c>
      <c r="E21" s="26" t="inlineStr">
        <is>
          <t>PLANLANDI</t>
        </is>
      </c>
      <c r="F21" s="26" t="inlineStr">
        <is>
          <t>PLANLANDI</t>
        </is>
      </c>
      <c r="G21" s="26" t="inlineStr">
        <is>
          <t>Sorumlu 5</t>
        </is>
      </c>
      <c r="H21" s="26" t="inlineStr">
        <is>
          <t>Kontrol eylemi 16</t>
        </is>
      </c>
      <c r="I21" s="27" t="n">
        <v>9</v>
      </c>
      <c r="J21" s="27" t="n">
        <v>7</v>
      </c>
      <c r="K21" s="36" t="n">
        <v>2250</v>
      </c>
      <c r="L21" s="28">
        <f>IF($A21="","",IF($C21="","",raporTarihi-$C21))</f>
        <v/>
      </c>
      <c r="M21" s="28">
        <f>IF($A21="","",IF($L21="","",IF($L21&lt;=7,"0-7",IF($L21&lt;=30,"8-30",IF($L21&lt;=60,"31-60","60+")))))</f>
        <v/>
      </c>
      <c r="N21" s="28">
        <f>IF($A21="","",IF($B21="","YETİM",IF(COUNTIF(tblEnvanter[TehlikeId],$B21)=0,"YETİM","")))</f>
        <v/>
      </c>
      <c r="O21" s="28">
        <f>IF(OR($A21="",$E21=""),"",IF(OR($E21&amp;"|"&amp;$F21="",COUNTIF(ListeIzinliGecis,$E21&amp;"|"&amp;$F21)&gt;0),"","GEÇERSİZ GEÇİŞ"))</f>
        <v/>
      </c>
      <c r="P21" s="28">
        <f>IF($A21="","",IF(OR($I21="",$J21=""),"",IF(ABS($J21-$I21)&gt;zincirTolerans,"ZİNCİR KIRIK","OK")))</f>
        <v/>
      </c>
      <c r="Q21" s="28">
        <f>IF($A21="","",1)</f>
        <v/>
      </c>
    </row>
    <row r="22">
      <c r="A22" s="26" t="inlineStr">
        <is>
          <t>EYL-00017</t>
        </is>
      </c>
      <c r="B22" s="26" t="inlineStr">
        <is>
          <t>TEH-00017</t>
        </is>
      </c>
      <c r="C22" s="35" t="n">
        <v>46176</v>
      </c>
      <c r="D22" s="35" t="n">
        <v>46251</v>
      </c>
      <c r="E22" s="26" t="n"/>
      <c r="F22" s="26" t="inlineStr">
        <is>
          <t>PLANLANDI</t>
        </is>
      </c>
      <c r="G22" s="26" t="inlineStr">
        <is>
          <t>Sorumlu 6</t>
        </is>
      </c>
      <c r="H22" s="26" t="inlineStr">
        <is>
          <t>Kontrol eylemi 17</t>
        </is>
      </c>
      <c r="I22" s="27" t="n">
        <v>12</v>
      </c>
      <c r="J22" s="27" t="n">
        <v>8</v>
      </c>
      <c r="K22" s="36" t="n">
        <v>3000</v>
      </c>
      <c r="L22" s="28">
        <f>IF($A22="","",IF($C22="","",raporTarihi-$C22))</f>
        <v/>
      </c>
      <c r="M22" s="28">
        <f>IF($A22="","",IF($L22="","",IF($L22&lt;=7,"0-7",IF($L22&lt;=30,"8-30",IF($L22&lt;=60,"31-60","60+")))))</f>
        <v/>
      </c>
      <c r="N22" s="28">
        <f>IF($A22="","",IF($B22="","YETİM",IF(COUNTIF(tblEnvanter[TehlikeId],$B22)=0,"YETİM","")))</f>
        <v/>
      </c>
      <c r="O22" s="28">
        <f>IF(OR($A22="",$E22=""),"",IF(OR($E22&amp;"|"&amp;$F22="",COUNTIF(ListeIzinliGecis,$E22&amp;"|"&amp;$F22)&gt;0),"","GEÇERSİZ GEÇİŞ"))</f>
        <v/>
      </c>
      <c r="P22" s="28">
        <f>IF($A22="","",IF(OR($I22="",$J22=""),"",IF(ABS($J22-$I22)&gt;zincirTolerans,"ZİNCİR KIRIK","OK")))</f>
        <v/>
      </c>
      <c r="Q22" s="28">
        <f>IF($A22="","",1)</f>
        <v/>
      </c>
    </row>
    <row r="23">
      <c r="A23" s="26" t="inlineStr">
        <is>
          <t>EYL-00018</t>
        </is>
      </c>
      <c r="B23" s="26" t="inlineStr">
        <is>
          <t>TEH-00018</t>
        </is>
      </c>
      <c r="C23" s="35" t="n">
        <v>46172</v>
      </c>
      <c r="D23" s="35" t="n">
        <v>46252</v>
      </c>
      <c r="E23" s="26" t="inlineStr">
        <is>
          <t>PLANLANDI</t>
        </is>
      </c>
      <c r="F23" s="26" t="inlineStr">
        <is>
          <t>TAMAMLANDI</t>
        </is>
      </c>
      <c r="G23" s="26" t="inlineStr">
        <is>
          <t>Sorumlu 1</t>
        </is>
      </c>
      <c r="H23" s="26" t="inlineStr">
        <is>
          <t>Kontrol eylemi 18</t>
        </is>
      </c>
      <c r="I23" s="27" t="n">
        <v>6</v>
      </c>
      <c r="J23" s="27" t="n">
        <v>1</v>
      </c>
      <c r="K23" s="36" t="n">
        <v>1500</v>
      </c>
      <c r="L23" s="28">
        <f>IF($A23="","",IF($C23="","",raporTarihi-$C23))</f>
        <v/>
      </c>
      <c r="M23" s="28">
        <f>IF($A23="","",IF($L23="","",IF($L23&lt;=7,"0-7",IF($L23&lt;=30,"8-30",IF($L23&lt;=60,"31-60","60+")))))</f>
        <v/>
      </c>
      <c r="N23" s="28">
        <f>IF($A23="","",IF($B23="","YETİM",IF(COUNTIF(tblEnvanter[TehlikeId],$B23)=0,"YETİM","")))</f>
        <v/>
      </c>
      <c r="O23" s="28">
        <f>IF(OR($A23="",$E23=""),"",IF(OR($E23&amp;"|"&amp;$F23="",COUNTIF(ListeIzinliGecis,$E23&amp;"|"&amp;$F23)&gt;0),"","GEÇERSİZ GEÇİŞ"))</f>
        <v/>
      </c>
      <c r="P23" s="28">
        <f>IF($A23="","",IF(OR($I23="",$J23=""),"",IF(ABS($J23-$I23)&gt;zincirTolerans,"ZİNCİR KIRIK","OK")))</f>
        <v/>
      </c>
      <c r="Q23" s="28">
        <f>IF($A23="","",1)</f>
        <v/>
      </c>
    </row>
    <row r="24">
      <c r="A24" s="26" t="inlineStr">
        <is>
          <t>EYL-00019</t>
        </is>
      </c>
      <c r="B24" s="26" t="inlineStr">
        <is>
          <t>TEH-00019</t>
        </is>
      </c>
      <c r="C24" s="35" t="n">
        <v>46168</v>
      </c>
      <c r="D24" s="35" t="n">
        <v>46253</v>
      </c>
      <c r="E24" s="26" t="inlineStr">
        <is>
          <t>DEVAM</t>
        </is>
      </c>
      <c r="F24" s="26" t="inlineStr">
        <is>
          <t>BEKLIYOR</t>
        </is>
      </c>
      <c r="G24" s="26" t="inlineStr">
        <is>
          <t>Sorumlu 2</t>
        </is>
      </c>
      <c r="H24" s="26" t="inlineStr">
        <is>
          <t>Kontrol eylemi 19</t>
        </is>
      </c>
      <c r="I24" s="27" t="n">
        <v>20</v>
      </c>
      <c r="J24" s="27" t="n">
        <v>60</v>
      </c>
      <c r="K24" s="36" t="n">
        <v>5000</v>
      </c>
      <c r="L24" s="28">
        <f>IF($A24="","",IF($C24="","",raporTarihi-$C24))</f>
        <v/>
      </c>
      <c r="M24" s="28">
        <f>IF($A24="","",IF($L24="","",IF($L24&lt;=7,"0-7",IF($L24&lt;=30,"8-30",IF($L24&lt;=60,"31-60","60+")))))</f>
        <v/>
      </c>
      <c r="N24" s="28">
        <f>IF($A24="","",IF($B24="","YETİM",IF(COUNTIF(tblEnvanter[TehlikeId],$B24)=0,"YETİM","")))</f>
        <v/>
      </c>
      <c r="O24" s="28">
        <f>IF(OR($A24="",$E24=""),"",IF(OR($E24&amp;"|"&amp;$F24="",COUNTIF(ListeIzinliGecis,$E24&amp;"|"&amp;$F24)&gt;0),"","GEÇERSİZ GEÇİŞ"))</f>
        <v/>
      </c>
      <c r="P24" s="28">
        <f>IF($A24="","",IF(OR($I24="",$J24=""),"",IF(ABS($J24-$I24)&gt;zincirTolerans,"ZİNCİR KIRIK","OK")))</f>
        <v/>
      </c>
      <c r="Q24" s="28">
        <f>IF($A24="","",1)</f>
        <v/>
      </c>
    </row>
    <row r="25">
      <c r="A25" s="26" t="inlineStr">
        <is>
          <t>EYL-00020</t>
        </is>
      </c>
      <c r="B25" s="26" t="inlineStr">
        <is>
          <t>TEH-00020</t>
        </is>
      </c>
      <c r="C25" s="35" t="n">
        <v>46164</v>
      </c>
      <c r="D25" s="35" t="n">
        <v>46234</v>
      </c>
      <c r="E25" s="26" t="inlineStr">
        <is>
          <t>TAMAMLANDI</t>
        </is>
      </c>
      <c r="F25" s="26" t="inlineStr">
        <is>
          <t>DEVAM</t>
        </is>
      </c>
      <c r="G25" s="26" t="inlineStr">
        <is>
          <t>Sorumlu 3</t>
        </is>
      </c>
      <c r="H25" s="26" t="inlineStr">
        <is>
          <t>Kontrol eylemi 20</t>
        </is>
      </c>
      <c r="I25" s="27" t="n">
        <v>15</v>
      </c>
      <c r="J25" s="27" t="n">
        <v>15</v>
      </c>
      <c r="K25" s="36" t="n">
        <v>3750</v>
      </c>
      <c r="L25" s="28">
        <f>IF($A25="","",IF($C25="","",raporTarihi-$C25))</f>
        <v/>
      </c>
      <c r="M25" s="28">
        <f>IF($A25="","",IF($L25="","",IF($L25&lt;=7,"0-7",IF($L25&lt;=30,"8-30",IF($L25&lt;=60,"31-60","60+")))))</f>
        <v/>
      </c>
      <c r="N25" s="28">
        <f>IF($A25="","",IF($B25="","YETİM",IF(COUNTIF(tblEnvanter[TehlikeId],$B25)=0,"YETİM","")))</f>
        <v/>
      </c>
      <c r="O25" s="28">
        <f>IF(OR($A25="",$E25=""),"",IF(OR($E25&amp;"|"&amp;$F25="",COUNTIF(ListeIzinliGecis,$E25&amp;"|"&amp;$F25)&gt;0),"","GEÇERSİZ GEÇİŞ"))</f>
        <v/>
      </c>
      <c r="P25" s="28">
        <f>IF($A25="","",IF(OR($I25="",$J25=""),"",IF(ABS($J25-$I25)&gt;zincirTolerans,"ZİNCİR KIRIK","OK")))</f>
        <v/>
      </c>
      <c r="Q25" s="28">
        <f>IF($A25="","",1)</f>
        <v/>
      </c>
    </row>
    <row r="26">
      <c r="A26" s="26" t="inlineStr">
        <is>
          <t>EYL-00021</t>
        </is>
      </c>
      <c r="B26" s="26" t="inlineStr">
        <is>
          <t>TEH-00021</t>
        </is>
      </c>
      <c r="C26" s="35" t="n">
        <v>46160</v>
      </c>
      <c r="D26" s="35" t="n">
        <v>46235</v>
      </c>
      <c r="E26" s="26" t="inlineStr">
        <is>
          <t>DEVAM</t>
        </is>
      </c>
      <c r="F26" s="26" t="inlineStr">
        <is>
          <t>IPTAL</t>
        </is>
      </c>
      <c r="G26" s="26" t="inlineStr">
        <is>
          <t>Sorumlu 4</t>
        </is>
      </c>
      <c r="H26" s="26" t="inlineStr">
        <is>
          <t>Kontrol eylemi 21</t>
        </is>
      </c>
      <c r="I26" s="27" t="n">
        <v>10</v>
      </c>
      <c r="J26" s="27" t="n">
        <v>8</v>
      </c>
      <c r="K26" s="36" t="n">
        <v>2500</v>
      </c>
      <c r="L26" s="28">
        <f>IF($A26="","",IF($C26="","",raporTarihi-$C26))</f>
        <v/>
      </c>
      <c r="M26" s="28">
        <f>IF($A26="","",IF($L26="","",IF($L26&lt;=7,"0-7",IF($L26&lt;=30,"8-30",IF($L26&lt;=60,"31-60","60+")))))</f>
        <v/>
      </c>
      <c r="N26" s="28">
        <f>IF($A26="","",IF($B26="","YETİM",IF(COUNTIF(tblEnvanter[TehlikeId],$B26)=0,"YETİM","")))</f>
        <v/>
      </c>
      <c r="O26" s="28">
        <f>IF(OR($A26="",$E26=""),"",IF(OR($E26&amp;"|"&amp;$F26="",COUNTIF(ListeIzinliGecis,$E26&amp;"|"&amp;$F26)&gt;0),"","GEÇERSİZ GEÇİŞ"))</f>
        <v/>
      </c>
      <c r="P26" s="28">
        <f>IF($A26="","",IF(OR($I26="",$J26=""),"",IF(ABS($J26-$I26)&gt;zincirTolerans,"ZİNCİR KIRIK","OK")))</f>
        <v/>
      </c>
      <c r="Q26" s="28">
        <f>IF($A26="","",1)</f>
        <v/>
      </c>
    </row>
    <row r="27">
      <c r="A27" s="26" t="inlineStr">
        <is>
          <t>EYL-00022</t>
        </is>
      </c>
      <c r="B27" s="26" t="n"/>
      <c r="C27" s="35" t="n">
        <v>46156</v>
      </c>
      <c r="D27" s="35" t="n">
        <v>46236</v>
      </c>
      <c r="E27" s="26" t="inlineStr">
        <is>
          <t>PLANLANDI</t>
        </is>
      </c>
      <c r="F27" s="26" t="inlineStr">
        <is>
          <t>DEVAM</t>
        </is>
      </c>
      <c r="G27" s="26" t="inlineStr">
        <is>
          <t>Sorumlu 5</t>
        </is>
      </c>
      <c r="H27" s="26" t="inlineStr">
        <is>
          <t>Kontrol eylemi 22</t>
        </is>
      </c>
      <c r="I27" s="27" t="n">
        <v>8</v>
      </c>
      <c r="J27" s="27" t="n">
        <v>4</v>
      </c>
      <c r="K27" s="36" t="n">
        <v>2000</v>
      </c>
      <c r="L27" s="28">
        <f>IF($A27="","",IF($C27="","",raporTarihi-$C27))</f>
        <v/>
      </c>
      <c r="M27" s="28">
        <f>IF($A27="","",IF($L27="","",IF($L27&lt;=7,"0-7",IF($L27&lt;=30,"8-30",IF($L27&lt;=60,"31-60","60+")))))</f>
        <v/>
      </c>
      <c r="N27" s="28">
        <f>IF($A27="","",IF($B27="","YETİM",IF(COUNTIF(tblEnvanter[TehlikeId],$B27)=0,"YETİM","")))</f>
        <v/>
      </c>
      <c r="O27" s="28">
        <f>IF(OR($A27="",$E27=""),"",IF(OR($E27&amp;"|"&amp;$F27="",COUNTIF(ListeIzinliGecis,$E27&amp;"|"&amp;$F27)&gt;0),"","GEÇERSİZ GEÇİŞ"))</f>
        <v/>
      </c>
      <c r="P27" s="28">
        <f>IF($A27="","",IF(OR($I27="",$J27=""),"",IF(ABS($J27-$I27)&gt;zincirTolerans,"ZİNCİR KIRIK","OK")))</f>
        <v/>
      </c>
      <c r="Q27" s="28">
        <f>IF($A27="","",1)</f>
        <v/>
      </c>
    </row>
    <row r="28">
      <c r="A28" s="26" t="inlineStr">
        <is>
          <t>EYL-00023</t>
        </is>
      </c>
      <c r="B28" s="26" t="inlineStr">
        <is>
          <t>TEH-00023</t>
        </is>
      </c>
      <c r="C28" s="35" t="n">
        <v>46242</v>
      </c>
      <c r="D28" s="35" t="n">
        <v>46237</v>
      </c>
      <c r="E28" s="26" t="inlineStr">
        <is>
          <t>DEVAM</t>
        </is>
      </c>
      <c r="F28" s="26" t="inlineStr">
        <is>
          <t>BEKLIYOR</t>
        </is>
      </c>
      <c r="G28" s="26" t="inlineStr">
        <is>
          <t>Sorumlu 6</t>
        </is>
      </c>
      <c r="H28" s="26" t="inlineStr">
        <is>
          <t>Kontrol eylemi 23</t>
        </is>
      </c>
      <c r="I28" s="27" t="n">
        <v>9</v>
      </c>
      <c r="J28" s="27" t="n">
        <v>3</v>
      </c>
      <c r="K28" s="36" t="n">
        <v>2250</v>
      </c>
      <c r="L28" s="28">
        <f>IF($A28="","",IF($C28="","",raporTarihi-$C28))</f>
        <v/>
      </c>
      <c r="M28" s="28">
        <f>IF($A28="","",IF($L28="","",IF($L28&lt;=7,"0-7",IF($L28&lt;=30,"8-30",IF($L28&lt;=60,"31-60","60+")))))</f>
        <v/>
      </c>
      <c r="N28" s="28">
        <f>IF($A28="","",IF($B28="","YETİM",IF(COUNTIF(tblEnvanter[TehlikeId],$B28)=0,"YETİM","")))</f>
        <v/>
      </c>
      <c r="O28" s="28">
        <f>IF(OR($A28="",$E28=""),"",IF(OR($E28&amp;"|"&amp;$F28="",COUNTIF(ListeIzinliGecis,$E28&amp;"|"&amp;$F28)&gt;0),"","GEÇERSİZ GEÇİŞ"))</f>
        <v/>
      </c>
      <c r="P28" s="28">
        <f>IF($A28="","",IF(OR($I28="",$J28=""),"",IF(ABS($J28-$I28)&gt;zincirTolerans,"ZİNCİR KIRIK","OK")))</f>
        <v/>
      </c>
      <c r="Q28" s="28">
        <f>IF($A28="","",1)</f>
        <v/>
      </c>
    </row>
    <row r="29">
      <c r="A29" s="26" t="inlineStr">
        <is>
          <t>EYL-00024</t>
        </is>
      </c>
      <c r="B29" s="26" t="inlineStr">
        <is>
          <t>TEH-00024</t>
        </is>
      </c>
      <c r="C29" s="35" t="n">
        <v>46238</v>
      </c>
      <c r="D29" s="35" t="n">
        <v>46238</v>
      </c>
      <c r="E29" s="26" t="inlineStr">
        <is>
          <t>PLANLANDI</t>
        </is>
      </c>
      <c r="F29" s="26" t="inlineStr">
        <is>
          <t>PLANLANDI</t>
        </is>
      </c>
      <c r="G29" s="26" t="inlineStr">
        <is>
          <t>Sorumlu 1</t>
        </is>
      </c>
      <c r="H29" s="26" t="inlineStr">
        <is>
          <t>Kontrol eylemi 24</t>
        </is>
      </c>
      <c r="I29" s="27" t="n">
        <v>9</v>
      </c>
      <c r="J29" s="27" t="n">
        <v>1</v>
      </c>
      <c r="K29" s="36" t="n">
        <v>2250</v>
      </c>
      <c r="L29" s="28">
        <f>IF($A29="","",IF($C29="","",raporTarihi-$C29))</f>
        <v/>
      </c>
      <c r="M29" s="28">
        <f>IF($A29="","",IF($L29="","",IF($L29&lt;=7,"0-7",IF($L29&lt;=30,"8-30",IF($L29&lt;=60,"31-60","60+")))))</f>
        <v/>
      </c>
      <c r="N29" s="28">
        <f>IF($A29="","",IF($B29="","YETİM",IF(COUNTIF(tblEnvanter[TehlikeId],$B29)=0,"YETİM","")))</f>
        <v/>
      </c>
      <c r="O29" s="28">
        <f>IF(OR($A29="",$E29=""),"",IF(OR($E29&amp;"|"&amp;$F29="",COUNTIF(ListeIzinliGecis,$E29&amp;"|"&amp;$F29)&gt;0),"","GEÇERSİZ GEÇİŞ"))</f>
        <v/>
      </c>
      <c r="P29" s="28">
        <f>IF($A29="","",IF(OR($I29="",$J29=""),"",IF(ABS($J29-$I29)&gt;zincirTolerans,"ZİNCİR KIRIK","OK")))</f>
        <v/>
      </c>
      <c r="Q29" s="28">
        <f>IF($A29="","",1)</f>
        <v/>
      </c>
    </row>
    <row r="30">
      <c r="A30" s="26" t="inlineStr">
        <is>
          <t>EYL-00025</t>
        </is>
      </c>
      <c r="B30" s="26" t="inlineStr">
        <is>
          <t>TEH-99999</t>
        </is>
      </c>
      <c r="C30" s="35" t="n">
        <v>46234</v>
      </c>
      <c r="D30" s="35" t="n">
        <v>46239</v>
      </c>
      <c r="E30" s="26" t="n"/>
      <c r="F30" s="26" t="inlineStr">
        <is>
          <t>PLANLANDI</t>
        </is>
      </c>
      <c r="G30" s="26" t="inlineStr">
        <is>
          <t>Sorumlu 2</t>
        </is>
      </c>
      <c r="H30" s="26" t="inlineStr">
        <is>
          <t>Kontrol eylemi 25</t>
        </is>
      </c>
      <c r="I30" s="27" t="n">
        <v>20</v>
      </c>
      <c r="J30" s="27" t="n">
        <v>20</v>
      </c>
      <c r="K30" s="36" t="n">
        <v>5000</v>
      </c>
      <c r="L30" s="28">
        <f>IF($A30="","",IF($C30="","",raporTarihi-$C30))</f>
        <v/>
      </c>
      <c r="M30" s="28">
        <f>IF($A30="","",IF($L30="","",IF($L30&lt;=7,"0-7",IF($L30&lt;=30,"8-30",IF($L30&lt;=60,"31-60","60+")))))</f>
        <v/>
      </c>
      <c r="N30" s="28">
        <f>IF($A30="","",IF($B30="","YETİM",IF(COUNTIF(tblEnvanter[TehlikeId],$B30)=0,"YETİM","")))</f>
        <v/>
      </c>
      <c r="O30" s="28">
        <f>IF(OR($A30="",$E30=""),"",IF(OR($E30&amp;"|"&amp;$F30="",COUNTIF(ListeIzinliGecis,$E30&amp;"|"&amp;$F30)&gt;0),"","GEÇERSİZ GEÇİŞ"))</f>
        <v/>
      </c>
      <c r="P30" s="28">
        <f>IF($A30="","",IF(OR($I30="",$J30=""),"",IF(ABS($J30-$I30)&gt;zincirTolerans,"ZİNCİR KIRIK","OK")))</f>
        <v/>
      </c>
      <c r="Q30" s="28">
        <f>IF($A30="","",1)</f>
        <v/>
      </c>
    </row>
    <row r="31">
      <c r="A31" s="26" t="inlineStr">
        <is>
          <t>EYL-00026</t>
        </is>
      </c>
      <c r="B31" s="26" t="inlineStr">
        <is>
          <t>TEH-00002</t>
        </is>
      </c>
      <c r="C31" s="35" t="n">
        <v>46230</v>
      </c>
      <c r="D31" s="35" t="n">
        <v>46240</v>
      </c>
      <c r="E31" s="26" t="inlineStr">
        <is>
          <t>PLANLANDI</t>
        </is>
      </c>
      <c r="F31" s="26" t="inlineStr">
        <is>
          <t>DEVAM</t>
        </is>
      </c>
      <c r="G31" s="26" t="inlineStr">
        <is>
          <t>Sorumlu 3</t>
        </is>
      </c>
      <c r="H31" s="26" t="inlineStr">
        <is>
          <t>Kontrol eylemi 26</t>
        </is>
      </c>
      <c r="I31" s="27" t="n">
        <v>12</v>
      </c>
      <c r="J31" s="27" t="n">
        <v>10</v>
      </c>
      <c r="K31" s="36" t="n">
        <v>3000</v>
      </c>
      <c r="L31" s="28">
        <f>IF($A31="","",IF($C31="","",raporTarihi-$C31))</f>
        <v/>
      </c>
      <c r="M31" s="28">
        <f>IF($A31="","",IF($L31="","",IF($L31&lt;=7,"0-7",IF($L31&lt;=30,"8-30",IF($L31&lt;=60,"31-60","60+")))))</f>
        <v/>
      </c>
      <c r="N31" s="28">
        <f>IF($A31="","",IF($B31="","YETİM",IF(COUNTIF(tblEnvanter[TehlikeId],$B31)=0,"YETİM","")))</f>
        <v/>
      </c>
      <c r="O31" s="28">
        <f>IF(OR($A31="",$E31=""),"",IF(OR($E31&amp;"|"&amp;$F31="",COUNTIF(ListeIzinliGecis,$E31&amp;"|"&amp;$F31)&gt;0),"","GEÇERSİZ GEÇİŞ"))</f>
        <v/>
      </c>
      <c r="P31" s="28">
        <f>IF($A31="","",IF(OR($I31="",$J31=""),"",IF(ABS($J31-$I31)&gt;zincirTolerans,"ZİNCİR KIRIK","OK")))</f>
        <v/>
      </c>
      <c r="Q31" s="28">
        <f>IF($A31="","",1)</f>
        <v/>
      </c>
    </row>
    <row r="32">
      <c r="A32" s="26" t="inlineStr">
        <is>
          <t>EYL-00027</t>
        </is>
      </c>
      <c r="B32" s="26" t="inlineStr">
        <is>
          <t>TEH-00003</t>
        </is>
      </c>
      <c r="C32" s="35" t="n">
        <v>46226</v>
      </c>
      <c r="D32" s="35" t="n">
        <v>46241</v>
      </c>
      <c r="E32" s="26" t="inlineStr">
        <is>
          <t>DEVAM</t>
        </is>
      </c>
      <c r="F32" s="26" t="inlineStr">
        <is>
          <t>BEKLIYOR</t>
        </is>
      </c>
      <c r="G32" s="26" t="inlineStr">
        <is>
          <t>Sorumlu 4</t>
        </is>
      </c>
      <c r="H32" s="26" t="inlineStr">
        <is>
          <t>Kontrol eylemi 27</t>
        </is>
      </c>
      <c r="I32" s="27" t="n">
        <v>15</v>
      </c>
      <c r="J32" s="27" t="n">
        <v>11</v>
      </c>
      <c r="K32" s="36" t="n">
        <v>3750</v>
      </c>
      <c r="L32" s="28">
        <f>IF($A32="","",IF($C32="","",raporTarihi-$C32))</f>
        <v/>
      </c>
      <c r="M32" s="28">
        <f>IF($A32="","",IF($L32="","",IF($L32&lt;=7,"0-7",IF($L32&lt;=30,"8-30",IF($L32&lt;=60,"31-60","60+")))))</f>
        <v/>
      </c>
      <c r="N32" s="28">
        <f>IF($A32="","",IF($B32="","YETİM",IF(COUNTIF(tblEnvanter[TehlikeId],$B32)=0,"YETİM","")))</f>
        <v/>
      </c>
      <c r="O32" s="28">
        <f>IF(OR($A32="",$E32=""),"",IF(OR($E32&amp;"|"&amp;$F32="",COUNTIF(ListeIzinliGecis,$E32&amp;"|"&amp;$F32)&gt;0),"","GEÇERSİZ GEÇİŞ"))</f>
        <v/>
      </c>
      <c r="P32" s="28">
        <f>IF($A32="","",IF(OR($I32="",$J32=""),"",IF(ABS($J32-$I32)&gt;zincirTolerans,"ZİNCİR KIRIK","OK")))</f>
        <v/>
      </c>
      <c r="Q32" s="28">
        <f>IF($A32="","",1)</f>
        <v/>
      </c>
    </row>
    <row r="33">
      <c r="A33" s="26" t="inlineStr">
        <is>
          <t>EYL-00028</t>
        </is>
      </c>
      <c r="B33" s="26" t="inlineStr">
        <is>
          <t>TEH-00004</t>
        </is>
      </c>
      <c r="C33" s="35" t="n">
        <v>46222</v>
      </c>
      <c r="D33" s="35" t="n">
        <v>46242</v>
      </c>
      <c r="E33" s="26" t="inlineStr">
        <is>
          <t>BEKLIYOR</t>
        </is>
      </c>
      <c r="F33" s="26" t="inlineStr">
        <is>
          <t>TAMAMLANDI</t>
        </is>
      </c>
      <c r="G33" s="26" t="inlineStr">
        <is>
          <t>Sorumlu 5</t>
        </is>
      </c>
      <c r="H33" s="26" t="inlineStr">
        <is>
          <t>Kontrol eylemi 28</t>
        </is>
      </c>
      <c r="I33" s="27" t="n">
        <v>20</v>
      </c>
      <c r="J33" s="27" t="n">
        <v>14</v>
      </c>
      <c r="K33" s="36" t="n">
        <v>5000</v>
      </c>
      <c r="L33" s="28">
        <f>IF($A33="","",IF($C33="","",raporTarihi-$C33))</f>
        <v/>
      </c>
      <c r="M33" s="28">
        <f>IF($A33="","",IF($L33="","",IF($L33&lt;=7,"0-7",IF($L33&lt;=30,"8-30",IF($L33&lt;=60,"31-60","60+")))))</f>
        <v/>
      </c>
      <c r="N33" s="28">
        <f>IF($A33="","",IF($B33="","YETİM",IF(COUNTIF(tblEnvanter[TehlikeId],$B33)=0,"YETİM","")))</f>
        <v/>
      </c>
      <c r="O33" s="28">
        <f>IF(OR($A33="",$E33=""),"",IF(OR($E33&amp;"|"&amp;$F33="",COUNTIF(ListeIzinliGecis,$E33&amp;"|"&amp;$F33)&gt;0),"","GEÇERSİZ GEÇİŞ"))</f>
        <v/>
      </c>
      <c r="P33" s="28">
        <f>IF($A33="","",IF(OR($I33="",$J33=""),"",IF(ABS($J33-$I33)&gt;zincirTolerans,"ZİNCİR KIRIK","OK")))</f>
        <v/>
      </c>
      <c r="Q33" s="28">
        <f>IF($A33="","",1)</f>
        <v/>
      </c>
    </row>
    <row r="34">
      <c r="A34" s="26" t="n"/>
      <c r="B34" s="26" t="n"/>
      <c r="C34" s="35" t="n"/>
      <c r="D34" s="35" t="n"/>
      <c r="E34" s="26" t="n"/>
      <c r="F34" s="26" t="n"/>
      <c r="G34" s="26" t="n"/>
      <c r="H34" s="26" t="n"/>
      <c r="I34" s="27" t="n"/>
      <c r="J34" s="27" t="n"/>
      <c r="K34" s="36" t="n"/>
      <c r="L34" s="28">
        <f>IF($A34="","",IF($C34="","",raporTarihi-$C34))</f>
        <v/>
      </c>
      <c r="M34" s="28">
        <f>IF($A34="","",IF($L34="","",IF($L34&lt;=7,"0-7",IF($L34&lt;=30,"8-30",IF($L34&lt;=60,"31-60","60+")))))</f>
        <v/>
      </c>
      <c r="N34" s="28">
        <f>IF($A34="","",IF($B34="","YETİM",IF(COUNTIF(tblEnvanter[TehlikeId],$B34)=0,"YETİM","")))</f>
        <v/>
      </c>
      <c r="O34" s="28">
        <f>IF(OR($A34="",$E34=""),"",IF(OR($E34&amp;"|"&amp;$F34="",COUNTIF(ListeIzinliGecis,$E34&amp;"|"&amp;$F34)&gt;0),"","GEÇERSİZ GEÇİŞ"))</f>
        <v/>
      </c>
      <c r="P34" s="28">
        <f>IF($A34="","",IF(OR($I34="",$J34=""),"",IF(ABS($J34-$I34)&gt;zincirTolerans,"ZİNCİR KIRIK","OK")))</f>
        <v/>
      </c>
      <c r="Q34" s="28">
        <f>IF($A34="","",1)</f>
        <v/>
      </c>
    </row>
    <row r="35">
      <c r="A35" s="26" t="n"/>
      <c r="B35" s="26" t="n"/>
      <c r="C35" s="35" t="n"/>
      <c r="D35" s="35" t="n"/>
      <c r="E35" s="26" t="n"/>
      <c r="F35" s="26" t="n"/>
      <c r="G35" s="26" t="n"/>
      <c r="H35" s="26" t="n"/>
      <c r="I35" s="27" t="n"/>
      <c r="J35" s="27" t="n"/>
      <c r="K35" s="36" t="n"/>
      <c r="L35" s="28">
        <f>IF($A35="","",IF($C35="","",raporTarihi-$C35))</f>
        <v/>
      </c>
      <c r="M35" s="28">
        <f>IF($A35="","",IF($L35="","",IF($L35&lt;=7,"0-7",IF($L35&lt;=30,"8-30",IF($L35&lt;=60,"31-60","60+")))))</f>
        <v/>
      </c>
      <c r="N35" s="28">
        <f>IF($A35="","",IF($B35="","YETİM",IF(COUNTIF(tblEnvanter[TehlikeId],$B35)=0,"YETİM","")))</f>
        <v/>
      </c>
      <c r="O35" s="28">
        <f>IF(OR($A35="",$E35=""),"",IF(OR($E35&amp;"|"&amp;$F35="",COUNTIF(ListeIzinliGecis,$E35&amp;"|"&amp;$F35)&gt;0),"","GEÇERSİZ GEÇİŞ"))</f>
        <v/>
      </c>
      <c r="P35" s="28">
        <f>IF($A35="","",IF(OR($I35="",$J35=""),"",IF(ABS($J35-$I35)&gt;zincirTolerans,"ZİNCİR KIRIK","OK")))</f>
        <v/>
      </c>
      <c r="Q35" s="28">
        <f>IF($A35="","",1)</f>
        <v/>
      </c>
    </row>
    <row r="36">
      <c r="A36" s="26" t="n"/>
      <c r="B36" s="26" t="n"/>
      <c r="C36" s="35" t="n"/>
      <c r="D36" s="35" t="n"/>
      <c r="E36" s="26" t="n"/>
      <c r="F36" s="26" t="n"/>
      <c r="G36" s="26" t="n"/>
      <c r="H36" s="26" t="n"/>
      <c r="I36" s="27" t="n"/>
      <c r="J36" s="27" t="n"/>
      <c r="K36" s="36" t="n"/>
      <c r="L36" s="28">
        <f>IF($A36="","",IF($C36="","",raporTarihi-$C36))</f>
        <v/>
      </c>
      <c r="M36" s="28">
        <f>IF($A36="","",IF($L36="","",IF($L36&lt;=7,"0-7",IF($L36&lt;=30,"8-30",IF($L36&lt;=60,"31-60","60+")))))</f>
        <v/>
      </c>
      <c r="N36" s="28">
        <f>IF($A36="","",IF($B36="","YETİM",IF(COUNTIF(tblEnvanter[TehlikeId],$B36)=0,"YETİM","")))</f>
        <v/>
      </c>
      <c r="O36" s="28">
        <f>IF(OR($A36="",$E36=""),"",IF(OR($E36&amp;"|"&amp;$F36="",COUNTIF(ListeIzinliGecis,$E36&amp;"|"&amp;$F36)&gt;0),"","GEÇERSİZ GEÇİŞ"))</f>
        <v/>
      </c>
      <c r="P36" s="28">
        <f>IF($A36="","",IF(OR($I36="",$J36=""),"",IF(ABS($J36-$I36)&gt;zincirTolerans,"ZİNCİR KIRIK","OK")))</f>
        <v/>
      </c>
      <c r="Q36" s="28">
        <f>IF($A36="","",1)</f>
        <v/>
      </c>
    </row>
    <row r="37">
      <c r="A37" s="26" t="n"/>
      <c r="B37" s="26" t="n"/>
      <c r="C37" s="35" t="n"/>
      <c r="D37" s="35" t="n"/>
      <c r="E37" s="26" t="n"/>
      <c r="F37" s="26" t="n"/>
      <c r="G37" s="26" t="n"/>
      <c r="H37" s="26" t="n"/>
      <c r="I37" s="27" t="n"/>
      <c r="J37" s="27" t="n"/>
      <c r="K37" s="36" t="n"/>
      <c r="L37" s="28">
        <f>IF($A37="","",IF($C37="","",raporTarihi-$C37))</f>
        <v/>
      </c>
      <c r="M37" s="28">
        <f>IF($A37="","",IF($L37="","",IF($L37&lt;=7,"0-7",IF($L37&lt;=30,"8-30",IF($L37&lt;=60,"31-60","60+")))))</f>
        <v/>
      </c>
      <c r="N37" s="28">
        <f>IF($A37="","",IF($B37="","YETİM",IF(COUNTIF(tblEnvanter[TehlikeId],$B37)=0,"YETİM","")))</f>
        <v/>
      </c>
      <c r="O37" s="28">
        <f>IF(OR($A37="",$E37=""),"",IF(OR($E37&amp;"|"&amp;$F37="",COUNTIF(ListeIzinliGecis,$E37&amp;"|"&amp;$F37)&gt;0),"","GEÇERSİZ GEÇİŞ"))</f>
        <v/>
      </c>
      <c r="P37" s="28">
        <f>IF($A37="","",IF(OR($I37="",$J37=""),"",IF(ABS($J37-$I37)&gt;zincirTolerans,"ZİNCİR KIRIK","OK")))</f>
        <v/>
      </c>
      <c r="Q37" s="28">
        <f>IF($A37="","",1)</f>
        <v/>
      </c>
    </row>
    <row r="38">
      <c r="A38" s="26" t="n"/>
      <c r="B38" s="26" t="n"/>
      <c r="C38" s="35" t="n"/>
      <c r="D38" s="35" t="n"/>
      <c r="E38" s="26" t="n"/>
      <c r="F38" s="26" t="n"/>
      <c r="G38" s="26" t="n"/>
      <c r="H38" s="26" t="n"/>
      <c r="I38" s="27" t="n"/>
      <c r="J38" s="27" t="n"/>
      <c r="K38" s="36" t="n"/>
      <c r="L38" s="28">
        <f>IF($A38="","",IF($C38="","",raporTarihi-$C38))</f>
        <v/>
      </c>
      <c r="M38" s="28">
        <f>IF($A38="","",IF($L38="","",IF($L38&lt;=7,"0-7",IF($L38&lt;=30,"8-30",IF($L38&lt;=60,"31-60","60+")))))</f>
        <v/>
      </c>
      <c r="N38" s="28">
        <f>IF($A38="","",IF($B38="","YETİM",IF(COUNTIF(tblEnvanter[TehlikeId],$B38)=0,"YETİM","")))</f>
        <v/>
      </c>
      <c r="O38" s="28">
        <f>IF(OR($A38="",$E38=""),"",IF(OR($E38&amp;"|"&amp;$F38="",COUNTIF(ListeIzinliGecis,$E38&amp;"|"&amp;$F38)&gt;0),"","GEÇERSİZ GEÇİŞ"))</f>
        <v/>
      </c>
      <c r="P38" s="28">
        <f>IF($A38="","",IF(OR($I38="",$J38=""),"",IF(ABS($J38-$I38)&gt;zincirTolerans,"ZİNCİR KIRIK","OK")))</f>
        <v/>
      </c>
      <c r="Q38" s="28">
        <f>IF($A38="","",1)</f>
        <v/>
      </c>
    </row>
    <row r="39">
      <c r="A39" s="26" t="n"/>
      <c r="B39" s="26" t="n"/>
      <c r="C39" s="35" t="n"/>
      <c r="D39" s="35" t="n"/>
      <c r="E39" s="26" t="n"/>
      <c r="F39" s="26" t="n"/>
      <c r="G39" s="26" t="n"/>
      <c r="H39" s="26" t="n"/>
      <c r="I39" s="27" t="n"/>
      <c r="J39" s="27" t="n"/>
      <c r="K39" s="36" t="n"/>
      <c r="L39" s="28">
        <f>IF($A39="","",IF($C39="","",raporTarihi-$C39))</f>
        <v/>
      </c>
      <c r="M39" s="28">
        <f>IF($A39="","",IF($L39="","",IF($L39&lt;=7,"0-7",IF($L39&lt;=30,"8-30",IF($L39&lt;=60,"31-60","60+")))))</f>
        <v/>
      </c>
      <c r="N39" s="28">
        <f>IF($A39="","",IF($B39="","YETİM",IF(COUNTIF(tblEnvanter[TehlikeId],$B39)=0,"YETİM","")))</f>
        <v/>
      </c>
      <c r="O39" s="28">
        <f>IF(OR($A39="",$E39=""),"",IF(OR($E39&amp;"|"&amp;$F39="",COUNTIF(ListeIzinliGecis,$E39&amp;"|"&amp;$F39)&gt;0),"","GEÇERSİZ GEÇİŞ"))</f>
        <v/>
      </c>
      <c r="P39" s="28">
        <f>IF($A39="","",IF(OR($I39="",$J39=""),"",IF(ABS($J39-$I39)&gt;zincirTolerans,"ZİNCİR KIRIK","OK")))</f>
        <v/>
      </c>
      <c r="Q39" s="28">
        <f>IF($A39="","",1)</f>
        <v/>
      </c>
    </row>
    <row r="40">
      <c r="A40" s="26" t="n"/>
      <c r="B40" s="26" t="n"/>
      <c r="C40" s="35" t="n"/>
      <c r="D40" s="35" t="n"/>
      <c r="E40" s="26" t="n"/>
      <c r="F40" s="26" t="n"/>
      <c r="G40" s="26" t="n"/>
      <c r="H40" s="26" t="n"/>
      <c r="I40" s="27" t="n"/>
      <c r="J40" s="27" t="n"/>
      <c r="K40" s="36" t="n"/>
      <c r="L40" s="28">
        <f>IF($A40="","",IF($C40="","",raporTarihi-$C40))</f>
        <v/>
      </c>
      <c r="M40" s="28">
        <f>IF($A40="","",IF($L40="","",IF($L40&lt;=7,"0-7",IF($L40&lt;=30,"8-30",IF($L40&lt;=60,"31-60","60+")))))</f>
        <v/>
      </c>
      <c r="N40" s="28">
        <f>IF($A40="","",IF($B40="","YETİM",IF(COUNTIF(tblEnvanter[TehlikeId],$B40)=0,"YETİM","")))</f>
        <v/>
      </c>
      <c r="O40" s="28">
        <f>IF(OR($A40="",$E40=""),"",IF(OR($E40&amp;"|"&amp;$F40="",COUNTIF(ListeIzinliGecis,$E40&amp;"|"&amp;$F40)&gt;0),"","GEÇERSİZ GEÇİŞ"))</f>
        <v/>
      </c>
      <c r="P40" s="28">
        <f>IF($A40="","",IF(OR($I40="",$J40=""),"",IF(ABS($J40-$I40)&gt;zincirTolerans,"ZİNCİR KIRIK","OK")))</f>
        <v/>
      </c>
      <c r="Q40" s="28">
        <f>IF($A40="","",1)</f>
        <v/>
      </c>
    </row>
    <row r="41">
      <c r="A41" s="26" t="n"/>
      <c r="B41" s="26" t="n"/>
      <c r="C41" s="35" t="n"/>
      <c r="D41" s="35" t="n"/>
      <c r="E41" s="26" t="n"/>
      <c r="F41" s="26" t="n"/>
      <c r="G41" s="26" t="n"/>
      <c r="H41" s="26" t="n"/>
      <c r="I41" s="27" t="n"/>
      <c r="J41" s="27" t="n"/>
      <c r="K41" s="36" t="n"/>
      <c r="L41" s="28">
        <f>IF($A41="","",IF($C41="","",raporTarihi-$C41))</f>
        <v/>
      </c>
      <c r="M41" s="28">
        <f>IF($A41="","",IF($L41="","",IF($L41&lt;=7,"0-7",IF($L41&lt;=30,"8-30",IF($L41&lt;=60,"31-60","60+")))))</f>
        <v/>
      </c>
      <c r="N41" s="28">
        <f>IF($A41="","",IF($B41="","YETİM",IF(COUNTIF(tblEnvanter[TehlikeId],$B41)=0,"YETİM","")))</f>
        <v/>
      </c>
      <c r="O41" s="28">
        <f>IF(OR($A41="",$E41=""),"",IF(OR($E41&amp;"|"&amp;$F41="",COUNTIF(ListeIzinliGecis,$E41&amp;"|"&amp;$F41)&gt;0),"","GEÇERSİZ GEÇİŞ"))</f>
        <v/>
      </c>
      <c r="P41" s="28">
        <f>IF($A41="","",IF(OR($I41="",$J41=""),"",IF(ABS($J41-$I41)&gt;zincirTolerans,"ZİNCİR KIRIK","OK")))</f>
        <v/>
      </c>
      <c r="Q41" s="28">
        <f>IF($A41="","",1)</f>
        <v/>
      </c>
    </row>
    <row r="42">
      <c r="A42" s="26" t="n"/>
      <c r="B42" s="26" t="n"/>
      <c r="C42" s="35" t="n"/>
      <c r="D42" s="35" t="n"/>
      <c r="E42" s="26" t="n"/>
      <c r="F42" s="26" t="n"/>
      <c r="G42" s="26" t="n"/>
      <c r="H42" s="26" t="n"/>
      <c r="I42" s="27" t="n"/>
      <c r="J42" s="27" t="n"/>
      <c r="K42" s="36" t="n"/>
      <c r="L42" s="28">
        <f>IF($A42="","",IF($C42="","",raporTarihi-$C42))</f>
        <v/>
      </c>
      <c r="M42" s="28">
        <f>IF($A42="","",IF($L42="","",IF($L42&lt;=7,"0-7",IF($L42&lt;=30,"8-30",IF($L42&lt;=60,"31-60","60+")))))</f>
        <v/>
      </c>
      <c r="N42" s="28">
        <f>IF($A42="","",IF($B42="","YETİM",IF(COUNTIF(tblEnvanter[TehlikeId],$B42)=0,"YETİM","")))</f>
        <v/>
      </c>
      <c r="O42" s="28">
        <f>IF(OR($A42="",$E42=""),"",IF(OR($E42&amp;"|"&amp;$F42="",COUNTIF(ListeIzinliGecis,$E42&amp;"|"&amp;$F42)&gt;0),"","GEÇERSİZ GEÇİŞ"))</f>
        <v/>
      </c>
      <c r="P42" s="28">
        <f>IF($A42="","",IF(OR($I42="",$J42=""),"",IF(ABS($J42-$I42)&gt;zincirTolerans,"ZİNCİR KIRIK","OK")))</f>
        <v/>
      </c>
      <c r="Q42" s="28">
        <f>IF($A42="","",1)</f>
        <v/>
      </c>
    </row>
    <row r="43">
      <c r="A43" s="26" t="n"/>
      <c r="B43" s="26" t="n"/>
      <c r="C43" s="35" t="n"/>
      <c r="D43" s="35" t="n"/>
      <c r="E43" s="26" t="n"/>
      <c r="F43" s="26" t="n"/>
      <c r="G43" s="26" t="n"/>
      <c r="H43" s="26" t="n"/>
      <c r="I43" s="27" t="n"/>
      <c r="J43" s="27" t="n"/>
      <c r="K43" s="36" t="n"/>
      <c r="L43" s="28">
        <f>IF($A43="","",IF($C43="","",raporTarihi-$C43))</f>
        <v/>
      </c>
      <c r="M43" s="28">
        <f>IF($A43="","",IF($L43="","",IF($L43&lt;=7,"0-7",IF($L43&lt;=30,"8-30",IF($L43&lt;=60,"31-60","60+")))))</f>
        <v/>
      </c>
      <c r="N43" s="28">
        <f>IF($A43="","",IF($B43="","YETİM",IF(COUNTIF(tblEnvanter[TehlikeId],$B43)=0,"YETİM","")))</f>
        <v/>
      </c>
      <c r="O43" s="28">
        <f>IF(OR($A43="",$E43=""),"",IF(OR($E43&amp;"|"&amp;$F43="",COUNTIF(ListeIzinliGecis,$E43&amp;"|"&amp;$F43)&gt;0),"","GEÇERSİZ GEÇİŞ"))</f>
        <v/>
      </c>
      <c r="P43" s="28">
        <f>IF($A43="","",IF(OR($I43="",$J43=""),"",IF(ABS($J43-$I43)&gt;zincirTolerans,"ZİNCİR KIRIK","OK")))</f>
        <v/>
      </c>
      <c r="Q43" s="28">
        <f>IF($A43="","",1)</f>
        <v/>
      </c>
    </row>
    <row r="44">
      <c r="A44" s="26" t="n"/>
      <c r="B44" s="26" t="n"/>
      <c r="C44" s="35" t="n"/>
      <c r="D44" s="35" t="n"/>
      <c r="E44" s="26" t="n"/>
      <c r="F44" s="26" t="n"/>
      <c r="G44" s="26" t="n"/>
      <c r="H44" s="26" t="n"/>
      <c r="I44" s="27" t="n"/>
      <c r="J44" s="27" t="n"/>
      <c r="K44" s="36" t="n"/>
      <c r="L44" s="28">
        <f>IF($A44="","",IF($C44="","",raporTarihi-$C44))</f>
        <v/>
      </c>
      <c r="M44" s="28">
        <f>IF($A44="","",IF($L44="","",IF($L44&lt;=7,"0-7",IF($L44&lt;=30,"8-30",IF($L44&lt;=60,"31-60","60+")))))</f>
        <v/>
      </c>
      <c r="N44" s="28">
        <f>IF($A44="","",IF($B44="","YETİM",IF(COUNTIF(tblEnvanter[TehlikeId],$B44)=0,"YETİM","")))</f>
        <v/>
      </c>
      <c r="O44" s="28">
        <f>IF(OR($A44="",$E44=""),"",IF(OR($E44&amp;"|"&amp;$F44="",COUNTIF(ListeIzinliGecis,$E44&amp;"|"&amp;$F44)&gt;0),"","GEÇERSİZ GEÇİŞ"))</f>
        <v/>
      </c>
      <c r="P44" s="28">
        <f>IF($A44="","",IF(OR($I44="",$J44=""),"",IF(ABS($J44-$I44)&gt;zincirTolerans,"ZİNCİR KIRIK","OK")))</f>
        <v/>
      </c>
      <c r="Q44" s="28">
        <f>IF($A44="","",1)</f>
        <v/>
      </c>
    </row>
    <row r="45">
      <c r="A45" s="26" t="n"/>
      <c r="B45" s="26" t="n"/>
      <c r="C45" s="35" t="n"/>
      <c r="D45" s="35" t="n"/>
      <c r="E45" s="26" t="n"/>
      <c r="F45" s="26" t="n"/>
      <c r="G45" s="26" t="n"/>
      <c r="H45" s="26" t="n"/>
      <c r="I45" s="27" t="n"/>
      <c r="J45" s="27" t="n"/>
      <c r="K45" s="36" t="n"/>
      <c r="L45" s="28">
        <f>IF($A45="","",IF($C45="","",raporTarihi-$C45))</f>
        <v/>
      </c>
      <c r="M45" s="28">
        <f>IF($A45="","",IF($L45="","",IF($L45&lt;=7,"0-7",IF($L45&lt;=30,"8-30",IF($L45&lt;=60,"31-60","60+")))))</f>
        <v/>
      </c>
      <c r="N45" s="28">
        <f>IF($A45="","",IF($B45="","YETİM",IF(COUNTIF(tblEnvanter[TehlikeId],$B45)=0,"YETİM","")))</f>
        <v/>
      </c>
      <c r="O45" s="28">
        <f>IF(OR($A45="",$E45=""),"",IF(OR($E45&amp;"|"&amp;$F45="",COUNTIF(ListeIzinliGecis,$E45&amp;"|"&amp;$F45)&gt;0),"","GEÇERSİZ GEÇİŞ"))</f>
        <v/>
      </c>
      <c r="P45" s="28">
        <f>IF($A45="","",IF(OR($I45="",$J45=""),"",IF(ABS($J45-$I45)&gt;zincirTolerans,"ZİNCİR KIRIK","OK")))</f>
        <v/>
      </c>
      <c r="Q45" s="28">
        <f>IF($A45="","",1)</f>
        <v/>
      </c>
    </row>
    <row r="46">
      <c r="A46" s="26" t="n"/>
      <c r="B46" s="26" t="n"/>
      <c r="C46" s="35" t="n"/>
      <c r="D46" s="35" t="n"/>
      <c r="E46" s="26" t="n"/>
      <c r="F46" s="26" t="n"/>
      <c r="G46" s="26" t="n"/>
      <c r="H46" s="26" t="n"/>
      <c r="I46" s="27" t="n"/>
      <c r="J46" s="27" t="n"/>
      <c r="K46" s="36" t="n"/>
      <c r="L46" s="28">
        <f>IF($A46="","",IF($C46="","",raporTarihi-$C46))</f>
        <v/>
      </c>
      <c r="M46" s="28">
        <f>IF($A46="","",IF($L46="","",IF($L46&lt;=7,"0-7",IF($L46&lt;=30,"8-30",IF($L46&lt;=60,"31-60","60+")))))</f>
        <v/>
      </c>
      <c r="N46" s="28">
        <f>IF($A46="","",IF($B46="","YETİM",IF(COUNTIF(tblEnvanter[TehlikeId],$B46)=0,"YETİM","")))</f>
        <v/>
      </c>
      <c r="O46" s="28">
        <f>IF(OR($A46="",$E46=""),"",IF(OR($E46&amp;"|"&amp;$F46="",COUNTIF(ListeIzinliGecis,$E46&amp;"|"&amp;$F46)&gt;0),"","GEÇERSİZ GEÇİŞ"))</f>
        <v/>
      </c>
      <c r="P46" s="28">
        <f>IF($A46="","",IF(OR($I46="",$J46=""),"",IF(ABS($J46-$I46)&gt;zincirTolerans,"ZİNCİR KIRIK","OK")))</f>
        <v/>
      </c>
      <c r="Q46" s="28">
        <f>IF($A46="","",1)</f>
        <v/>
      </c>
    </row>
    <row r="47">
      <c r="A47" s="26" t="n"/>
      <c r="B47" s="26" t="n"/>
      <c r="C47" s="35" t="n"/>
      <c r="D47" s="35" t="n"/>
      <c r="E47" s="26" t="n"/>
      <c r="F47" s="26" t="n"/>
      <c r="G47" s="26" t="n"/>
      <c r="H47" s="26" t="n"/>
      <c r="I47" s="27" t="n"/>
      <c r="J47" s="27" t="n"/>
      <c r="K47" s="36" t="n"/>
      <c r="L47" s="28">
        <f>IF($A47="","",IF($C47="","",raporTarihi-$C47))</f>
        <v/>
      </c>
      <c r="M47" s="28">
        <f>IF($A47="","",IF($L47="","",IF($L47&lt;=7,"0-7",IF($L47&lt;=30,"8-30",IF($L47&lt;=60,"31-60","60+")))))</f>
        <v/>
      </c>
      <c r="N47" s="28">
        <f>IF($A47="","",IF($B47="","YETİM",IF(COUNTIF(tblEnvanter[TehlikeId],$B47)=0,"YETİM","")))</f>
        <v/>
      </c>
      <c r="O47" s="28">
        <f>IF(OR($A47="",$E47=""),"",IF(OR($E47&amp;"|"&amp;$F47="",COUNTIF(ListeIzinliGecis,$E47&amp;"|"&amp;$F47)&gt;0),"","GEÇERSİZ GEÇİŞ"))</f>
        <v/>
      </c>
      <c r="P47" s="28">
        <f>IF($A47="","",IF(OR($I47="",$J47=""),"",IF(ABS($J47-$I47)&gt;zincirTolerans,"ZİNCİR KIRIK","OK")))</f>
        <v/>
      </c>
      <c r="Q47" s="28">
        <f>IF($A47="","",1)</f>
        <v/>
      </c>
    </row>
    <row r="48">
      <c r="A48" s="26" t="n"/>
      <c r="B48" s="26" t="n"/>
      <c r="C48" s="35" t="n"/>
      <c r="D48" s="35" t="n"/>
      <c r="E48" s="26" t="n"/>
      <c r="F48" s="26" t="n"/>
      <c r="G48" s="26" t="n"/>
      <c r="H48" s="26" t="n"/>
      <c r="I48" s="27" t="n"/>
      <c r="J48" s="27" t="n"/>
      <c r="K48" s="36" t="n"/>
      <c r="L48" s="28">
        <f>IF($A48="","",IF($C48="","",raporTarihi-$C48))</f>
        <v/>
      </c>
      <c r="M48" s="28">
        <f>IF($A48="","",IF($L48="","",IF($L48&lt;=7,"0-7",IF($L48&lt;=30,"8-30",IF($L48&lt;=60,"31-60","60+")))))</f>
        <v/>
      </c>
      <c r="N48" s="28">
        <f>IF($A48="","",IF($B48="","YETİM",IF(COUNTIF(tblEnvanter[TehlikeId],$B48)=0,"YETİM","")))</f>
        <v/>
      </c>
      <c r="O48" s="28">
        <f>IF(OR($A48="",$E48=""),"",IF(OR($E48&amp;"|"&amp;$F48="",COUNTIF(ListeIzinliGecis,$E48&amp;"|"&amp;$F48)&gt;0),"","GEÇERSİZ GEÇİŞ"))</f>
        <v/>
      </c>
      <c r="P48" s="28">
        <f>IF($A48="","",IF(OR($I48="",$J48=""),"",IF(ABS($J48-$I48)&gt;zincirTolerans,"ZİNCİR KIRIK","OK")))</f>
        <v/>
      </c>
      <c r="Q48" s="28">
        <f>IF($A48="","",1)</f>
        <v/>
      </c>
    </row>
    <row r="49">
      <c r="A49" s="26" t="n"/>
      <c r="B49" s="26" t="n"/>
      <c r="C49" s="35" t="n"/>
      <c r="D49" s="35" t="n"/>
      <c r="E49" s="26" t="n"/>
      <c r="F49" s="26" t="n"/>
      <c r="G49" s="26" t="n"/>
      <c r="H49" s="26" t="n"/>
      <c r="I49" s="27" t="n"/>
      <c r="J49" s="27" t="n"/>
      <c r="K49" s="36" t="n"/>
      <c r="L49" s="28">
        <f>IF($A49="","",IF($C49="","",raporTarihi-$C49))</f>
        <v/>
      </c>
      <c r="M49" s="28">
        <f>IF($A49="","",IF($L49="","",IF($L49&lt;=7,"0-7",IF($L49&lt;=30,"8-30",IF($L49&lt;=60,"31-60","60+")))))</f>
        <v/>
      </c>
      <c r="N49" s="28">
        <f>IF($A49="","",IF($B49="","YETİM",IF(COUNTIF(tblEnvanter[TehlikeId],$B49)=0,"YETİM","")))</f>
        <v/>
      </c>
      <c r="O49" s="28">
        <f>IF(OR($A49="",$E49=""),"",IF(OR($E49&amp;"|"&amp;$F49="",COUNTIF(ListeIzinliGecis,$E49&amp;"|"&amp;$F49)&gt;0),"","GEÇERSİZ GEÇİŞ"))</f>
        <v/>
      </c>
      <c r="P49" s="28">
        <f>IF($A49="","",IF(OR($I49="",$J49=""),"",IF(ABS($J49-$I49)&gt;zincirTolerans,"ZİNCİR KIRIK","OK")))</f>
        <v/>
      </c>
      <c r="Q49" s="28">
        <f>IF($A49="","",1)</f>
        <v/>
      </c>
    </row>
    <row r="50">
      <c r="A50" s="26" t="n"/>
      <c r="B50" s="26" t="n"/>
      <c r="C50" s="35" t="n"/>
      <c r="D50" s="35" t="n"/>
      <c r="E50" s="26" t="n"/>
      <c r="F50" s="26" t="n"/>
      <c r="G50" s="26" t="n"/>
      <c r="H50" s="26" t="n"/>
      <c r="I50" s="27" t="n"/>
      <c r="J50" s="27" t="n"/>
      <c r="K50" s="36" t="n"/>
      <c r="L50" s="28">
        <f>IF($A50="","",IF($C50="","",raporTarihi-$C50))</f>
        <v/>
      </c>
      <c r="M50" s="28">
        <f>IF($A50="","",IF($L50="","",IF($L50&lt;=7,"0-7",IF($L50&lt;=30,"8-30",IF($L50&lt;=60,"31-60","60+")))))</f>
        <v/>
      </c>
      <c r="N50" s="28">
        <f>IF($A50="","",IF($B50="","YETİM",IF(COUNTIF(tblEnvanter[TehlikeId],$B50)=0,"YETİM","")))</f>
        <v/>
      </c>
      <c r="O50" s="28">
        <f>IF(OR($A50="",$E50=""),"",IF(OR($E50&amp;"|"&amp;$F50="",COUNTIF(ListeIzinliGecis,$E50&amp;"|"&amp;$F50)&gt;0),"","GEÇERSİZ GEÇİŞ"))</f>
        <v/>
      </c>
      <c r="P50" s="28">
        <f>IF($A50="","",IF(OR($I50="",$J50=""),"",IF(ABS($J50-$I50)&gt;zincirTolerans,"ZİNCİR KIRIK","OK")))</f>
        <v/>
      </c>
      <c r="Q50" s="28">
        <f>IF($A50="","",1)</f>
        <v/>
      </c>
    </row>
    <row r="51">
      <c r="A51" s="26" t="n"/>
      <c r="B51" s="26" t="n"/>
      <c r="C51" s="35" t="n"/>
      <c r="D51" s="35" t="n"/>
      <c r="E51" s="26" t="n"/>
      <c r="F51" s="26" t="n"/>
      <c r="G51" s="26" t="n"/>
      <c r="H51" s="26" t="n"/>
      <c r="I51" s="27" t="n"/>
      <c r="J51" s="27" t="n"/>
      <c r="K51" s="36" t="n"/>
      <c r="L51" s="28">
        <f>IF($A51="","",IF($C51="","",raporTarihi-$C51))</f>
        <v/>
      </c>
      <c r="M51" s="28">
        <f>IF($A51="","",IF($L51="","",IF($L51&lt;=7,"0-7",IF($L51&lt;=30,"8-30",IF($L51&lt;=60,"31-60","60+")))))</f>
        <v/>
      </c>
      <c r="N51" s="28">
        <f>IF($A51="","",IF($B51="","YETİM",IF(COUNTIF(tblEnvanter[TehlikeId],$B51)=0,"YETİM","")))</f>
        <v/>
      </c>
      <c r="O51" s="28">
        <f>IF(OR($A51="",$E51=""),"",IF(OR($E51&amp;"|"&amp;$F51="",COUNTIF(ListeIzinliGecis,$E51&amp;"|"&amp;$F51)&gt;0),"","GEÇERSİZ GEÇİŞ"))</f>
        <v/>
      </c>
      <c r="P51" s="28">
        <f>IF($A51="","",IF(OR($I51="",$J51=""),"",IF(ABS($J51-$I51)&gt;zincirTolerans,"ZİNCİR KIRIK","OK")))</f>
        <v/>
      </c>
      <c r="Q51" s="28">
        <f>IF($A51="","",1)</f>
        <v/>
      </c>
    </row>
    <row r="52">
      <c r="A52" s="26" t="n"/>
      <c r="B52" s="26" t="n"/>
      <c r="C52" s="35" t="n"/>
      <c r="D52" s="35" t="n"/>
      <c r="E52" s="26" t="n"/>
      <c r="F52" s="26" t="n"/>
      <c r="G52" s="26" t="n"/>
      <c r="H52" s="26" t="n"/>
      <c r="I52" s="27" t="n"/>
      <c r="J52" s="27" t="n"/>
      <c r="K52" s="36" t="n"/>
      <c r="L52" s="28">
        <f>IF($A52="","",IF($C52="","",raporTarihi-$C52))</f>
        <v/>
      </c>
      <c r="M52" s="28">
        <f>IF($A52="","",IF($L52="","",IF($L52&lt;=7,"0-7",IF($L52&lt;=30,"8-30",IF($L52&lt;=60,"31-60","60+")))))</f>
        <v/>
      </c>
      <c r="N52" s="28">
        <f>IF($A52="","",IF($B52="","YETİM",IF(COUNTIF(tblEnvanter[TehlikeId],$B52)=0,"YETİM","")))</f>
        <v/>
      </c>
      <c r="O52" s="28">
        <f>IF(OR($A52="",$E52=""),"",IF(OR($E52&amp;"|"&amp;$F52="",COUNTIF(ListeIzinliGecis,$E52&amp;"|"&amp;$F52)&gt;0),"","GEÇERSİZ GEÇİŞ"))</f>
        <v/>
      </c>
      <c r="P52" s="28">
        <f>IF($A52="","",IF(OR($I52="",$J52=""),"",IF(ABS($J52-$I52)&gt;zincirTolerans,"ZİNCİR KIRIK","OK")))</f>
        <v/>
      </c>
      <c r="Q52" s="28">
        <f>IF($A52="","",1)</f>
        <v/>
      </c>
    </row>
    <row r="53">
      <c r="A53" s="26" t="n"/>
      <c r="B53" s="26" t="n"/>
      <c r="C53" s="35" t="n"/>
      <c r="D53" s="35" t="n"/>
      <c r="E53" s="26" t="n"/>
      <c r="F53" s="26" t="n"/>
      <c r="G53" s="26" t="n"/>
      <c r="H53" s="26" t="n"/>
      <c r="I53" s="27" t="n"/>
      <c r="J53" s="27" t="n"/>
      <c r="K53" s="36" t="n"/>
      <c r="L53" s="28">
        <f>IF($A53="","",IF($C53="","",raporTarihi-$C53))</f>
        <v/>
      </c>
      <c r="M53" s="28">
        <f>IF($A53="","",IF($L53="","",IF($L53&lt;=7,"0-7",IF($L53&lt;=30,"8-30",IF($L53&lt;=60,"31-60","60+")))))</f>
        <v/>
      </c>
      <c r="N53" s="28">
        <f>IF($A53="","",IF($B53="","YETİM",IF(COUNTIF(tblEnvanter[TehlikeId],$B53)=0,"YETİM","")))</f>
        <v/>
      </c>
      <c r="O53" s="28">
        <f>IF(OR($A53="",$E53=""),"",IF(OR($E53&amp;"|"&amp;$F53="",COUNTIF(ListeIzinliGecis,$E53&amp;"|"&amp;$F53)&gt;0),"","GEÇERSİZ GEÇİŞ"))</f>
        <v/>
      </c>
      <c r="P53" s="28">
        <f>IF($A53="","",IF(OR($I53="",$J53=""),"",IF(ABS($J53-$I53)&gt;zincirTolerans,"ZİNCİR KIRIK","OK")))</f>
        <v/>
      </c>
      <c r="Q53" s="28">
        <f>IF($A53="","",1)</f>
        <v/>
      </c>
    </row>
    <row r="54">
      <c r="A54" s="26" t="n"/>
      <c r="B54" s="26" t="n"/>
      <c r="C54" s="35" t="n"/>
      <c r="D54" s="35" t="n"/>
      <c r="E54" s="26" t="n"/>
      <c r="F54" s="26" t="n"/>
      <c r="G54" s="26" t="n"/>
      <c r="H54" s="26" t="n"/>
      <c r="I54" s="27" t="n"/>
      <c r="J54" s="27" t="n"/>
      <c r="K54" s="36" t="n"/>
      <c r="L54" s="28">
        <f>IF($A54="","",IF($C54="","",raporTarihi-$C54))</f>
        <v/>
      </c>
      <c r="M54" s="28">
        <f>IF($A54="","",IF($L54="","",IF($L54&lt;=7,"0-7",IF($L54&lt;=30,"8-30",IF($L54&lt;=60,"31-60","60+")))))</f>
        <v/>
      </c>
      <c r="N54" s="28">
        <f>IF($A54="","",IF($B54="","YETİM",IF(COUNTIF(tblEnvanter[TehlikeId],$B54)=0,"YETİM","")))</f>
        <v/>
      </c>
      <c r="O54" s="28">
        <f>IF(OR($A54="",$E54=""),"",IF(OR($E54&amp;"|"&amp;$F54="",COUNTIF(ListeIzinliGecis,$E54&amp;"|"&amp;$F54)&gt;0),"","GEÇERSİZ GEÇİŞ"))</f>
        <v/>
      </c>
      <c r="P54" s="28">
        <f>IF($A54="","",IF(OR($I54="",$J54=""),"",IF(ABS($J54-$I54)&gt;zincirTolerans,"ZİNCİR KIRIK","OK")))</f>
        <v/>
      </c>
      <c r="Q54" s="28">
        <f>IF($A54="","",1)</f>
        <v/>
      </c>
    </row>
    <row r="55">
      <c r="A55" s="26" t="n"/>
      <c r="B55" s="26" t="n"/>
      <c r="C55" s="35" t="n"/>
      <c r="D55" s="35" t="n"/>
      <c r="E55" s="26" t="n"/>
      <c r="F55" s="26" t="n"/>
      <c r="G55" s="26" t="n"/>
      <c r="H55" s="26" t="n"/>
      <c r="I55" s="27" t="n"/>
      <c r="J55" s="27" t="n"/>
      <c r="K55" s="36" t="n"/>
      <c r="L55" s="28">
        <f>IF($A55="","",IF($C55="","",raporTarihi-$C55))</f>
        <v/>
      </c>
      <c r="M55" s="28">
        <f>IF($A55="","",IF($L55="","",IF($L55&lt;=7,"0-7",IF($L55&lt;=30,"8-30",IF($L55&lt;=60,"31-60","60+")))))</f>
        <v/>
      </c>
      <c r="N55" s="28">
        <f>IF($A55="","",IF($B55="","YETİM",IF(COUNTIF(tblEnvanter[TehlikeId],$B55)=0,"YETİM","")))</f>
        <v/>
      </c>
      <c r="O55" s="28">
        <f>IF(OR($A55="",$E55=""),"",IF(OR($E55&amp;"|"&amp;$F55="",COUNTIF(ListeIzinliGecis,$E55&amp;"|"&amp;$F55)&gt;0),"","GEÇERSİZ GEÇİŞ"))</f>
        <v/>
      </c>
      <c r="P55" s="28">
        <f>IF($A55="","",IF(OR($I55="",$J55=""),"",IF(ABS($J55-$I55)&gt;zincirTolerans,"ZİNCİR KIRIK","OK")))</f>
        <v/>
      </c>
      <c r="Q55" s="28">
        <f>IF($A55="","",1)</f>
        <v/>
      </c>
    </row>
    <row r="56">
      <c r="A56" s="26" t="n"/>
      <c r="B56" s="26" t="n"/>
      <c r="C56" s="35" t="n"/>
      <c r="D56" s="35" t="n"/>
      <c r="E56" s="26" t="n"/>
      <c r="F56" s="26" t="n"/>
      <c r="G56" s="26" t="n"/>
      <c r="H56" s="26" t="n"/>
      <c r="I56" s="27" t="n"/>
      <c r="J56" s="27" t="n"/>
      <c r="K56" s="36" t="n"/>
      <c r="L56" s="28">
        <f>IF($A56="","",IF($C56="","",raporTarihi-$C56))</f>
        <v/>
      </c>
      <c r="M56" s="28">
        <f>IF($A56="","",IF($L56="","",IF($L56&lt;=7,"0-7",IF($L56&lt;=30,"8-30",IF($L56&lt;=60,"31-60","60+")))))</f>
        <v/>
      </c>
      <c r="N56" s="28">
        <f>IF($A56="","",IF($B56="","YETİM",IF(COUNTIF(tblEnvanter[TehlikeId],$B56)=0,"YETİM","")))</f>
        <v/>
      </c>
      <c r="O56" s="28">
        <f>IF(OR($A56="",$E56=""),"",IF(OR($E56&amp;"|"&amp;$F56="",COUNTIF(ListeIzinliGecis,$E56&amp;"|"&amp;$F56)&gt;0),"","GEÇERSİZ GEÇİŞ"))</f>
        <v/>
      </c>
      <c r="P56" s="28">
        <f>IF($A56="","",IF(OR($I56="",$J56=""),"",IF(ABS($J56-$I56)&gt;zincirTolerans,"ZİNCİR KIRIK","OK")))</f>
        <v/>
      </c>
      <c r="Q56" s="28">
        <f>IF($A56="","",1)</f>
        <v/>
      </c>
    </row>
    <row r="57">
      <c r="A57" s="26" t="n"/>
      <c r="B57" s="26" t="n"/>
      <c r="C57" s="35" t="n"/>
      <c r="D57" s="35" t="n"/>
      <c r="E57" s="26" t="n"/>
      <c r="F57" s="26" t="n"/>
      <c r="G57" s="26" t="n"/>
      <c r="H57" s="26" t="n"/>
      <c r="I57" s="27" t="n"/>
      <c r="J57" s="27" t="n"/>
      <c r="K57" s="36" t="n"/>
      <c r="L57" s="28">
        <f>IF($A57="","",IF($C57="","",raporTarihi-$C57))</f>
        <v/>
      </c>
      <c r="M57" s="28">
        <f>IF($A57="","",IF($L57="","",IF($L57&lt;=7,"0-7",IF($L57&lt;=30,"8-30",IF($L57&lt;=60,"31-60","60+")))))</f>
        <v/>
      </c>
      <c r="N57" s="28">
        <f>IF($A57="","",IF($B57="","YETİM",IF(COUNTIF(tblEnvanter[TehlikeId],$B57)=0,"YETİM","")))</f>
        <v/>
      </c>
      <c r="O57" s="28">
        <f>IF(OR($A57="",$E57=""),"",IF(OR($E57&amp;"|"&amp;$F57="",COUNTIF(ListeIzinliGecis,$E57&amp;"|"&amp;$F57)&gt;0),"","GEÇERSİZ GEÇİŞ"))</f>
        <v/>
      </c>
      <c r="P57" s="28">
        <f>IF($A57="","",IF(OR($I57="",$J57=""),"",IF(ABS($J57-$I57)&gt;zincirTolerans,"ZİNCİR KIRIK","OK")))</f>
        <v/>
      </c>
      <c r="Q57" s="28">
        <f>IF($A57="","",1)</f>
        <v/>
      </c>
    </row>
    <row r="58">
      <c r="A58" s="26" t="n"/>
      <c r="B58" s="26" t="n"/>
      <c r="C58" s="35" t="n"/>
      <c r="D58" s="35" t="n"/>
      <c r="E58" s="26" t="n"/>
      <c r="F58" s="26" t="n"/>
      <c r="G58" s="26" t="n"/>
      <c r="H58" s="26" t="n"/>
      <c r="I58" s="27" t="n"/>
      <c r="J58" s="27" t="n"/>
      <c r="K58" s="36" t="n"/>
      <c r="L58" s="28">
        <f>IF($A58="","",IF($C58="","",raporTarihi-$C58))</f>
        <v/>
      </c>
      <c r="M58" s="28">
        <f>IF($A58="","",IF($L58="","",IF($L58&lt;=7,"0-7",IF($L58&lt;=30,"8-30",IF($L58&lt;=60,"31-60","60+")))))</f>
        <v/>
      </c>
      <c r="N58" s="28">
        <f>IF($A58="","",IF($B58="","YETİM",IF(COUNTIF(tblEnvanter[TehlikeId],$B58)=0,"YETİM","")))</f>
        <v/>
      </c>
      <c r="O58" s="28">
        <f>IF(OR($A58="",$E58=""),"",IF(OR($E58&amp;"|"&amp;$F58="",COUNTIF(ListeIzinliGecis,$E58&amp;"|"&amp;$F58)&gt;0),"","GEÇERSİZ GEÇİŞ"))</f>
        <v/>
      </c>
      <c r="P58" s="28">
        <f>IF($A58="","",IF(OR($I58="",$J58=""),"",IF(ABS($J58-$I58)&gt;zincirTolerans,"ZİNCİR KIRIK","OK")))</f>
        <v/>
      </c>
      <c r="Q58" s="28">
        <f>IF($A58="","",1)</f>
        <v/>
      </c>
    </row>
    <row r="59">
      <c r="A59" s="26" t="n"/>
      <c r="B59" s="26" t="n"/>
      <c r="C59" s="35" t="n"/>
      <c r="D59" s="35" t="n"/>
      <c r="E59" s="26" t="n"/>
      <c r="F59" s="26" t="n"/>
      <c r="G59" s="26" t="n"/>
      <c r="H59" s="26" t="n"/>
      <c r="I59" s="27" t="n"/>
      <c r="J59" s="27" t="n"/>
      <c r="K59" s="36" t="n"/>
      <c r="L59" s="28">
        <f>IF($A59="","",IF($C59="","",raporTarihi-$C59))</f>
        <v/>
      </c>
      <c r="M59" s="28">
        <f>IF($A59="","",IF($L59="","",IF($L59&lt;=7,"0-7",IF($L59&lt;=30,"8-30",IF($L59&lt;=60,"31-60","60+")))))</f>
        <v/>
      </c>
      <c r="N59" s="28">
        <f>IF($A59="","",IF($B59="","YETİM",IF(COUNTIF(tblEnvanter[TehlikeId],$B59)=0,"YETİM","")))</f>
        <v/>
      </c>
      <c r="O59" s="28">
        <f>IF(OR($A59="",$E59=""),"",IF(OR($E59&amp;"|"&amp;$F59="",COUNTIF(ListeIzinliGecis,$E59&amp;"|"&amp;$F59)&gt;0),"","GEÇERSİZ GEÇİŞ"))</f>
        <v/>
      </c>
      <c r="P59" s="28">
        <f>IF($A59="","",IF(OR($I59="",$J59=""),"",IF(ABS($J59-$I59)&gt;zincirTolerans,"ZİNCİR KIRIK","OK")))</f>
        <v/>
      </c>
      <c r="Q59" s="28">
        <f>IF($A59="","",1)</f>
        <v/>
      </c>
    </row>
    <row r="60">
      <c r="A60" s="26" t="n"/>
      <c r="B60" s="26" t="n"/>
      <c r="C60" s="35" t="n"/>
      <c r="D60" s="35" t="n"/>
      <c r="E60" s="26" t="n"/>
      <c r="F60" s="26" t="n"/>
      <c r="G60" s="26" t="n"/>
      <c r="H60" s="26" t="n"/>
      <c r="I60" s="27" t="n"/>
      <c r="J60" s="27" t="n"/>
      <c r="K60" s="36" t="n"/>
      <c r="L60" s="28">
        <f>IF($A60="","",IF($C60="","",raporTarihi-$C60))</f>
        <v/>
      </c>
      <c r="M60" s="28">
        <f>IF($A60="","",IF($L60="","",IF($L60&lt;=7,"0-7",IF($L60&lt;=30,"8-30",IF($L60&lt;=60,"31-60","60+")))))</f>
        <v/>
      </c>
      <c r="N60" s="28">
        <f>IF($A60="","",IF($B60="","YETİM",IF(COUNTIF(tblEnvanter[TehlikeId],$B60)=0,"YETİM","")))</f>
        <v/>
      </c>
      <c r="O60" s="28">
        <f>IF(OR($A60="",$E60=""),"",IF(OR($E60&amp;"|"&amp;$F60="",COUNTIF(ListeIzinliGecis,$E60&amp;"|"&amp;$F60)&gt;0),"","GEÇERSİZ GEÇİŞ"))</f>
        <v/>
      </c>
      <c r="P60" s="28">
        <f>IF($A60="","",IF(OR($I60="",$J60=""),"",IF(ABS($J60-$I60)&gt;zincirTolerans,"ZİNCİR KIRIK","OK")))</f>
        <v/>
      </c>
      <c r="Q60" s="28">
        <f>IF($A60="","",1)</f>
        <v/>
      </c>
    </row>
    <row r="61">
      <c r="A61" s="26" t="n"/>
      <c r="B61" s="26" t="n"/>
      <c r="C61" s="35" t="n"/>
      <c r="D61" s="35" t="n"/>
      <c r="E61" s="26" t="n"/>
      <c r="F61" s="26" t="n"/>
      <c r="G61" s="26" t="n"/>
      <c r="H61" s="26" t="n"/>
      <c r="I61" s="27" t="n"/>
      <c r="J61" s="27" t="n"/>
      <c r="K61" s="36" t="n"/>
      <c r="L61" s="28">
        <f>IF($A61="","",IF($C61="","",raporTarihi-$C61))</f>
        <v/>
      </c>
      <c r="M61" s="28">
        <f>IF($A61="","",IF($L61="","",IF($L61&lt;=7,"0-7",IF($L61&lt;=30,"8-30",IF($L61&lt;=60,"31-60","60+")))))</f>
        <v/>
      </c>
      <c r="N61" s="28">
        <f>IF($A61="","",IF($B61="","YETİM",IF(COUNTIF(tblEnvanter[TehlikeId],$B61)=0,"YETİM","")))</f>
        <v/>
      </c>
      <c r="O61" s="28">
        <f>IF(OR($A61="",$E61=""),"",IF(OR($E61&amp;"|"&amp;$F61="",COUNTIF(ListeIzinliGecis,$E61&amp;"|"&amp;$F61)&gt;0),"","GEÇERSİZ GEÇİŞ"))</f>
        <v/>
      </c>
      <c r="P61" s="28">
        <f>IF($A61="","",IF(OR($I61="",$J61=""),"",IF(ABS($J61-$I61)&gt;zincirTolerans,"ZİNCİR KIRIK","OK")))</f>
        <v/>
      </c>
      <c r="Q61" s="28">
        <f>IF($A61="","",1)</f>
        <v/>
      </c>
    </row>
    <row r="62">
      <c r="A62" s="26" t="n"/>
      <c r="B62" s="26" t="n"/>
      <c r="C62" s="35" t="n"/>
      <c r="D62" s="35" t="n"/>
      <c r="E62" s="26" t="n"/>
      <c r="F62" s="26" t="n"/>
      <c r="G62" s="26" t="n"/>
      <c r="H62" s="26" t="n"/>
      <c r="I62" s="27" t="n"/>
      <c r="J62" s="27" t="n"/>
      <c r="K62" s="36" t="n"/>
      <c r="L62" s="28">
        <f>IF($A62="","",IF($C62="","",raporTarihi-$C62))</f>
        <v/>
      </c>
      <c r="M62" s="28">
        <f>IF($A62="","",IF($L62="","",IF($L62&lt;=7,"0-7",IF($L62&lt;=30,"8-30",IF($L62&lt;=60,"31-60","60+")))))</f>
        <v/>
      </c>
      <c r="N62" s="28">
        <f>IF($A62="","",IF($B62="","YETİM",IF(COUNTIF(tblEnvanter[TehlikeId],$B62)=0,"YETİM","")))</f>
        <v/>
      </c>
      <c r="O62" s="28">
        <f>IF(OR($A62="",$E62=""),"",IF(OR($E62&amp;"|"&amp;$F62="",COUNTIF(ListeIzinliGecis,$E62&amp;"|"&amp;$F62)&gt;0),"","GEÇERSİZ GEÇİŞ"))</f>
        <v/>
      </c>
      <c r="P62" s="28">
        <f>IF($A62="","",IF(OR($I62="",$J62=""),"",IF(ABS($J62-$I62)&gt;zincirTolerans,"ZİNCİR KIRIK","OK")))</f>
        <v/>
      </c>
      <c r="Q62" s="28">
        <f>IF($A62="","",1)</f>
        <v/>
      </c>
    </row>
    <row r="63">
      <c r="A63" s="26" t="n"/>
      <c r="B63" s="26" t="n"/>
      <c r="C63" s="35" t="n"/>
      <c r="D63" s="35" t="n"/>
      <c r="E63" s="26" t="n"/>
      <c r="F63" s="26" t="n"/>
      <c r="G63" s="26" t="n"/>
      <c r="H63" s="26" t="n"/>
      <c r="I63" s="27" t="n"/>
      <c r="J63" s="27" t="n"/>
      <c r="K63" s="36" t="n"/>
      <c r="L63" s="28">
        <f>IF($A63="","",IF($C63="","",raporTarihi-$C63))</f>
        <v/>
      </c>
      <c r="M63" s="28">
        <f>IF($A63="","",IF($L63="","",IF($L63&lt;=7,"0-7",IF($L63&lt;=30,"8-30",IF($L63&lt;=60,"31-60","60+")))))</f>
        <v/>
      </c>
      <c r="N63" s="28">
        <f>IF($A63="","",IF($B63="","YETİM",IF(COUNTIF(tblEnvanter[TehlikeId],$B63)=0,"YETİM","")))</f>
        <v/>
      </c>
      <c r="O63" s="28">
        <f>IF(OR($A63="",$E63=""),"",IF(OR($E63&amp;"|"&amp;$F63="",COUNTIF(ListeIzinliGecis,$E63&amp;"|"&amp;$F63)&gt;0),"","GEÇERSİZ GEÇİŞ"))</f>
        <v/>
      </c>
      <c r="P63" s="28">
        <f>IF($A63="","",IF(OR($I63="",$J63=""),"",IF(ABS($J63-$I63)&gt;zincirTolerans,"ZİNCİR KIRIK","OK")))</f>
        <v/>
      </c>
      <c r="Q63" s="28">
        <f>IF($A63="","",1)</f>
        <v/>
      </c>
    </row>
    <row r="64">
      <c r="A64" s="26" t="n"/>
      <c r="B64" s="26" t="n"/>
      <c r="C64" s="35" t="n"/>
      <c r="D64" s="35" t="n"/>
      <c r="E64" s="26" t="n"/>
      <c r="F64" s="26" t="n"/>
      <c r="G64" s="26" t="n"/>
      <c r="H64" s="26" t="n"/>
      <c r="I64" s="27" t="n"/>
      <c r="J64" s="27" t="n"/>
      <c r="K64" s="36" t="n"/>
      <c r="L64" s="28">
        <f>IF($A64="","",IF($C64="","",raporTarihi-$C64))</f>
        <v/>
      </c>
      <c r="M64" s="28">
        <f>IF($A64="","",IF($L64="","",IF($L64&lt;=7,"0-7",IF($L64&lt;=30,"8-30",IF($L64&lt;=60,"31-60","60+")))))</f>
        <v/>
      </c>
      <c r="N64" s="28">
        <f>IF($A64="","",IF($B64="","YETİM",IF(COUNTIF(tblEnvanter[TehlikeId],$B64)=0,"YETİM","")))</f>
        <v/>
      </c>
      <c r="O64" s="28">
        <f>IF(OR($A64="",$E64=""),"",IF(OR($E64&amp;"|"&amp;$F64="",COUNTIF(ListeIzinliGecis,$E64&amp;"|"&amp;$F64)&gt;0),"","GEÇERSİZ GEÇİŞ"))</f>
        <v/>
      </c>
      <c r="P64" s="28">
        <f>IF($A64="","",IF(OR($I64="",$J64=""),"",IF(ABS($J64-$I64)&gt;zincirTolerans,"ZİNCİR KIRIK","OK")))</f>
        <v/>
      </c>
      <c r="Q64" s="28">
        <f>IF($A64="","",1)</f>
        <v/>
      </c>
    </row>
    <row r="65">
      <c r="A65" s="26" t="n"/>
      <c r="B65" s="26" t="n"/>
      <c r="C65" s="35" t="n"/>
      <c r="D65" s="35" t="n"/>
      <c r="E65" s="26" t="n"/>
      <c r="F65" s="26" t="n"/>
      <c r="G65" s="26" t="n"/>
      <c r="H65" s="26" t="n"/>
      <c r="I65" s="27" t="n"/>
      <c r="J65" s="27" t="n"/>
      <c r="K65" s="36" t="n"/>
      <c r="L65" s="28">
        <f>IF($A65="","",IF($C65="","",raporTarihi-$C65))</f>
        <v/>
      </c>
      <c r="M65" s="28">
        <f>IF($A65="","",IF($L65="","",IF($L65&lt;=7,"0-7",IF($L65&lt;=30,"8-30",IF($L65&lt;=60,"31-60","60+")))))</f>
        <v/>
      </c>
      <c r="N65" s="28">
        <f>IF($A65="","",IF($B65="","YETİM",IF(COUNTIF(tblEnvanter[TehlikeId],$B65)=0,"YETİM","")))</f>
        <v/>
      </c>
      <c r="O65" s="28">
        <f>IF(OR($A65="",$E65=""),"",IF(OR($E65&amp;"|"&amp;$F65="",COUNTIF(ListeIzinliGecis,$E65&amp;"|"&amp;$F65)&gt;0),"","GEÇERSİZ GEÇİŞ"))</f>
        <v/>
      </c>
      <c r="P65" s="28">
        <f>IF($A65="","",IF(OR($I65="",$J65=""),"",IF(ABS($J65-$I65)&gt;zincirTolerans,"ZİNCİR KIRIK","OK")))</f>
        <v/>
      </c>
      <c r="Q65" s="28">
        <f>IF($A65="","",1)</f>
        <v/>
      </c>
    </row>
    <row r="66">
      <c r="A66" s="26" t="n"/>
      <c r="B66" s="26" t="n"/>
      <c r="C66" s="35" t="n"/>
      <c r="D66" s="35" t="n"/>
      <c r="E66" s="26" t="n"/>
      <c r="F66" s="26" t="n"/>
      <c r="G66" s="26" t="n"/>
      <c r="H66" s="26" t="n"/>
      <c r="I66" s="27" t="n"/>
      <c r="J66" s="27" t="n"/>
      <c r="K66" s="36" t="n"/>
      <c r="L66" s="28">
        <f>IF($A66="","",IF($C66="","",raporTarihi-$C66))</f>
        <v/>
      </c>
      <c r="M66" s="28">
        <f>IF($A66="","",IF($L66="","",IF($L66&lt;=7,"0-7",IF($L66&lt;=30,"8-30",IF($L66&lt;=60,"31-60","60+")))))</f>
        <v/>
      </c>
      <c r="N66" s="28">
        <f>IF($A66="","",IF($B66="","YETİM",IF(COUNTIF(tblEnvanter[TehlikeId],$B66)=0,"YETİM","")))</f>
        <v/>
      </c>
      <c r="O66" s="28">
        <f>IF(OR($A66="",$E66=""),"",IF(OR($E66&amp;"|"&amp;$F66="",COUNTIF(ListeIzinliGecis,$E66&amp;"|"&amp;$F66)&gt;0),"","GEÇERSİZ GEÇİŞ"))</f>
        <v/>
      </c>
      <c r="P66" s="28">
        <f>IF($A66="","",IF(OR($I66="",$J66=""),"",IF(ABS($J66-$I66)&gt;zincirTolerans,"ZİNCİR KIRIK","OK")))</f>
        <v/>
      </c>
      <c r="Q66" s="28">
        <f>IF($A66="","",1)</f>
        <v/>
      </c>
    </row>
    <row r="67">
      <c r="A67" s="26" t="n"/>
      <c r="B67" s="26" t="n"/>
      <c r="C67" s="35" t="n"/>
      <c r="D67" s="35" t="n"/>
      <c r="E67" s="26" t="n"/>
      <c r="F67" s="26" t="n"/>
      <c r="G67" s="26" t="n"/>
      <c r="H67" s="26" t="n"/>
      <c r="I67" s="27" t="n"/>
      <c r="J67" s="27" t="n"/>
      <c r="K67" s="36" t="n"/>
      <c r="L67" s="28">
        <f>IF($A67="","",IF($C67="","",raporTarihi-$C67))</f>
        <v/>
      </c>
      <c r="M67" s="28">
        <f>IF($A67="","",IF($L67="","",IF($L67&lt;=7,"0-7",IF($L67&lt;=30,"8-30",IF($L67&lt;=60,"31-60","60+")))))</f>
        <v/>
      </c>
      <c r="N67" s="28">
        <f>IF($A67="","",IF($B67="","YETİM",IF(COUNTIF(tblEnvanter[TehlikeId],$B67)=0,"YETİM","")))</f>
        <v/>
      </c>
      <c r="O67" s="28">
        <f>IF(OR($A67="",$E67=""),"",IF(OR($E67&amp;"|"&amp;$F67="",COUNTIF(ListeIzinliGecis,$E67&amp;"|"&amp;$F67)&gt;0),"","GEÇERSİZ GEÇİŞ"))</f>
        <v/>
      </c>
      <c r="P67" s="28">
        <f>IF($A67="","",IF(OR($I67="",$J67=""),"",IF(ABS($J67-$I67)&gt;zincirTolerans,"ZİNCİR KIRIK","OK")))</f>
        <v/>
      </c>
      <c r="Q67" s="28">
        <f>IF($A67="","",1)</f>
        <v/>
      </c>
    </row>
    <row r="68">
      <c r="A68" s="26" t="n"/>
      <c r="B68" s="26" t="n"/>
      <c r="C68" s="35" t="n"/>
      <c r="D68" s="35" t="n"/>
      <c r="E68" s="26" t="n"/>
      <c r="F68" s="26" t="n"/>
      <c r="G68" s="26" t="n"/>
      <c r="H68" s="26" t="n"/>
      <c r="I68" s="27" t="n"/>
      <c r="J68" s="27" t="n"/>
      <c r="K68" s="36" t="n"/>
      <c r="L68" s="28">
        <f>IF($A68="","",IF($C68="","",raporTarihi-$C68))</f>
        <v/>
      </c>
      <c r="M68" s="28">
        <f>IF($A68="","",IF($L68="","",IF($L68&lt;=7,"0-7",IF($L68&lt;=30,"8-30",IF($L68&lt;=60,"31-60","60+")))))</f>
        <v/>
      </c>
      <c r="N68" s="28">
        <f>IF($A68="","",IF($B68="","YETİM",IF(COUNTIF(tblEnvanter[TehlikeId],$B68)=0,"YETİM","")))</f>
        <v/>
      </c>
      <c r="O68" s="28">
        <f>IF(OR($A68="",$E68=""),"",IF(OR($E68&amp;"|"&amp;$F68="",COUNTIF(ListeIzinliGecis,$E68&amp;"|"&amp;$F68)&gt;0),"","GEÇERSİZ GEÇİŞ"))</f>
        <v/>
      </c>
      <c r="P68" s="28">
        <f>IF($A68="","",IF(OR($I68="",$J68=""),"",IF(ABS($J68-$I68)&gt;zincirTolerans,"ZİNCİR KIRIK","OK")))</f>
        <v/>
      </c>
      <c r="Q68" s="28">
        <f>IF($A68="","",1)</f>
        <v/>
      </c>
    </row>
    <row r="69">
      <c r="A69" s="26" t="n"/>
      <c r="B69" s="26" t="n"/>
      <c r="C69" s="35" t="n"/>
      <c r="D69" s="35" t="n"/>
      <c r="E69" s="26" t="n"/>
      <c r="F69" s="26" t="n"/>
      <c r="G69" s="26" t="n"/>
      <c r="H69" s="26" t="n"/>
      <c r="I69" s="27" t="n"/>
      <c r="J69" s="27" t="n"/>
      <c r="K69" s="36" t="n"/>
      <c r="L69" s="28">
        <f>IF($A69="","",IF($C69="","",raporTarihi-$C69))</f>
        <v/>
      </c>
      <c r="M69" s="28">
        <f>IF($A69="","",IF($L69="","",IF($L69&lt;=7,"0-7",IF($L69&lt;=30,"8-30",IF($L69&lt;=60,"31-60","60+")))))</f>
        <v/>
      </c>
      <c r="N69" s="28">
        <f>IF($A69="","",IF($B69="","YETİM",IF(COUNTIF(tblEnvanter[TehlikeId],$B69)=0,"YETİM","")))</f>
        <v/>
      </c>
      <c r="O69" s="28">
        <f>IF(OR($A69="",$E69=""),"",IF(OR($E69&amp;"|"&amp;$F69="",COUNTIF(ListeIzinliGecis,$E69&amp;"|"&amp;$F69)&gt;0),"","GEÇERSİZ GEÇİŞ"))</f>
        <v/>
      </c>
      <c r="P69" s="28">
        <f>IF($A69="","",IF(OR($I69="",$J69=""),"",IF(ABS($J69-$I69)&gt;zincirTolerans,"ZİNCİR KIRIK","OK")))</f>
        <v/>
      </c>
      <c r="Q69" s="28">
        <f>IF($A69="","",1)</f>
        <v/>
      </c>
    </row>
    <row r="70">
      <c r="A70" s="26" t="n"/>
      <c r="B70" s="26" t="n"/>
      <c r="C70" s="35" t="n"/>
      <c r="D70" s="35" t="n"/>
      <c r="E70" s="26" t="n"/>
      <c r="F70" s="26" t="n"/>
      <c r="G70" s="26" t="n"/>
      <c r="H70" s="26" t="n"/>
      <c r="I70" s="27" t="n"/>
      <c r="J70" s="27" t="n"/>
      <c r="K70" s="36" t="n"/>
      <c r="L70" s="28">
        <f>IF($A70="","",IF($C70="","",raporTarihi-$C70))</f>
        <v/>
      </c>
      <c r="M70" s="28">
        <f>IF($A70="","",IF($L70="","",IF($L70&lt;=7,"0-7",IF($L70&lt;=30,"8-30",IF($L70&lt;=60,"31-60","60+")))))</f>
        <v/>
      </c>
      <c r="N70" s="28">
        <f>IF($A70="","",IF($B70="","YETİM",IF(COUNTIF(tblEnvanter[TehlikeId],$B70)=0,"YETİM","")))</f>
        <v/>
      </c>
      <c r="O70" s="28">
        <f>IF(OR($A70="",$E70=""),"",IF(OR($E70&amp;"|"&amp;$F70="",COUNTIF(ListeIzinliGecis,$E70&amp;"|"&amp;$F70)&gt;0),"","GEÇERSİZ GEÇİŞ"))</f>
        <v/>
      </c>
      <c r="P70" s="28">
        <f>IF($A70="","",IF(OR($I70="",$J70=""),"",IF(ABS($J70-$I70)&gt;zincirTolerans,"ZİNCİR KIRIK","OK")))</f>
        <v/>
      </c>
      <c r="Q70" s="28">
        <f>IF($A70="","",1)</f>
        <v/>
      </c>
    </row>
    <row r="71">
      <c r="A71" s="26" t="n"/>
      <c r="B71" s="26" t="n"/>
      <c r="C71" s="35" t="n"/>
      <c r="D71" s="35" t="n"/>
      <c r="E71" s="26" t="n"/>
      <c r="F71" s="26" t="n"/>
      <c r="G71" s="26" t="n"/>
      <c r="H71" s="26" t="n"/>
      <c r="I71" s="27" t="n"/>
      <c r="J71" s="27" t="n"/>
      <c r="K71" s="36" t="n"/>
      <c r="L71" s="28">
        <f>IF($A71="","",IF($C71="","",raporTarihi-$C71))</f>
        <v/>
      </c>
      <c r="M71" s="28">
        <f>IF($A71="","",IF($L71="","",IF($L71&lt;=7,"0-7",IF($L71&lt;=30,"8-30",IF($L71&lt;=60,"31-60","60+")))))</f>
        <v/>
      </c>
      <c r="N71" s="28">
        <f>IF($A71="","",IF($B71="","YETİM",IF(COUNTIF(tblEnvanter[TehlikeId],$B71)=0,"YETİM","")))</f>
        <v/>
      </c>
      <c r="O71" s="28">
        <f>IF(OR($A71="",$E71=""),"",IF(OR($E71&amp;"|"&amp;$F71="",COUNTIF(ListeIzinliGecis,$E71&amp;"|"&amp;$F71)&gt;0),"","GEÇERSİZ GEÇİŞ"))</f>
        <v/>
      </c>
      <c r="P71" s="28">
        <f>IF($A71="","",IF(OR($I71="",$J71=""),"",IF(ABS($J71-$I71)&gt;zincirTolerans,"ZİNCİR KIRIK","OK")))</f>
        <v/>
      </c>
      <c r="Q71" s="28">
        <f>IF($A71="","",1)</f>
        <v/>
      </c>
    </row>
    <row r="72">
      <c r="A72" s="26" t="n"/>
      <c r="B72" s="26" t="n"/>
      <c r="C72" s="35" t="n"/>
      <c r="D72" s="35" t="n"/>
      <c r="E72" s="26" t="n"/>
      <c r="F72" s="26" t="n"/>
      <c r="G72" s="26" t="n"/>
      <c r="H72" s="26" t="n"/>
      <c r="I72" s="27" t="n"/>
      <c r="J72" s="27" t="n"/>
      <c r="K72" s="36" t="n"/>
      <c r="L72" s="28">
        <f>IF($A72="","",IF($C72="","",raporTarihi-$C72))</f>
        <v/>
      </c>
      <c r="M72" s="28">
        <f>IF($A72="","",IF($L72="","",IF($L72&lt;=7,"0-7",IF($L72&lt;=30,"8-30",IF($L72&lt;=60,"31-60","60+")))))</f>
        <v/>
      </c>
      <c r="N72" s="28">
        <f>IF($A72="","",IF($B72="","YETİM",IF(COUNTIF(tblEnvanter[TehlikeId],$B72)=0,"YETİM","")))</f>
        <v/>
      </c>
      <c r="O72" s="28">
        <f>IF(OR($A72="",$E72=""),"",IF(OR($E72&amp;"|"&amp;$F72="",COUNTIF(ListeIzinliGecis,$E72&amp;"|"&amp;$F72)&gt;0),"","GEÇERSİZ GEÇİŞ"))</f>
        <v/>
      </c>
      <c r="P72" s="28">
        <f>IF($A72="","",IF(OR($I72="",$J72=""),"",IF(ABS($J72-$I72)&gt;zincirTolerans,"ZİNCİR KIRIK","OK")))</f>
        <v/>
      </c>
      <c r="Q72" s="28">
        <f>IF($A72="","",1)</f>
        <v/>
      </c>
    </row>
    <row r="73">
      <c r="A73" s="26" t="n"/>
      <c r="B73" s="26" t="n"/>
      <c r="C73" s="35" t="n"/>
      <c r="D73" s="35" t="n"/>
      <c r="E73" s="26" t="n"/>
      <c r="F73" s="26" t="n"/>
      <c r="G73" s="26" t="n"/>
      <c r="H73" s="26" t="n"/>
      <c r="I73" s="27" t="n"/>
      <c r="J73" s="27" t="n"/>
      <c r="K73" s="36" t="n"/>
      <c r="L73" s="28">
        <f>IF($A73="","",IF($C73="","",raporTarihi-$C73))</f>
        <v/>
      </c>
      <c r="M73" s="28">
        <f>IF($A73="","",IF($L73="","",IF($L73&lt;=7,"0-7",IF($L73&lt;=30,"8-30",IF($L73&lt;=60,"31-60","60+")))))</f>
        <v/>
      </c>
      <c r="N73" s="28">
        <f>IF($A73="","",IF($B73="","YETİM",IF(COUNTIF(tblEnvanter[TehlikeId],$B73)=0,"YETİM","")))</f>
        <v/>
      </c>
      <c r="O73" s="28">
        <f>IF(OR($A73="",$E73=""),"",IF(OR($E73&amp;"|"&amp;$F73="",COUNTIF(ListeIzinliGecis,$E73&amp;"|"&amp;$F73)&gt;0),"","GEÇERSİZ GEÇİŞ"))</f>
        <v/>
      </c>
      <c r="P73" s="28">
        <f>IF($A73="","",IF(OR($I73="",$J73=""),"",IF(ABS($J73-$I73)&gt;zincirTolerans,"ZİNCİR KIRIK","OK")))</f>
        <v/>
      </c>
      <c r="Q73" s="28">
        <f>IF($A73="","",1)</f>
        <v/>
      </c>
    </row>
    <row r="74">
      <c r="A74" s="26" t="n"/>
      <c r="B74" s="26" t="n"/>
      <c r="C74" s="35" t="n"/>
      <c r="D74" s="35" t="n"/>
      <c r="E74" s="26" t="n"/>
      <c r="F74" s="26" t="n"/>
      <c r="G74" s="26" t="n"/>
      <c r="H74" s="26" t="n"/>
      <c r="I74" s="27" t="n"/>
      <c r="J74" s="27" t="n"/>
      <c r="K74" s="36" t="n"/>
      <c r="L74" s="28">
        <f>IF($A74="","",IF($C74="","",raporTarihi-$C74))</f>
        <v/>
      </c>
      <c r="M74" s="28">
        <f>IF($A74="","",IF($L74="","",IF($L74&lt;=7,"0-7",IF($L74&lt;=30,"8-30",IF($L74&lt;=60,"31-60","60+")))))</f>
        <v/>
      </c>
      <c r="N74" s="28">
        <f>IF($A74="","",IF($B74="","YETİM",IF(COUNTIF(tblEnvanter[TehlikeId],$B74)=0,"YETİM","")))</f>
        <v/>
      </c>
      <c r="O74" s="28">
        <f>IF(OR($A74="",$E74=""),"",IF(OR($E74&amp;"|"&amp;$F74="",COUNTIF(ListeIzinliGecis,$E74&amp;"|"&amp;$F74)&gt;0),"","GEÇERSİZ GEÇİŞ"))</f>
        <v/>
      </c>
      <c r="P74" s="28">
        <f>IF($A74="","",IF(OR($I74="",$J74=""),"",IF(ABS($J74-$I74)&gt;zincirTolerans,"ZİNCİR KIRIK","OK")))</f>
        <v/>
      </c>
      <c r="Q74" s="28">
        <f>IF($A74="","",1)</f>
        <v/>
      </c>
    </row>
    <row r="75">
      <c r="A75" s="26" t="n"/>
      <c r="B75" s="26" t="n"/>
      <c r="C75" s="35" t="n"/>
      <c r="D75" s="35" t="n"/>
      <c r="E75" s="26" t="n"/>
      <c r="F75" s="26" t="n"/>
      <c r="G75" s="26" t="n"/>
      <c r="H75" s="26" t="n"/>
      <c r="I75" s="27" t="n"/>
      <c r="J75" s="27" t="n"/>
      <c r="K75" s="36" t="n"/>
      <c r="L75" s="28">
        <f>IF($A75="","",IF($C75="","",raporTarihi-$C75))</f>
        <v/>
      </c>
      <c r="M75" s="28">
        <f>IF($A75="","",IF($L75="","",IF($L75&lt;=7,"0-7",IF($L75&lt;=30,"8-30",IF($L75&lt;=60,"31-60","60+")))))</f>
        <v/>
      </c>
      <c r="N75" s="28">
        <f>IF($A75="","",IF($B75="","YETİM",IF(COUNTIF(tblEnvanter[TehlikeId],$B75)=0,"YETİM","")))</f>
        <v/>
      </c>
      <c r="O75" s="28">
        <f>IF(OR($A75="",$E75=""),"",IF(OR($E75&amp;"|"&amp;$F75="",COUNTIF(ListeIzinliGecis,$E75&amp;"|"&amp;$F75)&gt;0),"","GEÇERSİZ GEÇİŞ"))</f>
        <v/>
      </c>
      <c r="P75" s="28">
        <f>IF($A75="","",IF(OR($I75="",$J75=""),"",IF(ABS($J75-$I75)&gt;zincirTolerans,"ZİNCİR KIRIK","OK")))</f>
        <v/>
      </c>
      <c r="Q75" s="28">
        <f>IF($A75="","",1)</f>
        <v/>
      </c>
    </row>
    <row r="76">
      <c r="A76" s="26" t="n"/>
      <c r="B76" s="26" t="n"/>
      <c r="C76" s="35" t="n"/>
      <c r="D76" s="35" t="n"/>
      <c r="E76" s="26" t="n"/>
      <c r="F76" s="26" t="n"/>
      <c r="G76" s="26" t="n"/>
      <c r="H76" s="26" t="n"/>
      <c r="I76" s="27" t="n"/>
      <c r="J76" s="27" t="n"/>
      <c r="K76" s="36" t="n"/>
      <c r="L76" s="28">
        <f>IF($A76="","",IF($C76="","",raporTarihi-$C76))</f>
        <v/>
      </c>
      <c r="M76" s="28">
        <f>IF($A76="","",IF($L76="","",IF($L76&lt;=7,"0-7",IF($L76&lt;=30,"8-30",IF($L76&lt;=60,"31-60","60+")))))</f>
        <v/>
      </c>
      <c r="N76" s="28">
        <f>IF($A76="","",IF($B76="","YETİM",IF(COUNTIF(tblEnvanter[TehlikeId],$B76)=0,"YETİM","")))</f>
        <v/>
      </c>
      <c r="O76" s="28">
        <f>IF(OR($A76="",$E76=""),"",IF(OR($E76&amp;"|"&amp;$F76="",COUNTIF(ListeIzinliGecis,$E76&amp;"|"&amp;$F76)&gt;0),"","GEÇERSİZ GEÇİŞ"))</f>
        <v/>
      </c>
      <c r="P76" s="28">
        <f>IF($A76="","",IF(OR($I76="",$J76=""),"",IF(ABS($J76-$I76)&gt;zincirTolerans,"ZİNCİR KIRIK","OK")))</f>
        <v/>
      </c>
      <c r="Q76" s="28">
        <f>IF($A76="","",1)</f>
        <v/>
      </c>
    </row>
    <row r="77">
      <c r="A77" s="26" t="n"/>
      <c r="B77" s="26" t="n"/>
      <c r="C77" s="35" t="n"/>
      <c r="D77" s="35" t="n"/>
      <c r="E77" s="26" t="n"/>
      <c r="F77" s="26" t="n"/>
      <c r="G77" s="26" t="n"/>
      <c r="H77" s="26" t="n"/>
      <c r="I77" s="27" t="n"/>
      <c r="J77" s="27" t="n"/>
      <c r="K77" s="36" t="n"/>
      <c r="L77" s="28">
        <f>IF($A77="","",IF($C77="","",raporTarihi-$C77))</f>
        <v/>
      </c>
      <c r="M77" s="28">
        <f>IF($A77="","",IF($L77="","",IF($L77&lt;=7,"0-7",IF($L77&lt;=30,"8-30",IF($L77&lt;=60,"31-60","60+")))))</f>
        <v/>
      </c>
      <c r="N77" s="28">
        <f>IF($A77="","",IF($B77="","YETİM",IF(COUNTIF(tblEnvanter[TehlikeId],$B77)=0,"YETİM","")))</f>
        <v/>
      </c>
      <c r="O77" s="28">
        <f>IF(OR($A77="",$E77=""),"",IF(OR($E77&amp;"|"&amp;$F77="",COUNTIF(ListeIzinliGecis,$E77&amp;"|"&amp;$F77)&gt;0),"","GEÇERSİZ GEÇİŞ"))</f>
        <v/>
      </c>
      <c r="P77" s="28">
        <f>IF($A77="","",IF(OR($I77="",$J77=""),"",IF(ABS($J77-$I77)&gt;zincirTolerans,"ZİNCİR KIRIK","OK")))</f>
        <v/>
      </c>
      <c r="Q77" s="28">
        <f>IF($A77="","",1)</f>
        <v/>
      </c>
    </row>
    <row r="78">
      <c r="A78" s="26" t="n"/>
      <c r="B78" s="26" t="n"/>
      <c r="C78" s="35" t="n"/>
      <c r="D78" s="35" t="n"/>
      <c r="E78" s="26" t="n"/>
      <c r="F78" s="26" t="n"/>
      <c r="G78" s="26" t="n"/>
      <c r="H78" s="26" t="n"/>
      <c r="I78" s="27" t="n"/>
      <c r="J78" s="27" t="n"/>
      <c r="K78" s="36" t="n"/>
      <c r="L78" s="28">
        <f>IF($A78="","",IF($C78="","",raporTarihi-$C78))</f>
        <v/>
      </c>
      <c r="M78" s="28">
        <f>IF($A78="","",IF($L78="","",IF($L78&lt;=7,"0-7",IF($L78&lt;=30,"8-30",IF($L78&lt;=60,"31-60","60+")))))</f>
        <v/>
      </c>
      <c r="N78" s="28">
        <f>IF($A78="","",IF($B78="","YETİM",IF(COUNTIF(tblEnvanter[TehlikeId],$B78)=0,"YETİM","")))</f>
        <v/>
      </c>
      <c r="O78" s="28">
        <f>IF(OR($A78="",$E78=""),"",IF(OR($E78&amp;"|"&amp;$F78="",COUNTIF(ListeIzinliGecis,$E78&amp;"|"&amp;$F78)&gt;0),"","GEÇERSİZ GEÇİŞ"))</f>
        <v/>
      </c>
      <c r="P78" s="28">
        <f>IF($A78="","",IF(OR($I78="",$J78=""),"",IF(ABS($J78-$I78)&gt;zincirTolerans,"ZİNCİR KIRIK","OK")))</f>
        <v/>
      </c>
      <c r="Q78" s="28">
        <f>IF($A78="","",1)</f>
        <v/>
      </c>
    </row>
    <row r="79">
      <c r="A79" s="26" t="n"/>
      <c r="B79" s="26" t="n"/>
      <c r="C79" s="35" t="n"/>
      <c r="D79" s="35" t="n"/>
      <c r="E79" s="26" t="n"/>
      <c r="F79" s="26" t="n"/>
      <c r="G79" s="26" t="n"/>
      <c r="H79" s="26" t="n"/>
      <c r="I79" s="27" t="n"/>
      <c r="J79" s="27" t="n"/>
      <c r="K79" s="36" t="n"/>
      <c r="L79" s="28">
        <f>IF($A79="","",IF($C79="","",raporTarihi-$C79))</f>
        <v/>
      </c>
      <c r="M79" s="28">
        <f>IF($A79="","",IF($L79="","",IF($L79&lt;=7,"0-7",IF($L79&lt;=30,"8-30",IF($L79&lt;=60,"31-60","60+")))))</f>
        <v/>
      </c>
      <c r="N79" s="28">
        <f>IF($A79="","",IF($B79="","YETİM",IF(COUNTIF(tblEnvanter[TehlikeId],$B79)=0,"YETİM","")))</f>
        <v/>
      </c>
      <c r="O79" s="28">
        <f>IF(OR($A79="",$E79=""),"",IF(OR($E79&amp;"|"&amp;$F79="",COUNTIF(ListeIzinliGecis,$E79&amp;"|"&amp;$F79)&gt;0),"","GEÇERSİZ GEÇİŞ"))</f>
        <v/>
      </c>
      <c r="P79" s="28">
        <f>IF($A79="","",IF(OR($I79="",$J79=""),"",IF(ABS($J79-$I79)&gt;zincirTolerans,"ZİNCİR KIRIK","OK")))</f>
        <v/>
      </c>
      <c r="Q79" s="28">
        <f>IF($A79="","",1)</f>
        <v/>
      </c>
    </row>
    <row r="80">
      <c r="A80" s="26" t="n"/>
      <c r="B80" s="26" t="n"/>
      <c r="C80" s="35" t="n"/>
      <c r="D80" s="35" t="n"/>
      <c r="E80" s="26" t="n"/>
      <c r="F80" s="26" t="n"/>
      <c r="G80" s="26" t="n"/>
      <c r="H80" s="26" t="n"/>
      <c r="I80" s="27" t="n"/>
      <c r="J80" s="27" t="n"/>
      <c r="K80" s="36" t="n"/>
      <c r="L80" s="28">
        <f>IF($A80="","",IF($C80="","",raporTarihi-$C80))</f>
        <v/>
      </c>
      <c r="M80" s="28">
        <f>IF($A80="","",IF($L80="","",IF($L80&lt;=7,"0-7",IF($L80&lt;=30,"8-30",IF($L80&lt;=60,"31-60","60+")))))</f>
        <v/>
      </c>
      <c r="N80" s="28">
        <f>IF($A80="","",IF($B80="","YETİM",IF(COUNTIF(tblEnvanter[TehlikeId],$B80)=0,"YETİM","")))</f>
        <v/>
      </c>
      <c r="O80" s="28">
        <f>IF(OR($A80="",$E80=""),"",IF(OR($E80&amp;"|"&amp;$F80="",COUNTIF(ListeIzinliGecis,$E80&amp;"|"&amp;$F80)&gt;0),"","GEÇERSİZ GEÇİŞ"))</f>
        <v/>
      </c>
      <c r="P80" s="28">
        <f>IF($A80="","",IF(OR($I80="",$J80=""),"",IF(ABS($J80-$I80)&gt;zincirTolerans,"ZİNCİR KIRIK","OK")))</f>
        <v/>
      </c>
      <c r="Q80" s="28">
        <f>IF($A80="","",1)</f>
        <v/>
      </c>
    </row>
    <row r="81">
      <c r="A81" s="26" t="n"/>
      <c r="B81" s="26" t="n"/>
      <c r="C81" s="35" t="n"/>
      <c r="D81" s="35" t="n"/>
      <c r="E81" s="26" t="n"/>
      <c r="F81" s="26" t="n"/>
      <c r="G81" s="26" t="n"/>
      <c r="H81" s="26" t="n"/>
      <c r="I81" s="27" t="n"/>
      <c r="J81" s="27" t="n"/>
      <c r="K81" s="36" t="n"/>
      <c r="L81" s="28">
        <f>IF($A81="","",IF($C81="","",raporTarihi-$C81))</f>
        <v/>
      </c>
      <c r="M81" s="28">
        <f>IF($A81="","",IF($L81="","",IF($L81&lt;=7,"0-7",IF($L81&lt;=30,"8-30",IF($L81&lt;=60,"31-60","60+")))))</f>
        <v/>
      </c>
      <c r="N81" s="28">
        <f>IF($A81="","",IF($B81="","YETİM",IF(COUNTIF(tblEnvanter[TehlikeId],$B81)=0,"YETİM","")))</f>
        <v/>
      </c>
      <c r="O81" s="28">
        <f>IF(OR($A81="",$E81=""),"",IF(OR($E81&amp;"|"&amp;$F81="",COUNTIF(ListeIzinliGecis,$E81&amp;"|"&amp;$F81)&gt;0),"","GEÇERSİZ GEÇİŞ"))</f>
        <v/>
      </c>
      <c r="P81" s="28">
        <f>IF($A81="","",IF(OR($I81="",$J81=""),"",IF(ABS($J81-$I81)&gt;zincirTolerans,"ZİNCİR KIRIK","OK")))</f>
        <v/>
      </c>
      <c r="Q81" s="28">
        <f>IF($A81="","",1)</f>
        <v/>
      </c>
    </row>
    <row r="82">
      <c r="A82" s="26" t="n"/>
      <c r="B82" s="26" t="n"/>
      <c r="C82" s="35" t="n"/>
      <c r="D82" s="35" t="n"/>
      <c r="E82" s="26" t="n"/>
      <c r="F82" s="26" t="n"/>
      <c r="G82" s="26" t="n"/>
      <c r="H82" s="26" t="n"/>
      <c r="I82" s="27" t="n"/>
      <c r="J82" s="27" t="n"/>
      <c r="K82" s="36" t="n"/>
      <c r="L82" s="28">
        <f>IF($A82="","",IF($C82="","",raporTarihi-$C82))</f>
        <v/>
      </c>
      <c r="M82" s="28">
        <f>IF($A82="","",IF($L82="","",IF($L82&lt;=7,"0-7",IF($L82&lt;=30,"8-30",IF($L82&lt;=60,"31-60","60+")))))</f>
        <v/>
      </c>
      <c r="N82" s="28">
        <f>IF($A82="","",IF($B82="","YETİM",IF(COUNTIF(tblEnvanter[TehlikeId],$B82)=0,"YETİM","")))</f>
        <v/>
      </c>
      <c r="O82" s="28">
        <f>IF(OR($A82="",$E82=""),"",IF(OR($E82&amp;"|"&amp;$F82="",COUNTIF(ListeIzinliGecis,$E82&amp;"|"&amp;$F82)&gt;0),"","GEÇERSİZ GEÇİŞ"))</f>
        <v/>
      </c>
      <c r="P82" s="28">
        <f>IF($A82="","",IF(OR($I82="",$J82=""),"",IF(ABS($J82-$I82)&gt;zincirTolerans,"ZİNCİR KIRIK","OK")))</f>
        <v/>
      </c>
      <c r="Q82" s="28">
        <f>IF($A82="","",1)</f>
        <v/>
      </c>
    </row>
    <row r="83">
      <c r="A83" s="26" t="n"/>
      <c r="B83" s="26" t="n"/>
      <c r="C83" s="35" t="n"/>
      <c r="D83" s="35" t="n"/>
      <c r="E83" s="26" t="n"/>
      <c r="F83" s="26" t="n"/>
      <c r="G83" s="26" t="n"/>
      <c r="H83" s="26" t="n"/>
      <c r="I83" s="27" t="n"/>
      <c r="J83" s="27" t="n"/>
      <c r="K83" s="36" t="n"/>
      <c r="L83" s="28">
        <f>IF($A83="","",IF($C83="","",raporTarihi-$C83))</f>
        <v/>
      </c>
      <c r="M83" s="28">
        <f>IF($A83="","",IF($L83="","",IF($L83&lt;=7,"0-7",IF($L83&lt;=30,"8-30",IF($L83&lt;=60,"31-60","60+")))))</f>
        <v/>
      </c>
      <c r="N83" s="28">
        <f>IF($A83="","",IF($B83="","YETİM",IF(COUNTIF(tblEnvanter[TehlikeId],$B83)=0,"YETİM","")))</f>
        <v/>
      </c>
      <c r="O83" s="28">
        <f>IF(OR($A83="",$E83=""),"",IF(OR($E83&amp;"|"&amp;$F83="",COUNTIF(ListeIzinliGecis,$E83&amp;"|"&amp;$F83)&gt;0),"","GEÇERSİZ GEÇİŞ"))</f>
        <v/>
      </c>
      <c r="P83" s="28">
        <f>IF($A83="","",IF(OR($I83="",$J83=""),"",IF(ABS($J83-$I83)&gt;zincirTolerans,"ZİNCİR KIRIK","OK")))</f>
        <v/>
      </c>
      <c r="Q83" s="28">
        <f>IF($A83="","",1)</f>
        <v/>
      </c>
    </row>
    <row r="84">
      <c r="A84" s="26" t="n"/>
      <c r="B84" s="26" t="n"/>
      <c r="C84" s="35" t="n"/>
      <c r="D84" s="35" t="n"/>
      <c r="E84" s="26" t="n"/>
      <c r="F84" s="26" t="n"/>
      <c r="G84" s="26" t="n"/>
      <c r="H84" s="26" t="n"/>
      <c r="I84" s="27" t="n"/>
      <c r="J84" s="27" t="n"/>
      <c r="K84" s="36" t="n"/>
      <c r="L84" s="28">
        <f>IF($A84="","",IF($C84="","",raporTarihi-$C84))</f>
        <v/>
      </c>
      <c r="M84" s="28">
        <f>IF($A84="","",IF($L84="","",IF($L84&lt;=7,"0-7",IF($L84&lt;=30,"8-30",IF($L84&lt;=60,"31-60","60+")))))</f>
        <v/>
      </c>
      <c r="N84" s="28">
        <f>IF($A84="","",IF($B84="","YETİM",IF(COUNTIF(tblEnvanter[TehlikeId],$B84)=0,"YETİM","")))</f>
        <v/>
      </c>
      <c r="O84" s="28">
        <f>IF(OR($A84="",$E84=""),"",IF(OR($E84&amp;"|"&amp;$F84="",COUNTIF(ListeIzinliGecis,$E84&amp;"|"&amp;$F84)&gt;0),"","GEÇERSİZ GEÇİŞ"))</f>
        <v/>
      </c>
      <c r="P84" s="28">
        <f>IF($A84="","",IF(OR($I84="",$J84=""),"",IF(ABS($J84-$I84)&gt;zincirTolerans,"ZİNCİR KIRIK","OK")))</f>
        <v/>
      </c>
      <c r="Q84" s="28">
        <f>IF($A84="","",1)</f>
        <v/>
      </c>
    </row>
    <row r="85">
      <c r="A85" s="26" t="n"/>
      <c r="B85" s="26" t="n"/>
      <c r="C85" s="35" t="n"/>
      <c r="D85" s="35" t="n"/>
      <c r="E85" s="26" t="n"/>
      <c r="F85" s="26" t="n"/>
      <c r="G85" s="26" t="n"/>
      <c r="H85" s="26" t="n"/>
      <c r="I85" s="27" t="n"/>
      <c r="J85" s="27" t="n"/>
      <c r="K85" s="36" t="n"/>
      <c r="L85" s="28">
        <f>IF($A85="","",IF($C85="","",raporTarihi-$C85))</f>
        <v/>
      </c>
      <c r="M85" s="28">
        <f>IF($A85="","",IF($L85="","",IF($L85&lt;=7,"0-7",IF($L85&lt;=30,"8-30",IF($L85&lt;=60,"31-60","60+")))))</f>
        <v/>
      </c>
      <c r="N85" s="28">
        <f>IF($A85="","",IF($B85="","YETİM",IF(COUNTIF(tblEnvanter[TehlikeId],$B85)=0,"YETİM","")))</f>
        <v/>
      </c>
      <c r="O85" s="28">
        <f>IF(OR($A85="",$E85=""),"",IF(OR($E85&amp;"|"&amp;$F85="",COUNTIF(ListeIzinliGecis,$E85&amp;"|"&amp;$F85)&gt;0),"","GEÇERSİZ GEÇİŞ"))</f>
        <v/>
      </c>
      <c r="P85" s="28">
        <f>IF($A85="","",IF(OR($I85="",$J85=""),"",IF(ABS($J85-$I85)&gt;zincirTolerans,"ZİNCİR KIRIK","OK")))</f>
        <v/>
      </c>
      <c r="Q85" s="28">
        <f>IF($A85="","",1)</f>
        <v/>
      </c>
    </row>
    <row r="86">
      <c r="A86" s="26" t="n"/>
      <c r="B86" s="26" t="n"/>
      <c r="C86" s="35" t="n"/>
      <c r="D86" s="35" t="n"/>
      <c r="E86" s="26" t="n"/>
      <c r="F86" s="26" t="n"/>
      <c r="G86" s="26" t="n"/>
      <c r="H86" s="26" t="n"/>
      <c r="I86" s="27" t="n"/>
      <c r="J86" s="27" t="n"/>
      <c r="K86" s="36" t="n"/>
      <c r="L86" s="28">
        <f>IF($A86="","",IF($C86="","",raporTarihi-$C86))</f>
        <v/>
      </c>
      <c r="M86" s="28">
        <f>IF($A86="","",IF($L86="","",IF($L86&lt;=7,"0-7",IF($L86&lt;=30,"8-30",IF($L86&lt;=60,"31-60","60+")))))</f>
        <v/>
      </c>
      <c r="N86" s="28">
        <f>IF($A86="","",IF($B86="","YETİM",IF(COUNTIF(tblEnvanter[TehlikeId],$B86)=0,"YETİM","")))</f>
        <v/>
      </c>
      <c r="O86" s="28">
        <f>IF(OR($A86="",$E86=""),"",IF(OR($E86&amp;"|"&amp;$F86="",COUNTIF(ListeIzinliGecis,$E86&amp;"|"&amp;$F86)&gt;0),"","GEÇERSİZ GEÇİŞ"))</f>
        <v/>
      </c>
      <c r="P86" s="28">
        <f>IF($A86="","",IF(OR($I86="",$J86=""),"",IF(ABS($J86-$I86)&gt;zincirTolerans,"ZİNCİR KIRIK","OK")))</f>
        <v/>
      </c>
      <c r="Q86" s="28">
        <f>IF($A86="","",1)</f>
        <v/>
      </c>
    </row>
    <row r="87">
      <c r="A87" s="26" t="n"/>
      <c r="B87" s="26" t="n"/>
      <c r="C87" s="35" t="n"/>
      <c r="D87" s="35" t="n"/>
      <c r="E87" s="26" t="n"/>
      <c r="F87" s="26" t="n"/>
      <c r="G87" s="26" t="n"/>
      <c r="H87" s="26" t="n"/>
      <c r="I87" s="27" t="n"/>
      <c r="J87" s="27" t="n"/>
      <c r="K87" s="36" t="n"/>
      <c r="L87" s="28">
        <f>IF($A87="","",IF($C87="","",raporTarihi-$C87))</f>
        <v/>
      </c>
      <c r="M87" s="28">
        <f>IF($A87="","",IF($L87="","",IF($L87&lt;=7,"0-7",IF($L87&lt;=30,"8-30",IF($L87&lt;=60,"31-60","60+")))))</f>
        <v/>
      </c>
      <c r="N87" s="28">
        <f>IF($A87="","",IF($B87="","YETİM",IF(COUNTIF(tblEnvanter[TehlikeId],$B87)=0,"YETİM","")))</f>
        <v/>
      </c>
      <c r="O87" s="28">
        <f>IF(OR($A87="",$E87=""),"",IF(OR($E87&amp;"|"&amp;$F87="",COUNTIF(ListeIzinliGecis,$E87&amp;"|"&amp;$F87)&gt;0),"","GEÇERSİZ GEÇİŞ"))</f>
        <v/>
      </c>
      <c r="P87" s="28">
        <f>IF($A87="","",IF(OR($I87="",$J87=""),"",IF(ABS($J87-$I87)&gt;zincirTolerans,"ZİNCİR KIRIK","OK")))</f>
        <v/>
      </c>
      <c r="Q87" s="28">
        <f>IF($A87="","",1)</f>
        <v/>
      </c>
    </row>
    <row r="88">
      <c r="A88" s="26" t="n"/>
      <c r="B88" s="26" t="n"/>
      <c r="C88" s="35" t="n"/>
      <c r="D88" s="35" t="n"/>
      <c r="E88" s="26" t="n"/>
      <c r="F88" s="26" t="n"/>
      <c r="G88" s="26" t="n"/>
      <c r="H88" s="26" t="n"/>
      <c r="I88" s="27" t="n"/>
      <c r="J88" s="27" t="n"/>
      <c r="K88" s="36" t="n"/>
      <c r="L88" s="28">
        <f>IF($A88="","",IF($C88="","",raporTarihi-$C88))</f>
        <v/>
      </c>
      <c r="M88" s="28">
        <f>IF($A88="","",IF($L88="","",IF($L88&lt;=7,"0-7",IF($L88&lt;=30,"8-30",IF($L88&lt;=60,"31-60","60+")))))</f>
        <v/>
      </c>
      <c r="N88" s="28">
        <f>IF($A88="","",IF($B88="","YETİM",IF(COUNTIF(tblEnvanter[TehlikeId],$B88)=0,"YETİM","")))</f>
        <v/>
      </c>
      <c r="O88" s="28">
        <f>IF(OR($A88="",$E88=""),"",IF(OR($E88&amp;"|"&amp;$F88="",COUNTIF(ListeIzinliGecis,$E88&amp;"|"&amp;$F88)&gt;0),"","GEÇERSİZ GEÇİŞ"))</f>
        <v/>
      </c>
      <c r="P88" s="28">
        <f>IF($A88="","",IF(OR($I88="",$J88=""),"",IF(ABS($J88-$I88)&gt;zincirTolerans,"ZİNCİR KIRIK","OK")))</f>
        <v/>
      </c>
      <c r="Q88" s="28">
        <f>IF($A88="","",1)</f>
        <v/>
      </c>
    </row>
    <row r="89">
      <c r="A89" s="26" t="n"/>
      <c r="B89" s="26" t="n"/>
      <c r="C89" s="35" t="n"/>
      <c r="D89" s="35" t="n"/>
      <c r="E89" s="26" t="n"/>
      <c r="F89" s="26" t="n"/>
      <c r="G89" s="26" t="n"/>
      <c r="H89" s="26" t="n"/>
      <c r="I89" s="27" t="n"/>
      <c r="J89" s="27" t="n"/>
      <c r="K89" s="36" t="n"/>
      <c r="L89" s="28">
        <f>IF($A89="","",IF($C89="","",raporTarihi-$C89))</f>
        <v/>
      </c>
      <c r="M89" s="28">
        <f>IF($A89="","",IF($L89="","",IF($L89&lt;=7,"0-7",IF($L89&lt;=30,"8-30",IF($L89&lt;=60,"31-60","60+")))))</f>
        <v/>
      </c>
      <c r="N89" s="28">
        <f>IF($A89="","",IF($B89="","YETİM",IF(COUNTIF(tblEnvanter[TehlikeId],$B89)=0,"YETİM","")))</f>
        <v/>
      </c>
      <c r="O89" s="28">
        <f>IF(OR($A89="",$E89=""),"",IF(OR($E89&amp;"|"&amp;$F89="",COUNTIF(ListeIzinliGecis,$E89&amp;"|"&amp;$F89)&gt;0),"","GEÇERSİZ GEÇİŞ"))</f>
        <v/>
      </c>
      <c r="P89" s="28">
        <f>IF($A89="","",IF(OR($I89="",$J89=""),"",IF(ABS($J89-$I89)&gt;zincirTolerans,"ZİNCİR KIRIK","OK")))</f>
        <v/>
      </c>
      <c r="Q89" s="28">
        <f>IF($A89="","",1)</f>
        <v/>
      </c>
    </row>
    <row r="90">
      <c r="A90" s="26" t="n"/>
      <c r="B90" s="26" t="n"/>
      <c r="C90" s="35" t="n"/>
      <c r="D90" s="35" t="n"/>
      <c r="E90" s="26" t="n"/>
      <c r="F90" s="26" t="n"/>
      <c r="G90" s="26" t="n"/>
      <c r="H90" s="26" t="n"/>
      <c r="I90" s="27" t="n"/>
      <c r="J90" s="27" t="n"/>
      <c r="K90" s="36" t="n"/>
      <c r="L90" s="28">
        <f>IF($A90="","",IF($C90="","",raporTarihi-$C90))</f>
        <v/>
      </c>
      <c r="M90" s="28">
        <f>IF($A90="","",IF($L90="","",IF($L90&lt;=7,"0-7",IF($L90&lt;=30,"8-30",IF($L90&lt;=60,"31-60","60+")))))</f>
        <v/>
      </c>
      <c r="N90" s="28">
        <f>IF($A90="","",IF($B90="","YETİM",IF(COUNTIF(tblEnvanter[TehlikeId],$B90)=0,"YETİM","")))</f>
        <v/>
      </c>
      <c r="O90" s="28">
        <f>IF(OR($A90="",$E90=""),"",IF(OR($E90&amp;"|"&amp;$F90="",COUNTIF(ListeIzinliGecis,$E90&amp;"|"&amp;$F90)&gt;0),"","GEÇERSİZ GEÇİŞ"))</f>
        <v/>
      </c>
      <c r="P90" s="28">
        <f>IF($A90="","",IF(OR($I90="",$J90=""),"",IF(ABS($J90-$I90)&gt;zincirTolerans,"ZİNCİR KIRIK","OK")))</f>
        <v/>
      </c>
      <c r="Q90" s="28">
        <f>IF($A90="","",1)</f>
        <v/>
      </c>
    </row>
    <row r="91">
      <c r="A91" s="26" t="n"/>
      <c r="B91" s="26" t="n"/>
      <c r="C91" s="35" t="n"/>
      <c r="D91" s="35" t="n"/>
      <c r="E91" s="26" t="n"/>
      <c r="F91" s="26" t="n"/>
      <c r="G91" s="26" t="n"/>
      <c r="H91" s="26" t="n"/>
      <c r="I91" s="27" t="n"/>
      <c r="J91" s="27" t="n"/>
      <c r="K91" s="36" t="n"/>
      <c r="L91" s="28">
        <f>IF($A91="","",IF($C91="","",raporTarihi-$C91))</f>
        <v/>
      </c>
      <c r="M91" s="28">
        <f>IF($A91="","",IF($L91="","",IF($L91&lt;=7,"0-7",IF($L91&lt;=30,"8-30",IF($L91&lt;=60,"31-60","60+")))))</f>
        <v/>
      </c>
      <c r="N91" s="28">
        <f>IF($A91="","",IF($B91="","YETİM",IF(COUNTIF(tblEnvanter[TehlikeId],$B91)=0,"YETİM","")))</f>
        <v/>
      </c>
      <c r="O91" s="28">
        <f>IF(OR($A91="",$E91=""),"",IF(OR($E91&amp;"|"&amp;$F91="",COUNTIF(ListeIzinliGecis,$E91&amp;"|"&amp;$F91)&gt;0),"","GEÇERSİZ GEÇİŞ"))</f>
        <v/>
      </c>
      <c r="P91" s="28">
        <f>IF($A91="","",IF(OR($I91="",$J91=""),"",IF(ABS($J91-$I91)&gt;zincirTolerans,"ZİNCİR KIRIK","OK")))</f>
        <v/>
      </c>
      <c r="Q91" s="28">
        <f>IF($A91="","",1)</f>
        <v/>
      </c>
    </row>
    <row r="92">
      <c r="A92" s="26" t="n"/>
      <c r="B92" s="26" t="n"/>
      <c r="C92" s="35" t="n"/>
      <c r="D92" s="35" t="n"/>
      <c r="E92" s="26" t="n"/>
      <c r="F92" s="26" t="n"/>
      <c r="G92" s="26" t="n"/>
      <c r="H92" s="26" t="n"/>
      <c r="I92" s="27" t="n"/>
      <c r="J92" s="27" t="n"/>
      <c r="K92" s="36" t="n"/>
      <c r="L92" s="28">
        <f>IF($A92="","",IF($C92="","",raporTarihi-$C92))</f>
        <v/>
      </c>
      <c r="M92" s="28">
        <f>IF($A92="","",IF($L92="","",IF($L92&lt;=7,"0-7",IF($L92&lt;=30,"8-30",IF($L92&lt;=60,"31-60","60+")))))</f>
        <v/>
      </c>
      <c r="N92" s="28">
        <f>IF($A92="","",IF($B92="","YETİM",IF(COUNTIF(tblEnvanter[TehlikeId],$B92)=0,"YETİM","")))</f>
        <v/>
      </c>
      <c r="O92" s="28">
        <f>IF(OR($A92="",$E92=""),"",IF(OR($E92&amp;"|"&amp;$F92="",COUNTIF(ListeIzinliGecis,$E92&amp;"|"&amp;$F92)&gt;0),"","GEÇERSİZ GEÇİŞ"))</f>
        <v/>
      </c>
      <c r="P92" s="28">
        <f>IF($A92="","",IF(OR($I92="",$J92=""),"",IF(ABS($J92-$I92)&gt;zincirTolerans,"ZİNCİR KIRIK","OK")))</f>
        <v/>
      </c>
      <c r="Q92" s="28">
        <f>IF($A92="","",1)</f>
        <v/>
      </c>
    </row>
    <row r="93">
      <c r="A93" s="26" t="n"/>
      <c r="B93" s="26" t="n"/>
      <c r="C93" s="35" t="n"/>
      <c r="D93" s="35" t="n"/>
      <c r="E93" s="26" t="n"/>
      <c r="F93" s="26" t="n"/>
      <c r="G93" s="26" t="n"/>
      <c r="H93" s="26" t="n"/>
      <c r="I93" s="27" t="n"/>
      <c r="J93" s="27" t="n"/>
      <c r="K93" s="36" t="n"/>
      <c r="L93" s="28">
        <f>IF($A93="","",IF($C93="","",raporTarihi-$C93))</f>
        <v/>
      </c>
      <c r="M93" s="28">
        <f>IF($A93="","",IF($L93="","",IF($L93&lt;=7,"0-7",IF($L93&lt;=30,"8-30",IF($L93&lt;=60,"31-60","60+")))))</f>
        <v/>
      </c>
      <c r="N93" s="28">
        <f>IF($A93="","",IF($B93="","YETİM",IF(COUNTIF(tblEnvanter[TehlikeId],$B93)=0,"YETİM","")))</f>
        <v/>
      </c>
      <c r="O93" s="28">
        <f>IF(OR($A93="",$E93=""),"",IF(OR($E93&amp;"|"&amp;$F93="",COUNTIF(ListeIzinliGecis,$E93&amp;"|"&amp;$F93)&gt;0),"","GEÇERSİZ GEÇİŞ"))</f>
        <v/>
      </c>
      <c r="P93" s="28">
        <f>IF($A93="","",IF(OR($I93="",$J93=""),"",IF(ABS($J93-$I93)&gt;zincirTolerans,"ZİNCİR KIRIK","OK")))</f>
        <v/>
      </c>
      <c r="Q93" s="28">
        <f>IF($A93="","",1)</f>
        <v/>
      </c>
    </row>
    <row r="94">
      <c r="A94" s="26" t="n"/>
      <c r="B94" s="26" t="n"/>
      <c r="C94" s="35" t="n"/>
      <c r="D94" s="35" t="n"/>
      <c r="E94" s="26" t="n"/>
      <c r="F94" s="26" t="n"/>
      <c r="G94" s="26" t="n"/>
      <c r="H94" s="26" t="n"/>
      <c r="I94" s="27" t="n"/>
      <c r="J94" s="27" t="n"/>
      <c r="K94" s="36" t="n"/>
      <c r="L94" s="28">
        <f>IF($A94="","",IF($C94="","",raporTarihi-$C94))</f>
        <v/>
      </c>
      <c r="M94" s="28">
        <f>IF($A94="","",IF($L94="","",IF($L94&lt;=7,"0-7",IF($L94&lt;=30,"8-30",IF($L94&lt;=60,"31-60","60+")))))</f>
        <v/>
      </c>
      <c r="N94" s="28">
        <f>IF($A94="","",IF($B94="","YETİM",IF(COUNTIF(tblEnvanter[TehlikeId],$B94)=0,"YETİM","")))</f>
        <v/>
      </c>
      <c r="O94" s="28">
        <f>IF(OR($A94="",$E94=""),"",IF(OR($E94&amp;"|"&amp;$F94="",COUNTIF(ListeIzinliGecis,$E94&amp;"|"&amp;$F94)&gt;0),"","GEÇERSİZ GEÇİŞ"))</f>
        <v/>
      </c>
      <c r="P94" s="28">
        <f>IF($A94="","",IF(OR($I94="",$J94=""),"",IF(ABS($J94-$I94)&gt;zincirTolerans,"ZİNCİR KIRIK","OK")))</f>
        <v/>
      </c>
      <c r="Q94" s="28">
        <f>IF($A94="","",1)</f>
        <v/>
      </c>
    </row>
    <row r="95">
      <c r="A95" s="26" t="n"/>
      <c r="B95" s="26" t="n"/>
      <c r="C95" s="35" t="n"/>
      <c r="D95" s="35" t="n"/>
      <c r="E95" s="26" t="n"/>
      <c r="F95" s="26" t="n"/>
      <c r="G95" s="26" t="n"/>
      <c r="H95" s="26" t="n"/>
      <c r="I95" s="27" t="n"/>
      <c r="J95" s="27" t="n"/>
      <c r="K95" s="36" t="n"/>
      <c r="L95" s="28">
        <f>IF($A95="","",IF($C95="","",raporTarihi-$C95))</f>
        <v/>
      </c>
      <c r="M95" s="28">
        <f>IF($A95="","",IF($L95="","",IF($L95&lt;=7,"0-7",IF($L95&lt;=30,"8-30",IF($L95&lt;=60,"31-60","60+")))))</f>
        <v/>
      </c>
      <c r="N95" s="28">
        <f>IF($A95="","",IF($B95="","YETİM",IF(COUNTIF(tblEnvanter[TehlikeId],$B95)=0,"YETİM","")))</f>
        <v/>
      </c>
      <c r="O95" s="28">
        <f>IF(OR($A95="",$E95=""),"",IF(OR($E95&amp;"|"&amp;$F95="",COUNTIF(ListeIzinliGecis,$E95&amp;"|"&amp;$F95)&gt;0),"","GEÇERSİZ GEÇİŞ"))</f>
        <v/>
      </c>
      <c r="P95" s="28">
        <f>IF($A95="","",IF(OR($I95="",$J95=""),"",IF(ABS($J95-$I95)&gt;zincirTolerans,"ZİNCİR KIRIK","OK")))</f>
        <v/>
      </c>
      <c r="Q95" s="28">
        <f>IF($A95="","",1)</f>
        <v/>
      </c>
    </row>
    <row r="96">
      <c r="A96" s="26" t="n"/>
      <c r="B96" s="26" t="n"/>
      <c r="C96" s="35" t="n"/>
      <c r="D96" s="35" t="n"/>
      <c r="E96" s="26" t="n"/>
      <c r="F96" s="26" t="n"/>
      <c r="G96" s="26" t="n"/>
      <c r="H96" s="26" t="n"/>
      <c r="I96" s="27" t="n"/>
      <c r="J96" s="27" t="n"/>
      <c r="K96" s="36" t="n"/>
      <c r="L96" s="28">
        <f>IF($A96="","",IF($C96="","",raporTarihi-$C96))</f>
        <v/>
      </c>
      <c r="M96" s="28">
        <f>IF($A96="","",IF($L96="","",IF($L96&lt;=7,"0-7",IF($L96&lt;=30,"8-30",IF($L96&lt;=60,"31-60","60+")))))</f>
        <v/>
      </c>
      <c r="N96" s="28">
        <f>IF($A96="","",IF($B96="","YETİM",IF(COUNTIF(tblEnvanter[TehlikeId],$B96)=0,"YETİM","")))</f>
        <v/>
      </c>
      <c r="O96" s="28">
        <f>IF(OR($A96="",$E96=""),"",IF(OR($E96&amp;"|"&amp;$F96="",COUNTIF(ListeIzinliGecis,$E96&amp;"|"&amp;$F96)&gt;0),"","GEÇERSİZ GEÇİŞ"))</f>
        <v/>
      </c>
      <c r="P96" s="28">
        <f>IF($A96="","",IF(OR($I96="",$J96=""),"",IF(ABS($J96-$I96)&gt;zincirTolerans,"ZİNCİR KIRIK","OK")))</f>
        <v/>
      </c>
      <c r="Q96" s="28">
        <f>IF($A96="","",1)</f>
        <v/>
      </c>
    </row>
    <row r="97">
      <c r="A97" s="26" t="n"/>
      <c r="B97" s="26" t="n"/>
      <c r="C97" s="35" t="n"/>
      <c r="D97" s="35" t="n"/>
      <c r="E97" s="26" t="n"/>
      <c r="F97" s="26" t="n"/>
      <c r="G97" s="26" t="n"/>
      <c r="H97" s="26" t="n"/>
      <c r="I97" s="27" t="n"/>
      <c r="J97" s="27" t="n"/>
      <c r="K97" s="36" t="n"/>
      <c r="L97" s="28">
        <f>IF($A97="","",IF($C97="","",raporTarihi-$C97))</f>
        <v/>
      </c>
      <c r="M97" s="28">
        <f>IF($A97="","",IF($L97="","",IF($L97&lt;=7,"0-7",IF($L97&lt;=30,"8-30",IF($L97&lt;=60,"31-60","60+")))))</f>
        <v/>
      </c>
      <c r="N97" s="28">
        <f>IF($A97="","",IF($B97="","YETİM",IF(COUNTIF(tblEnvanter[TehlikeId],$B97)=0,"YETİM","")))</f>
        <v/>
      </c>
      <c r="O97" s="28">
        <f>IF(OR($A97="",$E97=""),"",IF(OR($E97&amp;"|"&amp;$F97="",COUNTIF(ListeIzinliGecis,$E97&amp;"|"&amp;$F97)&gt;0),"","GEÇERSİZ GEÇİŞ"))</f>
        <v/>
      </c>
      <c r="P97" s="28">
        <f>IF($A97="","",IF(OR($I97="",$J97=""),"",IF(ABS($J97-$I97)&gt;zincirTolerans,"ZİNCİR KIRIK","OK")))</f>
        <v/>
      </c>
      <c r="Q97" s="28">
        <f>IF($A97="","",1)</f>
        <v/>
      </c>
    </row>
    <row r="98">
      <c r="A98" s="26" t="n"/>
      <c r="B98" s="26" t="n"/>
      <c r="C98" s="35" t="n"/>
      <c r="D98" s="35" t="n"/>
      <c r="E98" s="26" t="n"/>
      <c r="F98" s="26" t="n"/>
      <c r="G98" s="26" t="n"/>
      <c r="H98" s="26" t="n"/>
      <c r="I98" s="27" t="n"/>
      <c r="J98" s="27" t="n"/>
      <c r="K98" s="36" t="n"/>
      <c r="L98" s="28">
        <f>IF($A98="","",IF($C98="","",raporTarihi-$C98))</f>
        <v/>
      </c>
      <c r="M98" s="28">
        <f>IF($A98="","",IF($L98="","",IF($L98&lt;=7,"0-7",IF($L98&lt;=30,"8-30",IF($L98&lt;=60,"31-60","60+")))))</f>
        <v/>
      </c>
      <c r="N98" s="28">
        <f>IF($A98="","",IF($B98="","YETİM",IF(COUNTIF(tblEnvanter[TehlikeId],$B98)=0,"YETİM","")))</f>
        <v/>
      </c>
      <c r="O98" s="28">
        <f>IF(OR($A98="",$E98=""),"",IF(OR($E98&amp;"|"&amp;$F98="",COUNTIF(ListeIzinliGecis,$E98&amp;"|"&amp;$F98)&gt;0),"","GEÇERSİZ GEÇİŞ"))</f>
        <v/>
      </c>
      <c r="P98" s="28">
        <f>IF($A98="","",IF(OR($I98="",$J98=""),"",IF(ABS($J98-$I98)&gt;zincirTolerans,"ZİNCİR KIRIK","OK")))</f>
        <v/>
      </c>
      <c r="Q98" s="28">
        <f>IF($A98="","",1)</f>
        <v/>
      </c>
    </row>
    <row r="99">
      <c r="A99" s="26" t="n"/>
      <c r="B99" s="26" t="n"/>
      <c r="C99" s="35" t="n"/>
      <c r="D99" s="35" t="n"/>
      <c r="E99" s="26" t="n"/>
      <c r="F99" s="26" t="n"/>
      <c r="G99" s="26" t="n"/>
      <c r="H99" s="26" t="n"/>
      <c r="I99" s="27" t="n"/>
      <c r="J99" s="27" t="n"/>
      <c r="K99" s="36" t="n"/>
      <c r="L99" s="28">
        <f>IF($A99="","",IF($C99="","",raporTarihi-$C99))</f>
        <v/>
      </c>
      <c r="M99" s="28">
        <f>IF($A99="","",IF($L99="","",IF($L99&lt;=7,"0-7",IF($L99&lt;=30,"8-30",IF($L99&lt;=60,"31-60","60+")))))</f>
        <v/>
      </c>
      <c r="N99" s="28">
        <f>IF($A99="","",IF($B99="","YETİM",IF(COUNTIF(tblEnvanter[TehlikeId],$B99)=0,"YETİM","")))</f>
        <v/>
      </c>
      <c r="O99" s="28">
        <f>IF(OR($A99="",$E99=""),"",IF(OR($E99&amp;"|"&amp;$F99="",COUNTIF(ListeIzinliGecis,$E99&amp;"|"&amp;$F99)&gt;0),"","GEÇERSİZ GEÇİŞ"))</f>
        <v/>
      </c>
      <c r="P99" s="28">
        <f>IF($A99="","",IF(OR($I99="",$J99=""),"",IF(ABS($J99-$I99)&gt;zincirTolerans,"ZİNCİR KIRIK","OK")))</f>
        <v/>
      </c>
      <c r="Q99" s="28">
        <f>IF($A99="","",1)</f>
        <v/>
      </c>
    </row>
    <row r="100">
      <c r="A100" s="26" t="n"/>
      <c r="B100" s="26" t="n"/>
      <c r="C100" s="35" t="n"/>
      <c r="D100" s="35" t="n"/>
      <c r="E100" s="26" t="n"/>
      <c r="F100" s="26" t="n"/>
      <c r="G100" s="26" t="n"/>
      <c r="H100" s="26" t="n"/>
      <c r="I100" s="27" t="n"/>
      <c r="J100" s="27" t="n"/>
      <c r="K100" s="36" t="n"/>
      <c r="L100" s="28">
        <f>IF($A100="","",IF($C100="","",raporTarihi-$C100))</f>
        <v/>
      </c>
      <c r="M100" s="28">
        <f>IF($A100="","",IF($L100="","",IF($L100&lt;=7,"0-7",IF($L100&lt;=30,"8-30",IF($L100&lt;=60,"31-60","60+")))))</f>
        <v/>
      </c>
      <c r="N100" s="28">
        <f>IF($A100="","",IF($B100="","YETİM",IF(COUNTIF(tblEnvanter[TehlikeId],$B100)=0,"YETİM","")))</f>
        <v/>
      </c>
      <c r="O100" s="28">
        <f>IF(OR($A100="",$E100=""),"",IF(OR($E100&amp;"|"&amp;$F100="",COUNTIF(ListeIzinliGecis,$E100&amp;"|"&amp;$F100)&gt;0),"","GEÇERSİZ GEÇİŞ"))</f>
        <v/>
      </c>
      <c r="P100" s="28">
        <f>IF($A100="","",IF(OR($I100="",$J100=""),"",IF(ABS($J100-$I100)&gt;zincirTolerans,"ZİNCİR KIRIK","OK")))</f>
        <v/>
      </c>
      <c r="Q100" s="28">
        <f>IF($A100="","",1)</f>
        <v/>
      </c>
    </row>
    <row r="101">
      <c r="A101" s="26" t="n"/>
      <c r="B101" s="26" t="n"/>
      <c r="C101" s="35" t="n"/>
      <c r="D101" s="35" t="n"/>
      <c r="E101" s="26" t="n"/>
      <c r="F101" s="26" t="n"/>
      <c r="G101" s="26" t="n"/>
      <c r="H101" s="26" t="n"/>
      <c r="I101" s="27" t="n"/>
      <c r="J101" s="27" t="n"/>
      <c r="K101" s="36" t="n"/>
      <c r="L101" s="28">
        <f>IF($A101="","",IF($C101="","",raporTarihi-$C101))</f>
        <v/>
      </c>
      <c r="M101" s="28">
        <f>IF($A101="","",IF($L101="","",IF($L101&lt;=7,"0-7",IF($L101&lt;=30,"8-30",IF($L101&lt;=60,"31-60","60+")))))</f>
        <v/>
      </c>
      <c r="N101" s="28">
        <f>IF($A101="","",IF($B101="","YETİM",IF(COUNTIF(tblEnvanter[TehlikeId],$B101)=0,"YETİM","")))</f>
        <v/>
      </c>
      <c r="O101" s="28">
        <f>IF(OR($A101="",$E101=""),"",IF(OR($E101&amp;"|"&amp;$F101="",COUNTIF(ListeIzinliGecis,$E101&amp;"|"&amp;$F101)&gt;0),"","GEÇERSİZ GEÇİŞ"))</f>
        <v/>
      </c>
      <c r="P101" s="28">
        <f>IF($A101="","",IF(OR($I101="",$J101=""),"",IF(ABS($J101-$I101)&gt;zincirTolerans,"ZİNCİR KIRIK","OK")))</f>
        <v/>
      </c>
      <c r="Q101" s="28">
        <f>IF($A101="","",1)</f>
        <v/>
      </c>
    </row>
    <row r="102">
      <c r="A102" s="26" t="n"/>
      <c r="B102" s="26" t="n"/>
      <c r="C102" s="35" t="n"/>
      <c r="D102" s="35" t="n"/>
      <c r="E102" s="26" t="n"/>
      <c r="F102" s="26" t="n"/>
      <c r="G102" s="26" t="n"/>
      <c r="H102" s="26" t="n"/>
      <c r="I102" s="27" t="n"/>
      <c r="J102" s="27" t="n"/>
      <c r="K102" s="36" t="n"/>
      <c r="L102" s="28">
        <f>IF($A102="","",IF($C102="","",raporTarihi-$C102))</f>
        <v/>
      </c>
      <c r="M102" s="28">
        <f>IF($A102="","",IF($L102="","",IF($L102&lt;=7,"0-7",IF($L102&lt;=30,"8-30",IF($L102&lt;=60,"31-60","60+")))))</f>
        <v/>
      </c>
      <c r="N102" s="28">
        <f>IF($A102="","",IF($B102="","YETİM",IF(COUNTIF(tblEnvanter[TehlikeId],$B102)=0,"YETİM","")))</f>
        <v/>
      </c>
      <c r="O102" s="28">
        <f>IF(OR($A102="",$E102=""),"",IF(OR($E102&amp;"|"&amp;$F102="",COUNTIF(ListeIzinliGecis,$E102&amp;"|"&amp;$F102)&gt;0),"","GEÇERSİZ GEÇİŞ"))</f>
        <v/>
      </c>
      <c r="P102" s="28">
        <f>IF($A102="","",IF(OR($I102="",$J102=""),"",IF(ABS($J102-$I102)&gt;zincirTolerans,"ZİNCİR KIRIK","OK")))</f>
        <v/>
      </c>
      <c r="Q102" s="28">
        <f>IF($A102="","",1)</f>
        <v/>
      </c>
    </row>
    <row r="103">
      <c r="A103" s="26" t="n"/>
      <c r="B103" s="26" t="n"/>
      <c r="C103" s="35" t="n"/>
      <c r="D103" s="35" t="n"/>
      <c r="E103" s="26" t="n"/>
      <c r="F103" s="26" t="n"/>
      <c r="G103" s="26" t="n"/>
      <c r="H103" s="26" t="n"/>
      <c r="I103" s="27" t="n"/>
      <c r="J103" s="27" t="n"/>
      <c r="K103" s="36" t="n"/>
      <c r="L103" s="28">
        <f>IF($A103="","",IF($C103="","",raporTarihi-$C103))</f>
        <v/>
      </c>
      <c r="M103" s="28">
        <f>IF($A103="","",IF($L103="","",IF($L103&lt;=7,"0-7",IF($L103&lt;=30,"8-30",IF($L103&lt;=60,"31-60","60+")))))</f>
        <v/>
      </c>
      <c r="N103" s="28">
        <f>IF($A103="","",IF($B103="","YETİM",IF(COUNTIF(tblEnvanter[TehlikeId],$B103)=0,"YETİM","")))</f>
        <v/>
      </c>
      <c r="O103" s="28">
        <f>IF(OR($A103="",$E103=""),"",IF(OR($E103&amp;"|"&amp;$F103="",COUNTIF(ListeIzinliGecis,$E103&amp;"|"&amp;$F103)&gt;0),"","GEÇERSİZ GEÇİŞ"))</f>
        <v/>
      </c>
      <c r="P103" s="28">
        <f>IF($A103="","",IF(OR($I103="",$J103=""),"",IF(ABS($J103-$I103)&gt;zincirTolerans,"ZİNCİR KIRIK","OK")))</f>
        <v/>
      </c>
      <c r="Q103" s="28">
        <f>IF($A103="","",1)</f>
        <v/>
      </c>
    </row>
    <row r="104">
      <c r="A104" s="26" t="n"/>
      <c r="B104" s="26" t="n"/>
      <c r="C104" s="35" t="n"/>
      <c r="D104" s="35" t="n"/>
      <c r="E104" s="26" t="n"/>
      <c r="F104" s="26" t="n"/>
      <c r="G104" s="26" t="n"/>
      <c r="H104" s="26" t="n"/>
      <c r="I104" s="27" t="n"/>
      <c r="J104" s="27" t="n"/>
      <c r="K104" s="36" t="n"/>
      <c r="L104" s="28">
        <f>IF($A104="","",IF($C104="","",raporTarihi-$C104))</f>
        <v/>
      </c>
      <c r="M104" s="28">
        <f>IF($A104="","",IF($L104="","",IF($L104&lt;=7,"0-7",IF($L104&lt;=30,"8-30",IF($L104&lt;=60,"31-60","60+")))))</f>
        <v/>
      </c>
      <c r="N104" s="28">
        <f>IF($A104="","",IF($B104="","YETİM",IF(COUNTIF(tblEnvanter[TehlikeId],$B104)=0,"YETİM","")))</f>
        <v/>
      </c>
      <c r="O104" s="28">
        <f>IF(OR($A104="",$E104=""),"",IF(OR($E104&amp;"|"&amp;$F104="",COUNTIF(ListeIzinliGecis,$E104&amp;"|"&amp;$F104)&gt;0),"","GEÇERSİZ GEÇİŞ"))</f>
        <v/>
      </c>
      <c r="P104" s="28">
        <f>IF($A104="","",IF(OR($I104="",$J104=""),"",IF(ABS($J104-$I104)&gt;zincirTolerans,"ZİNCİR KIRIK","OK")))</f>
        <v/>
      </c>
      <c r="Q104" s="28">
        <f>IF($A104="","",1)</f>
        <v/>
      </c>
    </row>
    <row r="105">
      <c r="A105" s="26" t="n"/>
      <c r="B105" s="26" t="n"/>
      <c r="C105" s="35" t="n"/>
      <c r="D105" s="35" t="n"/>
      <c r="E105" s="26" t="n"/>
      <c r="F105" s="26" t="n"/>
      <c r="G105" s="26" t="n"/>
      <c r="H105" s="26" t="n"/>
      <c r="I105" s="27" t="n"/>
      <c r="J105" s="27" t="n"/>
      <c r="K105" s="36" t="n"/>
      <c r="L105" s="28">
        <f>IF($A105="","",IF($C105="","",raporTarihi-$C105))</f>
        <v/>
      </c>
      <c r="M105" s="28">
        <f>IF($A105="","",IF($L105="","",IF($L105&lt;=7,"0-7",IF($L105&lt;=30,"8-30",IF($L105&lt;=60,"31-60","60+")))))</f>
        <v/>
      </c>
      <c r="N105" s="28">
        <f>IF($A105="","",IF($B105="","YETİM",IF(COUNTIF(tblEnvanter[TehlikeId],$B105)=0,"YETİM","")))</f>
        <v/>
      </c>
      <c r="O105" s="28">
        <f>IF(OR($A105="",$E105=""),"",IF(OR($E105&amp;"|"&amp;$F105="",COUNTIF(ListeIzinliGecis,$E105&amp;"|"&amp;$F105)&gt;0),"","GEÇERSİZ GEÇİŞ"))</f>
        <v/>
      </c>
      <c r="P105" s="28">
        <f>IF($A105="","",IF(OR($I105="",$J105=""),"",IF(ABS($J105-$I105)&gt;zincirTolerans,"ZİNCİR KIRIK","OK")))</f>
        <v/>
      </c>
      <c r="Q105" s="28">
        <f>IF($A105="","",1)</f>
        <v/>
      </c>
    </row>
    <row r="106">
      <c r="A106" s="26" t="n"/>
      <c r="B106" s="26" t="n"/>
      <c r="C106" s="35" t="n"/>
      <c r="D106" s="35" t="n"/>
      <c r="E106" s="26" t="n"/>
      <c r="F106" s="26" t="n"/>
      <c r="G106" s="26" t="n"/>
      <c r="H106" s="26" t="n"/>
      <c r="I106" s="27" t="n"/>
      <c r="J106" s="27" t="n"/>
      <c r="K106" s="36" t="n"/>
      <c r="L106" s="28">
        <f>IF($A106="","",IF($C106="","",raporTarihi-$C106))</f>
        <v/>
      </c>
      <c r="M106" s="28">
        <f>IF($A106="","",IF($L106="","",IF($L106&lt;=7,"0-7",IF($L106&lt;=30,"8-30",IF($L106&lt;=60,"31-60","60+")))))</f>
        <v/>
      </c>
      <c r="N106" s="28">
        <f>IF($A106="","",IF($B106="","YETİM",IF(COUNTIF(tblEnvanter[TehlikeId],$B106)=0,"YETİM","")))</f>
        <v/>
      </c>
      <c r="O106" s="28">
        <f>IF(OR($A106="",$E106=""),"",IF(OR($E106&amp;"|"&amp;$F106="",COUNTIF(ListeIzinliGecis,$E106&amp;"|"&amp;$F106)&gt;0),"","GEÇERSİZ GEÇİŞ"))</f>
        <v/>
      </c>
      <c r="P106" s="28">
        <f>IF($A106="","",IF(OR($I106="",$J106=""),"",IF(ABS($J106-$I106)&gt;zincirTolerans,"ZİNCİR KIRIK","OK")))</f>
        <v/>
      </c>
      <c r="Q106" s="28">
        <f>IF($A106="","",1)</f>
        <v/>
      </c>
    </row>
    <row r="107">
      <c r="A107" s="26" t="n"/>
      <c r="B107" s="26" t="n"/>
      <c r="C107" s="35" t="n"/>
      <c r="D107" s="35" t="n"/>
      <c r="E107" s="26" t="n"/>
      <c r="F107" s="26" t="n"/>
      <c r="G107" s="26" t="n"/>
      <c r="H107" s="26" t="n"/>
      <c r="I107" s="27" t="n"/>
      <c r="J107" s="27" t="n"/>
      <c r="K107" s="36" t="n"/>
      <c r="L107" s="28">
        <f>IF($A107="","",IF($C107="","",raporTarihi-$C107))</f>
        <v/>
      </c>
      <c r="M107" s="28">
        <f>IF($A107="","",IF($L107="","",IF($L107&lt;=7,"0-7",IF($L107&lt;=30,"8-30",IF($L107&lt;=60,"31-60","60+")))))</f>
        <v/>
      </c>
      <c r="N107" s="28">
        <f>IF($A107="","",IF($B107="","YETİM",IF(COUNTIF(tblEnvanter[TehlikeId],$B107)=0,"YETİM","")))</f>
        <v/>
      </c>
      <c r="O107" s="28">
        <f>IF(OR($A107="",$E107=""),"",IF(OR($E107&amp;"|"&amp;$F107="",COUNTIF(ListeIzinliGecis,$E107&amp;"|"&amp;$F107)&gt;0),"","GEÇERSİZ GEÇİŞ"))</f>
        <v/>
      </c>
      <c r="P107" s="28">
        <f>IF($A107="","",IF(OR($I107="",$J107=""),"",IF(ABS($J107-$I107)&gt;zincirTolerans,"ZİNCİR KIRIK","OK")))</f>
        <v/>
      </c>
      <c r="Q107" s="28">
        <f>IF($A107="","",1)</f>
        <v/>
      </c>
    </row>
    <row r="108">
      <c r="A108" s="26" t="n"/>
      <c r="B108" s="26" t="n"/>
      <c r="C108" s="35" t="n"/>
      <c r="D108" s="35" t="n"/>
      <c r="E108" s="26" t="n"/>
      <c r="F108" s="26" t="n"/>
      <c r="G108" s="26" t="n"/>
      <c r="H108" s="26" t="n"/>
      <c r="I108" s="27" t="n"/>
      <c r="J108" s="27" t="n"/>
      <c r="K108" s="36" t="n"/>
      <c r="L108" s="28">
        <f>IF($A108="","",IF($C108="","",raporTarihi-$C108))</f>
        <v/>
      </c>
      <c r="M108" s="28">
        <f>IF($A108="","",IF($L108="","",IF($L108&lt;=7,"0-7",IF($L108&lt;=30,"8-30",IF($L108&lt;=60,"31-60","60+")))))</f>
        <v/>
      </c>
      <c r="N108" s="28">
        <f>IF($A108="","",IF($B108="","YETİM",IF(COUNTIF(tblEnvanter[TehlikeId],$B108)=0,"YETİM","")))</f>
        <v/>
      </c>
      <c r="O108" s="28">
        <f>IF(OR($A108="",$E108=""),"",IF(OR($E108&amp;"|"&amp;$F108="",COUNTIF(ListeIzinliGecis,$E108&amp;"|"&amp;$F108)&gt;0),"","GEÇERSİZ GEÇİŞ"))</f>
        <v/>
      </c>
      <c r="P108" s="28">
        <f>IF($A108="","",IF(OR($I108="",$J108=""),"",IF(ABS($J108-$I108)&gt;zincirTolerans,"ZİNCİR KIRIK","OK")))</f>
        <v/>
      </c>
      <c r="Q108" s="28">
        <f>IF($A108="","",1)</f>
        <v/>
      </c>
    </row>
    <row r="109">
      <c r="A109" s="26" t="n"/>
      <c r="B109" s="26" t="n"/>
      <c r="C109" s="35" t="n"/>
      <c r="D109" s="35" t="n"/>
      <c r="E109" s="26" t="n"/>
      <c r="F109" s="26" t="n"/>
      <c r="G109" s="26" t="n"/>
      <c r="H109" s="26" t="n"/>
      <c r="I109" s="27" t="n"/>
      <c r="J109" s="27" t="n"/>
      <c r="K109" s="36" t="n"/>
      <c r="L109" s="28">
        <f>IF($A109="","",IF($C109="","",raporTarihi-$C109))</f>
        <v/>
      </c>
      <c r="M109" s="28">
        <f>IF($A109="","",IF($L109="","",IF($L109&lt;=7,"0-7",IF($L109&lt;=30,"8-30",IF($L109&lt;=60,"31-60","60+")))))</f>
        <v/>
      </c>
      <c r="N109" s="28">
        <f>IF($A109="","",IF($B109="","YETİM",IF(COUNTIF(tblEnvanter[TehlikeId],$B109)=0,"YETİM","")))</f>
        <v/>
      </c>
      <c r="O109" s="28">
        <f>IF(OR($A109="",$E109=""),"",IF(OR($E109&amp;"|"&amp;$F109="",COUNTIF(ListeIzinliGecis,$E109&amp;"|"&amp;$F109)&gt;0),"","GEÇERSİZ GEÇİŞ"))</f>
        <v/>
      </c>
      <c r="P109" s="28">
        <f>IF($A109="","",IF(OR($I109="",$J109=""),"",IF(ABS($J109-$I109)&gt;zincirTolerans,"ZİNCİR KIRIK","OK")))</f>
        <v/>
      </c>
      <c r="Q109" s="28">
        <f>IF($A109="","",1)</f>
        <v/>
      </c>
    </row>
    <row r="110">
      <c r="A110" s="26" t="n"/>
      <c r="B110" s="26" t="n"/>
      <c r="C110" s="35" t="n"/>
      <c r="D110" s="35" t="n"/>
      <c r="E110" s="26" t="n"/>
      <c r="F110" s="26" t="n"/>
      <c r="G110" s="26" t="n"/>
      <c r="H110" s="26" t="n"/>
      <c r="I110" s="27" t="n"/>
      <c r="J110" s="27" t="n"/>
      <c r="K110" s="36" t="n"/>
      <c r="L110" s="28">
        <f>IF($A110="","",IF($C110="","",raporTarihi-$C110))</f>
        <v/>
      </c>
      <c r="M110" s="28">
        <f>IF($A110="","",IF($L110="","",IF($L110&lt;=7,"0-7",IF($L110&lt;=30,"8-30",IF($L110&lt;=60,"31-60","60+")))))</f>
        <v/>
      </c>
      <c r="N110" s="28">
        <f>IF($A110="","",IF($B110="","YETİM",IF(COUNTIF(tblEnvanter[TehlikeId],$B110)=0,"YETİM","")))</f>
        <v/>
      </c>
      <c r="O110" s="28">
        <f>IF(OR($A110="",$E110=""),"",IF(OR($E110&amp;"|"&amp;$F110="",COUNTIF(ListeIzinliGecis,$E110&amp;"|"&amp;$F110)&gt;0),"","GEÇERSİZ GEÇİŞ"))</f>
        <v/>
      </c>
      <c r="P110" s="28">
        <f>IF($A110="","",IF(OR($I110="",$J110=""),"",IF(ABS($J110-$I110)&gt;zincirTolerans,"ZİNCİR KIRIK","OK")))</f>
        <v/>
      </c>
      <c r="Q110" s="28">
        <f>IF($A110="","",1)</f>
        <v/>
      </c>
    </row>
    <row r="111">
      <c r="A111" s="26" t="n"/>
      <c r="B111" s="26" t="n"/>
      <c r="C111" s="35" t="n"/>
      <c r="D111" s="35" t="n"/>
      <c r="E111" s="26" t="n"/>
      <c r="F111" s="26" t="n"/>
      <c r="G111" s="26" t="n"/>
      <c r="H111" s="26" t="n"/>
      <c r="I111" s="27" t="n"/>
      <c r="J111" s="27" t="n"/>
      <c r="K111" s="36" t="n"/>
      <c r="L111" s="28">
        <f>IF($A111="","",IF($C111="","",raporTarihi-$C111))</f>
        <v/>
      </c>
      <c r="M111" s="28">
        <f>IF($A111="","",IF($L111="","",IF($L111&lt;=7,"0-7",IF($L111&lt;=30,"8-30",IF($L111&lt;=60,"31-60","60+")))))</f>
        <v/>
      </c>
      <c r="N111" s="28">
        <f>IF($A111="","",IF($B111="","YETİM",IF(COUNTIF(tblEnvanter[TehlikeId],$B111)=0,"YETİM","")))</f>
        <v/>
      </c>
      <c r="O111" s="28">
        <f>IF(OR($A111="",$E111=""),"",IF(OR($E111&amp;"|"&amp;$F111="",COUNTIF(ListeIzinliGecis,$E111&amp;"|"&amp;$F111)&gt;0),"","GEÇERSİZ GEÇİŞ"))</f>
        <v/>
      </c>
      <c r="P111" s="28">
        <f>IF($A111="","",IF(OR($I111="",$J111=""),"",IF(ABS($J111-$I111)&gt;zincirTolerans,"ZİNCİR KIRIK","OK")))</f>
        <v/>
      </c>
      <c r="Q111" s="28">
        <f>IF($A111="","",1)</f>
        <v/>
      </c>
    </row>
    <row r="112">
      <c r="A112" s="26" t="n"/>
      <c r="B112" s="26" t="n"/>
      <c r="C112" s="35" t="n"/>
      <c r="D112" s="35" t="n"/>
      <c r="E112" s="26" t="n"/>
      <c r="F112" s="26" t="n"/>
      <c r="G112" s="26" t="n"/>
      <c r="H112" s="26" t="n"/>
      <c r="I112" s="27" t="n"/>
      <c r="J112" s="27" t="n"/>
      <c r="K112" s="36" t="n"/>
      <c r="L112" s="28">
        <f>IF($A112="","",IF($C112="","",raporTarihi-$C112))</f>
        <v/>
      </c>
      <c r="M112" s="28">
        <f>IF($A112="","",IF($L112="","",IF($L112&lt;=7,"0-7",IF($L112&lt;=30,"8-30",IF($L112&lt;=60,"31-60","60+")))))</f>
        <v/>
      </c>
      <c r="N112" s="28">
        <f>IF($A112="","",IF($B112="","YETİM",IF(COUNTIF(tblEnvanter[TehlikeId],$B112)=0,"YETİM","")))</f>
        <v/>
      </c>
      <c r="O112" s="28">
        <f>IF(OR($A112="",$E112=""),"",IF(OR($E112&amp;"|"&amp;$F112="",COUNTIF(ListeIzinliGecis,$E112&amp;"|"&amp;$F112)&gt;0),"","GEÇERSİZ GEÇİŞ"))</f>
        <v/>
      </c>
      <c r="P112" s="28">
        <f>IF($A112="","",IF(OR($I112="",$J112=""),"",IF(ABS($J112-$I112)&gt;zincirTolerans,"ZİNCİR KIRIK","OK")))</f>
        <v/>
      </c>
      <c r="Q112" s="28">
        <f>IF($A112="","",1)</f>
        <v/>
      </c>
    </row>
    <row r="113">
      <c r="A113" s="26" t="n"/>
      <c r="B113" s="26" t="n"/>
      <c r="C113" s="35" t="n"/>
      <c r="D113" s="35" t="n"/>
      <c r="E113" s="26" t="n"/>
      <c r="F113" s="26" t="n"/>
      <c r="G113" s="26" t="n"/>
      <c r="H113" s="26" t="n"/>
      <c r="I113" s="27" t="n"/>
      <c r="J113" s="27" t="n"/>
      <c r="K113" s="36" t="n"/>
      <c r="L113" s="28">
        <f>IF($A113="","",IF($C113="","",raporTarihi-$C113))</f>
        <v/>
      </c>
      <c r="M113" s="28">
        <f>IF($A113="","",IF($L113="","",IF($L113&lt;=7,"0-7",IF($L113&lt;=30,"8-30",IF($L113&lt;=60,"31-60","60+")))))</f>
        <v/>
      </c>
      <c r="N113" s="28">
        <f>IF($A113="","",IF($B113="","YETİM",IF(COUNTIF(tblEnvanter[TehlikeId],$B113)=0,"YETİM","")))</f>
        <v/>
      </c>
      <c r="O113" s="28">
        <f>IF(OR($A113="",$E113=""),"",IF(OR($E113&amp;"|"&amp;$F113="",COUNTIF(ListeIzinliGecis,$E113&amp;"|"&amp;$F113)&gt;0),"","GEÇERSİZ GEÇİŞ"))</f>
        <v/>
      </c>
      <c r="P113" s="28">
        <f>IF($A113="","",IF(OR($I113="",$J113=""),"",IF(ABS($J113-$I113)&gt;zincirTolerans,"ZİNCİR KIRIK","OK")))</f>
        <v/>
      </c>
      <c r="Q113" s="28">
        <f>IF($A113="","",1)</f>
        <v/>
      </c>
    </row>
    <row r="114">
      <c r="A114" s="26" t="n"/>
      <c r="B114" s="26" t="n"/>
      <c r="C114" s="35" t="n"/>
      <c r="D114" s="35" t="n"/>
      <c r="E114" s="26" t="n"/>
      <c r="F114" s="26" t="n"/>
      <c r="G114" s="26" t="n"/>
      <c r="H114" s="26" t="n"/>
      <c r="I114" s="27" t="n"/>
      <c r="J114" s="27" t="n"/>
      <c r="K114" s="36" t="n"/>
      <c r="L114" s="28">
        <f>IF($A114="","",IF($C114="","",raporTarihi-$C114))</f>
        <v/>
      </c>
      <c r="M114" s="28">
        <f>IF($A114="","",IF($L114="","",IF($L114&lt;=7,"0-7",IF($L114&lt;=30,"8-30",IF($L114&lt;=60,"31-60","60+")))))</f>
        <v/>
      </c>
      <c r="N114" s="28">
        <f>IF($A114="","",IF($B114="","YETİM",IF(COUNTIF(tblEnvanter[TehlikeId],$B114)=0,"YETİM","")))</f>
        <v/>
      </c>
      <c r="O114" s="28">
        <f>IF(OR($A114="",$E114=""),"",IF(OR($E114&amp;"|"&amp;$F114="",COUNTIF(ListeIzinliGecis,$E114&amp;"|"&amp;$F114)&gt;0),"","GEÇERSİZ GEÇİŞ"))</f>
        <v/>
      </c>
      <c r="P114" s="28">
        <f>IF($A114="","",IF(OR($I114="",$J114=""),"",IF(ABS($J114-$I114)&gt;zincirTolerans,"ZİNCİR KIRIK","OK")))</f>
        <v/>
      </c>
      <c r="Q114" s="28">
        <f>IF($A114="","",1)</f>
        <v/>
      </c>
    </row>
    <row r="115">
      <c r="A115" s="26" t="n"/>
      <c r="B115" s="26" t="n"/>
      <c r="C115" s="35" t="n"/>
      <c r="D115" s="35" t="n"/>
      <c r="E115" s="26" t="n"/>
      <c r="F115" s="26" t="n"/>
      <c r="G115" s="26" t="n"/>
      <c r="H115" s="26" t="n"/>
      <c r="I115" s="27" t="n"/>
      <c r="J115" s="27" t="n"/>
      <c r="K115" s="36" t="n"/>
      <c r="L115" s="28">
        <f>IF($A115="","",IF($C115="","",raporTarihi-$C115))</f>
        <v/>
      </c>
      <c r="M115" s="28">
        <f>IF($A115="","",IF($L115="","",IF($L115&lt;=7,"0-7",IF($L115&lt;=30,"8-30",IF($L115&lt;=60,"31-60","60+")))))</f>
        <v/>
      </c>
      <c r="N115" s="28">
        <f>IF($A115="","",IF($B115="","YETİM",IF(COUNTIF(tblEnvanter[TehlikeId],$B115)=0,"YETİM","")))</f>
        <v/>
      </c>
      <c r="O115" s="28">
        <f>IF(OR($A115="",$E115=""),"",IF(OR($E115&amp;"|"&amp;$F115="",COUNTIF(ListeIzinliGecis,$E115&amp;"|"&amp;$F115)&gt;0),"","GEÇERSİZ GEÇİŞ"))</f>
        <v/>
      </c>
      <c r="P115" s="28">
        <f>IF($A115="","",IF(OR($I115="",$J115=""),"",IF(ABS($J115-$I115)&gt;zincirTolerans,"ZİNCİR KIRIK","OK")))</f>
        <v/>
      </c>
      <c r="Q115" s="28">
        <f>IF($A115="","",1)</f>
        <v/>
      </c>
    </row>
    <row r="116">
      <c r="A116" s="26" t="n"/>
      <c r="B116" s="26" t="n"/>
      <c r="C116" s="35" t="n"/>
      <c r="D116" s="35" t="n"/>
      <c r="E116" s="26" t="n"/>
      <c r="F116" s="26" t="n"/>
      <c r="G116" s="26" t="n"/>
      <c r="H116" s="26" t="n"/>
      <c r="I116" s="27" t="n"/>
      <c r="J116" s="27" t="n"/>
      <c r="K116" s="36" t="n"/>
      <c r="L116" s="28">
        <f>IF($A116="","",IF($C116="","",raporTarihi-$C116))</f>
        <v/>
      </c>
      <c r="M116" s="28">
        <f>IF($A116="","",IF($L116="","",IF($L116&lt;=7,"0-7",IF($L116&lt;=30,"8-30",IF($L116&lt;=60,"31-60","60+")))))</f>
        <v/>
      </c>
      <c r="N116" s="28">
        <f>IF($A116="","",IF($B116="","YETİM",IF(COUNTIF(tblEnvanter[TehlikeId],$B116)=0,"YETİM","")))</f>
        <v/>
      </c>
      <c r="O116" s="28">
        <f>IF(OR($A116="",$E116=""),"",IF(OR($E116&amp;"|"&amp;$F116="",COUNTIF(ListeIzinliGecis,$E116&amp;"|"&amp;$F116)&gt;0),"","GEÇERSİZ GEÇİŞ"))</f>
        <v/>
      </c>
      <c r="P116" s="28">
        <f>IF($A116="","",IF(OR($I116="",$J116=""),"",IF(ABS($J116-$I116)&gt;zincirTolerans,"ZİNCİR KIRIK","OK")))</f>
        <v/>
      </c>
      <c r="Q116" s="28">
        <f>IF($A116="","",1)</f>
        <v/>
      </c>
    </row>
    <row r="117">
      <c r="A117" s="26" t="n"/>
      <c r="B117" s="26" t="n"/>
      <c r="C117" s="35" t="n"/>
      <c r="D117" s="35" t="n"/>
      <c r="E117" s="26" t="n"/>
      <c r="F117" s="26" t="n"/>
      <c r="G117" s="26" t="n"/>
      <c r="H117" s="26" t="n"/>
      <c r="I117" s="27" t="n"/>
      <c r="J117" s="27" t="n"/>
      <c r="K117" s="36" t="n"/>
      <c r="L117" s="28">
        <f>IF($A117="","",IF($C117="","",raporTarihi-$C117))</f>
        <v/>
      </c>
      <c r="M117" s="28">
        <f>IF($A117="","",IF($L117="","",IF($L117&lt;=7,"0-7",IF($L117&lt;=30,"8-30",IF($L117&lt;=60,"31-60","60+")))))</f>
        <v/>
      </c>
      <c r="N117" s="28">
        <f>IF($A117="","",IF($B117="","YETİM",IF(COUNTIF(tblEnvanter[TehlikeId],$B117)=0,"YETİM","")))</f>
        <v/>
      </c>
      <c r="O117" s="28">
        <f>IF(OR($A117="",$E117=""),"",IF(OR($E117&amp;"|"&amp;$F117="",COUNTIF(ListeIzinliGecis,$E117&amp;"|"&amp;$F117)&gt;0),"","GEÇERSİZ GEÇİŞ"))</f>
        <v/>
      </c>
      <c r="P117" s="28">
        <f>IF($A117="","",IF(OR($I117="",$J117=""),"",IF(ABS($J117-$I117)&gt;zincirTolerans,"ZİNCİR KIRIK","OK")))</f>
        <v/>
      </c>
      <c r="Q117" s="28">
        <f>IF($A117="","",1)</f>
        <v/>
      </c>
    </row>
    <row r="118">
      <c r="A118" s="26" t="n"/>
      <c r="B118" s="26" t="n"/>
      <c r="C118" s="35" t="n"/>
      <c r="D118" s="35" t="n"/>
      <c r="E118" s="26" t="n"/>
      <c r="F118" s="26" t="n"/>
      <c r="G118" s="26" t="n"/>
      <c r="H118" s="26" t="n"/>
      <c r="I118" s="27" t="n"/>
      <c r="J118" s="27" t="n"/>
      <c r="K118" s="36" t="n"/>
      <c r="L118" s="28">
        <f>IF($A118="","",IF($C118="","",raporTarihi-$C118))</f>
        <v/>
      </c>
      <c r="M118" s="28">
        <f>IF($A118="","",IF($L118="","",IF($L118&lt;=7,"0-7",IF($L118&lt;=30,"8-30",IF($L118&lt;=60,"31-60","60+")))))</f>
        <v/>
      </c>
      <c r="N118" s="28">
        <f>IF($A118="","",IF($B118="","YETİM",IF(COUNTIF(tblEnvanter[TehlikeId],$B118)=0,"YETİM","")))</f>
        <v/>
      </c>
      <c r="O118" s="28">
        <f>IF(OR($A118="",$E118=""),"",IF(OR($E118&amp;"|"&amp;$F118="",COUNTIF(ListeIzinliGecis,$E118&amp;"|"&amp;$F118)&gt;0),"","GEÇERSİZ GEÇİŞ"))</f>
        <v/>
      </c>
      <c r="P118" s="28">
        <f>IF($A118="","",IF(OR($I118="",$J118=""),"",IF(ABS($J118-$I118)&gt;zincirTolerans,"ZİNCİR KIRIK","OK")))</f>
        <v/>
      </c>
      <c r="Q118" s="28">
        <f>IF($A118="","",1)</f>
        <v/>
      </c>
    </row>
    <row r="119">
      <c r="A119" s="26" t="n"/>
      <c r="B119" s="26" t="n"/>
      <c r="C119" s="35" t="n"/>
      <c r="D119" s="35" t="n"/>
      <c r="E119" s="26" t="n"/>
      <c r="F119" s="26" t="n"/>
      <c r="G119" s="26" t="n"/>
      <c r="H119" s="26" t="n"/>
      <c r="I119" s="27" t="n"/>
      <c r="J119" s="27" t="n"/>
      <c r="K119" s="36" t="n"/>
      <c r="L119" s="28">
        <f>IF($A119="","",IF($C119="","",raporTarihi-$C119))</f>
        <v/>
      </c>
      <c r="M119" s="28">
        <f>IF($A119="","",IF($L119="","",IF($L119&lt;=7,"0-7",IF($L119&lt;=30,"8-30",IF($L119&lt;=60,"31-60","60+")))))</f>
        <v/>
      </c>
      <c r="N119" s="28">
        <f>IF($A119="","",IF($B119="","YETİM",IF(COUNTIF(tblEnvanter[TehlikeId],$B119)=0,"YETİM","")))</f>
        <v/>
      </c>
      <c r="O119" s="28">
        <f>IF(OR($A119="",$E119=""),"",IF(OR($E119&amp;"|"&amp;$F119="",COUNTIF(ListeIzinliGecis,$E119&amp;"|"&amp;$F119)&gt;0),"","GEÇERSİZ GEÇİŞ"))</f>
        <v/>
      </c>
      <c r="P119" s="28">
        <f>IF($A119="","",IF(OR($I119="",$J119=""),"",IF(ABS($J119-$I119)&gt;zincirTolerans,"ZİNCİR KIRIK","OK")))</f>
        <v/>
      </c>
      <c r="Q119" s="28">
        <f>IF($A119="","",1)</f>
        <v/>
      </c>
    </row>
    <row r="120">
      <c r="A120" s="26" t="n"/>
      <c r="B120" s="26" t="n"/>
      <c r="C120" s="35" t="n"/>
      <c r="D120" s="35" t="n"/>
      <c r="E120" s="26" t="n"/>
      <c r="F120" s="26" t="n"/>
      <c r="G120" s="26" t="n"/>
      <c r="H120" s="26" t="n"/>
      <c r="I120" s="27" t="n"/>
      <c r="J120" s="27" t="n"/>
      <c r="K120" s="36" t="n"/>
      <c r="L120" s="28">
        <f>IF($A120="","",IF($C120="","",raporTarihi-$C120))</f>
        <v/>
      </c>
      <c r="M120" s="28">
        <f>IF($A120="","",IF($L120="","",IF($L120&lt;=7,"0-7",IF($L120&lt;=30,"8-30",IF($L120&lt;=60,"31-60","60+")))))</f>
        <v/>
      </c>
      <c r="N120" s="28">
        <f>IF($A120="","",IF($B120="","YETİM",IF(COUNTIF(tblEnvanter[TehlikeId],$B120)=0,"YETİM","")))</f>
        <v/>
      </c>
      <c r="O120" s="28">
        <f>IF(OR($A120="",$E120=""),"",IF(OR($E120&amp;"|"&amp;$F120="",COUNTIF(ListeIzinliGecis,$E120&amp;"|"&amp;$F120)&gt;0),"","GEÇERSİZ GEÇİŞ"))</f>
        <v/>
      </c>
      <c r="P120" s="28">
        <f>IF($A120="","",IF(OR($I120="",$J120=""),"",IF(ABS($J120-$I120)&gt;zincirTolerans,"ZİNCİR KIRIK","OK")))</f>
        <v/>
      </c>
      <c r="Q120" s="28">
        <f>IF($A120="","",1)</f>
        <v/>
      </c>
    </row>
    <row r="121">
      <c r="A121" s="26" t="n"/>
      <c r="B121" s="26" t="n"/>
      <c r="C121" s="35" t="n"/>
      <c r="D121" s="35" t="n"/>
      <c r="E121" s="26" t="n"/>
      <c r="F121" s="26" t="n"/>
      <c r="G121" s="26" t="n"/>
      <c r="H121" s="26" t="n"/>
      <c r="I121" s="27" t="n"/>
      <c r="J121" s="27" t="n"/>
      <c r="K121" s="36" t="n"/>
      <c r="L121" s="28">
        <f>IF($A121="","",IF($C121="","",raporTarihi-$C121))</f>
        <v/>
      </c>
      <c r="M121" s="28">
        <f>IF($A121="","",IF($L121="","",IF($L121&lt;=7,"0-7",IF($L121&lt;=30,"8-30",IF($L121&lt;=60,"31-60","60+")))))</f>
        <v/>
      </c>
      <c r="N121" s="28">
        <f>IF($A121="","",IF($B121="","YETİM",IF(COUNTIF(tblEnvanter[TehlikeId],$B121)=0,"YETİM","")))</f>
        <v/>
      </c>
      <c r="O121" s="28">
        <f>IF(OR($A121="",$E121=""),"",IF(OR($E121&amp;"|"&amp;$F121="",COUNTIF(ListeIzinliGecis,$E121&amp;"|"&amp;$F121)&gt;0),"","GEÇERSİZ GEÇİŞ"))</f>
        <v/>
      </c>
      <c r="P121" s="28">
        <f>IF($A121="","",IF(OR($I121="",$J121=""),"",IF(ABS($J121-$I121)&gt;zincirTolerans,"ZİNCİR KIRIK","OK")))</f>
        <v/>
      </c>
      <c r="Q121" s="28">
        <f>IF($A121="","",1)</f>
        <v/>
      </c>
    </row>
    <row r="122">
      <c r="A122" s="26" t="n"/>
      <c r="B122" s="26" t="n"/>
      <c r="C122" s="35" t="n"/>
      <c r="D122" s="35" t="n"/>
      <c r="E122" s="26" t="n"/>
      <c r="F122" s="26" t="n"/>
      <c r="G122" s="26" t="n"/>
      <c r="H122" s="26" t="n"/>
      <c r="I122" s="27" t="n"/>
      <c r="J122" s="27" t="n"/>
      <c r="K122" s="36" t="n"/>
      <c r="L122" s="28">
        <f>IF($A122="","",IF($C122="","",raporTarihi-$C122))</f>
        <v/>
      </c>
      <c r="M122" s="28">
        <f>IF($A122="","",IF($L122="","",IF($L122&lt;=7,"0-7",IF($L122&lt;=30,"8-30",IF($L122&lt;=60,"31-60","60+")))))</f>
        <v/>
      </c>
      <c r="N122" s="28">
        <f>IF($A122="","",IF($B122="","YETİM",IF(COUNTIF(tblEnvanter[TehlikeId],$B122)=0,"YETİM","")))</f>
        <v/>
      </c>
      <c r="O122" s="28">
        <f>IF(OR($A122="",$E122=""),"",IF(OR($E122&amp;"|"&amp;$F122="",COUNTIF(ListeIzinliGecis,$E122&amp;"|"&amp;$F122)&gt;0),"","GEÇERSİZ GEÇİŞ"))</f>
        <v/>
      </c>
      <c r="P122" s="28">
        <f>IF($A122="","",IF(OR($I122="",$J122=""),"",IF(ABS($J122-$I122)&gt;zincirTolerans,"ZİNCİR KIRIK","OK")))</f>
        <v/>
      </c>
      <c r="Q122" s="28">
        <f>IF($A122="","",1)</f>
        <v/>
      </c>
    </row>
    <row r="123">
      <c r="A123" s="26" t="n"/>
      <c r="B123" s="26" t="n"/>
      <c r="C123" s="35" t="n"/>
      <c r="D123" s="35" t="n"/>
      <c r="E123" s="26" t="n"/>
      <c r="F123" s="26" t="n"/>
      <c r="G123" s="26" t="n"/>
      <c r="H123" s="26" t="n"/>
      <c r="I123" s="27" t="n"/>
      <c r="J123" s="27" t="n"/>
      <c r="K123" s="36" t="n"/>
      <c r="L123" s="28">
        <f>IF($A123="","",IF($C123="","",raporTarihi-$C123))</f>
        <v/>
      </c>
      <c r="M123" s="28">
        <f>IF($A123="","",IF($L123="","",IF($L123&lt;=7,"0-7",IF($L123&lt;=30,"8-30",IF($L123&lt;=60,"31-60","60+")))))</f>
        <v/>
      </c>
      <c r="N123" s="28">
        <f>IF($A123="","",IF($B123="","YETİM",IF(COUNTIF(tblEnvanter[TehlikeId],$B123)=0,"YETİM","")))</f>
        <v/>
      </c>
      <c r="O123" s="28">
        <f>IF(OR($A123="",$E123=""),"",IF(OR($E123&amp;"|"&amp;$F123="",COUNTIF(ListeIzinliGecis,$E123&amp;"|"&amp;$F123)&gt;0),"","GEÇERSİZ GEÇİŞ"))</f>
        <v/>
      </c>
      <c r="P123" s="28">
        <f>IF($A123="","",IF(OR($I123="",$J123=""),"",IF(ABS($J123-$I123)&gt;zincirTolerans,"ZİNCİR KIRIK","OK")))</f>
        <v/>
      </c>
      <c r="Q123" s="28">
        <f>IF($A123="","",1)</f>
        <v/>
      </c>
    </row>
    <row r="124">
      <c r="A124" s="26" t="n"/>
      <c r="B124" s="26" t="n"/>
      <c r="C124" s="35" t="n"/>
      <c r="D124" s="35" t="n"/>
      <c r="E124" s="26" t="n"/>
      <c r="F124" s="26" t="n"/>
      <c r="G124" s="26" t="n"/>
      <c r="H124" s="26" t="n"/>
      <c r="I124" s="27" t="n"/>
      <c r="J124" s="27" t="n"/>
      <c r="K124" s="36" t="n"/>
      <c r="L124" s="28">
        <f>IF($A124="","",IF($C124="","",raporTarihi-$C124))</f>
        <v/>
      </c>
      <c r="M124" s="28">
        <f>IF($A124="","",IF($L124="","",IF($L124&lt;=7,"0-7",IF($L124&lt;=30,"8-30",IF($L124&lt;=60,"31-60","60+")))))</f>
        <v/>
      </c>
      <c r="N124" s="28">
        <f>IF($A124="","",IF($B124="","YETİM",IF(COUNTIF(tblEnvanter[TehlikeId],$B124)=0,"YETİM","")))</f>
        <v/>
      </c>
      <c r="O124" s="28">
        <f>IF(OR($A124="",$E124=""),"",IF(OR($E124&amp;"|"&amp;$F124="",COUNTIF(ListeIzinliGecis,$E124&amp;"|"&amp;$F124)&gt;0),"","GEÇERSİZ GEÇİŞ"))</f>
        <v/>
      </c>
      <c r="P124" s="28">
        <f>IF($A124="","",IF(OR($I124="",$J124=""),"",IF(ABS($J124-$I124)&gt;zincirTolerans,"ZİNCİR KIRIK","OK")))</f>
        <v/>
      </c>
      <c r="Q124" s="28">
        <f>IF($A124="","",1)</f>
        <v/>
      </c>
    </row>
    <row r="125">
      <c r="A125" s="26" t="n"/>
      <c r="B125" s="26" t="n"/>
      <c r="C125" s="35" t="n"/>
      <c r="D125" s="35" t="n"/>
      <c r="E125" s="26" t="n"/>
      <c r="F125" s="26" t="n"/>
      <c r="G125" s="26" t="n"/>
      <c r="H125" s="26" t="n"/>
      <c r="I125" s="27" t="n"/>
      <c r="J125" s="27" t="n"/>
      <c r="K125" s="36" t="n"/>
      <c r="L125" s="28">
        <f>IF($A125="","",IF($C125="","",raporTarihi-$C125))</f>
        <v/>
      </c>
      <c r="M125" s="28">
        <f>IF($A125="","",IF($L125="","",IF($L125&lt;=7,"0-7",IF($L125&lt;=30,"8-30",IF($L125&lt;=60,"31-60","60+")))))</f>
        <v/>
      </c>
      <c r="N125" s="28">
        <f>IF($A125="","",IF($B125="","YETİM",IF(COUNTIF(tblEnvanter[TehlikeId],$B125)=0,"YETİM","")))</f>
        <v/>
      </c>
      <c r="O125" s="28">
        <f>IF(OR($A125="",$E125=""),"",IF(OR($E125&amp;"|"&amp;$F125="",COUNTIF(ListeIzinliGecis,$E125&amp;"|"&amp;$F125)&gt;0),"","GEÇERSİZ GEÇİŞ"))</f>
        <v/>
      </c>
      <c r="P125" s="28">
        <f>IF($A125="","",IF(OR($I125="",$J125=""),"",IF(ABS($J125-$I125)&gt;zincirTolerans,"ZİNCİR KIRIK","OK")))</f>
        <v/>
      </c>
      <c r="Q125" s="28">
        <f>IF($A125="","",1)</f>
        <v/>
      </c>
    </row>
    <row r="126">
      <c r="A126" s="26" t="n"/>
      <c r="B126" s="26" t="n"/>
      <c r="C126" s="35" t="n"/>
      <c r="D126" s="35" t="n"/>
      <c r="E126" s="26" t="n"/>
      <c r="F126" s="26" t="n"/>
      <c r="G126" s="26" t="n"/>
      <c r="H126" s="26" t="n"/>
      <c r="I126" s="27" t="n"/>
      <c r="J126" s="27" t="n"/>
      <c r="K126" s="36" t="n"/>
      <c r="L126" s="28">
        <f>IF($A126="","",IF($C126="","",raporTarihi-$C126))</f>
        <v/>
      </c>
      <c r="M126" s="28">
        <f>IF($A126="","",IF($L126="","",IF($L126&lt;=7,"0-7",IF($L126&lt;=30,"8-30",IF($L126&lt;=60,"31-60","60+")))))</f>
        <v/>
      </c>
      <c r="N126" s="28">
        <f>IF($A126="","",IF($B126="","YETİM",IF(COUNTIF(tblEnvanter[TehlikeId],$B126)=0,"YETİM","")))</f>
        <v/>
      </c>
      <c r="O126" s="28">
        <f>IF(OR($A126="",$E126=""),"",IF(OR($E126&amp;"|"&amp;$F126="",COUNTIF(ListeIzinliGecis,$E126&amp;"|"&amp;$F126)&gt;0),"","GEÇERSİZ GEÇİŞ"))</f>
        <v/>
      </c>
      <c r="P126" s="28">
        <f>IF($A126="","",IF(OR($I126="",$J126=""),"",IF(ABS($J126-$I126)&gt;zincirTolerans,"ZİNCİR KIRIK","OK")))</f>
        <v/>
      </c>
      <c r="Q126" s="28">
        <f>IF($A126="","",1)</f>
        <v/>
      </c>
    </row>
    <row r="127">
      <c r="A127" s="26" t="n"/>
      <c r="B127" s="26" t="n"/>
      <c r="C127" s="35" t="n"/>
      <c r="D127" s="35" t="n"/>
      <c r="E127" s="26" t="n"/>
      <c r="F127" s="26" t="n"/>
      <c r="G127" s="26" t="n"/>
      <c r="H127" s="26" t="n"/>
      <c r="I127" s="27" t="n"/>
      <c r="J127" s="27" t="n"/>
      <c r="K127" s="36" t="n"/>
      <c r="L127" s="28">
        <f>IF($A127="","",IF($C127="","",raporTarihi-$C127))</f>
        <v/>
      </c>
      <c r="M127" s="28">
        <f>IF($A127="","",IF($L127="","",IF($L127&lt;=7,"0-7",IF($L127&lt;=30,"8-30",IF($L127&lt;=60,"31-60","60+")))))</f>
        <v/>
      </c>
      <c r="N127" s="28">
        <f>IF($A127="","",IF($B127="","YETİM",IF(COUNTIF(tblEnvanter[TehlikeId],$B127)=0,"YETİM","")))</f>
        <v/>
      </c>
      <c r="O127" s="28">
        <f>IF(OR($A127="",$E127=""),"",IF(OR($E127&amp;"|"&amp;$F127="",COUNTIF(ListeIzinliGecis,$E127&amp;"|"&amp;$F127)&gt;0),"","GEÇERSİZ GEÇİŞ"))</f>
        <v/>
      </c>
      <c r="P127" s="28">
        <f>IF($A127="","",IF(OR($I127="",$J127=""),"",IF(ABS($J127-$I127)&gt;zincirTolerans,"ZİNCİR KIRIK","OK")))</f>
        <v/>
      </c>
      <c r="Q127" s="28">
        <f>IF($A127="","",1)</f>
        <v/>
      </c>
    </row>
    <row r="128">
      <c r="A128" s="26" t="n"/>
      <c r="B128" s="26" t="n"/>
      <c r="C128" s="35" t="n"/>
      <c r="D128" s="35" t="n"/>
      <c r="E128" s="26" t="n"/>
      <c r="F128" s="26" t="n"/>
      <c r="G128" s="26" t="n"/>
      <c r="H128" s="26" t="n"/>
      <c r="I128" s="27" t="n"/>
      <c r="J128" s="27" t="n"/>
      <c r="K128" s="36" t="n"/>
      <c r="L128" s="28">
        <f>IF($A128="","",IF($C128="","",raporTarihi-$C128))</f>
        <v/>
      </c>
      <c r="M128" s="28">
        <f>IF($A128="","",IF($L128="","",IF($L128&lt;=7,"0-7",IF($L128&lt;=30,"8-30",IF($L128&lt;=60,"31-60","60+")))))</f>
        <v/>
      </c>
      <c r="N128" s="28">
        <f>IF($A128="","",IF($B128="","YETİM",IF(COUNTIF(tblEnvanter[TehlikeId],$B128)=0,"YETİM","")))</f>
        <v/>
      </c>
      <c r="O128" s="28">
        <f>IF(OR($A128="",$E128=""),"",IF(OR($E128&amp;"|"&amp;$F128="",COUNTIF(ListeIzinliGecis,$E128&amp;"|"&amp;$F128)&gt;0),"","GEÇERSİZ GEÇİŞ"))</f>
        <v/>
      </c>
      <c r="P128" s="28">
        <f>IF($A128="","",IF(OR($I128="",$J128=""),"",IF(ABS($J128-$I128)&gt;zincirTolerans,"ZİNCİR KIRIK","OK")))</f>
        <v/>
      </c>
      <c r="Q128" s="28">
        <f>IF($A128="","",1)</f>
        <v/>
      </c>
    </row>
    <row r="129">
      <c r="A129" s="26" t="n"/>
      <c r="B129" s="26" t="n"/>
      <c r="C129" s="35" t="n"/>
      <c r="D129" s="35" t="n"/>
      <c r="E129" s="26" t="n"/>
      <c r="F129" s="26" t="n"/>
      <c r="G129" s="26" t="n"/>
      <c r="H129" s="26" t="n"/>
      <c r="I129" s="27" t="n"/>
      <c r="J129" s="27" t="n"/>
      <c r="K129" s="36" t="n"/>
      <c r="L129" s="28">
        <f>IF($A129="","",IF($C129="","",raporTarihi-$C129))</f>
        <v/>
      </c>
      <c r="M129" s="28">
        <f>IF($A129="","",IF($L129="","",IF($L129&lt;=7,"0-7",IF($L129&lt;=30,"8-30",IF($L129&lt;=60,"31-60","60+")))))</f>
        <v/>
      </c>
      <c r="N129" s="28">
        <f>IF($A129="","",IF($B129="","YETİM",IF(COUNTIF(tblEnvanter[TehlikeId],$B129)=0,"YETİM","")))</f>
        <v/>
      </c>
      <c r="O129" s="28">
        <f>IF(OR($A129="",$E129=""),"",IF(OR($E129&amp;"|"&amp;$F129="",COUNTIF(ListeIzinliGecis,$E129&amp;"|"&amp;$F129)&gt;0),"","GEÇERSİZ GEÇİŞ"))</f>
        <v/>
      </c>
      <c r="P129" s="28">
        <f>IF($A129="","",IF(OR($I129="",$J129=""),"",IF(ABS($J129-$I129)&gt;zincirTolerans,"ZİNCİR KIRIK","OK")))</f>
        <v/>
      </c>
      <c r="Q129" s="28">
        <f>IF($A129="","",1)</f>
        <v/>
      </c>
    </row>
    <row r="130">
      <c r="A130" s="26" t="n"/>
      <c r="B130" s="26" t="n"/>
      <c r="C130" s="35" t="n"/>
      <c r="D130" s="35" t="n"/>
      <c r="E130" s="26" t="n"/>
      <c r="F130" s="26" t="n"/>
      <c r="G130" s="26" t="n"/>
      <c r="H130" s="26" t="n"/>
      <c r="I130" s="27" t="n"/>
      <c r="J130" s="27" t="n"/>
      <c r="K130" s="36" t="n"/>
      <c r="L130" s="28">
        <f>IF($A130="","",IF($C130="","",raporTarihi-$C130))</f>
        <v/>
      </c>
      <c r="M130" s="28">
        <f>IF($A130="","",IF($L130="","",IF($L130&lt;=7,"0-7",IF($L130&lt;=30,"8-30",IF($L130&lt;=60,"31-60","60+")))))</f>
        <v/>
      </c>
      <c r="N130" s="28">
        <f>IF($A130="","",IF($B130="","YETİM",IF(COUNTIF(tblEnvanter[TehlikeId],$B130)=0,"YETİM","")))</f>
        <v/>
      </c>
      <c r="O130" s="28">
        <f>IF(OR($A130="",$E130=""),"",IF(OR($E130&amp;"|"&amp;$F130="",COUNTIF(ListeIzinliGecis,$E130&amp;"|"&amp;$F130)&gt;0),"","GEÇERSİZ GEÇİŞ"))</f>
        <v/>
      </c>
      <c r="P130" s="28">
        <f>IF($A130="","",IF(OR($I130="",$J130=""),"",IF(ABS($J130-$I130)&gt;zincirTolerans,"ZİNCİR KIRIK","OK")))</f>
        <v/>
      </c>
      <c r="Q130" s="28">
        <f>IF($A130="","",1)</f>
        <v/>
      </c>
    </row>
    <row r="131">
      <c r="A131" s="26" t="n"/>
      <c r="B131" s="26" t="n"/>
      <c r="C131" s="35" t="n"/>
      <c r="D131" s="35" t="n"/>
      <c r="E131" s="26" t="n"/>
      <c r="F131" s="26" t="n"/>
      <c r="G131" s="26" t="n"/>
      <c r="H131" s="26" t="n"/>
      <c r="I131" s="27" t="n"/>
      <c r="J131" s="27" t="n"/>
      <c r="K131" s="36" t="n"/>
      <c r="L131" s="28">
        <f>IF($A131="","",IF($C131="","",raporTarihi-$C131))</f>
        <v/>
      </c>
      <c r="M131" s="28">
        <f>IF($A131="","",IF($L131="","",IF($L131&lt;=7,"0-7",IF($L131&lt;=30,"8-30",IF($L131&lt;=60,"31-60","60+")))))</f>
        <v/>
      </c>
      <c r="N131" s="28">
        <f>IF($A131="","",IF($B131="","YETİM",IF(COUNTIF(tblEnvanter[TehlikeId],$B131)=0,"YETİM","")))</f>
        <v/>
      </c>
      <c r="O131" s="28">
        <f>IF(OR($A131="",$E131=""),"",IF(OR($E131&amp;"|"&amp;$F131="",COUNTIF(ListeIzinliGecis,$E131&amp;"|"&amp;$F131)&gt;0),"","GEÇERSİZ GEÇİŞ"))</f>
        <v/>
      </c>
      <c r="P131" s="28">
        <f>IF($A131="","",IF(OR($I131="",$J131=""),"",IF(ABS($J131-$I131)&gt;zincirTolerans,"ZİNCİR KIRIK","OK")))</f>
        <v/>
      </c>
      <c r="Q131" s="28">
        <f>IF($A131="","",1)</f>
        <v/>
      </c>
    </row>
    <row r="132">
      <c r="A132" s="26" t="n"/>
      <c r="B132" s="26" t="n"/>
      <c r="C132" s="35" t="n"/>
      <c r="D132" s="35" t="n"/>
      <c r="E132" s="26" t="n"/>
      <c r="F132" s="26" t="n"/>
      <c r="G132" s="26" t="n"/>
      <c r="H132" s="26" t="n"/>
      <c r="I132" s="27" t="n"/>
      <c r="J132" s="27" t="n"/>
      <c r="K132" s="36" t="n"/>
      <c r="L132" s="28">
        <f>IF($A132="","",IF($C132="","",raporTarihi-$C132))</f>
        <v/>
      </c>
      <c r="M132" s="28">
        <f>IF($A132="","",IF($L132="","",IF($L132&lt;=7,"0-7",IF($L132&lt;=30,"8-30",IF($L132&lt;=60,"31-60","60+")))))</f>
        <v/>
      </c>
      <c r="N132" s="28">
        <f>IF($A132="","",IF($B132="","YETİM",IF(COUNTIF(tblEnvanter[TehlikeId],$B132)=0,"YETİM","")))</f>
        <v/>
      </c>
      <c r="O132" s="28">
        <f>IF(OR($A132="",$E132=""),"",IF(OR($E132&amp;"|"&amp;$F132="",COUNTIF(ListeIzinliGecis,$E132&amp;"|"&amp;$F132)&gt;0),"","GEÇERSİZ GEÇİŞ"))</f>
        <v/>
      </c>
      <c r="P132" s="28">
        <f>IF($A132="","",IF(OR($I132="",$J132=""),"",IF(ABS($J132-$I132)&gt;zincirTolerans,"ZİNCİR KIRIK","OK")))</f>
        <v/>
      </c>
      <c r="Q132" s="28">
        <f>IF($A132="","",1)</f>
        <v/>
      </c>
    </row>
    <row r="133">
      <c r="A133" s="26" t="n"/>
      <c r="B133" s="26" t="n"/>
      <c r="C133" s="35" t="n"/>
      <c r="D133" s="35" t="n"/>
      <c r="E133" s="26" t="n"/>
      <c r="F133" s="26" t="n"/>
      <c r="G133" s="26" t="n"/>
      <c r="H133" s="26" t="n"/>
      <c r="I133" s="27" t="n"/>
      <c r="J133" s="27" t="n"/>
      <c r="K133" s="36" t="n"/>
      <c r="L133" s="28">
        <f>IF($A133="","",IF($C133="","",raporTarihi-$C133))</f>
        <v/>
      </c>
      <c r="M133" s="28">
        <f>IF($A133="","",IF($L133="","",IF($L133&lt;=7,"0-7",IF($L133&lt;=30,"8-30",IF($L133&lt;=60,"31-60","60+")))))</f>
        <v/>
      </c>
      <c r="N133" s="28">
        <f>IF($A133="","",IF($B133="","YETİM",IF(COUNTIF(tblEnvanter[TehlikeId],$B133)=0,"YETİM","")))</f>
        <v/>
      </c>
      <c r="O133" s="28">
        <f>IF(OR($A133="",$E133=""),"",IF(OR($E133&amp;"|"&amp;$F133="",COUNTIF(ListeIzinliGecis,$E133&amp;"|"&amp;$F133)&gt;0),"","GEÇERSİZ GEÇİŞ"))</f>
        <v/>
      </c>
      <c r="P133" s="28">
        <f>IF($A133="","",IF(OR($I133="",$J133=""),"",IF(ABS($J133-$I133)&gt;zincirTolerans,"ZİNCİR KIRIK","OK")))</f>
        <v/>
      </c>
      <c r="Q133" s="28">
        <f>IF($A133="","",1)</f>
        <v/>
      </c>
    </row>
    <row r="134">
      <c r="A134" s="26" t="n"/>
      <c r="B134" s="26" t="n"/>
      <c r="C134" s="35" t="n"/>
      <c r="D134" s="35" t="n"/>
      <c r="E134" s="26" t="n"/>
      <c r="F134" s="26" t="n"/>
      <c r="G134" s="26" t="n"/>
      <c r="H134" s="26" t="n"/>
      <c r="I134" s="27" t="n"/>
      <c r="J134" s="27" t="n"/>
      <c r="K134" s="36" t="n"/>
      <c r="L134" s="28">
        <f>IF($A134="","",IF($C134="","",raporTarihi-$C134))</f>
        <v/>
      </c>
      <c r="M134" s="28">
        <f>IF($A134="","",IF($L134="","",IF($L134&lt;=7,"0-7",IF($L134&lt;=30,"8-30",IF($L134&lt;=60,"31-60","60+")))))</f>
        <v/>
      </c>
      <c r="N134" s="28">
        <f>IF($A134="","",IF($B134="","YETİM",IF(COUNTIF(tblEnvanter[TehlikeId],$B134)=0,"YETİM","")))</f>
        <v/>
      </c>
      <c r="O134" s="28">
        <f>IF(OR($A134="",$E134=""),"",IF(OR($E134&amp;"|"&amp;$F134="",COUNTIF(ListeIzinliGecis,$E134&amp;"|"&amp;$F134)&gt;0),"","GEÇERSİZ GEÇİŞ"))</f>
        <v/>
      </c>
      <c r="P134" s="28">
        <f>IF($A134="","",IF(OR($I134="",$J134=""),"",IF(ABS($J134-$I134)&gt;zincirTolerans,"ZİNCİR KIRIK","OK")))</f>
        <v/>
      </c>
      <c r="Q134" s="28">
        <f>IF($A134="","",1)</f>
        <v/>
      </c>
    </row>
    <row r="135">
      <c r="A135" s="26" t="n"/>
      <c r="B135" s="26" t="n"/>
      <c r="C135" s="35" t="n"/>
      <c r="D135" s="35" t="n"/>
      <c r="E135" s="26" t="n"/>
      <c r="F135" s="26" t="n"/>
      <c r="G135" s="26" t="n"/>
      <c r="H135" s="26" t="n"/>
      <c r="I135" s="27" t="n"/>
      <c r="J135" s="27" t="n"/>
      <c r="K135" s="36" t="n"/>
      <c r="L135" s="28">
        <f>IF($A135="","",IF($C135="","",raporTarihi-$C135))</f>
        <v/>
      </c>
      <c r="M135" s="28">
        <f>IF($A135="","",IF($L135="","",IF($L135&lt;=7,"0-7",IF($L135&lt;=30,"8-30",IF($L135&lt;=60,"31-60","60+")))))</f>
        <v/>
      </c>
      <c r="N135" s="28">
        <f>IF($A135="","",IF($B135="","YETİM",IF(COUNTIF(tblEnvanter[TehlikeId],$B135)=0,"YETİM","")))</f>
        <v/>
      </c>
      <c r="O135" s="28">
        <f>IF(OR($A135="",$E135=""),"",IF(OR($E135&amp;"|"&amp;$F135="",COUNTIF(ListeIzinliGecis,$E135&amp;"|"&amp;$F135)&gt;0),"","GEÇERSİZ GEÇİŞ"))</f>
        <v/>
      </c>
      <c r="P135" s="28">
        <f>IF($A135="","",IF(OR($I135="",$J135=""),"",IF(ABS($J135-$I135)&gt;zincirTolerans,"ZİNCİR KIRIK","OK")))</f>
        <v/>
      </c>
      <c r="Q135" s="28">
        <f>IF($A135="","",1)</f>
        <v/>
      </c>
    </row>
    <row r="136">
      <c r="A136" s="26" t="n"/>
      <c r="B136" s="26" t="n"/>
      <c r="C136" s="35" t="n"/>
      <c r="D136" s="35" t="n"/>
      <c r="E136" s="26" t="n"/>
      <c r="F136" s="26" t="n"/>
      <c r="G136" s="26" t="n"/>
      <c r="H136" s="26" t="n"/>
      <c r="I136" s="27" t="n"/>
      <c r="J136" s="27" t="n"/>
      <c r="K136" s="36" t="n"/>
      <c r="L136" s="28">
        <f>IF($A136="","",IF($C136="","",raporTarihi-$C136))</f>
        <v/>
      </c>
      <c r="M136" s="28">
        <f>IF($A136="","",IF($L136="","",IF($L136&lt;=7,"0-7",IF($L136&lt;=30,"8-30",IF($L136&lt;=60,"31-60","60+")))))</f>
        <v/>
      </c>
      <c r="N136" s="28">
        <f>IF($A136="","",IF($B136="","YETİM",IF(COUNTIF(tblEnvanter[TehlikeId],$B136)=0,"YETİM","")))</f>
        <v/>
      </c>
      <c r="O136" s="28">
        <f>IF(OR($A136="",$E136=""),"",IF(OR($E136&amp;"|"&amp;$F136="",COUNTIF(ListeIzinliGecis,$E136&amp;"|"&amp;$F136)&gt;0),"","GEÇERSİZ GEÇİŞ"))</f>
        <v/>
      </c>
      <c r="P136" s="28">
        <f>IF($A136="","",IF(OR($I136="",$J136=""),"",IF(ABS($J136-$I136)&gt;zincirTolerans,"ZİNCİR KIRIK","OK")))</f>
        <v/>
      </c>
      <c r="Q136" s="28">
        <f>IF($A136="","",1)</f>
        <v/>
      </c>
    </row>
    <row r="137">
      <c r="A137" s="26" t="n"/>
      <c r="B137" s="26" t="n"/>
      <c r="C137" s="35" t="n"/>
      <c r="D137" s="35" t="n"/>
      <c r="E137" s="26" t="n"/>
      <c r="F137" s="26" t="n"/>
      <c r="G137" s="26" t="n"/>
      <c r="H137" s="26" t="n"/>
      <c r="I137" s="27" t="n"/>
      <c r="J137" s="27" t="n"/>
      <c r="K137" s="36" t="n"/>
      <c r="L137" s="28">
        <f>IF($A137="","",IF($C137="","",raporTarihi-$C137))</f>
        <v/>
      </c>
      <c r="M137" s="28">
        <f>IF($A137="","",IF($L137="","",IF($L137&lt;=7,"0-7",IF($L137&lt;=30,"8-30",IF($L137&lt;=60,"31-60","60+")))))</f>
        <v/>
      </c>
      <c r="N137" s="28">
        <f>IF($A137="","",IF($B137="","YETİM",IF(COUNTIF(tblEnvanter[TehlikeId],$B137)=0,"YETİM","")))</f>
        <v/>
      </c>
      <c r="O137" s="28">
        <f>IF(OR($A137="",$E137=""),"",IF(OR($E137&amp;"|"&amp;$F137="",COUNTIF(ListeIzinliGecis,$E137&amp;"|"&amp;$F137)&gt;0),"","GEÇERSİZ GEÇİŞ"))</f>
        <v/>
      </c>
      <c r="P137" s="28">
        <f>IF($A137="","",IF(OR($I137="",$J137=""),"",IF(ABS($J137-$I137)&gt;zincirTolerans,"ZİNCİR KIRIK","OK")))</f>
        <v/>
      </c>
      <c r="Q137" s="28">
        <f>IF($A137="","",1)</f>
        <v/>
      </c>
    </row>
    <row r="138">
      <c r="A138" s="26" t="n"/>
      <c r="B138" s="26" t="n"/>
      <c r="C138" s="35" t="n"/>
      <c r="D138" s="35" t="n"/>
      <c r="E138" s="26" t="n"/>
      <c r="F138" s="26" t="n"/>
      <c r="G138" s="26" t="n"/>
      <c r="H138" s="26" t="n"/>
      <c r="I138" s="27" t="n"/>
      <c r="J138" s="27" t="n"/>
      <c r="K138" s="36" t="n"/>
      <c r="L138" s="28">
        <f>IF($A138="","",IF($C138="","",raporTarihi-$C138))</f>
        <v/>
      </c>
      <c r="M138" s="28">
        <f>IF($A138="","",IF($L138="","",IF($L138&lt;=7,"0-7",IF($L138&lt;=30,"8-30",IF($L138&lt;=60,"31-60","60+")))))</f>
        <v/>
      </c>
      <c r="N138" s="28">
        <f>IF($A138="","",IF($B138="","YETİM",IF(COUNTIF(tblEnvanter[TehlikeId],$B138)=0,"YETİM","")))</f>
        <v/>
      </c>
      <c r="O138" s="28">
        <f>IF(OR($A138="",$E138=""),"",IF(OR($E138&amp;"|"&amp;$F138="",COUNTIF(ListeIzinliGecis,$E138&amp;"|"&amp;$F138)&gt;0),"","GEÇERSİZ GEÇİŞ"))</f>
        <v/>
      </c>
      <c r="P138" s="28">
        <f>IF($A138="","",IF(OR($I138="",$J138=""),"",IF(ABS($J138-$I138)&gt;zincirTolerans,"ZİNCİR KIRIK","OK")))</f>
        <v/>
      </c>
      <c r="Q138" s="28">
        <f>IF($A138="","",1)</f>
        <v/>
      </c>
    </row>
    <row r="139">
      <c r="A139" s="26" t="n"/>
      <c r="B139" s="26" t="n"/>
      <c r="C139" s="35" t="n"/>
      <c r="D139" s="35" t="n"/>
      <c r="E139" s="26" t="n"/>
      <c r="F139" s="26" t="n"/>
      <c r="G139" s="26" t="n"/>
      <c r="H139" s="26" t="n"/>
      <c r="I139" s="27" t="n"/>
      <c r="J139" s="27" t="n"/>
      <c r="K139" s="36" t="n"/>
      <c r="L139" s="28">
        <f>IF($A139="","",IF($C139="","",raporTarihi-$C139))</f>
        <v/>
      </c>
      <c r="M139" s="28">
        <f>IF($A139="","",IF($L139="","",IF($L139&lt;=7,"0-7",IF($L139&lt;=30,"8-30",IF($L139&lt;=60,"31-60","60+")))))</f>
        <v/>
      </c>
      <c r="N139" s="28">
        <f>IF($A139="","",IF($B139="","YETİM",IF(COUNTIF(tblEnvanter[TehlikeId],$B139)=0,"YETİM","")))</f>
        <v/>
      </c>
      <c r="O139" s="28">
        <f>IF(OR($A139="",$E139=""),"",IF(OR($E139&amp;"|"&amp;$F139="",COUNTIF(ListeIzinliGecis,$E139&amp;"|"&amp;$F139)&gt;0),"","GEÇERSİZ GEÇİŞ"))</f>
        <v/>
      </c>
      <c r="P139" s="28">
        <f>IF($A139="","",IF(OR($I139="",$J139=""),"",IF(ABS($J139-$I139)&gt;zincirTolerans,"ZİNCİR KIRIK","OK")))</f>
        <v/>
      </c>
      <c r="Q139" s="28">
        <f>IF($A139="","",1)</f>
        <v/>
      </c>
    </row>
    <row r="140">
      <c r="A140" s="26" t="n"/>
      <c r="B140" s="26" t="n"/>
      <c r="C140" s="35" t="n"/>
      <c r="D140" s="35" t="n"/>
      <c r="E140" s="26" t="n"/>
      <c r="F140" s="26" t="n"/>
      <c r="G140" s="26" t="n"/>
      <c r="H140" s="26" t="n"/>
      <c r="I140" s="27" t="n"/>
      <c r="J140" s="27" t="n"/>
      <c r="K140" s="36" t="n"/>
      <c r="L140" s="28">
        <f>IF($A140="","",IF($C140="","",raporTarihi-$C140))</f>
        <v/>
      </c>
      <c r="M140" s="28">
        <f>IF($A140="","",IF($L140="","",IF($L140&lt;=7,"0-7",IF($L140&lt;=30,"8-30",IF($L140&lt;=60,"31-60","60+")))))</f>
        <v/>
      </c>
      <c r="N140" s="28">
        <f>IF($A140="","",IF($B140="","YETİM",IF(COUNTIF(tblEnvanter[TehlikeId],$B140)=0,"YETİM","")))</f>
        <v/>
      </c>
      <c r="O140" s="28">
        <f>IF(OR($A140="",$E140=""),"",IF(OR($E140&amp;"|"&amp;$F140="",COUNTIF(ListeIzinliGecis,$E140&amp;"|"&amp;$F140)&gt;0),"","GEÇERSİZ GEÇİŞ"))</f>
        <v/>
      </c>
      <c r="P140" s="28">
        <f>IF($A140="","",IF(OR($I140="",$J140=""),"",IF(ABS($J140-$I140)&gt;zincirTolerans,"ZİNCİR KIRIK","OK")))</f>
        <v/>
      </c>
      <c r="Q140" s="28">
        <f>IF($A140="","",1)</f>
        <v/>
      </c>
    </row>
    <row r="141">
      <c r="A141" s="26" t="n"/>
      <c r="B141" s="26" t="n"/>
      <c r="C141" s="35" t="n"/>
      <c r="D141" s="35" t="n"/>
      <c r="E141" s="26" t="n"/>
      <c r="F141" s="26" t="n"/>
      <c r="G141" s="26" t="n"/>
      <c r="H141" s="26" t="n"/>
      <c r="I141" s="27" t="n"/>
      <c r="J141" s="27" t="n"/>
      <c r="K141" s="36" t="n"/>
      <c r="L141" s="28">
        <f>IF($A141="","",IF($C141="","",raporTarihi-$C141))</f>
        <v/>
      </c>
      <c r="M141" s="28">
        <f>IF($A141="","",IF($L141="","",IF($L141&lt;=7,"0-7",IF($L141&lt;=30,"8-30",IF($L141&lt;=60,"31-60","60+")))))</f>
        <v/>
      </c>
      <c r="N141" s="28">
        <f>IF($A141="","",IF($B141="","YETİM",IF(COUNTIF(tblEnvanter[TehlikeId],$B141)=0,"YETİM","")))</f>
        <v/>
      </c>
      <c r="O141" s="28">
        <f>IF(OR($A141="",$E141=""),"",IF(OR($E141&amp;"|"&amp;$F141="",COUNTIF(ListeIzinliGecis,$E141&amp;"|"&amp;$F141)&gt;0),"","GEÇERSİZ GEÇİŞ"))</f>
        <v/>
      </c>
      <c r="P141" s="28">
        <f>IF($A141="","",IF(OR($I141="",$J141=""),"",IF(ABS($J141-$I141)&gt;zincirTolerans,"ZİNCİR KIRIK","OK")))</f>
        <v/>
      </c>
      <c r="Q141" s="28">
        <f>IF($A141="","",1)</f>
        <v/>
      </c>
    </row>
    <row r="142">
      <c r="A142" s="26" t="n"/>
      <c r="B142" s="26" t="n"/>
      <c r="C142" s="35" t="n"/>
      <c r="D142" s="35" t="n"/>
      <c r="E142" s="26" t="n"/>
      <c r="F142" s="26" t="n"/>
      <c r="G142" s="26" t="n"/>
      <c r="H142" s="26" t="n"/>
      <c r="I142" s="27" t="n"/>
      <c r="J142" s="27" t="n"/>
      <c r="K142" s="36" t="n"/>
      <c r="L142" s="28">
        <f>IF($A142="","",IF($C142="","",raporTarihi-$C142))</f>
        <v/>
      </c>
      <c r="M142" s="28">
        <f>IF($A142="","",IF($L142="","",IF($L142&lt;=7,"0-7",IF($L142&lt;=30,"8-30",IF($L142&lt;=60,"31-60","60+")))))</f>
        <v/>
      </c>
      <c r="N142" s="28">
        <f>IF($A142="","",IF($B142="","YETİM",IF(COUNTIF(tblEnvanter[TehlikeId],$B142)=0,"YETİM","")))</f>
        <v/>
      </c>
      <c r="O142" s="28">
        <f>IF(OR($A142="",$E142=""),"",IF(OR($E142&amp;"|"&amp;$F142="",COUNTIF(ListeIzinliGecis,$E142&amp;"|"&amp;$F142)&gt;0),"","GEÇERSİZ GEÇİŞ"))</f>
        <v/>
      </c>
      <c r="P142" s="28">
        <f>IF($A142="","",IF(OR($I142="",$J142=""),"",IF(ABS($J142-$I142)&gt;zincirTolerans,"ZİNCİR KIRIK","OK")))</f>
        <v/>
      </c>
      <c r="Q142" s="28">
        <f>IF($A142="","",1)</f>
        <v/>
      </c>
    </row>
    <row r="143">
      <c r="A143" s="26" t="n"/>
      <c r="B143" s="26" t="n"/>
      <c r="C143" s="35" t="n"/>
      <c r="D143" s="35" t="n"/>
      <c r="E143" s="26" t="n"/>
      <c r="F143" s="26" t="n"/>
      <c r="G143" s="26" t="n"/>
      <c r="H143" s="26" t="n"/>
      <c r="I143" s="27" t="n"/>
      <c r="J143" s="27" t="n"/>
      <c r="K143" s="36" t="n"/>
      <c r="L143" s="28">
        <f>IF($A143="","",IF($C143="","",raporTarihi-$C143))</f>
        <v/>
      </c>
      <c r="M143" s="28">
        <f>IF($A143="","",IF($L143="","",IF($L143&lt;=7,"0-7",IF($L143&lt;=30,"8-30",IF($L143&lt;=60,"31-60","60+")))))</f>
        <v/>
      </c>
      <c r="N143" s="28">
        <f>IF($A143="","",IF($B143="","YETİM",IF(COUNTIF(tblEnvanter[TehlikeId],$B143)=0,"YETİM","")))</f>
        <v/>
      </c>
      <c r="O143" s="28">
        <f>IF(OR($A143="",$E143=""),"",IF(OR($E143&amp;"|"&amp;$F143="",COUNTIF(ListeIzinliGecis,$E143&amp;"|"&amp;$F143)&gt;0),"","GEÇERSİZ GEÇİŞ"))</f>
        <v/>
      </c>
      <c r="P143" s="28">
        <f>IF($A143="","",IF(OR($I143="",$J143=""),"",IF(ABS($J143-$I143)&gt;zincirTolerans,"ZİNCİR KIRIK","OK")))</f>
        <v/>
      </c>
      <c r="Q143" s="28">
        <f>IF($A143="","",1)</f>
        <v/>
      </c>
    </row>
    <row r="144">
      <c r="A144" s="26" t="n"/>
      <c r="B144" s="26" t="n"/>
      <c r="C144" s="35" t="n"/>
      <c r="D144" s="35" t="n"/>
      <c r="E144" s="26" t="n"/>
      <c r="F144" s="26" t="n"/>
      <c r="G144" s="26" t="n"/>
      <c r="H144" s="26" t="n"/>
      <c r="I144" s="27" t="n"/>
      <c r="J144" s="27" t="n"/>
      <c r="K144" s="36" t="n"/>
      <c r="L144" s="28">
        <f>IF($A144="","",IF($C144="","",raporTarihi-$C144))</f>
        <v/>
      </c>
      <c r="M144" s="28">
        <f>IF($A144="","",IF($L144="","",IF($L144&lt;=7,"0-7",IF($L144&lt;=30,"8-30",IF($L144&lt;=60,"31-60","60+")))))</f>
        <v/>
      </c>
      <c r="N144" s="28">
        <f>IF($A144="","",IF($B144="","YETİM",IF(COUNTIF(tblEnvanter[TehlikeId],$B144)=0,"YETİM","")))</f>
        <v/>
      </c>
      <c r="O144" s="28">
        <f>IF(OR($A144="",$E144=""),"",IF(OR($E144&amp;"|"&amp;$F144="",COUNTIF(ListeIzinliGecis,$E144&amp;"|"&amp;$F144)&gt;0),"","GEÇERSİZ GEÇİŞ"))</f>
        <v/>
      </c>
      <c r="P144" s="28">
        <f>IF($A144="","",IF(OR($I144="",$J144=""),"",IF(ABS($J144-$I144)&gt;zincirTolerans,"ZİNCİR KIRIK","OK")))</f>
        <v/>
      </c>
      <c r="Q144" s="28">
        <f>IF($A144="","",1)</f>
        <v/>
      </c>
    </row>
    <row r="145">
      <c r="A145" s="26" t="n"/>
      <c r="B145" s="26" t="n"/>
      <c r="C145" s="35" t="n"/>
      <c r="D145" s="35" t="n"/>
      <c r="E145" s="26" t="n"/>
      <c r="F145" s="26" t="n"/>
      <c r="G145" s="26" t="n"/>
      <c r="H145" s="26" t="n"/>
      <c r="I145" s="27" t="n"/>
      <c r="J145" s="27" t="n"/>
      <c r="K145" s="36" t="n"/>
      <c r="L145" s="28">
        <f>IF($A145="","",IF($C145="","",raporTarihi-$C145))</f>
        <v/>
      </c>
      <c r="M145" s="28">
        <f>IF($A145="","",IF($L145="","",IF($L145&lt;=7,"0-7",IF($L145&lt;=30,"8-30",IF($L145&lt;=60,"31-60","60+")))))</f>
        <v/>
      </c>
      <c r="N145" s="28">
        <f>IF($A145="","",IF($B145="","YETİM",IF(COUNTIF(tblEnvanter[TehlikeId],$B145)=0,"YETİM","")))</f>
        <v/>
      </c>
      <c r="O145" s="28">
        <f>IF(OR($A145="",$E145=""),"",IF(OR($E145&amp;"|"&amp;$F145="",COUNTIF(ListeIzinliGecis,$E145&amp;"|"&amp;$F145)&gt;0),"","GEÇERSİZ GEÇİŞ"))</f>
        <v/>
      </c>
      <c r="P145" s="28">
        <f>IF($A145="","",IF(OR($I145="",$J145=""),"",IF(ABS($J145-$I145)&gt;zincirTolerans,"ZİNCİR KIRIK","OK")))</f>
        <v/>
      </c>
      <c r="Q145" s="28">
        <f>IF($A145="","",1)</f>
        <v/>
      </c>
    </row>
    <row r="146">
      <c r="A146" s="26" t="n"/>
      <c r="B146" s="26" t="n"/>
      <c r="C146" s="35" t="n"/>
      <c r="D146" s="35" t="n"/>
      <c r="E146" s="26" t="n"/>
      <c r="F146" s="26" t="n"/>
      <c r="G146" s="26" t="n"/>
      <c r="H146" s="26" t="n"/>
      <c r="I146" s="27" t="n"/>
      <c r="J146" s="27" t="n"/>
      <c r="K146" s="36" t="n"/>
      <c r="L146" s="28">
        <f>IF($A146="","",IF($C146="","",raporTarihi-$C146))</f>
        <v/>
      </c>
      <c r="M146" s="28">
        <f>IF($A146="","",IF($L146="","",IF($L146&lt;=7,"0-7",IF($L146&lt;=30,"8-30",IF($L146&lt;=60,"31-60","60+")))))</f>
        <v/>
      </c>
      <c r="N146" s="28">
        <f>IF($A146="","",IF($B146="","YETİM",IF(COUNTIF(tblEnvanter[TehlikeId],$B146)=0,"YETİM","")))</f>
        <v/>
      </c>
      <c r="O146" s="28">
        <f>IF(OR($A146="",$E146=""),"",IF(OR($E146&amp;"|"&amp;$F146="",COUNTIF(ListeIzinliGecis,$E146&amp;"|"&amp;$F146)&gt;0),"","GEÇERSİZ GEÇİŞ"))</f>
        <v/>
      </c>
      <c r="P146" s="28">
        <f>IF($A146="","",IF(OR($I146="",$J146=""),"",IF(ABS($J146-$I146)&gt;zincirTolerans,"ZİNCİR KIRIK","OK")))</f>
        <v/>
      </c>
      <c r="Q146" s="28">
        <f>IF($A146="","",1)</f>
        <v/>
      </c>
    </row>
    <row r="147">
      <c r="A147" s="26" t="n"/>
      <c r="B147" s="26" t="n"/>
      <c r="C147" s="35" t="n"/>
      <c r="D147" s="35" t="n"/>
      <c r="E147" s="26" t="n"/>
      <c r="F147" s="26" t="n"/>
      <c r="G147" s="26" t="n"/>
      <c r="H147" s="26" t="n"/>
      <c r="I147" s="27" t="n"/>
      <c r="J147" s="27" t="n"/>
      <c r="K147" s="36" t="n"/>
      <c r="L147" s="28">
        <f>IF($A147="","",IF($C147="","",raporTarihi-$C147))</f>
        <v/>
      </c>
      <c r="M147" s="28">
        <f>IF($A147="","",IF($L147="","",IF($L147&lt;=7,"0-7",IF($L147&lt;=30,"8-30",IF($L147&lt;=60,"31-60","60+")))))</f>
        <v/>
      </c>
      <c r="N147" s="28">
        <f>IF($A147="","",IF($B147="","YETİM",IF(COUNTIF(tblEnvanter[TehlikeId],$B147)=0,"YETİM","")))</f>
        <v/>
      </c>
      <c r="O147" s="28">
        <f>IF(OR($A147="",$E147=""),"",IF(OR($E147&amp;"|"&amp;$F147="",COUNTIF(ListeIzinliGecis,$E147&amp;"|"&amp;$F147)&gt;0),"","GEÇERSİZ GEÇİŞ"))</f>
        <v/>
      </c>
      <c r="P147" s="28">
        <f>IF($A147="","",IF(OR($I147="",$J147=""),"",IF(ABS($J147-$I147)&gt;zincirTolerans,"ZİNCİR KIRIK","OK")))</f>
        <v/>
      </c>
      <c r="Q147" s="28">
        <f>IF($A147="","",1)</f>
        <v/>
      </c>
    </row>
    <row r="148">
      <c r="A148" s="26" t="n"/>
      <c r="B148" s="26" t="n"/>
      <c r="C148" s="35" t="n"/>
      <c r="D148" s="35" t="n"/>
      <c r="E148" s="26" t="n"/>
      <c r="F148" s="26" t="n"/>
      <c r="G148" s="26" t="n"/>
      <c r="H148" s="26" t="n"/>
      <c r="I148" s="27" t="n"/>
      <c r="J148" s="27" t="n"/>
      <c r="K148" s="36" t="n"/>
      <c r="L148" s="28">
        <f>IF($A148="","",IF($C148="","",raporTarihi-$C148))</f>
        <v/>
      </c>
      <c r="M148" s="28">
        <f>IF($A148="","",IF($L148="","",IF($L148&lt;=7,"0-7",IF($L148&lt;=30,"8-30",IF($L148&lt;=60,"31-60","60+")))))</f>
        <v/>
      </c>
      <c r="N148" s="28">
        <f>IF($A148="","",IF($B148="","YETİM",IF(COUNTIF(tblEnvanter[TehlikeId],$B148)=0,"YETİM","")))</f>
        <v/>
      </c>
      <c r="O148" s="28">
        <f>IF(OR($A148="",$E148=""),"",IF(OR($E148&amp;"|"&amp;$F148="",COUNTIF(ListeIzinliGecis,$E148&amp;"|"&amp;$F148)&gt;0),"","GEÇERSİZ GEÇİŞ"))</f>
        <v/>
      </c>
      <c r="P148" s="28">
        <f>IF($A148="","",IF(OR($I148="",$J148=""),"",IF(ABS($J148-$I148)&gt;zincirTolerans,"ZİNCİR KIRIK","OK")))</f>
        <v/>
      </c>
      <c r="Q148" s="28">
        <f>IF($A148="","",1)</f>
        <v/>
      </c>
    </row>
    <row r="149">
      <c r="A149" s="26" t="n"/>
      <c r="B149" s="26" t="n"/>
      <c r="C149" s="35" t="n"/>
      <c r="D149" s="35" t="n"/>
      <c r="E149" s="26" t="n"/>
      <c r="F149" s="26" t="n"/>
      <c r="G149" s="26" t="n"/>
      <c r="H149" s="26" t="n"/>
      <c r="I149" s="27" t="n"/>
      <c r="J149" s="27" t="n"/>
      <c r="K149" s="36" t="n"/>
      <c r="L149" s="28">
        <f>IF($A149="","",IF($C149="","",raporTarihi-$C149))</f>
        <v/>
      </c>
      <c r="M149" s="28">
        <f>IF($A149="","",IF($L149="","",IF($L149&lt;=7,"0-7",IF($L149&lt;=30,"8-30",IF($L149&lt;=60,"31-60","60+")))))</f>
        <v/>
      </c>
      <c r="N149" s="28">
        <f>IF($A149="","",IF($B149="","YETİM",IF(COUNTIF(tblEnvanter[TehlikeId],$B149)=0,"YETİM","")))</f>
        <v/>
      </c>
      <c r="O149" s="28">
        <f>IF(OR($A149="",$E149=""),"",IF(OR($E149&amp;"|"&amp;$F149="",COUNTIF(ListeIzinliGecis,$E149&amp;"|"&amp;$F149)&gt;0),"","GEÇERSİZ GEÇİŞ"))</f>
        <v/>
      </c>
      <c r="P149" s="28">
        <f>IF($A149="","",IF(OR($I149="",$J149=""),"",IF(ABS($J149-$I149)&gt;zincirTolerans,"ZİNCİR KIRIK","OK")))</f>
        <v/>
      </c>
      <c r="Q149" s="28">
        <f>IF($A149="","",1)</f>
        <v/>
      </c>
    </row>
    <row r="150">
      <c r="A150" s="26" t="n"/>
      <c r="B150" s="26" t="n"/>
      <c r="C150" s="35" t="n"/>
      <c r="D150" s="35" t="n"/>
      <c r="E150" s="26" t="n"/>
      <c r="F150" s="26" t="n"/>
      <c r="G150" s="26" t="n"/>
      <c r="H150" s="26" t="n"/>
      <c r="I150" s="27" t="n"/>
      <c r="J150" s="27" t="n"/>
      <c r="K150" s="36" t="n"/>
      <c r="L150" s="28">
        <f>IF($A150="","",IF($C150="","",raporTarihi-$C150))</f>
        <v/>
      </c>
      <c r="M150" s="28">
        <f>IF($A150="","",IF($L150="","",IF($L150&lt;=7,"0-7",IF($L150&lt;=30,"8-30",IF($L150&lt;=60,"31-60","60+")))))</f>
        <v/>
      </c>
      <c r="N150" s="28">
        <f>IF($A150="","",IF($B150="","YETİM",IF(COUNTIF(tblEnvanter[TehlikeId],$B150)=0,"YETİM","")))</f>
        <v/>
      </c>
      <c r="O150" s="28">
        <f>IF(OR($A150="",$E150=""),"",IF(OR($E150&amp;"|"&amp;$F150="",COUNTIF(ListeIzinliGecis,$E150&amp;"|"&amp;$F150)&gt;0),"","GEÇERSİZ GEÇİŞ"))</f>
        <v/>
      </c>
      <c r="P150" s="28">
        <f>IF($A150="","",IF(OR($I150="",$J150=""),"",IF(ABS($J150-$I150)&gt;zincirTolerans,"ZİNCİR KIRIK","OK")))</f>
        <v/>
      </c>
      <c r="Q150" s="28">
        <f>IF($A150="","",1)</f>
        <v/>
      </c>
    </row>
    <row r="151">
      <c r="A151" s="26" t="n"/>
      <c r="B151" s="26" t="n"/>
      <c r="C151" s="35" t="n"/>
      <c r="D151" s="35" t="n"/>
      <c r="E151" s="26" t="n"/>
      <c r="F151" s="26" t="n"/>
      <c r="G151" s="26" t="n"/>
      <c r="H151" s="26" t="n"/>
      <c r="I151" s="27" t="n"/>
      <c r="J151" s="27" t="n"/>
      <c r="K151" s="36" t="n"/>
      <c r="L151" s="28">
        <f>IF($A151="","",IF($C151="","",raporTarihi-$C151))</f>
        <v/>
      </c>
      <c r="M151" s="28">
        <f>IF($A151="","",IF($L151="","",IF($L151&lt;=7,"0-7",IF($L151&lt;=30,"8-30",IF($L151&lt;=60,"31-60","60+")))))</f>
        <v/>
      </c>
      <c r="N151" s="28">
        <f>IF($A151="","",IF($B151="","YETİM",IF(COUNTIF(tblEnvanter[TehlikeId],$B151)=0,"YETİM","")))</f>
        <v/>
      </c>
      <c r="O151" s="28">
        <f>IF(OR($A151="",$E151=""),"",IF(OR($E151&amp;"|"&amp;$F151="",COUNTIF(ListeIzinliGecis,$E151&amp;"|"&amp;$F151)&gt;0),"","GEÇERSİZ GEÇİŞ"))</f>
        <v/>
      </c>
      <c r="P151" s="28">
        <f>IF($A151="","",IF(OR($I151="",$J151=""),"",IF(ABS($J151-$I151)&gt;zincirTolerans,"ZİNCİR KIRIK","OK")))</f>
        <v/>
      </c>
      <c r="Q151" s="28">
        <f>IF($A151="","",1)</f>
        <v/>
      </c>
    </row>
    <row r="152">
      <c r="A152" s="26" t="n"/>
      <c r="B152" s="26" t="n"/>
      <c r="C152" s="35" t="n"/>
      <c r="D152" s="35" t="n"/>
      <c r="E152" s="26" t="n"/>
      <c r="F152" s="26" t="n"/>
      <c r="G152" s="26" t="n"/>
      <c r="H152" s="26" t="n"/>
      <c r="I152" s="27" t="n"/>
      <c r="J152" s="27" t="n"/>
      <c r="K152" s="36" t="n"/>
      <c r="L152" s="28">
        <f>IF($A152="","",IF($C152="","",raporTarihi-$C152))</f>
        <v/>
      </c>
      <c r="M152" s="28">
        <f>IF($A152="","",IF($L152="","",IF($L152&lt;=7,"0-7",IF($L152&lt;=30,"8-30",IF($L152&lt;=60,"31-60","60+")))))</f>
        <v/>
      </c>
      <c r="N152" s="28">
        <f>IF($A152="","",IF($B152="","YETİM",IF(COUNTIF(tblEnvanter[TehlikeId],$B152)=0,"YETİM","")))</f>
        <v/>
      </c>
      <c r="O152" s="28">
        <f>IF(OR($A152="",$E152=""),"",IF(OR($E152&amp;"|"&amp;$F152="",COUNTIF(ListeIzinliGecis,$E152&amp;"|"&amp;$F152)&gt;0),"","GEÇERSİZ GEÇİŞ"))</f>
        <v/>
      </c>
      <c r="P152" s="28">
        <f>IF($A152="","",IF(OR($I152="",$J152=""),"",IF(ABS($J152-$I152)&gt;zincirTolerans,"ZİNCİR KIRIK","OK")))</f>
        <v/>
      </c>
      <c r="Q152" s="28">
        <f>IF($A152="","",1)</f>
        <v/>
      </c>
    </row>
    <row r="153">
      <c r="A153" s="26" t="n"/>
      <c r="B153" s="26" t="n"/>
      <c r="C153" s="35" t="n"/>
      <c r="D153" s="35" t="n"/>
      <c r="E153" s="26" t="n"/>
      <c r="F153" s="26" t="n"/>
      <c r="G153" s="26" t="n"/>
      <c r="H153" s="26" t="n"/>
      <c r="I153" s="27" t="n"/>
      <c r="J153" s="27" t="n"/>
      <c r="K153" s="36" t="n"/>
      <c r="L153" s="28">
        <f>IF($A153="","",IF($C153="","",raporTarihi-$C153))</f>
        <v/>
      </c>
      <c r="M153" s="28">
        <f>IF($A153="","",IF($L153="","",IF($L153&lt;=7,"0-7",IF($L153&lt;=30,"8-30",IF($L153&lt;=60,"31-60","60+")))))</f>
        <v/>
      </c>
      <c r="N153" s="28">
        <f>IF($A153="","",IF($B153="","YETİM",IF(COUNTIF(tblEnvanter[TehlikeId],$B153)=0,"YETİM","")))</f>
        <v/>
      </c>
      <c r="O153" s="28">
        <f>IF(OR($A153="",$E153=""),"",IF(OR($E153&amp;"|"&amp;$F153="",COUNTIF(ListeIzinliGecis,$E153&amp;"|"&amp;$F153)&gt;0),"","GEÇERSİZ GEÇİŞ"))</f>
        <v/>
      </c>
      <c r="P153" s="28">
        <f>IF($A153="","",IF(OR($I153="",$J153=""),"",IF(ABS($J153-$I153)&gt;zincirTolerans,"ZİNCİR KIRIK","OK")))</f>
        <v/>
      </c>
      <c r="Q153" s="28">
        <f>IF($A153="","",1)</f>
        <v/>
      </c>
    </row>
    <row r="154">
      <c r="A154" s="26" t="n"/>
      <c r="B154" s="26" t="n"/>
      <c r="C154" s="35" t="n"/>
      <c r="D154" s="35" t="n"/>
      <c r="E154" s="26" t="n"/>
      <c r="F154" s="26" t="n"/>
      <c r="G154" s="26" t="n"/>
      <c r="H154" s="26" t="n"/>
      <c r="I154" s="27" t="n"/>
      <c r="J154" s="27" t="n"/>
      <c r="K154" s="36" t="n"/>
      <c r="L154" s="28">
        <f>IF($A154="","",IF($C154="","",raporTarihi-$C154))</f>
        <v/>
      </c>
      <c r="M154" s="28">
        <f>IF($A154="","",IF($L154="","",IF($L154&lt;=7,"0-7",IF($L154&lt;=30,"8-30",IF($L154&lt;=60,"31-60","60+")))))</f>
        <v/>
      </c>
      <c r="N154" s="28">
        <f>IF($A154="","",IF($B154="","YETİM",IF(COUNTIF(tblEnvanter[TehlikeId],$B154)=0,"YETİM","")))</f>
        <v/>
      </c>
      <c r="O154" s="28">
        <f>IF(OR($A154="",$E154=""),"",IF(OR($E154&amp;"|"&amp;$F154="",COUNTIF(ListeIzinliGecis,$E154&amp;"|"&amp;$F154)&gt;0),"","GEÇERSİZ GEÇİŞ"))</f>
        <v/>
      </c>
      <c r="P154" s="28">
        <f>IF($A154="","",IF(OR($I154="",$J154=""),"",IF(ABS($J154-$I154)&gt;zincirTolerans,"ZİNCİR KIRIK","OK")))</f>
        <v/>
      </c>
      <c r="Q154" s="28">
        <f>IF($A154="","",1)</f>
        <v/>
      </c>
    </row>
    <row r="155">
      <c r="A155" s="26" t="n"/>
      <c r="B155" s="26" t="n"/>
      <c r="C155" s="35" t="n"/>
      <c r="D155" s="35" t="n"/>
      <c r="E155" s="26" t="n"/>
      <c r="F155" s="26" t="n"/>
      <c r="G155" s="26" t="n"/>
      <c r="H155" s="26" t="n"/>
      <c r="I155" s="27" t="n"/>
      <c r="J155" s="27" t="n"/>
      <c r="K155" s="36" t="n"/>
      <c r="L155" s="28">
        <f>IF($A155="","",IF($C155="","",raporTarihi-$C155))</f>
        <v/>
      </c>
      <c r="M155" s="28">
        <f>IF($A155="","",IF($L155="","",IF($L155&lt;=7,"0-7",IF($L155&lt;=30,"8-30",IF($L155&lt;=60,"31-60","60+")))))</f>
        <v/>
      </c>
      <c r="N155" s="28">
        <f>IF($A155="","",IF($B155="","YETİM",IF(COUNTIF(tblEnvanter[TehlikeId],$B155)=0,"YETİM","")))</f>
        <v/>
      </c>
      <c r="O155" s="28">
        <f>IF(OR($A155="",$E155=""),"",IF(OR($E155&amp;"|"&amp;$F155="",COUNTIF(ListeIzinliGecis,$E155&amp;"|"&amp;$F155)&gt;0),"","GEÇERSİZ GEÇİŞ"))</f>
        <v/>
      </c>
      <c r="P155" s="28">
        <f>IF($A155="","",IF(OR($I155="",$J155=""),"",IF(ABS($J155-$I155)&gt;zincirTolerans,"ZİNCİR KIRIK","OK")))</f>
        <v/>
      </c>
      <c r="Q155" s="28">
        <f>IF($A155="","",1)</f>
        <v/>
      </c>
    </row>
    <row r="156">
      <c r="A156" s="26" t="n"/>
      <c r="B156" s="26" t="n"/>
      <c r="C156" s="35" t="n"/>
      <c r="D156" s="35" t="n"/>
      <c r="E156" s="26" t="n"/>
      <c r="F156" s="26" t="n"/>
      <c r="G156" s="26" t="n"/>
      <c r="H156" s="26" t="n"/>
      <c r="I156" s="27" t="n"/>
      <c r="J156" s="27" t="n"/>
      <c r="K156" s="36" t="n"/>
      <c r="L156" s="28">
        <f>IF($A156="","",IF($C156="","",raporTarihi-$C156))</f>
        <v/>
      </c>
      <c r="M156" s="28">
        <f>IF($A156="","",IF($L156="","",IF($L156&lt;=7,"0-7",IF($L156&lt;=30,"8-30",IF($L156&lt;=60,"31-60","60+")))))</f>
        <v/>
      </c>
      <c r="N156" s="28">
        <f>IF($A156="","",IF($B156="","YETİM",IF(COUNTIF(tblEnvanter[TehlikeId],$B156)=0,"YETİM","")))</f>
        <v/>
      </c>
      <c r="O156" s="28">
        <f>IF(OR($A156="",$E156=""),"",IF(OR($E156&amp;"|"&amp;$F156="",COUNTIF(ListeIzinliGecis,$E156&amp;"|"&amp;$F156)&gt;0),"","GEÇERSİZ GEÇİŞ"))</f>
        <v/>
      </c>
      <c r="P156" s="28">
        <f>IF($A156="","",IF(OR($I156="",$J156=""),"",IF(ABS($J156-$I156)&gt;zincirTolerans,"ZİNCİR KIRIK","OK")))</f>
        <v/>
      </c>
      <c r="Q156" s="28">
        <f>IF($A156="","",1)</f>
        <v/>
      </c>
    </row>
    <row r="157">
      <c r="A157" s="26" t="n"/>
      <c r="B157" s="26" t="n"/>
      <c r="C157" s="35" t="n"/>
      <c r="D157" s="35" t="n"/>
      <c r="E157" s="26" t="n"/>
      <c r="F157" s="26" t="n"/>
      <c r="G157" s="26" t="n"/>
      <c r="H157" s="26" t="n"/>
      <c r="I157" s="27" t="n"/>
      <c r="J157" s="27" t="n"/>
      <c r="K157" s="36" t="n"/>
      <c r="L157" s="28">
        <f>IF($A157="","",IF($C157="","",raporTarihi-$C157))</f>
        <v/>
      </c>
      <c r="M157" s="28">
        <f>IF($A157="","",IF($L157="","",IF($L157&lt;=7,"0-7",IF($L157&lt;=30,"8-30",IF($L157&lt;=60,"31-60","60+")))))</f>
        <v/>
      </c>
      <c r="N157" s="28">
        <f>IF($A157="","",IF($B157="","YETİM",IF(COUNTIF(tblEnvanter[TehlikeId],$B157)=0,"YETİM","")))</f>
        <v/>
      </c>
      <c r="O157" s="28">
        <f>IF(OR($A157="",$E157=""),"",IF(OR($E157&amp;"|"&amp;$F157="",COUNTIF(ListeIzinliGecis,$E157&amp;"|"&amp;$F157)&gt;0),"","GEÇERSİZ GEÇİŞ"))</f>
        <v/>
      </c>
      <c r="P157" s="28">
        <f>IF($A157="","",IF(OR($I157="",$J157=""),"",IF(ABS($J157-$I157)&gt;zincirTolerans,"ZİNCİR KIRIK","OK")))</f>
        <v/>
      </c>
      <c r="Q157" s="28">
        <f>IF($A157="","",1)</f>
        <v/>
      </c>
    </row>
    <row r="158">
      <c r="A158" s="26" t="n"/>
      <c r="B158" s="26" t="n"/>
      <c r="C158" s="35" t="n"/>
      <c r="D158" s="35" t="n"/>
      <c r="E158" s="26" t="n"/>
      <c r="F158" s="26" t="n"/>
      <c r="G158" s="26" t="n"/>
      <c r="H158" s="26" t="n"/>
      <c r="I158" s="27" t="n"/>
      <c r="J158" s="27" t="n"/>
      <c r="K158" s="36" t="n"/>
      <c r="L158" s="28">
        <f>IF($A158="","",IF($C158="","",raporTarihi-$C158))</f>
        <v/>
      </c>
      <c r="M158" s="28">
        <f>IF($A158="","",IF($L158="","",IF($L158&lt;=7,"0-7",IF($L158&lt;=30,"8-30",IF($L158&lt;=60,"31-60","60+")))))</f>
        <v/>
      </c>
      <c r="N158" s="28">
        <f>IF($A158="","",IF($B158="","YETİM",IF(COUNTIF(tblEnvanter[TehlikeId],$B158)=0,"YETİM","")))</f>
        <v/>
      </c>
      <c r="O158" s="28">
        <f>IF(OR($A158="",$E158=""),"",IF(OR($E158&amp;"|"&amp;$F158="",COUNTIF(ListeIzinliGecis,$E158&amp;"|"&amp;$F158)&gt;0),"","GEÇERSİZ GEÇİŞ"))</f>
        <v/>
      </c>
      <c r="P158" s="28">
        <f>IF($A158="","",IF(OR($I158="",$J158=""),"",IF(ABS($J158-$I158)&gt;zincirTolerans,"ZİNCİR KIRIK","OK")))</f>
        <v/>
      </c>
      <c r="Q158" s="28">
        <f>IF($A158="","",1)</f>
        <v/>
      </c>
    </row>
    <row r="159">
      <c r="A159" s="26" t="n"/>
      <c r="B159" s="26" t="n"/>
      <c r="C159" s="35" t="n"/>
      <c r="D159" s="35" t="n"/>
      <c r="E159" s="26" t="n"/>
      <c r="F159" s="26" t="n"/>
      <c r="G159" s="26" t="n"/>
      <c r="H159" s="26" t="n"/>
      <c r="I159" s="27" t="n"/>
      <c r="J159" s="27" t="n"/>
      <c r="K159" s="36" t="n"/>
      <c r="L159" s="28">
        <f>IF($A159="","",IF($C159="","",raporTarihi-$C159))</f>
        <v/>
      </c>
      <c r="M159" s="28">
        <f>IF($A159="","",IF($L159="","",IF($L159&lt;=7,"0-7",IF($L159&lt;=30,"8-30",IF($L159&lt;=60,"31-60","60+")))))</f>
        <v/>
      </c>
      <c r="N159" s="28">
        <f>IF($A159="","",IF($B159="","YETİM",IF(COUNTIF(tblEnvanter[TehlikeId],$B159)=0,"YETİM","")))</f>
        <v/>
      </c>
      <c r="O159" s="28">
        <f>IF(OR($A159="",$E159=""),"",IF(OR($E159&amp;"|"&amp;$F159="",COUNTIF(ListeIzinliGecis,$E159&amp;"|"&amp;$F159)&gt;0),"","GEÇERSİZ GEÇİŞ"))</f>
        <v/>
      </c>
      <c r="P159" s="28">
        <f>IF($A159="","",IF(OR($I159="",$J159=""),"",IF(ABS($J159-$I159)&gt;zincirTolerans,"ZİNCİR KIRIK","OK")))</f>
        <v/>
      </c>
      <c r="Q159" s="28">
        <f>IF($A159="","",1)</f>
        <v/>
      </c>
    </row>
    <row r="160">
      <c r="A160" s="26" t="n"/>
      <c r="B160" s="26" t="n"/>
      <c r="C160" s="35" t="n"/>
      <c r="D160" s="35" t="n"/>
      <c r="E160" s="26" t="n"/>
      <c r="F160" s="26" t="n"/>
      <c r="G160" s="26" t="n"/>
      <c r="H160" s="26" t="n"/>
      <c r="I160" s="27" t="n"/>
      <c r="J160" s="27" t="n"/>
      <c r="K160" s="36" t="n"/>
      <c r="L160" s="28">
        <f>IF($A160="","",IF($C160="","",raporTarihi-$C160))</f>
        <v/>
      </c>
      <c r="M160" s="28">
        <f>IF($A160="","",IF($L160="","",IF($L160&lt;=7,"0-7",IF($L160&lt;=30,"8-30",IF($L160&lt;=60,"31-60","60+")))))</f>
        <v/>
      </c>
      <c r="N160" s="28">
        <f>IF($A160="","",IF($B160="","YETİM",IF(COUNTIF(tblEnvanter[TehlikeId],$B160)=0,"YETİM","")))</f>
        <v/>
      </c>
      <c r="O160" s="28">
        <f>IF(OR($A160="",$E160=""),"",IF(OR($E160&amp;"|"&amp;$F160="",COUNTIF(ListeIzinliGecis,$E160&amp;"|"&amp;$F160)&gt;0),"","GEÇERSİZ GEÇİŞ"))</f>
        <v/>
      </c>
      <c r="P160" s="28">
        <f>IF($A160="","",IF(OR($I160="",$J160=""),"",IF(ABS($J160-$I160)&gt;zincirTolerans,"ZİNCİR KIRIK","OK")))</f>
        <v/>
      </c>
      <c r="Q160" s="28">
        <f>IF($A160="","",1)</f>
        <v/>
      </c>
    </row>
    <row r="161">
      <c r="A161" s="26" t="n"/>
      <c r="B161" s="26" t="n"/>
      <c r="C161" s="35" t="n"/>
      <c r="D161" s="35" t="n"/>
      <c r="E161" s="26" t="n"/>
      <c r="F161" s="26" t="n"/>
      <c r="G161" s="26" t="n"/>
      <c r="H161" s="26" t="n"/>
      <c r="I161" s="27" t="n"/>
      <c r="J161" s="27" t="n"/>
      <c r="K161" s="36" t="n"/>
      <c r="L161" s="28">
        <f>IF($A161="","",IF($C161="","",raporTarihi-$C161))</f>
        <v/>
      </c>
      <c r="M161" s="28">
        <f>IF($A161="","",IF($L161="","",IF($L161&lt;=7,"0-7",IF($L161&lt;=30,"8-30",IF($L161&lt;=60,"31-60","60+")))))</f>
        <v/>
      </c>
      <c r="N161" s="28">
        <f>IF($A161="","",IF($B161="","YETİM",IF(COUNTIF(tblEnvanter[TehlikeId],$B161)=0,"YETİM","")))</f>
        <v/>
      </c>
      <c r="O161" s="28">
        <f>IF(OR($A161="",$E161=""),"",IF(OR($E161&amp;"|"&amp;$F161="",COUNTIF(ListeIzinliGecis,$E161&amp;"|"&amp;$F161)&gt;0),"","GEÇERSİZ GEÇİŞ"))</f>
        <v/>
      </c>
      <c r="P161" s="28">
        <f>IF($A161="","",IF(OR($I161="",$J161=""),"",IF(ABS($J161-$I161)&gt;zincirTolerans,"ZİNCİR KIRIK","OK")))</f>
        <v/>
      </c>
      <c r="Q161" s="28">
        <f>IF($A161="","",1)</f>
        <v/>
      </c>
    </row>
    <row r="162">
      <c r="A162" s="26" t="n"/>
      <c r="B162" s="26" t="n"/>
      <c r="C162" s="35" t="n"/>
      <c r="D162" s="35" t="n"/>
      <c r="E162" s="26" t="n"/>
      <c r="F162" s="26" t="n"/>
      <c r="G162" s="26" t="n"/>
      <c r="H162" s="26" t="n"/>
      <c r="I162" s="27" t="n"/>
      <c r="J162" s="27" t="n"/>
      <c r="K162" s="36" t="n"/>
      <c r="L162" s="28">
        <f>IF($A162="","",IF($C162="","",raporTarihi-$C162))</f>
        <v/>
      </c>
      <c r="M162" s="28">
        <f>IF($A162="","",IF($L162="","",IF($L162&lt;=7,"0-7",IF($L162&lt;=30,"8-30",IF($L162&lt;=60,"31-60","60+")))))</f>
        <v/>
      </c>
      <c r="N162" s="28">
        <f>IF($A162="","",IF($B162="","YETİM",IF(COUNTIF(tblEnvanter[TehlikeId],$B162)=0,"YETİM","")))</f>
        <v/>
      </c>
      <c r="O162" s="28">
        <f>IF(OR($A162="",$E162=""),"",IF(OR($E162&amp;"|"&amp;$F162="",COUNTIF(ListeIzinliGecis,$E162&amp;"|"&amp;$F162)&gt;0),"","GEÇERSİZ GEÇİŞ"))</f>
        <v/>
      </c>
      <c r="P162" s="28">
        <f>IF($A162="","",IF(OR($I162="",$J162=""),"",IF(ABS($J162-$I162)&gt;zincirTolerans,"ZİNCİR KIRIK","OK")))</f>
        <v/>
      </c>
      <c r="Q162" s="28">
        <f>IF($A162="","",1)</f>
        <v/>
      </c>
    </row>
    <row r="163">
      <c r="A163" s="26" t="n"/>
      <c r="B163" s="26" t="n"/>
      <c r="C163" s="35" t="n"/>
      <c r="D163" s="35" t="n"/>
      <c r="E163" s="26" t="n"/>
      <c r="F163" s="26" t="n"/>
      <c r="G163" s="26" t="n"/>
      <c r="H163" s="26" t="n"/>
      <c r="I163" s="27" t="n"/>
      <c r="J163" s="27" t="n"/>
      <c r="K163" s="36" t="n"/>
      <c r="L163" s="28">
        <f>IF($A163="","",IF($C163="","",raporTarihi-$C163))</f>
        <v/>
      </c>
      <c r="M163" s="28">
        <f>IF($A163="","",IF($L163="","",IF($L163&lt;=7,"0-7",IF($L163&lt;=30,"8-30",IF($L163&lt;=60,"31-60","60+")))))</f>
        <v/>
      </c>
      <c r="N163" s="28">
        <f>IF($A163="","",IF($B163="","YETİM",IF(COUNTIF(tblEnvanter[TehlikeId],$B163)=0,"YETİM","")))</f>
        <v/>
      </c>
      <c r="O163" s="28">
        <f>IF(OR($A163="",$E163=""),"",IF(OR($E163&amp;"|"&amp;$F163="",COUNTIF(ListeIzinliGecis,$E163&amp;"|"&amp;$F163)&gt;0),"","GEÇERSİZ GEÇİŞ"))</f>
        <v/>
      </c>
      <c r="P163" s="28">
        <f>IF($A163="","",IF(OR($I163="",$J163=""),"",IF(ABS($J163-$I163)&gt;zincirTolerans,"ZİNCİR KIRIK","OK")))</f>
        <v/>
      </c>
      <c r="Q163" s="28">
        <f>IF($A163="","",1)</f>
        <v/>
      </c>
    </row>
    <row r="164">
      <c r="A164" s="26" t="n"/>
      <c r="B164" s="26" t="n"/>
      <c r="C164" s="35" t="n"/>
      <c r="D164" s="35" t="n"/>
      <c r="E164" s="26" t="n"/>
      <c r="F164" s="26" t="n"/>
      <c r="G164" s="26" t="n"/>
      <c r="H164" s="26" t="n"/>
      <c r="I164" s="27" t="n"/>
      <c r="J164" s="27" t="n"/>
      <c r="K164" s="36" t="n"/>
      <c r="L164" s="28">
        <f>IF($A164="","",IF($C164="","",raporTarihi-$C164))</f>
        <v/>
      </c>
      <c r="M164" s="28">
        <f>IF($A164="","",IF($L164="","",IF($L164&lt;=7,"0-7",IF($L164&lt;=30,"8-30",IF($L164&lt;=60,"31-60","60+")))))</f>
        <v/>
      </c>
      <c r="N164" s="28">
        <f>IF($A164="","",IF($B164="","YETİM",IF(COUNTIF(tblEnvanter[TehlikeId],$B164)=0,"YETİM","")))</f>
        <v/>
      </c>
      <c r="O164" s="28">
        <f>IF(OR($A164="",$E164=""),"",IF(OR($E164&amp;"|"&amp;$F164="",COUNTIF(ListeIzinliGecis,$E164&amp;"|"&amp;$F164)&gt;0),"","GEÇERSİZ GEÇİŞ"))</f>
        <v/>
      </c>
      <c r="P164" s="28">
        <f>IF($A164="","",IF(OR($I164="",$J164=""),"",IF(ABS($J164-$I164)&gt;zincirTolerans,"ZİNCİR KIRIK","OK")))</f>
        <v/>
      </c>
      <c r="Q164" s="28">
        <f>IF($A164="","",1)</f>
        <v/>
      </c>
    </row>
    <row r="165">
      <c r="A165" s="26" t="n"/>
      <c r="B165" s="26" t="n"/>
      <c r="C165" s="35" t="n"/>
      <c r="D165" s="35" t="n"/>
      <c r="E165" s="26" t="n"/>
      <c r="F165" s="26" t="n"/>
      <c r="G165" s="26" t="n"/>
      <c r="H165" s="26" t="n"/>
      <c r="I165" s="27" t="n"/>
      <c r="J165" s="27" t="n"/>
      <c r="K165" s="36" t="n"/>
      <c r="L165" s="28">
        <f>IF($A165="","",IF($C165="","",raporTarihi-$C165))</f>
        <v/>
      </c>
      <c r="M165" s="28">
        <f>IF($A165="","",IF($L165="","",IF($L165&lt;=7,"0-7",IF($L165&lt;=30,"8-30",IF($L165&lt;=60,"31-60","60+")))))</f>
        <v/>
      </c>
      <c r="N165" s="28">
        <f>IF($A165="","",IF($B165="","YETİM",IF(COUNTIF(tblEnvanter[TehlikeId],$B165)=0,"YETİM","")))</f>
        <v/>
      </c>
      <c r="O165" s="28">
        <f>IF(OR($A165="",$E165=""),"",IF(OR($E165&amp;"|"&amp;$F165="",COUNTIF(ListeIzinliGecis,$E165&amp;"|"&amp;$F165)&gt;0),"","GEÇERSİZ GEÇİŞ"))</f>
        <v/>
      </c>
      <c r="P165" s="28">
        <f>IF($A165="","",IF(OR($I165="",$J165=""),"",IF(ABS($J165-$I165)&gt;zincirTolerans,"ZİNCİR KIRIK","OK")))</f>
        <v/>
      </c>
      <c r="Q165" s="28">
        <f>IF($A165="","",1)</f>
        <v/>
      </c>
    </row>
    <row r="166">
      <c r="A166" s="26" t="n"/>
      <c r="B166" s="26" t="n"/>
      <c r="C166" s="35" t="n"/>
      <c r="D166" s="35" t="n"/>
      <c r="E166" s="26" t="n"/>
      <c r="F166" s="26" t="n"/>
      <c r="G166" s="26" t="n"/>
      <c r="H166" s="26" t="n"/>
      <c r="I166" s="27" t="n"/>
      <c r="J166" s="27" t="n"/>
      <c r="K166" s="36" t="n"/>
      <c r="L166" s="28">
        <f>IF($A166="","",IF($C166="","",raporTarihi-$C166))</f>
        <v/>
      </c>
      <c r="M166" s="28">
        <f>IF($A166="","",IF($L166="","",IF($L166&lt;=7,"0-7",IF($L166&lt;=30,"8-30",IF($L166&lt;=60,"31-60","60+")))))</f>
        <v/>
      </c>
      <c r="N166" s="28">
        <f>IF($A166="","",IF($B166="","YETİM",IF(COUNTIF(tblEnvanter[TehlikeId],$B166)=0,"YETİM","")))</f>
        <v/>
      </c>
      <c r="O166" s="28">
        <f>IF(OR($A166="",$E166=""),"",IF(OR($E166&amp;"|"&amp;$F166="",COUNTIF(ListeIzinliGecis,$E166&amp;"|"&amp;$F166)&gt;0),"","GEÇERSİZ GEÇİŞ"))</f>
        <v/>
      </c>
      <c r="P166" s="28">
        <f>IF($A166="","",IF(OR($I166="",$J166=""),"",IF(ABS($J166-$I166)&gt;zincirTolerans,"ZİNCİR KIRIK","OK")))</f>
        <v/>
      </c>
      <c r="Q166" s="28">
        <f>IF($A166="","",1)</f>
        <v/>
      </c>
    </row>
    <row r="167">
      <c r="A167" s="26" t="n"/>
      <c r="B167" s="26" t="n"/>
      <c r="C167" s="35" t="n"/>
      <c r="D167" s="35" t="n"/>
      <c r="E167" s="26" t="n"/>
      <c r="F167" s="26" t="n"/>
      <c r="G167" s="26" t="n"/>
      <c r="H167" s="26" t="n"/>
      <c r="I167" s="27" t="n"/>
      <c r="J167" s="27" t="n"/>
      <c r="K167" s="36" t="n"/>
      <c r="L167" s="28">
        <f>IF($A167="","",IF($C167="","",raporTarihi-$C167))</f>
        <v/>
      </c>
      <c r="M167" s="28">
        <f>IF($A167="","",IF($L167="","",IF($L167&lt;=7,"0-7",IF($L167&lt;=30,"8-30",IF($L167&lt;=60,"31-60","60+")))))</f>
        <v/>
      </c>
      <c r="N167" s="28">
        <f>IF($A167="","",IF($B167="","YETİM",IF(COUNTIF(tblEnvanter[TehlikeId],$B167)=0,"YETİM","")))</f>
        <v/>
      </c>
      <c r="O167" s="28">
        <f>IF(OR($A167="",$E167=""),"",IF(OR($E167&amp;"|"&amp;$F167="",COUNTIF(ListeIzinliGecis,$E167&amp;"|"&amp;$F167)&gt;0),"","GEÇERSİZ GEÇİŞ"))</f>
        <v/>
      </c>
      <c r="P167" s="28">
        <f>IF($A167="","",IF(OR($I167="",$J167=""),"",IF(ABS($J167-$I167)&gt;zincirTolerans,"ZİNCİR KIRIK","OK")))</f>
        <v/>
      </c>
      <c r="Q167" s="28">
        <f>IF($A167="","",1)</f>
        <v/>
      </c>
    </row>
    <row r="168">
      <c r="A168" s="26" t="n"/>
      <c r="B168" s="26" t="n"/>
      <c r="C168" s="35" t="n"/>
      <c r="D168" s="35" t="n"/>
      <c r="E168" s="26" t="n"/>
      <c r="F168" s="26" t="n"/>
      <c r="G168" s="26" t="n"/>
      <c r="H168" s="26" t="n"/>
      <c r="I168" s="27" t="n"/>
      <c r="J168" s="27" t="n"/>
      <c r="K168" s="36" t="n"/>
      <c r="L168" s="28">
        <f>IF($A168="","",IF($C168="","",raporTarihi-$C168))</f>
        <v/>
      </c>
      <c r="M168" s="28">
        <f>IF($A168="","",IF($L168="","",IF($L168&lt;=7,"0-7",IF($L168&lt;=30,"8-30",IF($L168&lt;=60,"31-60","60+")))))</f>
        <v/>
      </c>
      <c r="N168" s="28">
        <f>IF($A168="","",IF($B168="","YETİM",IF(COUNTIF(tblEnvanter[TehlikeId],$B168)=0,"YETİM","")))</f>
        <v/>
      </c>
      <c r="O168" s="28">
        <f>IF(OR($A168="",$E168=""),"",IF(OR($E168&amp;"|"&amp;$F168="",COUNTIF(ListeIzinliGecis,$E168&amp;"|"&amp;$F168)&gt;0),"","GEÇERSİZ GEÇİŞ"))</f>
        <v/>
      </c>
      <c r="P168" s="28">
        <f>IF($A168="","",IF(OR($I168="",$J168=""),"",IF(ABS($J168-$I168)&gt;zincirTolerans,"ZİNCİR KIRIK","OK")))</f>
        <v/>
      </c>
      <c r="Q168" s="28">
        <f>IF($A168="","",1)</f>
        <v/>
      </c>
    </row>
    <row r="169">
      <c r="A169" s="26" t="n"/>
      <c r="B169" s="26" t="n"/>
      <c r="C169" s="35" t="n"/>
      <c r="D169" s="35" t="n"/>
      <c r="E169" s="26" t="n"/>
      <c r="F169" s="26" t="n"/>
      <c r="G169" s="26" t="n"/>
      <c r="H169" s="26" t="n"/>
      <c r="I169" s="27" t="n"/>
      <c r="J169" s="27" t="n"/>
      <c r="K169" s="36" t="n"/>
      <c r="L169" s="28">
        <f>IF($A169="","",IF($C169="","",raporTarihi-$C169))</f>
        <v/>
      </c>
      <c r="M169" s="28">
        <f>IF($A169="","",IF($L169="","",IF($L169&lt;=7,"0-7",IF($L169&lt;=30,"8-30",IF($L169&lt;=60,"31-60","60+")))))</f>
        <v/>
      </c>
      <c r="N169" s="28">
        <f>IF($A169="","",IF($B169="","YETİM",IF(COUNTIF(tblEnvanter[TehlikeId],$B169)=0,"YETİM","")))</f>
        <v/>
      </c>
      <c r="O169" s="28">
        <f>IF(OR($A169="",$E169=""),"",IF(OR($E169&amp;"|"&amp;$F169="",COUNTIF(ListeIzinliGecis,$E169&amp;"|"&amp;$F169)&gt;0),"","GEÇERSİZ GEÇİŞ"))</f>
        <v/>
      </c>
      <c r="P169" s="28">
        <f>IF($A169="","",IF(OR($I169="",$J169=""),"",IF(ABS($J169-$I169)&gt;zincirTolerans,"ZİNCİR KIRIK","OK")))</f>
        <v/>
      </c>
      <c r="Q169" s="28">
        <f>IF($A169="","",1)</f>
        <v/>
      </c>
    </row>
    <row r="170">
      <c r="A170" s="26" t="n"/>
      <c r="B170" s="26" t="n"/>
      <c r="C170" s="35" t="n"/>
      <c r="D170" s="35" t="n"/>
      <c r="E170" s="26" t="n"/>
      <c r="F170" s="26" t="n"/>
      <c r="G170" s="26" t="n"/>
      <c r="H170" s="26" t="n"/>
      <c r="I170" s="27" t="n"/>
      <c r="J170" s="27" t="n"/>
      <c r="K170" s="36" t="n"/>
      <c r="L170" s="28">
        <f>IF($A170="","",IF($C170="","",raporTarihi-$C170))</f>
        <v/>
      </c>
      <c r="M170" s="28">
        <f>IF($A170="","",IF($L170="","",IF($L170&lt;=7,"0-7",IF($L170&lt;=30,"8-30",IF($L170&lt;=60,"31-60","60+")))))</f>
        <v/>
      </c>
      <c r="N170" s="28">
        <f>IF($A170="","",IF($B170="","YETİM",IF(COUNTIF(tblEnvanter[TehlikeId],$B170)=0,"YETİM","")))</f>
        <v/>
      </c>
      <c r="O170" s="28">
        <f>IF(OR($A170="",$E170=""),"",IF(OR($E170&amp;"|"&amp;$F170="",COUNTIF(ListeIzinliGecis,$E170&amp;"|"&amp;$F170)&gt;0),"","GEÇERSİZ GEÇİŞ"))</f>
        <v/>
      </c>
      <c r="P170" s="28">
        <f>IF($A170="","",IF(OR($I170="",$J170=""),"",IF(ABS($J170-$I170)&gt;zincirTolerans,"ZİNCİR KIRIK","OK")))</f>
        <v/>
      </c>
      <c r="Q170" s="28">
        <f>IF($A170="","",1)</f>
        <v/>
      </c>
    </row>
    <row r="171">
      <c r="A171" s="26" t="n"/>
      <c r="B171" s="26" t="n"/>
      <c r="C171" s="35" t="n"/>
      <c r="D171" s="35" t="n"/>
      <c r="E171" s="26" t="n"/>
      <c r="F171" s="26" t="n"/>
      <c r="G171" s="26" t="n"/>
      <c r="H171" s="26" t="n"/>
      <c r="I171" s="27" t="n"/>
      <c r="J171" s="27" t="n"/>
      <c r="K171" s="36" t="n"/>
      <c r="L171" s="28">
        <f>IF($A171="","",IF($C171="","",raporTarihi-$C171))</f>
        <v/>
      </c>
      <c r="M171" s="28">
        <f>IF($A171="","",IF($L171="","",IF($L171&lt;=7,"0-7",IF($L171&lt;=30,"8-30",IF($L171&lt;=60,"31-60","60+")))))</f>
        <v/>
      </c>
      <c r="N171" s="28">
        <f>IF($A171="","",IF($B171="","YETİM",IF(COUNTIF(tblEnvanter[TehlikeId],$B171)=0,"YETİM","")))</f>
        <v/>
      </c>
      <c r="O171" s="28">
        <f>IF(OR($A171="",$E171=""),"",IF(OR($E171&amp;"|"&amp;$F171="",COUNTIF(ListeIzinliGecis,$E171&amp;"|"&amp;$F171)&gt;0),"","GEÇERSİZ GEÇİŞ"))</f>
        <v/>
      </c>
      <c r="P171" s="28">
        <f>IF($A171="","",IF(OR($I171="",$J171=""),"",IF(ABS($J171-$I171)&gt;zincirTolerans,"ZİNCİR KIRIK","OK")))</f>
        <v/>
      </c>
      <c r="Q171" s="28">
        <f>IF($A171="","",1)</f>
        <v/>
      </c>
    </row>
    <row r="172">
      <c r="A172" s="26" t="n"/>
      <c r="B172" s="26" t="n"/>
      <c r="C172" s="35" t="n"/>
      <c r="D172" s="35" t="n"/>
      <c r="E172" s="26" t="n"/>
      <c r="F172" s="26" t="n"/>
      <c r="G172" s="26" t="n"/>
      <c r="H172" s="26" t="n"/>
      <c r="I172" s="27" t="n"/>
      <c r="J172" s="27" t="n"/>
      <c r="K172" s="36" t="n"/>
      <c r="L172" s="28">
        <f>IF($A172="","",IF($C172="","",raporTarihi-$C172))</f>
        <v/>
      </c>
      <c r="M172" s="28">
        <f>IF($A172="","",IF($L172="","",IF($L172&lt;=7,"0-7",IF($L172&lt;=30,"8-30",IF($L172&lt;=60,"31-60","60+")))))</f>
        <v/>
      </c>
      <c r="N172" s="28">
        <f>IF($A172="","",IF($B172="","YETİM",IF(COUNTIF(tblEnvanter[TehlikeId],$B172)=0,"YETİM","")))</f>
        <v/>
      </c>
      <c r="O172" s="28">
        <f>IF(OR($A172="",$E172=""),"",IF(OR($E172&amp;"|"&amp;$F172="",COUNTIF(ListeIzinliGecis,$E172&amp;"|"&amp;$F172)&gt;0),"","GEÇERSİZ GEÇİŞ"))</f>
        <v/>
      </c>
      <c r="P172" s="28">
        <f>IF($A172="","",IF(OR($I172="",$J172=""),"",IF(ABS($J172-$I172)&gt;zincirTolerans,"ZİNCİR KIRIK","OK")))</f>
        <v/>
      </c>
      <c r="Q172" s="28">
        <f>IF($A172="","",1)</f>
        <v/>
      </c>
    </row>
    <row r="173">
      <c r="A173" s="26" t="n"/>
      <c r="B173" s="26" t="n"/>
      <c r="C173" s="35" t="n"/>
      <c r="D173" s="35" t="n"/>
      <c r="E173" s="26" t="n"/>
      <c r="F173" s="26" t="n"/>
      <c r="G173" s="26" t="n"/>
      <c r="H173" s="26" t="n"/>
      <c r="I173" s="27" t="n"/>
      <c r="J173" s="27" t="n"/>
      <c r="K173" s="36" t="n"/>
      <c r="L173" s="28">
        <f>IF($A173="","",IF($C173="","",raporTarihi-$C173))</f>
        <v/>
      </c>
      <c r="M173" s="28">
        <f>IF($A173="","",IF($L173="","",IF($L173&lt;=7,"0-7",IF($L173&lt;=30,"8-30",IF($L173&lt;=60,"31-60","60+")))))</f>
        <v/>
      </c>
      <c r="N173" s="28">
        <f>IF($A173="","",IF($B173="","YETİM",IF(COUNTIF(tblEnvanter[TehlikeId],$B173)=0,"YETİM","")))</f>
        <v/>
      </c>
      <c r="O173" s="28">
        <f>IF(OR($A173="",$E173=""),"",IF(OR($E173&amp;"|"&amp;$F173="",COUNTIF(ListeIzinliGecis,$E173&amp;"|"&amp;$F173)&gt;0),"","GEÇERSİZ GEÇİŞ"))</f>
        <v/>
      </c>
      <c r="P173" s="28">
        <f>IF($A173="","",IF(OR($I173="",$J173=""),"",IF(ABS($J173-$I173)&gt;zincirTolerans,"ZİNCİR KIRIK","OK")))</f>
        <v/>
      </c>
      <c r="Q173" s="28">
        <f>IF($A173="","",1)</f>
        <v/>
      </c>
    </row>
    <row r="174">
      <c r="A174" s="26" t="n"/>
      <c r="B174" s="26" t="n"/>
      <c r="C174" s="35" t="n"/>
      <c r="D174" s="35" t="n"/>
      <c r="E174" s="26" t="n"/>
      <c r="F174" s="26" t="n"/>
      <c r="G174" s="26" t="n"/>
      <c r="H174" s="26" t="n"/>
      <c r="I174" s="27" t="n"/>
      <c r="J174" s="27" t="n"/>
      <c r="K174" s="36" t="n"/>
      <c r="L174" s="28">
        <f>IF($A174="","",IF($C174="","",raporTarihi-$C174))</f>
        <v/>
      </c>
      <c r="M174" s="28">
        <f>IF($A174="","",IF($L174="","",IF($L174&lt;=7,"0-7",IF($L174&lt;=30,"8-30",IF($L174&lt;=60,"31-60","60+")))))</f>
        <v/>
      </c>
      <c r="N174" s="28">
        <f>IF($A174="","",IF($B174="","YETİM",IF(COUNTIF(tblEnvanter[TehlikeId],$B174)=0,"YETİM","")))</f>
        <v/>
      </c>
      <c r="O174" s="28">
        <f>IF(OR($A174="",$E174=""),"",IF(OR($E174&amp;"|"&amp;$F174="",COUNTIF(ListeIzinliGecis,$E174&amp;"|"&amp;$F174)&gt;0),"","GEÇERSİZ GEÇİŞ"))</f>
        <v/>
      </c>
      <c r="P174" s="28">
        <f>IF($A174="","",IF(OR($I174="",$J174=""),"",IF(ABS($J174-$I174)&gt;zincirTolerans,"ZİNCİR KIRIK","OK")))</f>
        <v/>
      </c>
      <c r="Q174" s="28">
        <f>IF($A174="","",1)</f>
        <v/>
      </c>
    </row>
    <row r="175">
      <c r="A175" s="26" t="n"/>
      <c r="B175" s="26" t="n"/>
      <c r="C175" s="35" t="n"/>
      <c r="D175" s="35" t="n"/>
      <c r="E175" s="26" t="n"/>
      <c r="F175" s="26" t="n"/>
      <c r="G175" s="26" t="n"/>
      <c r="H175" s="26" t="n"/>
      <c r="I175" s="27" t="n"/>
      <c r="J175" s="27" t="n"/>
      <c r="K175" s="36" t="n"/>
      <c r="L175" s="28">
        <f>IF($A175="","",IF($C175="","",raporTarihi-$C175))</f>
        <v/>
      </c>
      <c r="M175" s="28">
        <f>IF($A175="","",IF($L175="","",IF($L175&lt;=7,"0-7",IF($L175&lt;=30,"8-30",IF($L175&lt;=60,"31-60","60+")))))</f>
        <v/>
      </c>
      <c r="N175" s="28">
        <f>IF($A175="","",IF($B175="","YETİM",IF(COUNTIF(tblEnvanter[TehlikeId],$B175)=0,"YETİM","")))</f>
        <v/>
      </c>
      <c r="O175" s="28">
        <f>IF(OR($A175="",$E175=""),"",IF(OR($E175&amp;"|"&amp;$F175="",COUNTIF(ListeIzinliGecis,$E175&amp;"|"&amp;$F175)&gt;0),"","GEÇERSİZ GEÇİŞ"))</f>
        <v/>
      </c>
      <c r="P175" s="28">
        <f>IF($A175="","",IF(OR($I175="",$J175=""),"",IF(ABS($J175-$I175)&gt;zincirTolerans,"ZİNCİR KIRIK","OK")))</f>
        <v/>
      </c>
      <c r="Q175" s="28">
        <f>IF($A175="","",1)</f>
        <v/>
      </c>
    </row>
    <row r="176">
      <c r="A176" s="26" t="n"/>
      <c r="B176" s="26" t="n"/>
      <c r="C176" s="35" t="n"/>
      <c r="D176" s="35" t="n"/>
      <c r="E176" s="26" t="n"/>
      <c r="F176" s="26" t="n"/>
      <c r="G176" s="26" t="n"/>
      <c r="H176" s="26" t="n"/>
      <c r="I176" s="27" t="n"/>
      <c r="J176" s="27" t="n"/>
      <c r="K176" s="36" t="n"/>
      <c r="L176" s="28">
        <f>IF($A176="","",IF($C176="","",raporTarihi-$C176))</f>
        <v/>
      </c>
      <c r="M176" s="28">
        <f>IF($A176="","",IF($L176="","",IF($L176&lt;=7,"0-7",IF($L176&lt;=30,"8-30",IF($L176&lt;=60,"31-60","60+")))))</f>
        <v/>
      </c>
      <c r="N176" s="28">
        <f>IF($A176="","",IF($B176="","YETİM",IF(COUNTIF(tblEnvanter[TehlikeId],$B176)=0,"YETİM","")))</f>
        <v/>
      </c>
      <c r="O176" s="28">
        <f>IF(OR($A176="",$E176=""),"",IF(OR($E176&amp;"|"&amp;$F176="",COUNTIF(ListeIzinliGecis,$E176&amp;"|"&amp;$F176)&gt;0),"","GEÇERSİZ GEÇİŞ"))</f>
        <v/>
      </c>
      <c r="P176" s="28">
        <f>IF($A176="","",IF(OR($I176="",$J176=""),"",IF(ABS($J176-$I176)&gt;zincirTolerans,"ZİNCİR KIRIK","OK")))</f>
        <v/>
      </c>
      <c r="Q176" s="28">
        <f>IF($A176="","",1)</f>
        <v/>
      </c>
    </row>
    <row r="177">
      <c r="A177" s="26" t="n"/>
      <c r="B177" s="26" t="n"/>
      <c r="C177" s="35" t="n"/>
      <c r="D177" s="35" t="n"/>
      <c r="E177" s="26" t="n"/>
      <c r="F177" s="26" t="n"/>
      <c r="G177" s="26" t="n"/>
      <c r="H177" s="26" t="n"/>
      <c r="I177" s="27" t="n"/>
      <c r="J177" s="27" t="n"/>
      <c r="K177" s="36" t="n"/>
      <c r="L177" s="28">
        <f>IF($A177="","",IF($C177="","",raporTarihi-$C177))</f>
        <v/>
      </c>
      <c r="M177" s="28">
        <f>IF($A177="","",IF($L177="","",IF($L177&lt;=7,"0-7",IF($L177&lt;=30,"8-30",IF($L177&lt;=60,"31-60","60+")))))</f>
        <v/>
      </c>
      <c r="N177" s="28">
        <f>IF($A177="","",IF($B177="","YETİM",IF(COUNTIF(tblEnvanter[TehlikeId],$B177)=0,"YETİM","")))</f>
        <v/>
      </c>
      <c r="O177" s="28">
        <f>IF(OR($A177="",$E177=""),"",IF(OR($E177&amp;"|"&amp;$F177="",COUNTIF(ListeIzinliGecis,$E177&amp;"|"&amp;$F177)&gt;0),"","GEÇERSİZ GEÇİŞ"))</f>
        <v/>
      </c>
      <c r="P177" s="28">
        <f>IF($A177="","",IF(OR($I177="",$J177=""),"",IF(ABS($J177-$I177)&gt;zincirTolerans,"ZİNCİR KIRIK","OK")))</f>
        <v/>
      </c>
      <c r="Q177" s="28">
        <f>IF($A177="","",1)</f>
        <v/>
      </c>
    </row>
    <row r="178">
      <c r="A178" s="26" t="n"/>
      <c r="B178" s="26" t="n"/>
      <c r="C178" s="35" t="n"/>
      <c r="D178" s="35" t="n"/>
      <c r="E178" s="26" t="n"/>
      <c r="F178" s="26" t="n"/>
      <c r="G178" s="26" t="n"/>
      <c r="H178" s="26" t="n"/>
      <c r="I178" s="27" t="n"/>
      <c r="J178" s="27" t="n"/>
      <c r="K178" s="36" t="n"/>
      <c r="L178" s="28">
        <f>IF($A178="","",IF($C178="","",raporTarihi-$C178))</f>
        <v/>
      </c>
      <c r="M178" s="28">
        <f>IF($A178="","",IF($L178="","",IF($L178&lt;=7,"0-7",IF($L178&lt;=30,"8-30",IF($L178&lt;=60,"31-60","60+")))))</f>
        <v/>
      </c>
      <c r="N178" s="28">
        <f>IF($A178="","",IF($B178="","YETİM",IF(COUNTIF(tblEnvanter[TehlikeId],$B178)=0,"YETİM","")))</f>
        <v/>
      </c>
      <c r="O178" s="28">
        <f>IF(OR($A178="",$E178=""),"",IF(OR($E178&amp;"|"&amp;$F178="",COUNTIF(ListeIzinliGecis,$E178&amp;"|"&amp;$F178)&gt;0),"","GEÇERSİZ GEÇİŞ"))</f>
        <v/>
      </c>
      <c r="P178" s="28">
        <f>IF($A178="","",IF(OR($I178="",$J178=""),"",IF(ABS($J178-$I178)&gt;zincirTolerans,"ZİNCİR KIRIK","OK")))</f>
        <v/>
      </c>
      <c r="Q178" s="28">
        <f>IF($A178="","",1)</f>
        <v/>
      </c>
    </row>
    <row r="179">
      <c r="A179" s="26" t="n"/>
      <c r="B179" s="26" t="n"/>
      <c r="C179" s="35" t="n"/>
      <c r="D179" s="35" t="n"/>
      <c r="E179" s="26" t="n"/>
      <c r="F179" s="26" t="n"/>
      <c r="G179" s="26" t="n"/>
      <c r="H179" s="26" t="n"/>
      <c r="I179" s="27" t="n"/>
      <c r="J179" s="27" t="n"/>
      <c r="K179" s="36" t="n"/>
      <c r="L179" s="28">
        <f>IF($A179="","",IF($C179="","",raporTarihi-$C179))</f>
        <v/>
      </c>
      <c r="M179" s="28">
        <f>IF($A179="","",IF($L179="","",IF($L179&lt;=7,"0-7",IF($L179&lt;=30,"8-30",IF($L179&lt;=60,"31-60","60+")))))</f>
        <v/>
      </c>
      <c r="N179" s="28">
        <f>IF($A179="","",IF($B179="","YETİM",IF(COUNTIF(tblEnvanter[TehlikeId],$B179)=0,"YETİM","")))</f>
        <v/>
      </c>
      <c r="O179" s="28">
        <f>IF(OR($A179="",$E179=""),"",IF(OR($E179&amp;"|"&amp;$F179="",COUNTIF(ListeIzinliGecis,$E179&amp;"|"&amp;$F179)&gt;0),"","GEÇERSİZ GEÇİŞ"))</f>
        <v/>
      </c>
      <c r="P179" s="28">
        <f>IF($A179="","",IF(OR($I179="",$J179=""),"",IF(ABS($J179-$I179)&gt;zincirTolerans,"ZİNCİR KIRIK","OK")))</f>
        <v/>
      </c>
      <c r="Q179" s="28">
        <f>IF($A179="","",1)</f>
        <v/>
      </c>
    </row>
    <row r="180">
      <c r="A180" s="26" t="n"/>
      <c r="B180" s="26" t="n"/>
      <c r="C180" s="35" t="n"/>
      <c r="D180" s="35" t="n"/>
      <c r="E180" s="26" t="n"/>
      <c r="F180" s="26" t="n"/>
      <c r="G180" s="26" t="n"/>
      <c r="H180" s="26" t="n"/>
      <c r="I180" s="27" t="n"/>
      <c r="J180" s="27" t="n"/>
      <c r="K180" s="36" t="n"/>
      <c r="L180" s="28">
        <f>IF($A180="","",IF($C180="","",raporTarihi-$C180))</f>
        <v/>
      </c>
      <c r="M180" s="28">
        <f>IF($A180="","",IF($L180="","",IF($L180&lt;=7,"0-7",IF($L180&lt;=30,"8-30",IF($L180&lt;=60,"31-60","60+")))))</f>
        <v/>
      </c>
      <c r="N180" s="28">
        <f>IF($A180="","",IF($B180="","YETİM",IF(COUNTIF(tblEnvanter[TehlikeId],$B180)=0,"YETİM","")))</f>
        <v/>
      </c>
      <c r="O180" s="28">
        <f>IF(OR($A180="",$E180=""),"",IF(OR($E180&amp;"|"&amp;$F180="",COUNTIF(ListeIzinliGecis,$E180&amp;"|"&amp;$F180)&gt;0),"","GEÇERSİZ GEÇİŞ"))</f>
        <v/>
      </c>
      <c r="P180" s="28">
        <f>IF($A180="","",IF(OR($I180="",$J180=""),"",IF(ABS($J180-$I180)&gt;zincirTolerans,"ZİNCİR KIRIK","OK")))</f>
        <v/>
      </c>
      <c r="Q180" s="28">
        <f>IF($A180="","",1)</f>
        <v/>
      </c>
    </row>
    <row r="181">
      <c r="A181" s="26" t="n"/>
      <c r="B181" s="26" t="n"/>
      <c r="C181" s="35" t="n"/>
      <c r="D181" s="35" t="n"/>
      <c r="E181" s="26" t="n"/>
      <c r="F181" s="26" t="n"/>
      <c r="G181" s="26" t="n"/>
      <c r="H181" s="26" t="n"/>
      <c r="I181" s="27" t="n"/>
      <c r="J181" s="27" t="n"/>
      <c r="K181" s="36" t="n"/>
      <c r="L181" s="28">
        <f>IF($A181="","",IF($C181="","",raporTarihi-$C181))</f>
        <v/>
      </c>
      <c r="M181" s="28">
        <f>IF($A181="","",IF($L181="","",IF($L181&lt;=7,"0-7",IF($L181&lt;=30,"8-30",IF($L181&lt;=60,"31-60","60+")))))</f>
        <v/>
      </c>
      <c r="N181" s="28">
        <f>IF($A181="","",IF($B181="","YETİM",IF(COUNTIF(tblEnvanter[TehlikeId],$B181)=0,"YETİM","")))</f>
        <v/>
      </c>
      <c r="O181" s="28">
        <f>IF(OR($A181="",$E181=""),"",IF(OR($E181&amp;"|"&amp;$F181="",COUNTIF(ListeIzinliGecis,$E181&amp;"|"&amp;$F181)&gt;0),"","GEÇERSİZ GEÇİŞ"))</f>
        <v/>
      </c>
      <c r="P181" s="28">
        <f>IF($A181="","",IF(OR($I181="",$J181=""),"",IF(ABS($J181-$I181)&gt;zincirTolerans,"ZİNCİR KIRIK","OK")))</f>
        <v/>
      </c>
      <c r="Q181" s="28">
        <f>IF($A181="","",1)</f>
        <v/>
      </c>
    </row>
    <row r="182">
      <c r="A182" s="26" t="n"/>
      <c r="B182" s="26" t="n"/>
      <c r="C182" s="35" t="n"/>
      <c r="D182" s="35" t="n"/>
      <c r="E182" s="26" t="n"/>
      <c r="F182" s="26" t="n"/>
      <c r="G182" s="26" t="n"/>
      <c r="H182" s="26" t="n"/>
      <c r="I182" s="27" t="n"/>
      <c r="J182" s="27" t="n"/>
      <c r="K182" s="36" t="n"/>
      <c r="L182" s="28">
        <f>IF($A182="","",IF($C182="","",raporTarihi-$C182))</f>
        <v/>
      </c>
      <c r="M182" s="28">
        <f>IF($A182="","",IF($L182="","",IF($L182&lt;=7,"0-7",IF($L182&lt;=30,"8-30",IF($L182&lt;=60,"31-60","60+")))))</f>
        <v/>
      </c>
      <c r="N182" s="28">
        <f>IF($A182="","",IF($B182="","YETİM",IF(COUNTIF(tblEnvanter[TehlikeId],$B182)=0,"YETİM","")))</f>
        <v/>
      </c>
      <c r="O182" s="28">
        <f>IF(OR($A182="",$E182=""),"",IF(OR($E182&amp;"|"&amp;$F182="",COUNTIF(ListeIzinliGecis,$E182&amp;"|"&amp;$F182)&gt;0),"","GEÇERSİZ GEÇİŞ"))</f>
        <v/>
      </c>
      <c r="P182" s="28">
        <f>IF($A182="","",IF(OR($I182="",$J182=""),"",IF(ABS($J182-$I182)&gt;zincirTolerans,"ZİNCİR KIRIK","OK")))</f>
        <v/>
      </c>
      <c r="Q182" s="28">
        <f>IF($A182="","",1)</f>
        <v/>
      </c>
    </row>
    <row r="183">
      <c r="A183" s="26" t="n"/>
      <c r="B183" s="26" t="n"/>
      <c r="C183" s="35" t="n"/>
      <c r="D183" s="35" t="n"/>
      <c r="E183" s="26" t="n"/>
      <c r="F183" s="26" t="n"/>
      <c r="G183" s="26" t="n"/>
      <c r="H183" s="26" t="n"/>
      <c r="I183" s="27" t="n"/>
      <c r="J183" s="27" t="n"/>
      <c r="K183" s="36" t="n"/>
      <c r="L183" s="28">
        <f>IF($A183="","",IF($C183="","",raporTarihi-$C183))</f>
        <v/>
      </c>
      <c r="M183" s="28">
        <f>IF($A183="","",IF($L183="","",IF($L183&lt;=7,"0-7",IF($L183&lt;=30,"8-30",IF($L183&lt;=60,"31-60","60+")))))</f>
        <v/>
      </c>
      <c r="N183" s="28">
        <f>IF($A183="","",IF($B183="","YETİM",IF(COUNTIF(tblEnvanter[TehlikeId],$B183)=0,"YETİM","")))</f>
        <v/>
      </c>
      <c r="O183" s="28">
        <f>IF(OR($A183="",$E183=""),"",IF(OR($E183&amp;"|"&amp;$F183="",COUNTIF(ListeIzinliGecis,$E183&amp;"|"&amp;$F183)&gt;0),"","GEÇERSİZ GEÇİŞ"))</f>
        <v/>
      </c>
      <c r="P183" s="28">
        <f>IF($A183="","",IF(OR($I183="",$J183=""),"",IF(ABS($J183-$I183)&gt;zincirTolerans,"ZİNCİR KIRIK","OK")))</f>
        <v/>
      </c>
      <c r="Q183" s="28">
        <f>IF($A183="","",1)</f>
        <v/>
      </c>
    </row>
    <row r="184">
      <c r="A184" s="26" t="n"/>
      <c r="B184" s="26" t="n"/>
      <c r="C184" s="35" t="n"/>
      <c r="D184" s="35" t="n"/>
      <c r="E184" s="26" t="n"/>
      <c r="F184" s="26" t="n"/>
      <c r="G184" s="26" t="n"/>
      <c r="H184" s="26" t="n"/>
      <c r="I184" s="27" t="n"/>
      <c r="J184" s="27" t="n"/>
      <c r="K184" s="36" t="n"/>
      <c r="L184" s="28">
        <f>IF($A184="","",IF($C184="","",raporTarihi-$C184))</f>
        <v/>
      </c>
      <c r="M184" s="28">
        <f>IF($A184="","",IF($L184="","",IF($L184&lt;=7,"0-7",IF($L184&lt;=30,"8-30",IF($L184&lt;=60,"31-60","60+")))))</f>
        <v/>
      </c>
      <c r="N184" s="28">
        <f>IF($A184="","",IF($B184="","YETİM",IF(COUNTIF(tblEnvanter[TehlikeId],$B184)=0,"YETİM","")))</f>
        <v/>
      </c>
      <c r="O184" s="28">
        <f>IF(OR($A184="",$E184=""),"",IF(OR($E184&amp;"|"&amp;$F184="",COUNTIF(ListeIzinliGecis,$E184&amp;"|"&amp;$F184)&gt;0),"","GEÇERSİZ GEÇİŞ"))</f>
        <v/>
      </c>
      <c r="P184" s="28">
        <f>IF($A184="","",IF(OR($I184="",$J184=""),"",IF(ABS($J184-$I184)&gt;zincirTolerans,"ZİNCİR KIRIK","OK")))</f>
        <v/>
      </c>
      <c r="Q184" s="28">
        <f>IF($A184="","",1)</f>
        <v/>
      </c>
    </row>
    <row r="185">
      <c r="A185" s="26" t="n"/>
      <c r="B185" s="26" t="n"/>
      <c r="C185" s="35" t="n"/>
      <c r="D185" s="35" t="n"/>
      <c r="E185" s="26" t="n"/>
      <c r="F185" s="26" t="n"/>
      <c r="G185" s="26" t="n"/>
      <c r="H185" s="26" t="n"/>
      <c r="I185" s="27" t="n"/>
      <c r="J185" s="27" t="n"/>
      <c r="K185" s="36" t="n"/>
      <c r="L185" s="28">
        <f>IF($A185="","",IF($C185="","",raporTarihi-$C185))</f>
        <v/>
      </c>
      <c r="M185" s="28">
        <f>IF($A185="","",IF($L185="","",IF($L185&lt;=7,"0-7",IF($L185&lt;=30,"8-30",IF($L185&lt;=60,"31-60","60+")))))</f>
        <v/>
      </c>
      <c r="N185" s="28">
        <f>IF($A185="","",IF($B185="","YETİM",IF(COUNTIF(tblEnvanter[TehlikeId],$B185)=0,"YETİM","")))</f>
        <v/>
      </c>
      <c r="O185" s="28">
        <f>IF(OR($A185="",$E185=""),"",IF(OR($E185&amp;"|"&amp;$F185="",COUNTIF(ListeIzinliGecis,$E185&amp;"|"&amp;$F185)&gt;0),"","GEÇERSİZ GEÇİŞ"))</f>
        <v/>
      </c>
      <c r="P185" s="28">
        <f>IF($A185="","",IF(OR($I185="",$J185=""),"",IF(ABS($J185-$I185)&gt;zincirTolerans,"ZİNCİR KIRIK","OK")))</f>
        <v/>
      </c>
      <c r="Q185" s="28">
        <f>IF($A185="","",1)</f>
        <v/>
      </c>
    </row>
    <row r="186">
      <c r="A186" s="26" t="n"/>
      <c r="B186" s="26" t="n"/>
      <c r="C186" s="35" t="n"/>
      <c r="D186" s="35" t="n"/>
      <c r="E186" s="26" t="n"/>
      <c r="F186" s="26" t="n"/>
      <c r="G186" s="26" t="n"/>
      <c r="H186" s="26" t="n"/>
      <c r="I186" s="27" t="n"/>
      <c r="J186" s="27" t="n"/>
      <c r="K186" s="36" t="n"/>
      <c r="L186" s="28">
        <f>IF($A186="","",IF($C186="","",raporTarihi-$C186))</f>
        <v/>
      </c>
      <c r="M186" s="28">
        <f>IF($A186="","",IF($L186="","",IF($L186&lt;=7,"0-7",IF($L186&lt;=30,"8-30",IF($L186&lt;=60,"31-60","60+")))))</f>
        <v/>
      </c>
      <c r="N186" s="28">
        <f>IF($A186="","",IF($B186="","YETİM",IF(COUNTIF(tblEnvanter[TehlikeId],$B186)=0,"YETİM","")))</f>
        <v/>
      </c>
      <c r="O186" s="28">
        <f>IF(OR($A186="",$E186=""),"",IF(OR($E186&amp;"|"&amp;$F186="",COUNTIF(ListeIzinliGecis,$E186&amp;"|"&amp;$F186)&gt;0),"","GEÇERSİZ GEÇİŞ"))</f>
        <v/>
      </c>
      <c r="P186" s="28">
        <f>IF($A186="","",IF(OR($I186="",$J186=""),"",IF(ABS($J186-$I186)&gt;zincirTolerans,"ZİNCİR KIRIK","OK")))</f>
        <v/>
      </c>
      <c r="Q186" s="28">
        <f>IF($A186="","",1)</f>
        <v/>
      </c>
    </row>
    <row r="187">
      <c r="A187" s="26" t="n"/>
      <c r="B187" s="26" t="n"/>
      <c r="C187" s="35" t="n"/>
      <c r="D187" s="35" t="n"/>
      <c r="E187" s="26" t="n"/>
      <c r="F187" s="26" t="n"/>
      <c r="G187" s="26" t="n"/>
      <c r="H187" s="26" t="n"/>
      <c r="I187" s="27" t="n"/>
      <c r="J187" s="27" t="n"/>
      <c r="K187" s="36" t="n"/>
      <c r="L187" s="28">
        <f>IF($A187="","",IF($C187="","",raporTarihi-$C187))</f>
        <v/>
      </c>
      <c r="M187" s="28">
        <f>IF($A187="","",IF($L187="","",IF($L187&lt;=7,"0-7",IF($L187&lt;=30,"8-30",IF($L187&lt;=60,"31-60","60+")))))</f>
        <v/>
      </c>
      <c r="N187" s="28">
        <f>IF($A187="","",IF($B187="","YETİM",IF(COUNTIF(tblEnvanter[TehlikeId],$B187)=0,"YETİM","")))</f>
        <v/>
      </c>
      <c r="O187" s="28">
        <f>IF(OR($A187="",$E187=""),"",IF(OR($E187&amp;"|"&amp;$F187="",COUNTIF(ListeIzinliGecis,$E187&amp;"|"&amp;$F187)&gt;0),"","GEÇERSİZ GEÇİŞ"))</f>
        <v/>
      </c>
      <c r="P187" s="28">
        <f>IF($A187="","",IF(OR($I187="",$J187=""),"",IF(ABS($J187-$I187)&gt;zincirTolerans,"ZİNCİR KIRIK","OK")))</f>
        <v/>
      </c>
      <c r="Q187" s="28">
        <f>IF($A187="","",1)</f>
        <v/>
      </c>
    </row>
    <row r="188">
      <c r="A188" s="26" t="n"/>
      <c r="B188" s="26" t="n"/>
      <c r="C188" s="35" t="n"/>
      <c r="D188" s="35" t="n"/>
      <c r="E188" s="26" t="n"/>
      <c r="F188" s="26" t="n"/>
      <c r="G188" s="26" t="n"/>
      <c r="H188" s="26" t="n"/>
      <c r="I188" s="27" t="n"/>
      <c r="J188" s="27" t="n"/>
      <c r="K188" s="36" t="n"/>
      <c r="L188" s="28">
        <f>IF($A188="","",IF($C188="","",raporTarihi-$C188))</f>
        <v/>
      </c>
      <c r="M188" s="28">
        <f>IF($A188="","",IF($L188="","",IF($L188&lt;=7,"0-7",IF($L188&lt;=30,"8-30",IF($L188&lt;=60,"31-60","60+")))))</f>
        <v/>
      </c>
      <c r="N188" s="28">
        <f>IF($A188="","",IF($B188="","YETİM",IF(COUNTIF(tblEnvanter[TehlikeId],$B188)=0,"YETİM","")))</f>
        <v/>
      </c>
      <c r="O188" s="28">
        <f>IF(OR($A188="",$E188=""),"",IF(OR($E188&amp;"|"&amp;$F188="",COUNTIF(ListeIzinliGecis,$E188&amp;"|"&amp;$F188)&gt;0),"","GEÇERSİZ GEÇİŞ"))</f>
        <v/>
      </c>
      <c r="P188" s="28">
        <f>IF($A188="","",IF(OR($I188="",$J188=""),"",IF(ABS($J188-$I188)&gt;zincirTolerans,"ZİNCİR KIRIK","OK")))</f>
        <v/>
      </c>
      <c r="Q188" s="28">
        <f>IF($A188="","",1)</f>
        <v/>
      </c>
    </row>
    <row r="189">
      <c r="A189" s="26" t="n"/>
      <c r="B189" s="26" t="n"/>
      <c r="C189" s="35" t="n"/>
      <c r="D189" s="35" t="n"/>
      <c r="E189" s="26" t="n"/>
      <c r="F189" s="26" t="n"/>
      <c r="G189" s="26" t="n"/>
      <c r="H189" s="26" t="n"/>
      <c r="I189" s="27" t="n"/>
      <c r="J189" s="27" t="n"/>
      <c r="K189" s="36" t="n"/>
      <c r="L189" s="28">
        <f>IF($A189="","",IF($C189="","",raporTarihi-$C189))</f>
        <v/>
      </c>
      <c r="M189" s="28">
        <f>IF($A189="","",IF($L189="","",IF($L189&lt;=7,"0-7",IF($L189&lt;=30,"8-30",IF($L189&lt;=60,"31-60","60+")))))</f>
        <v/>
      </c>
      <c r="N189" s="28">
        <f>IF($A189="","",IF($B189="","YETİM",IF(COUNTIF(tblEnvanter[TehlikeId],$B189)=0,"YETİM","")))</f>
        <v/>
      </c>
      <c r="O189" s="28">
        <f>IF(OR($A189="",$E189=""),"",IF(OR($E189&amp;"|"&amp;$F189="",COUNTIF(ListeIzinliGecis,$E189&amp;"|"&amp;$F189)&gt;0),"","GEÇERSİZ GEÇİŞ"))</f>
        <v/>
      </c>
      <c r="P189" s="28">
        <f>IF($A189="","",IF(OR($I189="",$J189=""),"",IF(ABS($J189-$I189)&gt;zincirTolerans,"ZİNCİR KIRIK","OK")))</f>
        <v/>
      </c>
      <c r="Q189" s="28">
        <f>IF($A189="","",1)</f>
        <v/>
      </c>
    </row>
    <row r="190">
      <c r="A190" s="26" t="n"/>
      <c r="B190" s="26" t="n"/>
      <c r="C190" s="35" t="n"/>
      <c r="D190" s="35" t="n"/>
      <c r="E190" s="26" t="n"/>
      <c r="F190" s="26" t="n"/>
      <c r="G190" s="26" t="n"/>
      <c r="H190" s="26" t="n"/>
      <c r="I190" s="27" t="n"/>
      <c r="J190" s="27" t="n"/>
      <c r="K190" s="36" t="n"/>
      <c r="L190" s="28">
        <f>IF($A190="","",IF($C190="","",raporTarihi-$C190))</f>
        <v/>
      </c>
      <c r="M190" s="28">
        <f>IF($A190="","",IF($L190="","",IF($L190&lt;=7,"0-7",IF($L190&lt;=30,"8-30",IF($L190&lt;=60,"31-60","60+")))))</f>
        <v/>
      </c>
      <c r="N190" s="28">
        <f>IF($A190="","",IF($B190="","YETİM",IF(COUNTIF(tblEnvanter[TehlikeId],$B190)=0,"YETİM","")))</f>
        <v/>
      </c>
      <c r="O190" s="28">
        <f>IF(OR($A190="",$E190=""),"",IF(OR($E190&amp;"|"&amp;$F190="",COUNTIF(ListeIzinliGecis,$E190&amp;"|"&amp;$F190)&gt;0),"","GEÇERSİZ GEÇİŞ"))</f>
        <v/>
      </c>
      <c r="P190" s="28">
        <f>IF($A190="","",IF(OR($I190="",$J190=""),"",IF(ABS($J190-$I190)&gt;zincirTolerans,"ZİNCİR KIRIK","OK")))</f>
        <v/>
      </c>
      <c r="Q190" s="28">
        <f>IF($A190="","",1)</f>
        <v/>
      </c>
    </row>
    <row r="191">
      <c r="A191" s="26" t="n"/>
      <c r="B191" s="26" t="n"/>
      <c r="C191" s="35" t="n"/>
      <c r="D191" s="35" t="n"/>
      <c r="E191" s="26" t="n"/>
      <c r="F191" s="26" t="n"/>
      <c r="G191" s="26" t="n"/>
      <c r="H191" s="26" t="n"/>
      <c r="I191" s="27" t="n"/>
      <c r="J191" s="27" t="n"/>
      <c r="K191" s="36" t="n"/>
      <c r="L191" s="28">
        <f>IF($A191="","",IF($C191="","",raporTarihi-$C191))</f>
        <v/>
      </c>
      <c r="M191" s="28">
        <f>IF($A191="","",IF($L191="","",IF($L191&lt;=7,"0-7",IF($L191&lt;=30,"8-30",IF($L191&lt;=60,"31-60","60+")))))</f>
        <v/>
      </c>
      <c r="N191" s="28">
        <f>IF($A191="","",IF($B191="","YETİM",IF(COUNTIF(tblEnvanter[TehlikeId],$B191)=0,"YETİM","")))</f>
        <v/>
      </c>
      <c r="O191" s="28">
        <f>IF(OR($A191="",$E191=""),"",IF(OR($E191&amp;"|"&amp;$F191="",COUNTIF(ListeIzinliGecis,$E191&amp;"|"&amp;$F191)&gt;0),"","GEÇERSİZ GEÇİŞ"))</f>
        <v/>
      </c>
      <c r="P191" s="28">
        <f>IF($A191="","",IF(OR($I191="",$J191=""),"",IF(ABS($J191-$I191)&gt;zincirTolerans,"ZİNCİR KIRIK","OK")))</f>
        <v/>
      </c>
      <c r="Q191" s="28">
        <f>IF($A191="","",1)</f>
        <v/>
      </c>
    </row>
    <row r="192">
      <c r="A192" s="26" t="n"/>
      <c r="B192" s="26" t="n"/>
      <c r="C192" s="35" t="n"/>
      <c r="D192" s="35" t="n"/>
      <c r="E192" s="26" t="n"/>
      <c r="F192" s="26" t="n"/>
      <c r="G192" s="26" t="n"/>
      <c r="H192" s="26" t="n"/>
      <c r="I192" s="27" t="n"/>
      <c r="J192" s="27" t="n"/>
      <c r="K192" s="36" t="n"/>
      <c r="L192" s="28">
        <f>IF($A192="","",IF($C192="","",raporTarihi-$C192))</f>
        <v/>
      </c>
      <c r="M192" s="28">
        <f>IF($A192="","",IF($L192="","",IF($L192&lt;=7,"0-7",IF($L192&lt;=30,"8-30",IF($L192&lt;=60,"31-60","60+")))))</f>
        <v/>
      </c>
      <c r="N192" s="28">
        <f>IF($A192="","",IF($B192="","YETİM",IF(COUNTIF(tblEnvanter[TehlikeId],$B192)=0,"YETİM","")))</f>
        <v/>
      </c>
      <c r="O192" s="28">
        <f>IF(OR($A192="",$E192=""),"",IF(OR($E192&amp;"|"&amp;$F192="",COUNTIF(ListeIzinliGecis,$E192&amp;"|"&amp;$F192)&gt;0),"","GEÇERSİZ GEÇİŞ"))</f>
        <v/>
      </c>
      <c r="P192" s="28">
        <f>IF($A192="","",IF(OR($I192="",$J192=""),"",IF(ABS($J192-$I192)&gt;zincirTolerans,"ZİNCİR KIRIK","OK")))</f>
        <v/>
      </c>
      <c r="Q192" s="28">
        <f>IF($A192="","",1)</f>
        <v/>
      </c>
    </row>
    <row r="193">
      <c r="A193" s="26" t="n"/>
      <c r="B193" s="26" t="n"/>
      <c r="C193" s="35" t="n"/>
      <c r="D193" s="35" t="n"/>
      <c r="E193" s="26" t="n"/>
      <c r="F193" s="26" t="n"/>
      <c r="G193" s="26" t="n"/>
      <c r="H193" s="26" t="n"/>
      <c r="I193" s="27" t="n"/>
      <c r="J193" s="27" t="n"/>
      <c r="K193" s="36" t="n"/>
      <c r="L193" s="28">
        <f>IF($A193="","",IF($C193="","",raporTarihi-$C193))</f>
        <v/>
      </c>
      <c r="M193" s="28">
        <f>IF($A193="","",IF($L193="","",IF($L193&lt;=7,"0-7",IF($L193&lt;=30,"8-30",IF($L193&lt;=60,"31-60","60+")))))</f>
        <v/>
      </c>
      <c r="N193" s="28">
        <f>IF($A193="","",IF($B193="","YETİM",IF(COUNTIF(tblEnvanter[TehlikeId],$B193)=0,"YETİM","")))</f>
        <v/>
      </c>
      <c r="O193" s="28">
        <f>IF(OR($A193="",$E193=""),"",IF(OR($E193&amp;"|"&amp;$F193="",COUNTIF(ListeIzinliGecis,$E193&amp;"|"&amp;$F193)&gt;0),"","GEÇERSİZ GEÇİŞ"))</f>
        <v/>
      </c>
      <c r="P193" s="28">
        <f>IF($A193="","",IF(OR($I193="",$J193=""),"",IF(ABS($J193-$I193)&gt;zincirTolerans,"ZİNCİR KIRIK","OK")))</f>
        <v/>
      </c>
      <c r="Q193" s="28">
        <f>IF($A193="","",1)</f>
        <v/>
      </c>
    </row>
    <row r="194">
      <c r="A194" s="26" t="n"/>
      <c r="B194" s="26" t="n"/>
      <c r="C194" s="35" t="n"/>
      <c r="D194" s="35" t="n"/>
      <c r="E194" s="26" t="n"/>
      <c r="F194" s="26" t="n"/>
      <c r="G194" s="26" t="n"/>
      <c r="H194" s="26" t="n"/>
      <c r="I194" s="27" t="n"/>
      <c r="J194" s="27" t="n"/>
      <c r="K194" s="36" t="n"/>
      <c r="L194" s="28">
        <f>IF($A194="","",IF($C194="","",raporTarihi-$C194))</f>
        <v/>
      </c>
      <c r="M194" s="28">
        <f>IF($A194="","",IF($L194="","",IF($L194&lt;=7,"0-7",IF($L194&lt;=30,"8-30",IF($L194&lt;=60,"31-60","60+")))))</f>
        <v/>
      </c>
      <c r="N194" s="28">
        <f>IF($A194="","",IF($B194="","YETİM",IF(COUNTIF(tblEnvanter[TehlikeId],$B194)=0,"YETİM","")))</f>
        <v/>
      </c>
      <c r="O194" s="28">
        <f>IF(OR($A194="",$E194=""),"",IF(OR($E194&amp;"|"&amp;$F194="",COUNTIF(ListeIzinliGecis,$E194&amp;"|"&amp;$F194)&gt;0),"","GEÇERSİZ GEÇİŞ"))</f>
        <v/>
      </c>
      <c r="P194" s="28">
        <f>IF($A194="","",IF(OR($I194="",$J194=""),"",IF(ABS($J194-$I194)&gt;zincirTolerans,"ZİNCİR KIRIK","OK")))</f>
        <v/>
      </c>
      <c r="Q194" s="28">
        <f>IF($A194="","",1)</f>
        <v/>
      </c>
    </row>
    <row r="195">
      <c r="A195" s="26" t="n"/>
      <c r="B195" s="26" t="n"/>
      <c r="C195" s="35" t="n"/>
      <c r="D195" s="35" t="n"/>
      <c r="E195" s="26" t="n"/>
      <c r="F195" s="26" t="n"/>
      <c r="G195" s="26" t="n"/>
      <c r="H195" s="26" t="n"/>
      <c r="I195" s="27" t="n"/>
      <c r="J195" s="27" t="n"/>
      <c r="K195" s="36" t="n"/>
      <c r="L195" s="28">
        <f>IF($A195="","",IF($C195="","",raporTarihi-$C195))</f>
        <v/>
      </c>
      <c r="M195" s="28">
        <f>IF($A195="","",IF($L195="","",IF($L195&lt;=7,"0-7",IF($L195&lt;=30,"8-30",IF($L195&lt;=60,"31-60","60+")))))</f>
        <v/>
      </c>
      <c r="N195" s="28">
        <f>IF($A195="","",IF($B195="","YETİM",IF(COUNTIF(tblEnvanter[TehlikeId],$B195)=0,"YETİM","")))</f>
        <v/>
      </c>
      <c r="O195" s="28">
        <f>IF(OR($A195="",$E195=""),"",IF(OR($E195&amp;"|"&amp;$F195="",COUNTIF(ListeIzinliGecis,$E195&amp;"|"&amp;$F195)&gt;0),"","GEÇERSİZ GEÇİŞ"))</f>
        <v/>
      </c>
      <c r="P195" s="28">
        <f>IF($A195="","",IF(OR($I195="",$J195=""),"",IF(ABS($J195-$I195)&gt;zincirTolerans,"ZİNCİR KIRIK","OK")))</f>
        <v/>
      </c>
      <c r="Q195" s="28">
        <f>IF($A195="","",1)</f>
        <v/>
      </c>
    </row>
    <row r="196">
      <c r="A196" s="26" t="n"/>
      <c r="B196" s="26" t="n"/>
      <c r="C196" s="35" t="n"/>
      <c r="D196" s="35" t="n"/>
      <c r="E196" s="26" t="n"/>
      <c r="F196" s="26" t="n"/>
      <c r="G196" s="26" t="n"/>
      <c r="H196" s="26" t="n"/>
      <c r="I196" s="27" t="n"/>
      <c r="J196" s="27" t="n"/>
      <c r="K196" s="36" t="n"/>
      <c r="L196" s="28">
        <f>IF($A196="","",IF($C196="","",raporTarihi-$C196))</f>
        <v/>
      </c>
      <c r="M196" s="28">
        <f>IF($A196="","",IF($L196="","",IF($L196&lt;=7,"0-7",IF($L196&lt;=30,"8-30",IF($L196&lt;=60,"31-60","60+")))))</f>
        <v/>
      </c>
      <c r="N196" s="28">
        <f>IF($A196="","",IF($B196="","YETİM",IF(COUNTIF(tblEnvanter[TehlikeId],$B196)=0,"YETİM","")))</f>
        <v/>
      </c>
      <c r="O196" s="28">
        <f>IF(OR($A196="",$E196=""),"",IF(OR($E196&amp;"|"&amp;$F196="",COUNTIF(ListeIzinliGecis,$E196&amp;"|"&amp;$F196)&gt;0),"","GEÇERSİZ GEÇİŞ"))</f>
        <v/>
      </c>
      <c r="P196" s="28">
        <f>IF($A196="","",IF(OR($I196="",$J196=""),"",IF(ABS($J196-$I196)&gt;zincirTolerans,"ZİNCİR KIRIK","OK")))</f>
        <v/>
      </c>
      <c r="Q196" s="28">
        <f>IF($A196="","",1)</f>
        <v/>
      </c>
    </row>
    <row r="197">
      <c r="A197" s="26" t="n"/>
      <c r="B197" s="26" t="n"/>
      <c r="C197" s="35" t="n"/>
      <c r="D197" s="35" t="n"/>
      <c r="E197" s="26" t="n"/>
      <c r="F197" s="26" t="n"/>
      <c r="G197" s="26" t="n"/>
      <c r="H197" s="26" t="n"/>
      <c r="I197" s="27" t="n"/>
      <c r="J197" s="27" t="n"/>
      <c r="K197" s="36" t="n"/>
      <c r="L197" s="28">
        <f>IF($A197="","",IF($C197="","",raporTarihi-$C197))</f>
        <v/>
      </c>
      <c r="M197" s="28">
        <f>IF($A197="","",IF($L197="","",IF($L197&lt;=7,"0-7",IF($L197&lt;=30,"8-30",IF($L197&lt;=60,"31-60","60+")))))</f>
        <v/>
      </c>
      <c r="N197" s="28">
        <f>IF($A197="","",IF($B197="","YETİM",IF(COUNTIF(tblEnvanter[TehlikeId],$B197)=0,"YETİM","")))</f>
        <v/>
      </c>
      <c r="O197" s="28">
        <f>IF(OR($A197="",$E197=""),"",IF(OR($E197&amp;"|"&amp;$F197="",COUNTIF(ListeIzinliGecis,$E197&amp;"|"&amp;$F197)&gt;0),"","GEÇERSİZ GEÇİŞ"))</f>
        <v/>
      </c>
      <c r="P197" s="28">
        <f>IF($A197="","",IF(OR($I197="",$J197=""),"",IF(ABS($J197-$I197)&gt;zincirTolerans,"ZİNCİR KIRIK","OK")))</f>
        <v/>
      </c>
      <c r="Q197" s="28">
        <f>IF($A197="","",1)</f>
        <v/>
      </c>
    </row>
    <row r="198">
      <c r="A198" s="26" t="n"/>
      <c r="B198" s="26" t="n"/>
      <c r="C198" s="35" t="n"/>
      <c r="D198" s="35" t="n"/>
      <c r="E198" s="26" t="n"/>
      <c r="F198" s="26" t="n"/>
      <c r="G198" s="26" t="n"/>
      <c r="H198" s="26" t="n"/>
      <c r="I198" s="27" t="n"/>
      <c r="J198" s="27" t="n"/>
      <c r="K198" s="36" t="n"/>
      <c r="L198" s="28">
        <f>IF($A198="","",IF($C198="","",raporTarihi-$C198))</f>
        <v/>
      </c>
      <c r="M198" s="28">
        <f>IF($A198="","",IF($L198="","",IF($L198&lt;=7,"0-7",IF($L198&lt;=30,"8-30",IF($L198&lt;=60,"31-60","60+")))))</f>
        <v/>
      </c>
      <c r="N198" s="28">
        <f>IF($A198="","",IF($B198="","YETİM",IF(COUNTIF(tblEnvanter[TehlikeId],$B198)=0,"YETİM","")))</f>
        <v/>
      </c>
      <c r="O198" s="28">
        <f>IF(OR($A198="",$E198=""),"",IF(OR($E198&amp;"|"&amp;$F198="",COUNTIF(ListeIzinliGecis,$E198&amp;"|"&amp;$F198)&gt;0),"","GEÇERSİZ GEÇİŞ"))</f>
        <v/>
      </c>
      <c r="P198" s="28">
        <f>IF($A198="","",IF(OR($I198="",$J198=""),"",IF(ABS($J198-$I198)&gt;zincirTolerans,"ZİNCİR KIRIK","OK")))</f>
        <v/>
      </c>
      <c r="Q198" s="28">
        <f>IF($A198="","",1)</f>
        <v/>
      </c>
    </row>
    <row r="199">
      <c r="A199" s="26" t="n"/>
      <c r="B199" s="26" t="n"/>
      <c r="C199" s="35" t="n"/>
      <c r="D199" s="35" t="n"/>
      <c r="E199" s="26" t="n"/>
      <c r="F199" s="26" t="n"/>
      <c r="G199" s="26" t="n"/>
      <c r="H199" s="26" t="n"/>
      <c r="I199" s="27" t="n"/>
      <c r="J199" s="27" t="n"/>
      <c r="K199" s="36" t="n"/>
      <c r="L199" s="28">
        <f>IF($A199="","",IF($C199="","",raporTarihi-$C199))</f>
        <v/>
      </c>
      <c r="M199" s="28">
        <f>IF($A199="","",IF($L199="","",IF($L199&lt;=7,"0-7",IF($L199&lt;=30,"8-30",IF($L199&lt;=60,"31-60","60+")))))</f>
        <v/>
      </c>
      <c r="N199" s="28">
        <f>IF($A199="","",IF($B199="","YETİM",IF(COUNTIF(tblEnvanter[TehlikeId],$B199)=0,"YETİM","")))</f>
        <v/>
      </c>
      <c r="O199" s="28">
        <f>IF(OR($A199="",$E199=""),"",IF(OR($E199&amp;"|"&amp;$F199="",COUNTIF(ListeIzinliGecis,$E199&amp;"|"&amp;$F199)&gt;0),"","GEÇERSİZ GEÇİŞ"))</f>
        <v/>
      </c>
      <c r="P199" s="28">
        <f>IF($A199="","",IF(OR($I199="",$J199=""),"",IF(ABS($J199-$I199)&gt;zincirTolerans,"ZİNCİR KIRIK","OK")))</f>
        <v/>
      </c>
      <c r="Q199" s="28">
        <f>IF($A199="","",1)</f>
        <v/>
      </c>
    </row>
    <row r="200">
      <c r="A200" s="26" t="n"/>
      <c r="B200" s="26" t="n"/>
      <c r="C200" s="35" t="n"/>
      <c r="D200" s="35" t="n"/>
      <c r="E200" s="26" t="n"/>
      <c r="F200" s="26" t="n"/>
      <c r="G200" s="26" t="n"/>
      <c r="H200" s="26" t="n"/>
      <c r="I200" s="27" t="n"/>
      <c r="J200" s="27" t="n"/>
      <c r="K200" s="36" t="n"/>
      <c r="L200" s="28">
        <f>IF($A200="","",IF($C200="","",raporTarihi-$C200))</f>
        <v/>
      </c>
      <c r="M200" s="28">
        <f>IF($A200="","",IF($L200="","",IF($L200&lt;=7,"0-7",IF($L200&lt;=30,"8-30",IF($L200&lt;=60,"31-60","60+")))))</f>
        <v/>
      </c>
      <c r="N200" s="28">
        <f>IF($A200="","",IF($B200="","YETİM",IF(COUNTIF(tblEnvanter[TehlikeId],$B200)=0,"YETİM","")))</f>
        <v/>
      </c>
      <c r="O200" s="28">
        <f>IF(OR($A200="",$E200=""),"",IF(OR($E200&amp;"|"&amp;$F200="",COUNTIF(ListeIzinliGecis,$E200&amp;"|"&amp;$F200)&gt;0),"","GEÇERSİZ GEÇİŞ"))</f>
        <v/>
      </c>
      <c r="P200" s="28">
        <f>IF($A200="","",IF(OR($I200="",$J200=""),"",IF(ABS($J200-$I200)&gt;zincirTolerans,"ZİNCİR KIRIK","OK")))</f>
        <v/>
      </c>
      <c r="Q200" s="28">
        <f>IF($A200="","",1)</f>
        <v/>
      </c>
    </row>
    <row r="201">
      <c r="A201" s="26" t="n"/>
      <c r="B201" s="26" t="n"/>
      <c r="C201" s="35" t="n"/>
      <c r="D201" s="35" t="n"/>
      <c r="E201" s="26" t="n"/>
      <c r="F201" s="26" t="n"/>
      <c r="G201" s="26" t="n"/>
      <c r="H201" s="26" t="n"/>
      <c r="I201" s="27" t="n"/>
      <c r="J201" s="27" t="n"/>
      <c r="K201" s="36" t="n"/>
      <c r="L201" s="28">
        <f>IF($A201="","",IF($C201="","",raporTarihi-$C201))</f>
        <v/>
      </c>
      <c r="M201" s="28">
        <f>IF($A201="","",IF($L201="","",IF($L201&lt;=7,"0-7",IF($L201&lt;=30,"8-30",IF($L201&lt;=60,"31-60","60+")))))</f>
        <v/>
      </c>
      <c r="N201" s="28">
        <f>IF($A201="","",IF($B201="","YETİM",IF(COUNTIF(tblEnvanter[TehlikeId],$B201)=0,"YETİM","")))</f>
        <v/>
      </c>
      <c r="O201" s="28">
        <f>IF(OR($A201="",$E201=""),"",IF(OR($E201&amp;"|"&amp;$F201="",COUNTIF(ListeIzinliGecis,$E201&amp;"|"&amp;$F201)&gt;0),"","GEÇERSİZ GEÇİŞ"))</f>
        <v/>
      </c>
      <c r="P201" s="28">
        <f>IF($A201="","",IF(OR($I201="",$J201=""),"",IF(ABS($J201-$I201)&gt;zincirTolerans,"ZİNCİR KIRIK","OK")))</f>
        <v/>
      </c>
      <c r="Q201" s="28">
        <f>IF($A201="","",1)</f>
        <v/>
      </c>
    </row>
    <row r="202">
      <c r="A202" s="26" t="n"/>
      <c r="B202" s="26" t="n"/>
      <c r="C202" s="35" t="n"/>
      <c r="D202" s="35" t="n"/>
      <c r="E202" s="26" t="n"/>
      <c r="F202" s="26" t="n"/>
      <c r="G202" s="26" t="n"/>
      <c r="H202" s="26" t="n"/>
      <c r="I202" s="27" t="n"/>
      <c r="J202" s="27" t="n"/>
      <c r="K202" s="36" t="n"/>
      <c r="L202" s="28">
        <f>IF($A202="","",IF($C202="","",raporTarihi-$C202))</f>
        <v/>
      </c>
      <c r="M202" s="28">
        <f>IF($A202="","",IF($L202="","",IF($L202&lt;=7,"0-7",IF($L202&lt;=30,"8-30",IF($L202&lt;=60,"31-60","60+")))))</f>
        <v/>
      </c>
      <c r="N202" s="28">
        <f>IF($A202="","",IF($B202="","YETİM",IF(COUNTIF(tblEnvanter[TehlikeId],$B202)=0,"YETİM","")))</f>
        <v/>
      </c>
      <c r="O202" s="28">
        <f>IF(OR($A202="",$E202=""),"",IF(OR($E202&amp;"|"&amp;$F202="",COUNTIF(ListeIzinliGecis,$E202&amp;"|"&amp;$F202)&gt;0),"","GEÇERSİZ GEÇİŞ"))</f>
        <v/>
      </c>
      <c r="P202" s="28">
        <f>IF($A202="","",IF(OR($I202="",$J202=""),"",IF(ABS($J202-$I202)&gt;zincirTolerans,"ZİNCİR KIRIK","OK")))</f>
        <v/>
      </c>
      <c r="Q202" s="28">
        <f>IF($A202="","",1)</f>
        <v/>
      </c>
    </row>
    <row r="203">
      <c r="A203" s="26" t="n"/>
      <c r="B203" s="26" t="n"/>
      <c r="C203" s="35" t="n"/>
      <c r="D203" s="35" t="n"/>
      <c r="E203" s="26" t="n"/>
      <c r="F203" s="26" t="n"/>
      <c r="G203" s="26" t="n"/>
      <c r="H203" s="26" t="n"/>
      <c r="I203" s="27" t="n"/>
      <c r="J203" s="27" t="n"/>
      <c r="K203" s="36" t="n"/>
      <c r="L203" s="28">
        <f>IF($A203="","",IF($C203="","",raporTarihi-$C203))</f>
        <v/>
      </c>
      <c r="M203" s="28">
        <f>IF($A203="","",IF($L203="","",IF($L203&lt;=7,"0-7",IF($L203&lt;=30,"8-30",IF($L203&lt;=60,"31-60","60+")))))</f>
        <v/>
      </c>
      <c r="N203" s="28">
        <f>IF($A203="","",IF($B203="","YETİM",IF(COUNTIF(tblEnvanter[TehlikeId],$B203)=0,"YETİM","")))</f>
        <v/>
      </c>
      <c r="O203" s="28">
        <f>IF(OR($A203="",$E203=""),"",IF(OR($E203&amp;"|"&amp;$F203="",COUNTIF(ListeIzinliGecis,$E203&amp;"|"&amp;$F203)&gt;0),"","GEÇERSİZ GEÇİŞ"))</f>
        <v/>
      </c>
      <c r="P203" s="28">
        <f>IF($A203="","",IF(OR($I203="",$J203=""),"",IF(ABS($J203-$I203)&gt;zincirTolerans,"ZİNCİR KIRIK","OK")))</f>
        <v/>
      </c>
      <c r="Q203" s="28">
        <f>IF($A203="","",1)</f>
        <v/>
      </c>
    </row>
    <row r="204">
      <c r="A204" s="26" t="n"/>
      <c r="B204" s="26" t="n"/>
      <c r="C204" s="35" t="n"/>
      <c r="D204" s="35" t="n"/>
      <c r="E204" s="26" t="n"/>
      <c r="F204" s="26" t="n"/>
      <c r="G204" s="26" t="n"/>
      <c r="H204" s="26" t="n"/>
      <c r="I204" s="27" t="n"/>
      <c r="J204" s="27" t="n"/>
      <c r="K204" s="36" t="n"/>
      <c r="L204" s="28">
        <f>IF($A204="","",IF($C204="","",raporTarihi-$C204))</f>
        <v/>
      </c>
      <c r="M204" s="28">
        <f>IF($A204="","",IF($L204="","",IF($L204&lt;=7,"0-7",IF($L204&lt;=30,"8-30",IF($L204&lt;=60,"31-60","60+")))))</f>
        <v/>
      </c>
      <c r="N204" s="28">
        <f>IF($A204="","",IF($B204="","YETİM",IF(COUNTIF(tblEnvanter[TehlikeId],$B204)=0,"YETİM","")))</f>
        <v/>
      </c>
      <c r="O204" s="28">
        <f>IF(OR($A204="",$E204=""),"",IF(OR($E204&amp;"|"&amp;$F204="",COUNTIF(ListeIzinliGecis,$E204&amp;"|"&amp;$F204)&gt;0),"","GEÇERSİZ GEÇİŞ"))</f>
        <v/>
      </c>
      <c r="P204" s="28">
        <f>IF($A204="","",IF(OR($I204="",$J204=""),"",IF(ABS($J204-$I204)&gt;zincirTolerans,"ZİNCİR KIRIK","OK")))</f>
        <v/>
      </c>
      <c r="Q204" s="28">
        <f>IF($A204="","",1)</f>
        <v/>
      </c>
    </row>
    <row r="205">
      <c r="A205" s="26" t="n"/>
      <c r="B205" s="26" t="n"/>
      <c r="C205" s="35" t="n"/>
      <c r="D205" s="35" t="n"/>
      <c r="E205" s="26" t="n"/>
      <c r="F205" s="26" t="n"/>
      <c r="G205" s="26" t="n"/>
      <c r="H205" s="26" t="n"/>
      <c r="I205" s="27" t="n"/>
      <c r="J205" s="27" t="n"/>
      <c r="K205" s="36" t="n"/>
      <c r="L205" s="28">
        <f>IF($A205="","",IF($C205="","",raporTarihi-$C205))</f>
        <v/>
      </c>
      <c r="M205" s="28">
        <f>IF($A205="","",IF($L205="","",IF($L205&lt;=7,"0-7",IF($L205&lt;=30,"8-30",IF($L205&lt;=60,"31-60","60+")))))</f>
        <v/>
      </c>
      <c r="N205" s="28">
        <f>IF($A205="","",IF($B205="","YETİM",IF(COUNTIF(tblEnvanter[TehlikeId],$B205)=0,"YETİM","")))</f>
        <v/>
      </c>
      <c r="O205" s="28">
        <f>IF(OR($A205="",$E205=""),"",IF(OR($E205&amp;"|"&amp;$F205="",COUNTIF(ListeIzinliGecis,$E205&amp;"|"&amp;$F205)&gt;0),"","GEÇERSİZ GEÇİŞ"))</f>
        <v/>
      </c>
      <c r="P205" s="28">
        <f>IF($A205="","",IF(OR($I205="",$J205=""),"",IF(ABS($J205-$I205)&gt;zincirTolerans,"ZİNCİR KIRIK","OK")))</f>
        <v/>
      </c>
      <c r="Q205" s="28">
        <f>IF($A205="","",1)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Q3"/>
    <mergeCell ref="A1:Q1"/>
  </mergeCells>
  <conditionalFormatting sqref="N6:N205">
    <cfRule type="cellIs" priority="1" operator="equal" dxfId="2">
      <formula>"YETİM"</formula>
    </cfRule>
  </conditionalFormatting>
  <conditionalFormatting sqref="O6:O205">
    <cfRule type="cellIs" priority="2" operator="equal" dxfId="2">
      <formula>"GEÇERSİZ GEÇİŞ"</formula>
    </cfRule>
  </conditionalFormatting>
  <conditionalFormatting sqref="P6:P20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F6:F205">
    <cfRule type="cellIs" priority="5" operator="equal" dxfId="1">
      <formula>"BEKLIYOR"</formula>
    </cfRule>
    <cfRule type="cellIs" priority="6" operator="equal" dxfId="3">
      <formula>"TAMAMLANDI"</formula>
    </cfRule>
    <cfRule type="cellIs" priority="7" operator="equal" dxfId="4">
      <formula>"IPTAL"</formula>
    </cfRule>
  </conditionalFormatting>
  <dataValidations count="11">
    <dataValidation sqref="A6:A205" showDropDown="0" showInputMessage="1" showErrorMessage="1" allowBlank="1" errorTitle="Kimlik" error="Boş olamaz" promptTitle="Eylem Kimliği" prompt="EYL-##### girin" type="textLength" errorStyle="stop" operator="greaterThan">
      <formula1>1</formula1>
      <formula2>40</formula2>
    </dataValidation>
    <dataValidation sqref="B6:B205" showDropDown="0" showInputMessage="1" showErrorMessage="1" allowBlank="1" errorTitle="Tehlike" error="Geçersiz" promptTitle="Kaynak Tehlike" prompt="Tehlike kimliği (boş = yetim riski)" type="textLength" errorStyle="stop" operator="greaterThanOrEqual">
      <formula1>0</formula1>
      <formula2>40</formula2>
    </dataValidation>
    <dataValidation sqref="C6:C205" showDropDown="0" showInputMessage="1" showErrorMessage="1" allowBlank="1" errorTitle="Tarih" error="Geçerli tarih" promptTitle="Tarih" prompt="Açılış tarihi" type="date" errorStyle="stop" operator="greaterThan">
      <formula1>1</formula1>
    </dataValidation>
    <dataValidation sqref="D6:D205" showDropDown="0" showInputMessage="1" showErrorMessage="1" allowBlank="1" errorTitle="Termin" error="Geçerli tarih" promptTitle="Termin" prompt="Hedef bitiş tarihi" type="date" errorStyle="stop" operator="greaterThan">
      <formula1>1</formula1>
    </dataValidation>
    <dataValidation sqref="E6:E20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0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I6:I205" showDropDown="0" showInputMessage="1" showErrorMessage="1" allowBlank="1" errorTitle="İlk Skor" error="0 veya üzeri" promptTitle="İlk Skor" prompt="İlk Skor ≥ 0" type="whole" errorStyle="stop" operator="greaterThanOrEqual">
      <formula1>0</formula1>
    </dataValidation>
    <dataValidation sqref="J6:J205" showDropDown="0" showInputMessage="1" showErrorMessage="1" allowBlank="1" errorTitle="Hedef Skor" error="0 veya üzeri" promptTitle="Hedef Skor" prompt="Hedef Skor ≥ 0" type="whole" errorStyle="stop" operator="greaterThanOrEqual">
      <formula1>0</formula1>
    </dataValidation>
    <dataValidation sqref="K6:K2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G6:G205" showDropDown="0" showInputMessage="1" showErrorMessage="1" allowBlank="1" errorTitle="Sorumlu" error="Geçersiz" promptTitle="Sorumlu" prompt="Sorumlu girin" type="textLength" errorStyle="stop" operator="greaterThanOrEqual">
      <formula1>0</formula1>
      <formula2>80</formula2>
    </dataValidation>
    <dataValidation sqref="H6:H2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45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AKIS — İSG Risk Değerlendirme Pro (6331)</t>
        </is>
      </c>
    </row>
    <row r="2"/>
    <row r="3" ht="22" customHeight="1">
      <c r="A3" s="199" t="inlineStr">
        <is>
          <t>Eylem akış özeti — KAYNAK_KART_ID / yetim / kuyruk (EYLEM_PLANI ile bağlı)</t>
        </is>
      </c>
    </row>
    <row r="4"/>
    <row r="5">
      <c r="A5" s="16" t="inlineStr">
        <is>
          <t>KAYNAK_KART_ID kontrolü</t>
        </is>
      </c>
    </row>
    <row r="6">
      <c r="A6" s="7" t="inlineStr">
        <is>
          <t>Yetim (YETİM) adet</t>
        </is>
      </c>
      <c r="B6" s="20">
        <f>COUNTIF(tblEylem[YetimBayrak],"YETİM")</f>
        <v/>
      </c>
    </row>
    <row r="7">
      <c r="A7" s="7" t="inlineStr">
        <is>
          <t>Geçersiz geçiş</t>
        </is>
      </c>
      <c r="B7" s="20">
        <f>COUNTIF(tblEylem[GecisUyarisi],"GEÇERSİZ GEÇİŞ")</f>
        <v/>
      </c>
    </row>
    <row r="8">
      <c r="A8" s="7" t="inlineStr">
        <is>
          <t>Zincir kırık</t>
        </is>
      </c>
      <c r="B8" s="20">
        <f>COUNTIF(tblEylem[ZincirBayrak],"ZİNCİR KIRIK")</f>
        <v/>
      </c>
    </row>
    <row r="9"/>
    <row r="10">
      <c r="A10" s="29" t="inlineStr">
        <is>
          <t>Kuyruk</t>
        </is>
      </c>
      <c r="B10" s="29" t="inlineStr">
        <is>
          <t>Adet</t>
        </is>
      </c>
      <c r="C10" s="29" t="inlineStr">
        <is>
          <t>Tutar</t>
        </is>
      </c>
    </row>
    <row r="11">
      <c r="A11" s="7" t="inlineStr">
        <is>
          <t>Planlandı</t>
        </is>
      </c>
      <c r="B11" s="20">
        <f>COUNTIFS(tblEylem[durum],"PLANLANDI",tblEylem[tutar],"&gt;0")</f>
        <v/>
      </c>
      <c r="C11" s="21">
        <f>SUMIFS(tblEylem[tutar],tblEylem[durum],"PLANLANDI")</f>
        <v/>
      </c>
    </row>
    <row r="12">
      <c r="A12" s="7" t="inlineStr">
        <is>
          <t>Devam</t>
        </is>
      </c>
      <c r="B12" s="20">
        <f>COUNTIFS(tblEylem[durum],"DEVAM",tblEylem[tutar],"&gt;0")</f>
        <v/>
      </c>
      <c r="C12" s="21">
        <f>SUMIFS(tblEylem[tutar],tblEylem[durum],"DEVAM")</f>
        <v/>
      </c>
    </row>
    <row r="13">
      <c r="A13" s="7" t="inlineStr">
        <is>
          <t>Bekliyor</t>
        </is>
      </c>
      <c r="B13" s="20">
        <f>COUNTIFS(tblEylem[durum],"BEKLIYOR",tblEylem[tutar],"&gt;0")</f>
        <v/>
      </c>
      <c r="C13" s="21">
        <f>SUMIFS(tblEylem[tutar],tblEylem[durum],"BEKLIYOR")</f>
        <v/>
      </c>
    </row>
    <row r="14"/>
    <row r="15">
      <c r="A15" s="16" t="inlineStr">
        <is>
          <t>Kapalı (Tamamlandı+İptal) kuyruktan düşer</t>
        </is>
      </c>
    </row>
    <row r="16">
      <c r="A16" s="7" t="inlineStr">
        <is>
          <t>Tamamlandı</t>
        </is>
      </c>
      <c r="B16" s="20">
        <f>COUNTIFS(tblEylem[durum],"TAMAMLANDI",tblEylem[tutar],"&gt;0")</f>
        <v/>
      </c>
    </row>
    <row r="17">
      <c r="A17" s="7" t="inlineStr">
        <is>
          <t>İptal</t>
        </is>
      </c>
      <c r="B17" s="20">
        <f>COUNTIFS(tblEylem[durum],"IPTAL",tblEylem[tutar],"&gt;0")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38"/>
  <sheetViews>
    <sheetView showGridLines="0" workbookViewId="0">
      <selection activeCell="A1" sqref="A1"/>
    </sheetView>
  </sheetViews>
  <sheetFormatPr baseColWidth="8" defaultRowHeight="15"/>
  <cols>
    <col width="226.5" customWidth="1" min="1" max="1"/>
    <col width="42.5" customWidth="1" min="2" max="2"/>
    <col width="14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KANIT RAPORU — İSG Risk Değerlendirme Pro (6331)</t>
        </is>
      </c>
    </row>
    <row r="2"/>
    <row r="3" ht="22" customHeight="1">
      <c r="A3" s="198" t="inlineStr">
        <is>
          <t>Denetim Kanıt Raporu — 6331 Risk Değerlendirme</t>
        </is>
      </c>
    </row>
    <row r="4">
      <c r="A4" s="7" t="inlineStr">
        <is>
          <t>Ürün</t>
        </is>
      </c>
      <c r="B4" s="7" t="inlineStr">
        <is>
          <t>İSG Risk Değerlendirme Pro (6331)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türü</t>
        </is>
      </c>
      <c r="B6" s="7" t="inlineStr">
        <is>
          <t>Kanıt çıktısı — müşteriye/imza için</t>
        </is>
      </c>
    </row>
    <row r="7">
      <c r="A7" s="7" t="inlineStr">
        <is>
          <t>Ortam</t>
        </is>
      </c>
      <c r="B7" s="7" t="inlineStr">
        <is>
          <t>Çevrimdışı · makro yok · telemetri yok</t>
        </is>
      </c>
    </row>
    <row r="8">
      <c r="A8" s="7" t="inlineStr">
        <is>
          <t>Rapor Tarihi</t>
        </is>
      </c>
      <c r="B8" s="12">
        <f>raporTarihi</f>
        <v/>
      </c>
    </row>
    <row r="9">
      <c r="A9" s="24" t="inlineStr">
        <is>
          <t>KARAR</t>
        </is>
      </c>
      <c r="B9" s="38">
        <f>PANO!B4</f>
        <v/>
      </c>
    </row>
    <row r="10"/>
    <row r="11">
      <c r="A11" s="7" t="inlineStr">
        <is>
          <t>Tehlike Adet</t>
        </is>
      </c>
      <c r="B11" s="30">
        <f>isg_tehlikeAdet</f>
        <v/>
      </c>
    </row>
    <row r="12">
      <c r="A12" s="7" t="inlineStr">
        <is>
          <t>Kritik Adet</t>
        </is>
      </c>
      <c r="B12" s="30">
        <f>isg_kritikAdet</f>
        <v/>
      </c>
    </row>
    <row r="13">
      <c r="A13" s="7" t="inlineStr">
        <is>
          <t>Uyum Oranı</t>
        </is>
      </c>
      <c r="B13" s="33">
        <f>isg_uyumOrani</f>
        <v/>
      </c>
    </row>
    <row r="14">
      <c r="A14" s="7" t="inlineStr">
        <is>
          <t>Yetim</t>
        </is>
      </c>
      <c r="B14" s="30">
        <f>isg_yetimKayit</f>
        <v/>
      </c>
    </row>
    <row r="15">
      <c r="A15" s="7" t="inlineStr">
        <is>
          <t>Geçersiz Geçiş</t>
        </is>
      </c>
      <c r="B15" s="30">
        <f>isg_gecersizGecis</f>
        <v/>
      </c>
    </row>
    <row r="16">
      <c r="A16" s="7" t="inlineStr">
        <is>
          <t>Zincir Kırık</t>
        </is>
      </c>
      <c r="B16" s="30">
        <f>isg_zincirKirik</f>
        <v/>
      </c>
    </row>
    <row r="17">
      <c r="A17" s="7" t="inlineStr">
        <is>
          <t>Madde Atıf</t>
        </is>
      </c>
      <c r="B17" s="24">
        <f>isg_maddeAtif</f>
        <v/>
      </c>
    </row>
    <row r="18">
      <c r="A18" s="7" t="inlineStr">
        <is>
          <t>Kanıt Özeti</t>
        </is>
      </c>
      <c r="B18" s="24">
        <f>isg_kanitRaporu</f>
        <v/>
      </c>
    </row>
    <row r="19">
      <c r="A19" s="7" t="inlineStr">
        <is>
          <t>Skor Dağılım</t>
        </is>
      </c>
      <c r="B19" s="24">
        <f>isg_skorDagilim</f>
        <v/>
      </c>
    </row>
    <row r="20">
      <c r="A20" s="7" t="inlineStr">
        <is>
          <t>Yenileme Takvim</t>
        </is>
      </c>
      <c r="B20" s="39">
        <f>isg_yenilemeTakvim</f>
        <v/>
      </c>
    </row>
    <row r="21">
      <c r="A21" s="7" t="inlineStr">
        <is>
          <t>Revizyon Geçmişi</t>
        </is>
      </c>
      <c r="B21" s="24">
        <f>isg_revizyonGecmisi</f>
        <v/>
      </c>
    </row>
    <row r="22"/>
    <row r="23">
      <c r="A23" s="16" t="inlineStr">
        <is>
          <t>Hesap Zinciri</t>
        </is>
      </c>
    </row>
    <row r="24">
      <c r="A24" s="8" t="inlineStr">
        <is>
          <t>Olasılık × Şiddet (L) veya Olasılık × Frekans × Şiddet (FK) → HamSkor → RiskSeviye → Eylem durum makinesi → PANO kararı.</t>
        </is>
      </c>
    </row>
    <row r="25"/>
    <row r="26">
      <c r="A26" s="16" t="inlineStr">
        <is>
          <t>Varsayımlar ve Belirsizlik</t>
        </is>
      </c>
    </row>
    <row r="27">
      <c r="A27" s="8" t="inlineStr">
        <is>
          <t>Matris seçimi (L-matris / Fine-Kinney) kullanıcı tercihidir; aynı girdiler farklı skor üretebilir. Bu çıktı karar destektir; kesin hukuki/iş güvenliği görüşü yerine geçmez. KVKK: kişisel veri toplanmaz, çevrimdışı çalışır.</t>
        </is>
      </c>
    </row>
    <row r="28">
      <c r="A28" s="8">
        <f>isg_kvkkBeyani</f>
        <v/>
      </c>
    </row>
    <row r="29"/>
    <row r="30">
      <c r="A30" s="16" t="inlineStr">
        <is>
          <t>İmza / Onay</t>
        </is>
      </c>
    </row>
    <row r="31">
      <c r="A31" s="7" t="inlineStr">
        <is>
          <t>Hazırlayan</t>
        </is>
      </c>
      <c r="B31" s="26" t="inlineStr"/>
    </row>
    <row r="32">
      <c r="A32" s="7" t="inlineStr">
        <is>
          <t>Kontrol eden</t>
        </is>
      </c>
      <c r="B32" s="26" t="inlineStr"/>
    </row>
    <row r="33">
      <c r="A33" s="7" t="inlineStr">
        <is>
          <t>Tarih</t>
        </is>
      </c>
      <c r="B33" s="12">
        <f>raporTarihi</f>
        <v/>
      </c>
    </row>
    <row r="34">
      <c r="A34" s="7" t="inlineStr">
        <is>
          <t>Kaşe / imza</t>
        </is>
      </c>
      <c r="B34" s="26" t="inlineStr"/>
    </row>
    <row r="35"/>
    <row r="36">
      <c r="A36" s="40" t="inlineStr">
        <is>
          <t>SHA-256 sevk anında KANIT/SEVK_KARARI.md ve denetim raporlarına yazılır; alıcı indirdiği dosyayı parmak iziyle doğrular.</t>
        </is>
      </c>
    </row>
    <row r="37"/>
    <row r="38">
      <c r="A38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4:H24"/>
    <mergeCell ref="A28:H28"/>
    <mergeCell ref="A1:I1"/>
    <mergeCell ref="A36:H36"/>
    <mergeCell ref="A3:I3"/>
    <mergeCell ref="A27:H27"/>
  </mergeCells>
  <conditionalFormatting sqref="B9">
    <cfRule type="cellIs" priority="1" operator="equal" dxfId="0">
      <formula>"UYGUN"</formula>
    </cfRule>
    <cfRule type="cellIs" priority="2" operator="equal" dxfId="1">
      <formula>"İNCELE"</formula>
    </cfRule>
    <cfRule type="cellIs" priority="3" operator="equal" dxfId="2">
      <formula>"VERİ YOK"</formula>
    </cfRule>
  </conditionalFormatting>
  <conditionalFormatting sqref="B11">
    <cfRule type="cellIs" priority="4" operator="greaterThan" dxfId="3">
      <formula>0</formula>
    </cfRule>
  </conditionalFormatting>
  <conditionalFormatting sqref="B12">
    <cfRule type="cellIs" priority="5" operator="greaterThan" dxfId="3">
      <formula>0</formula>
    </cfRule>
  </conditionalFormatting>
  <conditionalFormatting sqref="B13">
    <cfRule type="cellIs" priority="6" operator="greaterThan" dxfId="3">
      <formula>0</formula>
    </cfRule>
  </conditionalFormatting>
  <conditionalFormatting sqref="B14">
    <cfRule type="cellIs" priority="7" operator="greaterThan" dxfId="3">
      <formula>0</formula>
    </cfRule>
  </conditionalFormatting>
  <conditionalFormatting sqref="B15">
    <cfRule type="cellIs" priority="8" operator="greaterThan" dxfId="3">
      <formula>0</formula>
    </cfRule>
  </conditionalFormatting>
  <conditionalFormatting sqref="B16">
    <cfRule type="cellIs" priority="9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B31" showDropDown="0" showInputMessage="1" showErrorMessage="1" allowBlank="1" errorTitle="Hazırlayan" error="Geçersiz" promptTitle="Hazırlayan" prompt="Metin alanı" type="textLength" errorStyle="stop" operator="greaterThanOrEqual">
      <formula1>0</formula1>
      <formula2>200</formula2>
    </dataValidation>
    <dataValidation sqref="B32" showDropDown="0" showInputMessage="1" showErrorMessage="1" allowBlank="1" errorTitle="Kontrol" error="Geçersiz" promptTitle="Kontrol" prompt="Metin alanı" type="textLength" errorStyle="stop" operator="greaterThanOrEqual">
      <formula1>0</formula1>
      <formula2>200</formula2>
    </dataValidation>
    <dataValidation sqref="B33" showDropDown="0" showInputMessage="1" showErrorMessage="1" allowBlank="1" errorTitle="Tarih" error="Geçersiz" promptTitle="Tarih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&amp;LİSG Risk Değerlendirme Pro (6331) | Kanıt&amp;CExcelArşiv&amp;RSayfa &amp;P / &amp;N</oddFooter>
    <evenHeader/>
    <evenFooter>&amp;LİSG Risk Değerlendirme Pro (6331) | Kanıt&amp;CExcelArşiv&amp;RSayfa &amp;P / &amp;N</evenFooter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KONTROLLER — İSG Risk Değerlendirme Pro (6331)</t>
        </is>
      </c>
    </row>
    <row r="2"/>
    <row r="3" ht="22" customHeight="1">
      <c r="A3" s="200" t="inlineStr">
        <is>
          <t>Canlı Kontrol Paneli</t>
        </is>
      </c>
    </row>
    <row r="4"/>
    <row r="5">
      <c r="A5" s="7" t="inlineStr">
        <is>
          <t>Tehlike sayısı</t>
        </is>
      </c>
      <c r="B5" s="30">
        <f>COUNTA(tblEnvanter[TehlikeId])</f>
        <v/>
      </c>
    </row>
    <row r="6">
      <c r="A6" s="7" t="inlineStr">
        <is>
          <t>Eylem sayısı</t>
        </is>
      </c>
      <c r="B6" s="30">
        <f>COUNTA(tblEylem[EylemId])</f>
        <v/>
      </c>
    </row>
    <row r="7">
      <c r="A7" s="7" t="inlineStr">
        <is>
          <t>Kritik</t>
        </is>
      </c>
      <c r="B7" s="30">
        <f>isg_kritikAdet</f>
        <v/>
      </c>
    </row>
    <row r="8">
      <c r="A8" s="7" t="inlineStr">
        <is>
          <t>Planlandı</t>
        </is>
      </c>
      <c r="B8" s="30">
        <f>COUNTIF(tblEylem[Durum],"PLANLANDI")</f>
        <v/>
      </c>
    </row>
    <row r="9">
      <c r="A9" s="7" t="inlineStr">
        <is>
          <t>Devam</t>
        </is>
      </c>
      <c r="B9" s="30">
        <f>COUNTIF(tblEylem[Durum],"DEVAM")</f>
        <v/>
      </c>
    </row>
    <row r="10">
      <c r="A10" s="7" t="inlineStr">
        <is>
          <t>Bekliyor</t>
        </is>
      </c>
      <c r="B10" s="30">
        <f>COUNTIF(tblEylem[Durum],"BEKLIYOR")</f>
        <v/>
      </c>
    </row>
    <row r="11">
      <c r="A11" s="7" t="inlineStr">
        <is>
          <t>Tamamlandı</t>
        </is>
      </c>
      <c r="B11" s="30">
        <f>COUNTIF(tblEylem[Durum],"TAMAMLANDI")</f>
        <v/>
      </c>
    </row>
    <row r="12">
      <c r="A12" s="7" t="inlineStr">
        <is>
          <t>Yetim</t>
        </is>
      </c>
      <c r="B12" s="30">
        <f>isg_yetimKayit</f>
        <v/>
      </c>
    </row>
    <row r="13">
      <c r="A13" s="7" t="inlineStr">
        <is>
          <t>Geçersiz</t>
        </is>
      </c>
      <c r="B13" s="30">
        <f>isg_gecersizGecis</f>
        <v/>
      </c>
    </row>
    <row r="14">
      <c r="A14" s="7" t="inlineStr">
        <is>
          <t>Zincir kırık</t>
        </is>
      </c>
      <c r="B14" s="30">
        <f>isg_zincirKirik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24">
        <f>DEGERLENDIRME!C56</f>
        <v/>
      </c>
    </row>
    <row r="17">
      <c r="A17" s="7" t="inlineStr">
        <is>
          <t>Uyum oranı</t>
        </is>
      </c>
      <c r="B17" s="33">
        <f>isg_uyumOrani</f>
        <v/>
      </c>
    </row>
    <row r="18">
      <c r="A18" s="7" t="inlineStr">
        <is>
          <t>Gecikme maliyeti</t>
        </is>
      </c>
      <c r="B18" s="31">
        <f>isg_gecikmeMaliyeti</f>
        <v/>
      </c>
    </row>
    <row r="19">
      <c r="A19" s="7" t="inlineStr">
        <is>
          <t>Kapalı düşüm</t>
        </is>
      </c>
      <c r="B19" s="24">
        <f>isg_kapaliDusum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ORNEK VERI — İSG Risk Değerlendirme Pro (6331)</t>
        </is>
      </c>
    </row>
    <row r="2"/>
    <row r="3" ht="22" customHeight="1">
      <c r="A3" s="200" t="inlineStr">
        <is>
          <t>Örnek Senaryo Açıklaması</t>
        </is>
      </c>
    </row>
    <row r="4">
      <c r="A4" s="8" t="inlineStr">
        <is>
          <t>Dosyada 24 tehlike ve 28 eylem satırı vardır. Yetim (22, 25), geçersiz geçiş (18, 20) ve zincir kırık (12, 19) kasıtlıdır. ENVANTER ve EYLEM_PLANI'nı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Planlandı/Devam/Bekliyor/Tamamlandı/İptal — kapalılar kuyruktan düşer</t>
        </is>
      </c>
    </row>
    <row r="8"/>
    <row r="9">
      <c r="A9" s="7" t="inlineStr">
        <is>
          <t>Ölçek sözleşmesi</t>
        </is>
      </c>
      <c r="B9" s="20" t="n">
        <v>5000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0" customWidth="1" min="9" max="9"/>
    <col width="13" customWidth="1" min="10" max="10"/>
    <col width="13" customWidth="1" min="11" max="11"/>
  </cols>
  <sheetData>
    <row r="1" ht="32" customHeight="1">
      <c r="A1" s="179" t="inlineStr">
        <is>
          <t>LISTELER — İSG Risk Değerlendirme Pro (6331)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Madde Atıf</t>
        </is>
      </c>
      <c r="I3" s="24" t="inlineStr">
        <is>
          <t>Matris Tipi</t>
        </is>
      </c>
    </row>
    <row r="4"/>
    <row r="5"/>
    <row r="6">
      <c r="A6" s="29" t="inlineStr">
        <is>
          <t>DurumId</t>
        </is>
      </c>
      <c r="C6" s="29" t="inlineStr">
        <is>
          <t>Gecis</t>
        </is>
      </c>
      <c r="E6" s="29" t="inlineStr">
        <is>
          <t>Secim</t>
        </is>
      </c>
      <c r="G6" s="29" t="inlineStr">
        <is>
          <t>Madde</t>
        </is>
      </c>
      <c r="I6" s="29" t="inlineStr">
        <is>
          <t>Tip</t>
        </is>
      </c>
    </row>
    <row r="7">
      <c r="A7" s="26" t="inlineStr">
        <is>
          <t>PLANLANDI</t>
        </is>
      </c>
      <c r="C7" s="26" t="inlineStr">
        <is>
          <t>PLANLANDI|DEVAM</t>
        </is>
      </c>
      <c r="E7" s="26" t="inlineStr">
        <is>
          <t>EVET</t>
        </is>
      </c>
      <c r="G7" s="26" t="inlineStr">
        <is>
          <t>ISG-001</t>
        </is>
      </c>
      <c r="I7" s="26" t="inlineStr">
        <is>
          <t>L</t>
        </is>
      </c>
    </row>
    <row r="8">
      <c r="A8" s="26" t="inlineStr">
        <is>
          <t>DEVAM</t>
        </is>
      </c>
      <c r="C8" s="26" t="inlineStr">
        <is>
          <t>PLANLANDI|IPTAL</t>
        </is>
      </c>
      <c r="E8" s="26" t="inlineStr">
        <is>
          <t>HAYIR</t>
        </is>
      </c>
      <c r="G8" s="26" t="inlineStr">
        <is>
          <t>ISG-002</t>
        </is>
      </c>
      <c r="I8" s="26" t="inlineStr">
        <is>
          <t>FK</t>
        </is>
      </c>
    </row>
    <row r="9">
      <c r="A9" s="26" t="inlineStr">
        <is>
          <t>BEKLIYOR</t>
        </is>
      </c>
      <c r="C9" s="26" t="inlineStr">
        <is>
          <t>DEVAM|BEKLIYOR</t>
        </is>
      </c>
      <c r="G9" s="26" t="inlineStr">
        <is>
          <t>ISG-003</t>
        </is>
      </c>
    </row>
    <row r="10">
      <c r="A10" s="26" t="inlineStr">
        <is>
          <t>TAMAMLANDI</t>
        </is>
      </c>
      <c r="C10" s="26" t="inlineStr">
        <is>
          <t>DEVAM|TAMAMLANDI</t>
        </is>
      </c>
    </row>
    <row r="11">
      <c r="A11" s="26" t="inlineStr">
        <is>
          <t>IPTAL</t>
        </is>
      </c>
      <c r="C11" s="26" t="inlineStr">
        <is>
          <t>DEVAM|IPTAL</t>
        </is>
      </c>
    </row>
    <row r="12">
      <c r="C12" s="26" t="inlineStr">
        <is>
          <t>BEKLIYOR|DEVAM</t>
        </is>
      </c>
    </row>
    <row r="13">
      <c r="C13" s="26" t="inlineStr">
        <is>
          <t>BEKLIYOR|TAMAMLANDI</t>
        </is>
      </c>
    </row>
    <row r="14">
      <c r="C14" s="26" t="inlineStr">
        <is>
          <t>BEKLIYOR|IPTAL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3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3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4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L77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60.5" customWidth="1" min="2" max="2"/>
    <col width="10" customWidth="1" min="3" max="3"/>
    <col width="30.5" customWidth="1" min="4" max="4"/>
    <col width="19.5" customWidth="1" min="5" max="5"/>
    <col width="34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79" t="inlineStr">
        <is>
          <t>AYARLAR — İSG Risk Değerlendirme Pro (6331)</t>
        </is>
      </c>
    </row>
    <row r="2"/>
    <row r="3" ht="22" customHeight="1">
      <c r="A3" s="199" t="inlineStr">
        <is>
          <t>Tek kaynak parametreler + durum haritası + puanlama matrisi</t>
        </is>
      </c>
    </row>
    <row r="4"/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35" t="n">
        <v>46244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15</v>
      </c>
      <c r="C7" s="7" t="inlineStr">
        <is>
          <t>skor</t>
        </is>
      </c>
      <c r="D7" s="7" t="inlineStr">
        <is>
          <t>İş kuralı — skor sapma</t>
        </is>
      </c>
      <c r="E7" s="7" t="inlineStr">
        <is>
          <t>01.01.2026</t>
        </is>
      </c>
      <c r="F7" s="8" t="inlineStr">
        <is>
          <t>ZİNCİR KIRIK eşiği (ilk-hedef)</t>
        </is>
      </c>
    </row>
    <row r="8">
      <c r="A8" s="7" t="inlineStr">
        <is>
          <t>isg_matrisTipi</t>
        </is>
      </c>
      <c r="B8" s="26" t="inlineStr">
        <is>
          <t>L</t>
        </is>
      </c>
      <c r="C8" s="7" t="inlineStr">
        <is>
          <t>metin</t>
        </is>
      </c>
      <c r="D8" s="7" t="inlineStr">
        <is>
          <t>Kullanıcı seçimi L/FK</t>
        </is>
      </c>
      <c r="E8" s="7" t="inlineStr">
        <is>
          <t>01.01.2026</t>
        </is>
      </c>
      <c r="F8" s="8" t="inlineStr">
        <is>
          <t>L-matris veya Fine-Kinney</t>
        </is>
      </c>
    </row>
    <row r="9">
      <c r="A9" s="7" t="inlineStr">
        <is>
          <t>isg_esikGecikmeGun</t>
        </is>
      </c>
      <c r="B9" s="27" t="n">
        <v>30</v>
      </c>
      <c r="C9" s="7" t="inlineStr">
        <is>
          <t>gün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Gecikme eşiği</t>
        </is>
      </c>
    </row>
    <row r="10">
      <c r="A10" s="7" t="inlineStr">
        <is>
          <t>isg_esikGeciken</t>
        </is>
      </c>
      <c r="B10" s="27" t="n">
        <v>5</v>
      </c>
      <c r="C10" s="7" t="inlineStr">
        <is>
          <t>adet</t>
        </is>
      </c>
      <c r="D10" s="7" t="inlineStr">
        <is>
          <t>İç politika</t>
        </is>
      </c>
      <c r="E10" s="7" t="inlineStr">
        <is>
          <t>01.01.2026</t>
        </is>
      </c>
      <c r="F10" s="8" t="inlineStr">
        <is>
          <t>Karar eşiği geciken</t>
        </is>
      </c>
    </row>
    <row r="11">
      <c r="A11" s="7" t="inlineStr">
        <is>
          <t>isg_esikKritik</t>
        </is>
      </c>
      <c r="B11" s="27" t="n">
        <v>3</v>
      </c>
      <c r="C11" s="7" t="inlineStr">
        <is>
          <t>adet</t>
        </is>
      </c>
      <c r="D11" s="7" t="inlineStr">
        <is>
          <t>İç politika</t>
        </is>
      </c>
      <c r="E11" s="7" t="inlineStr">
        <is>
          <t>01.01.2026</t>
        </is>
      </c>
      <c r="F11" s="8" t="inlineStr">
        <is>
          <t>Karar eşiği kritik</t>
        </is>
      </c>
    </row>
    <row r="12">
      <c r="A12" s="7" t="inlineStr">
        <is>
          <t>isg_esikKritikSeviye</t>
        </is>
      </c>
      <c r="B12" s="27" t="n">
        <v>20</v>
      </c>
      <c r="C12" s="7" t="inlineStr">
        <is>
          <t>skor</t>
        </is>
      </c>
      <c r="D12" s="7" t="inlineStr">
        <is>
          <t>L-matris eşik</t>
        </is>
      </c>
      <c r="E12" s="7" t="inlineStr">
        <is>
          <t>01.01.2026</t>
        </is>
      </c>
      <c r="F12" s="8" t="inlineStr">
        <is>
          <t>Kritik skor eşiği</t>
        </is>
      </c>
    </row>
    <row r="13">
      <c r="A13" s="7" t="inlineStr">
        <is>
          <t>isg_esikYuksek</t>
        </is>
      </c>
      <c r="B13" s="27" t="n">
        <v>12</v>
      </c>
      <c r="C13" s="7" t="inlineStr">
        <is>
          <t>skor</t>
        </is>
      </c>
      <c r="D13" s="7" t="inlineStr">
        <is>
          <t>L-matris eşik</t>
        </is>
      </c>
      <c r="E13" s="7" t="inlineStr">
        <is>
          <t>01.01.2026</t>
        </is>
      </c>
      <c r="F13" s="8" t="inlineStr">
        <is>
          <t>Yüksek skor eşiği</t>
        </is>
      </c>
    </row>
    <row r="14">
      <c r="A14" s="7" t="inlineStr">
        <is>
          <t>isg_esikOrta</t>
        </is>
      </c>
      <c r="B14" s="27" t="n">
        <v>6</v>
      </c>
      <c r="C14" s="7" t="inlineStr">
        <is>
          <t>skor</t>
        </is>
      </c>
      <c r="D14" s="7" t="inlineStr">
        <is>
          <t>L-matris eşik</t>
        </is>
      </c>
      <c r="E14" s="7" t="inlineStr">
        <is>
          <t>01.01.2026</t>
        </is>
      </c>
      <c r="F14" s="8" t="inlineStr">
        <is>
          <t>Orta skor eşiği</t>
        </is>
      </c>
    </row>
    <row r="15">
      <c r="A15" s="7" t="inlineStr">
        <is>
          <t>isg_esikAnomali</t>
        </is>
      </c>
      <c r="B15" s="27" t="n">
        <v>25</v>
      </c>
      <c r="C15" s="7" t="inlineStr">
        <is>
          <t>skor</t>
        </is>
      </c>
      <c r="D15" s="7" t="inlineStr">
        <is>
          <t>Anomali kuralı</t>
        </is>
      </c>
      <c r="E15" s="7" t="inlineStr">
        <is>
          <t>01.01.2026</t>
        </is>
      </c>
      <c r="F15" s="8" t="inlineStr">
        <is>
          <t>Anomali skor eşiği</t>
        </is>
      </c>
    </row>
    <row r="16">
      <c r="A16" s="7" t="inlineStr">
        <is>
          <t>isg_gecikmeOranGun</t>
        </is>
      </c>
      <c r="B16" s="42" t="n">
        <v>0.0005</v>
      </c>
      <c r="C16" s="7" t="inlineStr">
        <is>
          <t>oran</t>
        </is>
      </c>
      <c r="D16" s="7" t="inlineStr">
        <is>
          <t>Finans varsayımı</t>
        </is>
      </c>
      <c r="E16" s="7" t="inlineStr">
        <is>
          <t>01.01.2026</t>
        </is>
      </c>
      <c r="F16" s="8" t="inlineStr">
        <is>
          <t>Günlük gecikme maliyeti oranı</t>
        </is>
      </c>
    </row>
    <row r="17">
      <c r="A17" s="7" t="inlineStr">
        <is>
          <t>isg_senaryoTemkinli</t>
        </is>
      </c>
      <c r="B17" s="42" t="n">
        <v>1.15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Temkinli çarpan</t>
        </is>
      </c>
    </row>
    <row r="18">
      <c r="A18" s="7" t="inlineStr">
        <is>
          <t>isg_senaryoBaz</t>
        </is>
      </c>
      <c r="B18" s="42" t="n">
        <v>1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Baz çarpan</t>
        </is>
      </c>
    </row>
    <row r="19">
      <c r="A19" s="7" t="inlineStr">
        <is>
          <t>isg_senaryoIyimser</t>
        </is>
      </c>
      <c r="B19" s="42" t="n">
        <v>0.85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İyimser çarpan</t>
        </is>
      </c>
    </row>
    <row r="20">
      <c r="A20" s="7" t="inlineStr">
        <is>
          <t>isg_tornadoOran</t>
        </is>
      </c>
      <c r="B20" s="42" t="n">
        <v>0.08</v>
      </c>
      <c r="C20" s="7" t="inlineStr">
        <is>
          <t>oran</t>
        </is>
      </c>
      <c r="D20" s="7" t="inlineStr">
        <is>
          <t>Duyarlılık</t>
        </is>
      </c>
      <c r="E20" s="7" t="inlineStr">
        <is>
          <t>01.01.2026</t>
        </is>
      </c>
      <c r="F20" s="8" t="inlineStr">
        <is>
          <t>Tornado etki oranı</t>
        </is>
      </c>
    </row>
    <row r="21">
      <c r="A21" s="7" t="inlineStr">
        <is>
          <t>isg_yuzdelikOran</t>
        </is>
      </c>
      <c r="B21" s="42" t="n">
        <v>0.9</v>
      </c>
      <c r="C21" s="7" t="inlineStr">
        <is>
          <t>oran</t>
        </is>
      </c>
      <c r="D21" s="7" t="inlineStr">
        <is>
          <t>İstatistik kuralı</t>
        </is>
      </c>
      <c r="E21" s="7" t="inlineStr">
        <is>
          <t>01.01.2026</t>
        </is>
      </c>
      <c r="F21" s="8" t="inlineStr">
        <is>
          <t>PERCENTILE oranı</t>
        </is>
      </c>
    </row>
    <row r="22">
      <c r="A22" s="7" t="inlineStr">
        <is>
          <t>isg_yenilemeTarihi</t>
        </is>
      </c>
      <c r="B22" s="35" t="n">
        <v>46609</v>
      </c>
      <c r="C22" s="7" t="inlineStr">
        <is>
          <t>tarih</t>
        </is>
      </c>
      <c r="D22" s="7" t="inlineStr">
        <is>
          <t>Yıllık yenileme</t>
        </is>
      </c>
      <c r="E22" s="7" t="inlineStr">
        <is>
          <t>01.01.2026</t>
        </is>
      </c>
      <c r="F22" s="8" t="inlineStr">
        <is>
          <t>Sonraki risk değerlendirme</t>
        </is>
      </c>
    </row>
    <row r="23">
      <c r="A23" s="7" t="inlineStr">
        <is>
          <t>isg_olcekHedef</t>
        </is>
      </c>
      <c r="B23" s="27" t="n">
        <v>5000</v>
      </c>
      <c r="C23" s="7" t="inlineStr">
        <is>
          <t>satir</t>
        </is>
      </c>
      <c r="D23" s="7" t="inlineStr">
        <is>
          <t>Manda A4 Ö1</t>
        </is>
      </c>
      <c r="E23" s="7" t="inlineStr">
        <is>
          <t>01.01.2026</t>
        </is>
      </c>
      <c r="F23" s="8" t="inlineStr">
        <is>
          <t>Ölçek sözleşmesi</t>
        </is>
      </c>
    </row>
    <row r="24">
      <c r="A24" s="7" t="inlineStr">
        <is>
          <t>isg_azamiSkor</t>
        </is>
      </c>
      <c r="B24" s="27" t="n">
        <v>500</v>
      </c>
      <c r="C24" s="7" t="inlineStr">
        <is>
          <t>skor</t>
        </is>
      </c>
      <c r="D24" s="7" t="inlineStr">
        <is>
          <t>İç politika — uç değer</t>
        </is>
      </c>
      <c r="E24" s="7" t="inlineStr">
        <is>
          <t>01.01.2026</t>
        </is>
      </c>
      <c r="F24" s="8" t="inlineStr">
        <is>
          <t>Azami makul</t>
        </is>
      </c>
    </row>
    <row r="25">
      <c r="A25" s="7" t="inlineStr">
        <is>
          <t>isg_dosyaSurumu</t>
        </is>
      </c>
      <c r="B25" s="26" t="inlineStr">
        <is>
          <t>1.0.0</t>
        </is>
      </c>
      <c r="C25" s="7" t="inlineStr">
        <is>
          <t>metin</t>
        </is>
      </c>
      <c r="D25" s="7" t="inlineStr">
        <is>
          <t>Sürüm yönetimi</t>
        </is>
      </c>
      <c r="E25" s="7" t="inlineStr">
        <is>
          <t>01.01.2026</t>
        </is>
      </c>
      <c r="F25" s="8" t="inlineStr">
        <is>
          <t>Ürün sürümü</t>
        </is>
      </c>
    </row>
    <row r="26">
      <c r="A26" s="7" t="inlineStr">
        <is>
          <t>isg_firmaUnvan</t>
        </is>
      </c>
      <c r="B26" s="26" t="inlineStr">
        <is>
          <t>Örnek Üretim A.Ş.</t>
        </is>
      </c>
      <c r="C26" s="7" t="inlineStr">
        <is>
          <t>metin</t>
        </is>
      </c>
      <c r="D26" s="7" t="inlineStr">
        <is>
          <t>Kullanıcı girişi</t>
        </is>
      </c>
      <c r="E26" s="7" t="inlineStr">
        <is>
          <t>01.01.2026</t>
        </is>
      </c>
      <c r="F26" s="8" t="inlineStr">
        <is>
          <t>Firma</t>
        </is>
      </c>
    </row>
    <row r="27">
      <c r="A27" s="7" t="inlineStr">
        <is>
          <t>isg_puanlamaMatrisi</t>
        </is>
      </c>
      <c r="B27" s="26" t="inlineStr">
        <is>
          <t>L veya FK AYARLAR</t>
        </is>
      </c>
      <c r="C27" s="7" t="inlineStr">
        <is>
          <t>metin</t>
        </is>
      </c>
      <c r="D27" s="7" t="inlineStr">
        <is>
          <t>SPEC puanlama</t>
        </is>
      </c>
      <c r="E27" s="7" t="inlineStr">
        <is>
          <t>01.01.2026</t>
        </is>
      </c>
      <c r="F27" s="8" t="inlineStr">
        <is>
          <t>Puanlama matrisi kaynağı</t>
        </is>
      </c>
    </row>
    <row r="28">
      <c r="A28" s="7" t="inlineStr">
        <is>
          <t>isg_eylemDurum</t>
        </is>
      </c>
      <c r="B28" s="26" t="inlineStr">
        <is>
          <t>tblDurumHaritasi</t>
        </is>
      </c>
      <c r="C28" s="7" t="inlineStr">
        <is>
          <t>metin</t>
        </is>
      </c>
      <c r="D28" s="7" t="inlineStr">
        <is>
          <t>SPEC akis</t>
        </is>
      </c>
      <c r="E28" s="7" t="inlineStr">
        <is>
          <t>01.01.2026</t>
        </is>
      </c>
      <c r="F28" s="8" t="inlineStr">
        <is>
          <t>Eylem durum makinesi</t>
        </is>
      </c>
    </row>
    <row r="29">
      <c r="A29" s="7" t="inlineStr">
        <is>
          <t>isg_kvkkBeyani</t>
        </is>
      </c>
      <c r="B29" s="26" t="inlineStr">
        <is>
          <t>Kişisel veri toplanmaz; dosya çevrimdışı ve makrosuzdur.</t>
        </is>
      </c>
      <c r="C29" s="7" t="inlineStr">
        <is>
          <t>metin</t>
        </is>
      </c>
      <c r="D29" s="7" t="inlineStr">
        <is>
          <t>KVKK beyanı</t>
        </is>
      </c>
      <c r="E29" s="7" t="inlineStr">
        <is>
          <t>01.01.2026</t>
        </is>
      </c>
      <c r="F29" s="8" t="inlineStr">
        <is>
          <t>KVKK / çevrimdışı beyan</t>
        </is>
      </c>
    </row>
    <row r="30"/>
    <row r="31"/>
    <row r="32">
      <c r="H32" s="5" t="inlineStr">
        <is>
          <t>Durum Haritası</t>
        </is>
      </c>
    </row>
    <row r="33" ht="30" customHeight="1">
      <c r="H33" s="25" t="inlineStr">
        <is>
          <t>durum_id</t>
        </is>
      </c>
      <c r="I33" s="25" t="inlineStr">
        <is>
          <t>durum_adi</t>
        </is>
      </c>
      <c r="J33" s="25" t="inlineStr">
        <is>
          <t>sira</t>
        </is>
      </c>
      <c r="K33" s="25" t="inlineStr">
        <is>
          <t>izinli_sonraki_durumlar</t>
        </is>
      </c>
      <c r="L33" s="25" t="inlineStr">
        <is>
          <t>kategori</t>
        </is>
      </c>
    </row>
    <row r="34">
      <c r="H34" s="7" t="inlineStr">
        <is>
          <t>PLANLANDI</t>
        </is>
      </c>
      <c r="I34" s="7" t="inlineStr">
        <is>
          <t>Planlandı</t>
        </is>
      </c>
      <c r="J34" s="20" t="n">
        <v>1</v>
      </c>
      <c r="K34" s="7" t="inlineStr">
        <is>
          <t>DEVAM|IPTAL</t>
        </is>
      </c>
      <c r="L34" s="7" t="inlineStr">
        <is>
          <t>acik</t>
        </is>
      </c>
    </row>
    <row r="35">
      <c r="H35" s="7" t="inlineStr">
        <is>
          <t>DEVAM</t>
        </is>
      </c>
      <c r="I35" s="7" t="inlineStr">
        <is>
          <t>Devam</t>
        </is>
      </c>
      <c r="J35" s="20" t="n">
        <v>2</v>
      </c>
      <c r="K35" s="7" t="inlineStr">
        <is>
          <t>BEKLIYOR|TAMAMLANDI|IPTAL</t>
        </is>
      </c>
      <c r="L35" s="7" t="inlineStr">
        <is>
          <t>acik</t>
        </is>
      </c>
    </row>
    <row r="36">
      <c r="H36" s="7" t="inlineStr">
        <is>
          <t>BEKLIYOR</t>
        </is>
      </c>
      <c r="I36" s="7" t="inlineStr">
        <is>
          <t>Bekliyor</t>
        </is>
      </c>
      <c r="J36" s="20" t="n">
        <v>3</v>
      </c>
      <c r="K36" s="7" t="inlineStr">
        <is>
          <t>DEVAM|TAMAMLANDI|IPTAL</t>
        </is>
      </c>
      <c r="L36" s="7" t="inlineStr">
        <is>
          <t>acik</t>
        </is>
      </c>
    </row>
    <row r="37">
      <c r="H37" s="7" t="inlineStr">
        <is>
          <t>TAMAMLANDI</t>
        </is>
      </c>
      <c r="I37" s="7" t="inlineStr">
        <is>
          <t>Tamamlandı</t>
        </is>
      </c>
      <c r="J37" s="20" t="n">
        <v>4</v>
      </c>
      <c r="K37" s="7" t="inlineStr"/>
      <c r="L37" s="7" t="inlineStr">
        <is>
          <t>kapali</t>
        </is>
      </c>
    </row>
    <row r="38">
      <c r="H38" s="7" t="inlineStr">
        <is>
          <t>IPTAL</t>
        </is>
      </c>
      <c r="I38" s="7" t="inlineStr">
        <is>
          <t>İptal</t>
        </is>
      </c>
      <c r="J38" s="20" t="n">
        <v>5</v>
      </c>
      <c r="K38" s="7" t="inlineStr"/>
      <c r="L38" s="7" t="inlineStr">
        <is>
          <t>kapali</t>
        </is>
      </c>
    </row>
    <row r="39"/>
    <row r="40"/>
    <row r="41">
      <c r="H41" s="16" t="inlineStr">
        <is>
          <t>Motor Çıktıları</t>
        </is>
      </c>
    </row>
    <row r="42">
      <c r="H42" s="29" t="inlineStr">
        <is>
          <t>anahtar</t>
        </is>
      </c>
      <c r="I42" s="29" t="inlineStr">
        <is>
          <t>deger</t>
        </is>
      </c>
    </row>
    <row r="43">
      <c r="H43" s="7" t="inlineStr">
        <is>
          <t>isg_tehlikeAdet</t>
        </is>
      </c>
      <c r="I43" s="8">
        <f>DEGERLENDIRME!C6</f>
        <v/>
      </c>
    </row>
    <row r="44">
      <c r="H44" s="7" t="inlineStr">
        <is>
          <t>isg_kritikAdet</t>
        </is>
      </c>
      <c r="I44" s="8">
        <f>DEGERLENDIRME!C16</f>
        <v/>
      </c>
    </row>
    <row r="45">
      <c r="H45" s="7" t="inlineStr">
        <is>
          <t>isg_ortalamaSkor</t>
        </is>
      </c>
      <c r="I45" s="8">
        <f>DEGERLENDIRME!C10</f>
        <v/>
      </c>
    </row>
    <row r="46">
      <c r="H46" s="7" t="inlineStr">
        <is>
          <t>isg_uyumOrani</t>
        </is>
      </c>
      <c r="I46" s="8">
        <f>DEGERLENDIRME!C51</f>
        <v/>
      </c>
    </row>
    <row r="47">
      <c r="H47" s="7" t="inlineStr">
        <is>
          <t>isg_acikAdet</t>
        </is>
      </c>
      <c r="I47" s="8">
        <f>DEGERLENDIRME!C26</f>
        <v/>
      </c>
    </row>
    <row r="48">
      <c r="H48" s="7" t="inlineStr">
        <is>
          <t>isg_gecikenAdet</t>
        </is>
      </c>
      <c r="I48" s="8">
        <f>DEGERLENDIRME!C38</f>
        <v/>
      </c>
    </row>
    <row r="49">
      <c r="H49" s="7" t="inlineStr">
        <is>
          <t>isg_yetimKayit</t>
        </is>
      </c>
      <c r="I49" s="8">
        <f>DEGERLENDIRME!C29</f>
        <v/>
      </c>
    </row>
    <row r="50">
      <c r="H50" s="7" t="inlineStr">
        <is>
          <t>isg_gecersizGecis</t>
        </is>
      </c>
      <c r="I50" s="8">
        <f>DEGERLENDIRME!C30</f>
        <v/>
      </c>
    </row>
    <row r="51">
      <c r="H51" s="7" t="inlineStr">
        <is>
          <t>isg_zincirKirik</t>
        </is>
      </c>
      <c r="I51" s="8">
        <f>DEGERLENDIRME!C31</f>
        <v/>
      </c>
    </row>
    <row r="52">
      <c r="H52" s="7" t="inlineStr">
        <is>
          <t>isg_eylemYas</t>
        </is>
      </c>
      <c r="I52" s="8">
        <f>DEGERLENDIRME!C53</f>
        <v/>
      </c>
    </row>
    <row r="53">
      <c r="H53" s="7" t="inlineStr">
        <is>
          <t>isg_tahminAralik</t>
        </is>
      </c>
      <c r="I53" s="8">
        <f>DEGERLENDIRME!C50</f>
        <v/>
      </c>
    </row>
    <row r="54">
      <c r="H54" s="7" t="inlineStr">
        <is>
          <t>isg_senaryoKarsilastirma</t>
        </is>
      </c>
      <c r="I54" s="8">
        <f>DEGERLENDIRME!C44</f>
        <v/>
      </c>
    </row>
    <row r="55">
      <c r="H55" s="7" t="inlineStr">
        <is>
          <t>isg_tornadoZirve</t>
        </is>
      </c>
      <c r="I55" s="8">
        <f>DEGERLENDIRME!C45</f>
        <v/>
      </c>
    </row>
    <row r="56">
      <c r="H56" s="7" t="inlineStr">
        <is>
          <t>isg_eylemOncelik</t>
        </is>
      </c>
      <c r="I56" s="8">
        <f>DEGERLENDIRME!C46</f>
        <v/>
      </c>
    </row>
    <row r="57">
      <c r="H57" s="7" t="inlineStr">
        <is>
          <t>isg_paretoKritik</t>
        </is>
      </c>
      <c r="I57" s="8">
        <f>DEGERLENDIRME!C47</f>
        <v/>
      </c>
    </row>
    <row r="58">
      <c r="H58" s="7" t="inlineStr">
        <is>
          <t>isg_gecikmeMaliyeti</t>
        </is>
      </c>
      <c r="I58" s="8">
        <f>DEGERLENDIRME!C40</f>
        <v/>
      </c>
    </row>
    <row r="59">
      <c r="H59" s="7" t="inlineStr">
        <is>
          <t>isg_anomaliSayisi</t>
        </is>
      </c>
      <c r="I59" s="8">
        <f>DEGERLENDIRME!C52</f>
        <v/>
      </c>
    </row>
    <row r="60">
      <c r="H60" s="7" t="inlineStr">
        <is>
          <t>isg_skorDagilim</t>
        </is>
      </c>
      <c r="I60" s="8">
        <f>DEGERLENDIRME!C54</f>
        <v/>
      </c>
    </row>
    <row r="61">
      <c r="H61" s="7" t="inlineStr">
        <is>
          <t>isg_kapaliDusum</t>
        </is>
      </c>
      <c r="I61" s="8">
        <f>DEGERLENDIRME!C60</f>
        <v/>
      </c>
    </row>
    <row r="62">
      <c r="H62" s="7" t="inlineStr">
        <is>
          <t>isg_kuyrukOzeti</t>
        </is>
      </c>
      <c r="I62" s="8">
        <f>DEGERLENDIRME!C55</f>
        <v/>
      </c>
    </row>
    <row r="63">
      <c r="H63" s="7" t="inlineStr">
        <is>
          <t>isg_maddeAtif</t>
        </is>
      </c>
      <c r="I63" s="8">
        <f>DEGERLENDIRME!C58</f>
        <v/>
      </c>
    </row>
    <row r="64">
      <c r="H64" s="7" t="inlineStr">
        <is>
          <t>isg_yenilemeTakvim</t>
        </is>
      </c>
      <c r="I64" s="8">
        <f>isg_yenilemeTarihi</f>
        <v/>
      </c>
    </row>
    <row r="65">
      <c r="H65" s="7" t="inlineStr">
        <is>
          <t>isg_revizyonGecmisi</t>
        </is>
      </c>
      <c r="I65" s="8">
        <f>_xlfn.TEXTJOIN(" | ",TRUE,"Sürüm",isg_dosyaSurumu,"Rapor",TEXT(raporTarihi,"dd.mm.yyyy"))</f>
        <v/>
      </c>
    </row>
    <row r="66">
      <c r="H66" s="7" t="inlineStr">
        <is>
          <t>isg_kanitRaporu</t>
        </is>
      </c>
      <c r="I66" s="8">
        <f>_xlfn.TEXTJOIN(" | ",TRUE,"Tehlike",DEGERLENDIRME!C6,"Kritik",DEGERLENDIRME!C16,"Yetim",DEGERLENDIRME!C29,"Uyum",TEXT(DEGERLENDIRME!C51,"0%"))</f>
        <v/>
      </c>
    </row>
    <row r="67">
      <c r="H67" s="7" t="inlineStr">
        <is>
          <t>isg_sonrakiKimlik</t>
        </is>
      </c>
      <c r="I67" s="8">
        <f>"TEH-"&amp;TEXT(COUNTA(tblEnvanter[TehlikeId])+1,"00000")</f>
        <v/>
      </c>
    </row>
    <row r="68"/>
    <row r="69">
      <c r="H69" s="16" t="inlineStr">
        <is>
          <t>Yorumlar</t>
        </is>
      </c>
    </row>
    <row r="70">
      <c r="H70" s="7" t="inlineStr">
        <is>
          <t>isg_yorumEylemYas</t>
        </is>
      </c>
      <c r="I70" s="8">
        <f>_xlfn.TEXTJOIN(" ",TRUE,"Yaş kovaları",isg_eylemYas)</f>
        <v/>
      </c>
    </row>
    <row r="71">
      <c r="H71" s="7" t="inlineStr">
        <is>
          <t>isg_yorumGecikme</t>
        </is>
      </c>
      <c r="I71" s="8">
        <f>_xlfn.TEXTJOIN(" ",TRUE,"Gecikme maliyeti",TEXT(isg_gecikmeMaliyeti,"0.00"),"TL")</f>
        <v/>
      </c>
    </row>
    <row r="72">
      <c r="H72" s="7" t="inlineStr">
        <is>
          <t>isg_yorumTahmin</t>
        </is>
      </c>
      <c r="I72" s="8">
        <f>_xlfn.TEXTJOIN(" ",TRUE,"Tahmin aralık",TEXT(isg_tahminAralik,"0.00"))</f>
        <v/>
      </c>
    </row>
    <row r="73">
      <c r="H73" s="7" t="inlineStr">
        <is>
          <t>isg_yorumSenaryo</t>
        </is>
      </c>
      <c r="I73" s="8">
        <f>_xlfn.TEXTJOIN(" ",TRUE,"Senaryo farkı",TEXT(isg_senaryoKarsilastirma,"0.00"))</f>
        <v/>
      </c>
    </row>
    <row r="74">
      <c r="H74" s="7" t="inlineStr">
        <is>
          <t>isg_yorumTornado</t>
        </is>
      </c>
      <c r="I74" s="8">
        <f>_xlfn.TEXTJOIN(" ",TRUE,"Tornado zirve",TEXT(isg_tornadoZirve,"0.00"))</f>
        <v/>
      </c>
    </row>
    <row r="75">
      <c r="H75" s="7" t="inlineStr">
        <is>
          <t>isg_yorumOncelik</t>
        </is>
      </c>
      <c r="I75" s="8">
        <f>_xlfn.TEXTJOIN(" ",TRUE,"Eylem öncelik havuzu",TEXT(isg_eylemOncelik,"0.00"),"TL")</f>
        <v/>
      </c>
    </row>
    <row r="76">
      <c r="H76" s="7" t="inlineStr">
        <is>
          <t>isg_yorumPareto</t>
        </is>
      </c>
      <c r="I76" s="8">
        <f>_xlfn.TEXTJOIN(" ",TRUE,"Pareto kritik payı",TEXT(isg_paretoKritik,"0.0%"))</f>
        <v/>
      </c>
    </row>
    <row r="77">
      <c r="H77" s="7" t="inlineStr">
        <is>
          <t>isg_yorumAnomali</t>
        </is>
      </c>
      <c r="I77" s="8">
        <f>_xlfn.TEXTJOIN(" ",TRUE,"Anomali sayısı",isg_anomaliSayisi)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5">
    <dataValidation sqref="B8" showDropDown="0" showInputMessage="1" showErrorMessage="1" allowBlank="1" errorTitle="Liste" error="L veya FK" promptTitle="Matris Tipi" prompt="L veya FK seçin" type="list" errorStyle="stop">
      <formula1>ListeMatris</formula1>
    </dataValidation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13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KILAVUZ — İSG Risk Değerlendirme Pro (6331)</t>
        </is>
      </c>
    </row>
    <row r="2"/>
    <row r="3" ht="22" customHeight="1">
      <c r="A3" s="200" t="inlineStr">
        <is>
          <t>Kullanım Kılavuzu</t>
        </is>
      </c>
    </row>
    <row r="4"/>
    <row r="5">
      <c r="A5" s="8" t="inlineStr">
        <is>
          <t>1. ENVANTER sayfasına tehlikeleri girin; sonraki kimliği kullanın.</t>
        </is>
      </c>
    </row>
    <row r="6">
      <c r="A6" s="8" t="inlineStr">
        <is>
          <t>2. AYARLAR'da isg_matrisTipi alanından L (L-matris) veya FK (Fine-Kinney) seçin.</t>
        </is>
      </c>
    </row>
    <row r="7">
      <c r="A7" s="8" t="inlineStr">
        <is>
          <t>3. EYLEM_PLANI'nda her kontrol eylemini yazın; durum kolonunu listeden seçin.</t>
        </is>
      </c>
    </row>
    <row r="8">
      <c r="A8" s="8" t="inlineStr">
        <is>
          <t>4. Önceki durum boş bırakılırsa geçiş uyarısı çalışmaz; bilinçli geçişte doldurun.</t>
        </is>
      </c>
    </row>
    <row r="9">
      <c r="A9" s="8" t="inlineStr">
        <is>
          <t>5. Geçersiz geçiş engellenmez — kırmızı uyarı üretir (makrosuz kural).</t>
        </is>
      </c>
    </row>
    <row r="10">
      <c r="A10" s="8" t="inlineStr">
        <is>
          <t>6. Kapalı durumlar (Tamamlandı/İptal) açık kuyruklardan düşer.</t>
        </is>
      </c>
    </row>
    <row r="11">
      <c r="A11" s="8" t="inlineStr">
        <is>
          <t>7. raporTarihi AYARLAR'dadır; TODAY kullanılmaz.</t>
        </is>
      </c>
    </row>
    <row r="12">
      <c r="A12" s="8" t="inlineStr">
        <is>
          <t>8. Koruma şifresi: 1234 — formül hücreleri kilitli, sarı hücreler açıktır.</t>
        </is>
      </c>
    </row>
    <row r="13">
      <c r="A13" s="8" t="inlineStr">
        <is>
          <t>9. KANIT_RAPORU sayfasını PDF olarak yazdırabilirsiniz.</t>
        </is>
      </c>
    </row>
    <row r="14">
      <c r="A14" s="8" t="inlineStr">
        <is>
          <t>10. BELİRSİZLİK — matris_secimi_L_vs_FK: L-matris ile Fine-Kinney aynı girdide farklı skor üretir; hangi matrisin seçildiği AYARLAR.isg_matrisTipi ile kayıtlıdır. Denetimde matrisi ve eşikleri açıkça belirtin.</t>
        </is>
      </c>
    </row>
    <row r="15">
      <c r="A15" s="8" t="inlineStr">
        <is>
          <t>11.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5:J5"/>
    <mergeCell ref="A8:J8"/>
    <mergeCell ref="A14:J14"/>
    <mergeCell ref="A6:J6"/>
    <mergeCell ref="A9:J9"/>
    <mergeCell ref="A1:I1"/>
    <mergeCell ref="A12:J12"/>
    <mergeCell ref="A7:J7"/>
    <mergeCell ref="A15:J15"/>
    <mergeCell ref="A3:I3"/>
    <mergeCell ref="A10:J10"/>
    <mergeCell ref="A13:J13"/>
    <mergeCell ref="A11:J11"/>
  </mergeCells>
  <dataValidations count="11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2026-08-10T21:17:48Z</dcterms:created>
  <dcterms:modified xmlns:dcterms="http://purl.org/dc/terms/" xmlns:xsi="http://www.w3.org/2001/XMLSchema-instance" xsi:type="dcterms:W3CDTF">2026-09-25T21:22:37Z</dcterms:modified>
</cp:coreProperties>
</file>