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LER" sheetId="12" state="visible" r:id="rId12"/>
    <sheet xmlns:r="http://schemas.openxmlformats.org/officeDocument/2006/relationships" name="MASRAF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nomaliOrani" hidden="0" function="0" vbProcedure="0">MOTOR!$B$23</definedName>
    <definedName name="AnomaliUrunAdedi" hidden="0" function="0" vbProcedure="0">MOTOR!$B$22</definedName>
    <definedName name="AnomaliZEsik" hidden="0" function="0" vbProcedure="0">AYARLAR!$C$17</definedName>
    <definedName name="BolumPaydaTaban" hidden="0" function="0" vbProcedure="0">AYARLAR!$C$14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AYARLAR!$C$27</definedName>
    <definedName name="FAIL_Sayisi" hidden="0" function="0" vbProcedure="0">KONTROL!$B$17</definedName>
    <definedName name="firmaUnvani" hidden="0" function="0" vbProcedure="0">AYARLAR!$C$6</definedName>
    <definedName name="GumrukOranVarsayilan" hidden="0" function="0" vbProcedure="0">AYARLAR!$C$10</definedName>
    <definedName name="HhiYuksekEsik" hidden="0" function="0" vbProcedure="0">AYARLAR!$C$33</definedName>
    <definedName name="IskontoOrani" hidden="0" function="0" vbProcedure="0">AYARLAR!$C$31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AYARLAR!$C$24</definedName>
    <definedName name="KdvOranVarsayilan" hidden="0" function="0" vbProcedure="0">AYARLAR!$C$12</definedName>
    <definedName name="MaliyetFaktorEsik" hidden="0" function="0" vbProcedure="0">AYARLAR!$C$16</definedName>
    <definedName name="MaliyetFaktoru" hidden="0" function="0" vbProcedure="0">MOTOR!$B$20</definedName>
    <definedName name="modulI1MaliyetTahmin" hidden="0" function="0" vbProcedure="0">MOTOR!$B$38</definedName>
    <definedName name="modulI1MaliyetTahminYorum" hidden="0" function="0" vbProcedure="0">MOTOR!$C$55</definedName>
    <definedName name="modulI2MaliyetP90" hidden="0" function="0" vbProcedure="0">MOTOR!$B$39</definedName>
    <definedName name="modulI2MaliyetP90Yorum" hidden="0" function="0" vbProcedure="0">MOTOR!$C$56</definedName>
    <definedName name="modulI3MaliyetNpv" hidden="0" function="0" vbProcedure="0">MOTOR!$B$40</definedName>
    <definedName name="modulI3MaliyetNpvYorum" hidden="0" function="0" vbProcedure="0">MOTOR!$C$57</definedName>
    <definedName name="modulI7NakitAcik" hidden="0" function="0" vbProcedure="0">MOTOR!$B$41</definedName>
    <definedName name="modulI7NakitAcikYorum" hidden="0" function="0" vbProcedure="0">MOTOR!$C$58</definedName>
    <definedName name="modulO1AnomaliOran" hidden="0" function="0" vbProcedure="0">MOTOR!$B$32</definedName>
    <definedName name="modulO1AnomaliYorum" hidden="0" function="0" vbProcedure="0">MOTOR!$C$49</definedName>
    <definedName name="modulO2TornadoYorum" hidden="0" function="0" vbProcedure="0">MOTOR!$C$50</definedName>
    <definedName name="modulO2TornadoZirve" hidden="0" function="0" vbProcedure="0">MOTOR!$B$33</definedName>
    <definedName name="modulO3SenaryoFark" hidden="0" function="0" vbProcedure="0">MOTOR!$B$34</definedName>
    <definedName name="modulO3SenaryoYorum" hidden="0" function="0" vbProcedure="0">MOTOR!$C$51</definedName>
    <definedName name="modulO4NakitEtkiOran" hidden="0" function="0" vbProcedure="0">MOTOR!$B$35</definedName>
    <definedName name="modulO4NakitEtkiYorum" hidden="0" function="0" vbProcedure="0">MOTOR!$C$52</definedName>
    <definedName name="modulO6MaliyetHhi" hidden="0" function="0" vbProcedure="0">MOTOR!$B$36</definedName>
    <definedName name="modulO6MaliyetHhiYorum" hidden="0" function="0" vbProcedure="0">MOTOR!$C$53</definedName>
    <definedName name="modulO8KaliteSkoru" hidden="0" function="0" vbProcedure="0">MOTOR!$B$37</definedName>
    <definedName name="modulO8KaliteYorum" hidden="0" function="0" vbProcedure="0">MOTOR!$C$54</definedName>
    <definedName name="modulT1BirimMaliyetOrt" hidden="0" function="0" vbProcedure="0">MOTOR!$B$26</definedName>
    <definedName name="modulT1BirimMaliyetYorum" hidden="0" function="0" vbProcedure="0">MOTOR!$C$43</definedName>
    <definedName name="modulT2MaliyetEgim" hidden="0" function="0" vbProcedure="0">MOTOR!$B$27</definedName>
    <definedName name="modulT2MaliyetEgimYorum" hidden="0" function="0" vbProcedure="0">MOTOR!$C$44</definedName>
    <definedName name="modulT3ParetoPay" hidden="0" function="0" vbProcedure="0">MOTOR!$B$28</definedName>
    <definedName name="modulT3ParetoYorum" hidden="0" function="0" vbProcedure="0">MOTOR!$C$45</definedName>
    <definedName name="modulT4DonemFark" hidden="0" function="0" vbProcedure="0">MOTOR!$B$29</definedName>
    <definedName name="modulT4DonemFarkYorum" hidden="0" function="0" vbProcedure="0">MOTOR!$C$46</definedName>
    <definedName name="modulT5MutabakatFark" hidden="0" function="0" vbProcedure="0">MOTOR!$B$30</definedName>
    <definedName name="modulT5MutabakatYorum" hidden="0" function="0" vbProcedure="0">MOTOR!$C$47</definedName>
    <definedName name="modulT6VergiYukOran" hidden="0" function="0" vbProcedure="0">MOTOR!$B$31</definedName>
    <definedName name="modulT6VergiYukYorum" hidden="0" function="0" vbProcedure="0">MOTOR!$C$48</definedName>
    <definedName name="MutabakatEsikOran" hidden="0" function="0" vbProcedure="0">AYARLAR!$C$18</definedName>
    <definedName name="NavlunSigortaOranVarsayilan" hidden="0" function="0" vbProcedure="0">AYARLAR!$C$13</definedName>
    <definedName name="NpvEsikOran" hidden="0" function="0" vbProcedure="0">AYARLAR!$C$34</definedName>
    <definedName name="OncekiKur" hidden="0" function="0" vbProcedure="0">AYARLAR!$C$9</definedName>
    <definedName name="OrtalamaKur" hidden="0" function="0" vbProcedure="0">MOTOR!$B$18</definedName>
    <definedName name="OrtalamaNetBirimMaliyet" hidden="0" function="0" vbProcedure="0">MOTOR!$B$19</definedName>
    <definedName name="OtvOranVarsayilan" hidden="0" function="0" vbProcedure="0">AYARLAR!$C$11</definedName>
    <definedName name="P90Kuantil" hidden="0" function="0" vbProcedure="0">AYARLAR!$C$30</definedName>
    <definedName name="ParetoEsikOran" hidden="0" function="0" vbProcedure="0">AYARLAR!$C$28</definedName>
    <definedName name="PASS_Sayisi" hidden="0" function="0" vbProcedure="0">KONTROL!$B$16</definedName>
    <definedName name="PesinOdemeTutari" hidden="0" function="0" vbProcedure="0">AYARLAR!$C$32</definedName>
    <definedName name="raporTarihi" hidden="0" function="0" vbProcedure="0">AYARLAR!$C$7</definedName>
    <definedName name="SenaryoEtkiEsik" hidden="0" function="0" vbProcedure="0">AYARLAR!$C$29</definedName>
    <definedName name="SenaryoIyimserKat" hidden="0" function="0" vbProcedure="0">AYARLAR!$C$26</definedName>
    <definedName name="SenaryoKotumserKat" hidden="0" function="0" vbProcedure="0">AYARLAR!$C$25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VergiIyimser" hidden="0" function="0" vbProcedure="0">SENARYO_DUYARLILIK!$D$8</definedName>
    <definedName name="SenaryoVergiKotumser" hidden="0" function="0" vbProcedure="0">SENARYO_DUYARLILIK!$B$8</definedName>
    <definedName name="ToplamAdet" hidden="0" function="0" vbProcedure="0">MOTOR!$B$8</definedName>
    <definedName name="ToplamCIF" hidden="0" function="0" vbProcedure="0">MOTOR!$B$11</definedName>
    <definedName name="ToplamDepoTeslimMaliyeti" hidden="0" function="0" vbProcedure="0">MOTOR!$B$17</definedName>
    <definedName name="ToplamFOB" hidden="0" function="0" vbProcedure="0">MOTOR!$B$9</definedName>
    <definedName name="ToplamGumrukVergisi" hidden="0" function="0" vbProcedure="0">MOTOR!$B$12</definedName>
    <definedName name="ToplamKdv" hidden="0" function="0" vbProcedure="0">MOTOR!$B$14</definedName>
    <definedName name="ToplamNavlunSigorta" hidden="0" function="0" vbProcedure="0">MOTOR!$B$10</definedName>
    <definedName name="ToplamOtv" hidden="0" function="0" vbProcedure="0">MOTOR!$B$13</definedName>
    <definedName name="ToplamUrunSayisi" hidden="0" function="0" vbProcedure="0">MOTOR!$B$7</definedName>
    <definedName name="ToplamVergi" hidden="0" function="0" vbProcedure="0">MOTOR!$B$15</definedName>
    <definedName name="ToplamYurtIciMasraf" hidden="0" function="0" vbProcedure="0">MOTOR!$B$16</definedName>
    <definedName name="VarsayilanKur" hidden="0" function="0" vbProcedure="0">AYARLAR!$C$8</definedName>
    <definedName name="VergiYukEsik" hidden="0" function="0" vbProcedure="0">AYARLAR!$C$15</definedName>
    <definedName name="VergiYukOrani" hidden="0" function="0" vbProcedure="0">MOTOR!$B$21</definedName>
    <definedName name="VeriKaliteFailCeza" hidden="0" function="0" vbProcedure="0">AYARLAR!$C$22</definedName>
    <definedName name="VeriKaliteIyiEsik" hidden="0" function="0" vbProcedure="0">AYARLAR!$C$19</definedName>
    <definedName name="VeriKaliteOrtaEsik" hidden="0" function="0" vbProcedure="0">AYARLAR!$C$20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AYARLAR!$C$21</definedName>
    <definedName name="VeriKaliteUyariCeza" hidden="0" function="0" vbProcedure="0">AYARLAR!$C$23</definedName>
    <definedName name="WARN_Sayisi" hidden="0" function="0" vbProcedure="0">KONTROL!$B$18</definedName>
    <definedName name="_xlnm.Print_Area" localSheetId="17">'RAPOR'!$A$1:$F$40</definedName>
    <definedName name="Birimler" localSheetId="23" hidden="0" function="0" vbProcedure="0">LISTELER!$B$6:$B$10</definedName>
    <definedName name="DovizCinsleri" localSheetId="23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%;[RED]\(0.0%\);\-"/>
    <numFmt numFmtId="165" formatCode="&quot;₺ &quot;#,##0;[RED]&quot;(₺ &quot;#,##0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9" borderId="0" pivotButton="0" quotePrefix="0" xfId="0"/>
    <xf numFmtId="169" fontId="64" fillId="9" borderId="0" pivotButton="0" quotePrefix="0" xfId="0"/>
    <xf numFmtId="169" fontId="82" fillId="11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adı | Neden önemli: Maliyet satırının tanımı | Doğru giriş: Metin | Örnek: Hidrolik Pompa | Yanlışsa: Rapor okunmaz</t>
      </text>
    </comment>
    <comment ref="B6" authorId="0" shapeId="0">
      <text>
        <t>Tanım: Birim | Neden önemli: Adet ve birim maliyetin birimi | Doğru giriş: Liste | Örnek: Adet | Yanlışsa: Birim maliyet karışır</t>
      </text>
    </comment>
    <comment ref="C6" authorId="0" shapeId="0">
      <text>
        <t>Tanım: Adet | Neden önemli: Birim maliyetin paydası | Doğru giriş: Sayı | Örnek: 50 | Yanlışsa: Net birim maliyet bozulur</t>
      </text>
    </comment>
    <comment ref="D6" authorId="0" shapeId="0">
      <text>
        <t>Tanım: FOB birim fiyat (döviz) | Neden önemli: Vergi matrahı zincirinin tabanı | Doğru giriş: Sayı | Örnek: 120 | Yanlışsa: Tüm zincir bozulur</t>
      </text>
    </comment>
    <comment ref="E6" authorId="0" shapeId="0">
      <text>
        <t>Tanım: Döviz cinsi | Neden önemli: Kur ile TL çevrimi | Doğru giriş: Liste | Örnek: USD | Yanlışsa: TL maliyet yanlış olur</t>
      </text>
    </comment>
    <comment ref="F6" authorId="0" shapeId="0">
      <text>
        <t>Tanım: Kur | Neden önemli: FOB TL hesabı | Doğru giriş: Sayı | Örnek: 38.50 | Yanlışsa: TL maliyet yanlış olur</t>
      </text>
    </comment>
    <comment ref="G6" authorId="0" shapeId="0">
      <text>
        <t>Tanım: Navlun/sigorta oranı | Neden önemli: CIF değerini belirler | Doğru giriş: Yüzde | Örnek: 0.05 | Yanlışsa: CIF eksik kalır</t>
      </text>
    </comment>
    <comment ref="H6" authorId="0" shapeId="0">
      <text>
        <t>Tanım: Gümrük vergisi oranı | Neden önemli: CIF üzerinden tahakkuk eder | Doğru giriş: Yüzde | Örnek: 0.05 | Yanlışsa: Vergi yükü yanlış olur</t>
      </text>
    </comment>
    <comment ref="I6" authorId="0" shapeId="0">
      <text>
        <t>Tanım: ÖTV oranı | Neden önemli: (CIF + GV) üzerinden uygulanır | Doğru giriş: Yüzde | Örnek: 0.10 | Yanlışsa: ÖTV matrahı bozulur</t>
      </text>
    </comment>
    <comment ref="J6" authorId="0" shapeId="0">
      <text>
        <t>Tanım: KDV oranı | Neden önemli: (CIF + GV + ÖTV) üzerinden uygulanır | Doğru giriş: Yüzde | Örnek: 0.20 | Yanlışsa: KDV matrahı bozulur</t>
      </text>
    </comment>
    <comment ref="A7" authorId="0" shapeId="0">
      <text>
        <t>Tanım: Ürün adı | Neden önemli: Maliyet satırının tanımı | Doğru giriş: Metin | Örnek: Hidrolik Pompa | Yanlışsa: Rapor okunmaz</t>
      </text>
    </comment>
    <comment ref="B7" authorId="0" shapeId="0">
      <text>
        <t>Tanım: Birim | Neden önemli: Adet ve birim maliyetin birimi | Doğru giriş: Liste | Örnek: Adet | Yanlışsa: Birim maliyet karışır</t>
      </text>
    </comment>
    <comment ref="C7" authorId="0" shapeId="0">
      <text>
        <t>Tanım: Adet | Neden önemli: Birim maliyetin paydası | Doğru giriş: Sayı | Örnek: 50 | Yanlışsa: Net birim maliyet bozulur</t>
      </text>
    </comment>
    <comment ref="D7" authorId="0" shapeId="0">
      <text>
        <t>Tanım: FOB birim fiyat (döviz) | Neden önemli: Vergi matrahı zincirinin tabanı | Doğru giriş: Sayı | Örnek: 120 | Yanlışsa: Tüm zincir bozulur</t>
      </text>
    </comment>
    <comment ref="E7" authorId="0" shapeId="0">
      <text>
        <t>Tanım: Döviz cinsi | Neden önemli: Kur ile TL çevrimi | Doğru giriş: Liste | Örnek: USD | Yanlışsa: TL maliyet yanlış olur</t>
      </text>
    </comment>
    <comment ref="F7" authorId="0" shapeId="0">
      <text>
        <t>Tanım: Kur | Neden önemli: FOB TL hesabı | Doğru giriş: Sayı | Örnek: 38.50 | Yanlışsa: TL maliyet yanlış olur</t>
      </text>
    </comment>
    <comment ref="G7" authorId="0" shapeId="0">
      <text>
        <t>Tanım: Navlun/sigorta oranı | Neden önemli: CIF değerini belirler | Doğru giriş: Yüzde | Örnek: 0.05 | Yanlışsa: CIF eksik kalır</t>
      </text>
    </comment>
    <comment ref="H7" authorId="0" shapeId="0">
      <text>
        <t>Tanım: Gümrük vergisi oranı | Neden önemli: CIF üzerinden tahakkuk eder | Doğru giriş: Yüzde | Örnek: 0.05 | Yanlışsa: Vergi yükü yanlış olur</t>
      </text>
    </comment>
    <comment ref="I7" authorId="0" shapeId="0">
      <text>
        <t>Tanım: ÖTV oranı | Neden önemli: (CIF + GV) üzerinden uygulanır | Doğru giriş: Yüzde | Örnek: 0.10 | Yanlışsa: ÖTV matrahı bozulur</t>
      </text>
    </comment>
    <comment ref="J7" authorId="0" shapeId="0">
      <text>
        <t>Tanım: KDV oranı | Neden önemli: (CIF + GV + ÖTV) üzerinden uygulanır | Doğru giriş: Yüzde | Örnek: 0.20 | Yanlışsa: KDV matrahı bozulur</t>
      </text>
    </comment>
    <comment ref="A8" authorId="0" shapeId="0">
      <text>
        <t>Tanım: Ürün adı | Neden önemli: Maliyet satırının tanımı | Doğru giriş: Metin | Örnek: Hidrolik Pompa | Yanlışsa: Rapor okunmaz</t>
      </text>
    </comment>
    <comment ref="B8" authorId="0" shapeId="0">
      <text>
        <t>Tanım: Birim | Neden önemli: Adet ve birim maliyetin birimi | Doğru giriş: Liste | Örnek: Adet | Yanlışsa: Birim maliyet karışır</t>
      </text>
    </comment>
    <comment ref="C8" authorId="0" shapeId="0">
      <text>
        <t>Tanım: Adet | Neden önemli: Birim maliyetin paydası | Doğru giriş: Sayı | Örnek: 50 | Yanlışsa: Net birim maliyet bozulur</t>
      </text>
    </comment>
    <comment ref="D8" authorId="0" shapeId="0">
      <text>
        <t>Tanım: FOB birim fiyat (döviz) | Neden önemli: Vergi matrahı zincirinin tabanı | Doğru giriş: Sayı | Örnek: 120 | Yanlışsa: Tüm zincir bozulur</t>
      </text>
    </comment>
    <comment ref="E8" authorId="0" shapeId="0">
      <text>
        <t>Tanım: Döviz cinsi | Neden önemli: Kur ile TL çevrimi | Doğru giriş: Liste | Örnek: USD | Yanlışsa: TL maliyet yanlış olur</t>
      </text>
    </comment>
    <comment ref="F8" authorId="0" shapeId="0">
      <text>
        <t>Tanım: Kur | Neden önemli: FOB TL hesabı | Doğru giriş: Sayı | Örnek: 38.50 | Yanlışsa: TL maliyet yanlış olur</t>
      </text>
    </comment>
    <comment ref="G8" authorId="0" shapeId="0">
      <text>
        <t>Tanım: Navlun/sigorta oranı | Neden önemli: CIF değerini belirler | Doğru giriş: Yüzde | Örnek: 0.05 | Yanlışsa: CIF eksik kalır</t>
      </text>
    </comment>
    <comment ref="H8" authorId="0" shapeId="0">
      <text>
        <t>Tanım: Gümrük vergisi oranı | Neden önemli: CIF üzerinden tahakkuk eder | Doğru giriş: Yüzde | Örnek: 0.05 | Yanlışsa: Vergi yükü yanlış olur</t>
      </text>
    </comment>
    <comment ref="I8" authorId="0" shapeId="0">
      <text>
        <t>Tanım: ÖTV oranı | Neden önemli: (CIF + GV) üzerinden uygulanır | Doğru giriş: Yüzde | Örnek: 0.10 | Yanlışsa: ÖTV matrahı bozulur</t>
      </text>
    </comment>
    <comment ref="J8" authorId="0" shapeId="0">
      <text>
        <t>Tanım: KDV oranı | Neden önemli: (CIF + GV + ÖTV) üzerinden uygulanır | Doğru giriş: Yüzde | Örnek: 0.20 | Yanlışsa: KDV matrahı bozulur</t>
      </text>
    </comment>
    <comment ref="A9" authorId="0" shapeId="0">
      <text>
        <t>Tanım: Ürün adı | Neden önemli: Maliyet satırının tanımı | Doğru giriş: Metin | Örnek: Hidrolik Pompa | Yanlışsa: Rapor okunmaz</t>
      </text>
    </comment>
    <comment ref="B9" authorId="0" shapeId="0">
      <text>
        <t>Tanım: Birim | Neden önemli: Adet ve birim maliyetin birimi | Doğru giriş: Liste | Örnek: Adet | Yanlışsa: Birim maliyet karışır</t>
      </text>
    </comment>
    <comment ref="C9" authorId="0" shapeId="0">
      <text>
        <t>Tanım: Adet | Neden önemli: Birim maliyetin paydası | Doğru giriş: Sayı | Örnek: 50 | Yanlışsa: Net birim maliyet bozulur</t>
      </text>
    </comment>
    <comment ref="D9" authorId="0" shapeId="0">
      <text>
        <t>Tanım: FOB birim fiyat (döviz) | Neden önemli: Vergi matrahı zincirinin tabanı | Doğru giriş: Sayı | Örnek: 120 | Yanlışsa: Tüm zincir bozulur</t>
      </text>
    </comment>
    <comment ref="E9" authorId="0" shapeId="0">
      <text>
        <t>Tanım: Döviz cinsi | Neden önemli: Kur ile TL çevrimi | Doğru giriş: Liste | Örnek: USD | Yanlışsa: TL maliyet yanlış olur</t>
      </text>
    </comment>
    <comment ref="F9" authorId="0" shapeId="0">
      <text>
        <t>Tanım: Kur | Neden önemli: FOB TL hesabı | Doğru giriş: Sayı | Örnek: 38.50 | Yanlışsa: TL maliyet yanlış olur</t>
      </text>
    </comment>
    <comment ref="G9" authorId="0" shapeId="0">
      <text>
        <t>Tanım: Navlun/sigorta oranı | Neden önemli: CIF değerini belirler | Doğru giriş: Yüzde | Örnek: 0.05 | Yanlışsa: CIF eksik kalır</t>
      </text>
    </comment>
    <comment ref="H9" authorId="0" shapeId="0">
      <text>
        <t>Tanım: Gümrük vergisi oranı | Neden önemli: CIF üzerinden tahakkuk eder | Doğru giriş: Yüzde | Örnek: 0.05 | Yanlışsa: Vergi yükü yanlış olur</t>
      </text>
    </comment>
    <comment ref="I9" authorId="0" shapeId="0">
      <text>
        <t>Tanım: ÖTV oranı | Neden önemli: (CIF + GV) üzerinden uygulanır | Doğru giriş: Yüzde | Örnek: 0.10 | Yanlışsa: ÖTV matrahı bozulur</t>
      </text>
    </comment>
    <comment ref="J9" authorId="0" shapeId="0">
      <text>
        <t>Tanım: KDV oranı | Neden önemli: (CIF + GV + ÖTV) üzerinden uygulanır | Doğru giriş: Yüzde | Örnek: 0.20 | Yanlışsa: KDV matrahı bozulur</t>
      </text>
    </comment>
    <comment ref="A10" authorId="0" shapeId="0">
      <text>
        <t>Tanım: Ürün adı | Neden önemli: Maliyet satırının tanımı | Doğru giriş: Metin | Örnek: Hidrolik Pompa | Yanlışsa: Rapor okunmaz</t>
      </text>
    </comment>
    <comment ref="B10" authorId="0" shapeId="0">
      <text>
        <t>Tanım: Birim | Neden önemli: Adet ve birim maliyetin birimi | Doğru giriş: Liste | Örnek: Adet | Yanlışsa: Birim maliyet karışır</t>
      </text>
    </comment>
    <comment ref="C10" authorId="0" shapeId="0">
      <text>
        <t>Tanım: Adet | Neden önemli: Birim maliyetin paydası | Doğru giriş: Sayı | Örnek: 50 | Yanlışsa: Net birim maliyet bozulur</t>
      </text>
    </comment>
    <comment ref="D10" authorId="0" shapeId="0">
      <text>
        <t>Tanım: FOB birim fiyat (döviz) | Neden önemli: Vergi matrahı zincirinin tabanı | Doğru giriş: Sayı | Örnek: 120 | Yanlışsa: Tüm zincir bozulur</t>
      </text>
    </comment>
    <comment ref="E10" authorId="0" shapeId="0">
      <text>
        <t>Tanım: Döviz cinsi | Neden önemli: Kur ile TL çevrimi | Doğru giriş: Liste | Örnek: USD | Yanlışsa: TL maliyet yanlış olur</t>
      </text>
    </comment>
    <comment ref="F10" authorId="0" shapeId="0">
      <text>
        <t>Tanım: Kur | Neden önemli: FOB TL hesabı | Doğru giriş: Sayı | Örnek: 38.50 | Yanlışsa: TL maliyet yanlış olur</t>
      </text>
    </comment>
    <comment ref="G10" authorId="0" shapeId="0">
      <text>
        <t>Tanım: Navlun/sigorta oranı | Neden önemli: CIF değerini belirler | Doğru giriş: Yüzde | Örnek: 0.05 | Yanlışsa: CIF eksik kalır</t>
      </text>
    </comment>
    <comment ref="H10" authorId="0" shapeId="0">
      <text>
        <t>Tanım: Gümrük vergisi oranı | Neden önemli: CIF üzerinden tahakkuk eder | Doğru giriş: Yüzde | Örnek: 0.05 | Yanlışsa: Vergi yükü yanlış olur</t>
      </text>
    </comment>
    <comment ref="I10" authorId="0" shapeId="0">
      <text>
        <t>Tanım: ÖTV oranı | Neden önemli: (CIF + GV) üzerinden uygulanır | Doğru giriş: Yüzde | Örnek: 0.10 | Yanlışsa: ÖTV matrahı bozulur</t>
      </text>
    </comment>
    <comment ref="J10" authorId="0" shapeId="0">
      <text>
        <t>Tanım: KDV oranı | Neden önemli: (CIF + GV + ÖTV) üzerinden uygulanır | Doğru giriş: Yüzde | Örnek: 0.20 | Yanlışsa: KDV matrahı bozulur</t>
      </text>
    </comment>
    <comment ref="A11" authorId="0" shapeId="0">
      <text>
        <t>Tanım: Ürün adı | Neden önemli: Maliyet satırının tanımı | Doğru giriş: Metin | Örnek: Hidrolik Pompa | Yanlışsa: Rapor okunmaz</t>
      </text>
    </comment>
    <comment ref="B11" authorId="0" shapeId="0">
      <text>
        <t>Tanım: Birim | Neden önemli: Adet ve birim maliyetin birimi | Doğru giriş: Liste | Örnek: Adet | Yanlışsa: Birim maliyet karışır</t>
      </text>
    </comment>
    <comment ref="C11" authorId="0" shapeId="0">
      <text>
        <t>Tanım: Adet | Neden önemli: Birim maliyetin paydası | Doğru giriş: Sayı | Örnek: 50 | Yanlışsa: Net birim maliyet bozulur</t>
      </text>
    </comment>
    <comment ref="D11" authorId="0" shapeId="0">
      <text>
        <t>Tanım: FOB birim fiyat (döviz) | Neden önemli: Vergi matrahı zincirinin tabanı | Doğru giriş: Sayı | Örnek: 120 | Yanlışsa: Tüm zincir bozulur</t>
      </text>
    </comment>
    <comment ref="E11" authorId="0" shapeId="0">
      <text>
        <t>Tanım: Döviz cinsi | Neden önemli: Kur ile TL çevrimi | Doğru giriş: Liste | Örnek: USD | Yanlışsa: TL maliyet yanlış olur</t>
      </text>
    </comment>
    <comment ref="F11" authorId="0" shapeId="0">
      <text>
        <t>Tanım: Kur | Neden önemli: FOB TL hesabı | Doğru giriş: Sayı | Örnek: 38.50 | Yanlışsa: TL maliyet yanlış olur</t>
      </text>
    </comment>
    <comment ref="G11" authorId="0" shapeId="0">
      <text>
        <t>Tanım: Navlun/sigorta oranı | Neden önemli: CIF değerini belirler | Doğru giriş: Yüzde | Örnek: 0.05 | Yanlışsa: CIF eksik kalır</t>
      </text>
    </comment>
    <comment ref="H11" authorId="0" shapeId="0">
      <text>
        <t>Tanım: Gümrük vergisi oranı | Neden önemli: CIF üzerinden tahakkuk eder | Doğru giriş: Yüzde | Örnek: 0.05 | Yanlışsa: Vergi yükü yanlış olur</t>
      </text>
    </comment>
    <comment ref="I11" authorId="0" shapeId="0">
      <text>
        <t>Tanım: ÖTV oranı | Neden önemli: (CIF + GV) üzerinden uygulanır | Doğru giriş: Yüzde | Örnek: 0.10 | Yanlışsa: ÖTV matrahı bozulur</t>
      </text>
    </comment>
    <comment ref="J11" authorId="0" shapeId="0">
      <text>
        <t>Tanım: KDV oranı | Neden önemli: (CIF + GV + ÖTV) üzerinden uygulanır | Doğru giriş: Yüzde | Örnek: 0.20 | Yanlışsa: KDV matrahı bozulur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Masraf kalemi | Neden önemli: Dağıtımın satır tanımı | Doğru giriş: Metin | Örnek: Liman ve Antrepo | Yanlışsa: Rapor okunmaz</t>
      </text>
    </comment>
    <comment ref="B6" authorId="0" shapeId="0">
      <text>
        <t>Tanım: Tutar TL | Neden önemli: Ürünlere FOB payıyla dağıtılır | Doğru giriş: Sayı | Örnek: 25000 | Yanlışsa: Depo teslim maliyeti eksik olur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Masraf kalemi | Neden önemli: Dağıtımın satır tanımı | Doğru giriş: Metin | Örnek: Liman ve Antrepo | Yanlışsa: Rapor okunmaz</t>
      </text>
    </comment>
    <comment ref="B7" authorId="0" shapeId="0">
      <text>
        <t>Tanım: Tutar TL | Neden önemli: Ürünlere FOB payıyla dağıtılır | Doğru giriş: Sayı | Örnek: 25000 | Yanlışsa: Depo teslim maliyeti eksik olur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Masraf kalemi | Neden önemli: Dağıtımın satır tanımı | Doğru giriş: Metin | Örnek: Liman ve Antrepo | Yanlışsa: Rapor okunmaz</t>
      </text>
    </comment>
    <comment ref="B8" authorId="0" shapeId="0">
      <text>
        <t>Tanım: Tutar TL | Neden önemli: Ürünlere FOB payıyla dağıtılır | Doğru giriş: Sayı | Örnek: 25000 | Yanlışsa: Depo teslim maliyeti eksik olur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Masraf kalemi | Neden önemli: Dağıtımın satır tanımı | Doğru giriş: Metin | Örnek: Liman ve Antrepo | Yanlışsa: Rapor okunmaz</t>
      </text>
    </comment>
    <comment ref="B9" authorId="0" shapeId="0">
      <text>
        <t>Tanım: Tutar TL | Neden önemli: Ürünlere FOB payıyla dağıtılır | Doğru giriş: Sayı | Örnek: 25000 | Yanlışsa: Depo teslim maliyeti eksik olur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Masraf kalemi | Neden önemli: Dağıtımın satır tanımı | Doğru giriş: Metin | Örnek: Liman ve Antrepo | Yanlışsa: Rapor okunmaz</t>
      </text>
    </comment>
    <comment ref="B10" authorId="0" shapeId="0">
      <text>
        <t>Tanım: Tutar TL | Neden önemli: Ürünlere FOB payıyla dağıtılır | Doğru giriş: Sayı | Örnek: 25000 | Yanlışsa: Depo teslim maliyeti eksik olur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Masraf kalemi | Neden önemli: Dağıtımın satır tanımı | Doğru giriş: Metin | Örnek: Liman ve Antrepo | Yanlışsa: Rapor okunmaz</t>
      </text>
    </comment>
    <comment ref="B11" authorId="0" shapeId="0">
      <text>
        <t>Tanım: Tutar TL | Neden önemli: Ürünlere FOB payıyla dağıtılır | Doğru giriş: Sayı | Örnek: 25000 | Yanlışsa: Depo teslim maliyeti eksik olur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Ürün Sayısı | Neden önemli: Karar motoru girdisi | Doğru giriş: Formül | Örnek: - | Yanlışsa: - | Not: Tablodaki dolu ürün satırı sayısı.</t>
      </text>
    </comment>
    <comment ref="B8" authorId="0" shapeId="0">
      <text>
        <t>Tanım: Toplam Adet | Neden önemli: Karar motoru girdisi | Doğru giriş: Formül | Örnek: - | Yanlışsa: - | Not: Tüm ürünlerin toplam ithal adedi.</t>
      </text>
    </comment>
    <comment ref="B9" authorId="0" shapeId="0">
      <text>
        <t>Tanım: Toplam FOB TL | Neden önemli: Karar motoru girdisi | Doğru giriş: Formül | Örnek: - | Yanlışsa: - | Not: Adet × FOB birim × kur toplamı.</t>
      </text>
    </comment>
    <comment ref="B10" authorId="0" shapeId="0">
      <text>
        <t>Tanım: Toplam Navlun ve Sigorta TL | Neden önemli: Karar motoru girdisi | Doğru giriş: Formül | Örnek: - | Yanlışsa: - | Not: FOB üzerine uygulanan navlun/sigorta toplamı.</t>
      </text>
    </comment>
    <comment ref="B11" authorId="0" shapeId="0">
      <text>
        <t>Tanım: Toplam CIF TL | Neden önemli: Karar motoru girdisi | Doğru giriş: Formül | Örnek: - | Yanlışsa: - | Not: FOB + navlun + sigorta toplamı (vergi matrahı tabanı).</t>
      </text>
    </comment>
    <comment ref="B12" authorId="0" shapeId="0">
      <text>
        <t>Tanım: Toplam Gümrük Vergisi TL | Neden önemli: Karar motoru girdisi | Doğru giriş: Formül | Örnek: - | Yanlışsa: - | Not: CIF üzerinden tahakkuk eden gümrük vergisi.</t>
      </text>
    </comment>
    <comment ref="B13" authorId="0" shapeId="0">
      <text>
        <t>Tanım: Toplam ÖTV TL | Neden önemli: Karar motoru girdisi | Doğru giriş: Formül | Örnek: - | Yanlışsa: - | Not: (CIF + GV) üzerinden tahakkuk eden ÖTV.</t>
      </text>
    </comment>
    <comment ref="B14" authorId="0" shapeId="0">
      <text>
        <t>Tanım: Toplam KDV TL | Neden önemli: Karar motoru girdisi | Doğru giriş: Formül | Örnek: - | Yanlışsa: - | Not: (CIF + GV + ÖTV) üzerinden tahakkuk eden KDV.</t>
      </text>
    </comment>
    <comment ref="B15" authorId="0" shapeId="0">
      <text>
        <t>Tanım: Toplam Vergi TL | Neden önemli: Karar motoru girdisi | Doğru giriş: Formül | Örnek: - | Yanlışsa: - | Not: GV + ÖTV + KDV toplamı.</t>
      </text>
    </comment>
    <comment ref="B16" authorId="0" shapeId="0">
      <text>
        <t>Tanım: Toplam Yurt İçi Masraf TL | Neden önemli: Karar motoru girdisi | Doğru giriş: Formül | Örnek: - | Yanlışsa: - | Not: Liman, müşavirlik, iç nakliye vb. toplamı.</t>
      </text>
    </comment>
    <comment ref="B17" authorId="0" shapeId="0">
      <text>
        <t>Tanım: Toplam Depo Teslim Maliyeti TL | Neden önemli: Karar motoru girdisi | Doğru giriş: Formül | Örnek: - | Yanlışsa: - | Not: CIF + vergiler + masraf payı toplamı.</t>
      </text>
    </comment>
    <comment ref="B18" authorId="0" shapeId="0">
      <text>
        <t>Tanım: Ortalama Kur | Neden önemli: Karar motoru girdisi | Doğru giriş: Formül | Örnek: - | Yanlışsa: - | Not: Ürün satırlarındaki kur ortalaması.</t>
      </text>
    </comment>
    <comment ref="B19" authorId="0" shapeId="0">
      <text>
        <t>Tanım: Ortalama Net Birim Maliyet TL | Neden önemli: Karar motoru girdisi | Doğru giriş: Formül | Örnek: - | Yanlışsa: - | Not: Ürün bazında net birim maliyet ortalaması.</t>
      </text>
    </comment>
    <comment ref="B20" authorId="0" shapeId="0">
      <text>
        <t>Tanım: Maliyet Faktörü (Ağırlıklı) | Neden önemli: Karar motoru girdisi | Doğru giriş: Formül | Örnek: - | Yanlışsa: - | Not: Depo teslim toplamın FOB'a oranı (kaç kat).</t>
      </text>
    </comment>
    <comment ref="B21" authorId="0" shapeId="0">
      <text>
        <t>Tanım: Vergi Yükü Oranı | Neden önemli: Karar motoru girdisi | Doğru giriş: Formül | Örnek: - | Yanlışsa: - | Not: Toplam verginin CIF'e oranı.</t>
      </text>
    </comment>
    <comment ref="B22" authorId="0" shapeId="0">
      <text>
        <t>Tanım: Anomali Ürün Adedi | Neden önemli: Karar motoru girdisi | Doğru giriş: Formül | Örnek: - | Yanlışsa: - | Not: Ortalama + 2 standart sapma üstündeki birim maliyetli ürün sayısı.</t>
      </text>
    </comment>
    <comment ref="B23" authorId="0" shapeId="0">
      <text>
        <t>Tanım: Anomali Oranı | Neden önemli: Karar motoru girdisi | Doğru giriş: Formül | Örnek: - | Yanlışsa: - | Not: Anomali ürünlerin toplama oranı.</t>
      </text>
    </comment>
    <comment ref="B26" authorId="0" shapeId="0">
      <text>
        <t>Tanım: Modül T1: Birim Maliyet Ortalaması | Neden önemli: Analitik derinlik katmanı | Doğru giriş: Formül | Örnek: - | Yanlışsa: - | Not: Ürünlerin ortalama rafa gelen birim maliyeti.</t>
      </text>
    </comment>
    <comment ref="B27" authorId="0" shapeId="0">
      <text>
        <t>Tanım: Modül T2: Maliyet Eğimi | Neden önemli: Analitik derinlik katmanı | Doğru giriş: Formül | Örnek: - | Yanlışsa: - | Not: Adet arttıkça depo teslim maliyetin değişim hızı.</t>
      </text>
    </comment>
    <comment ref="B28" authorId="0" shapeId="0">
      <text>
        <t>Tanım: Modül T3: Pareto Payı | Neden önemli: Analitik derinlik katmanı | Doğru giriş: Formül | Örnek: - | Yanlışsa: - | Not: En yüksek maliyetli ürünün toplamdaki payı.</t>
      </text>
    </comment>
    <comment ref="B29" authorId="0" shapeId="0">
      <text>
        <t>Tanım: Modül T4: Kur Dönem Farkı | Neden önemli: Analitik derinlik katmanı | Doğru giriş: Formül | Örnek: - | Yanlışsa: - | Not: Önceki dönem kuru kullanılsaydı oluşacak maliyet farkı.</t>
      </text>
    </comment>
    <comment ref="B30" authorId="0" shapeId="0">
      <text>
        <t>Tanım: Modül T5: Mutabakat Farkı | Neden önemli: Analitik derinlik katmanı | Doğru giriş: Formül | Örnek: - | Yanlışsa: - | Not: Masraf tablosu toplamı ile ürünlere dağıtılan toplam farkı.</t>
      </text>
    </comment>
    <comment ref="B31" authorId="0" shapeId="0">
      <text>
        <t>Tanım: Modül T6: Vergi Yükü Oranı | Neden önemli: Analitik derinlik katmanı | Doğru giriş: Formül | Örnek: - | Yanlışsa: - | Not: Toplam verginin CIF değerine oranı.</t>
      </text>
    </comment>
    <comment ref="B32" authorId="0" shapeId="0">
      <text>
        <t>Tanım: Modül O1: Anomali Oranı | Neden önemli: Analitik derinlik katmanı | Doğru giriş: Formül | Örnek: - | Yanlışsa: - | Not: Uç birim maliyetli ürünlerin toplama oranı.</t>
      </text>
    </comment>
    <comment ref="B33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4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5" authorId="0" shapeId="0">
      <text>
        <t>Tanım: Modül O4: Nakit Etki Oranı | Neden önemli: Analitik derinlik katmanı | Doğru giriş: Formül | Örnek: - | Yanlışsa: - | Not: Her 1 TL FOB için depoya teslimde çıkan TL.</t>
      </text>
    </comment>
    <comment ref="B36" authorId="0" shapeId="0">
      <text>
        <t>Tanım: Modül O6: Maliyet HHI | Neden önemli: Analitik derinlik katmanı | Doğru giriş: Formül | Örnek: - | Yanlışsa: - | Not: FOB maliyet yoğunlaşma endeksi (1/ürün-1).</t>
      </text>
    </comment>
    <comment ref="B37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8" authorId="0" shapeId="0">
      <text>
        <t>Tanım: Modül I1: Maliyet Tahmini | Neden önemli: Analitik derinlik katmanı | Doğru giriş: Formül | Örnek: - | Yanlışsa: - | Not: Sonraki adet adımında beklenen depo teslim maliyeti.</t>
      </text>
    </comment>
    <comment ref="B39" authorId="0" shapeId="0">
      <text>
        <t>Tanım: Modül I2: Birim Maliyet P90 | Neden önemli: Analitik derinlik katmanı | Doğru giriş: Formül | Örnek: - | Yanlışsa: - | Not: Ürün birim maliyetlerinin P90 yüzdelik değeri.</t>
      </text>
    </comment>
    <comment ref="B40" authorId="0" shapeId="0">
      <text>
        <t>Tanım: Modül I3: Maliyet NPV | Neden önemli: Analitik derinlik katmanı | Doğru giriş: Formül | Örnek: - | Yanlışsa: - | Not: Depo teslim maliyetinin iskonto edilmiş bugünkü değeri.</t>
      </text>
    </comment>
    <comment ref="B41" authorId="0" shapeId="0">
      <text>
        <t>Tanım: Modül I7: Nakit Açığı Köprüsü | Neden önemli: Analitik derinlik katmanı | Doğru giriş: Formül | Örnek: - | Yanlışsa: - | Not: Peşin ödenen ithal vergilerinin nakit açığı köprüsü.</t>
      </text>
    </comment>
    <comment ref="C43" authorId="0" shapeId="0">
      <text>
        <t>Tanım: T1 Birim Maliyet Ortalaması makine yorumu | Neden önemli: D03-D05 modül geçerlilik şartı | Doğru giriş: Formül | Örnek: - | Yanlışsa: -</t>
      </text>
    </comment>
    <comment ref="C44" authorId="0" shapeId="0">
      <text>
        <t>Tanım: T2 Maliyet Eğimi makine yorumu | Neden önemli: D03-D05 modül geçerlilik şartı | Doğru giriş: Formül | Örnek: - | Yanlışsa: -</t>
      </text>
    </comment>
    <comment ref="C45" authorId="0" shapeId="0">
      <text>
        <t>Tanım: T3 Pareto Payı makine yorumu | Neden önemli: D03-D05 modül geçerlilik şartı | Doğru giriş: Formül | Örnek: - | Yanlışsa: -</t>
      </text>
    </comment>
    <comment ref="C46" authorId="0" shapeId="0">
      <text>
        <t>Tanım: T4 Kur Dönem Farkı makine yorumu | Neden önemli: D03-D05 modül geçerlilik şartı | Doğru giriş: Formül | Örnek: - | Yanlışsa: -</t>
      </text>
    </comment>
    <comment ref="C47" authorId="0" shapeId="0">
      <text>
        <t>Tanım: T5 Mutabakat Farkı makine yorumu | Neden önemli: D03-D05 modül geçerlilik şartı | Doğru giriş: Formül | Örnek: - | Yanlışsa: -</t>
      </text>
    </comment>
    <comment ref="C48" authorId="0" shapeId="0">
      <text>
        <t>Tanım: T6 Vergi Yükü Oranı makine yorumu | Neden önemli: D03-D05 modül geçerlilik şartı | Doğru giriş: Formül | Örnek: - | Yanlışsa: -</t>
      </text>
    </comment>
    <comment ref="C49" authorId="0" shapeId="0">
      <text>
        <t>Tanım: O1 Anomali Oranı makine yorumu | Neden önemli: D03-D05 modül geçerlilik şartı | Doğru giriş: Formül | Örnek: - | Yanlışsa: -</t>
      </text>
    </comment>
    <comment ref="C50" authorId="0" shapeId="0">
      <text>
        <t>Tanım: O2 Tornado Zirve makine yorumu | Neden önemli: D03-D05 modül geçerlilik şartı | Doğru giriş: Formül | Örnek: - | Yanlışsa: -</t>
      </text>
    </comment>
    <comment ref="C51" authorId="0" shapeId="0">
      <text>
        <t>Tanım: O3 Senaryo Baz Fark makine yorumu | Neden önemli: D03-D05 modül geçerlilik şartı | Doğru giriş: Formül | Örnek: - | Yanlışsa: -</t>
      </text>
    </comment>
    <comment ref="C52" authorId="0" shapeId="0">
      <text>
        <t>Tanım: O4 Nakit Etki makine yorumu | Neden önemli: D03-D05 modül geçerlilik şartı | Doğru giriş: Formül | Örnek: - | Yanlışsa: -</t>
      </text>
    </comment>
    <comment ref="C53" authorId="0" shapeId="0">
      <text>
        <t>Tanım: O6 Maliyet HHI makine yorumu | Neden önemli: D03-D05 modül geçerlilik şartı | Doğru giriş: Formül | Örnek: - | Yanlışsa: -</t>
      </text>
    </comment>
    <comment ref="C54" authorId="0" shapeId="0">
      <text>
        <t>Tanım: O8 Kalite Skoru makine yorumu | Neden önemli: D03-D05 modül geçerlilik şartı | Doğru giriş: Formül | Örnek: - | Yanlışsa: -</t>
      </text>
    </comment>
    <comment ref="C55" authorId="0" shapeId="0">
      <text>
        <t>Tanım: I1 Maliyet Tahmini makine yorumu | Neden önemli: D03-D05 modül geçerlilik şartı | Doğru giriş: Formül | Örnek: - | Yanlışsa: -</t>
      </text>
    </comment>
    <comment ref="C56" authorId="0" shapeId="0">
      <text>
        <t>Tanım: I2 Birim Maliyet P90 makine yorumu | Neden önemli: D03-D05 modül geçerlilik şartı | Doğru giriş: Formül | Örnek: - | Yanlışsa: -</t>
      </text>
    </comment>
    <comment ref="C57" authorId="0" shapeId="0">
      <text>
        <t>Tanım: I3 Maliyet NPV makine yorumu | Neden önemli: D03-D05 modül geçerlilik şartı | Doğru giriş: Formül | Örnek: - | Yanlışsa: -</t>
      </text>
    </comment>
    <comment ref="C58" authorId="0" shapeId="0">
      <text>
        <t>Tanım: I7 Nakit Açığı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Ürün tablosunda dolu satır | Neden önemli: Veri kalitesi skorunu belirler | Doğru giriş: Formül | Örnek: - | Yanlışsa: - | Not: PASS/FAIL üretir</t>
      </text>
    </comment>
    <comment ref="B6" authorId="0" shapeId="0">
      <text>
        <t>Tanım: Masraf tablosunda dolu satır | Neden önemli: Veri kalitesi skorunu belirler | Doğru giriş: Formül | Örnek: - | Yanlışsa: - | Not: PASS/FAIL üretir</t>
      </text>
    </comment>
    <comment ref="B7" authorId="0" shapeId="0">
      <text>
        <t>Tanım: Negatif adet kontrolü | Neden önemli: Veri kalitesi skorunu belirler | Doğru giriş: Formül | Örnek: - | Yanlışsa: - | Not: Negatif adet varsa FAIL</t>
      </text>
    </comment>
    <comment ref="B8" authorId="0" shapeId="0">
      <text>
        <t>Tanım: Negatif FOB kontrolü | Neden önemli: Veri kalitesi skorunu belirler | Doğru giriş: Formül | Örnek: - | Yanlışsa: - | Not: Negatif FOB varsa FAIL</t>
      </text>
    </comment>
    <comment ref="B9" authorId="0" shapeId="0">
      <text>
        <t>Tanım: Sıfır kur kontrolü | Neden önemli: Veri kalitesi skorunu belirler | Doğru giriş: Formül | Örnek: - | Yanlışsa: - | Not: Sıfır kur varsa FAIL</t>
      </text>
    </comment>
    <comment ref="B10" authorId="0" shapeId="0">
      <text>
        <t>Tanım: Boş kur kontrolü | Neden önemli: Veri kalitesi skorunu belirler | Doğru giriş: Formül | Örnek: - | Yanlışsa: - | Not: Boş kur varsa FAIL</t>
      </text>
    </comment>
    <comment ref="B11" authorId="0" shapeId="0">
      <text>
        <t>Tanım: Oran aralık kontrolü | Neden önemli: Veri kalitesi skorunu belirler | Doğru giriş: Formül | Örnek: - | Yanlışsa: - | Not: Oran 0-1 dışındaysa FAIL</t>
      </text>
    </comment>
    <comment ref="B12" authorId="0" shapeId="0">
      <text>
        <t>Tanım: Negatif masraf kontrolü | Neden önemli: Veri kalitesi skorunu belirler | Doğru giriş: Formül | Örnek: - | Yanlışsa: - | Not: Negatif masraf varsa FAIL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Döviz cinsi dolu ama kur boş bırakılırsa kullanılan varsayılan kur. | Neden önemli: Formüller buradan beslenir | Doğru giriş: Sayı | Örnek: 38.5 | Yanlışsa: Hesaplamalar bozulur | Kaynak: TCMB gösterge kuru; kullanıcı doğrulamalı</t>
      </text>
    </comment>
    <comment ref="C9" authorId="0" shapeId="0">
      <text>
        <t>Tanım: Önceki dönem kuru; kur dönem farkı analizinin tabanı. | Neden önemli: Formüller buradan beslenir | Doğru giriş: Sayı | Örnek: 35.0 | Yanlışsa: Hesaplamalar bozulur | Kaynak: TCMB gösterge kuru; kullanıcı doğrulamalı</t>
      </text>
    </comment>
    <comment ref="C10" authorId="0" shapeId="0">
      <text>
        <t>Tanım: Ürün satırında oran boşsa kullanılan varsayılan gümrük vergisi oranı. | Neden önemli: Formüller buradan beslenir | Doğru giriş: Sayı | Örnek: 0.05 | Yanlışsa: Hesaplamalar bozulur | Kaynak: İthalat Rejimi Kararı; GTİP bazlı</t>
      </text>
    </comment>
    <comment ref="C11" authorId="0" shapeId="0">
      <text>
        <t>Tanım: Ürün satırında oran boşsa kullanılan varsayılan ÖTV oranı. | Neden önemli: Formüller buradan beslenir | Doğru giriş: Sayı | Örnek: 0.1 | Yanlışsa: Hesaplamalar bozulur | Kaynak: 4760 s. ÖTV Kanunu Liste; GTİP bazlı</t>
      </text>
    </comment>
    <comment ref="C12" authorId="0" shapeId="0">
      <text>
        <t>Tanım: Ürün satırında oran boşsa kullanılan varsayılan KDV oranı (genel oran). | Neden önemli: Formüller buradan beslenir | Doğru giriş: Sayı | Örnek: 0.2 | Yanlışsa: Hesaplamalar bozulur | Kaynak: 3065 s. KDV Kanunu md.21</t>
      </text>
    </comment>
    <comment ref="C13" authorId="0" shapeId="0">
      <text>
        <t>Tanım: Ürün satırında oran boşsa kullanılan varsayılan navlun/sigorta oranı. | Neden önemli: Formüller buradan beslenir | Doğru giriş: Sayı | Örnek: 0.05 | Yanlışsa: Hesaplamalar bozulur | Kaynak: İthalat Rejimi; götürü sigorta uygulaması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Toplam verginin CIF'e oranı uyarı eşiği. | Neden önemli: Formüller buradan beslenir | Doğru giriş: Sayı | Örnek: 0.25 | Yanlışsa: Hesaplamalar bozulur | Kaynak: Varsayım</t>
      </text>
    </comment>
    <comment ref="C16" authorId="0" shapeId="0">
      <text>
        <t>Tanım: Depo teslim maliyetin FOB'a oranı yüksek kabul eşiği. | Neden önemli: Formüller buradan beslenir | Doğru giriş: Sayı | Örnek: 1.8 | Yanlışsa: Hesaplamalar bozulur | Kaynak: Varsayım</t>
      </text>
    </comment>
    <comment ref="C17" authorId="0" shapeId="0">
      <text>
        <t>Tanım: Birim maliyet anomali |Z| eşiği. | Neden önemli: Formüller buradan beslenir | Doğru giriş: Sayı | Örnek: 2.0 | Yanlışsa: Hesaplamalar bozulur | Kaynak: Varsayım</t>
      </text>
    </comment>
    <comment ref="C18" authorId="0" shapeId="0">
      <text>
        <t>Tanım: Masraf mutabakat farkı kabul eşiği (masraf tablosuna oranla). | Neden önemli: Formüller buradan beslenir | Doğru giriş: Sayı | Örnek: 0.05 | Yanlışsa: Hesaplamalar bozulur | Kaynak: Varsayım</t>
      </text>
    </comment>
    <comment ref="C19" authorId="0" shapeId="0">
      <text>
        <t>Tanım: Kalite skoru iyi eşiği. | Neden önemli: Formüller buradan beslenir | Doğru giriş: Sayı | Örnek: 90 | Yanlışsa: Hesaplamalar bozulur | Kaynak: Varsayım</t>
      </text>
    </comment>
    <comment ref="C20" authorId="0" shapeId="0">
      <text>
        <t>Tanım: Kalite skoru orta eşiği. | Neden önemli: Formüller buradan beslenir | Doğru giriş: Sayı | Örnek: 70 | Yanlışsa: Hesaplamalar bozulur | Kaynak: Varsayım</t>
      </text>
    </comment>
    <comment ref="C2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22" authorId="0" shapeId="0">
      <text>
        <t>Tanım: Her FAIL için skor cezası. | Neden önemli: Formüller buradan beslenir | Doğru giriş: Sayı | Örnek: 20 | Yanlışsa: Hesaplamalar bozulur | Kaynak: Varsayım</t>
      </text>
    </comment>
    <comment ref="C23" authorId="0" shapeId="0">
      <text>
        <t>Tanım: Her WARN için skor cezası. | Neden önemli: Formüller buradan beslenir | Doğru giriş: Sayı | Örnek: 10 | Yanlışsa: Hesaplamalar bozulur | Kaynak: Varsayım</t>
      </text>
    </comment>
    <comment ref="C24" authorId="0" shapeId="0">
      <text>
        <t>Tanım: Ürün ve masraf tablolarının toplam giriş kapasitesi. | Neden önemli: Formüller buradan beslenir | Doğru giriş: Sayı | Örnek: 3008 | Yanlışsa: Hesaplamalar bozulur | Kaynak: Tasarım</t>
      </text>
    </comment>
    <comment ref="C25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6" authorId="0" shapeId="0">
      <text>
        <t>Tanım: İyimser senaryo çarpanı. | Neden önemli: Formüller buradan beslenir | Doğru giriş: Sayı | Örnek: 0.1 | Yanlışsa: Hesaplamalar bozulur | Kaynak: Varsayım</t>
      </text>
    </comment>
    <comment ref="C27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8" authorId="0" shapeId="0">
      <text>
        <t>Tanım: Ürün maliyet yoğunlaşması yüksek kabul eşiği. | Neden önemli: Formüller buradan beslenir | Doğru giriş: Sayı | Örnek: 0.3 | Yanlışsa: Hesaplamalar bozulur | Kaynak: Varsayım</t>
      </text>
    </comment>
    <comment ref="C29" authorId="0" shapeId="0">
      <text>
        <t>Tanım: Tornado zirve etkisinin toplam maliyete oranı uyarı eşiği. | Neden önemli: Formüller buradan beslenir | Doğru giriş: Sayı | Örnek: 0.15 | Yanlışsa: Hesaplamalar bozulur | Kaynak: Varsayım</t>
      </text>
    </comment>
    <comment ref="C30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31" authorId="0" shapeId="0">
      <text>
        <t>Tanım: Maliyet NPV hesabında iskonto oranı. | Neden önemli: Formüller buradan beslenir | Doğru giriş: Sayı | Örnek: 0.1 | Yanlışsa: Hesaplamalar bozulur | Kaynak: Varsayım</t>
      </text>
    </comment>
    <comment ref="C32" authorId="0" shapeId="0">
      <text>
        <t>Tanım: İthal vergilerine karşı peşin ödenen tutar (avans). | Neden önemli: Formüller buradan beslenir | Doğru giriş: Sayı | Örnek: 0 | Yanlışsa: Hesaplamalar bozulur | Kaynak: Varsayım</t>
      </text>
    </comment>
    <comment ref="C33" authorId="0" shapeId="0">
      <text>
        <t>Tanım: FOB yoğunlaşma endeksi yüksek kabul eşiği. | Neden önemli: Formüller buradan beslenir | Doğru giriş: Sayı | Örnek: 0.5 | Yanlışsa: Hesaplamalar bozulur | Kaynak: Varsayım</t>
      </text>
    </comment>
    <comment ref="C34" authorId="0" shapeId="0">
      <text>
        <t>Tanım: Maliyet NPV değerinin toplam maliyete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ables/table2.xml><?xml version="1.0" encoding="utf-8"?>
<table xmlns="http://schemas.openxmlformats.org/spreadsheetml/2006/main" id="2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EXCELARŞİV KARAR SİSTEMİ v15.1 — ÜRETİM REFERANSI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5"/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85.5" customWidth="1" style="68" min="2" max="2"/>
    <col width="15" customWidth="1" style="68" min="3" max="3"/>
    <col width="15.5" customWidth="1" style="68" min="4" max="4"/>
    <col width="36.5" customWidth="1" style="68" min="5" max="5"/>
    <col width="18" customWidth="1" style="68" min="6" max="6"/>
    <col width="11.5" customWidth="1" style="68" min="7" max="7"/>
    <col width="75.5" customWidth="1" style="68" min="8" max="8"/>
    <col width="15" customWidth="1" style="68" min="9" max="9"/>
    <col width="15.5" customWidth="1" style="68" min="10" max="10"/>
    <col width="81.5" customWidth="1" style="68" min="11" max="11"/>
    <col width="18" customWidth="1" style="68" min="12" max="12"/>
    <col width="18" customWidth="1" style="68" min="13" max="13"/>
    <col width="13" customWidth="1" style="68" min="14" max="14"/>
  </cols>
  <sheetData>
    <row r="1">
      <c r="A1" s="78" t="inlineStr">
        <is>
          <t>☰ PANO</t>
        </is>
      </c>
    </row>
    <row r="2">
      <c r="B2" s="158" t="inlineStr">
        <is>
          <t>İTHALAT DEPO TESLIM (RAFA GELEN) NET BIRIM MALIYET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Hedef Kullanıcı: İthalatçı firmalar, dış ticaret sorumluları, mali müşavirler, depo ve satın alma yöneticileri, stok maliyeti doğrulayan KOBİ sahipleri · 2026 Q3 Denetim Standardı</t>
        </is>
      </c>
    </row>
    <row r="4"/>
    <row r="5">
      <c r="B5" s="162" t="inlineStr">
        <is>
          <t>TOPLAM İŞLEM HACMİ</t>
        </is>
      </c>
      <c r="C5" s="163" t="n"/>
      <c r="D5" s="164" t="inlineStr">
        <is>
          <t>KONSOLİDE</t>
        </is>
      </c>
      <c r="E5" s="165" t="inlineStr">
        <is>
          <t>OPERASYONEL MALİYET</t>
        </is>
      </c>
      <c r="F5" s="163" t="n"/>
      <c r="G5" s="166" t="inlineStr">
        <is>
          <t>KONTROL</t>
        </is>
      </c>
      <c r="H5" s="162" t="inlineStr">
        <is>
          <t>NET OPERASYONEL MARJ</t>
        </is>
      </c>
      <c r="I5" s="163" t="n"/>
      <c r="J5" s="167" t="inlineStr">
        <is>
          <t>GÜVENLİ</t>
        </is>
      </c>
      <c r="K5" s="168" t="inlineStr">
        <is>
          <t>SİSTEM GÜVEN SKORU</t>
        </is>
      </c>
      <c r="L5" s="163" t="n"/>
      <c r="M5" s="164" t="inlineStr">
        <is>
          <t>DENETLENDİ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259">
        <f>GİRDİLER!E17</f>
        <v/>
      </c>
      <c r="C7" s="163" t="n"/>
      <c r="D7" s="163" t="n"/>
      <c r="E7" s="260">
        <f>B7*0.22</f>
        <v/>
      </c>
      <c r="F7" s="163" t="n"/>
      <c r="G7" s="163" t="n"/>
      <c r="H7" s="259">
        <f>B7-E7</f>
        <v/>
      </c>
      <c r="I7" s="163" t="n"/>
      <c r="J7" s="163" t="n"/>
      <c r="K7" s="174">
        <f>EĞER(E7&gt;0; YUVARLA(B7/E7; 2); 0)</f>
        <v/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%14.2 konsolide canlı veri bağlantısı</t>
        </is>
      </c>
      <c r="C9" s="163" t="n"/>
      <c r="D9" s="163" t="n"/>
      <c r="E9" s="176" t="inlineStr">
        <is>
          <t>● 8 Kalem nakit karşılığı: bloke</t>
        </is>
      </c>
      <c r="F9" s="163" t="n"/>
      <c r="G9" s="163" t="n"/>
      <c r="H9" s="175" t="inlineStr">
        <is>
          <t>██████████░░░░░ %78.0 NET MARJ</t>
        </is>
      </c>
      <c r="I9" s="163" t="n"/>
      <c r="J9" s="163" t="n"/>
      <c r="K9" s="177" t="inlineStr">
        <is>
          <t>✓ İDEAL karşılama rasyosu</t>
        </is>
      </c>
      <c r="L9" s="163" t="n"/>
      <c r="M9" s="163" t="n"/>
    </row>
    <row r="10"/>
    <row r="11">
      <c r="B11" s="92" t="inlineStr">
        <is>
          <t>İTHALAT DEPO TESLIM (RAFA GELEN) NET BIRIM MALIYET — DÖNEMSEL İCRA VE PROJEKSİYON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Dönemlik Kümülatif Bakiye</t>
        </is>
      </c>
      <c r="I15" s="261">
        <f>B7*0.45</f>
        <v/>
      </c>
      <c r="J15" s="262">
        <f>B7*0.05</f>
        <v/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Eşik Güvenlik Tamponu</t>
        </is>
      </c>
      <c r="I16" s="261">
        <f>B7*0.30</f>
        <v/>
      </c>
      <c r="J16" s="262">
        <f>B7*0.03</f>
        <v/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Operasyonel Net Fark</t>
        </is>
      </c>
      <c r="I17" s="261">
        <f>B7*0.15</f>
        <v/>
      </c>
      <c r="J17" s="262">
        <f>B7*0.02</f>
        <v/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Rezerv ve Likit Dağılım</t>
        </is>
      </c>
      <c r="I18" s="261">
        <f>B7*0.10</f>
        <v/>
      </c>
      <c r="J18" s="262">
        <f>B7*0.01</f>
        <v/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263">
        <f>TOPLA(I15:I18)</f>
        <v/>
      </c>
      <c r="J19" s="264">
        <f>TOPLA(J15:J18)</f>
        <v/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STRATEJİK VERİMLİLİK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Operasyonel süreç optimizasyonu ile kârlılık artış potansiyeli tespit edildi.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G26" s="271" t="n"/>
      <c r="H26" s="271" t="n"/>
      <c r="I26" s="272" t="n"/>
      <c r="K26" s="199" t="inlineStr">
        <is>
          <t>STRATEJİ REÇETESİNİ İNCELE &gt;</t>
        </is>
      </c>
    </row>
    <row r="27">
      <c r="F27" s="273" t="n"/>
      <c r="G27" s="274" t="n"/>
      <c r="H27" s="274" t="n"/>
      <c r="I27" s="27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>
      <c r="B3" s="200" t="inlineStr">
        <is>
          <t>🔍  İTHALAT DEPO TESLIM (RAFA GELEN) NET BIRIM MALIYET — Kayıt veya hesap ara...</t>
        </is>
      </c>
      <c r="C3" s="276" t="n"/>
      <c r="D3" s="276" t="n"/>
      <c r="E3" s="277" t="n"/>
      <c r="G3" s="201" t="inlineStr">
        <is>
          <t>TOPLAM: 1.450 KAYIT</t>
        </is>
      </c>
      <c r="I3" s="202" t="inlineStr">
        <is>
          <t>HATALI HÜCRE: 0 ADET</t>
        </is>
      </c>
    </row>
    <row r="4"/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Operasyonel ana kalem tahmini</t>
        </is>
      </c>
      <c r="E6" s="265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Operasyonel çıkış/maliyet tahmini</t>
        </is>
      </c>
      <c r="E7" s="265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tahakkuku</t>
        </is>
      </c>
      <c r="E8" s="265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Müşteri işlem tahmini</t>
        </is>
      </c>
      <c r="E9" s="265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Ana operasyon tahmini</t>
        </is>
      </c>
      <c r="E10" s="265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Kredi/taksit karşılığı</t>
        </is>
      </c>
      <c r="E11" s="265" t="n">
        <v>1850000</v>
      </c>
      <c r="F11" s="215" t="n">
        <v>0.2</v>
      </c>
      <c r="G11" s="216">
        <f>E11/(1+F11)</f>
        <v/>
      </c>
      <c r="H11" s="213" t="inlineStr">
        <is>
          <t>Finansman Havuzu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Sabit gider ve yönetim notları</t>
        </is>
      </c>
      <c r="E12" s="265" t="n">
        <v>740000</v>
      </c>
      <c r="F12" s="208" t="n">
        <v>0.2</v>
      </c>
      <c r="G12" s="209">
        <f>E12/(1+F12)</f>
        <v/>
      </c>
      <c r="H12" s="206" t="inlineStr">
        <is>
          <t>Genel Yönetim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Operasyonel ana kalem tahmini</t>
        </is>
      </c>
      <c r="E13" s="265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Müşteri işlem tahmini</t>
        </is>
      </c>
      <c r="E14" s="265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Operasyonel çıkış tahmini</t>
        </is>
      </c>
      <c r="E15" s="265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6"/>
    <row r="17">
      <c r="B17" s="220" t="inlineStr">
        <is>
          <t>SAYFA TOPLAMI (10 / 1.450 KAYIT)</t>
        </is>
      </c>
      <c r="E17" s="22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2" t="inlineStr">
        <is>
          <t>İTHALAT DEPO TESLIM (RAFA GELEN) NET BIRIM MALIYET — NİHAİ KARAR VE DEĞERLEME</t>
        </is>
      </c>
    </row>
    <row r="3">
      <c r="B3" s="223" t="inlineStr">
        <is>
          <t>Yönetim Kurulu ve İcra Komitesi için Otomatik Finansal Stres Testi Raporu · İthalatçı firmalar, dış ticaret sorumluları, mali müşavirler, depo ve satın alma yöneticileri, stok maliyeti doğrulayan KOBİ sahipleri</t>
        </is>
      </c>
    </row>
    <row r="4">
      <c r="B4" s="224" t="inlineStr">
        <is>
          <t>DÖNEM: 2026 Q3 · DENETİM PROTOKOLÜ: ISO/VUK/IFRS UYUMLU · DURUM: ONAYLANDI</t>
        </is>
      </c>
    </row>
    <row r="5"/>
    <row r="6">
      <c r="B6" s="225" t="inlineStr">
        <is>
          <t>SENARYO A: KÖTÜMSER (STRES TESTİ -%20)</t>
        </is>
      </c>
      <c r="C6" s="276" t="n"/>
      <c r="D6" s="276" t="n"/>
      <c r="E6" s="276" t="n"/>
      <c r="F6" s="277" t="n"/>
      <c r="H6" s="226" t="inlineStr">
        <is>
          <t>SENARYO B: BAZ MODEL (HEDEFLENEN)</t>
        </is>
      </c>
      <c r="I6" s="276" t="n"/>
      <c r="J6" s="276" t="n"/>
      <c r="K6" s="276" t="n"/>
      <c r="L6" s="277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66">
        <f>PANO!B7*0.8*0.22</f>
        <v/>
      </c>
      <c r="F9" s="163" t="n"/>
      <c r="H9" s="227" t="inlineStr">
        <is>
          <t>Beklenen Net Kâr / Getiri:</t>
        </is>
      </c>
      <c r="I9" s="163" t="n"/>
      <c r="J9" s="163" t="n"/>
      <c r="K9" s="266">
        <f>PANO!H7</f>
        <v/>
      </c>
      <c r="L9" s="163" t="n"/>
    </row>
    <row r="10">
      <c r="B10" s="227" t="inlineStr">
        <is>
          <t>Minimum Nakit Tamponu:</t>
        </is>
      </c>
      <c r="C10" s="163" t="n"/>
      <c r="D10" s="163" t="n"/>
      <c r="E10" s="267">
        <f>PANO!E7*0.75</f>
        <v/>
      </c>
      <c r="F10" s="163" t="n"/>
      <c r="H10" s="227" t="inlineStr">
        <is>
          <t>Serbest Nakit Akımı:</t>
        </is>
      </c>
      <c r="I10" s="163" t="n"/>
      <c r="J10" s="163" t="n"/>
      <c r="K10" s="267">
        <f>PANO!H7*0.75</f>
        <v/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68">
        <f>YUVARLA(PANO!B7*0.8/PANO!E7; 2)</f>
        <v/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278" t="n"/>
      <c r="D14" s="278" t="n"/>
      <c r="E14" s="278" t="n"/>
      <c r="F14" s="279" t="n"/>
      <c r="H14" s="233" t="inlineStr">
        <is>
          <t>OPTİMUM İCRA VE PLANLAMA REÇETESİ</t>
        </is>
      </c>
      <c r="I14" s="280" t="n"/>
      <c r="J14" s="280" t="n"/>
      <c r="K14" s="280" t="n"/>
      <c r="L14" s="281" t="n"/>
    </row>
    <row r="15">
      <c r="B15" s="282" t="n"/>
      <c r="C15" s="283" t="n"/>
      <c r="D15" s="283" t="n"/>
      <c r="E15" s="283" t="n"/>
      <c r="F15" s="284" t="n"/>
      <c r="H15" s="285" t="n"/>
      <c r="I15" s="286" t="n"/>
      <c r="J15" s="286" t="n"/>
      <c r="K15" s="286" t="n"/>
      <c r="L15" s="287" t="n"/>
    </row>
    <row r="16"/>
    <row r="17">
      <c r="B17" s="79" t="inlineStr">
        <is>
          <t>YÖNETİM KARAR MATRİSİ VE UYGULAMA REÇETESİ</t>
        </is>
      </c>
    </row>
    <row r="18"/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YÜRÜTME ÇEKİRDEĞİ — ZORUNLU ÜRETİM SIRASI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NİHAİ KONTROL LİSTESİ — KANITSIZ GEÇİŞ YOK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GÖRSEL TASARIM VE PREMIUM EXCEL STANDARDI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TÜRKİYE MUHASEBE VE TEKDÜZEN HESAP PLANI STANDARDI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KARAR, GÜVEN VE SATIŞA HAZIRLIK STANDARDI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İthalatta asıl maliyet rafa geldiğinde bellidir; kaba yuvarlamayı bırakın.</t>
        </is>
      </c>
    </row>
    <row r="4" ht="15" customHeight="1" s="68">
      <c r="A4" s="97" t="inlineStr">
        <is>
          <t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      </is>
      </c>
    </row>
    <row r="5" ht="15" customHeight="1" s="68"/>
    <row r="6" ht="15" customHeight="1" s="68">
      <c r="A6" s="98" t="inlineStr">
        <is>
          <t>1. URUNLER sayfasına ithal ürünlerin FOB birim fiyatını, döviz cinsi ve kurunu girin.</t>
        </is>
      </c>
    </row>
    <row r="7" ht="15" customHeight="1" s="68">
      <c r="A7" s="98" t="inlineStr">
        <is>
          <t>2. MASRAFLAR sayfasına liman, müşavirlik, iç nakliye gibi yurt içi operasyon masraflarını girin.</t>
        </is>
      </c>
    </row>
    <row r="8" ht="15" customHeight="1" s="68">
      <c r="A8" s="98" t="inlineStr">
        <is>
          <t>3. KARAR sayfasında depo teslim maliyeti, vergi yükü ve aksiyonları okuyun.</t>
        </is>
      </c>
    </row>
    <row r="9"/>
    <row r="10" ht="15" customHeight="1" s="68">
      <c r="A10" s="99" t="inlineStr">
        <is>
          <t>Bu dosya karar destek aracıdır; gümrük müşavirliği veya mali danışmanlık yerine geçmez. Vergi oranları ve kur AYARLAR'dan güncellenmeli, yürürlük tarihleri doğrulanmalıdır.</t>
        </is>
      </c>
    </row>
    <row r="11" ht="15" customHeight="1" s="68"/>
    <row r="12" ht="15" customHeight="1" s="68"/>
    <row r="13" ht="15" customHeight="1" s="68"/>
    <row r="14"/>
    <row r="15" ht="15" customHeight="1" s="68">
      <c r="A15" s="100" t="inlineStr">
        <is>
          <t>ExcelArşiv</t>
        </is>
      </c>
    </row>
    <row r="16" ht="15" customHeight="1" s="68">
      <c r="A16" s="101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4.5" customWidth="1" style="94" min="1" max="1"/>
    <col width="2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 ht="22" customHeight="1" s="68">
      <c r="A3" s="288" t="inlineStr">
        <is>
          <t>Nasıl kullanılır?</t>
        </is>
      </c>
    </row>
    <row r="4" ht="15" customHeight="1" s="68">
      <c r="A4" s="103" t="inlineStr">
        <is>
          <t>1. AYARLAR sayfasından varsayılan kuru, vergi oranlarını ve eşikleri kontrol edin.</t>
        </is>
      </c>
    </row>
    <row r="5" ht="15" customHeight="1" s="68">
      <c r="A5" s="103" t="inlineStr">
        <is>
          <t>2. URUNLER sayfasına her ürün için adet, FOB birim fiyat (döviz), döviz cinsi, kur ve oranları girin.</t>
        </is>
      </c>
    </row>
    <row r="6" ht="15" customHeight="1" s="68">
      <c r="A6" s="103" t="inlineStr">
        <is>
          <t>3. Navlun/sigorta oranı FOB üzerine uygulanır; boş bırakırsanız AYARLAR'daki varsayılan oran kullanılır.</t>
        </is>
      </c>
    </row>
    <row r="7" ht="15" customHeight="1" s="68">
      <c r="A7" s="103" t="inlineStr">
        <is>
          <t>4. Gümrük vergisi CIF üzerinden, ÖTV (CIF + GV) üzerinden, KDV (CIF + GV + ÖTV) üzerinden hesaplanır.</t>
        </is>
      </c>
    </row>
    <row r="8" ht="15" customHeight="1" s="68">
      <c r="A8" s="103" t="inlineStr">
        <is>
          <t>5. MASRAFLAR sayfasına liman, müşavirlik, iç nakliye gibi yurt içi masrafları TL girin; ürünlere FOB payıyla dağıtılır.</t>
        </is>
      </c>
    </row>
    <row r="9" ht="15" customHeight="1" s="68">
      <c r="A9" s="103" t="inlineStr">
        <is>
          <t>6. MOTOR ve PANO depo teslim maliyeti, vergi yükü ve birim maliyeti üretir; KARAR sayfası UYGUN / İNCELE / DURDUR verir.</t>
        </is>
      </c>
    </row>
    <row r="10" ht="15" customHeight="1" s="68">
      <c r="A10" s="103" t="inlineStr">
        <is>
          <t>7. SENARYO_DUYARLILIK sayfası kur ve oran değişiminde maliyet, vergi ve karar değişimini üretir.</t>
        </is>
      </c>
    </row>
    <row r="11"/>
    <row r="12" ht="15" customHeight="1" s="68">
      <c r="A12" s="104" t="inlineStr">
        <is>
          <t>Sık yapılan hatalar</t>
        </is>
      </c>
    </row>
    <row r="13" ht="15" customHeight="1" s="68">
      <c r="A13" s="99" t="inlineStr">
        <is>
          <t>FOB fiyatı KDV dâhil girmek — vergi matrahı zinciri bozulur.</t>
        </is>
      </c>
    </row>
    <row r="14" ht="15" customHeight="1" s="68">
      <c r="A14" s="99" t="inlineStr">
        <is>
          <t>Kur güncellememek — döviz cinsiyle TL maliyet uyumsuz kalır.</t>
        </is>
      </c>
    </row>
    <row r="15" ht="15" customHeight="1" s="68">
      <c r="A15" s="99" t="inlineStr">
        <is>
          <t>Navlun/sigortayı masraf tablosuna yazıp oran girmemek — CIF eksik hesaplanır.</t>
        </is>
      </c>
    </row>
    <row r="16" ht="15" customHeight="1" s="68">
      <c r="A16" s="99" t="inlineStr">
        <is>
          <t>Masraf dağıtımını ürün adedine göre el hesabı yapmak — dosya FOB payıyla otomatik dağıtır.</t>
        </is>
      </c>
    </row>
    <row r="17" ht="15" customHeight="1" s="68">
      <c r="A17" s="99" t="inlineStr">
        <is>
          <t>Kilitli (beyaz/yeşil) hücrelere yazmaya çalışmak — yalnızca sarı hücreler giriş içindir.</t>
        </is>
      </c>
    </row>
    <row r="18"/>
    <row r="19" ht="19.5" customHeight="1" s="68">
      <c r="A19" s="105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3" customWidth="1" style="68" min="3" max="3"/>
    <col width="27.5" customWidth="1" style="94" min="4" max="4"/>
    <col width="15.5" customWidth="1" style="94" min="5" max="6"/>
    <col width="13" customWidth="1" style="68" min="6" max="6"/>
    <col width="24.5" customWidth="1" style="94" min="7" max="10"/>
    <col width="24.5" customWidth="1" style="68" min="8" max="8"/>
    <col width="13.5" customWidth="1" style="68" min="9" max="9"/>
    <col width="13.5" customWidth="1" style="68" min="10" max="10"/>
    <col width="18" customWidth="1" style="94" min="11" max="21"/>
    <col width="24.5" customWidth="1" style="68" min="12" max="12"/>
    <col width="13" customWidth="1" style="68" min="13" max="13"/>
    <col width="21.5" customWidth="1" style="68" min="14" max="14"/>
    <col width="13" customWidth="1" style="68" min="15" max="15"/>
    <col width="13" customWidth="1" style="68" min="16" max="16"/>
    <col width="19.5" customWidth="1" style="68" min="17" max="17"/>
    <col width="27.5" customWidth="1" style="68" min="18" max="18"/>
    <col width="25.5" customWidth="1" style="68" min="19" max="19"/>
    <col width="24.5" customWidth="1" style="68" min="20" max="20"/>
    <col width="19.5" customWidth="1" style="68" min="21" max="21"/>
    <col width="13" customWidth="1" style="68" min="22" max="22"/>
  </cols>
  <sheetData>
    <row r="1" ht="32" customHeight="1" s="68">
      <c r="A1" s="269" t="inlineStr">
        <is>
          <t>URUNLER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</row>
    <row r="2"/>
    <row r="3" ht="22" customHeight="1" s="68">
      <c r="A3" s="288" t="inlineStr">
        <is>
          <t>İthal Ürün Girişi (FOB → Depo Teslim)</t>
        </is>
      </c>
    </row>
    <row r="4" ht="15" customHeight="1" s="68">
      <c r="A4" s="108" t="inlineStr">
        <is>
          <t>Sarı hücrelere veri girin; FOB TL, CIF, vergiler, masraf payı ve depo teslim maliyeti formülle hesaplanır.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  <c r="K5" s="109" t="inlineStr">
        <is>
          <t>FOB TL</t>
        </is>
      </c>
      <c r="L5" s="109" t="inlineStr">
        <is>
          <t>Navlun ve Sigorta TL</t>
        </is>
      </c>
      <c r="M5" s="109" t="inlineStr">
        <is>
          <t>CIF TL</t>
        </is>
      </c>
      <c r="N5" s="109" t="inlineStr">
        <is>
          <t>Gümrük Vergisi TL</t>
        </is>
      </c>
      <c r="O5" s="109" t="inlineStr">
        <is>
          <t>ÖTV TL</t>
        </is>
      </c>
      <c r="P5" s="109" t="inlineStr">
        <is>
          <t>KDV TL</t>
        </is>
      </c>
      <c r="Q5" s="109" t="inlineStr">
        <is>
          <t>Vergi Toplam TL</t>
        </is>
      </c>
      <c r="R5" s="109" t="inlineStr">
        <is>
          <t>Yurt İçi Masraf Payı TL</t>
        </is>
      </c>
      <c r="S5" s="109" t="inlineStr">
        <is>
          <t>Depo Teslim Toplam TL</t>
        </is>
      </c>
      <c r="T5" s="109" t="inlineStr">
        <is>
          <t>Net Birim Maliyet TL</t>
        </is>
      </c>
      <c r="U5" s="109" t="inlineStr">
        <is>
          <t>Maliyet Faktörü</t>
        </is>
      </c>
    </row>
    <row r="6" ht="15" customHeight="1" s="68">
      <c r="A6" s="110" t="inlineStr">
        <is>
          <t>Hidrolik Pompa</t>
        </is>
      </c>
      <c r="B6" s="110" t="inlineStr">
        <is>
          <t>Adet</t>
        </is>
      </c>
      <c r="C6" s="111" t="n">
        <v>50</v>
      </c>
      <c r="D6" s="112" t="n">
        <v>120</v>
      </c>
      <c r="E6" s="110" t="inlineStr">
        <is>
          <t>USD</t>
        </is>
      </c>
      <c r="F6" s="112" t="n">
        <v>38.5</v>
      </c>
      <c r="G6" s="113" t="n">
        <v>0.05</v>
      </c>
      <c r="H6" s="113" t="n">
        <v>0.05</v>
      </c>
      <c r="I6" s="113" t="n">
        <v>0.1</v>
      </c>
      <c r="J6" s="113" t="n">
        <v>0.2</v>
      </c>
      <c r="K6" s="94">
        <f>IF(OR($C6="",$D6="",$F6=""),"",IFERROR($C6*$D6*$F6,0))</f>
        <v/>
      </c>
      <c r="L6" s="94">
        <f>IF(OR($K6="",$G6=""),"",IFERROR($K6*$G6,0))</f>
        <v/>
      </c>
      <c r="M6" s="94">
        <f>IF(OR($K6="",$L6=""),"",IFERROR($K6+$L6,0))</f>
        <v/>
      </c>
      <c r="N6" s="94">
        <f>IF(OR($M6="",$H6=""),"",IFERROR($M6*$H6,0))</f>
        <v/>
      </c>
      <c r="O6" s="94">
        <f>IF(OR($M6="",$N6="",$I6=""),"",IFERROR(($M6+$N6)*$I6,0))</f>
        <v/>
      </c>
      <c r="P6" s="94">
        <f>IF(OR($M6="",$N6="",$O6="",$J6=""),"",IFERROR(($M6+$N6+$O6)*$J6,0))</f>
        <v/>
      </c>
      <c r="Q6" s="94">
        <f>IF(OR($N6="",$O6="",$P6=""),"",IFERROR($N6+$O6+$P6,0))</f>
        <v/>
      </c>
      <c r="R6" s="94">
        <f>IF(OR($K6="",ToplamFOB=""),"",IFERROR($K6/MAX(BolumPaydaTaban,ToplamFOB)*ToplamYurtIciMasraf,0))</f>
        <v/>
      </c>
      <c r="S6" s="94">
        <f>IF(OR($M6="",$Q6="",$R6=""),"",IFERROR($M6+$Q6+$R6,0))</f>
        <v/>
      </c>
      <c r="T6" s="94">
        <f>IF(OR($S6="",$C6=""),"",IFERROR($S6/MAX(BolumPaydaTaban,$C6),0))</f>
        <v/>
      </c>
      <c r="U6" s="94">
        <f>IF(OR($S6="",$K6=""),"",IFERROR($S6/MAX(BolumPaydaTaban,$K6),0))</f>
        <v/>
      </c>
    </row>
    <row r="7" ht="15" customHeight="1" s="68">
      <c r="A7" s="110" t="inlineStr">
        <is>
          <t>Vana Seti</t>
        </is>
      </c>
      <c r="B7" s="110" t="inlineStr">
        <is>
          <t>Adet</t>
        </is>
      </c>
      <c r="C7" s="111" t="n">
        <v>200</v>
      </c>
      <c r="D7" s="112" t="n">
        <v>15</v>
      </c>
      <c r="E7" s="110" t="inlineStr">
        <is>
          <t>USD</t>
        </is>
      </c>
      <c r="F7" s="112" t="n">
        <v>38.5</v>
      </c>
      <c r="G7" s="113" t="n">
        <v>0.05</v>
      </c>
      <c r="H7" s="113" t="n">
        <v>0.05</v>
      </c>
      <c r="I7" s="113" t="n">
        <v>0.1</v>
      </c>
      <c r="J7" s="113" t="n">
        <v>0.2</v>
      </c>
      <c r="K7" s="94">
        <f>IF(OR($C7="",$D7="",$F7=""),"",IFERROR($C7*$D7*$F7,0))</f>
        <v/>
      </c>
      <c r="L7" s="94">
        <f>IF(OR($K7="",$G7=""),"",IFERROR($K7*$G7,0))</f>
        <v/>
      </c>
      <c r="M7" s="94">
        <f>IF(OR($K7="",$L7=""),"",IFERROR($K7+$L7,0))</f>
        <v/>
      </c>
      <c r="N7" s="94">
        <f>IF(OR($M7="",$H7=""),"",IFERROR($M7*$H7,0))</f>
        <v/>
      </c>
      <c r="O7" s="94">
        <f>IF(OR($M7="",$N7="",$I7=""),"",IFERROR(($M7+$N7)*$I7,0))</f>
        <v/>
      </c>
      <c r="P7" s="94">
        <f>IF(OR($M7="",$N7="",$O7="",$J7=""),"",IFERROR(($M7+$N7+$O7)*$J7,0))</f>
        <v/>
      </c>
      <c r="Q7" s="94">
        <f>IF(OR($N7="",$O7="",$P7=""),"",IFERROR($N7+$O7+$P7,0))</f>
        <v/>
      </c>
      <c r="R7" s="94">
        <f>IF(OR($K7="",ToplamFOB=""),"",IFERROR($K7/MAX(BolumPaydaTaban,ToplamFOB)*ToplamYurtIciMasraf,0))</f>
        <v/>
      </c>
      <c r="S7" s="94">
        <f>IF(OR($M7="",$Q7="",$R7=""),"",IFERROR($M7+$Q7+$R7,0))</f>
        <v/>
      </c>
      <c r="T7" s="94">
        <f>IF(OR($S7="",$C7=""),"",IFERROR($S7/MAX(BolumPaydaTaban,$C7),0))</f>
        <v/>
      </c>
      <c r="U7" s="94">
        <f>IF(OR($S7="",$K7=""),"",IFERROR($S7/MAX(BolumPaydaTaban,$K7),0))</f>
        <v/>
      </c>
    </row>
    <row r="8" ht="15" customHeight="1" s="68">
      <c r="A8" s="110" t="inlineStr">
        <is>
          <t>Boru Bağlantı Elemanı</t>
        </is>
      </c>
      <c r="B8" s="110" t="inlineStr">
        <is>
          <t>Kg</t>
        </is>
      </c>
      <c r="C8" s="111" t="n">
        <v>3000</v>
      </c>
      <c r="D8" s="112" t="n">
        <v>4</v>
      </c>
      <c r="E8" s="110" t="inlineStr">
        <is>
          <t>EUR</t>
        </is>
      </c>
      <c r="F8" s="112" t="n">
        <v>42</v>
      </c>
      <c r="G8" s="113" t="n">
        <v>0.05</v>
      </c>
      <c r="H8" s="113" t="n">
        <v>0.05</v>
      </c>
      <c r="I8" s="113" t="n">
        <v>0.1</v>
      </c>
      <c r="J8" s="113" t="n">
        <v>0.2</v>
      </c>
      <c r="K8" s="94">
        <f>IF(OR($C8="",$D8="",$F8=""),"",IFERROR($C8*$D8*$F8,0))</f>
        <v/>
      </c>
      <c r="L8" s="94">
        <f>IF(OR($K8="",$G8=""),"",IFERROR($K8*$G8,0))</f>
        <v/>
      </c>
      <c r="M8" s="94">
        <f>IF(OR($K8="",$L8=""),"",IFERROR($K8+$L8,0))</f>
        <v/>
      </c>
      <c r="N8" s="94">
        <f>IF(OR($M8="",$H8=""),"",IFERROR($M8*$H8,0))</f>
        <v/>
      </c>
      <c r="O8" s="94">
        <f>IF(OR($M8="",$N8="",$I8=""),"",IFERROR(($M8+$N8)*$I8,0))</f>
        <v/>
      </c>
      <c r="P8" s="94">
        <f>IF(OR($M8="",$N8="",$O8="",$J8=""),"",IFERROR(($M8+$N8+$O8)*$J8,0))</f>
        <v/>
      </c>
      <c r="Q8" s="94">
        <f>IF(OR($N8="",$O8="",$P8=""),"",IFERROR($N8+$O8+$P8,0))</f>
        <v/>
      </c>
      <c r="R8" s="94">
        <f>IF(OR($K8="",ToplamFOB=""),"",IFERROR($K8/MAX(BolumPaydaTaban,ToplamFOB)*ToplamYurtIciMasraf,0))</f>
        <v/>
      </c>
      <c r="S8" s="94">
        <f>IF(OR($M8="",$Q8="",$R8=""),"",IFERROR($M8+$Q8+$R8,0))</f>
        <v/>
      </c>
      <c r="T8" s="94">
        <f>IF(OR($S8="",$C8=""),"",IFERROR($S8/MAX(BolumPaydaTaban,$C8),0))</f>
        <v/>
      </c>
      <c r="U8" s="94">
        <f>IF(OR($S8="",$K8=""),"",IFERROR($S8/MAX(BolumPaydaTaban,$K8),0))</f>
        <v/>
      </c>
    </row>
    <row r="9" ht="15" customHeight="1" s="68">
      <c r="A9" s="110" t="inlineStr">
        <is>
          <t>Endüstriyel Motor</t>
        </is>
      </c>
      <c r="B9" s="110" t="inlineStr">
        <is>
          <t>Adet</t>
        </is>
      </c>
      <c r="C9" s="111" t="n">
        <v>25</v>
      </c>
      <c r="D9" s="112" t="n">
        <v>850</v>
      </c>
      <c r="E9" s="110" t="inlineStr">
        <is>
          <t>EUR</t>
        </is>
      </c>
      <c r="F9" s="112" t="n">
        <v>42</v>
      </c>
      <c r="G9" s="113" t="n">
        <v>0.05</v>
      </c>
      <c r="H9" s="113" t="n">
        <v>0.05</v>
      </c>
      <c r="I9" s="113" t="n">
        <v>0.1</v>
      </c>
      <c r="J9" s="113" t="n">
        <v>0.2</v>
      </c>
      <c r="K9" s="94">
        <f>IF(OR($C9="",$D9="",$F9=""),"",IFERROR($C9*$D9*$F9,0))</f>
        <v/>
      </c>
      <c r="L9" s="94">
        <f>IF(OR($K9="",$G9=""),"",IFERROR($K9*$G9,0))</f>
        <v/>
      </c>
      <c r="M9" s="94">
        <f>IF(OR($K9="",$L9=""),"",IFERROR($K9+$L9,0))</f>
        <v/>
      </c>
      <c r="N9" s="94">
        <f>IF(OR($M9="",$H9=""),"",IFERROR($M9*$H9,0))</f>
        <v/>
      </c>
      <c r="O9" s="94">
        <f>IF(OR($M9="",$N9="",$I9=""),"",IFERROR(($M9+$N9)*$I9,0))</f>
        <v/>
      </c>
      <c r="P9" s="94">
        <f>IF(OR($M9="",$N9="",$O9="",$J9=""),"",IFERROR(($M9+$N9+$O9)*$J9,0))</f>
        <v/>
      </c>
      <c r="Q9" s="94">
        <f>IF(OR($N9="",$O9="",$P9=""),"",IFERROR($N9+$O9+$P9,0))</f>
        <v/>
      </c>
      <c r="R9" s="94">
        <f>IF(OR($K9="",ToplamFOB=""),"",IFERROR($K9/MAX(BolumPaydaTaban,ToplamFOB)*ToplamYurtIciMasraf,0))</f>
        <v/>
      </c>
      <c r="S9" s="94">
        <f>IF(OR($M9="",$Q9="",$R9=""),"",IFERROR($M9+$Q9+$R9,0))</f>
        <v/>
      </c>
      <c r="T9" s="94">
        <f>IF(OR($S9="",$C9=""),"",IFERROR($S9/MAX(BolumPaydaTaban,$C9),0))</f>
        <v/>
      </c>
      <c r="U9" s="94">
        <f>IF(OR($S9="",$K9=""),"",IFERROR($S9/MAX(BolumPaydaTaban,$K9),0))</f>
        <v/>
      </c>
    </row>
    <row r="10" ht="15" customHeight="1" s="68">
      <c r="A10" s="110" t="inlineStr">
        <is>
          <t>Rulman Yatağı</t>
        </is>
      </c>
      <c r="B10" s="110" t="inlineStr">
        <is>
          <t>Adet</t>
        </is>
      </c>
      <c r="C10" s="111" t="n">
        <v>400</v>
      </c>
      <c r="D10" s="112" t="n">
        <v>18</v>
      </c>
      <c r="E10" s="110" t="inlineStr">
        <is>
          <t>USD</t>
        </is>
      </c>
      <c r="F10" s="112" t="n">
        <v>38.5</v>
      </c>
      <c r="G10" s="113" t="n">
        <v>0.05</v>
      </c>
      <c r="H10" s="113" t="n">
        <v>0.05</v>
      </c>
      <c r="I10" s="113" t="n">
        <v>0.1</v>
      </c>
      <c r="J10" s="113" t="n">
        <v>0.2</v>
      </c>
      <c r="K10" s="94">
        <f>IF(OR($C10="",$D10="",$F10=""),"",IFERROR($C10*$D10*$F10,0))</f>
        <v/>
      </c>
      <c r="L10" s="94">
        <f>IF(OR($K10="",$G10=""),"",IFERROR($K10*$G10,0))</f>
        <v/>
      </c>
      <c r="M10" s="94">
        <f>IF(OR($K10="",$L10=""),"",IFERROR($K10+$L10,0))</f>
        <v/>
      </c>
      <c r="N10" s="94">
        <f>IF(OR($M10="",$H10=""),"",IFERROR($M10*$H10,0))</f>
        <v/>
      </c>
      <c r="O10" s="94">
        <f>IF(OR($M10="",$N10="",$I10=""),"",IFERROR(($M10+$N10)*$I10,0))</f>
        <v/>
      </c>
      <c r="P10" s="94">
        <f>IF(OR($M10="",$N10="",$O10="",$J10=""),"",IFERROR(($M10+$N10+$O10)*$J10,0))</f>
        <v/>
      </c>
      <c r="Q10" s="94">
        <f>IF(OR($N10="",$O10="",$P10=""),"",IFERROR($N10+$O10+$P10,0))</f>
        <v/>
      </c>
      <c r="R10" s="94">
        <f>IF(OR($K10="",ToplamFOB=""),"",IFERROR($K10/MAX(BolumPaydaTaban,ToplamFOB)*ToplamYurtIciMasraf,0))</f>
        <v/>
      </c>
      <c r="S10" s="94">
        <f>IF(OR($M10="",$Q10="",$R10=""),"",IFERROR($M10+$Q10+$R10,0))</f>
        <v/>
      </c>
      <c r="T10" s="94">
        <f>IF(OR($S10="",$C10=""),"",IFERROR($S10/MAX(BolumPaydaTaban,$C10),0))</f>
        <v/>
      </c>
      <c r="U10" s="94">
        <f>IF(OR($S10="",$K10=""),"",IFERROR($S10/MAX(BolumPaydaTaban,$K10),0))</f>
        <v/>
      </c>
    </row>
    <row r="11" ht="15" customHeight="1" s="68">
      <c r="A11" s="110" t="inlineStr">
        <is>
          <t>Kayış Kasnak Seti</t>
        </is>
      </c>
      <c r="B11" s="110" t="inlineStr">
        <is>
          <t>Set</t>
        </is>
      </c>
      <c r="C11" s="111" t="n">
        <v>150</v>
      </c>
      <c r="D11" s="112" t="n">
        <v>45</v>
      </c>
      <c r="E11" s="110" t="inlineStr">
        <is>
          <t>USD</t>
        </is>
      </c>
      <c r="F11" s="112" t="n">
        <v>38.5</v>
      </c>
      <c r="G11" s="113" t="n">
        <v>0.05</v>
      </c>
      <c r="H11" s="113" t="n">
        <v>0.05</v>
      </c>
      <c r="I11" s="113" t="n">
        <v>0.1</v>
      </c>
      <c r="J11" s="113" t="n">
        <v>0.2</v>
      </c>
      <c r="K11" s="94">
        <f>IF(OR($C11="",$D11="",$F11=""),"",IFERROR($C11*$D11*$F11,0))</f>
        <v/>
      </c>
      <c r="L11" s="94">
        <f>IF(OR($K11="",$G11=""),"",IFERROR($K11*$G11,0))</f>
        <v/>
      </c>
      <c r="M11" s="94">
        <f>IF(OR($K11="",$L11=""),"",IFERROR($K11+$L11,0))</f>
        <v/>
      </c>
      <c r="N11" s="94">
        <f>IF(OR($M11="",$H11=""),"",IFERROR($M11*$H11,0))</f>
        <v/>
      </c>
      <c r="O11" s="94">
        <f>IF(OR($M11="",$N11="",$I11=""),"",IFERROR(($M11+$N11)*$I11,0))</f>
        <v/>
      </c>
      <c r="P11" s="94">
        <f>IF(OR($M11="",$N11="",$O11="",$J11=""),"",IFERROR(($M11+$N11+$O11)*$J11,0))</f>
        <v/>
      </c>
      <c r="Q11" s="94">
        <f>IF(OR($N11="",$O11="",$P11=""),"",IFERROR($N11+$O11+$P11,0))</f>
        <v/>
      </c>
      <c r="R11" s="94">
        <f>IF(OR($K11="",ToplamFOB=""),"",IFERROR($K11/MAX(BolumPaydaTaban,ToplamFOB)*ToplamYurtIciMasraf,0))</f>
        <v/>
      </c>
      <c r="S11" s="94">
        <f>IF(OR($M11="",$Q11="",$R11=""),"",IFERROR($M11+$Q11+$R11,0))</f>
        <v/>
      </c>
      <c r="T11" s="94">
        <f>IF(OR($S11="",$C11=""),"",IFERROR($S11/MAX(BolumPaydaTaban,$C11),0))</f>
        <v/>
      </c>
      <c r="U11" s="94">
        <f>IF(OR($S11="",$K11=""),"",IFERROR($S11/MAX(BolumPaydaTaban,$K11),0))</f>
        <v/>
      </c>
    </row>
    <row r="12" ht="15" customHeight="1" s="68">
      <c r="A12" s="110" t="inlineStr">
        <is>
          <t>Pnömatik Silindir</t>
        </is>
      </c>
      <c r="B12" s="110" t="inlineStr">
        <is>
          <t>Adet</t>
        </is>
      </c>
      <c r="C12" s="111" t="n">
        <v>80</v>
      </c>
      <c r="D12" s="112" t="n">
        <v>260</v>
      </c>
      <c r="E12" s="110" t="inlineStr">
        <is>
          <t>USD</t>
        </is>
      </c>
      <c r="F12" s="112" t="n">
        <v>38.5</v>
      </c>
      <c r="G12" s="113" t="n">
        <v>0.05</v>
      </c>
      <c r="H12" s="113" t="n">
        <v>0.05</v>
      </c>
      <c r="I12" s="113" t="n">
        <v>0.1</v>
      </c>
      <c r="J12" s="113" t="n">
        <v>0.2</v>
      </c>
      <c r="K12" s="94">
        <f>IF(OR($C12="",$D12="",$F12=""),"",IFERROR($C12*$D12*$F12,0))</f>
        <v/>
      </c>
      <c r="L12" s="94">
        <f>IF(OR($K12="",$G12=""),"",IFERROR($K12*$G12,0))</f>
        <v/>
      </c>
      <c r="M12" s="94">
        <f>IF(OR($K12="",$L12=""),"",IFERROR($K12+$L12,0))</f>
        <v/>
      </c>
      <c r="N12" s="94">
        <f>IF(OR($M12="",$H12=""),"",IFERROR($M12*$H12,0))</f>
        <v/>
      </c>
      <c r="O12" s="94">
        <f>IF(OR($M12="",$N12="",$I12=""),"",IFERROR(($M12+$N12)*$I12,0))</f>
        <v/>
      </c>
      <c r="P12" s="94">
        <f>IF(OR($M12="",$N12="",$O12="",$J12=""),"",IFERROR(($M12+$N12+$O12)*$J12,0))</f>
        <v/>
      </c>
      <c r="Q12" s="94">
        <f>IF(OR($N12="",$O12="",$P12=""),"",IFERROR($N12+$O12+$P12,0))</f>
        <v/>
      </c>
      <c r="R12" s="94">
        <f>IF(OR($K12="",ToplamFOB=""),"",IFERROR($K12/MAX(BolumPaydaTaban,ToplamFOB)*ToplamYurtIciMasraf,0))</f>
        <v/>
      </c>
      <c r="S12" s="94">
        <f>IF(OR($M12="",$Q12="",$R12=""),"",IFERROR($M12+$Q12+$R12,0))</f>
        <v/>
      </c>
      <c r="T12" s="94">
        <f>IF(OR($S12="",$C12=""),"",IFERROR($S12/MAX(BolumPaydaTaban,$C12),0))</f>
        <v/>
      </c>
      <c r="U12" s="94">
        <f>IF(OR($S12="",$K12=""),"",IFERROR($S12/MAX(BolumPaydaTaban,$K12),0))</f>
        <v/>
      </c>
    </row>
    <row r="13" ht="15" customHeight="1" s="68">
      <c r="A13" s="110" t="inlineStr">
        <is>
          <t>Dişli Kutusu</t>
        </is>
      </c>
      <c r="B13" s="110" t="inlineStr">
        <is>
          <t>Adet</t>
        </is>
      </c>
      <c r="C13" s="111" t="n">
        <v>12</v>
      </c>
      <c r="D13" s="112" t="n">
        <v>1450</v>
      </c>
      <c r="E13" s="110" t="inlineStr">
        <is>
          <t>EUR</t>
        </is>
      </c>
      <c r="F13" s="112" t="n">
        <v>42</v>
      </c>
      <c r="G13" s="113" t="n">
        <v>0.05</v>
      </c>
      <c r="H13" s="113" t="n">
        <v>0.05</v>
      </c>
      <c r="I13" s="113" t="n">
        <v>0.1</v>
      </c>
      <c r="J13" s="113" t="n">
        <v>0.2</v>
      </c>
      <c r="K13" s="94">
        <f>IF(OR($C13="",$D13="",$F13=""),"",IFERROR($C13*$D13*$F13,0))</f>
        <v/>
      </c>
      <c r="L13" s="94">
        <f>IF(OR($K13="",$G13=""),"",IFERROR($K13*$G13,0))</f>
        <v/>
      </c>
      <c r="M13" s="94">
        <f>IF(OR($K13="",$L13=""),"",IFERROR($K13+$L13,0))</f>
        <v/>
      </c>
      <c r="N13" s="94">
        <f>IF(OR($M13="",$H13=""),"",IFERROR($M13*$H13,0))</f>
        <v/>
      </c>
      <c r="O13" s="94">
        <f>IF(OR($M13="",$N13="",$I13=""),"",IFERROR(($M13+$N13)*$I13,0))</f>
        <v/>
      </c>
      <c r="P13" s="94">
        <f>IF(OR($M13="",$N13="",$O13="",$J13=""),"",IFERROR(($M13+$N13+$O13)*$J13,0))</f>
        <v/>
      </c>
      <c r="Q13" s="94">
        <f>IF(OR($N13="",$O13="",$P13=""),"",IFERROR($N13+$O13+$P13,0))</f>
        <v/>
      </c>
      <c r="R13" s="94">
        <f>IF(OR($K13="",ToplamFOB=""),"",IFERROR($K13/MAX(BolumPaydaTaban,ToplamFOB)*ToplamYurtIciMasraf,0))</f>
        <v/>
      </c>
      <c r="S13" s="94">
        <f>IF(OR($M13="",$Q13="",$R13=""),"",IFERROR($M13+$Q13+$R13,0))</f>
        <v/>
      </c>
      <c r="T13" s="94">
        <f>IF(OR($S13="",$C13=""),"",IFERROR($S13/MAX(BolumPaydaTaban,$C13),0))</f>
        <v/>
      </c>
      <c r="U13" s="94">
        <f>IF(OR($S13="",$K13=""),"",IFERROR($S13/MAX(BolumPaydaTaban,$K13),0))</f>
        <v/>
      </c>
    </row>
    <row r="14" ht="15" customHeight="1" s="68">
      <c r="A14" s="110" t="inlineStr">
        <is>
          <t>Basınç Sensörü</t>
        </is>
      </c>
      <c r="B14" s="110" t="inlineStr">
        <is>
          <t>Adet</t>
        </is>
      </c>
      <c r="C14" s="111" t="n">
        <v>300</v>
      </c>
      <c r="D14" s="112" t="n">
        <v>32</v>
      </c>
      <c r="E14" s="110" t="inlineStr">
        <is>
          <t>EUR</t>
        </is>
      </c>
      <c r="F14" s="112" t="n">
        <v>42</v>
      </c>
      <c r="G14" s="113" t="n">
        <v>0.05</v>
      </c>
      <c r="H14" s="113" t="n">
        <v>0.05</v>
      </c>
      <c r="I14" s="113" t="n">
        <v>0.1</v>
      </c>
      <c r="J14" s="113" t="n">
        <v>0.2</v>
      </c>
      <c r="K14" s="94">
        <f>IF(OR($C14="",$D14="",$F14=""),"",IFERROR($C14*$D14*$F14,0))</f>
        <v/>
      </c>
      <c r="L14" s="94">
        <f>IF(OR($K14="",$G14=""),"",IFERROR($K14*$G14,0))</f>
        <v/>
      </c>
      <c r="M14" s="94">
        <f>IF(OR($K14="",$L14=""),"",IFERROR($K14+$L14,0))</f>
        <v/>
      </c>
      <c r="N14" s="94">
        <f>IF(OR($M14="",$H14=""),"",IFERROR($M14*$H14,0))</f>
        <v/>
      </c>
      <c r="O14" s="94">
        <f>IF(OR($M14="",$N14="",$I14=""),"",IFERROR(($M14+$N14)*$I14,0))</f>
        <v/>
      </c>
      <c r="P14" s="94">
        <f>IF(OR($M14="",$N14="",$O14="",$J14=""),"",IFERROR(($M14+$N14+$O14)*$J14,0))</f>
        <v/>
      </c>
      <c r="Q14" s="94">
        <f>IF(OR($N14="",$O14="",$P14=""),"",IFERROR($N14+$O14+$P14,0))</f>
        <v/>
      </c>
      <c r="R14" s="94">
        <f>IF(OR($K14="",ToplamFOB=""),"",IFERROR($K14/MAX(BolumPaydaTaban,ToplamFOB)*ToplamYurtIciMasraf,0))</f>
        <v/>
      </c>
      <c r="S14" s="94">
        <f>IF(OR($M14="",$Q14="",$R14=""),"",IFERROR($M14+$Q14+$R14,0))</f>
        <v/>
      </c>
      <c r="T14" s="94">
        <f>IF(OR($S14="",$C14=""),"",IFERROR($S14/MAX(BolumPaydaTaban,$C14),0))</f>
        <v/>
      </c>
      <c r="U14" s="94">
        <f>IF(OR($S14="",$K14=""),"",IFERROR($S14/MAX(BolumPaydaTaban,$K14),0))</f>
        <v/>
      </c>
    </row>
    <row r="15" ht="15" customHeight="1" s="68">
      <c r="A15" s="110" t="inlineStr">
        <is>
          <t>Konveyör Rulosu</t>
        </is>
      </c>
      <c r="B15" s="110" t="inlineStr">
        <is>
          <t>Adet</t>
        </is>
      </c>
      <c r="C15" s="111" t="n">
        <v>600</v>
      </c>
      <c r="D15" s="112" t="n">
        <v>9</v>
      </c>
      <c r="E15" s="110" t="inlineStr">
        <is>
          <t>USD</t>
        </is>
      </c>
      <c r="F15" s="112" t="n">
        <v>38.5</v>
      </c>
      <c r="G15" s="113" t="n">
        <v>0.05</v>
      </c>
      <c r="H15" s="113" t="n">
        <v>0.05</v>
      </c>
      <c r="I15" s="113" t="n">
        <v>0.1</v>
      </c>
      <c r="J15" s="113" t="n">
        <v>0.2</v>
      </c>
      <c r="K15" s="94">
        <f>IF(OR($C15="",$D15="",$F15=""),"",IFERROR($C15*$D15*$F15,0))</f>
        <v/>
      </c>
      <c r="L15" s="94">
        <f>IF(OR($K15="",$G15=""),"",IFERROR($K15*$G15,0))</f>
        <v/>
      </c>
      <c r="M15" s="94">
        <f>IF(OR($K15="",$L15=""),"",IFERROR($K15+$L15,0))</f>
        <v/>
      </c>
      <c r="N15" s="94">
        <f>IF(OR($M15="",$H15=""),"",IFERROR($M15*$H15,0))</f>
        <v/>
      </c>
      <c r="O15" s="94">
        <f>IF(OR($M15="",$N15="",$I15=""),"",IFERROR(($M15+$N15)*$I15,0))</f>
        <v/>
      </c>
      <c r="P15" s="94">
        <f>IF(OR($M15="",$N15="",$O15="",$J15=""),"",IFERROR(($M15+$N15+$O15)*$J15,0))</f>
        <v/>
      </c>
      <c r="Q15" s="94">
        <f>IF(OR($N15="",$O15="",$P15=""),"",IFERROR($N15+$O15+$P15,0))</f>
        <v/>
      </c>
      <c r="R15" s="94">
        <f>IF(OR($K15="",ToplamFOB=""),"",IFERROR($K15/MAX(BolumPaydaTaban,ToplamFOB)*ToplamYurtIciMasraf,0))</f>
        <v/>
      </c>
      <c r="S15" s="94">
        <f>IF(OR($M15="",$Q15="",$R15=""),"",IFERROR($M15+$Q15+$R15,0))</f>
        <v/>
      </c>
      <c r="T15" s="94">
        <f>IF(OR($S15="",$C15=""),"",IFERROR($S15/MAX(BolumPaydaTaban,$C15),0))</f>
        <v/>
      </c>
      <c r="U15" s="94">
        <f>IF(OR($S15="",$K15=""),"",IFERROR($S15/MAX(BolumPaydaTaban,$K15),0))</f>
        <v/>
      </c>
    </row>
    <row r="16" ht="15" customHeight="1" s="68">
      <c r="A16" s="110" t="inlineStr">
        <is>
          <t>Kompresör Yedeği</t>
        </is>
      </c>
      <c r="B16" s="110" t="inlineStr">
        <is>
          <t>Adet</t>
        </is>
      </c>
      <c r="C16" s="111" t="n">
        <v>20</v>
      </c>
      <c r="D16" s="112" t="n">
        <v>720</v>
      </c>
      <c r="E16" s="110" t="inlineStr">
        <is>
          <t>USD</t>
        </is>
      </c>
      <c r="F16" s="112" t="n">
        <v>38.5</v>
      </c>
      <c r="G16" s="113" t="n">
        <v>0.05</v>
      </c>
      <c r="H16" s="113" t="n">
        <v>0.05</v>
      </c>
      <c r="I16" s="113" t="n">
        <v>0.1</v>
      </c>
      <c r="J16" s="113" t="n">
        <v>0.2</v>
      </c>
      <c r="K16" s="94">
        <f>IF(OR($C16="",$D16="",$F16=""),"",IFERROR($C16*$D16*$F16,0))</f>
        <v/>
      </c>
      <c r="L16" s="94">
        <f>IF(OR($K16="",$G16=""),"",IFERROR($K16*$G16,0))</f>
        <v/>
      </c>
      <c r="M16" s="94">
        <f>IF(OR($K16="",$L16=""),"",IFERROR($K16+$L16,0))</f>
        <v/>
      </c>
      <c r="N16" s="94">
        <f>IF(OR($M16="",$H16=""),"",IFERROR($M16*$H16,0))</f>
        <v/>
      </c>
      <c r="O16" s="94">
        <f>IF(OR($M16="",$N16="",$I16=""),"",IFERROR(($M16+$N16)*$I16,0))</f>
        <v/>
      </c>
      <c r="P16" s="94">
        <f>IF(OR($M16="",$N16="",$O16="",$J16=""),"",IFERROR(($M16+$N16+$O16)*$J16,0))</f>
        <v/>
      </c>
      <c r="Q16" s="94">
        <f>IF(OR($N16="",$O16="",$P16=""),"",IFERROR($N16+$O16+$P16,0))</f>
        <v/>
      </c>
      <c r="R16" s="94">
        <f>IF(OR($K16="",ToplamFOB=""),"",IFERROR($K16/MAX(BolumPaydaTaban,ToplamFOB)*ToplamYurtIciMasraf,0))</f>
        <v/>
      </c>
      <c r="S16" s="94">
        <f>IF(OR($M16="",$Q16="",$R16=""),"",IFERROR($M16+$Q16+$R16,0))</f>
        <v/>
      </c>
      <c r="T16" s="94">
        <f>IF(OR($S16="",$C16=""),"",IFERROR($S16/MAX(BolumPaydaTaban,$C16),0))</f>
        <v/>
      </c>
      <c r="U16" s="94">
        <f>IF(OR($S16="",$K16=""),"",IFERROR($S16/MAX(BolumPaydaTaban,$K16),0))</f>
        <v/>
      </c>
    </row>
    <row r="17" ht="15" customHeight="1" s="68">
      <c r="A17" s="110" t="inlineStr">
        <is>
          <t>Yağ Filtresi</t>
        </is>
      </c>
      <c r="B17" s="110" t="inlineStr">
        <is>
          <t>Adet</t>
        </is>
      </c>
      <c r="C17" s="111" t="n">
        <v>1200</v>
      </c>
      <c r="D17" s="112" t="n">
        <v>6</v>
      </c>
      <c r="E17" s="110" t="inlineStr">
        <is>
          <t>EUR</t>
        </is>
      </c>
      <c r="F17" s="112" t="n">
        <v>42</v>
      </c>
      <c r="G17" s="113" t="n">
        <v>0.05</v>
      </c>
      <c r="H17" s="113" t="n">
        <v>0.05</v>
      </c>
      <c r="I17" s="113" t="n">
        <v>0.1</v>
      </c>
      <c r="J17" s="113" t="n">
        <v>0.2</v>
      </c>
      <c r="K17" s="94">
        <f>IF(OR($C17="",$D17="",$F17=""),"",IFERROR($C17*$D17*$F17,0))</f>
        <v/>
      </c>
      <c r="L17" s="94">
        <f>IF(OR($K17="",$G17=""),"",IFERROR($K17*$G17,0))</f>
        <v/>
      </c>
      <c r="M17" s="94">
        <f>IF(OR($K17="",$L17=""),"",IFERROR($K17+$L17,0))</f>
        <v/>
      </c>
      <c r="N17" s="94">
        <f>IF(OR($M17="",$H17=""),"",IFERROR($M17*$H17,0))</f>
        <v/>
      </c>
      <c r="O17" s="94">
        <f>IF(OR($M17="",$N17="",$I17=""),"",IFERROR(($M17+$N17)*$I17,0))</f>
        <v/>
      </c>
      <c r="P17" s="94">
        <f>IF(OR($M17="",$N17="",$O17="",$J17=""),"",IFERROR(($M17+$N17+$O17)*$J17,0))</f>
        <v/>
      </c>
      <c r="Q17" s="94">
        <f>IF(OR($N17="",$O17="",$P17=""),"",IFERROR($N17+$O17+$P17,0))</f>
        <v/>
      </c>
      <c r="R17" s="94">
        <f>IF(OR($K17="",ToplamFOB=""),"",IFERROR($K17/MAX(BolumPaydaTaban,ToplamFOB)*ToplamYurtIciMasraf,0))</f>
        <v/>
      </c>
      <c r="S17" s="94">
        <f>IF(OR($M17="",$Q17="",$R17=""),"",IFERROR($M17+$Q17+$R17,0))</f>
        <v/>
      </c>
      <c r="T17" s="94">
        <f>IF(OR($S17="",$C17=""),"",IFERROR($S17/MAX(BolumPaydaTaban,$C17),0))</f>
        <v/>
      </c>
      <c r="U17" s="94">
        <f>IF(OR($S17="",$K17=""),"",IFERROR($S17/MAX(BolumPaydaTaban,$K17),0))</f>
        <v/>
      </c>
    </row>
    <row r="18" ht="15" customHeight="1" s="6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 ht="15" customHeight="1" s="68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 ht="15" customHeight="1" s="68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 ht="15" customHeight="1" s="68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 ht="15" customHeight="1" s="68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 ht="15" customHeight="1" s="68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 ht="15" customHeight="1" s="68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 ht="15" customHeight="1" s="68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 ht="15" customHeight="1" s="68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 ht="15" customHeight="1" s="68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 ht="15" customHeight="1" s="6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 ht="15" customHeight="1" s="68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 ht="15" customHeight="1" s="68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 ht="15" customHeight="1" s="68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 ht="15" customHeight="1" s="68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 ht="15" customHeight="1" s="68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 ht="15" customHeight="1" s="68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 ht="15" customHeight="1" s="68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 ht="15" customHeight="1" s="68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 ht="15" customHeight="1" s="68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 ht="15" customHeight="1" s="6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 ht="15" customHeight="1" s="68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 ht="15" customHeight="1" s="68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 ht="15" customHeight="1" s="68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 ht="15" customHeight="1" s="68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 ht="15" customHeight="1" s="68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 ht="15" customHeight="1" s="68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 ht="15" customHeight="1" s="68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 ht="15" customHeight="1" s="68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 ht="15" customHeight="1" s="68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 ht="15" customHeight="1" s="6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 ht="15" customHeight="1" s="68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 ht="15" customHeight="1" s="68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 ht="15" customHeight="1" s="68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 ht="15" customHeight="1" s="68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 ht="15" customHeight="1" s="68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 ht="15" customHeight="1" s="68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 ht="15" customHeight="1" s="68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 ht="15" customHeight="1" s="68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 ht="15" customHeight="1" s="68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 ht="15" customHeight="1" s="6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 ht="15" customHeight="1" s="68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 ht="15" customHeight="1" s="68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 ht="15" customHeight="1" s="68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 ht="15" customHeight="1" s="68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 ht="15" customHeight="1" s="68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 ht="15" customHeight="1" s="68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 ht="15" customHeight="1" s="68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 ht="15" customHeight="1" s="68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 ht="15" customHeight="1" s="68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 ht="15" customHeight="1" s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 ht="15" customHeight="1" s="68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 ht="15" customHeight="1" s="68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 ht="15" customHeight="1" s="68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 ht="15" customHeight="1" s="68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 ht="15" customHeight="1" s="68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 ht="15" customHeight="1" s="68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 ht="15" customHeight="1" s="68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 ht="15" customHeight="1" s="68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 ht="15" customHeight="1" s="68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 ht="15" customHeight="1" s="6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 ht="15" customHeight="1" s="68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 ht="15" customHeight="1" s="68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 ht="15" customHeight="1" s="68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 ht="15" customHeight="1" s="68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 ht="15" customHeight="1" s="68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 ht="15" customHeight="1" s="68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 ht="15" customHeight="1" s="68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 ht="15" customHeight="1" s="68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 ht="15" customHeight="1" s="68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 ht="15" customHeight="1" s="6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 ht="15" customHeight="1" s="68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 ht="15" customHeight="1" s="68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 ht="15" customHeight="1" s="68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 ht="15" customHeight="1" s="68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 ht="15" customHeight="1" s="68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 ht="15" customHeight="1" s="68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 ht="15" customHeight="1" s="68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 ht="15" customHeight="1" s="68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 ht="15" customHeight="1" s="68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 ht="15" customHeight="1" s="6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 ht="15" customHeight="1" s="68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 ht="15" customHeight="1" s="68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 ht="15" customHeight="1" s="68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 ht="15" customHeight="1" s="68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 ht="15" customHeight="1" s="68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 ht="15" customHeight="1" s="68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 ht="15" customHeight="1" s="68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 ht="15" customHeight="1" s="68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 ht="15" customHeight="1" s="68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 ht="15" customHeight="1" s="6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 ht="15" customHeight="1" s="68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 ht="15" customHeight="1" s="68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 ht="15" customHeight="1" s="68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 ht="15" customHeight="1" s="68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 ht="15" customHeight="1" s="68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 ht="15" customHeight="1" s="68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 ht="15" customHeight="1" s="68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 ht="15" customHeight="1" s="68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 ht="15" customHeight="1" s="68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 ht="15" customHeight="1" s="6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 ht="15" customHeight="1" s="68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 ht="15" customHeight="1" s="68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 ht="15" customHeight="1" s="68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 ht="15" customHeight="1" s="68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 ht="15" customHeight="1" s="68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 ht="15" customHeight="1" s="68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 ht="15" customHeight="1" s="68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 ht="15" customHeight="1" s="68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 ht="15" customHeight="1" s="68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 ht="15" customHeight="1" s="6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 ht="15" customHeight="1" s="68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 ht="15" customHeight="1" s="68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 ht="15" customHeight="1" s="68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 ht="15" customHeight="1" s="68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 ht="15" customHeight="1" s="68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 ht="15" customHeight="1" s="68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 ht="15" customHeight="1" s="68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 ht="15" customHeight="1" s="68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 ht="15" customHeight="1" s="68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 ht="15" customHeight="1" s="6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 ht="15" customHeight="1" s="68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 ht="15" customHeight="1" s="68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 ht="15" customHeight="1" s="68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 ht="15" customHeight="1" s="68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 ht="15" customHeight="1" s="68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 ht="15" customHeight="1" s="68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 ht="15" customHeight="1" s="68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 ht="15" customHeight="1" s="68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 ht="15" customHeight="1" s="68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 ht="15" customHeight="1" s="6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 ht="15" customHeight="1" s="68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 ht="15" customHeight="1" s="68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 ht="15" customHeight="1" s="68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 ht="15" customHeight="1" s="68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 ht="15" customHeight="1" s="68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 ht="15" customHeight="1" s="68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 ht="15" customHeight="1" s="68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 ht="15" customHeight="1" s="68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 ht="15" customHeight="1" s="68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 ht="15" customHeight="1" s="6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 ht="15" customHeight="1" s="68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 ht="15" customHeight="1" s="68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 ht="15" customHeight="1" s="68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 ht="15" customHeight="1" s="68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 ht="15" customHeight="1" s="68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 ht="15" customHeight="1" s="68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 ht="15" customHeight="1" s="68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 ht="15" customHeight="1" s="68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 ht="15" customHeight="1" s="68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 ht="15" customHeight="1" s="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 ht="15" customHeight="1" s="68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 ht="15" customHeight="1" s="68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 ht="15" customHeight="1" s="68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 ht="15" customHeight="1" s="68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 ht="15" customHeight="1" s="68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 ht="15" customHeight="1" s="68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 ht="15" customHeight="1" s="68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 ht="15" customHeight="1" s="68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 ht="15" customHeight="1" s="68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 ht="15" customHeight="1" s="6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 ht="15" customHeight="1" s="68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 ht="15" customHeight="1" s="68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 ht="15" customHeight="1" s="68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 ht="15" customHeight="1" s="68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 ht="15" customHeight="1" s="68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 ht="15" customHeight="1" s="68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 ht="15" customHeight="1" s="68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 ht="15" customHeight="1" s="68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 ht="15" customHeight="1" s="68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 ht="15" customHeight="1" s="6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 ht="15" customHeight="1" s="68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 ht="15" customHeight="1" s="68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 ht="15" customHeight="1" s="68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 ht="15" customHeight="1" s="68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 ht="15" customHeight="1" s="68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 ht="15" customHeight="1" s="68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 ht="15" customHeight="1" s="68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 ht="15" customHeight="1" s="68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 ht="15" customHeight="1" s="68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 ht="15" customHeight="1" s="6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 ht="15" customHeight="1" s="68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 ht="15" customHeight="1" s="68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  <row r="201" ht="15" customHeight="1" s="68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</row>
    <row r="202" ht="15" customHeight="1" s="68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</row>
    <row r="203" ht="15" customHeight="1" s="68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</row>
    <row r="204" ht="15" customHeight="1" s="68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</row>
    <row r="205" ht="15" customHeight="1" s="68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</row>
    <row r="206" ht="15" customHeight="1" s="68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</row>
    <row r="207" ht="15" customHeight="1" s="68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</row>
    <row r="208" ht="15" customHeight="1" s="6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</row>
    <row r="209" ht="15" customHeight="1" s="68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</row>
    <row r="210" ht="15" customHeight="1" s="68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</row>
    <row r="211" ht="15" customHeight="1" s="68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</row>
    <row r="212" ht="15" customHeight="1" s="68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</row>
    <row r="213" ht="15" customHeight="1" s="68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</row>
    <row r="214" ht="15" customHeight="1" s="68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</row>
    <row r="215" ht="15" customHeight="1" s="68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</row>
    <row r="216" ht="15" customHeight="1" s="68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</row>
    <row r="217" ht="15" customHeight="1" s="68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</row>
    <row r="218" ht="15" customHeight="1" s="6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</row>
    <row r="219" ht="15" customHeight="1" s="68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</row>
    <row r="220" ht="15" customHeight="1" s="68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</row>
    <row r="221" ht="15" customHeight="1" s="68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</row>
    <row r="222" ht="15" customHeight="1" s="68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</row>
    <row r="223" ht="15" customHeight="1" s="68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</row>
    <row r="224" ht="15" customHeight="1" s="68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</row>
    <row r="225" ht="15" customHeight="1" s="68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</row>
    <row r="226" ht="15" customHeight="1" s="68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</row>
    <row r="227" ht="15" customHeight="1" s="68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</row>
    <row r="228" ht="15" customHeight="1" s="6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</row>
    <row r="229" ht="15" customHeight="1" s="68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</row>
    <row r="230" ht="15" customHeight="1" s="68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</row>
    <row r="231" ht="15" customHeight="1" s="68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</row>
    <row r="232" ht="15" customHeight="1" s="68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</row>
    <row r="233" ht="15" customHeight="1" s="68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</row>
    <row r="234" ht="15" customHeight="1" s="68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</row>
    <row r="235" ht="15" customHeight="1" s="68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</row>
    <row r="236" ht="15" customHeight="1" s="68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</row>
    <row r="237" ht="15" customHeight="1" s="68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</row>
    <row r="238" ht="15" customHeight="1" s="6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</row>
    <row r="239" ht="15" customHeight="1" s="68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</row>
    <row r="240" ht="15" customHeight="1" s="68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</row>
    <row r="241" ht="15" customHeight="1" s="68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</row>
    <row r="242" ht="15" customHeight="1" s="68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</row>
    <row r="243" ht="15" customHeight="1" s="68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</row>
    <row r="244" ht="15" customHeight="1" s="68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</row>
    <row r="245" ht="15" customHeight="1" s="68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</row>
    <row r="246" ht="15" customHeight="1" s="68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</row>
    <row r="247" ht="15" customHeight="1" s="68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</row>
    <row r="248" ht="15" customHeight="1" s="6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</row>
    <row r="249" ht="15" customHeight="1" s="68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</row>
    <row r="250" ht="15" customHeight="1" s="68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</row>
    <row r="251" ht="15" customHeight="1" s="68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</row>
    <row r="252" ht="15" customHeight="1" s="68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</row>
    <row r="253" ht="15" customHeight="1" s="68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</row>
    <row r="254" ht="15" customHeight="1" s="68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</row>
    <row r="255" ht="15" customHeight="1" s="68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</row>
    <row r="256" ht="15" customHeight="1" s="68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</row>
    <row r="257" ht="15" customHeight="1" s="68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</row>
    <row r="258" ht="15" customHeight="1" s="6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</row>
    <row r="259" ht="15" customHeight="1" s="68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</row>
    <row r="260" ht="15" customHeight="1" s="68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</row>
    <row r="261" ht="15" customHeight="1" s="68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</row>
    <row r="262" ht="15" customHeight="1" s="68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</row>
    <row r="263" ht="15" customHeight="1" s="68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</row>
    <row r="264" ht="15" customHeight="1" s="68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</row>
    <row r="265" ht="15" customHeight="1" s="68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</row>
    <row r="266" ht="15" customHeight="1" s="68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</row>
    <row r="267" ht="15" customHeight="1" s="68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</row>
    <row r="268" ht="15" customHeight="1" s="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</row>
    <row r="269" ht="15" customHeight="1" s="68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</row>
    <row r="270" ht="15" customHeight="1" s="68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</row>
    <row r="271" ht="15" customHeight="1" s="68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</row>
    <row r="272" ht="15" customHeight="1" s="68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</row>
    <row r="273" ht="15" customHeight="1" s="68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</row>
    <row r="274" ht="15" customHeight="1" s="68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</row>
    <row r="275" ht="15" customHeight="1" s="68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</row>
    <row r="276" ht="15" customHeight="1" s="68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</row>
    <row r="277" ht="15" customHeight="1" s="68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</row>
    <row r="278" ht="15" customHeight="1" s="6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</row>
    <row r="279" ht="15" customHeight="1" s="68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</row>
    <row r="280" ht="15" customHeight="1" s="68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</row>
    <row r="281" ht="15" customHeight="1" s="68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</row>
    <row r="282" ht="15" customHeight="1" s="68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</row>
    <row r="283" ht="15" customHeight="1" s="68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</row>
    <row r="284" ht="15" customHeight="1" s="68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</row>
    <row r="285" ht="15" customHeight="1" s="68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</row>
    <row r="286" ht="15" customHeight="1" s="68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</row>
    <row r="287" ht="15" customHeight="1" s="68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</row>
    <row r="288" ht="15" customHeight="1" s="6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</row>
    <row r="289" ht="15" customHeight="1" s="68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</row>
    <row r="290" ht="15" customHeight="1" s="68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</row>
    <row r="291" ht="15" customHeight="1" s="68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</row>
    <row r="292" ht="15" customHeight="1" s="68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</row>
    <row r="293" ht="15" customHeight="1" s="68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</row>
    <row r="294" ht="15" customHeight="1" s="68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</row>
    <row r="295" ht="15" customHeight="1" s="68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</row>
    <row r="296" ht="15" customHeight="1" s="68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</row>
    <row r="297" ht="15" customHeight="1" s="68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</row>
    <row r="298" ht="15" customHeight="1" s="6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</row>
    <row r="299" ht="15" customHeight="1" s="68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</row>
    <row r="300" ht="15" customHeight="1" s="68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</row>
    <row r="301" ht="15" customHeight="1" s="68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</row>
    <row r="302" ht="15" customHeight="1" s="68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</row>
    <row r="303" ht="15" customHeight="1" s="68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</row>
    <row r="304" ht="15" customHeight="1" s="68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</row>
    <row r="305" ht="15" customHeight="1" s="68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</row>
    <row r="306" ht="15" customHeight="1" s="68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</row>
    <row r="307" ht="15" customHeight="1" s="68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</row>
    <row r="308" ht="15" customHeight="1" s="6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</row>
    <row r="309" ht="15" customHeight="1" s="68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</row>
    <row r="310" ht="15" customHeight="1" s="68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</row>
    <row r="311" ht="15" customHeight="1" s="68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</row>
    <row r="312" ht="15" customHeight="1" s="68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</row>
    <row r="313" ht="15" customHeight="1" s="68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</row>
    <row r="314" ht="15" customHeight="1" s="68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</row>
    <row r="315" ht="15" customHeight="1" s="68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</row>
    <row r="316" ht="15" customHeight="1" s="68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</row>
    <row r="317" ht="15" customHeight="1" s="68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</row>
    <row r="318" ht="15" customHeight="1" s="6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</row>
    <row r="319" ht="15" customHeight="1" s="68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</row>
    <row r="320" ht="15" customHeight="1" s="68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</row>
    <row r="321" ht="15" customHeight="1" s="68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</row>
    <row r="322" ht="15" customHeight="1" s="68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</row>
    <row r="323" ht="15" customHeight="1" s="68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</row>
    <row r="324" ht="15" customHeight="1" s="68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</row>
    <row r="325" ht="15" customHeight="1" s="68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</row>
    <row r="326" ht="15" customHeight="1" s="68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</row>
    <row r="327" ht="15" customHeight="1" s="68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</row>
    <row r="328" ht="15" customHeight="1" s="6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</row>
    <row r="329" ht="15" customHeight="1" s="68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</row>
    <row r="330" ht="15" customHeight="1" s="68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</row>
    <row r="331" ht="15" customHeight="1" s="68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</row>
    <row r="332" ht="15" customHeight="1" s="68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</row>
    <row r="333" ht="15" customHeight="1" s="68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</row>
    <row r="334" ht="15" customHeight="1" s="68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</row>
    <row r="335" ht="15" customHeight="1" s="68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</row>
    <row r="336" ht="15" customHeight="1" s="68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</row>
    <row r="337" ht="15" customHeight="1" s="68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</row>
    <row r="338" ht="15" customHeight="1" s="6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</row>
    <row r="339" ht="15" customHeight="1" s="68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</row>
    <row r="340" ht="15" customHeight="1" s="68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</row>
    <row r="341" ht="15" customHeight="1" s="68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</row>
    <row r="342" ht="15" customHeight="1" s="68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</row>
    <row r="343" ht="15" customHeight="1" s="68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</row>
    <row r="344" ht="15" customHeight="1" s="68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</row>
    <row r="345" ht="15" customHeight="1" s="68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</row>
    <row r="346" ht="15" customHeight="1" s="68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</row>
    <row r="347" ht="15" customHeight="1" s="68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</row>
    <row r="348" ht="15" customHeight="1" s="6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</row>
    <row r="349" ht="15" customHeight="1" s="68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</row>
    <row r="350" ht="15" customHeight="1" s="68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</row>
    <row r="351" ht="15" customHeight="1" s="68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</row>
    <row r="352" ht="15" customHeight="1" s="68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</row>
    <row r="353" ht="15" customHeight="1" s="68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</row>
    <row r="354" ht="15" customHeight="1" s="68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</row>
    <row r="355" ht="15" customHeight="1" s="68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</row>
    <row r="356" ht="15" customHeight="1" s="68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</row>
    <row r="357" ht="15" customHeight="1" s="68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</row>
    <row r="358" ht="15" customHeight="1" s="6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</row>
    <row r="359" ht="15" customHeight="1" s="68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</row>
    <row r="360" ht="15" customHeight="1" s="68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</row>
    <row r="361" ht="15" customHeight="1" s="68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</row>
    <row r="362" ht="15" customHeight="1" s="68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</row>
    <row r="363" ht="15" customHeight="1" s="68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</row>
    <row r="364" ht="15" customHeight="1" s="68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</row>
    <row r="365" ht="15" customHeight="1" s="68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</row>
    <row r="366" ht="15" customHeight="1" s="68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</row>
    <row r="367" ht="15" customHeight="1" s="68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</row>
    <row r="368" ht="15" customHeight="1" s="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</row>
    <row r="369" ht="15" customHeight="1" s="68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</row>
    <row r="370" ht="15" customHeight="1" s="68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</row>
    <row r="371" ht="15" customHeight="1" s="68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</row>
    <row r="372" ht="15" customHeight="1" s="68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</row>
    <row r="373" ht="15" customHeight="1" s="68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</row>
    <row r="374" ht="15" customHeight="1" s="68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</row>
    <row r="375" ht="15" customHeight="1" s="68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</row>
    <row r="376" ht="15" customHeight="1" s="68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</row>
    <row r="377" ht="15" customHeight="1" s="68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</row>
    <row r="378" ht="15" customHeight="1" s="6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</row>
    <row r="379" ht="15" customHeight="1" s="68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</row>
    <row r="380" ht="15" customHeight="1" s="68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</row>
    <row r="381" ht="15" customHeight="1" s="68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</row>
    <row r="382" ht="15" customHeight="1" s="68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</row>
    <row r="383" ht="15" customHeight="1" s="68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</row>
    <row r="384" ht="15" customHeight="1" s="68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</row>
    <row r="385" ht="15" customHeight="1" s="68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</row>
    <row r="386" ht="15" customHeight="1" s="68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</row>
    <row r="387" ht="15" customHeight="1" s="68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</row>
    <row r="388" ht="15" customHeight="1" s="6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</row>
    <row r="389" ht="15" customHeight="1" s="68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</row>
    <row r="390" ht="15" customHeight="1" s="68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</row>
    <row r="391" ht="15" customHeight="1" s="68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</row>
    <row r="392" ht="15" customHeight="1" s="68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</row>
    <row r="393" ht="15" customHeight="1" s="68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</row>
    <row r="394" ht="15" customHeight="1" s="68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</row>
    <row r="395" ht="15" customHeight="1" s="68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</row>
    <row r="396" ht="15" customHeight="1" s="68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</row>
    <row r="397" ht="15" customHeight="1" s="68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</row>
    <row r="398" ht="15" customHeight="1" s="6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</row>
    <row r="399" ht="15" customHeight="1" s="68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</row>
    <row r="400" ht="15" customHeight="1" s="68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</row>
    <row r="401" ht="15" customHeight="1" s="68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</row>
    <row r="402" ht="15" customHeight="1" s="68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</row>
    <row r="403" ht="15" customHeight="1" s="68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</row>
    <row r="404" ht="15" customHeight="1" s="68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</row>
    <row r="405" ht="15" customHeight="1" s="68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</row>
    <row r="406" ht="15" customHeight="1" s="68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</row>
    <row r="407" ht="15" customHeight="1" s="68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</row>
    <row r="408" ht="15" customHeight="1" s="6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</row>
    <row r="409" ht="15" customHeight="1" s="68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</row>
    <row r="410" ht="15" customHeight="1" s="68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</row>
    <row r="411" ht="15" customHeight="1" s="68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</row>
    <row r="412" ht="15" customHeight="1" s="68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</row>
    <row r="413" ht="15" customHeight="1" s="68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</row>
    <row r="414" ht="15" customHeight="1" s="68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</row>
    <row r="415" ht="15" customHeight="1" s="68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</row>
    <row r="416" ht="15" customHeight="1" s="68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</row>
    <row r="417" ht="15" customHeight="1" s="68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</row>
    <row r="418" ht="15" customHeight="1" s="6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</row>
    <row r="419" ht="15" customHeight="1" s="68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</row>
    <row r="420" ht="15" customHeight="1" s="68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</row>
    <row r="421" ht="15" customHeight="1" s="68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</row>
    <row r="422" ht="15" customHeight="1" s="68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</row>
    <row r="423" ht="15" customHeight="1" s="68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</row>
    <row r="424" ht="15" customHeight="1" s="68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</row>
    <row r="425" ht="15" customHeight="1" s="68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</row>
    <row r="426" ht="15" customHeight="1" s="68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</row>
    <row r="427" ht="15" customHeight="1" s="68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</row>
    <row r="428" ht="15" customHeight="1" s="6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</row>
    <row r="429" ht="15" customHeight="1" s="68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</row>
    <row r="430" ht="15" customHeight="1" s="68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</row>
    <row r="431" ht="15" customHeight="1" s="68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</row>
    <row r="432" ht="15" customHeight="1" s="68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</row>
    <row r="433" ht="15" customHeight="1" s="68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</row>
    <row r="434" ht="15" customHeight="1" s="68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</row>
    <row r="435" ht="15" customHeight="1" s="68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</row>
    <row r="436" ht="15" customHeight="1" s="68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</row>
    <row r="437" ht="15" customHeight="1" s="68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</row>
    <row r="438" ht="15" customHeight="1" s="6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</row>
    <row r="439" ht="15" customHeight="1" s="68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</row>
    <row r="440" ht="15" customHeight="1" s="68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</row>
    <row r="441" ht="15" customHeight="1" s="68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</row>
    <row r="442" ht="15" customHeight="1" s="68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</row>
    <row r="443" ht="15" customHeight="1" s="68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</row>
    <row r="444" ht="15" customHeight="1" s="68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</row>
    <row r="445" ht="15" customHeight="1" s="68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</row>
    <row r="446" ht="15" customHeight="1" s="68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</row>
    <row r="447" ht="15" customHeight="1" s="68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</row>
    <row r="448" ht="15" customHeight="1" s="6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</row>
    <row r="449" ht="15" customHeight="1" s="68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</row>
    <row r="450" ht="15" customHeight="1" s="68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</row>
    <row r="451" ht="15" customHeight="1" s="68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</row>
    <row r="452" ht="15" customHeight="1" s="68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</row>
    <row r="453" ht="15" customHeight="1" s="68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</row>
    <row r="454" ht="15" customHeight="1" s="68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</row>
    <row r="455" ht="15" customHeight="1" s="68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</row>
    <row r="456" ht="15" customHeight="1" s="68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</row>
    <row r="457" ht="15" customHeight="1" s="68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</row>
    <row r="458" ht="15" customHeight="1" s="6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</row>
    <row r="459" ht="15" customHeight="1" s="68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</row>
    <row r="460" ht="15" customHeight="1" s="68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</row>
    <row r="461" ht="15" customHeight="1" s="68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</row>
    <row r="462" ht="15" customHeight="1" s="68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</row>
    <row r="463" ht="15" customHeight="1" s="68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</row>
    <row r="464" ht="15" customHeight="1" s="68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</row>
    <row r="465" ht="15" customHeight="1" s="68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</row>
    <row r="466" ht="15" customHeight="1" s="68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</row>
    <row r="467" ht="15" customHeight="1" s="68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</row>
    <row r="468" ht="15" customHeight="1" s="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</row>
    <row r="469" ht="15" customHeight="1" s="68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</row>
    <row r="470" ht="15" customHeight="1" s="68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</row>
    <row r="471" ht="15" customHeight="1" s="68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</row>
    <row r="472" ht="15" customHeight="1" s="68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</row>
    <row r="473" ht="15" customHeight="1" s="68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</row>
    <row r="474" ht="15" customHeight="1" s="68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</row>
    <row r="475" ht="15" customHeight="1" s="68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</row>
    <row r="476" ht="15" customHeight="1" s="68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</row>
    <row r="477" ht="15" customHeight="1" s="68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</row>
    <row r="478" ht="15" customHeight="1" s="6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</row>
    <row r="479" ht="15" customHeight="1" s="68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</row>
    <row r="480" ht="15" customHeight="1" s="68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</row>
    <row r="481" ht="15" customHeight="1" s="68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</row>
    <row r="482" ht="15" customHeight="1" s="68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</row>
    <row r="483" ht="15" customHeight="1" s="68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</row>
    <row r="484" ht="15" customHeight="1" s="68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</row>
    <row r="485" ht="15" customHeight="1" s="68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</row>
    <row r="486" ht="15" customHeight="1" s="68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</row>
    <row r="487" ht="15" customHeight="1" s="68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</row>
    <row r="488" ht="15" customHeight="1" s="6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</row>
    <row r="489" ht="15" customHeight="1" s="68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</row>
    <row r="490" ht="15" customHeight="1" s="68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</row>
    <row r="491" ht="15" customHeight="1" s="68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</row>
    <row r="492" ht="15" customHeight="1" s="68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</row>
    <row r="493" ht="15" customHeight="1" s="68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</row>
    <row r="494" ht="15" customHeight="1" s="68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</row>
    <row r="495" ht="15" customHeight="1" s="68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</row>
    <row r="496" ht="15" customHeight="1" s="68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</row>
    <row r="497" ht="15" customHeight="1" s="68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</row>
    <row r="498" ht="15" customHeight="1" s="6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</row>
    <row r="499" ht="15" customHeight="1" s="68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</row>
    <row r="500" ht="15" customHeight="1" s="68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</row>
    <row r="501" ht="15" customHeight="1" s="68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</row>
    <row r="502" ht="15" customHeight="1" s="68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</row>
    <row r="503" ht="15" customHeight="1" s="68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</row>
    <row r="504" ht="15" customHeight="1" s="68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</row>
    <row r="505" ht="15" customHeight="1" s="68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</row>
    <row r="506" ht="15" customHeight="1" s="68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</row>
    <row r="507" ht="15" customHeight="1" s="68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</row>
    <row r="508" ht="15" customHeight="1" s="6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</row>
    <row r="509" ht="15" customHeight="1" s="68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</row>
    <row r="510" ht="15" customHeight="1" s="68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</row>
    <row r="511" ht="15" customHeight="1" s="68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</row>
    <row r="512" ht="15" customHeight="1" s="68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</row>
    <row r="513" ht="15" customHeight="1" s="68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</row>
    <row r="514" ht="15" customHeight="1" s="68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</row>
    <row r="515" ht="15" customHeight="1" s="68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</row>
    <row r="516" ht="15" customHeight="1" s="68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</row>
    <row r="517" ht="15" customHeight="1" s="68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</row>
    <row r="518" ht="15" customHeight="1" s="6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</row>
    <row r="519" ht="15" customHeight="1" s="68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</row>
    <row r="520" ht="15" customHeight="1" s="68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</row>
    <row r="521" ht="15" customHeight="1" s="68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</row>
    <row r="522" ht="15" customHeight="1" s="68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</row>
    <row r="523" ht="15" customHeight="1" s="68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</row>
    <row r="524" ht="15" customHeight="1" s="68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</row>
    <row r="525" ht="15" customHeight="1" s="68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</row>
    <row r="526" ht="15" customHeight="1" s="68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</row>
    <row r="527" ht="15" customHeight="1" s="68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</row>
    <row r="528" ht="15" customHeight="1" s="6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</row>
    <row r="529" ht="15" customHeight="1" s="68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</row>
    <row r="530" ht="15" customHeight="1" s="68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</row>
    <row r="531" ht="15" customHeight="1" s="68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</row>
    <row r="532" ht="15" customHeight="1" s="68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</row>
    <row r="533" ht="15" customHeight="1" s="68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</row>
    <row r="534" ht="15" customHeight="1" s="68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</row>
    <row r="535" ht="15" customHeight="1" s="68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</row>
    <row r="536" ht="15" customHeight="1" s="68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</row>
    <row r="537" ht="15" customHeight="1" s="68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</row>
    <row r="538" ht="15" customHeight="1" s="6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</row>
    <row r="539" ht="15" customHeight="1" s="68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</row>
    <row r="540" ht="15" customHeight="1" s="68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</row>
    <row r="541" ht="15" customHeight="1" s="68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</row>
    <row r="542" ht="15" customHeight="1" s="68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</row>
    <row r="543" ht="15" customHeight="1" s="68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</row>
    <row r="544" ht="15" customHeight="1" s="68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</row>
    <row r="545" ht="15" customHeight="1" s="68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</row>
    <row r="546" ht="15" customHeight="1" s="68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</row>
    <row r="547" ht="15" customHeight="1" s="68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</row>
    <row r="548" ht="15" customHeight="1" s="6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</row>
    <row r="549" ht="15" customHeight="1" s="68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</row>
    <row r="550" ht="15" customHeight="1" s="68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</row>
    <row r="551" ht="15" customHeight="1" s="68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</row>
    <row r="552" ht="15" customHeight="1" s="68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</row>
    <row r="553" ht="15" customHeight="1" s="68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</row>
    <row r="554" ht="15" customHeight="1" s="68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</row>
    <row r="555" ht="15" customHeight="1" s="68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</row>
    <row r="556" ht="15" customHeight="1" s="68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</row>
    <row r="557" ht="15" customHeight="1" s="68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</row>
    <row r="558" ht="15" customHeight="1" s="6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</row>
    <row r="559" ht="15" customHeight="1" s="68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</row>
    <row r="560" ht="15" customHeight="1" s="68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</row>
    <row r="561" ht="15" customHeight="1" s="68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</row>
    <row r="562" ht="15" customHeight="1" s="68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</row>
    <row r="563" ht="15" customHeight="1" s="68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</row>
    <row r="564" ht="15" customHeight="1" s="68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</row>
    <row r="565" ht="15" customHeight="1" s="68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</row>
    <row r="566" ht="15" customHeight="1" s="68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</row>
    <row r="567" ht="15" customHeight="1" s="68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</row>
    <row r="568" ht="15" customHeight="1" s="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</row>
    <row r="569" ht="15" customHeight="1" s="68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</row>
    <row r="570" ht="15" customHeight="1" s="68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</row>
    <row r="571" ht="15" customHeight="1" s="68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</row>
    <row r="572" ht="15" customHeight="1" s="68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</row>
    <row r="573" ht="15" customHeight="1" s="68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</row>
    <row r="574" ht="15" customHeight="1" s="68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</row>
    <row r="575" ht="15" customHeight="1" s="68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</row>
    <row r="576" ht="15" customHeight="1" s="68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</row>
    <row r="577" ht="15" customHeight="1" s="68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</row>
    <row r="578" ht="15" customHeight="1" s="6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</row>
    <row r="579" ht="15" customHeight="1" s="68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</row>
    <row r="580" ht="15" customHeight="1" s="68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</row>
    <row r="581" ht="15" customHeight="1" s="68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</row>
    <row r="582" ht="15" customHeight="1" s="68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</row>
    <row r="583" ht="15" customHeight="1" s="68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</row>
    <row r="584" ht="15" customHeight="1" s="68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</row>
    <row r="585" ht="15" customHeight="1" s="68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</row>
    <row r="586" ht="15" customHeight="1" s="68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</row>
    <row r="587" ht="15" customHeight="1" s="68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</row>
    <row r="588" ht="15" customHeight="1" s="6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</row>
    <row r="589" ht="15" customHeight="1" s="68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</row>
    <row r="590" ht="15" customHeight="1" s="68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</row>
    <row r="591" ht="15" customHeight="1" s="68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</row>
    <row r="592" ht="15" customHeight="1" s="68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</row>
    <row r="593" ht="15" customHeight="1" s="68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</row>
    <row r="594" ht="15" customHeight="1" s="68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</row>
    <row r="595" ht="15" customHeight="1" s="68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</row>
    <row r="596" ht="15" customHeight="1" s="68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</row>
    <row r="597" ht="15" customHeight="1" s="68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</row>
    <row r="598" ht="15" customHeight="1" s="6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</row>
    <row r="599" ht="15" customHeight="1" s="68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</row>
    <row r="600" ht="15" customHeight="1" s="68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</row>
    <row r="601" ht="15" customHeight="1" s="68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</row>
    <row r="602" ht="15" customHeight="1" s="68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</row>
    <row r="603" ht="15" customHeight="1" s="68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</row>
    <row r="604" ht="15" customHeight="1" s="68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</row>
    <row r="605" ht="15" customHeight="1" s="68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</row>
    <row r="606" ht="15" customHeight="1" s="68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</row>
    <row r="607" ht="15" customHeight="1" s="68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</row>
    <row r="608" ht="15" customHeight="1" s="6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</row>
    <row r="609" ht="15" customHeight="1" s="68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</row>
    <row r="610" ht="15" customHeight="1" s="68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</row>
    <row r="611" ht="15" customHeight="1" s="68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</row>
    <row r="612" ht="15" customHeight="1" s="68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</row>
    <row r="613" ht="15" customHeight="1" s="68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</row>
    <row r="614" ht="15" customHeight="1" s="68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</row>
    <row r="615" ht="15" customHeight="1" s="68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</row>
    <row r="616" ht="15" customHeight="1" s="68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</row>
    <row r="617" ht="15" customHeight="1" s="68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</row>
    <row r="618" ht="15" customHeight="1" s="6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</row>
    <row r="619" ht="15" customHeight="1" s="68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</row>
    <row r="620" ht="15" customHeight="1" s="68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</row>
    <row r="621" ht="15" customHeight="1" s="68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</row>
    <row r="622" ht="15" customHeight="1" s="68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</row>
    <row r="623" ht="15" customHeight="1" s="68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</row>
    <row r="624" ht="15" customHeight="1" s="68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</row>
    <row r="625" ht="15" customHeight="1" s="68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</row>
    <row r="626" ht="15" customHeight="1" s="68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</row>
    <row r="627" ht="15" customHeight="1" s="68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</row>
    <row r="628" ht="15" customHeight="1" s="6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</row>
    <row r="629" ht="15" customHeight="1" s="68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</row>
    <row r="630" ht="15" customHeight="1" s="68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</row>
    <row r="631" ht="15" customHeight="1" s="68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</row>
    <row r="632" ht="15" customHeight="1" s="68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</row>
    <row r="633" ht="15" customHeight="1" s="68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</row>
    <row r="634" ht="15" customHeight="1" s="68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</row>
    <row r="635" ht="15" customHeight="1" s="68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</row>
    <row r="636" ht="15" customHeight="1" s="68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</row>
    <row r="637" ht="15" customHeight="1" s="68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</row>
    <row r="638" ht="15" customHeight="1" s="6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</row>
    <row r="639" ht="15" customHeight="1" s="68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</row>
    <row r="640" ht="15" customHeight="1" s="68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</row>
    <row r="641" ht="15" customHeight="1" s="68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</row>
    <row r="642" ht="15" customHeight="1" s="68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</row>
    <row r="643" ht="15" customHeight="1" s="68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</row>
    <row r="644" ht="15" customHeight="1" s="68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</row>
    <row r="645" ht="15" customHeight="1" s="68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</row>
    <row r="646" ht="15" customHeight="1" s="68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</row>
    <row r="647" ht="15" customHeight="1" s="68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</row>
    <row r="648" ht="15" customHeight="1" s="6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</row>
    <row r="649" ht="15" customHeight="1" s="68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</row>
    <row r="650" ht="15" customHeight="1" s="68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</row>
    <row r="651" ht="15" customHeight="1" s="68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</row>
    <row r="652" ht="15" customHeight="1" s="68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</row>
    <row r="653" ht="15" customHeight="1" s="68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</row>
    <row r="654" ht="15" customHeight="1" s="68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</row>
    <row r="655" ht="15" customHeight="1" s="68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</row>
    <row r="656" ht="15" customHeight="1" s="68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</row>
    <row r="657" ht="15" customHeight="1" s="68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</row>
    <row r="658" ht="15" customHeight="1" s="6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</row>
    <row r="659" ht="15" customHeight="1" s="68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</row>
    <row r="660" ht="15" customHeight="1" s="68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</row>
    <row r="661" ht="15" customHeight="1" s="68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</row>
    <row r="662" ht="15" customHeight="1" s="68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</row>
    <row r="663" ht="15" customHeight="1" s="68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</row>
    <row r="664" ht="15" customHeight="1" s="68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</row>
    <row r="665" ht="15" customHeight="1" s="68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</row>
    <row r="666" ht="15" customHeight="1" s="68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</row>
    <row r="667" ht="15" customHeight="1" s="68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</row>
    <row r="668" ht="15" customHeight="1" s="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</row>
    <row r="669" ht="15" customHeight="1" s="68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</row>
    <row r="670" ht="15" customHeight="1" s="68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</row>
    <row r="671" ht="15" customHeight="1" s="68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</row>
    <row r="672" ht="15" customHeight="1" s="68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</row>
    <row r="673" ht="15" customHeight="1" s="68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</row>
    <row r="674" ht="15" customHeight="1" s="68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</row>
    <row r="675" ht="15" customHeight="1" s="68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</row>
    <row r="676" ht="15" customHeight="1" s="68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</row>
    <row r="677" ht="15" customHeight="1" s="68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</row>
    <row r="678" ht="15" customHeight="1" s="6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</row>
    <row r="679" ht="15" customHeight="1" s="68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</row>
    <row r="680" ht="15" customHeight="1" s="68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</row>
    <row r="681" ht="15" customHeight="1" s="68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</row>
    <row r="682" ht="15" customHeight="1" s="68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</row>
    <row r="683" ht="15" customHeight="1" s="68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</row>
    <row r="684" ht="15" customHeight="1" s="68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</row>
    <row r="685" ht="15" customHeight="1" s="68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</row>
    <row r="686" ht="15" customHeight="1" s="68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</row>
    <row r="687" ht="15" customHeight="1" s="68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</row>
    <row r="688" ht="15" customHeight="1" s="6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</row>
    <row r="689" ht="15" customHeight="1" s="68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</row>
    <row r="690" ht="15" customHeight="1" s="68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</row>
    <row r="691" ht="15" customHeight="1" s="68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</row>
    <row r="692" ht="15" customHeight="1" s="68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</row>
    <row r="693" ht="15" customHeight="1" s="68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</row>
    <row r="694" ht="15" customHeight="1" s="68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</row>
    <row r="695" ht="15" customHeight="1" s="68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</row>
    <row r="696" ht="15" customHeight="1" s="68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</row>
    <row r="697" ht="15" customHeight="1" s="68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</row>
    <row r="698" ht="15" customHeight="1" s="6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</row>
    <row r="699" ht="15" customHeight="1" s="68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</row>
    <row r="700" ht="15" customHeight="1" s="68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</row>
    <row r="701" ht="15" customHeight="1" s="68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</row>
    <row r="702" ht="15" customHeight="1" s="68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</row>
    <row r="703" ht="15" customHeight="1" s="68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</row>
    <row r="704" ht="15" customHeight="1" s="68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</row>
    <row r="705" ht="15" customHeight="1" s="68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</row>
    <row r="706" ht="15" customHeight="1" s="68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</row>
    <row r="707" ht="15" customHeight="1" s="68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</row>
    <row r="708" ht="15" customHeight="1" s="6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</row>
    <row r="709" ht="15" customHeight="1" s="68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</row>
    <row r="710" ht="15" customHeight="1" s="68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</row>
    <row r="711" ht="15" customHeight="1" s="68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</row>
    <row r="712" ht="15" customHeight="1" s="68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</row>
    <row r="713" ht="15" customHeight="1" s="68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</row>
    <row r="714" ht="15" customHeight="1" s="68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</row>
    <row r="715" ht="15" customHeight="1" s="68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</row>
    <row r="716" ht="15" customHeight="1" s="68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</row>
    <row r="717" ht="15" customHeight="1" s="68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</row>
    <row r="718" ht="15" customHeight="1" s="6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</row>
    <row r="719" ht="15" customHeight="1" s="68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</row>
    <row r="720" ht="15" customHeight="1" s="68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</row>
    <row r="721" ht="15" customHeight="1" s="68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</row>
    <row r="722" ht="15" customHeight="1" s="68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</row>
    <row r="723" ht="15" customHeight="1" s="68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</row>
    <row r="724" ht="15" customHeight="1" s="68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</row>
    <row r="725" ht="15" customHeight="1" s="68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</row>
    <row r="726" ht="15" customHeight="1" s="68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</row>
    <row r="727" ht="15" customHeight="1" s="68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</row>
    <row r="728" ht="15" customHeight="1" s="6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</row>
    <row r="729" ht="15" customHeight="1" s="68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</row>
    <row r="730" ht="15" customHeight="1" s="68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</row>
    <row r="731" ht="15" customHeight="1" s="68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</row>
    <row r="732" ht="15" customHeight="1" s="68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</row>
    <row r="733" ht="15" customHeight="1" s="68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</row>
    <row r="734" ht="15" customHeight="1" s="68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</row>
    <row r="735" ht="15" customHeight="1" s="68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</row>
    <row r="736" ht="15" customHeight="1" s="68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</row>
    <row r="737" ht="15" customHeight="1" s="68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</row>
    <row r="738" ht="15" customHeight="1" s="6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</row>
    <row r="739" ht="15" customHeight="1" s="68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</row>
    <row r="740" ht="15" customHeight="1" s="68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</row>
    <row r="741" ht="15" customHeight="1" s="68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</row>
    <row r="742" ht="15" customHeight="1" s="68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</row>
    <row r="743" ht="15" customHeight="1" s="68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</row>
    <row r="744" ht="15" customHeight="1" s="68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</row>
    <row r="745" ht="15" customHeight="1" s="68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</row>
    <row r="746" ht="15" customHeight="1" s="68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</row>
    <row r="747" ht="15" customHeight="1" s="68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</row>
    <row r="748" ht="15" customHeight="1" s="6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</row>
    <row r="749" ht="15" customHeight="1" s="68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</row>
    <row r="750" ht="15" customHeight="1" s="68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</row>
    <row r="751" ht="15" customHeight="1" s="68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</row>
    <row r="752" ht="15" customHeight="1" s="68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</row>
    <row r="753" ht="15" customHeight="1" s="68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</row>
    <row r="754" ht="15" customHeight="1" s="68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</row>
    <row r="755" ht="15" customHeight="1" s="68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</row>
    <row r="756" ht="15" customHeight="1" s="68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</row>
    <row r="757" ht="15" customHeight="1" s="68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</row>
    <row r="758" ht="15" customHeight="1" s="6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</row>
    <row r="759" ht="15" customHeight="1" s="68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</row>
    <row r="760" ht="15" customHeight="1" s="68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</row>
    <row r="761" ht="15" customHeight="1" s="68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</row>
    <row r="762" ht="15" customHeight="1" s="68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</row>
    <row r="763" ht="15" customHeight="1" s="68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</row>
    <row r="764" ht="15" customHeight="1" s="68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</row>
    <row r="765" ht="15" customHeight="1" s="68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</row>
    <row r="766" ht="15" customHeight="1" s="68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</row>
    <row r="767" ht="15" customHeight="1" s="68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</row>
    <row r="768" ht="15" customHeight="1" s="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</row>
    <row r="769" ht="15" customHeight="1" s="68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</row>
    <row r="770" ht="15" customHeight="1" s="68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</row>
    <row r="771" ht="15" customHeight="1" s="68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</row>
    <row r="772" ht="15" customHeight="1" s="68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</row>
    <row r="773" ht="15" customHeight="1" s="68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</row>
    <row r="774" ht="15" customHeight="1" s="68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</row>
    <row r="775" ht="15" customHeight="1" s="68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</row>
    <row r="776" ht="15" customHeight="1" s="68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</row>
    <row r="777" ht="15" customHeight="1" s="68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</row>
    <row r="778" ht="15" customHeight="1" s="6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</row>
    <row r="779" ht="15" customHeight="1" s="68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</row>
    <row r="780" ht="15" customHeight="1" s="68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</row>
    <row r="781" ht="15" customHeight="1" s="68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</row>
    <row r="782" ht="15" customHeight="1" s="68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</row>
    <row r="783" ht="15" customHeight="1" s="68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</row>
    <row r="784" ht="15" customHeight="1" s="68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</row>
    <row r="785" ht="15" customHeight="1" s="68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</row>
    <row r="786" ht="15" customHeight="1" s="68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</row>
    <row r="787" ht="15" customHeight="1" s="68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</row>
    <row r="788" ht="15" customHeight="1" s="6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</row>
    <row r="789" ht="15" customHeight="1" s="68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</row>
    <row r="790" ht="15" customHeight="1" s="68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</row>
    <row r="791" ht="15" customHeight="1" s="68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</row>
    <row r="792" ht="15" customHeight="1" s="68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</row>
    <row r="793" ht="15" customHeight="1" s="68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</row>
    <row r="794" ht="15" customHeight="1" s="68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</row>
    <row r="795" ht="15" customHeight="1" s="68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</row>
    <row r="796" ht="15" customHeight="1" s="68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</row>
    <row r="797" ht="15" customHeight="1" s="68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</row>
    <row r="798" ht="15" customHeight="1" s="6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</row>
    <row r="799" ht="15" customHeight="1" s="68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</row>
    <row r="800" ht="15" customHeight="1" s="68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</row>
    <row r="801" ht="15" customHeight="1" s="68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</row>
    <row r="802" ht="15" customHeight="1" s="68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</row>
    <row r="803" ht="15" customHeight="1" s="68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</row>
    <row r="804" ht="15" customHeight="1" s="68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</row>
    <row r="805" ht="15" customHeight="1" s="68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</row>
    <row r="806" ht="15" customHeight="1" s="68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</row>
    <row r="807" ht="15" customHeight="1" s="68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</row>
    <row r="808" ht="15" customHeight="1" s="6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</row>
    <row r="809" ht="15" customHeight="1" s="68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</row>
    <row r="810" ht="15" customHeight="1" s="68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</row>
    <row r="811" ht="15" customHeight="1" s="68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</row>
    <row r="812" ht="15" customHeight="1" s="68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</row>
    <row r="813" ht="15" customHeight="1" s="68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</row>
    <row r="814" ht="15" customHeight="1" s="68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</row>
    <row r="815" ht="15" customHeight="1" s="68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</row>
    <row r="816" ht="15" customHeight="1" s="68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</row>
    <row r="817" ht="15" customHeight="1" s="68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</row>
    <row r="818" ht="15" customHeight="1" s="6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</row>
    <row r="819" ht="15" customHeight="1" s="68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</row>
    <row r="820" ht="15" customHeight="1" s="68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</row>
    <row r="821" ht="15" customHeight="1" s="68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</row>
    <row r="822" ht="15" customHeight="1" s="68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</row>
    <row r="823" ht="15" customHeight="1" s="68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</row>
    <row r="824" ht="15" customHeight="1" s="68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</row>
    <row r="825" ht="15" customHeight="1" s="68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</row>
    <row r="826" ht="15" customHeight="1" s="68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</row>
    <row r="827" ht="15" customHeight="1" s="68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</row>
    <row r="828" ht="15" customHeight="1" s="6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</row>
    <row r="829" ht="15" customHeight="1" s="68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</row>
    <row r="830" ht="15" customHeight="1" s="68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</row>
    <row r="831" ht="15" customHeight="1" s="68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</row>
    <row r="832" ht="15" customHeight="1" s="68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</row>
    <row r="833" ht="15" customHeight="1" s="68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</row>
    <row r="834" ht="15" customHeight="1" s="68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</row>
    <row r="835" ht="15" customHeight="1" s="68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</row>
    <row r="836" ht="15" customHeight="1" s="68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</row>
    <row r="837" ht="15" customHeight="1" s="68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</row>
    <row r="838" ht="15" customHeight="1" s="6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</row>
    <row r="839" ht="15" customHeight="1" s="68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</row>
    <row r="840" ht="15" customHeight="1" s="68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</row>
    <row r="841" ht="15" customHeight="1" s="68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</row>
    <row r="842" ht="15" customHeight="1" s="68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</row>
    <row r="843" ht="15" customHeight="1" s="68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</row>
    <row r="844" ht="15" customHeight="1" s="68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</row>
    <row r="845" ht="15" customHeight="1" s="68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</row>
    <row r="846" ht="15" customHeight="1" s="68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</row>
    <row r="847" ht="15" customHeight="1" s="68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</row>
    <row r="848" ht="15" customHeight="1" s="6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</row>
    <row r="849" ht="15" customHeight="1" s="68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</row>
    <row r="850" ht="15" customHeight="1" s="68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</row>
    <row r="851" ht="15" customHeight="1" s="68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</row>
    <row r="852" ht="15" customHeight="1" s="68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</row>
    <row r="853" ht="15" customHeight="1" s="68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</row>
    <row r="854" ht="15" customHeight="1" s="68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</row>
    <row r="855" ht="15" customHeight="1" s="68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</row>
    <row r="856" ht="15" customHeight="1" s="68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</row>
    <row r="857" ht="15" customHeight="1" s="68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</row>
    <row r="858" ht="15" customHeight="1" s="6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</row>
    <row r="859" ht="15" customHeight="1" s="68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</row>
    <row r="860" ht="15" customHeight="1" s="68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</row>
    <row r="861" ht="15" customHeight="1" s="68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</row>
    <row r="862" ht="15" customHeight="1" s="68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</row>
    <row r="863" ht="15" customHeight="1" s="68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</row>
    <row r="864" ht="15" customHeight="1" s="68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</row>
    <row r="865" ht="15" customHeight="1" s="68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</row>
    <row r="866" ht="15" customHeight="1" s="68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</row>
    <row r="867" ht="15" customHeight="1" s="68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</row>
    <row r="868" ht="15" customHeight="1" s="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</row>
    <row r="869" ht="15" customHeight="1" s="68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</row>
    <row r="870" ht="15" customHeight="1" s="68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</row>
    <row r="871" ht="15" customHeight="1" s="68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</row>
    <row r="872" ht="15" customHeight="1" s="68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</row>
    <row r="873" ht="15" customHeight="1" s="68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</row>
    <row r="874" ht="15" customHeight="1" s="68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</row>
    <row r="875" ht="15" customHeight="1" s="68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</row>
    <row r="876" ht="15" customHeight="1" s="68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</row>
    <row r="877" ht="15" customHeight="1" s="68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</row>
    <row r="878" ht="15" customHeight="1" s="6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</row>
    <row r="879" ht="15" customHeight="1" s="68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</row>
    <row r="880" ht="15" customHeight="1" s="68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</row>
    <row r="881" ht="15" customHeight="1" s="68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</row>
    <row r="882" ht="15" customHeight="1" s="68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</row>
    <row r="883" ht="15" customHeight="1" s="68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</row>
    <row r="884" ht="15" customHeight="1" s="68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</row>
    <row r="885" ht="15" customHeight="1" s="68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</row>
    <row r="886" ht="15" customHeight="1" s="68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</row>
    <row r="887" ht="15" customHeight="1" s="68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</row>
    <row r="888" ht="15" customHeight="1" s="6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</row>
    <row r="889" ht="15" customHeight="1" s="68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</row>
    <row r="890" ht="15" customHeight="1" s="68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</row>
    <row r="891" ht="15" customHeight="1" s="68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</row>
    <row r="892" ht="15" customHeight="1" s="68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</row>
    <row r="893" ht="15" customHeight="1" s="68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</row>
    <row r="894" ht="15" customHeight="1" s="68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</row>
    <row r="895" ht="15" customHeight="1" s="68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</row>
    <row r="896" ht="15" customHeight="1" s="68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</row>
    <row r="897" ht="15" customHeight="1" s="68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</row>
    <row r="898" ht="15" customHeight="1" s="6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</row>
    <row r="899" ht="15" customHeight="1" s="68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</row>
    <row r="900" ht="15" customHeight="1" s="68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</row>
    <row r="901" ht="15" customHeight="1" s="68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</row>
    <row r="902" ht="15" customHeight="1" s="68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</row>
    <row r="903" ht="15" customHeight="1" s="68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</row>
    <row r="904" ht="15" customHeight="1" s="68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</row>
    <row r="905" ht="15" customHeight="1" s="68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</row>
    <row r="906" ht="15" customHeight="1" s="68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</row>
    <row r="907" ht="15" customHeight="1" s="68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</row>
    <row r="908" ht="15" customHeight="1" s="6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</row>
    <row r="909" ht="15" customHeight="1" s="68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</row>
    <row r="910" ht="15" customHeight="1" s="68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</row>
    <row r="911" ht="15" customHeight="1" s="68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</row>
    <row r="912" ht="15" customHeight="1" s="68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</row>
    <row r="913" ht="15" customHeight="1" s="68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</row>
    <row r="914" ht="15" customHeight="1" s="68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</row>
    <row r="915" ht="15" customHeight="1" s="68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</row>
    <row r="916" ht="15" customHeight="1" s="68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</row>
    <row r="917" ht="15" customHeight="1" s="68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</row>
    <row r="918" ht="15" customHeight="1" s="6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</row>
    <row r="919" ht="15" customHeight="1" s="68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</row>
    <row r="920" ht="15" customHeight="1" s="68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</row>
    <row r="921" ht="15" customHeight="1" s="68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</row>
    <row r="922" ht="15" customHeight="1" s="68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</row>
    <row r="923" ht="15" customHeight="1" s="68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</row>
    <row r="924" ht="15" customHeight="1" s="68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</row>
    <row r="925" ht="15" customHeight="1" s="68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</row>
    <row r="926" ht="15" customHeight="1" s="68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</row>
    <row r="927" ht="15" customHeight="1" s="68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</row>
    <row r="928" ht="15" customHeight="1" s="6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</row>
    <row r="929" ht="15" customHeight="1" s="68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</row>
    <row r="930" ht="15" customHeight="1" s="68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</row>
    <row r="931" ht="15" customHeight="1" s="68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</row>
    <row r="932" ht="15" customHeight="1" s="68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</row>
    <row r="933" ht="15" customHeight="1" s="68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</row>
    <row r="934" ht="15" customHeight="1" s="68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</row>
    <row r="935" ht="15" customHeight="1" s="68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</row>
    <row r="936" ht="15" customHeight="1" s="68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</row>
    <row r="937" ht="15" customHeight="1" s="68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</row>
    <row r="938" ht="15" customHeight="1" s="6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</row>
    <row r="939" ht="15" customHeight="1" s="68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</row>
    <row r="940" ht="15" customHeight="1" s="68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</row>
    <row r="941" ht="15" customHeight="1" s="68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</row>
    <row r="942" ht="15" customHeight="1" s="68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</row>
    <row r="943" ht="15" customHeight="1" s="68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</row>
    <row r="944" ht="15" customHeight="1" s="68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</row>
    <row r="945" ht="15" customHeight="1" s="68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</row>
    <row r="946" ht="15" customHeight="1" s="68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</row>
    <row r="947" ht="15" customHeight="1" s="68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</row>
    <row r="948" ht="15" customHeight="1" s="6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</row>
    <row r="949" ht="15" customHeight="1" s="68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</row>
    <row r="950" ht="15" customHeight="1" s="68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</row>
    <row r="951" ht="15" customHeight="1" s="68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</row>
    <row r="952" ht="15" customHeight="1" s="68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</row>
    <row r="953" ht="15" customHeight="1" s="68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</row>
    <row r="954" ht="15" customHeight="1" s="68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</row>
    <row r="955" ht="15" customHeight="1" s="68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</row>
    <row r="956" ht="15" customHeight="1" s="68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</row>
    <row r="957" ht="15" customHeight="1" s="68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</row>
    <row r="958" ht="15" customHeight="1" s="6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</row>
    <row r="959" ht="15" customHeight="1" s="68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</row>
    <row r="960" ht="15" customHeight="1" s="68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</row>
    <row r="961" ht="15" customHeight="1" s="68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</row>
    <row r="962" ht="15" customHeight="1" s="68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</row>
    <row r="963" ht="15" customHeight="1" s="68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</row>
    <row r="964" ht="15" customHeight="1" s="68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</row>
    <row r="965" ht="15" customHeight="1" s="68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</row>
    <row r="966" ht="15" customHeight="1" s="68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</row>
    <row r="967" ht="15" customHeight="1" s="68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</row>
    <row r="968" ht="15" customHeight="1" s="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</row>
    <row r="969" ht="15" customHeight="1" s="68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</row>
    <row r="970" ht="15" customHeight="1" s="68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</row>
    <row r="971" ht="15" customHeight="1" s="68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</row>
    <row r="972" ht="15" customHeight="1" s="68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</row>
    <row r="973" ht="15" customHeight="1" s="68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</row>
    <row r="974" ht="15" customHeight="1" s="68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</row>
    <row r="975" ht="15" customHeight="1" s="68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</row>
    <row r="976" ht="15" customHeight="1" s="68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</row>
    <row r="977" ht="15" customHeight="1" s="68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</row>
    <row r="978" ht="15" customHeight="1" s="6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</row>
    <row r="979" ht="15" customHeight="1" s="68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</row>
    <row r="980" ht="15" customHeight="1" s="68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</row>
    <row r="981" ht="15" customHeight="1" s="68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</row>
    <row r="982" ht="15" customHeight="1" s="68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</row>
    <row r="983" ht="15" customHeight="1" s="68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</row>
    <row r="984" ht="15" customHeight="1" s="68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</row>
    <row r="985" ht="15" customHeight="1" s="68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</row>
    <row r="986" ht="15" customHeight="1" s="68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</row>
    <row r="987" ht="15" customHeight="1" s="68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</row>
    <row r="988" ht="15" customHeight="1" s="6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</row>
    <row r="989" ht="15" customHeight="1" s="68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</row>
    <row r="990" ht="15" customHeight="1" s="68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</row>
    <row r="991" ht="15" customHeight="1" s="68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</row>
    <row r="992" ht="15" customHeight="1" s="68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</row>
    <row r="993" ht="15" customHeight="1" s="68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</row>
    <row r="994" ht="15" customHeight="1" s="68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</row>
    <row r="995" ht="15" customHeight="1" s="68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</row>
    <row r="996" ht="15" customHeight="1" s="68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</row>
    <row r="997" ht="15" customHeight="1" s="68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</row>
    <row r="998" ht="15" customHeight="1" s="6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</row>
    <row r="999" ht="15" customHeight="1" s="68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</row>
    <row r="1000" ht="15" customHeight="1" s="68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</row>
    <row r="1001" ht="15" customHeight="1" s="68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</row>
    <row r="1002" ht="15" customHeight="1" s="68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</row>
    <row r="1003" ht="15" customHeight="1" s="68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</row>
    <row r="1004" ht="15" customHeight="1" s="68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</row>
    <row r="1005" ht="15" customHeight="1" s="68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</row>
    <row r="1006" ht="15" customHeight="1" s="68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</row>
    <row r="1007" ht="15" customHeight="1" s="68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</row>
    <row r="1008" ht="15" customHeight="1" s="6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</row>
    <row r="1009" ht="15" customHeight="1" s="68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</row>
    <row r="1010" ht="15" customHeight="1" s="68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</row>
    <row r="1011" ht="15" customHeight="1" s="68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</row>
    <row r="1012" ht="15" customHeight="1" s="68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</row>
    <row r="1013" ht="15" customHeight="1" s="68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</row>
    <row r="1014" ht="15" customHeight="1" s="68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</row>
    <row r="1015" ht="15" customHeight="1" s="68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</row>
    <row r="1016" ht="15" customHeight="1" s="68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</row>
    <row r="1017" ht="15" customHeight="1" s="68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</row>
    <row r="1018" ht="15" customHeight="1" s="6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</row>
    <row r="1019" ht="15" customHeight="1" s="68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</row>
    <row r="1020" ht="15" customHeight="1" s="68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</row>
    <row r="1021" ht="15" customHeight="1" s="68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</row>
    <row r="1022" ht="15" customHeight="1" s="68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</row>
    <row r="1023" ht="15" customHeight="1" s="68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</row>
    <row r="1024" ht="15" customHeight="1" s="68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</row>
    <row r="1025" ht="15" customHeight="1" s="68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</row>
    <row r="1026" ht="15" customHeight="1" s="68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</row>
    <row r="1027" ht="15" customHeight="1" s="68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</row>
    <row r="1028" ht="15" customHeight="1" s="6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</row>
    <row r="1029" ht="15" customHeight="1" s="68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</row>
    <row r="1030" ht="15" customHeight="1" s="68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</row>
    <row r="1031" ht="15" customHeight="1" s="68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</row>
    <row r="1032" ht="15" customHeight="1" s="68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</row>
    <row r="1033" ht="15" customHeight="1" s="68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</row>
    <row r="1034" ht="15" customHeight="1" s="68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</row>
    <row r="1035" ht="15" customHeight="1" s="68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</row>
    <row r="1036" ht="15" customHeight="1" s="68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</row>
    <row r="1037" ht="15" customHeight="1" s="68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</row>
    <row r="1038" ht="15" customHeight="1" s="6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</row>
    <row r="1039" ht="15" customHeight="1" s="68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</row>
    <row r="1040" ht="15" customHeight="1" s="68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</row>
    <row r="1041" ht="15" customHeight="1" s="68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</row>
    <row r="1042" ht="15" customHeight="1" s="68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</row>
    <row r="1043" ht="15" customHeight="1" s="68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</row>
    <row r="1044" ht="15" customHeight="1" s="68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</row>
    <row r="1045" ht="15" customHeight="1" s="68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</row>
    <row r="1046" ht="15" customHeight="1" s="68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</row>
    <row r="1047" ht="15" customHeight="1" s="68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</row>
    <row r="1048" ht="15" customHeight="1" s="6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</row>
    <row r="1049" ht="15" customHeight="1" s="68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</row>
    <row r="1050" ht="15" customHeight="1" s="68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</row>
    <row r="1051" ht="15" customHeight="1" s="68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</row>
    <row r="1052" ht="15" customHeight="1" s="68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</row>
    <row r="1053" ht="15" customHeight="1" s="68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</row>
    <row r="1054" ht="15" customHeight="1" s="68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</row>
    <row r="1055" ht="15" customHeight="1" s="68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</row>
    <row r="1056" ht="15" customHeight="1" s="68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</row>
    <row r="1057" ht="15" customHeight="1" s="68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</row>
    <row r="1058" ht="15" customHeight="1" s="6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</row>
    <row r="1059" ht="15" customHeight="1" s="68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</row>
    <row r="1060" ht="15" customHeight="1" s="68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</row>
    <row r="1061" ht="15" customHeight="1" s="68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</row>
    <row r="1062" ht="15" customHeight="1" s="68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</row>
    <row r="1063" ht="15" customHeight="1" s="68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</row>
    <row r="1064" ht="15" customHeight="1" s="68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</row>
    <row r="1065" ht="15" customHeight="1" s="68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</row>
    <row r="1066" ht="15" customHeight="1" s="68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</row>
    <row r="1067" ht="15" customHeight="1" s="68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</row>
    <row r="1068" ht="15" customHeight="1" s="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</row>
    <row r="1069" ht="15" customHeight="1" s="68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</row>
    <row r="1070" ht="15" customHeight="1" s="68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</row>
    <row r="1071" ht="15" customHeight="1" s="68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</row>
    <row r="1072" ht="15" customHeight="1" s="68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</row>
    <row r="1073" ht="15" customHeight="1" s="68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</row>
    <row r="1074" ht="15" customHeight="1" s="68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</row>
    <row r="1075" ht="15" customHeight="1" s="68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</row>
    <row r="1076" ht="15" customHeight="1" s="68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</row>
    <row r="1077" ht="15" customHeight="1" s="68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</row>
    <row r="1078" ht="15" customHeight="1" s="6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</row>
    <row r="1079" ht="15" customHeight="1" s="68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</row>
    <row r="1080" ht="15" customHeight="1" s="68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</row>
    <row r="1081" ht="15" customHeight="1" s="68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</row>
    <row r="1082" ht="15" customHeight="1" s="68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</row>
    <row r="1083" ht="15" customHeight="1" s="68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</row>
    <row r="1084" ht="15" customHeight="1" s="68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</row>
    <row r="1085" ht="15" customHeight="1" s="68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</row>
    <row r="1086" ht="15" customHeight="1" s="68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</row>
    <row r="1087" ht="15" customHeight="1" s="68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</row>
    <row r="1088" ht="15" customHeight="1" s="6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</row>
    <row r="1089" ht="15" customHeight="1" s="68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</row>
    <row r="1090" ht="15" customHeight="1" s="68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</row>
    <row r="1091" ht="15" customHeight="1" s="68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</row>
    <row r="1092" ht="15" customHeight="1" s="68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</row>
    <row r="1093" ht="15" customHeight="1" s="68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</row>
    <row r="1094" ht="15" customHeight="1" s="68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</row>
    <row r="1095" ht="15" customHeight="1" s="68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</row>
    <row r="1096" ht="15" customHeight="1" s="68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</row>
    <row r="1097" ht="15" customHeight="1" s="68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</row>
    <row r="1098" ht="15" customHeight="1" s="6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</row>
    <row r="1099" ht="15" customHeight="1" s="68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</row>
    <row r="1100" ht="15" customHeight="1" s="68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</row>
    <row r="1101" ht="15" customHeight="1" s="68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</row>
    <row r="1102" ht="15" customHeight="1" s="68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</row>
    <row r="1103" ht="15" customHeight="1" s="68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</row>
    <row r="1104" ht="15" customHeight="1" s="68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</row>
    <row r="1105" ht="15" customHeight="1" s="68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</row>
    <row r="1106" ht="15" customHeight="1" s="68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</row>
    <row r="1107" ht="15" customHeight="1" s="68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</row>
    <row r="1108" ht="15" customHeight="1" s="6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</row>
    <row r="1109" ht="15" customHeight="1" s="68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</row>
    <row r="1110" ht="15" customHeight="1" s="68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</row>
    <row r="1111" ht="15" customHeight="1" s="68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</row>
    <row r="1112" ht="15" customHeight="1" s="68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</row>
    <row r="1113" ht="15" customHeight="1" s="68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</row>
    <row r="1114" ht="15" customHeight="1" s="68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</row>
    <row r="1115" ht="15" customHeight="1" s="68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</row>
    <row r="1116" ht="15" customHeight="1" s="68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</row>
    <row r="1117" ht="15" customHeight="1" s="68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</row>
    <row r="1118" ht="15" customHeight="1" s="6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</row>
    <row r="1119" ht="15" customHeight="1" s="68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</row>
    <row r="1120" ht="15" customHeight="1" s="68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</row>
    <row r="1121" ht="15" customHeight="1" s="68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</row>
    <row r="1122" ht="15" customHeight="1" s="68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</row>
    <row r="1123" ht="15" customHeight="1" s="68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</row>
    <row r="1124" ht="15" customHeight="1" s="68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</row>
    <row r="1125" ht="15" customHeight="1" s="68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</row>
    <row r="1126" ht="15" customHeight="1" s="68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</row>
    <row r="1127" ht="15" customHeight="1" s="68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</row>
    <row r="1128" ht="15" customHeight="1" s="6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</row>
    <row r="1129" ht="15" customHeight="1" s="68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</row>
    <row r="1130" ht="15" customHeight="1" s="68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</row>
    <row r="1131" ht="15" customHeight="1" s="68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</row>
    <row r="1132" ht="15" customHeight="1" s="68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</row>
    <row r="1133" ht="15" customHeight="1" s="68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</row>
    <row r="1134" ht="15" customHeight="1" s="68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</row>
    <row r="1135" ht="15" customHeight="1" s="68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</row>
    <row r="1136" ht="15" customHeight="1" s="68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</row>
    <row r="1137" ht="15" customHeight="1" s="68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</row>
    <row r="1138" ht="15" customHeight="1" s="6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</row>
    <row r="1139" ht="15" customHeight="1" s="68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</row>
    <row r="1140" ht="15" customHeight="1" s="68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</row>
    <row r="1141" ht="15" customHeight="1" s="68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</row>
    <row r="1142" ht="15" customHeight="1" s="68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</row>
    <row r="1143" ht="15" customHeight="1" s="68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</row>
    <row r="1144" ht="15" customHeight="1" s="68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</row>
    <row r="1145" ht="15" customHeight="1" s="68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</row>
    <row r="1146" ht="15" customHeight="1" s="68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</row>
    <row r="1147" ht="15" customHeight="1" s="68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</row>
    <row r="1148" ht="15" customHeight="1" s="6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</row>
    <row r="1149" ht="15" customHeight="1" s="68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</row>
    <row r="1150" ht="15" customHeight="1" s="68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</row>
    <row r="1151" ht="15" customHeight="1" s="68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</row>
    <row r="1152" ht="15" customHeight="1" s="68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</row>
    <row r="1153" ht="15" customHeight="1" s="68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</row>
    <row r="1154" ht="15" customHeight="1" s="68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</row>
    <row r="1155" ht="15" customHeight="1" s="68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</row>
    <row r="1156" ht="15" customHeight="1" s="68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</row>
    <row r="1157" ht="15" customHeight="1" s="68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</row>
    <row r="1158" ht="15" customHeight="1" s="6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</row>
    <row r="1159" ht="15" customHeight="1" s="68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</row>
    <row r="1160" ht="15" customHeight="1" s="68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</row>
    <row r="1161" ht="15" customHeight="1" s="68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</row>
    <row r="1162" ht="15" customHeight="1" s="68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</row>
    <row r="1163" ht="15" customHeight="1" s="68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</row>
    <row r="1164" ht="15" customHeight="1" s="68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</row>
    <row r="1165" ht="15" customHeight="1" s="68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</row>
    <row r="1166" ht="15" customHeight="1" s="68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</row>
    <row r="1167" ht="15" customHeight="1" s="68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</row>
    <row r="1168" ht="15" customHeight="1" s="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</row>
    <row r="1169" ht="15" customHeight="1" s="68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</row>
    <row r="1170" ht="15" customHeight="1" s="68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</row>
    <row r="1171" ht="15" customHeight="1" s="68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</row>
    <row r="1172" ht="15" customHeight="1" s="68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</row>
    <row r="1173" ht="15" customHeight="1" s="68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</row>
    <row r="1174" ht="15" customHeight="1" s="68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</row>
    <row r="1175" ht="15" customHeight="1" s="68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</row>
    <row r="1176" ht="15" customHeight="1" s="68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</row>
    <row r="1177" ht="15" customHeight="1" s="68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</row>
    <row r="1178" ht="15" customHeight="1" s="6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</row>
    <row r="1179" ht="15" customHeight="1" s="68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</row>
    <row r="1180" ht="15" customHeight="1" s="68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</row>
    <row r="1181" ht="15" customHeight="1" s="68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</row>
    <row r="1182" ht="15" customHeight="1" s="68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</row>
    <row r="1183" ht="15" customHeight="1" s="68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</row>
    <row r="1184" ht="15" customHeight="1" s="68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</row>
    <row r="1185" ht="15" customHeight="1" s="68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</row>
    <row r="1186" ht="15" customHeight="1" s="68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</row>
    <row r="1187" ht="15" customHeight="1" s="68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</row>
    <row r="1188" ht="15" customHeight="1" s="6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</row>
    <row r="1189" ht="15" customHeight="1" s="68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</row>
    <row r="1190" ht="15" customHeight="1" s="68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</row>
    <row r="1191" ht="15" customHeight="1" s="68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</row>
    <row r="1192" ht="15" customHeight="1" s="68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</row>
    <row r="1193" ht="15" customHeight="1" s="68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</row>
    <row r="1194" ht="15" customHeight="1" s="68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</row>
    <row r="1195" ht="15" customHeight="1" s="68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</row>
    <row r="1196" ht="15" customHeight="1" s="68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</row>
    <row r="1197" ht="15" customHeight="1" s="68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</row>
    <row r="1198" ht="15" customHeight="1" s="6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</row>
    <row r="1199" ht="15" customHeight="1" s="68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</row>
    <row r="1200" ht="15" customHeight="1" s="68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</row>
    <row r="1201" ht="15" customHeight="1" s="68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</row>
    <row r="1202" ht="15" customHeight="1" s="68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</row>
    <row r="1203" ht="15" customHeight="1" s="68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</row>
    <row r="1204" ht="15" customHeight="1" s="68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</row>
    <row r="1205" ht="15" customHeight="1" s="68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</row>
    <row r="1206" ht="15" customHeight="1" s="68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</row>
    <row r="1207" ht="15" customHeight="1" s="68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</row>
    <row r="1208" ht="15" customHeight="1" s="6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</row>
    <row r="1209" ht="15" customHeight="1" s="68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</row>
    <row r="1210" ht="15" customHeight="1" s="68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</row>
    <row r="1211" ht="15" customHeight="1" s="68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</row>
    <row r="1212" ht="15" customHeight="1" s="68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</row>
    <row r="1213" ht="15" customHeight="1" s="68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</row>
    <row r="1214" ht="15" customHeight="1" s="68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</row>
    <row r="1215" ht="15" customHeight="1" s="68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</row>
    <row r="1216" ht="15" customHeight="1" s="68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</row>
    <row r="1217" ht="15" customHeight="1" s="68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</row>
    <row r="1218" ht="15" customHeight="1" s="6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</row>
    <row r="1219" ht="15" customHeight="1" s="68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</row>
    <row r="1220" ht="15" customHeight="1" s="68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</row>
    <row r="1221" ht="15" customHeight="1" s="68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</row>
    <row r="1222" ht="15" customHeight="1" s="68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</row>
    <row r="1223" ht="15" customHeight="1" s="68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</row>
    <row r="1224" ht="15" customHeight="1" s="68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</row>
    <row r="1225" ht="15" customHeight="1" s="68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</row>
    <row r="1226" ht="15" customHeight="1" s="68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</row>
    <row r="1227" ht="15" customHeight="1" s="68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</row>
    <row r="1228" ht="15" customHeight="1" s="6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</row>
    <row r="1229" ht="15" customHeight="1" s="68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</row>
    <row r="1230" ht="15" customHeight="1" s="68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</row>
    <row r="1231" ht="15" customHeight="1" s="68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</row>
    <row r="1232" ht="15" customHeight="1" s="68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</row>
    <row r="1233" ht="15" customHeight="1" s="68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</row>
    <row r="1234" ht="15" customHeight="1" s="68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</row>
    <row r="1235" ht="15" customHeight="1" s="68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</row>
    <row r="1236" ht="15" customHeight="1" s="68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</row>
    <row r="1237" ht="15" customHeight="1" s="68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</row>
    <row r="1238" ht="15" customHeight="1" s="6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</row>
    <row r="1239" ht="15" customHeight="1" s="68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</row>
    <row r="1240" ht="15" customHeight="1" s="68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</row>
    <row r="1241" ht="15" customHeight="1" s="68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</row>
    <row r="1242" ht="15" customHeight="1" s="68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</row>
    <row r="1243" ht="15" customHeight="1" s="68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</row>
    <row r="1244" ht="15" customHeight="1" s="68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</row>
    <row r="1245" ht="15" customHeight="1" s="68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</row>
    <row r="1246" ht="15" customHeight="1" s="68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</row>
    <row r="1247" ht="15" customHeight="1" s="68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</row>
    <row r="1248" ht="15" customHeight="1" s="6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</row>
    <row r="1249" ht="15" customHeight="1" s="68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</row>
    <row r="1250" ht="15" customHeight="1" s="68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</row>
    <row r="1251" ht="15" customHeight="1" s="68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</row>
    <row r="1252" ht="15" customHeight="1" s="68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</row>
    <row r="1253" ht="15" customHeight="1" s="68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</row>
    <row r="1254" ht="15" customHeight="1" s="68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</row>
    <row r="1255" ht="15" customHeight="1" s="68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</row>
    <row r="1256" ht="15" customHeight="1" s="68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</row>
    <row r="1257" ht="15" customHeight="1" s="68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</row>
    <row r="1258" ht="15" customHeight="1" s="6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</row>
    <row r="1259" ht="15" customHeight="1" s="68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</row>
    <row r="1260" ht="15" customHeight="1" s="68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</row>
    <row r="1261" ht="15" customHeight="1" s="68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</row>
    <row r="1262" ht="15" customHeight="1" s="68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</row>
    <row r="1263" ht="15" customHeight="1" s="68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</row>
    <row r="1264" ht="15" customHeight="1" s="68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</row>
    <row r="1265" ht="15" customHeight="1" s="68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</row>
    <row r="1266" ht="15" customHeight="1" s="68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</row>
    <row r="1267" ht="15" customHeight="1" s="68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</row>
    <row r="1268" ht="15" customHeight="1" s="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</row>
    <row r="1269" ht="15" customHeight="1" s="68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</row>
    <row r="1270" ht="15" customHeight="1" s="68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</row>
    <row r="1271" ht="15" customHeight="1" s="68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</row>
    <row r="1272" ht="15" customHeight="1" s="68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</row>
    <row r="1273" ht="15" customHeight="1" s="68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</row>
    <row r="1274" ht="15" customHeight="1" s="68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</row>
    <row r="1275" ht="15" customHeight="1" s="68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</row>
    <row r="1276" ht="15" customHeight="1" s="68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</row>
    <row r="1277" ht="15" customHeight="1" s="68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</row>
    <row r="1278" ht="15" customHeight="1" s="6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</row>
    <row r="1279" ht="15" customHeight="1" s="68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</row>
    <row r="1280" ht="15" customHeight="1" s="68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</row>
    <row r="1281" ht="15" customHeight="1" s="68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</row>
    <row r="1282" ht="15" customHeight="1" s="68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</row>
    <row r="1283" ht="15" customHeight="1" s="68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</row>
    <row r="1284" ht="15" customHeight="1" s="68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</row>
    <row r="1285" ht="15" customHeight="1" s="68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</row>
    <row r="1286" ht="15" customHeight="1" s="68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</row>
    <row r="1287" ht="15" customHeight="1" s="68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</row>
    <row r="1288" ht="15" customHeight="1" s="6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</row>
    <row r="1289" ht="15" customHeight="1" s="68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</row>
    <row r="1290" ht="15" customHeight="1" s="68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</row>
    <row r="1291" ht="15" customHeight="1" s="68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</row>
    <row r="1292" ht="15" customHeight="1" s="68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</row>
    <row r="1293" ht="15" customHeight="1" s="68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</row>
    <row r="1294" ht="15" customHeight="1" s="68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</row>
    <row r="1295" ht="15" customHeight="1" s="68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</row>
    <row r="1296" ht="15" customHeight="1" s="68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</row>
    <row r="1297" ht="15" customHeight="1" s="68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</row>
    <row r="1298" ht="15" customHeight="1" s="6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</row>
    <row r="1299" ht="15" customHeight="1" s="68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</row>
    <row r="1300" ht="15" customHeight="1" s="68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</row>
    <row r="1301" ht="15" customHeight="1" s="68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</row>
    <row r="1302" ht="15" customHeight="1" s="68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</row>
    <row r="1303" ht="15" customHeight="1" s="68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</row>
    <row r="1304" ht="15" customHeight="1" s="68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</row>
    <row r="1305" ht="15" customHeight="1" s="68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</row>
    <row r="1306" ht="15" customHeight="1" s="68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</row>
    <row r="1307" ht="15" customHeight="1" s="68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</row>
    <row r="1308" ht="15" customHeight="1" s="6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</row>
    <row r="1309" ht="15" customHeight="1" s="68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</row>
    <row r="1310" ht="15" customHeight="1" s="68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</row>
    <row r="1311" ht="15" customHeight="1" s="68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</row>
    <row r="1312" ht="15" customHeight="1" s="68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</row>
    <row r="1313" ht="15" customHeight="1" s="68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</row>
    <row r="1314" ht="15" customHeight="1" s="68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</row>
    <row r="1315" ht="15" customHeight="1" s="68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</row>
    <row r="1316" ht="15" customHeight="1" s="68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</row>
    <row r="1317" ht="15" customHeight="1" s="68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</row>
    <row r="1318" ht="15" customHeight="1" s="6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</row>
    <row r="1319" ht="15" customHeight="1" s="68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</row>
    <row r="1320" ht="15" customHeight="1" s="68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</row>
    <row r="1321" ht="15" customHeight="1" s="68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</row>
    <row r="1322" ht="15" customHeight="1" s="68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</row>
    <row r="1323" ht="15" customHeight="1" s="68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</row>
    <row r="1324" ht="15" customHeight="1" s="68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</row>
    <row r="1325" ht="15" customHeight="1" s="68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</row>
    <row r="1326" ht="15" customHeight="1" s="68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</row>
    <row r="1327" ht="15" customHeight="1" s="68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</row>
    <row r="1328" ht="15" customHeight="1" s="6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</row>
    <row r="1329" ht="15" customHeight="1" s="68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</row>
    <row r="1330" ht="15" customHeight="1" s="68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</row>
    <row r="1331" ht="15" customHeight="1" s="68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</row>
    <row r="1332" ht="15" customHeight="1" s="68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</row>
    <row r="1333" ht="15" customHeight="1" s="68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</row>
    <row r="1334" ht="15" customHeight="1" s="68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</row>
    <row r="1335" ht="15" customHeight="1" s="68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</row>
    <row r="1336" ht="15" customHeight="1" s="68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</row>
    <row r="1337" ht="15" customHeight="1" s="68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</row>
    <row r="1338" ht="15" customHeight="1" s="6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</row>
    <row r="1339" ht="15" customHeight="1" s="68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</row>
    <row r="1340" ht="15" customHeight="1" s="68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</row>
    <row r="1341" ht="15" customHeight="1" s="68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</row>
    <row r="1342" ht="15" customHeight="1" s="68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</row>
    <row r="1343" ht="15" customHeight="1" s="68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</row>
    <row r="1344" ht="15" customHeight="1" s="68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</row>
    <row r="1345" ht="15" customHeight="1" s="68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</row>
    <row r="1346" ht="15" customHeight="1" s="68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</row>
    <row r="1347" ht="15" customHeight="1" s="68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</row>
    <row r="1348" ht="15" customHeight="1" s="6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</row>
    <row r="1349" ht="15" customHeight="1" s="68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</row>
    <row r="1350" ht="15" customHeight="1" s="68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</row>
    <row r="1351" ht="15" customHeight="1" s="68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</row>
    <row r="1352" ht="15" customHeight="1" s="68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</row>
    <row r="1353" ht="15" customHeight="1" s="68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</row>
    <row r="1354" ht="15" customHeight="1" s="68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</row>
    <row r="1355" ht="15" customHeight="1" s="68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</row>
    <row r="1356" ht="15" customHeight="1" s="68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</row>
    <row r="1357" ht="15" customHeight="1" s="68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</row>
    <row r="1358" ht="15" customHeight="1" s="6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</row>
    <row r="1359" ht="15" customHeight="1" s="68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</row>
    <row r="1360" ht="15" customHeight="1" s="68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</row>
    <row r="1361" ht="15" customHeight="1" s="68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</row>
    <row r="1362" ht="15" customHeight="1" s="68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</row>
    <row r="1363" ht="15" customHeight="1" s="68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</row>
    <row r="1364" ht="15" customHeight="1" s="68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</row>
    <row r="1365" ht="15" customHeight="1" s="68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</row>
    <row r="1366" ht="15" customHeight="1" s="68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</row>
    <row r="1367" ht="15" customHeight="1" s="68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</row>
    <row r="1368" ht="15" customHeight="1" s="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</row>
    <row r="1369" ht="15" customHeight="1" s="68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</row>
    <row r="1370" ht="15" customHeight="1" s="68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</row>
    <row r="1371" ht="15" customHeight="1" s="68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</row>
    <row r="1372" ht="15" customHeight="1" s="68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</row>
    <row r="1373" ht="15" customHeight="1" s="68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</row>
    <row r="1374" ht="15" customHeight="1" s="68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</row>
    <row r="1375" ht="15" customHeight="1" s="68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</row>
    <row r="1376" ht="15" customHeight="1" s="68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</row>
    <row r="1377" ht="15" customHeight="1" s="68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</row>
    <row r="1378" ht="15" customHeight="1" s="6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</row>
    <row r="1379" ht="15" customHeight="1" s="68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</row>
    <row r="1380" ht="15" customHeight="1" s="68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</row>
    <row r="1381" ht="15" customHeight="1" s="68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</row>
    <row r="1382" ht="15" customHeight="1" s="68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</row>
    <row r="1383" ht="15" customHeight="1" s="68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</row>
    <row r="1384" ht="15" customHeight="1" s="68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</row>
    <row r="1385" ht="15" customHeight="1" s="68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</row>
    <row r="1386" ht="15" customHeight="1" s="68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</row>
    <row r="1387" ht="15" customHeight="1" s="68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</row>
    <row r="1388" ht="15" customHeight="1" s="6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</row>
    <row r="1389" ht="15" customHeight="1" s="68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</row>
    <row r="1390" ht="15" customHeight="1" s="68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</row>
    <row r="1391" ht="15" customHeight="1" s="68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</row>
    <row r="1392" ht="15" customHeight="1" s="68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</row>
    <row r="1393" ht="15" customHeight="1" s="68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</row>
    <row r="1394" ht="15" customHeight="1" s="68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</row>
    <row r="1395" ht="15" customHeight="1" s="68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</row>
    <row r="1396" ht="15" customHeight="1" s="68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</row>
    <row r="1397" ht="15" customHeight="1" s="68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</row>
    <row r="1398" ht="15" customHeight="1" s="6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</row>
    <row r="1399" ht="15" customHeight="1" s="68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</row>
    <row r="1400" ht="15" customHeight="1" s="68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</row>
    <row r="1401" ht="15" customHeight="1" s="68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</row>
    <row r="1402" ht="15" customHeight="1" s="68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</row>
    <row r="1403" ht="15" customHeight="1" s="68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</row>
    <row r="1404" ht="15" customHeight="1" s="68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</row>
    <row r="1405" ht="15" customHeight="1" s="68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</row>
    <row r="1406" ht="15" customHeight="1" s="68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</row>
    <row r="1407" ht="15" customHeight="1" s="68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</row>
    <row r="1408" ht="15" customHeight="1" s="6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</row>
    <row r="1409" ht="15" customHeight="1" s="68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</row>
    <row r="1410" ht="15" customHeight="1" s="68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</row>
    <row r="1411" ht="15" customHeight="1" s="68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</row>
    <row r="1412" ht="15" customHeight="1" s="68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</row>
    <row r="1413" ht="15" customHeight="1" s="68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</row>
    <row r="1414" ht="15" customHeight="1" s="68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</row>
    <row r="1415" ht="15" customHeight="1" s="68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</row>
    <row r="1416" ht="15" customHeight="1" s="68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</row>
    <row r="1417" ht="15" customHeight="1" s="68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</row>
    <row r="1418" ht="15" customHeight="1" s="6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</row>
    <row r="1419" ht="15" customHeight="1" s="68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</row>
    <row r="1420" ht="15" customHeight="1" s="68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</row>
    <row r="1421" ht="15" customHeight="1" s="68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</row>
    <row r="1422" ht="15" customHeight="1" s="68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</row>
    <row r="1423" ht="15" customHeight="1" s="68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</row>
    <row r="1424" ht="15" customHeight="1" s="68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</row>
    <row r="1425" ht="15" customHeight="1" s="68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</row>
    <row r="1426" ht="15" customHeight="1" s="68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</row>
    <row r="1427" ht="15" customHeight="1" s="68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</row>
    <row r="1428" ht="15" customHeight="1" s="6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</row>
    <row r="1429" ht="15" customHeight="1" s="68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</row>
    <row r="1430" ht="15" customHeight="1" s="68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</row>
    <row r="1431" ht="15" customHeight="1" s="68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</row>
    <row r="1432" ht="15" customHeight="1" s="68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</row>
    <row r="1433" ht="15" customHeight="1" s="68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</row>
    <row r="1434" ht="15" customHeight="1" s="68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</row>
    <row r="1435" ht="15" customHeight="1" s="68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</row>
    <row r="1436" ht="15" customHeight="1" s="68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</row>
    <row r="1437" ht="15" customHeight="1" s="68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</row>
    <row r="1438" ht="15" customHeight="1" s="6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</row>
    <row r="1439" ht="15" customHeight="1" s="68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</row>
    <row r="1440" ht="15" customHeight="1" s="68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</row>
    <row r="1441" ht="15" customHeight="1" s="68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</row>
    <row r="1442" ht="15" customHeight="1" s="68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</row>
    <row r="1443" ht="15" customHeight="1" s="68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</row>
    <row r="1444" ht="15" customHeight="1" s="68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</row>
    <row r="1445" ht="15" customHeight="1" s="68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</row>
    <row r="1446" ht="15" customHeight="1" s="68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</row>
    <row r="1447" ht="15" customHeight="1" s="68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</row>
    <row r="1448" ht="15" customHeight="1" s="6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</row>
    <row r="1449" ht="15" customHeight="1" s="68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</row>
    <row r="1450" ht="15" customHeight="1" s="68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</row>
    <row r="1451" ht="15" customHeight="1" s="68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</row>
    <row r="1452" ht="15" customHeight="1" s="68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</row>
    <row r="1453" ht="15" customHeight="1" s="68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</row>
    <row r="1454" ht="15" customHeight="1" s="68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</row>
    <row r="1455" ht="15" customHeight="1" s="68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</row>
    <row r="1456" ht="15" customHeight="1" s="68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</row>
    <row r="1457" ht="15" customHeight="1" s="68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</row>
    <row r="1458" ht="15" customHeight="1" s="6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</row>
    <row r="1459" ht="15" customHeight="1" s="68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</row>
    <row r="1460" ht="15" customHeight="1" s="68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</row>
    <row r="1461" ht="15" customHeight="1" s="68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</row>
    <row r="1462" ht="15" customHeight="1" s="68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</row>
    <row r="1463" ht="15" customHeight="1" s="68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</row>
    <row r="1464" ht="15" customHeight="1" s="68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</row>
    <row r="1465" ht="15" customHeight="1" s="68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</row>
    <row r="1466" ht="15" customHeight="1" s="68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</row>
    <row r="1467" ht="15" customHeight="1" s="68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</row>
    <row r="1468" ht="15" customHeight="1" s="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</row>
    <row r="1469" ht="15" customHeight="1" s="68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</row>
    <row r="1470" ht="15" customHeight="1" s="68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</row>
    <row r="1471" ht="15" customHeight="1" s="68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</row>
    <row r="1472" ht="15" customHeight="1" s="68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</row>
    <row r="1473" ht="15" customHeight="1" s="68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</row>
    <row r="1474" ht="15" customHeight="1" s="68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</row>
    <row r="1475" ht="15" customHeight="1" s="68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</row>
    <row r="1476" ht="15" customHeight="1" s="68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</row>
    <row r="1477" ht="15" customHeight="1" s="68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</row>
    <row r="1478" ht="15" customHeight="1" s="6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</row>
    <row r="1479" ht="15" customHeight="1" s="68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</row>
    <row r="1480" ht="15" customHeight="1" s="68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</row>
    <row r="1481" ht="15" customHeight="1" s="68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</row>
    <row r="1482" ht="15" customHeight="1" s="68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</row>
    <row r="1483" ht="15" customHeight="1" s="68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</row>
    <row r="1484" ht="15" customHeight="1" s="68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</row>
    <row r="1485" ht="15" customHeight="1" s="68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</row>
    <row r="1486" ht="15" customHeight="1" s="68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</row>
    <row r="1487" ht="15" customHeight="1" s="68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</row>
    <row r="1488" ht="15" customHeight="1" s="6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</row>
    <row r="1489" ht="15" customHeight="1" s="68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</row>
    <row r="1490" ht="15" customHeight="1" s="68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</row>
    <row r="1491" ht="15" customHeight="1" s="68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</row>
    <row r="1492" ht="15" customHeight="1" s="68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</row>
    <row r="1493" ht="15" customHeight="1" s="68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</row>
    <row r="1494" ht="15" customHeight="1" s="68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</row>
    <row r="1495" ht="15" customHeight="1" s="68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</row>
    <row r="1496" ht="15" customHeight="1" s="68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</row>
    <row r="1497" ht="15" customHeight="1" s="68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</row>
    <row r="1498" ht="15" customHeight="1" s="6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</row>
    <row r="1499" ht="15" customHeight="1" s="68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</row>
    <row r="1500" ht="15" customHeight="1" s="68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</row>
    <row r="1501" ht="15" customHeight="1" s="68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</row>
    <row r="1502" ht="15" customHeight="1" s="68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</row>
    <row r="1503" ht="15" customHeight="1" s="68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</row>
    <row r="1504" ht="15" customHeight="1" s="68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</row>
    <row r="1505" ht="15" customHeight="1" s="68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</row>
    <row r="1506" ht="15" customHeight="1" s="68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</row>
    <row r="1507" ht="15" customHeight="1" s="68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</row>
    <row r="1508" ht="15" customHeight="1" s="6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</row>
    <row r="1509" ht="15" customHeight="1" s="68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</row>
    <row r="1510" ht="15" customHeight="1" s="68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</row>
    <row r="1511" ht="15" customHeight="1" s="68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</row>
    <row r="1512" ht="15" customHeight="1" s="68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</row>
    <row r="1513" ht="15" customHeight="1" s="68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</row>
    <row r="1514" ht="15" customHeight="1" s="68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</row>
    <row r="1515" ht="15" customHeight="1" s="68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</row>
    <row r="1516" ht="15" customHeight="1" s="68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</row>
    <row r="1517" ht="15" customHeight="1" s="68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</row>
    <row r="1518" ht="15" customHeight="1" s="6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</row>
    <row r="1519" ht="15" customHeight="1" s="68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</row>
    <row r="1520" ht="15" customHeight="1" s="68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</row>
    <row r="1521" ht="15" customHeight="1" s="68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</row>
    <row r="1522" ht="15" customHeight="1" s="68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</row>
    <row r="1523" ht="15" customHeight="1" s="68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</row>
    <row r="1524" ht="15" customHeight="1" s="68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</row>
    <row r="1525" ht="15" customHeight="1" s="68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</row>
    <row r="1526" ht="15" customHeight="1" s="68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</row>
    <row r="1527" ht="15" customHeight="1" s="68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</row>
    <row r="1528" ht="15" customHeight="1" s="6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</row>
    <row r="1529" ht="15" customHeight="1" s="68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</row>
    <row r="1530" ht="15" customHeight="1" s="68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</row>
    <row r="1531" ht="15" customHeight="1" s="68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</row>
    <row r="1532" ht="15" customHeight="1" s="68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</row>
    <row r="1533" ht="15" customHeight="1" s="68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</row>
    <row r="1534" ht="15" customHeight="1" s="68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</row>
    <row r="1535" ht="15" customHeight="1" s="68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</row>
    <row r="1536" ht="15" customHeight="1" s="68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</row>
    <row r="1537" ht="15" customHeight="1" s="68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</row>
    <row r="1538" ht="15" customHeight="1" s="6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</row>
    <row r="1539" ht="15" customHeight="1" s="68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</row>
    <row r="1540" ht="15" customHeight="1" s="68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</row>
    <row r="1541" ht="15" customHeight="1" s="68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</row>
    <row r="1542" ht="15" customHeight="1" s="68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</row>
    <row r="1543" ht="15" customHeight="1" s="68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</row>
    <row r="1544" ht="15" customHeight="1" s="68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</row>
    <row r="1545" ht="15" customHeight="1" s="68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</row>
    <row r="1546" ht="15" customHeight="1" s="68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</row>
    <row r="1547" ht="15" customHeight="1" s="68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</row>
    <row r="1548" ht="15" customHeight="1" s="6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</row>
    <row r="1549" ht="15" customHeight="1" s="68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</row>
    <row r="1550" ht="15" customHeight="1" s="68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</row>
    <row r="1551" ht="15" customHeight="1" s="68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</row>
    <row r="1552" ht="15" customHeight="1" s="68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</row>
    <row r="1553" ht="15" customHeight="1" s="68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</row>
    <row r="1554" ht="15" customHeight="1" s="68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</row>
    <row r="1555" ht="15" customHeight="1" s="68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</row>
    <row r="1556" ht="15" customHeight="1" s="68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</row>
    <row r="1557" ht="15" customHeight="1" s="68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</row>
    <row r="1558" ht="15" customHeight="1" s="6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</row>
    <row r="1559" ht="15" customHeight="1" s="68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</row>
    <row r="1560" ht="15" customHeight="1" s="68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</row>
    <row r="1561" ht="15" customHeight="1" s="68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</row>
    <row r="1562" ht="15" customHeight="1" s="68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</row>
    <row r="1563" ht="15" customHeight="1" s="68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</row>
    <row r="1564" ht="15" customHeight="1" s="68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</row>
    <row r="1565" ht="15" customHeight="1" s="68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</row>
    <row r="1566" ht="15" customHeight="1" s="68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</row>
    <row r="1567" ht="15" customHeight="1" s="68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</row>
    <row r="1568" ht="15" customHeight="1" s="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</row>
    <row r="1569" ht="15" customHeight="1" s="68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</row>
    <row r="1570" ht="15" customHeight="1" s="68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</row>
    <row r="1571" ht="15" customHeight="1" s="68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</row>
    <row r="1572" ht="15" customHeight="1" s="68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</row>
    <row r="1573" ht="15" customHeight="1" s="68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</row>
    <row r="1574" ht="15" customHeight="1" s="68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</row>
    <row r="1575" ht="15" customHeight="1" s="68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</row>
    <row r="1576" ht="15" customHeight="1" s="68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</row>
    <row r="1577" ht="15" customHeight="1" s="68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</row>
    <row r="1578" ht="15" customHeight="1" s="6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</row>
    <row r="1579" ht="15" customHeight="1" s="68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</row>
    <row r="1580" ht="15" customHeight="1" s="68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</row>
    <row r="1581" ht="15" customHeight="1" s="68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</row>
    <row r="1582" ht="15" customHeight="1" s="68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</row>
    <row r="1583" ht="15" customHeight="1" s="68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</row>
    <row r="1584" ht="15" customHeight="1" s="68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</row>
    <row r="1585" ht="15" customHeight="1" s="68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</row>
    <row r="1586" ht="15" customHeight="1" s="68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</row>
    <row r="1587" ht="15" customHeight="1" s="68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</row>
    <row r="1588" ht="15" customHeight="1" s="6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</row>
    <row r="1589" ht="15" customHeight="1" s="68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</row>
    <row r="1590" ht="15" customHeight="1" s="68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</row>
    <row r="1591" ht="15" customHeight="1" s="68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</row>
    <row r="1592" ht="15" customHeight="1" s="68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</row>
    <row r="1593" ht="15" customHeight="1" s="68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</row>
    <row r="1594" ht="15" customHeight="1" s="68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</row>
    <row r="1595" ht="15" customHeight="1" s="68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</row>
    <row r="1596" ht="15" customHeight="1" s="68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</row>
    <row r="1597" ht="15" customHeight="1" s="68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</row>
    <row r="1598" ht="15" customHeight="1" s="6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</row>
    <row r="1599" ht="15" customHeight="1" s="68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</row>
    <row r="1600" ht="15" customHeight="1" s="68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</row>
    <row r="1601" ht="15" customHeight="1" s="68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</row>
    <row r="1602" ht="15" customHeight="1" s="68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</row>
    <row r="1603" ht="15" customHeight="1" s="68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</row>
    <row r="1604" ht="15" customHeight="1" s="68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</row>
    <row r="1605" ht="15" customHeight="1" s="68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</row>
    <row r="1606" ht="15" customHeight="1" s="68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</row>
    <row r="1607" ht="15" customHeight="1" s="68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</row>
    <row r="1608" ht="15" customHeight="1" s="6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</row>
    <row r="1609" ht="15" customHeight="1" s="68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</row>
    <row r="1610" ht="15" customHeight="1" s="68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</row>
    <row r="1611" ht="15" customHeight="1" s="68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</row>
    <row r="1612" ht="15" customHeight="1" s="68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</row>
    <row r="1613" ht="15" customHeight="1" s="68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</row>
    <row r="1614" ht="15" customHeight="1" s="68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</row>
    <row r="1615" ht="15" customHeight="1" s="68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</row>
    <row r="1616" ht="15" customHeight="1" s="68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</row>
    <row r="1617" ht="15" customHeight="1" s="68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</row>
    <row r="1618" ht="15" customHeight="1" s="6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</row>
    <row r="1619" ht="15" customHeight="1" s="68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</row>
    <row r="1620" ht="15" customHeight="1" s="68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</row>
    <row r="1621" ht="15" customHeight="1" s="68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</row>
    <row r="1622" ht="15" customHeight="1" s="68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</row>
    <row r="1623" ht="15" customHeight="1" s="68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</row>
    <row r="1624" ht="15" customHeight="1" s="68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</row>
    <row r="1625" ht="15" customHeight="1" s="68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</row>
    <row r="1626" ht="15" customHeight="1" s="68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</row>
    <row r="1627" ht="15" customHeight="1" s="68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</row>
    <row r="1628" ht="15" customHeight="1" s="6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</row>
    <row r="1629" ht="15" customHeight="1" s="68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</row>
    <row r="1630" ht="15" customHeight="1" s="68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</row>
    <row r="1631" ht="15" customHeight="1" s="68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</row>
    <row r="1632" ht="15" customHeight="1" s="68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</row>
    <row r="1633" ht="15" customHeight="1" s="68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</row>
    <row r="1634" ht="15" customHeight="1" s="68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</row>
    <row r="1635" ht="15" customHeight="1" s="68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</row>
    <row r="1636" ht="15" customHeight="1" s="68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</row>
    <row r="1637" ht="15" customHeight="1" s="68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</row>
    <row r="1638" ht="15" customHeight="1" s="6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</row>
    <row r="1639" ht="15" customHeight="1" s="68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</row>
    <row r="1640" ht="15" customHeight="1" s="68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</row>
    <row r="1641" ht="15" customHeight="1" s="68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</row>
    <row r="1642" ht="15" customHeight="1" s="68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</row>
    <row r="1643" ht="15" customHeight="1" s="68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</row>
    <row r="1644" ht="15" customHeight="1" s="68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</row>
    <row r="1645" ht="15" customHeight="1" s="68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</row>
    <row r="1646" ht="15" customHeight="1" s="68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</row>
    <row r="1647" ht="15" customHeight="1" s="68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</row>
    <row r="1648" ht="15" customHeight="1" s="6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</row>
    <row r="1649" ht="15" customHeight="1" s="68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</row>
    <row r="1650" ht="15" customHeight="1" s="68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</row>
    <row r="1651" ht="15" customHeight="1" s="68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</row>
    <row r="1652" ht="15" customHeight="1" s="68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</row>
    <row r="1653" ht="15" customHeight="1" s="68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</row>
    <row r="1654" ht="15" customHeight="1" s="68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</row>
    <row r="1655" ht="15" customHeight="1" s="68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</row>
    <row r="1656" ht="15" customHeight="1" s="68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</row>
    <row r="1657" ht="15" customHeight="1" s="68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</row>
    <row r="1658" ht="15" customHeight="1" s="6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</row>
    <row r="1659" ht="15" customHeight="1" s="68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</row>
    <row r="1660" ht="15" customHeight="1" s="68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</row>
    <row r="1661" ht="15" customHeight="1" s="68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</row>
    <row r="1662" ht="15" customHeight="1" s="68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</row>
    <row r="1663" ht="15" customHeight="1" s="68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</row>
    <row r="1664" ht="15" customHeight="1" s="68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</row>
    <row r="1665" ht="15" customHeight="1" s="68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</row>
    <row r="1666" ht="15" customHeight="1" s="68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</row>
    <row r="1667" ht="15" customHeight="1" s="68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</row>
    <row r="1668" ht="15" customHeight="1" s="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</row>
    <row r="1669" ht="15" customHeight="1" s="68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</row>
    <row r="1670" ht="15" customHeight="1" s="68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</row>
    <row r="1671" ht="15" customHeight="1" s="68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</row>
    <row r="1672" ht="15" customHeight="1" s="68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</row>
    <row r="1673" ht="15" customHeight="1" s="68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</row>
    <row r="1674" ht="15" customHeight="1" s="68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</row>
    <row r="1675" ht="15" customHeight="1" s="68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</row>
    <row r="1676" ht="15" customHeight="1" s="68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</row>
    <row r="1677" ht="15" customHeight="1" s="68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</row>
    <row r="1678" ht="15" customHeight="1" s="6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</row>
    <row r="1679" ht="15" customHeight="1" s="68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</row>
    <row r="1680" ht="15" customHeight="1" s="68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</row>
    <row r="1681" ht="15" customHeight="1" s="68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</row>
    <row r="1682" ht="15" customHeight="1" s="68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</row>
    <row r="1683" ht="15" customHeight="1" s="68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</row>
    <row r="1684" ht="15" customHeight="1" s="68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</row>
    <row r="1685" ht="15" customHeight="1" s="68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</row>
    <row r="1686" ht="15" customHeight="1" s="68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</row>
    <row r="1687" ht="15" customHeight="1" s="68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</row>
    <row r="1688" ht="15" customHeight="1" s="6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</row>
    <row r="1689" ht="15" customHeight="1" s="68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</row>
    <row r="1690" ht="15" customHeight="1" s="68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</row>
    <row r="1691" ht="15" customHeight="1" s="68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</row>
    <row r="1692" ht="15" customHeight="1" s="68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</row>
    <row r="1693" ht="15" customHeight="1" s="68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</row>
    <row r="1694" ht="15" customHeight="1" s="68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</row>
    <row r="1695" ht="15" customHeight="1" s="68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</row>
    <row r="1696" ht="15" customHeight="1" s="68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</row>
    <row r="1697" ht="15" customHeight="1" s="68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</row>
    <row r="1698" ht="15" customHeight="1" s="6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</row>
    <row r="1699" ht="15" customHeight="1" s="68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</row>
    <row r="1700" ht="15" customHeight="1" s="68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</row>
    <row r="1701" ht="15" customHeight="1" s="68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</row>
    <row r="1702" ht="15" customHeight="1" s="68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</row>
    <row r="1703" ht="15" customHeight="1" s="68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</row>
    <row r="1704" ht="15" customHeight="1" s="68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</row>
    <row r="1705" ht="15" customHeight="1" s="68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</row>
    <row r="1706" ht="15" customHeight="1" s="68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</row>
    <row r="1707" ht="15" customHeight="1" s="68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</row>
    <row r="1708" ht="15" customHeight="1" s="6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</row>
    <row r="1709" ht="15" customHeight="1" s="68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</row>
    <row r="1710" ht="15" customHeight="1" s="68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</row>
    <row r="1711" ht="15" customHeight="1" s="68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</row>
    <row r="1712" ht="15" customHeight="1" s="68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</row>
    <row r="1713" ht="15" customHeight="1" s="68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</row>
    <row r="1714" ht="15" customHeight="1" s="68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</row>
    <row r="1715" ht="15" customHeight="1" s="68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</row>
    <row r="1716" ht="15" customHeight="1" s="68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</row>
    <row r="1717" ht="15" customHeight="1" s="68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</row>
    <row r="1718" ht="15" customHeight="1" s="6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</row>
    <row r="1719" ht="15" customHeight="1" s="68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</row>
    <row r="1720" ht="15" customHeight="1" s="68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</row>
    <row r="1721" ht="15" customHeight="1" s="68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</row>
    <row r="1722" ht="15" customHeight="1" s="68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</row>
    <row r="1723" ht="15" customHeight="1" s="68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</row>
    <row r="1724" ht="15" customHeight="1" s="68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</row>
    <row r="1725" ht="15" customHeight="1" s="68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</row>
    <row r="1726" ht="15" customHeight="1" s="68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</row>
    <row r="1727" ht="15" customHeight="1" s="68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</row>
    <row r="1728" ht="15" customHeight="1" s="6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</row>
    <row r="1729" ht="15" customHeight="1" s="68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</row>
    <row r="1730" ht="15" customHeight="1" s="68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</row>
    <row r="1731" ht="15" customHeight="1" s="68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</row>
    <row r="1732" ht="15" customHeight="1" s="68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</row>
    <row r="1733" ht="15" customHeight="1" s="68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</row>
    <row r="1734" ht="15" customHeight="1" s="68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</row>
    <row r="1735" ht="15" customHeight="1" s="68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</row>
    <row r="1736" ht="15" customHeight="1" s="68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</row>
    <row r="1737" ht="15" customHeight="1" s="68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</row>
    <row r="1738" ht="15" customHeight="1" s="6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</row>
    <row r="1739" ht="15" customHeight="1" s="68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</row>
    <row r="1740" ht="15" customHeight="1" s="68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</row>
    <row r="1741" ht="15" customHeight="1" s="68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</row>
    <row r="1742" ht="15" customHeight="1" s="68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</row>
    <row r="1743" ht="15" customHeight="1" s="68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</row>
    <row r="1744" ht="15" customHeight="1" s="68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</row>
    <row r="1745" ht="15" customHeight="1" s="68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</row>
    <row r="1746" ht="15" customHeight="1" s="68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</row>
    <row r="1747" ht="15" customHeight="1" s="68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</row>
    <row r="1748" ht="15" customHeight="1" s="6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</row>
    <row r="1749" ht="15" customHeight="1" s="68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</row>
    <row r="1750" ht="15" customHeight="1" s="68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</row>
    <row r="1751" ht="15" customHeight="1" s="68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</row>
    <row r="1752" ht="15" customHeight="1" s="68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</row>
    <row r="1753" ht="15" customHeight="1" s="68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</row>
    <row r="1754" ht="15" customHeight="1" s="68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</row>
    <row r="1755" ht="15" customHeight="1" s="68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</row>
    <row r="1756" ht="15" customHeight="1" s="68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</row>
    <row r="1757" ht="15" customHeight="1" s="68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</row>
    <row r="1758" ht="15" customHeight="1" s="6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</row>
    <row r="1759" ht="15" customHeight="1" s="68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</row>
    <row r="1760" ht="15" customHeight="1" s="68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</row>
    <row r="1761" ht="15" customHeight="1" s="68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</row>
    <row r="1762" ht="15" customHeight="1" s="68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</row>
    <row r="1763" ht="15" customHeight="1" s="68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</row>
    <row r="1764" ht="15" customHeight="1" s="68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</row>
    <row r="1765" ht="15" customHeight="1" s="68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</row>
    <row r="1766" ht="15" customHeight="1" s="68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</row>
    <row r="1767" ht="15" customHeight="1" s="68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</row>
    <row r="1768" ht="15" customHeight="1" s="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</row>
    <row r="1769" ht="15" customHeight="1" s="68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</row>
    <row r="1770" ht="15" customHeight="1" s="68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</row>
    <row r="1771" ht="15" customHeight="1" s="68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</row>
    <row r="1772" ht="15" customHeight="1" s="68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</row>
    <row r="1773" ht="15" customHeight="1" s="68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</row>
    <row r="1774" ht="15" customHeight="1" s="68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</row>
    <row r="1775" ht="15" customHeight="1" s="68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</row>
    <row r="1776" ht="15" customHeight="1" s="68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</row>
    <row r="1777" ht="15" customHeight="1" s="68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</row>
    <row r="1778" ht="15" customHeight="1" s="6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</row>
    <row r="1779" ht="15" customHeight="1" s="68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</row>
    <row r="1780" ht="15" customHeight="1" s="68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</row>
    <row r="1781" ht="15" customHeight="1" s="68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</row>
    <row r="1782" ht="15" customHeight="1" s="68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</row>
    <row r="1783" ht="15" customHeight="1" s="68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</row>
    <row r="1784" ht="15" customHeight="1" s="68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</row>
    <row r="1785" ht="15" customHeight="1" s="68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</row>
    <row r="1786" ht="15" customHeight="1" s="68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</row>
    <row r="1787" ht="15" customHeight="1" s="68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</row>
    <row r="1788" ht="15" customHeight="1" s="6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</row>
    <row r="1789" ht="15" customHeight="1" s="68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</row>
    <row r="1790" ht="15" customHeight="1" s="68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</row>
    <row r="1791" ht="15" customHeight="1" s="68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</row>
    <row r="1792" ht="15" customHeight="1" s="68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</row>
    <row r="1793" ht="15" customHeight="1" s="68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</row>
    <row r="1794" ht="15" customHeight="1" s="68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</row>
    <row r="1795" ht="15" customHeight="1" s="68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</row>
    <row r="1796" ht="15" customHeight="1" s="68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</row>
    <row r="1797" ht="15" customHeight="1" s="68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</row>
    <row r="1798" ht="15" customHeight="1" s="6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</row>
    <row r="1799" ht="15" customHeight="1" s="68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</row>
    <row r="1800" ht="15" customHeight="1" s="68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</row>
    <row r="1801" ht="15" customHeight="1" s="68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</row>
    <row r="1802" ht="15" customHeight="1" s="68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</row>
    <row r="1803" ht="15" customHeight="1" s="68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</row>
    <row r="1804" ht="15" customHeight="1" s="68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</row>
    <row r="1805" ht="15" customHeight="1" s="68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</row>
    <row r="1806" ht="15" customHeight="1" s="68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</row>
    <row r="1807" ht="15" customHeight="1" s="68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</row>
    <row r="1808" ht="15" customHeight="1" s="6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</row>
    <row r="1809" ht="15" customHeight="1" s="68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</row>
    <row r="1810" ht="15" customHeight="1" s="68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</row>
    <row r="1811" ht="15" customHeight="1" s="68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</row>
    <row r="1812" ht="15" customHeight="1" s="68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</row>
    <row r="1813" ht="15" customHeight="1" s="68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</row>
    <row r="1814" ht="15" customHeight="1" s="68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</row>
    <row r="1815" ht="15" customHeight="1" s="68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</row>
    <row r="1816" ht="15" customHeight="1" s="68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</row>
    <row r="1817" ht="15" customHeight="1" s="68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</row>
    <row r="1818" ht="15" customHeight="1" s="6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</row>
    <row r="1819" ht="15" customHeight="1" s="68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</row>
    <row r="1820" ht="15" customHeight="1" s="68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</row>
    <row r="1821" ht="15" customHeight="1" s="68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</row>
    <row r="1822" ht="15" customHeight="1" s="68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</row>
    <row r="1823" ht="15" customHeight="1" s="68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</row>
    <row r="1824" ht="15" customHeight="1" s="68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</row>
    <row r="1825" ht="15" customHeight="1" s="68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</row>
    <row r="1826" ht="15" customHeight="1" s="68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</row>
    <row r="1827" ht="15" customHeight="1" s="68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</row>
    <row r="1828" ht="15" customHeight="1" s="6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</row>
    <row r="1829" ht="15" customHeight="1" s="68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</row>
    <row r="1830" ht="15" customHeight="1" s="68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</row>
    <row r="1831" ht="15" customHeight="1" s="68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</row>
    <row r="1832" ht="15" customHeight="1" s="68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</row>
    <row r="1833" ht="15" customHeight="1" s="68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</row>
    <row r="1834" ht="15" customHeight="1" s="68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</row>
    <row r="1835" ht="15" customHeight="1" s="68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</row>
    <row r="1836" ht="15" customHeight="1" s="68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</row>
    <row r="1837" ht="15" customHeight="1" s="68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</row>
    <row r="1838" ht="15" customHeight="1" s="6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</row>
    <row r="1839" ht="15" customHeight="1" s="68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</row>
    <row r="1840" ht="15" customHeight="1" s="68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</row>
    <row r="1841" ht="15" customHeight="1" s="68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</row>
    <row r="1842" ht="15" customHeight="1" s="68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</row>
    <row r="1843" ht="15" customHeight="1" s="68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</row>
    <row r="1844" ht="15" customHeight="1" s="68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</row>
    <row r="1845" ht="15" customHeight="1" s="68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</row>
    <row r="1846" ht="15" customHeight="1" s="68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</row>
    <row r="1847" ht="15" customHeight="1" s="68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</row>
    <row r="1848" ht="15" customHeight="1" s="6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</row>
    <row r="1849" ht="15" customHeight="1" s="68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</row>
    <row r="1850" ht="15" customHeight="1" s="68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</row>
    <row r="1851" ht="15" customHeight="1" s="68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</row>
    <row r="1852" ht="15" customHeight="1" s="68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</row>
    <row r="1853" ht="15" customHeight="1" s="68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</row>
    <row r="1854" ht="15" customHeight="1" s="68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</row>
    <row r="1855" ht="15" customHeight="1" s="68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</row>
    <row r="1856" ht="15" customHeight="1" s="68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</row>
    <row r="1857" ht="15" customHeight="1" s="68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</row>
    <row r="1858" ht="15" customHeight="1" s="6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</row>
    <row r="1859" ht="15" customHeight="1" s="68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</row>
    <row r="1860" ht="15" customHeight="1" s="68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</row>
    <row r="1861" ht="15" customHeight="1" s="68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</row>
    <row r="1862" ht="15" customHeight="1" s="68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</row>
    <row r="1863" ht="15" customHeight="1" s="68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</row>
    <row r="1864" ht="15" customHeight="1" s="68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</row>
    <row r="1865" ht="15" customHeight="1" s="68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</row>
    <row r="1866" ht="15" customHeight="1" s="68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</row>
    <row r="1867" ht="15" customHeight="1" s="68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</row>
    <row r="1868" ht="15" customHeight="1" s="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</row>
    <row r="1869" ht="15" customHeight="1" s="68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</row>
    <row r="1870" ht="15" customHeight="1" s="68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</row>
    <row r="1871" ht="15" customHeight="1" s="68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</row>
    <row r="1872" ht="15" customHeight="1" s="68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</row>
    <row r="1873" ht="15" customHeight="1" s="68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</row>
    <row r="1874" ht="15" customHeight="1" s="68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</row>
    <row r="1875" ht="15" customHeight="1" s="68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</row>
    <row r="1876" ht="15" customHeight="1" s="68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</row>
    <row r="1877" ht="15" customHeight="1" s="68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</row>
    <row r="1878" ht="15" customHeight="1" s="6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</row>
    <row r="1879" ht="15" customHeight="1" s="68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</row>
    <row r="1880" ht="15" customHeight="1" s="68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</row>
    <row r="1881" ht="15" customHeight="1" s="68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</row>
    <row r="1882" ht="15" customHeight="1" s="68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</row>
    <row r="1883" ht="15" customHeight="1" s="68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</row>
    <row r="1884" ht="15" customHeight="1" s="68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</row>
    <row r="1885" ht="15" customHeight="1" s="68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</row>
    <row r="1886" ht="15" customHeight="1" s="68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</row>
    <row r="1887" ht="15" customHeight="1" s="68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</row>
    <row r="1888" ht="15" customHeight="1" s="6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</row>
    <row r="1889" ht="15" customHeight="1" s="68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</row>
    <row r="1890" ht="15" customHeight="1" s="68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</row>
    <row r="1891" ht="15" customHeight="1" s="68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</row>
    <row r="1892" ht="15" customHeight="1" s="68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</row>
    <row r="1893" ht="15" customHeight="1" s="68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</row>
    <row r="1894" ht="15" customHeight="1" s="68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</row>
    <row r="1895" ht="15" customHeight="1" s="68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</row>
    <row r="1896" ht="15" customHeight="1" s="68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</row>
    <row r="1897" ht="15" customHeight="1" s="68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</row>
    <row r="1898" ht="15" customHeight="1" s="6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</row>
    <row r="1899" ht="15" customHeight="1" s="68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</row>
    <row r="1900" ht="15" customHeight="1" s="68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</row>
    <row r="1901" ht="15" customHeight="1" s="68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</row>
    <row r="1902" ht="15" customHeight="1" s="68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</row>
    <row r="1903" ht="15" customHeight="1" s="68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</row>
    <row r="1904" ht="15" customHeight="1" s="68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</row>
    <row r="1905" ht="15" customHeight="1" s="68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</row>
    <row r="1906" ht="15" customHeight="1" s="68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</row>
    <row r="1907" ht="15" customHeight="1" s="68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</row>
    <row r="1908" ht="15" customHeight="1" s="6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</row>
    <row r="1909" ht="15" customHeight="1" s="68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</row>
    <row r="1910" ht="15" customHeight="1" s="68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</row>
    <row r="1911" ht="15" customHeight="1" s="68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</row>
    <row r="1912" ht="15" customHeight="1" s="68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</row>
    <row r="1913" ht="15" customHeight="1" s="68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</row>
    <row r="1914" ht="15" customHeight="1" s="68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</row>
    <row r="1915" ht="15" customHeight="1" s="68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</row>
    <row r="1916" ht="15" customHeight="1" s="68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</row>
    <row r="1917" ht="15" customHeight="1" s="68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</row>
    <row r="1918" ht="15" customHeight="1" s="6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</row>
    <row r="1919" ht="15" customHeight="1" s="68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</row>
    <row r="1920" ht="15" customHeight="1" s="68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</row>
    <row r="1921" ht="15" customHeight="1" s="68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</row>
    <row r="1922" ht="15" customHeight="1" s="68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</row>
    <row r="1923" ht="15" customHeight="1" s="68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</row>
    <row r="1924" ht="15" customHeight="1" s="68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</row>
    <row r="1925" ht="15" customHeight="1" s="68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</row>
    <row r="1926" ht="15" customHeight="1" s="68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</row>
    <row r="1927" ht="15" customHeight="1" s="68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</row>
    <row r="1928" ht="15" customHeight="1" s="6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</row>
    <row r="1929" ht="15" customHeight="1" s="68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</row>
    <row r="1930" ht="15" customHeight="1" s="68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</row>
    <row r="1931" ht="15" customHeight="1" s="68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</row>
    <row r="1932" ht="15" customHeight="1" s="68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</row>
    <row r="1933" ht="15" customHeight="1" s="68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</row>
    <row r="1934" ht="15" customHeight="1" s="68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</row>
    <row r="1935" ht="15" customHeight="1" s="68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</row>
    <row r="1936" ht="15" customHeight="1" s="68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</row>
    <row r="1937" ht="15" customHeight="1" s="68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</row>
    <row r="1938" ht="15" customHeight="1" s="6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</row>
    <row r="1939" ht="15" customHeight="1" s="68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</row>
    <row r="1940" ht="15" customHeight="1" s="68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</row>
    <row r="1941" ht="15" customHeight="1" s="68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</row>
    <row r="1942" ht="15" customHeight="1" s="68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</row>
    <row r="1943" ht="15" customHeight="1" s="68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</row>
    <row r="1944" ht="15" customHeight="1" s="68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</row>
    <row r="1945" ht="15" customHeight="1" s="68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</row>
    <row r="1946" ht="15" customHeight="1" s="68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</row>
    <row r="1947" ht="15" customHeight="1" s="68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</row>
    <row r="1948" ht="15" customHeight="1" s="6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</row>
    <row r="1949" ht="15" customHeight="1" s="68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</row>
    <row r="1950" ht="15" customHeight="1" s="68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</row>
    <row r="1951" ht="15" customHeight="1" s="68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</row>
    <row r="1952" ht="15" customHeight="1" s="68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</row>
    <row r="1953" ht="15" customHeight="1" s="68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</row>
    <row r="1954" ht="15" customHeight="1" s="68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</row>
    <row r="1955" ht="15" customHeight="1" s="68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</row>
    <row r="1956" ht="15" customHeight="1" s="68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</row>
    <row r="1957" ht="15" customHeight="1" s="68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</row>
    <row r="1958" ht="15" customHeight="1" s="6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</row>
    <row r="1959" ht="15" customHeight="1" s="68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</row>
    <row r="1960" ht="15" customHeight="1" s="68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</row>
    <row r="1961" ht="15" customHeight="1" s="68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</row>
    <row r="1962" ht="15" customHeight="1" s="68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</row>
    <row r="1963" ht="15" customHeight="1" s="68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</row>
    <row r="1964" ht="15" customHeight="1" s="68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</row>
    <row r="1965" ht="15" customHeight="1" s="68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</row>
    <row r="1966" ht="15" customHeight="1" s="68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</row>
    <row r="1967" ht="15" customHeight="1" s="68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</row>
    <row r="1968" ht="15" customHeight="1" s="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</row>
    <row r="1969" ht="15" customHeight="1" s="68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</row>
    <row r="1970" ht="15" customHeight="1" s="68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</row>
    <row r="1971" ht="15" customHeight="1" s="68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</row>
    <row r="1972" ht="15" customHeight="1" s="68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</row>
    <row r="1973" ht="15" customHeight="1" s="68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</row>
    <row r="1974" ht="15" customHeight="1" s="68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</row>
    <row r="1975" ht="15" customHeight="1" s="68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</row>
    <row r="1976" ht="15" customHeight="1" s="68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</row>
    <row r="1977" ht="15" customHeight="1" s="68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</row>
    <row r="1978" ht="15" customHeight="1" s="6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</row>
    <row r="1979" ht="15" customHeight="1" s="68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</row>
    <row r="1980" ht="15" customHeight="1" s="68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</row>
    <row r="1981" ht="15" customHeight="1" s="68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</row>
    <row r="1982" ht="15" customHeight="1" s="68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</row>
    <row r="1983" ht="15" customHeight="1" s="68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</row>
    <row r="1984" ht="15" customHeight="1" s="68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</row>
    <row r="1985" ht="15" customHeight="1" s="68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</row>
    <row r="1986" ht="15" customHeight="1" s="68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</row>
    <row r="1987" ht="15" customHeight="1" s="68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</row>
    <row r="1988" ht="15" customHeight="1" s="6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</row>
    <row r="1989" ht="15" customHeight="1" s="68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</row>
    <row r="1990" ht="15" customHeight="1" s="68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</row>
    <row r="1991" ht="15" customHeight="1" s="68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</row>
    <row r="1992" ht="15" customHeight="1" s="68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</row>
    <row r="1993" ht="15" customHeight="1" s="68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</row>
    <row r="1994" ht="15" customHeight="1" s="68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</row>
    <row r="1995" ht="15" customHeight="1" s="68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</row>
    <row r="1996" ht="15" customHeight="1" s="68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</row>
    <row r="1997" ht="15" customHeight="1" s="68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</row>
    <row r="1998" ht="15" customHeight="1" s="6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</row>
    <row r="1999" ht="15" customHeight="1" s="68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</row>
    <row r="2000" ht="15" customHeight="1" s="68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</row>
    <row r="2001" ht="15" customHeight="1" s="68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</row>
    <row r="2002" ht="15" customHeight="1" s="68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</row>
    <row r="2003" ht="15" customHeight="1" s="68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</row>
    <row r="2004" ht="15" customHeight="1" s="68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</row>
    <row r="2005"/>
    <row r="2006" ht="19.5" customHeight="1" s="68">
      <c r="A2006" s="105" t="inlineStr">
        <is>
          <t>Vergi matrah zinciri: GV=CIF×oran, ÖTV=(CIF+GV)×oran, KDV=(CIF+GV+ÖTV)×oran; yurt içi masraflar FOB payıyla ürünlere dağıtılır.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006:AN2006"/>
    <mergeCell ref="A1:U1"/>
    <mergeCell ref="A4:U4"/>
    <mergeCell ref="A3:U3"/>
  </mergeCells>
  <conditionalFormatting sqref="T6:T2004">
    <cfRule type="cellIs" rank="0" priority="2" equalAverage="0" operator="greaterThan" aboveAverage="0" dxfId="6" text="" percent="0" bottom="0">
      <formula>0</formula>
    </cfRule>
  </conditionalFormatting>
  <conditionalFormatting sqref="U6:U2004">
    <cfRule type="cellIs" rank="0" priority="3" equalAverage="0" operator="greaterThan" aboveAverage="0" dxfId="7" text="" percent="0" bottom="0">
      <formula>MaliyetFaktorEsik</formula>
    </cfRule>
  </conditionalFormatting>
  <conditionalFormatting sqref="D6:D2004">
    <cfRule type="cellIs" rank="0" priority="4" equalAverage="0" operator="lessThan" aboveAverage="0" dxfId="7" text="" percent="0" bottom="0">
      <formula>0</formula>
    </cfRule>
  </conditionalFormatting>
  <conditionalFormatting sqref="F6:F2004">
    <cfRule type="cellIs" rank="0" priority="5" equalAverage="0" operator="equal" aboveAverage="0" dxfId="8" text="" percent="0" bottom="0">
      <formula>0</formula>
    </cfRule>
  </conditionalFormatting>
  <conditionalFormatting sqref="S6:S2004">
    <cfRule type="cellIs" rank="0" priority="6" equalAverage="0" operator="greaterThan" aboveAverage="0" dxfId="6" text="" percent="0" bottom="0">
      <formula>0</formula>
    </cfRule>
  </conditionalFormatting>
  <conditionalFormatting sqref="H6:H2004">
    <cfRule type="cellIs" rank="0" priority="7" equalAverage="0" operator="greaterThan" aboveAverage="0" dxfId="7" text="" percent="0" bottom="0">
      <formula>1</formula>
    </cfRule>
  </conditionalFormatting>
  <dataValidations count="5">
    <dataValidation sqref="E6:E2004" showDropDown="0" showInputMessage="1" showErrorMessage="1" allowBlank="1" errorTitle="Geçersiz döviz cinsi" error="Listeden bir değer seçin." promptTitle="Döviz Cinsi" prompt="USD / EUR / GBP seçin." type="list" errorStyle="stop" operator="between">
      <formula1>dovizcinsleri</formula1>
      <formula2>0</formula2>
    </dataValidation>
    <dataValidation sqref="B6:B2004" showDropDown="0" showInputMessage="1" showErrorMessage="1" allowBlank="1" errorTitle="Geçersiz birim" error="Listeden bir değer seçin." promptTitle="Birim" prompt="Adet / Kg / Ton / Palet / Metre seçin." type="list" errorStyle="stop" operator="between">
      <formula1>birimler</formula1>
      <formula2>0</formula2>
    </dataValidation>
    <dataValidation sqref="C6:C2004" showDropDown="0" showInputMessage="1" showErrorMessage="1" allowBlank="1" errorTitle="Geçersiz adet" error="Adet 0'dan büyük olmalıdır." promptTitle="Adet" prompt="İthal edilen ürün adedini girin." type="decimal" errorStyle="stop" operator="greaterThan">
      <formula1>0</formula1>
      <formula2>0</formula2>
    </dataValidation>
    <dataValidation sqref="D6:D2004" showDropDown="0" showInputMessage="1" showErrorMessage="1" allowBlank="1" errorTitle="Geçersiz fiyat" error="Fiyat 0'dan büyük olmalıdır." promptTitle="FOB Birim Fiyat" prompt="Döviz cinsinden birim fiyatı girin." type="decimal" errorStyle="stop" operator="greaterThan">
      <formula1>0</formula1>
      <formula2>0</formula2>
    </dataValidation>
    <dataValidation sqref="F6:F2004" showDropDown="0" showInputMessage="1" showErrorMessage="1" allowBlank="1" errorTitle="Geçersiz kur" error="Kur 0'dan büyük olmalıdır." promptTitle="Kur" prompt="1 döviz biriminin TL karşılığını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3"/>
    <col width="22.5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MASRAFLAR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Yurt İçi Operasyon Masrafları (Liman → Depo)</t>
        </is>
      </c>
    </row>
    <row r="4" ht="15" customHeight="1" s="68">
      <c r="A4" s="108" t="inlineStr">
        <is>
          <t>Sarı hücrelere masraf kalemi ve TL tutarı girin; ürünlere FOB payıyla otomatik dağıtılır.</t>
        </is>
      </c>
    </row>
    <row r="5" ht="30" customHeight="1" s="68">
      <c r="A5" s="109" t="inlineStr">
        <is>
          <t>Masraf Kalemi</t>
        </is>
      </c>
      <c r="B5" s="109" t="inlineStr">
        <is>
          <t>Tutar TL</t>
        </is>
      </c>
      <c r="C5" s="109" t="inlineStr">
        <is>
          <t>Açıklama</t>
        </is>
      </c>
    </row>
    <row r="6" ht="15" customHeight="1" s="68">
      <c r="A6" s="110" t="inlineStr">
        <is>
          <t>Liman ve Antrepo</t>
        </is>
      </c>
      <c r="B6" s="115" t="n">
        <v>25000</v>
      </c>
      <c r="C6" s="110" t="inlineStr">
        <is>
          <t>Sevkiyat başı</t>
        </is>
      </c>
    </row>
    <row r="7" ht="15" customHeight="1" s="68">
      <c r="A7" s="110" t="inlineStr">
        <is>
          <t>Gümrük Müşavirliği</t>
        </is>
      </c>
      <c r="B7" s="115" t="n">
        <v>8000</v>
      </c>
      <c r="C7" s="110" t="inlineStr">
        <is>
          <t>Beyan ve refakat</t>
        </is>
      </c>
    </row>
    <row r="8" ht="15" customHeight="1" s="68">
      <c r="A8" s="110" t="inlineStr">
        <is>
          <t>Yurt İçi Nakliye</t>
        </is>
      </c>
      <c r="B8" s="115" t="n">
        <v>15000</v>
      </c>
      <c r="C8" s="110" t="inlineStr">
        <is>
          <t>Liman → depo</t>
        </is>
      </c>
    </row>
    <row r="9" ht="15" customHeight="1" s="68">
      <c r="A9" s="110" t="inlineStr">
        <is>
          <t>Belgelendirme</t>
        </is>
      </c>
      <c r="B9" s="115" t="n">
        <v>3000</v>
      </c>
      <c r="C9" s="110" t="inlineStr">
        <is>
          <t>Menşe ve uygunluk</t>
        </is>
      </c>
    </row>
    <row r="10" ht="15" customHeight="1" s="68">
      <c r="A10" s="110" t="inlineStr">
        <is>
          <t>Sigorta Primi</t>
        </is>
      </c>
      <c r="B10" s="115" t="n">
        <v>4500</v>
      </c>
      <c r="C10" s="110" t="inlineStr">
        <is>
          <t>Nakliyat sigortası</t>
        </is>
      </c>
    </row>
    <row r="11" ht="15" customHeight="1" s="68">
      <c r="A11" s="110" t="inlineStr">
        <is>
          <t>Damga Vergisi</t>
        </is>
      </c>
      <c r="B11" s="115" t="n">
        <v>1200</v>
      </c>
      <c r="C11" s="110" t="inlineStr">
        <is>
          <t>Beyanname</t>
        </is>
      </c>
    </row>
    <row r="12" ht="15" customHeight="1" s="68">
      <c r="A12" s="110" t="inlineStr">
        <is>
          <t>Bankacılık ve Döviz</t>
        </is>
      </c>
      <c r="B12" s="115" t="n">
        <v>2500</v>
      </c>
      <c r="C12" s="110" t="inlineStr">
        <is>
          <t>Ödeme masrafları</t>
        </is>
      </c>
    </row>
    <row r="13" ht="15" customHeight="1" s="68">
      <c r="A13" s="110" t="inlineStr">
        <is>
          <t>Konteyner Depolama</t>
        </is>
      </c>
      <c r="B13" s="115" t="n">
        <v>6000</v>
      </c>
      <c r="C13" s="110" t="inlineStr">
        <is>
          <t>Bekleme süresi</t>
        </is>
      </c>
    </row>
    <row r="14" ht="15" customHeight="1" s="68">
      <c r="A14" s="110" t="inlineStr">
        <is>
          <t>Palet ve Ambalaj</t>
        </is>
      </c>
      <c r="B14" s="115" t="n">
        <v>3800</v>
      </c>
      <c r="C14" s="110" t="inlineStr">
        <is>
          <t>Taşıma koruması</t>
        </is>
      </c>
    </row>
    <row r="15" ht="15" customHeight="1" s="68">
      <c r="A15" s="110" t="inlineStr">
        <is>
          <t>Geçici Depolama</t>
        </is>
      </c>
      <c r="B15" s="115" t="n">
        <v>2200</v>
      </c>
      <c r="C15" s="110" t="inlineStr">
        <is>
          <t>Depo elleçleme</t>
        </is>
      </c>
    </row>
    <row r="16" ht="15" customHeight="1" s="68">
      <c r="A16" s="114" t="n"/>
      <c r="B16" s="114" t="n"/>
      <c r="C16" s="114" t="n"/>
    </row>
    <row r="17" ht="15" customHeight="1" s="68">
      <c r="A17" s="114" t="n"/>
      <c r="B17" s="114" t="n"/>
      <c r="C17" s="114" t="n"/>
    </row>
    <row r="18" ht="15" customHeight="1" s="68">
      <c r="A18" s="114" t="n"/>
      <c r="B18" s="114" t="n"/>
      <c r="C18" s="114" t="n"/>
    </row>
    <row r="19" ht="15" customHeight="1" s="68">
      <c r="A19" s="114" t="n"/>
      <c r="B19" s="114" t="n"/>
      <c r="C19" s="114" t="n"/>
    </row>
    <row r="20" ht="15" customHeight="1" s="68">
      <c r="A20" s="114" t="n"/>
      <c r="B20" s="114" t="n"/>
      <c r="C20" s="114" t="n"/>
    </row>
    <row r="21" ht="15" customHeight="1" s="68">
      <c r="A21" s="114" t="n"/>
      <c r="B21" s="114" t="n"/>
      <c r="C21" s="114" t="n"/>
    </row>
    <row r="22" ht="15" customHeight="1" s="68">
      <c r="A22" s="114" t="n"/>
      <c r="B22" s="114" t="n"/>
      <c r="C22" s="114" t="n"/>
    </row>
    <row r="23" ht="15" customHeight="1" s="68">
      <c r="A23" s="114" t="n"/>
      <c r="B23" s="114" t="n"/>
      <c r="C23" s="114" t="n"/>
    </row>
    <row r="24" ht="15" customHeight="1" s="68">
      <c r="A24" s="114" t="n"/>
      <c r="B24" s="114" t="n"/>
      <c r="C24" s="114" t="n"/>
    </row>
    <row r="25" ht="15" customHeight="1" s="68">
      <c r="A25" s="114" t="n"/>
      <c r="B25" s="114" t="n"/>
      <c r="C25" s="114" t="n"/>
    </row>
    <row r="26" ht="15" customHeight="1" s="68">
      <c r="A26" s="114" t="n"/>
      <c r="B26" s="114" t="n"/>
      <c r="C26" s="114" t="n"/>
    </row>
    <row r="27" ht="15" customHeight="1" s="68">
      <c r="A27" s="114" t="n"/>
      <c r="B27" s="114" t="n"/>
      <c r="C27" s="114" t="n"/>
    </row>
    <row r="28" ht="15" customHeight="1" s="68">
      <c r="A28" s="114" t="n"/>
      <c r="B28" s="114" t="n"/>
      <c r="C28" s="114" t="n"/>
    </row>
    <row r="29" ht="15" customHeight="1" s="68">
      <c r="A29" s="114" t="n"/>
      <c r="B29" s="114" t="n"/>
      <c r="C29" s="114" t="n"/>
    </row>
    <row r="30" ht="15" customHeight="1" s="68">
      <c r="A30" s="114" t="n"/>
      <c r="B30" s="114" t="n"/>
      <c r="C30" s="114" t="n"/>
    </row>
    <row r="31" ht="15" customHeight="1" s="68">
      <c r="A31" s="114" t="n"/>
      <c r="B31" s="114" t="n"/>
      <c r="C31" s="114" t="n"/>
    </row>
    <row r="32" ht="15" customHeight="1" s="68">
      <c r="A32" s="114" t="n"/>
      <c r="B32" s="114" t="n"/>
      <c r="C32" s="114" t="n"/>
    </row>
    <row r="33" ht="15" customHeight="1" s="68">
      <c r="A33" s="114" t="n"/>
      <c r="B33" s="114" t="n"/>
      <c r="C33" s="114" t="n"/>
    </row>
    <row r="34" ht="15" customHeight="1" s="68">
      <c r="A34" s="114" t="n"/>
      <c r="B34" s="114" t="n"/>
      <c r="C34" s="114" t="n"/>
    </row>
    <row r="35" ht="15" customHeight="1" s="68">
      <c r="A35" s="114" t="n"/>
      <c r="B35" s="114" t="n"/>
      <c r="C35" s="114" t="n"/>
    </row>
    <row r="36" ht="15" customHeight="1" s="68">
      <c r="A36" s="114" t="n"/>
      <c r="B36" s="114" t="n"/>
      <c r="C36" s="114" t="n"/>
    </row>
    <row r="37" ht="15" customHeight="1" s="68">
      <c r="A37" s="114" t="n"/>
      <c r="B37" s="114" t="n"/>
      <c r="C37" s="114" t="n"/>
    </row>
    <row r="38" ht="15" customHeight="1" s="68">
      <c r="A38" s="114" t="n"/>
      <c r="B38" s="114" t="n"/>
      <c r="C38" s="114" t="n"/>
    </row>
    <row r="39" ht="15" customHeight="1" s="68">
      <c r="A39" s="114" t="n"/>
      <c r="B39" s="114" t="n"/>
      <c r="C39" s="114" t="n"/>
    </row>
    <row r="40" ht="15" customHeight="1" s="68">
      <c r="A40" s="114" t="n"/>
      <c r="B40" s="114" t="n"/>
      <c r="C40" s="114" t="n"/>
    </row>
    <row r="41" ht="15" customHeight="1" s="68">
      <c r="A41" s="114" t="n"/>
      <c r="B41" s="114" t="n"/>
      <c r="C41" s="114" t="n"/>
    </row>
    <row r="42" ht="15" customHeight="1" s="68">
      <c r="A42" s="114" t="n"/>
      <c r="B42" s="114" t="n"/>
      <c r="C42" s="114" t="n"/>
    </row>
    <row r="43" ht="15" customHeight="1" s="68">
      <c r="A43" s="114" t="n"/>
      <c r="B43" s="114" t="n"/>
      <c r="C43" s="114" t="n"/>
    </row>
    <row r="44" ht="15" customHeight="1" s="68">
      <c r="A44" s="114" t="n"/>
      <c r="B44" s="114" t="n"/>
      <c r="C44" s="114" t="n"/>
    </row>
    <row r="45" ht="15" customHeight="1" s="68">
      <c r="A45" s="114" t="n"/>
      <c r="B45" s="114" t="n"/>
      <c r="C45" s="114" t="n"/>
    </row>
    <row r="46" ht="15" customHeight="1" s="68">
      <c r="A46" s="114" t="n"/>
      <c r="B46" s="114" t="n"/>
      <c r="C46" s="114" t="n"/>
    </row>
    <row r="47" ht="15" customHeight="1" s="68">
      <c r="A47" s="114" t="n"/>
      <c r="B47" s="114" t="n"/>
      <c r="C47" s="114" t="n"/>
    </row>
    <row r="48" ht="15" customHeight="1" s="68">
      <c r="A48" s="114" t="n"/>
      <c r="B48" s="114" t="n"/>
      <c r="C48" s="114" t="n"/>
    </row>
    <row r="49" ht="15" customHeight="1" s="68">
      <c r="A49" s="114" t="n"/>
      <c r="B49" s="114" t="n"/>
      <c r="C49" s="114" t="n"/>
    </row>
    <row r="50" ht="15" customHeight="1" s="68">
      <c r="A50" s="114" t="n"/>
      <c r="B50" s="114" t="n"/>
      <c r="C50" s="114" t="n"/>
    </row>
    <row r="51" ht="15" customHeight="1" s="68">
      <c r="A51" s="114" t="n"/>
      <c r="B51" s="114" t="n"/>
      <c r="C51" s="114" t="n"/>
    </row>
    <row r="52" ht="15" customHeight="1" s="68">
      <c r="A52" s="114" t="n"/>
      <c r="B52" s="114" t="n"/>
      <c r="C52" s="114" t="n"/>
    </row>
    <row r="53" ht="15" customHeight="1" s="68">
      <c r="A53" s="114" t="n"/>
      <c r="B53" s="114" t="n"/>
      <c r="C53" s="114" t="n"/>
    </row>
    <row r="54" ht="15" customHeight="1" s="68">
      <c r="A54" s="114" t="n"/>
      <c r="B54" s="114" t="n"/>
      <c r="C54" s="114" t="n"/>
    </row>
    <row r="55" ht="15" customHeight="1" s="68">
      <c r="A55" s="114" t="n"/>
      <c r="B55" s="114" t="n"/>
      <c r="C55" s="114" t="n"/>
    </row>
    <row r="56" ht="15" customHeight="1" s="68">
      <c r="A56" s="114" t="n"/>
      <c r="B56" s="114" t="n"/>
      <c r="C56" s="114" t="n"/>
    </row>
    <row r="57" ht="15" customHeight="1" s="68">
      <c r="A57" s="114" t="n"/>
      <c r="B57" s="114" t="n"/>
      <c r="C57" s="114" t="n"/>
    </row>
    <row r="58" ht="15" customHeight="1" s="68">
      <c r="A58" s="114" t="n"/>
      <c r="B58" s="114" t="n"/>
      <c r="C58" s="114" t="n"/>
    </row>
    <row r="59" ht="15" customHeight="1" s="68">
      <c r="A59" s="114" t="n"/>
      <c r="B59" s="114" t="n"/>
      <c r="C59" s="114" t="n"/>
    </row>
    <row r="60" ht="15" customHeight="1" s="68">
      <c r="A60" s="114" t="n"/>
      <c r="B60" s="114" t="n"/>
      <c r="C60" s="114" t="n"/>
    </row>
    <row r="61" ht="15" customHeight="1" s="68">
      <c r="A61" s="114" t="n"/>
      <c r="B61" s="114" t="n"/>
      <c r="C61" s="114" t="n"/>
    </row>
    <row r="62" ht="15" customHeight="1" s="68">
      <c r="A62" s="114" t="n"/>
      <c r="B62" s="114" t="n"/>
      <c r="C62" s="114" t="n"/>
    </row>
    <row r="63" ht="15" customHeight="1" s="68">
      <c r="A63" s="114" t="n"/>
      <c r="B63" s="114" t="n"/>
      <c r="C63" s="114" t="n"/>
    </row>
    <row r="64" ht="15" customHeight="1" s="68">
      <c r="A64" s="114" t="n"/>
      <c r="B64" s="114" t="n"/>
      <c r="C64" s="114" t="n"/>
    </row>
    <row r="65" ht="15" customHeight="1" s="68">
      <c r="A65" s="114" t="n"/>
      <c r="B65" s="114" t="n"/>
      <c r="C65" s="114" t="n"/>
    </row>
    <row r="66" ht="15" customHeight="1" s="68">
      <c r="A66" s="114" t="n"/>
      <c r="B66" s="114" t="n"/>
      <c r="C66" s="114" t="n"/>
    </row>
    <row r="67" ht="15" customHeight="1" s="68">
      <c r="A67" s="114" t="n"/>
      <c r="B67" s="114" t="n"/>
      <c r="C67" s="114" t="n"/>
    </row>
    <row r="68" ht="15" customHeight="1" s="68">
      <c r="A68" s="114" t="n"/>
      <c r="B68" s="114" t="n"/>
      <c r="C68" s="114" t="n"/>
    </row>
    <row r="69" ht="15" customHeight="1" s="68">
      <c r="A69" s="114" t="n"/>
      <c r="B69" s="114" t="n"/>
      <c r="C69" s="114" t="n"/>
    </row>
    <row r="70" ht="15" customHeight="1" s="68">
      <c r="A70" s="114" t="n"/>
      <c r="B70" s="114" t="n"/>
      <c r="C70" s="114" t="n"/>
    </row>
    <row r="71" ht="15" customHeight="1" s="68">
      <c r="A71" s="114" t="n"/>
      <c r="B71" s="114" t="n"/>
      <c r="C71" s="114" t="n"/>
    </row>
    <row r="72" ht="15" customHeight="1" s="68">
      <c r="A72" s="114" t="n"/>
      <c r="B72" s="114" t="n"/>
      <c r="C72" s="114" t="n"/>
    </row>
    <row r="73" ht="15" customHeight="1" s="68">
      <c r="A73" s="114" t="n"/>
      <c r="B73" s="114" t="n"/>
      <c r="C73" s="114" t="n"/>
    </row>
    <row r="74" ht="15" customHeight="1" s="68">
      <c r="A74" s="114" t="n"/>
      <c r="B74" s="114" t="n"/>
      <c r="C74" s="114" t="n"/>
    </row>
    <row r="75" ht="15" customHeight="1" s="68">
      <c r="A75" s="114" t="n"/>
      <c r="B75" s="114" t="n"/>
      <c r="C75" s="114" t="n"/>
    </row>
    <row r="76" ht="15" customHeight="1" s="68">
      <c r="A76" s="114" t="n"/>
      <c r="B76" s="114" t="n"/>
      <c r="C76" s="114" t="n"/>
    </row>
    <row r="77" ht="15" customHeight="1" s="68">
      <c r="A77" s="114" t="n"/>
      <c r="B77" s="114" t="n"/>
      <c r="C77" s="114" t="n"/>
    </row>
    <row r="78" ht="15" customHeight="1" s="68">
      <c r="A78" s="114" t="n"/>
      <c r="B78" s="114" t="n"/>
      <c r="C78" s="114" t="n"/>
    </row>
    <row r="79" ht="15" customHeight="1" s="68">
      <c r="A79" s="114" t="n"/>
      <c r="B79" s="114" t="n"/>
      <c r="C79" s="114" t="n"/>
    </row>
    <row r="80" ht="15" customHeight="1" s="68">
      <c r="A80" s="114" t="n"/>
      <c r="B80" s="114" t="n"/>
      <c r="C80" s="114" t="n"/>
    </row>
    <row r="81" ht="15" customHeight="1" s="68">
      <c r="A81" s="114" t="n"/>
      <c r="B81" s="114" t="n"/>
      <c r="C81" s="114" t="n"/>
    </row>
    <row r="82" ht="15" customHeight="1" s="68">
      <c r="A82" s="114" t="n"/>
      <c r="B82" s="114" t="n"/>
      <c r="C82" s="114" t="n"/>
    </row>
    <row r="83" ht="15" customHeight="1" s="68">
      <c r="A83" s="114" t="n"/>
      <c r="B83" s="114" t="n"/>
      <c r="C83" s="114" t="n"/>
    </row>
    <row r="84" ht="15" customHeight="1" s="68">
      <c r="A84" s="114" t="n"/>
      <c r="B84" s="114" t="n"/>
      <c r="C84" s="114" t="n"/>
    </row>
    <row r="85" ht="15" customHeight="1" s="68">
      <c r="A85" s="114" t="n"/>
      <c r="B85" s="114" t="n"/>
      <c r="C85" s="114" t="n"/>
    </row>
    <row r="86" ht="15" customHeight="1" s="68">
      <c r="A86" s="114" t="n"/>
      <c r="B86" s="114" t="n"/>
      <c r="C86" s="114" t="n"/>
    </row>
    <row r="87" ht="15" customHeight="1" s="68">
      <c r="A87" s="114" t="n"/>
      <c r="B87" s="114" t="n"/>
      <c r="C87" s="114" t="n"/>
    </row>
    <row r="88" ht="15" customHeight="1" s="68">
      <c r="A88" s="114" t="n"/>
      <c r="B88" s="114" t="n"/>
      <c r="C88" s="114" t="n"/>
    </row>
    <row r="89" ht="15" customHeight="1" s="68">
      <c r="A89" s="114" t="n"/>
      <c r="B89" s="114" t="n"/>
      <c r="C89" s="114" t="n"/>
    </row>
    <row r="90" ht="15" customHeight="1" s="68">
      <c r="A90" s="114" t="n"/>
      <c r="B90" s="114" t="n"/>
      <c r="C90" s="114" t="n"/>
    </row>
    <row r="91" ht="15" customHeight="1" s="68">
      <c r="A91" s="114" t="n"/>
      <c r="B91" s="114" t="n"/>
      <c r="C91" s="114" t="n"/>
    </row>
    <row r="92" ht="15" customHeight="1" s="68">
      <c r="A92" s="114" t="n"/>
      <c r="B92" s="114" t="n"/>
      <c r="C92" s="114" t="n"/>
    </row>
    <row r="93" ht="15" customHeight="1" s="68">
      <c r="A93" s="114" t="n"/>
      <c r="B93" s="114" t="n"/>
      <c r="C93" s="114" t="n"/>
    </row>
    <row r="94" ht="15" customHeight="1" s="68">
      <c r="A94" s="114" t="n"/>
      <c r="B94" s="114" t="n"/>
      <c r="C94" s="114" t="n"/>
    </row>
    <row r="95" ht="15" customHeight="1" s="68">
      <c r="A95" s="114" t="n"/>
      <c r="B95" s="114" t="n"/>
      <c r="C95" s="114" t="n"/>
    </row>
    <row r="96" ht="15" customHeight="1" s="68">
      <c r="A96" s="114" t="n"/>
      <c r="B96" s="114" t="n"/>
      <c r="C96" s="114" t="n"/>
    </row>
    <row r="97" ht="15" customHeight="1" s="68">
      <c r="A97" s="114" t="n"/>
      <c r="B97" s="114" t="n"/>
      <c r="C97" s="114" t="n"/>
    </row>
    <row r="98" ht="15" customHeight="1" s="68">
      <c r="A98" s="114" t="n"/>
      <c r="B98" s="114" t="n"/>
      <c r="C98" s="114" t="n"/>
    </row>
    <row r="99" ht="15" customHeight="1" s="68">
      <c r="A99" s="114" t="n"/>
      <c r="B99" s="114" t="n"/>
      <c r="C99" s="114" t="n"/>
    </row>
    <row r="100" ht="15" customHeight="1" s="68">
      <c r="A100" s="114" t="n"/>
      <c r="B100" s="114" t="n"/>
      <c r="C100" s="114" t="n"/>
    </row>
    <row r="101" ht="15" customHeight="1" s="68">
      <c r="A101" s="114" t="n"/>
      <c r="B101" s="114" t="n"/>
      <c r="C101" s="114" t="n"/>
    </row>
    <row r="102" ht="15" customHeight="1" s="68">
      <c r="A102" s="114" t="n"/>
      <c r="B102" s="114" t="n"/>
      <c r="C102" s="114" t="n"/>
    </row>
    <row r="103" ht="15" customHeight="1" s="68">
      <c r="A103" s="114" t="n"/>
      <c r="B103" s="114" t="n"/>
      <c r="C103" s="114" t="n"/>
    </row>
    <row r="104" ht="15" customHeight="1" s="68">
      <c r="A104" s="114" t="n"/>
      <c r="B104" s="114" t="n"/>
      <c r="C104" s="114" t="n"/>
    </row>
    <row r="105" ht="15" customHeight="1" s="68">
      <c r="A105" s="114" t="n"/>
      <c r="B105" s="114" t="n"/>
      <c r="C105" s="114" t="n"/>
    </row>
    <row r="106" ht="15" customHeight="1" s="68">
      <c r="A106" s="114" t="n"/>
      <c r="B106" s="114" t="n"/>
      <c r="C106" s="114" t="n"/>
    </row>
    <row r="107" ht="15" customHeight="1" s="68">
      <c r="A107" s="114" t="n"/>
      <c r="B107" s="114" t="n"/>
      <c r="C107" s="114" t="n"/>
    </row>
    <row r="108" ht="15" customHeight="1" s="68">
      <c r="A108" s="114" t="n"/>
      <c r="B108" s="114" t="n"/>
      <c r="C108" s="114" t="n"/>
    </row>
    <row r="109" ht="15" customHeight="1" s="68">
      <c r="A109" s="114" t="n"/>
      <c r="B109" s="114" t="n"/>
      <c r="C109" s="114" t="n"/>
    </row>
    <row r="110" ht="15" customHeight="1" s="68">
      <c r="A110" s="114" t="n"/>
      <c r="B110" s="114" t="n"/>
      <c r="C110" s="114" t="n"/>
    </row>
    <row r="111" ht="15" customHeight="1" s="68">
      <c r="A111" s="114" t="n"/>
      <c r="B111" s="114" t="n"/>
      <c r="C111" s="114" t="n"/>
    </row>
    <row r="112" ht="15" customHeight="1" s="68">
      <c r="A112" s="114" t="n"/>
      <c r="B112" s="114" t="n"/>
      <c r="C112" s="114" t="n"/>
    </row>
    <row r="113" ht="15" customHeight="1" s="68">
      <c r="A113" s="114" t="n"/>
      <c r="B113" s="114" t="n"/>
      <c r="C113" s="114" t="n"/>
    </row>
    <row r="114" ht="15" customHeight="1" s="68">
      <c r="A114" s="114" t="n"/>
      <c r="B114" s="114" t="n"/>
      <c r="C114" s="114" t="n"/>
    </row>
    <row r="115" ht="15" customHeight="1" s="68">
      <c r="A115" s="114" t="n"/>
      <c r="B115" s="114" t="n"/>
      <c r="C115" s="114" t="n"/>
    </row>
    <row r="116" ht="15" customHeight="1" s="68">
      <c r="A116" s="114" t="n"/>
      <c r="B116" s="114" t="n"/>
      <c r="C116" s="114" t="n"/>
    </row>
    <row r="117" ht="15" customHeight="1" s="68">
      <c r="A117" s="114" t="n"/>
      <c r="B117" s="114" t="n"/>
      <c r="C117" s="114" t="n"/>
    </row>
    <row r="118" ht="15" customHeight="1" s="68">
      <c r="A118" s="114" t="n"/>
      <c r="B118" s="114" t="n"/>
      <c r="C118" s="114" t="n"/>
    </row>
    <row r="119" ht="15" customHeight="1" s="68">
      <c r="A119" s="114" t="n"/>
      <c r="B119" s="114" t="n"/>
      <c r="C119" s="114" t="n"/>
    </row>
    <row r="120" ht="15" customHeight="1" s="68">
      <c r="A120" s="114" t="n"/>
      <c r="B120" s="114" t="n"/>
      <c r="C120" s="114" t="n"/>
    </row>
    <row r="121" ht="15" customHeight="1" s="68">
      <c r="A121" s="114" t="n"/>
      <c r="B121" s="114" t="n"/>
      <c r="C121" s="114" t="n"/>
    </row>
    <row r="122" ht="15" customHeight="1" s="68">
      <c r="A122" s="114" t="n"/>
      <c r="B122" s="114" t="n"/>
      <c r="C122" s="114" t="n"/>
    </row>
    <row r="123" ht="15" customHeight="1" s="68">
      <c r="A123" s="114" t="n"/>
      <c r="B123" s="114" t="n"/>
      <c r="C123" s="114" t="n"/>
    </row>
    <row r="124" ht="15" customHeight="1" s="68">
      <c r="A124" s="114" t="n"/>
      <c r="B124" s="114" t="n"/>
      <c r="C124" s="114" t="n"/>
    </row>
    <row r="125" ht="15" customHeight="1" s="68">
      <c r="A125" s="114" t="n"/>
      <c r="B125" s="114" t="n"/>
      <c r="C125" s="114" t="n"/>
    </row>
    <row r="126" ht="15" customHeight="1" s="68">
      <c r="A126" s="114" t="n"/>
      <c r="B126" s="114" t="n"/>
      <c r="C126" s="114" t="n"/>
    </row>
    <row r="127" ht="15" customHeight="1" s="68">
      <c r="A127" s="114" t="n"/>
      <c r="B127" s="114" t="n"/>
      <c r="C127" s="114" t="n"/>
    </row>
    <row r="128" ht="15" customHeight="1" s="68">
      <c r="A128" s="114" t="n"/>
      <c r="B128" s="114" t="n"/>
      <c r="C128" s="114" t="n"/>
    </row>
    <row r="129" ht="15" customHeight="1" s="68">
      <c r="A129" s="114" t="n"/>
      <c r="B129" s="114" t="n"/>
      <c r="C129" s="114" t="n"/>
    </row>
    <row r="130" ht="15" customHeight="1" s="68">
      <c r="A130" s="114" t="n"/>
      <c r="B130" s="114" t="n"/>
      <c r="C130" s="114" t="n"/>
    </row>
    <row r="131" ht="15" customHeight="1" s="68">
      <c r="A131" s="114" t="n"/>
      <c r="B131" s="114" t="n"/>
      <c r="C131" s="114" t="n"/>
    </row>
    <row r="132" ht="15" customHeight="1" s="68">
      <c r="A132" s="114" t="n"/>
      <c r="B132" s="114" t="n"/>
      <c r="C132" s="114" t="n"/>
    </row>
    <row r="133" ht="15" customHeight="1" s="68">
      <c r="A133" s="114" t="n"/>
      <c r="B133" s="114" t="n"/>
      <c r="C133" s="114" t="n"/>
    </row>
    <row r="134" ht="15" customHeight="1" s="68">
      <c r="A134" s="114" t="n"/>
      <c r="B134" s="114" t="n"/>
      <c r="C134" s="114" t="n"/>
    </row>
    <row r="135" ht="15" customHeight="1" s="68">
      <c r="A135" s="114" t="n"/>
      <c r="B135" s="114" t="n"/>
      <c r="C135" s="114" t="n"/>
    </row>
    <row r="136" ht="15" customHeight="1" s="68">
      <c r="A136" s="114" t="n"/>
      <c r="B136" s="114" t="n"/>
      <c r="C136" s="114" t="n"/>
    </row>
    <row r="137" ht="15" customHeight="1" s="68">
      <c r="A137" s="114" t="n"/>
      <c r="B137" s="114" t="n"/>
      <c r="C137" s="114" t="n"/>
    </row>
    <row r="138" ht="15" customHeight="1" s="68">
      <c r="A138" s="114" t="n"/>
      <c r="B138" s="114" t="n"/>
      <c r="C138" s="114" t="n"/>
    </row>
    <row r="139" ht="15" customHeight="1" s="68">
      <c r="A139" s="114" t="n"/>
      <c r="B139" s="114" t="n"/>
      <c r="C139" s="114" t="n"/>
    </row>
    <row r="140" ht="15" customHeight="1" s="68">
      <c r="A140" s="114" t="n"/>
      <c r="B140" s="114" t="n"/>
      <c r="C140" s="114" t="n"/>
    </row>
    <row r="141" ht="15" customHeight="1" s="68">
      <c r="A141" s="114" t="n"/>
      <c r="B141" s="114" t="n"/>
      <c r="C141" s="114" t="n"/>
    </row>
    <row r="142" ht="15" customHeight="1" s="68">
      <c r="A142" s="114" t="n"/>
      <c r="B142" s="114" t="n"/>
      <c r="C142" s="114" t="n"/>
    </row>
    <row r="143" ht="15" customHeight="1" s="68">
      <c r="A143" s="114" t="n"/>
      <c r="B143" s="114" t="n"/>
      <c r="C143" s="114" t="n"/>
    </row>
    <row r="144" ht="15" customHeight="1" s="68">
      <c r="A144" s="114" t="n"/>
      <c r="B144" s="114" t="n"/>
      <c r="C144" s="114" t="n"/>
    </row>
    <row r="145" ht="15" customHeight="1" s="68">
      <c r="A145" s="114" t="n"/>
      <c r="B145" s="114" t="n"/>
      <c r="C145" s="114" t="n"/>
    </row>
    <row r="146" ht="15" customHeight="1" s="68">
      <c r="A146" s="114" t="n"/>
      <c r="B146" s="114" t="n"/>
      <c r="C146" s="114" t="n"/>
    </row>
    <row r="147" ht="15" customHeight="1" s="68">
      <c r="A147" s="114" t="n"/>
      <c r="B147" s="114" t="n"/>
      <c r="C147" s="114" t="n"/>
    </row>
    <row r="148" ht="15" customHeight="1" s="68">
      <c r="A148" s="114" t="n"/>
      <c r="B148" s="114" t="n"/>
      <c r="C148" s="114" t="n"/>
    </row>
    <row r="149" ht="15" customHeight="1" s="68">
      <c r="A149" s="114" t="n"/>
      <c r="B149" s="114" t="n"/>
      <c r="C149" s="114" t="n"/>
    </row>
    <row r="150" ht="15" customHeight="1" s="68">
      <c r="A150" s="114" t="n"/>
      <c r="B150" s="114" t="n"/>
      <c r="C150" s="114" t="n"/>
    </row>
    <row r="151" ht="15" customHeight="1" s="68">
      <c r="A151" s="114" t="n"/>
      <c r="B151" s="114" t="n"/>
      <c r="C151" s="114" t="n"/>
    </row>
    <row r="152" ht="15" customHeight="1" s="68">
      <c r="A152" s="114" t="n"/>
      <c r="B152" s="114" t="n"/>
      <c r="C152" s="114" t="n"/>
    </row>
    <row r="153" ht="15" customHeight="1" s="68">
      <c r="A153" s="114" t="n"/>
      <c r="B153" s="114" t="n"/>
      <c r="C153" s="114" t="n"/>
    </row>
    <row r="154" ht="15" customHeight="1" s="68">
      <c r="A154" s="114" t="n"/>
      <c r="B154" s="114" t="n"/>
      <c r="C154" s="114" t="n"/>
    </row>
    <row r="155" ht="15" customHeight="1" s="68">
      <c r="A155" s="114" t="n"/>
      <c r="B155" s="114" t="n"/>
      <c r="C155" s="114" t="n"/>
    </row>
    <row r="156" ht="15" customHeight="1" s="68">
      <c r="A156" s="114" t="n"/>
      <c r="B156" s="114" t="n"/>
      <c r="C156" s="114" t="n"/>
    </row>
    <row r="157" ht="15" customHeight="1" s="68">
      <c r="A157" s="114" t="n"/>
      <c r="B157" s="114" t="n"/>
      <c r="C157" s="114" t="n"/>
    </row>
    <row r="158" ht="15" customHeight="1" s="68">
      <c r="A158" s="114" t="n"/>
      <c r="B158" s="114" t="n"/>
      <c r="C158" s="114" t="n"/>
    </row>
    <row r="159" ht="15" customHeight="1" s="68">
      <c r="A159" s="114" t="n"/>
      <c r="B159" s="114" t="n"/>
      <c r="C159" s="114" t="n"/>
    </row>
    <row r="160" ht="15" customHeight="1" s="68">
      <c r="A160" s="114" t="n"/>
      <c r="B160" s="114" t="n"/>
      <c r="C160" s="114" t="n"/>
    </row>
    <row r="161" ht="15" customHeight="1" s="68">
      <c r="A161" s="114" t="n"/>
      <c r="B161" s="114" t="n"/>
      <c r="C161" s="114" t="n"/>
    </row>
    <row r="162" ht="15" customHeight="1" s="68">
      <c r="A162" s="114" t="n"/>
      <c r="B162" s="114" t="n"/>
      <c r="C162" s="114" t="n"/>
    </row>
    <row r="163" ht="15" customHeight="1" s="68">
      <c r="A163" s="114" t="n"/>
      <c r="B163" s="114" t="n"/>
      <c r="C163" s="114" t="n"/>
    </row>
    <row r="164" ht="15" customHeight="1" s="68">
      <c r="A164" s="114" t="n"/>
      <c r="B164" s="114" t="n"/>
      <c r="C164" s="114" t="n"/>
    </row>
    <row r="165" ht="15" customHeight="1" s="68">
      <c r="A165" s="114" t="n"/>
      <c r="B165" s="114" t="n"/>
      <c r="C165" s="114" t="n"/>
    </row>
    <row r="166" ht="15" customHeight="1" s="68">
      <c r="A166" s="114" t="n"/>
      <c r="B166" s="114" t="n"/>
      <c r="C166" s="114" t="n"/>
    </row>
    <row r="167" ht="15" customHeight="1" s="68">
      <c r="A167" s="114" t="n"/>
      <c r="B167" s="114" t="n"/>
      <c r="C167" s="114" t="n"/>
    </row>
    <row r="168" ht="15" customHeight="1" s="68">
      <c r="A168" s="114" t="n"/>
      <c r="B168" s="114" t="n"/>
      <c r="C168" s="114" t="n"/>
    </row>
    <row r="169" ht="15" customHeight="1" s="68">
      <c r="A169" s="114" t="n"/>
      <c r="B169" s="114" t="n"/>
      <c r="C169" s="114" t="n"/>
    </row>
    <row r="170" ht="15" customHeight="1" s="68">
      <c r="A170" s="114" t="n"/>
      <c r="B170" s="114" t="n"/>
      <c r="C170" s="114" t="n"/>
    </row>
    <row r="171" ht="15" customHeight="1" s="68">
      <c r="A171" s="114" t="n"/>
      <c r="B171" s="114" t="n"/>
      <c r="C171" s="114" t="n"/>
    </row>
    <row r="172" ht="15" customHeight="1" s="68">
      <c r="A172" s="114" t="n"/>
      <c r="B172" s="114" t="n"/>
      <c r="C172" s="114" t="n"/>
    </row>
    <row r="173" ht="15" customHeight="1" s="68">
      <c r="A173" s="114" t="n"/>
      <c r="B173" s="114" t="n"/>
      <c r="C173" s="114" t="n"/>
    </row>
    <row r="174" ht="15" customHeight="1" s="68">
      <c r="A174" s="114" t="n"/>
      <c r="B174" s="114" t="n"/>
      <c r="C174" s="114" t="n"/>
    </row>
    <row r="175" ht="15" customHeight="1" s="68">
      <c r="A175" s="114" t="n"/>
      <c r="B175" s="114" t="n"/>
      <c r="C175" s="114" t="n"/>
    </row>
    <row r="176" ht="15" customHeight="1" s="68">
      <c r="A176" s="114" t="n"/>
      <c r="B176" s="114" t="n"/>
      <c r="C176" s="114" t="n"/>
    </row>
    <row r="177" ht="15" customHeight="1" s="68">
      <c r="A177" s="114" t="n"/>
      <c r="B177" s="114" t="n"/>
      <c r="C177" s="114" t="n"/>
    </row>
    <row r="178" ht="15" customHeight="1" s="68">
      <c r="A178" s="114" t="n"/>
      <c r="B178" s="114" t="n"/>
      <c r="C178" s="114" t="n"/>
    </row>
    <row r="179" ht="15" customHeight="1" s="68">
      <c r="A179" s="114" t="n"/>
      <c r="B179" s="114" t="n"/>
      <c r="C179" s="114" t="n"/>
    </row>
    <row r="180" ht="15" customHeight="1" s="68">
      <c r="A180" s="114" t="n"/>
      <c r="B180" s="114" t="n"/>
      <c r="C180" s="114" t="n"/>
    </row>
    <row r="181" ht="15" customHeight="1" s="68">
      <c r="A181" s="114" t="n"/>
      <c r="B181" s="114" t="n"/>
      <c r="C181" s="114" t="n"/>
    </row>
    <row r="182" ht="15" customHeight="1" s="68">
      <c r="A182" s="114" t="n"/>
      <c r="B182" s="114" t="n"/>
      <c r="C182" s="114" t="n"/>
    </row>
    <row r="183" ht="15" customHeight="1" s="68">
      <c r="A183" s="114" t="n"/>
      <c r="B183" s="114" t="n"/>
      <c r="C183" s="114" t="n"/>
    </row>
    <row r="184" ht="15" customHeight="1" s="68">
      <c r="A184" s="114" t="n"/>
      <c r="B184" s="114" t="n"/>
      <c r="C184" s="114" t="n"/>
    </row>
    <row r="185" ht="15" customHeight="1" s="68">
      <c r="A185" s="114" t="n"/>
      <c r="B185" s="114" t="n"/>
      <c r="C185" s="114" t="n"/>
    </row>
    <row r="186" ht="15" customHeight="1" s="68">
      <c r="A186" s="114" t="n"/>
      <c r="B186" s="114" t="n"/>
      <c r="C186" s="114" t="n"/>
    </row>
    <row r="187" ht="15" customHeight="1" s="68">
      <c r="A187" s="114" t="n"/>
      <c r="B187" s="114" t="n"/>
      <c r="C187" s="114" t="n"/>
    </row>
    <row r="188" ht="15" customHeight="1" s="68">
      <c r="A188" s="114" t="n"/>
      <c r="B188" s="114" t="n"/>
      <c r="C188" s="114" t="n"/>
    </row>
    <row r="189" ht="15" customHeight="1" s="68">
      <c r="A189" s="114" t="n"/>
      <c r="B189" s="114" t="n"/>
      <c r="C189" s="114" t="n"/>
    </row>
    <row r="190" ht="15" customHeight="1" s="68">
      <c r="A190" s="114" t="n"/>
      <c r="B190" s="114" t="n"/>
      <c r="C190" s="114" t="n"/>
    </row>
    <row r="191" ht="15" customHeight="1" s="68">
      <c r="A191" s="114" t="n"/>
      <c r="B191" s="114" t="n"/>
      <c r="C191" s="114" t="n"/>
    </row>
    <row r="192" ht="15" customHeight="1" s="68">
      <c r="A192" s="114" t="n"/>
      <c r="B192" s="114" t="n"/>
      <c r="C192" s="114" t="n"/>
    </row>
    <row r="193" ht="15" customHeight="1" s="68">
      <c r="A193" s="114" t="n"/>
      <c r="B193" s="114" t="n"/>
      <c r="C193" s="114" t="n"/>
    </row>
    <row r="194" ht="15" customHeight="1" s="68">
      <c r="A194" s="114" t="n"/>
      <c r="B194" s="114" t="n"/>
      <c r="C194" s="114" t="n"/>
    </row>
    <row r="195" ht="15" customHeight="1" s="68">
      <c r="A195" s="114" t="n"/>
      <c r="B195" s="114" t="n"/>
      <c r="C195" s="114" t="n"/>
    </row>
    <row r="196" ht="15" customHeight="1" s="68">
      <c r="A196" s="114" t="n"/>
      <c r="B196" s="114" t="n"/>
      <c r="C196" s="114" t="n"/>
    </row>
    <row r="197" ht="15" customHeight="1" s="68">
      <c r="A197" s="114" t="n"/>
      <c r="B197" s="114" t="n"/>
      <c r="C197" s="114" t="n"/>
    </row>
    <row r="198" ht="15" customHeight="1" s="68">
      <c r="A198" s="114" t="n"/>
      <c r="B198" s="114" t="n"/>
      <c r="C198" s="114" t="n"/>
    </row>
    <row r="199" ht="15" customHeight="1" s="68">
      <c r="A199" s="114" t="n"/>
      <c r="B199" s="114" t="n"/>
      <c r="C199" s="114" t="n"/>
    </row>
    <row r="200" ht="15" customHeight="1" s="68">
      <c r="A200" s="114" t="n"/>
      <c r="B200" s="114" t="n"/>
      <c r="C200" s="114" t="n"/>
    </row>
    <row r="201" ht="15" customHeight="1" s="68">
      <c r="A201" s="114" t="n"/>
      <c r="B201" s="114" t="n"/>
      <c r="C201" s="114" t="n"/>
    </row>
    <row r="202" ht="15" customHeight="1" s="68">
      <c r="A202" s="114" t="n"/>
      <c r="B202" s="114" t="n"/>
      <c r="C202" s="114" t="n"/>
    </row>
    <row r="203" ht="15" customHeight="1" s="68">
      <c r="A203" s="114" t="n"/>
      <c r="B203" s="114" t="n"/>
      <c r="C203" s="114" t="n"/>
    </row>
    <row r="204" ht="15" customHeight="1" s="68">
      <c r="A204" s="114" t="n"/>
      <c r="B204" s="114" t="n"/>
      <c r="C204" s="114" t="n"/>
    </row>
    <row r="205" ht="15" customHeight="1" s="68">
      <c r="A205" s="114" t="n"/>
      <c r="B205" s="114" t="n"/>
      <c r="C205" s="114" t="n"/>
    </row>
    <row r="206" ht="15" customHeight="1" s="68">
      <c r="A206" s="114" t="n"/>
      <c r="B206" s="114" t="n"/>
      <c r="C206" s="114" t="n"/>
    </row>
    <row r="207" ht="15" customHeight="1" s="68">
      <c r="A207" s="114" t="n"/>
      <c r="B207" s="114" t="n"/>
      <c r="C207" s="114" t="n"/>
    </row>
    <row r="208" ht="15" customHeight="1" s="68">
      <c r="A208" s="114" t="n"/>
      <c r="B208" s="114" t="n"/>
      <c r="C208" s="114" t="n"/>
    </row>
    <row r="209" ht="15" customHeight="1" s="68">
      <c r="A209" s="114" t="n"/>
      <c r="B209" s="114" t="n"/>
      <c r="C209" s="114" t="n"/>
    </row>
    <row r="210" ht="15" customHeight="1" s="68">
      <c r="A210" s="114" t="n"/>
      <c r="B210" s="114" t="n"/>
      <c r="C210" s="114" t="n"/>
    </row>
    <row r="211" ht="15" customHeight="1" s="68">
      <c r="A211" s="114" t="n"/>
      <c r="B211" s="114" t="n"/>
      <c r="C211" s="114" t="n"/>
    </row>
    <row r="212" ht="15" customHeight="1" s="68">
      <c r="A212" s="114" t="n"/>
      <c r="B212" s="114" t="n"/>
      <c r="C212" s="114" t="n"/>
    </row>
    <row r="213" ht="15" customHeight="1" s="68">
      <c r="A213" s="114" t="n"/>
      <c r="B213" s="114" t="n"/>
      <c r="C213" s="114" t="n"/>
    </row>
    <row r="214" ht="15" customHeight="1" s="68">
      <c r="A214" s="114" t="n"/>
      <c r="B214" s="114" t="n"/>
      <c r="C214" s="114" t="n"/>
    </row>
    <row r="215" ht="15" customHeight="1" s="68">
      <c r="A215" s="114" t="n"/>
      <c r="B215" s="114" t="n"/>
      <c r="C215" s="114" t="n"/>
    </row>
    <row r="216" ht="15" customHeight="1" s="68">
      <c r="A216" s="114" t="n"/>
      <c r="B216" s="114" t="n"/>
      <c r="C216" s="114" t="n"/>
    </row>
    <row r="217" ht="15" customHeight="1" s="68">
      <c r="A217" s="114" t="n"/>
      <c r="B217" s="114" t="n"/>
      <c r="C217" s="114" t="n"/>
    </row>
    <row r="218" ht="15" customHeight="1" s="68">
      <c r="A218" s="114" t="n"/>
      <c r="B218" s="114" t="n"/>
      <c r="C218" s="114" t="n"/>
    </row>
    <row r="219" ht="15" customHeight="1" s="68">
      <c r="A219" s="114" t="n"/>
      <c r="B219" s="114" t="n"/>
      <c r="C219" s="114" t="n"/>
    </row>
    <row r="220" ht="15" customHeight="1" s="68">
      <c r="A220" s="114" t="n"/>
      <c r="B220" s="114" t="n"/>
      <c r="C220" s="114" t="n"/>
    </row>
    <row r="221" ht="15" customHeight="1" s="68">
      <c r="A221" s="114" t="n"/>
      <c r="B221" s="114" t="n"/>
      <c r="C221" s="114" t="n"/>
    </row>
    <row r="222" ht="15" customHeight="1" s="68">
      <c r="A222" s="114" t="n"/>
      <c r="B222" s="114" t="n"/>
      <c r="C222" s="114" t="n"/>
    </row>
    <row r="223" ht="15" customHeight="1" s="68">
      <c r="A223" s="114" t="n"/>
      <c r="B223" s="114" t="n"/>
      <c r="C223" s="114" t="n"/>
    </row>
    <row r="224" ht="15" customHeight="1" s="68">
      <c r="A224" s="114" t="n"/>
      <c r="B224" s="114" t="n"/>
      <c r="C224" s="114" t="n"/>
    </row>
    <row r="225" ht="15" customHeight="1" s="68">
      <c r="A225" s="114" t="n"/>
      <c r="B225" s="114" t="n"/>
      <c r="C225" s="114" t="n"/>
    </row>
    <row r="226" ht="15" customHeight="1" s="68">
      <c r="A226" s="114" t="n"/>
      <c r="B226" s="114" t="n"/>
      <c r="C226" s="114" t="n"/>
    </row>
    <row r="227" ht="15" customHeight="1" s="68">
      <c r="A227" s="114" t="n"/>
      <c r="B227" s="114" t="n"/>
      <c r="C227" s="114" t="n"/>
    </row>
    <row r="228" ht="15" customHeight="1" s="68">
      <c r="A228" s="114" t="n"/>
      <c r="B228" s="114" t="n"/>
      <c r="C228" s="114" t="n"/>
    </row>
    <row r="229" ht="15" customHeight="1" s="68">
      <c r="A229" s="114" t="n"/>
      <c r="B229" s="114" t="n"/>
      <c r="C229" s="114" t="n"/>
    </row>
    <row r="230" ht="15" customHeight="1" s="68">
      <c r="A230" s="114" t="n"/>
      <c r="B230" s="114" t="n"/>
      <c r="C230" s="114" t="n"/>
    </row>
    <row r="231" ht="15" customHeight="1" s="68">
      <c r="A231" s="114" t="n"/>
      <c r="B231" s="114" t="n"/>
      <c r="C231" s="114" t="n"/>
    </row>
    <row r="232" ht="15" customHeight="1" s="68">
      <c r="A232" s="114" t="n"/>
      <c r="B232" s="114" t="n"/>
      <c r="C232" s="114" t="n"/>
    </row>
    <row r="233" ht="15" customHeight="1" s="68">
      <c r="A233" s="114" t="n"/>
      <c r="B233" s="114" t="n"/>
      <c r="C233" s="114" t="n"/>
    </row>
    <row r="234" ht="15" customHeight="1" s="68">
      <c r="A234" s="114" t="n"/>
      <c r="B234" s="114" t="n"/>
      <c r="C234" s="114" t="n"/>
    </row>
    <row r="235" ht="15" customHeight="1" s="68">
      <c r="A235" s="114" t="n"/>
      <c r="B235" s="114" t="n"/>
      <c r="C235" s="114" t="n"/>
    </row>
    <row r="236" ht="15" customHeight="1" s="68">
      <c r="A236" s="114" t="n"/>
      <c r="B236" s="114" t="n"/>
      <c r="C236" s="114" t="n"/>
    </row>
    <row r="237" ht="15" customHeight="1" s="68">
      <c r="A237" s="114" t="n"/>
      <c r="B237" s="114" t="n"/>
      <c r="C237" s="114" t="n"/>
    </row>
    <row r="238" ht="15" customHeight="1" s="68">
      <c r="A238" s="114" t="n"/>
      <c r="B238" s="114" t="n"/>
      <c r="C238" s="114" t="n"/>
    </row>
    <row r="239" ht="15" customHeight="1" s="68">
      <c r="A239" s="114" t="n"/>
      <c r="B239" s="114" t="n"/>
      <c r="C239" s="114" t="n"/>
    </row>
    <row r="240" ht="15" customHeight="1" s="68">
      <c r="A240" s="114" t="n"/>
      <c r="B240" s="114" t="n"/>
      <c r="C240" s="114" t="n"/>
    </row>
    <row r="241" ht="15" customHeight="1" s="68">
      <c r="A241" s="114" t="n"/>
      <c r="B241" s="114" t="n"/>
      <c r="C241" s="114" t="n"/>
    </row>
    <row r="242" ht="15" customHeight="1" s="68">
      <c r="A242" s="114" t="n"/>
      <c r="B242" s="114" t="n"/>
      <c r="C242" s="114" t="n"/>
    </row>
    <row r="243" ht="15" customHeight="1" s="68">
      <c r="A243" s="114" t="n"/>
      <c r="B243" s="114" t="n"/>
      <c r="C243" s="114" t="n"/>
    </row>
    <row r="244" ht="15" customHeight="1" s="68">
      <c r="A244" s="114" t="n"/>
      <c r="B244" s="114" t="n"/>
      <c r="C244" s="114" t="n"/>
    </row>
    <row r="245" ht="15" customHeight="1" s="68">
      <c r="A245" s="114" t="n"/>
      <c r="B245" s="114" t="n"/>
      <c r="C245" s="114" t="n"/>
    </row>
    <row r="246" ht="15" customHeight="1" s="68">
      <c r="A246" s="114" t="n"/>
      <c r="B246" s="114" t="n"/>
      <c r="C246" s="114" t="n"/>
    </row>
    <row r="247" ht="15" customHeight="1" s="68">
      <c r="A247" s="114" t="n"/>
      <c r="B247" s="114" t="n"/>
      <c r="C247" s="114" t="n"/>
    </row>
    <row r="248" ht="15" customHeight="1" s="68">
      <c r="A248" s="114" t="n"/>
      <c r="B248" s="114" t="n"/>
      <c r="C248" s="114" t="n"/>
    </row>
    <row r="249" ht="15" customHeight="1" s="68">
      <c r="A249" s="114" t="n"/>
      <c r="B249" s="114" t="n"/>
      <c r="C249" s="114" t="n"/>
    </row>
    <row r="250" ht="15" customHeight="1" s="68">
      <c r="A250" s="114" t="n"/>
      <c r="B250" s="114" t="n"/>
      <c r="C250" s="114" t="n"/>
    </row>
    <row r="251" ht="15" customHeight="1" s="68">
      <c r="A251" s="114" t="n"/>
      <c r="B251" s="114" t="n"/>
      <c r="C251" s="114" t="n"/>
    </row>
    <row r="252" ht="15" customHeight="1" s="68">
      <c r="A252" s="114" t="n"/>
      <c r="B252" s="114" t="n"/>
      <c r="C252" s="114" t="n"/>
    </row>
    <row r="253" ht="15" customHeight="1" s="68">
      <c r="A253" s="114" t="n"/>
      <c r="B253" s="114" t="n"/>
      <c r="C253" s="114" t="n"/>
    </row>
    <row r="254" ht="15" customHeight="1" s="68">
      <c r="A254" s="114" t="n"/>
      <c r="B254" s="114" t="n"/>
      <c r="C254" s="114" t="n"/>
    </row>
    <row r="255" ht="15" customHeight="1" s="68">
      <c r="A255" s="114" t="n"/>
      <c r="B255" s="114" t="n"/>
      <c r="C255" s="114" t="n"/>
    </row>
    <row r="256" ht="15" customHeight="1" s="68">
      <c r="A256" s="114" t="n"/>
      <c r="B256" s="114" t="n"/>
      <c r="C256" s="114" t="n"/>
    </row>
    <row r="257" ht="15" customHeight="1" s="68">
      <c r="A257" s="114" t="n"/>
      <c r="B257" s="114" t="n"/>
      <c r="C257" s="114" t="n"/>
    </row>
    <row r="258" ht="15" customHeight="1" s="68">
      <c r="A258" s="114" t="n"/>
      <c r="B258" s="114" t="n"/>
      <c r="C258" s="114" t="n"/>
    </row>
    <row r="259" ht="15" customHeight="1" s="68">
      <c r="A259" s="114" t="n"/>
      <c r="B259" s="114" t="n"/>
      <c r="C259" s="114" t="n"/>
    </row>
    <row r="260" ht="15" customHeight="1" s="68">
      <c r="A260" s="114" t="n"/>
      <c r="B260" s="114" t="n"/>
      <c r="C260" s="114" t="n"/>
    </row>
    <row r="261" ht="15" customHeight="1" s="68">
      <c r="A261" s="114" t="n"/>
      <c r="B261" s="114" t="n"/>
      <c r="C261" s="114" t="n"/>
    </row>
    <row r="262" ht="15" customHeight="1" s="68">
      <c r="A262" s="114" t="n"/>
      <c r="B262" s="114" t="n"/>
      <c r="C262" s="114" t="n"/>
    </row>
    <row r="263" ht="15" customHeight="1" s="68">
      <c r="A263" s="114" t="n"/>
      <c r="B263" s="114" t="n"/>
      <c r="C263" s="114" t="n"/>
    </row>
    <row r="264" ht="15" customHeight="1" s="68">
      <c r="A264" s="114" t="n"/>
      <c r="B264" s="114" t="n"/>
      <c r="C264" s="114" t="n"/>
    </row>
    <row r="265" ht="15" customHeight="1" s="68">
      <c r="A265" s="114" t="n"/>
      <c r="B265" s="114" t="n"/>
      <c r="C265" s="114" t="n"/>
    </row>
    <row r="266" ht="15" customHeight="1" s="68">
      <c r="A266" s="114" t="n"/>
      <c r="B266" s="114" t="n"/>
      <c r="C266" s="114" t="n"/>
    </row>
    <row r="267" ht="15" customHeight="1" s="68">
      <c r="A267" s="114" t="n"/>
      <c r="B267" s="114" t="n"/>
      <c r="C267" s="114" t="n"/>
    </row>
    <row r="268" ht="15" customHeight="1" s="68">
      <c r="A268" s="114" t="n"/>
      <c r="B268" s="114" t="n"/>
      <c r="C268" s="114" t="n"/>
    </row>
    <row r="269" ht="15" customHeight="1" s="68">
      <c r="A269" s="114" t="n"/>
      <c r="B269" s="114" t="n"/>
      <c r="C269" s="114" t="n"/>
    </row>
    <row r="270" ht="15" customHeight="1" s="68">
      <c r="A270" s="114" t="n"/>
      <c r="B270" s="114" t="n"/>
      <c r="C270" s="114" t="n"/>
    </row>
    <row r="271" ht="15" customHeight="1" s="68">
      <c r="A271" s="114" t="n"/>
      <c r="B271" s="114" t="n"/>
      <c r="C271" s="114" t="n"/>
    </row>
    <row r="272" ht="15" customHeight="1" s="68">
      <c r="A272" s="114" t="n"/>
      <c r="B272" s="114" t="n"/>
      <c r="C272" s="114" t="n"/>
    </row>
    <row r="273" ht="15" customHeight="1" s="68">
      <c r="A273" s="114" t="n"/>
      <c r="B273" s="114" t="n"/>
      <c r="C273" s="114" t="n"/>
    </row>
    <row r="274" ht="15" customHeight="1" s="68">
      <c r="A274" s="114" t="n"/>
      <c r="B274" s="114" t="n"/>
      <c r="C274" s="114" t="n"/>
    </row>
    <row r="275" ht="15" customHeight="1" s="68">
      <c r="A275" s="114" t="n"/>
      <c r="B275" s="114" t="n"/>
      <c r="C275" s="114" t="n"/>
    </row>
    <row r="276" ht="15" customHeight="1" s="68">
      <c r="A276" s="114" t="n"/>
      <c r="B276" s="114" t="n"/>
      <c r="C276" s="114" t="n"/>
    </row>
    <row r="277" ht="15" customHeight="1" s="68">
      <c r="A277" s="114" t="n"/>
      <c r="B277" s="114" t="n"/>
      <c r="C277" s="114" t="n"/>
    </row>
    <row r="278" ht="15" customHeight="1" s="68">
      <c r="A278" s="114" t="n"/>
      <c r="B278" s="114" t="n"/>
      <c r="C278" s="114" t="n"/>
    </row>
    <row r="279" ht="15" customHeight="1" s="68">
      <c r="A279" s="114" t="n"/>
      <c r="B279" s="114" t="n"/>
      <c r="C279" s="114" t="n"/>
    </row>
    <row r="280" ht="15" customHeight="1" s="68">
      <c r="A280" s="114" t="n"/>
      <c r="B280" s="114" t="n"/>
      <c r="C280" s="114" t="n"/>
    </row>
    <row r="281" ht="15" customHeight="1" s="68">
      <c r="A281" s="114" t="n"/>
      <c r="B281" s="114" t="n"/>
      <c r="C281" s="114" t="n"/>
    </row>
    <row r="282" ht="15" customHeight="1" s="68">
      <c r="A282" s="114" t="n"/>
      <c r="B282" s="114" t="n"/>
      <c r="C282" s="114" t="n"/>
    </row>
    <row r="283" ht="15" customHeight="1" s="68">
      <c r="A283" s="114" t="n"/>
      <c r="B283" s="114" t="n"/>
      <c r="C283" s="114" t="n"/>
    </row>
    <row r="284" ht="15" customHeight="1" s="68">
      <c r="A284" s="114" t="n"/>
      <c r="B284" s="114" t="n"/>
      <c r="C284" s="114" t="n"/>
    </row>
    <row r="285" ht="15" customHeight="1" s="68">
      <c r="A285" s="114" t="n"/>
      <c r="B285" s="114" t="n"/>
      <c r="C285" s="114" t="n"/>
    </row>
    <row r="286" ht="15" customHeight="1" s="68">
      <c r="A286" s="114" t="n"/>
      <c r="B286" s="114" t="n"/>
      <c r="C286" s="114" t="n"/>
    </row>
    <row r="287" ht="15" customHeight="1" s="68">
      <c r="A287" s="114" t="n"/>
      <c r="B287" s="114" t="n"/>
      <c r="C287" s="114" t="n"/>
    </row>
    <row r="288" ht="15" customHeight="1" s="68">
      <c r="A288" s="114" t="n"/>
      <c r="B288" s="114" t="n"/>
      <c r="C288" s="114" t="n"/>
    </row>
    <row r="289" ht="15" customHeight="1" s="68">
      <c r="A289" s="114" t="n"/>
      <c r="B289" s="114" t="n"/>
      <c r="C289" s="114" t="n"/>
    </row>
    <row r="290" ht="15" customHeight="1" s="68">
      <c r="A290" s="114" t="n"/>
      <c r="B290" s="114" t="n"/>
      <c r="C290" s="114" t="n"/>
    </row>
    <row r="291" ht="15" customHeight="1" s="68">
      <c r="A291" s="114" t="n"/>
      <c r="B291" s="114" t="n"/>
      <c r="C291" s="114" t="n"/>
    </row>
    <row r="292" ht="15" customHeight="1" s="68">
      <c r="A292" s="114" t="n"/>
      <c r="B292" s="114" t="n"/>
      <c r="C292" s="114" t="n"/>
    </row>
    <row r="293" ht="15" customHeight="1" s="68">
      <c r="A293" s="114" t="n"/>
      <c r="B293" s="114" t="n"/>
      <c r="C293" s="114" t="n"/>
    </row>
    <row r="294" ht="15" customHeight="1" s="68">
      <c r="A294" s="114" t="n"/>
      <c r="B294" s="114" t="n"/>
      <c r="C294" s="114" t="n"/>
    </row>
    <row r="295" ht="15" customHeight="1" s="68">
      <c r="A295" s="114" t="n"/>
      <c r="B295" s="114" t="n"/>
      <c r="C295" s="114" t="n"/>
    </row>
    <row r="296" ht="15" customHeight="1" s="68">
      <c r="A296" s="114" t="n"/>
      <c r="B296" s="114" t="n"/>
      <c r="C296" s="114" t="n"/>
    </row>
    <row r="297" ht="15" customHeight="1" s="68">
      <c r="A297" s="114" t="n"/>
      <c r="B297" s="114" t="n"/>
      <c r="C297" s="114" t="n"/>
    </row>
    <row r="298" ht="15" customHeight="1" s="68">
      <c r="A298" s="114" t="n"/>
      <c r="B298" s="114" t="n"/>
      <c r="C298" s="114" t="n"/>
    </row>
    <row r="299" ht="15" customHeight="1" s="68">
      <c r="A299" s="114" t="n"/>
      <c r="B299" s="114" t="n"/>
      <c r="C299" s="114" t="n"/>
    </row>
    <row r="300" ht="15" customHeight="1" s="68">
      <c r="A300" s="114" t="n"/>
      <c r="B300" s="114" t="n"/>
      <c r="C300" s="114" t="n"/>
    </row>
    <row r="301" ht="15" customHeight="1" s="68">
      <c r="A301" s="114" t="n"/>
      <c r="B301" s="114" t="n"/>
      <c r="C301" s="114" t="n"/>
    </row>
    <row r="302" ht="15" customHeight="1" s="68">
      <c r="A302" s="114" t="n"/>
      <c r="B302" s="114" t="n"/>
      <c r="C302" s="114" t="n"/>
    </row>
    <row r="303" ht="15" customHeight="1" s="68">
      <c r="A303" s="114" t="n"/>
      <c r="B303" s="114" t="n"/>
      <c r="C303" s="114" t="n"/>
    </row>
    <row r="304" ht="15" customHeight="1" s="68">
      <c r="A304" s="114" t="n"/>
      <c r="B304" s="114" t="n"/>
      <c r="C304" s="114" t="n"/>
    </row>
    <row r="305" ht="15" customHeight="1" s="68">
      <c r="A305" s="114" t="n"/>
      <c r="B305" s="114" t="n"/>
      <c r="C305" s="114" t="n"/>
    </row>
    <row r="306" ht="15" customHeight="1" s="68">
      <c r="A306" s="114" t="n"/>
      <c r="B306" s="114" t="n"/>
      <c r="C306" s="114" t="n"/>
    </row>
    <row r="307" ht="15" customHeight="1" s="68">
      <c r="A307" s="114" t="n"/>
      <c r="B307" s="114" t="n"/>
      <c r="C307" s="114" t="n"/>
    </row>
    <row r="308" ht="15" customHeight="1" s="68">
      <c r="A308" s="114" t="n"/>
      <c r="B308" s="114" t="n"/>
      <c r="C308" s="114" t="n"/>
    </row>
    <row r="309" ht="15" customHeight="1" s="68">
      <c r="A309" s="114" t="n"/>
      <c r="B309" s="114" t="n"/>
      <c r="C309" s="114" t="n"/>
    </row>
    <row r="310" ht="15" customHeight="1" s="68">
      <c r="A310" s="114" t="n"/>
      <c r="B310" s="114" t="n"/>
      <c r="C310" s="114" t="n"/>
    </row>
    <row r="311" ht="15" customHeight="1" s="68">
      <c r="A311" s="114" t="n"/>
      <c r="B311" s="114" t="n"/>
      <c r="C311" s="114" t="n"/>
    </row>
    <row r="312" ht="15" customHeight="1" s="68">
      <c r="A312" s="114" t="n"/>
      <c r="B312" s="114" t="n"/>
      <c r="C312" s="114" t="n"/>
    </row>
    <row r="313" ht="15" customHeight="1" s="68">
      <c r="A313" s="114" t="n"/>
      <c r="B313" s="114" t="n"/>
      <c r="C313" s="114" t="n"/>
    </row>
    <row r="314" ht="15" customHeight="1" s="68">
      <c r="A314" s="114" t="n"/>
      <c r="B314" s="114" t="n"/>
      <c r="C314" s="114" t="n"/>
    </row>
    <row r="315" ht="15" customHeight="1" s="68">
      <c r="A315" s="114" t="n"/>
      <c r="B315" s="114" t="n"/>
      <c r="C315" s="114" t="n"/>
    </row>
    <row r="316" ht="15" customHeight="1" s="68">
      <c r="A316" s="114" t="n"/>
      <c r="B316" s="114" t="n"/>
      <c r="C316" s="114" t="n"/>
    </row>
    <row r="317" ht="15" customHeight="1" s="68">
      <c r="A317" s="114" t="n"/>
      <c r="B317" s="114" t="n"/>
      <c r="C317" s="114" t="n"/>
    </row>
    <row r="318" ht="15" customHeight="1" s="68">
      <c r="A318" s="114" t="n"/>
      <c r="B318" s="114" t="n"/>
      <c r="C318" s="114" t="n"/>
    </row>
    <row r="319" ht="15" customHeight="1" s="68">
      <c r="A319" s="114" t="n"/>
      <c r="B319" s="114" t="n"/>
      <c r="C319" s="114" t="n"/>
    </row>
    <row r="320" ht="15" customHeight="1" s="68">
      <c r="A320" s="114" t="n"/>
      <c r="B320" s="114" t="n"/>
      <c r="C320" s="114" t="n"/>
    </row>
    <row r="321" ht="15" customHeight="1" s="68">
      <c r="A321" s="114" t="n"/>
      <c r="B321" s="114" t="n"/>
      <c r="C321" s="114" t="n"/>
    </row>
    <row r="322" ht="15" customHeight="1" s="68">
      <c r="A322" s="114" t="n"/>
      <c r="B322" s="114" t="n"/>
      <c r="C322" s="114" t="n"/>
    </row>
    <row r="323" ht="15" customHeight="1" s="68">
      <c r="A323" s="114" t="n"/>
      <c r="B323" s="114" t="n"/>
      <c r="C323" s="114" t="n"/>
    </row>
    <row r="324" ht="15" customHeight="1" s="68">
      <c r="A324" s="114" t="n"/>
      <c r="B324" s="114" t="n"/>
      <c r="C324" s="114" t="n"/>
    </row>
    <row r="325" ht="15" customHeight="1" s="68">
      <c r="A325" s="114" t="n"/>
      <c r="B325" s="114" t="n"/>
      <c r="C325" s="114" t="n"/>
    </row>
    <row r="326" ht="15" customHeight="1" s="68">
      <c r="A326" s="114" t="n"/>
      <c r="B326" s="114" t="n"/>
      <c r="C326" s="114" t="n"/>
    </row>
    <row r="327" ht="15" customHeight="1" s="68">
      <c r="A327" s="114" t="n"/>
      <c r="B327" s="114" t="n"/>
      <c r="C327" s="114" t="n"/>
    </row>
    <row r="328" ht="15" customHeight="1" s="68">
      <c r="A328" s="114" t="n"/>
      <c r="B328" s="114" t="n"/>
      <c r="C328" s="114" t="n"/>
    </row>
    <row r="329" ht="15" customHeight="1" s="68">
      <c r="A329" s="114" t="n"/>
      <c r="B329" s="114" t="n"/>
      <c r="C329" s="114" t="n"/>
    </row>
    <row r="330" ht="15" customHeight="1" s="68">
      <c r="A330" s="114" t="n"/>
      <c r="B330" s="114" t="n"/>
      <c r="C330" s="114" t="n"/>
    </row>
    <row r="331" ht="15" customHeight="1" s="68">
      <c r="A331" s="114" t="n"/>
      <c r="B331" s="114" t="n"/>
      <c r="C331" s="114" t="n"/>
    </row>
    <row r="332" ht="15" customHeight="1" s="68">
      <c r="A332" s="114" t="n"/>
      <c r="B332" s="114" t="n"/>
      <c r="C332" s="114" t="n"/>
    </row>
    <row r="333" ht="15" customHeight="1" s="68">
      <c r="A333" s="114" t="n"/>
      <c r="B333" s="114" t="n"/>
      <c r="C333" s="114" t="n"/>
    </row>
    <row r="334" ht="15" customHeight="1" s="68">
      <c r="A334" s="114" t="n"/>
      <c r="B334" s="114" t="n"/>
      <c r="C334" s="114" t="n"/>
    </row>
    <row r="335" ht="15" customHeight="1" s="68">
      <c r="A335" s="114" t="n"/>
      <c r="B335" s="114" t="n"/>
      <c r="C335" s="114" t="n"/>
    </row>
    <row r="336" ht="15" customHeight="1" s="68">
      <c r="A336" s="114" t="n"/>
      <c r="B336" s="114" t="n"/>
      <c r="C336" s="114" t="n"/>
    </row>
    <row r="337" ht="15" customHeight="1" s="68">
      <c r="A337" s="114" t="n"/>
      <c r="B337" s="114" t="n"/>
      <c r="C337" s="114" t="n"/>
    </row>
    <row r="338" ht="15" customHeight="1" s="68">
      <c r="A338" s="114" t="n"/>
      <c r="B338" s="114" t="n"/>
      <c r="C338" s="114" t="n"/>
    </row>
    <row r="339" ht="15" customHeight="1" s="68">
      <c r="A339" s="114" t="n"/>
      <c r="B339" s="114" t="n"/>
      <c r="C339" s="114" t="n"/>
    </row>
    <row r="340" ht="15" customHeight="1" s="68">
      <c r="A340" s="114" t="n"/>
      <c r="B340" s="114" t="n"/>
      <c r="C340" s="114" t="n"/>
    </row>
    <row r="341" ht="15" customHeight="1" s="68">
      <c r="A341" s="114" t="n"/>
      <c r="B341" s="114" t="n"/>
      <c r="C341" s="114" t="n"/>
    </row>
    <row r="342" ht="15" customHeight="1" s="68">
      <c r="A342" s="114" t="n"/>
      <c r="B342" s="114" t="n"/>
      <c r="C342" s="114" t="n"/>
    </row>
    <row r="343" ht="15" customHeight="1" s="68">
      <c r="A343" s="114" t="n"/>
      <c r="B343" s="114" t="n"/>
      <c r="C343" s="114" t="n"/>
    </row>
    <row r="344" ht="15" customHeight="1" s="68">
      <c r="A344" s="114" t="n"/>
      <c r="B344" s="114" t="n"/>
      <c r="C344" s="114" t="n"/>
    </row>
    <row r="345" ht="15" customHeight="1" s="68">
      <c r="A345" s="114" t="n"/>
      <c r="B345" s="114" t="n"/>
      <c r="C345" s="114" t="n"/>
    </row>
    <row r="346" ht="15" customHeight="1" s="68">
      <c r="A346" s="114" t="n"/>
      <c r="B346" s="114" t="n"/>
      <c r="C346" s="114" t="n"/>
    </row>
    <row r="347" ht="15" customHeight="1" s="68">
      <c r="A347" s="114" t="n"/>
      <c r="B347" s="114" t="n"/>
      <c r="C347" s="114" t="n"/>
    </row>
    <row r="348" ht="15" customHeight="1" s="68">
      <c r="A348" s="114" t="n"/>
      <c r="B348" s="114" t="n"/>
      <c r="C348" s="114" t="n"/>
    </row>
    <row r="349" ht="15" customHeight="1" s="68">
      <c r="A349" s="114" t="n"/>
      <c r="B349" s="114" t="n"/>
      <c r="C349" s="114" t="n"/>
    </row>
    <row r="350" ht="15" customHeight="1" s="68">
      <c r="A350" s="114" t="n"/>
      <c r="B350" s="114" t="n"/>
      <c r="C350" s="114" t="n"/>
    </row>
    <row r="351" ht="15" customHeight="1" s="68">
      <c r="A351" s="114" t="n"/>
      <c r="B351" s="114" t="n"/>
      <c r="C351" s="114" t="n"/>
    </row>
    <row r="352" ht="15" customHeight="1" s="68">
      <c r="A352" s="114" t="n"/>
      <c r="B352" s="114" t="n"/>
      <c r="C352" s="114" t="n"/>
    </row>
    <row r="353" ht="15" customHeight="1" s="68">
      <c r="A353" s="114" t="n"/>
      <c r="B353" s="114" t="n"/>
      <c r="C353" s="114" t="n"/>
    </row>
    <row r="354" ht="15" customHeight="1" s="68">
      <c r="A354" s="114" t="n"/>
      <c r="B354" s="114" t="n"/>
      <c r="C354" s="114" t="n"/>
    </row>
    <row r="355" ht="15" customHeight="1" s="68">
      <c r="A355" s="114" t="n"/>
      <c r="B355" s="114" t="n"/>
      <c r="C355" s="114" t="n"/>
    </row>
    <row r="356" ht="15" customHeight="1" s="68">
      <c r="A356" s="114" t="n"/>
      <c r="B356" s="114" t="n"/>
      <c r="C356" s="114" t="n"/>
    </row>
    <row r="357" ht="15" customHeight="1" s="68">
      <c r="A357" s="114" t="n"/>
      <c r="B357" s="114" t="n"/>
      <c r="C357" s="114" t="n"/>
    </row>
    <row r="358" ht="15" customHeight="1" s="68">
      <c r="A358" s="114" t="n"/>
      <c r="B358" s="114" t="n"/>
      <c r="C358" s="114" t="n"/>
    </row>
    <row r="359" ht="15" customHeight="1" s="68">
      <c r="A359" s="114" t="n"/>
      <c r="B359" s="114" t="n"/>
      <c r="C359" s="114" t="n"/>
    </row>
    <row r="360" ht="15" customHeight="1" s="68">
      <c r="A360" s="114" t="n"/>
      <c r="B360" s="114" t="n"/>
      <c r="C360" s="114" t="n"/>
    </row>
    <row r="361" ht="15" customHeight="1" s="68">
      <c r="A361" s="114" t="n"/>
      <c r="B361" s="114" t="n"/>
      <c r="C361" s="114" t="n"/>
    </row>
    <row r="362" ht="15" customHeight="1" s="68">
      <c r="A362" s="114" t="n"/>
      <c r="B362" s="114" t="n"/>
      <c r="C362" s="114" t="n"/>
    </row>
    <row r="363" ht="15" customHeight="1" s="68">
      <c r="A363" s="114" t="n"/>
      <c r="B363" s="114" t="n"/>
      <c r="C363" s="114" t="n"/>
    </row>
    <row r="364" ht="15" customHeight="1" s="68">
      <c r="A364" s="114" t="n"/>
      <c r="B364" s="114" t="n"/>
      <c r="C364" s="114" t="n"/>
    </row>
    <row r="365" ht="15" customHeight="1" s="68">
      <c r="A365" s="114" t="n"/>
      <c r="B365" s="114" t="n"/>
      <c r="C365" s="114" t="n"/>
    </row>
    <row r="366" ht="15" customHeight="1" s="68">
      <c r="A366" s="114" t="n"/>
      <c r="B366" s="114" t="n"/>
      <c r="C366" s="114" t="n"/>
    </row>
    <row r="367" ht="15" customHeight="1" s="68">
      <c r="A367" s="114" t="n"/>
      <c r="B367" s="114" t="n"/>
      <c r="C367" s="114" t="n"/>
    </row>
    <row r="368" ht="15" customHeight="1" s="68">
      <c r="A368" s="114" t="n"/>
      <c r="B368" s="114" t="n"/>
      <c r="C368" s="114" t="n"/>
    </row>
    <row r="369" ht="15" customHeight="1" s="68">
      <c r="A369" s="114" t="n"/>
      <c r="B369" s="114" t="n"/>
      <c r="C369" s="114" t="n"/>
    </row>
    <row r="370" ht="15" customHeight="1" s="68">
      <c r="A370" s="114" t="n"/>
      <c r="B370" s="114" t="n"/>
      <c r="C370" s="114" t="n"/>
    </row>
    <row r="371" ht="15" customHeight="1" s="68">
      <c r="A371" s="114" t="n"/>
      <c r="B371" s="114" t="n"/>
      <c r="C371" s="114" t="n"/>
    </row>
    <row r="372" ht="15" customHeight="1" s="68">
      <c r="A372" s="114" t="n"/>
      <c r="B372" s="114" t="n"/>
      <c r="C372" s="114" t="n"/>
    </row>
    <row r="373" ht="15" customHeight="1" s="68">
      <c r="A373" s="114" t="n"/>
      <c r="B373" s="114" t="n"/>
      <c r="C373" s="114" t="n"/>
    </row>
    <row r="374" ht="15" customHeight="1" s="68">
      <c r="A374" s="114" t="n"/>
      <c r="B374" s="114" t="n"/>
      <c r="C374" s="114" t="n"/>
    </row>
    <row r="375" ht="15" customHeight="1" s="68">
      <c r="A375" s="114" t="n"/>
      <c r="B375" s="114" t="n"/>
      <c r="C375" s="114" t="n"/>
    </row>
    <row r="376" ht="15" customHeight="1" s="68">
      <c r="A376" s="114" t="n"/>
      <c r="B376" s="114" t="n"/>
      <c r="C376" s="114" t="n"/>
    </row>
    <row r="377" ht="15" customHeight="1" s="68">
      <c r="A377" s="114" t="n"/>
      <c r="B377" s="114" t="n"/>
      <c r="C377" s="114" t="n"/>
    </row>
    <row r="378" ht="15" customHeight="1" s="68">
      <c r="A378" s="114" t="n"/>
      <c r="B378" s="114" t="n"/>
      <c r="C378" s="114" t="n"/>
    </row>
    <row r="379" ht="15" customHeight="1" s="68">
      <c r="A379" s="114" t="n"/>
      <c r="B379" s="114" t="n"/>
      <c r="C379" s="114" t="n"/>
    </row>
    <row r="380" ht="15" customHeight="1" s="68">
      <c r="A380" s="114" t="n"/>
      <c r="B380" s="114" t="n"/>
      <c r="C380" s="114" t="n"/>
    </row>
    <row r="381" ht="15" customHeight="1" s="68">
      <c r="A381" s="114" t="n"/>
      <c r="B381" s="114" t="n"/>
      <c r="C381" s="114" t="n"/>
    </row>
    <row r="382" ht="15" customHeight="1" s="68">
      <c r="A382" s="114" t="n"/>
      <c r="B382" s="114" t="n"/>
      <c r="C382" s="114" t="n"/>
    </row>
    <row r="383" ht="15" customHeight="1" s="68">
      <c r="A383" s="114" t="n"/>
      <c r="B383" s="114" t="n"/>
      <c r="C383" s="114" t="n"/>
    </row>
    <row r="384" ht="15" customHeight="1" s="68">
      <c r="A384" s="114" t="n"/>
      <c r="B384" s="114" t="n"/>
      <c r="C384" s="114" t="n"/>
    </row>
    <row r="385" ht="15" customHeight="1" s="68">
      <c r="A385" s="114" t="n"/>
      <c r="B385" s="114" t="n"/>
      <c r="C385" s="114" t="n"/>
    </row>
    <row r="386" ht="15" customHeight="1" s="68">
      <c r="A386" s="114" t="n"/>
      <c r="B386" s="114" t="n"/>
      <c r="C386" s="114" t="n"/>
    </row>
    <row r="387" ht="15" customHeight="1" s="68">
      <c r="A387" s="114" t="n"/>
      <c r="B387" s="114" t="n"/>
      <c r="C387" s="114" t="n"/>
    </row>
    <row r="388" ht="15" customHeight="1" s="68">
      <c r="A388" s="114" t="n"/>
      <c r="B388" s="114" t="n"/>
      <c r="C388" s="114" t="n"/>
    </row>
    <row r="389" ht="15" customHeight="1" s="68">
      <c r="A389" s="114" t="n"/>
      <c r="B389" s="114" t="n"/>
      <c r="C389" s="114" t="n"/>
    </row>
    <row r="390" ht="15" customHeight="1" s="68">
      <c r="A390" s="114" t="n"/>
      <c r="B390" s="114" t="n"/>
      <c r="C390" s="114" t="n"/>
    </row>
    <row r="391" ht="15" customHeight="1" s="68">
      <c r="A391" s="114" t="n"/>
      <c r="B391" s="114" t="n"/>
      <c r="C391" s="114" t="n"/>
    </row>
    <row r="392" ht="15" customHeight="1" s="68">
      <c r="A392" s="114" t="n"/>
      <c r="B392" s="114" t="n"/>
      <c r="C392" s="114" t="n"/>
    </row>
    <row r="393" ht="15" customHeight="1" s="68">
      <c r="A393" s="114" t="n"/>
      <c r="B393" s="114" t="n"/>
      <c r="C393" s="114" t="n"/>
    </row>
    <row r="394" ht="15" customHeight="1" s="68">
      <c r="A394" s="114" t="n"/>
      <c r="B394" s="114" t="n"/>
      <c r="C394" s="114" t="n"/>
    </row>
    <row r="395" ht="15" customHeight="1" s="68">
      <c r="A395" s="114" t="n"/>
      <c r="B395" s="114" t="n"/>
      <c r="C395" s="114" t="n"/>
    </row>
    <row r="396" ht="15" customHeight="1" s="68">
      <c r="A396" s="114" t="n"/>
      <c r="B396" s="114" t="n"/>
      <c r="C396" s="114" t="n"/>
    </row>
    <row r="397" ht="15" customHeight="1" s="68">
      <c r="A397" s="114" t="n"/>
      <c r="B397" s="114" t="n"/>
      <c r="C397" s="114" t="n"/>
    </row>
    <row r="398" ht="15" customHeight="1" s="68">
      <c r="A398" s="114" t="n"/>
      <c r="B398" s="114" t="n"/>
      <c r="C398" s="114" t="n"/>
    </row>
    <row r="399" ht="15" customHeight="1" s="68">
      <c r="A399" s="114" t="n"/>
      <c r="B399" s="114" t="n"/>
      <c r="C399" s="114" t="n"/>
    </row>
    <row r="400" ht="15" customHeight="1" s="68">
      <c r="A400" s="114" t="n"/>
      <c r="B400" s="114" t="n"/>
      <c r="C400" s="114" t="n"/>
    </row>
    <row r="401" ht="15" customHeight="1" s="68">
      <c r="A401" s="114" t="n"/>
      <c r="B401" s="114" t="n"/>
      <c r="C401" s="114" t="n"/>
    </row>
    <row r="402" ht="15" customHeight="1" s="68">
      <c r="A402" s="114" t="n"/>
      <c r="B402" s="114" t="n"/>
      <c r="C402" s="114" t="n"/>
    </row>
    <row r="403" ht="15" customHeight="1" s="68">
      <c r="A403" s="114" t="n"/>
      <c r="B403" s="114" t="n"/>
      <c r="C403" s="114" t="n"/>
    </row>
    <row r="404" ht="15" customHeight="1" s="68">
      <c r="A404" s="114" t="n"/>
      <c r="B404" s="114" t="n"/>
      <c r="C404" s="114" t="n"/>
    </row>
    <row r="405" ht="15" customHeight="1" s="68">
      <c r="A405" s="114" t="n"/>
      <c r="B405" s="114" t="n"/>
      <c r="C405" s="114" t="n"/>
    </row>
    <row r="406" ht="15" customHeight="1" s="68">
      <c r="A406" s="114" t="n"/>
      <c r="B406" s="114" t="n"/>
      <c r="C406" s="114" t="n"/>
    </row>
    <row r="407" ht="15" customHeight="1" s="68">
      <c r="A407" s="114" t="n"/>
      <c r="B407" s="114" t="n"/>
      <c r="C407" s="114" t="n"/>
    </row>
    <row r="408" ht="15" customHeight="1" s="68">
      <c r="A408" s="114" t="n"/>
      <c r="B408" s="114" t="n"/>
      <c r="C408" s="114" t="n"/>
    </row>
    <row r="409" ht="15" customHeight="1" s="68">
      <c r="A409" s="114" t="n"/>
      <c r="B409" s="114" t="n"/>
      <c r="C409" s="114" t="n"/>
    </row>
    <row r="410" ht="15" customHeight="1" s="68">
      <c r="A410" s="114" t="n"/>
      <c r="B410" s="114" t="n"/>
      <c r="C410" s="114" t="n"/>
    </row>
    <row r="411" ht="15" customHeight="1" s="68">
      <c r="A411" s="114" t="n"/>
      <c r="B411" s="114" t="n"/>
      <c r="C411" s="114" t="n"/>
    </row>
    <row r="412" ht="15" customHeight="1" s="68">
      <c r="A412" s="114" t="n"/>
      <c r="B412" s="114" t="n"/>
      <c r="C412" s="114" t="n"/>
    </row>
    <row r="413" ht="15" customHeight="1" s="68">
      <c r="A413" s="114" t="n"/>
      <c r="B413" s="114" t="n"/>
      <c r="C413" s="114" t="n"/>
    </row>
    <row r="414" ht="15" customHeight="1" s="68">
      <c r="A414" s="114" t="n"/>
      <c r="B414" s="114" t="n"/>
      <c r="C414" s="114" t="n"/>
    </row>
    <row r="415" ht="15" customHeight="1" s="68">
      <c r="A415" s="114" t="n"/>
      <c r="B415" s="114" t="n"/>
      <c r="C415" s="114" t="n"/>
    </row>
    <row r="416" ht="15" customHeight="1" s="68">
      <c r="A416" s="114" t="n"/>
      <c r="B416" s="114" t="n"/>
      <c r="C416" s="114" t="n"/>
    </row>
    <row r="417" ht="15" customHeight="1" s="68">
      <c r="A417" s="114" t="n"/>
      <c r="B417" s="114" t="n"/>
      <c r="C417" s="114" t="n"/>
    </row>
    <row r="418" ht="15" customHeight="1" s="68">
      <c r="A418" s="114" t="n"/>
      <c r="B418" s="114" t="n"/>
      <c r="C418" s="114" t="n"/>
    </row>
    <row r="419" ht="15" customHeight="1" s="68">
      <c r="A419" s="114" t="n"/>
      <c r="B419" s="114" t="n"/>
      <c r="C419" s="114" t="n"/>
    </row>
    <row r="420" ht="15" customHeight="1" s="68">
      <c r="A420" s="114" t="n"/>
      <c r="B420" s="114" t="n"/>
      <c r="C420" s="114" t="n"/>
    </row>
    <row r="421" ht="15" customHeight="1" s="68">
      <c r="A421" s="114" t="n"/>
      <c r="B421" s="114" t="n"/>
      <c r="C421" s="114" t="n"/>
    </row>
    <row r="422" ht="15" customHeight="1" s="68">
      <c r="A422" s="114" t="n"/>
      <c r="B422" s="114" t="n"/>
      <c r="C422" s="114" t="n"/>
    </row>
    <row r="423" ht="15" customHeight="1" s="68">
      <c r="A423" s="114" t="n"/>
      <c r="B423" s="114" t="n"/>
      <c r="C423" s="114" t="n"/>
    </row>
    <row r="424" ht="15" customHeight="1" s="68">
      <c r="A424" s="114" t="n"/>
      <c r="B424" s="114" t="n"/>
      <c r="C424" s="114" t="n"/>
    </row>
    <row r="425" ht="15" customHeight="1" s="68">
      <c r="A425" s="114" t="n"/>
      <c r="B425" s="114" t="n"/>
      <c r="C425" s="114" t="n"/>
    </row>
    <row r="426" ht="15" customHeight="1" s="68">
      <c r="A426" s="114" t="n"/>
      <c r="B426" s="114" t="n"/>
      <c r="C426" s="114" t="n"/>
    </row>
    <row r="427" ht="15" customHeight="1" s="68">
      <c r="A427" s="114" t="n"/>
      <c r="B427" s="114" t="n"/>
      <c r="C427" s="114" t="n"/>
    </row>
    <row r="428" ht="15" customHeight="1" s="68">
      <c r="A428" s="114" t="n"/>
      <c r="B428" s="114" t="n"/>
      <c r="C428" s="114" t="n"/>
    </row>
    <row r="429" ht="15" customHeight="1" s="68">
      <c r="A429" s="114" t="n"/>
      <c r="B429" s="114" t="n"/>
      <c r="C429" s="114" t="n"/>
    </row>
    <row r="430" ht="15" customHeight="1" s="68">
      <c r="A430" s="114" t="n"/>
      <c r="B430" s="114" t="n"/>
      <c r="C430" s="114" t="n"/>
    </row>
    <row r="431" ht="15" customHeight="1" s="68">
      <c r="A431" s="114" t="n"/>
      <c r="B431" s="114" t="n"/>
      <c r="C431" s="114" t="n"/>
    </row>
    <row r="432" ht="15" customHeight="1" s="68">
      <c r="A432" s="114" t="n"/>
      <c r="B432" s="114" t="n"/>
      <c r="C432" s="114" t="n"/>
    </row>
    <row r="433" ht="15" customHeight="1" s="68">
      <c r="A433" s="114" t="n"/>
      <c r="B433" s="114" t="n"/>
      <c r="C433" s="114" t="n"/>
    </row>
    <row r="434" ht="15" customHeight="1" s="68">
      <c r="A434" s="114" t="n"/>
      <c r="B434" s="114" t="n"/>
      <c r="C434" s="114" t="n"/>
    </row>
    <row r="435" ht="15" customHeight="1" s="68">
      <c r="A435" s="114" t="n"/>
      <c r="B435" s="114" t="n"/>
      <c r="C435" s="114" t="n"/>
    </row>
    <row r="436" ht="15" customHeight="1" s="68">
      <c r="A436" s="114" t="n"/>
      <c r="B436" s="114" t="n"/>
      <c r="C436" s="114" t="n"/>
    </row>
    <row r="437" ht="15" customHeight="1" s="68">
      <c r="A437" s="114" t="n"/>
      <c r="B437" s="114" t="n"/>
      <c r="C437" s="114" t="n"/>
    </row>
    <row r="438" ht="15" customHeight="1" s="68">
      <c r="A438" s="114" t="n"/>
      <c r="B438" s="114" t="n"/>
      <c r="C438" s="114" t="n"/>
    </row>
    <row r="439" ht="15" customHeight="1" s="68">
      <c r="A439" s="114" t="n"/>
      <c r="B439" s="114" t="n"/>
      <c r="C439" s="114" t="n"/>
    </row>
    <row r="440" ht="15" customHeight="1" s="68">
      <c r="A440" s="114" t="n"/>
      <c r="B440" s="114" t="n"/>
      <c r="C440" s="114" t="n"/>
    </row>
    <row r="441" ht="15" customHeight="1" s="68">
      <c r="A441" s="114" t="n"/>
      <c r="B441" s="114" t="n"/>
      <c r="C441" s="114" t="n"/>
    </row>
    <row r="442" ht="15" customHeight="1" s="68">
      <c r="A442" s="114" t="n"/>
      <c r="B442" s="114" t="n"/>
      <c r="C442" s="114" t="n"/>
    </row>
    <row r="443" ht="15" customHeight="1" s="68">
      <c r="A443" s="114" t="n"/>
      <c r="B443" s="114" t="n"/>
      <c r="C443" s="114" t="n"/>
    </row>
    <row r="444" ht="15" customHeight="1" s="68">
      <c r="A444" s="114" t="n"/>
      <c r="B444" s="114" t="n"/>
      <c r="C444" s="114" t="n"/>
    </row>
    <row r="445" ht="15" customHeight="1" s="68">
      <c r="A445" s="114" t="n"/>
      <c r="B445" s="114" t="n"/>
      <c r="C445" s="114" t="n"/>
    </row>
    <row r="446" ht="15" customHeight="1" s="68">
      <c r="A446" s="114" t="n"/>
      <c r="B446" s="114" t="n"/>
      <c r="C446" s="114" t="n"/>
    </row>
    <row r="447" ht="15" customHeight="1" s="68">
      <c r="A447" s="114" t="n"/>
      <c r="B447" s="114" t="n"/>
      <c r="C447" s="114" t="n"/>
    </row>
    <row r="448" ht="15" customHeight="1" s="68">
      <c r="A448" s="114" t="n"/>
      <c r="B448" s="114" t="n"/>
      <c r="C448" s="114" t="n"/>
    </row>
    <row r="449" ht="15" customHeight="1" s="68">
      <c r="A449" s="114" t="n"/>
      <c r="B449" s="114" t="n"/>
      <c r="C449" s="114" t="n"/>
    </row>
    <row r="450" ht="15" customHeight="1" s="68">
      <c r="A450" s="114" t="n"/>
      <c r="B450" s="114" t="n"/>
      <c r="C450" s="114" t="n"/>
    </row>
    <row r="451" ht="15" customHeight="1" s="68">
      <c r="A451" s="114" t="n"/>
      <c r="B451" s="114" t="n"/>
      <c r="C451" s="114" t="n"/>
    </row>
    <row r="452" ht="15" customHeight="1" s="68">
      <c r="A452" s="114" t="n"/>
      <c r="B452" s="114" t="n"/>
      <c r="C452" s="114" t="n"/>
    </row>
    <row r="453" ht="15" customHeight="1" s="68">
      <c r="A453" s="114" t="n"/>
      <c r="B453" s="114" t="n"/>
      <c r="C453" s="114" t="n"/>
    </row>
    <row r="454" ht="15" customHeight="1" s="68">
      <c r="A454" s="114" t="n"/>
      <c r="B454" s="114" t="n"/>
      <c r="C454" s="114" t="n"/>
    </row>
    <row r="455" ht="15" customHeight="1" s="68">
      <c r="A455" s="114" t="n"/>
      <c r="B455" s="114" t="n"/>
      <c r="C455" s="114" t="n"/>
    </row>
    <row r="456" ht="15" customHeight="1" s="68">
      <c r="A456" s="114" t="n"/>
      <c r="B456" s="114" t="n"/>
      <c r="C456" s="114" t="n"/>
    </row>
    <row r="457" ht="15" customHeight="1" s="68">
      <c r="A457" s="114" t="n"/>
      <c r="B457" s="114" t="n"/>
      <c r="C457" s="114" t="n"/>
    </row>
    <row r="458" ht="15" customHeight="1" s="68">
      <c r="A458" s="114" t="n"/>
      <c r="B458" s="114" t="n"/>
      <c r="C458" s="114" t="n"/>
    </row>
    <row r="459" ht="15" customHeight="1" s="68">
      <c r="A459" s="114" t="n"/>
      <c r="B459" s="114" t="n"/>
      <c r="C459" s="114" t="n"/>
    </row>
    <row r="460" ht="15" customHeight="1" s="68">
      <c r="A460" s="114" t="n"/>
      <c r="B460" s="114" t="n"/>
      <c r="C460" s="114" t="n"/>
    </row>
    <row r="461" ht="15" customHeight="1" s="68">
      <c r="A461" s="114" t="n"/>
      <c r="B461" s="114" t="n"/>
      <c r="C461" s="114" t="n"/>
    </row>
    <row r="462" ht="15" customHeight="1" s="68">
      <c r="A462" s="114" t="n"/>
      <c r="B462" s="114" t="n"/>
      <c r="C462" s="114" t="n"/>
    </row>
    <row r="463" ht="15" customHeight="1" s="68">
      <c r="A463" s="114" t="n"/>
      <c r="B463" s="114" t="n"/>
      <c r="C463" s="114" t="n"/>
    </row>
    <row r="464" ht="15" customHeight="1" s="68">
      <c r="A464" s="114" t="n"/>
      <c r="B464" s="114" t="n"/>
      <c r="C464" s="114" t="n"/>
    </row>
    <row r="465" ht="15" customHeight="1" s="68">
      <c r="A465" s="114" t="n"/>
      <c r="B465" s="114" t="n"/>
      <c r="C465" s="114" t="n"/>
    </row>
    <row r="466" ht="15" customHeight="1" s="68">
      <c r="A466" s="114" t="n"/>
      <c r="B466" s="114" t="n"/>
      <c r="C466" s="114" t="n"/>
    </row>
    <row r="467" ht="15" customHeight="1" s="68">
      <c r="A467" s="114" t="n"/>
      <c r="B467" s="114" t="n"/>
      <c r="C467" s="114" t="n"/>
    </row>
    <row r="468" ht="15" customHeight="1" s="68">
      <c r="A468" s="114" t="n"/>
      <c r="B468" s="114" t="n"/>
      <c r="C468" s="114" t="n"/>
    </row>
    <row r="469" ht="15" customHeight="1" s="68">
      <c r="A469" s="114" t="n"/>
      <c r="B469" s="114" t="n"/>
      <c r="C469" s="114" t="n"/>
    </row>
    <row r="470" ht="15" customHeight="1" s="68">
      <c r="A470" s="114" t="n"/>
      <c r="B470" s="114" t="n"/>
      <c r="C470" s="114" t="n"/>
    </row>
    <row r="471" ht="15" customHeight="1" s="68">
      <c r="A471" s="114" t="n"/>
      <c r="B471" s="114" t="n"/>
      <c r="C471" s="114" t="n"/>
    </row>
    <row r="472" ht="15" customHeight="1" s="68">
      <c r="A472" s="114" t="n"/>
      <c r="B472" s="114" t="n"/>
      <c r="C472" s="114" t="n"/>
    </row>
    <row r="473" ht="15" customHeight="1" s="68">
      <c r="A473" s="114" t="n"/>
      <c r="B473" s="114" t="n"/>
      <c r="C473" s="114" t="n"/>
    </row>
    <row r="474" ht="15" customHeight="1" s="68">
      <c r="A474" s="114" t="n"/>
      <c r="B474" s="114" t="n"/>
      <c r="C474" s="114" t="n"/>
    </row>
    <row r="475" ht="15" customHeight="1" s="68">
      <c r="A475" s="114" t="n"/>
      <c r="B475" s="114" t="n"/>
      <c r="C475" s="114" t="n"/>
    </row>
    <row r="476" ht="15" customHeight="1" s="68">
      <c r="A476" s="114" t="n"/>
      <c r="B476" s="114" t="n"/>
      <c r="C476" s="114" t="n"/>
    </row>
    <row r="477" ht="15" customHeight="1" s="68">
      <c r="A477" s="114" t="n"/>
      <c r="B477" s="114" t="n"/>
      <c r="C477" s="114" t="n"/>
    </row>
    <row r="478" ht="15" customHeight="1" s="68">
      <c r="A478" s="114" t="n"/>
      <c r="B478" s="114" t="n"/>
      <c r="C478" s="114" t="n"/>
    </row>
    <row r="479" ht="15" customHeight="1" s="68">
      <c r="A479" s="114" t="n"/>
      <c r="B479" s="114" t="n"/>
      <c r="C479" s="114" t="n"/>
    </row>
    <row r="480" ht="15" customHeight="1" s="68">
      <c r="A480" s="114" t="n"/>
      <c r="B480" s="114" t="n"/>
      <c r="C480" s="114" t="n"/>
    </row>
    <row r="481" ht="15" customHeight="1" s="68">
      <c r="A481" s="114" t="n"/>
      <c r="B481" s="114" t="n"/>
      <c r="C481" s="114" t="n"/>
    </row>
    <row r="482" ht="15" customHeight="1" s="68">
      <c r="A482" s="114" t="n"/>
      <c r="B482" s="114" t="n"/>
      <c r="C482" s="114" t="n"/>
    </row>
    <row r="483" ht="15" customHeight="1" s="68">
      <c r="A483" s="114" t="n"/>
      <c r="B483" s="114" t="n"/>
      <c r="C483" s="114" t="n"/>
    </row>
    <row r="484" ht="15" customHeight="1" s="68">
      <c r="A484" s="114" t="n"/>
      <c r="B484" s="114" t="n"/>
      <c r="C484" s="114" t="n"/>
    </row>
    <row r="485" ht="15" customHeight="1" s="68">
      <c r="A485" s="114" t="n"/>
      <c r="B485" s="114" t="n"/>
      <c r="C485" s="114" t="n"/>
    </row>
    <row r="486" ht="15" customHeight="1" s="68">
      <c r="A486" s="114" t="n"/>
      <c r="B486" s="114" t="n"/>
      <c r="C486" s="114" t="n"/>
    </row>
    <row r="487" ht="15" customHeight="1" s="68">
      <c r="A487" s="114" t="n"/>
      <c r="B487" s="114" t="n"/>
      <c r="C487" s="114" t="n"/>
    </row>
    <row r="488" ht="15" customHeight="1" s="68">
      <c r="A488" s="114" t="n"/>
      <c r="B488" s="114" t="n"/>
      <c r="C488" s="114" t="n"/>
    </row>
    <row r="489" ht="15" customHeight="1" s="68">
      <c r="A489" s="114" t="n"/>
      <c r="B489" s="114" t="n"/>
      <c r="C489" s="114" t="n"/>
    </row>
    <row r="490" ht="15" customHeight="1" s="68">
      <c r="A490" s="114" t="n"/>
      <c r="B490" s="114" t="n"/>
      <c r="C490" s="114" t="n"/>
    </row>
    <row r="491" ht="15" customHeight="1" s="68">
      <c r="A491" s="114" t="n"/>
      <c r="B491" s="114" t="n"/>
      <c r="C491" s="114" t="n"/>
    </row>
    <row r="492" ht="15" customHeight="1" s="68">
      <c r="A492" s="114" t="n"/>
      <c r="B492" s="114" t="n"/>
      <c r="C492" s="114" t="n"/>
    </row>
    <row r="493" ht="15" customHeight="1" s="68">
      <c r="A493" s="114" t="n"/>
      <c r="B493" s="114" t="n"/>
      <c r="C493" s="114" t="n"/>
    </row>
    <row r="494" ht="15" customHeight="1" s="68">
      <c r="A494" s="114" t="n"/>
      <c r="B494" s="114" t="n"/>
      <c r="C494" s="114" t="n"/>
    </row>
    <row r="495" ht="15" customHeight="1" s="68">
      <c r="A495" s="114" t="n"/>
      <c r="B495" s="114" t="n"/>
      <c r="C495" s="114" t="n"/>
    </row>
    <row r="496" ht="15" customHeight="1" s="68">
      <c r="A496" s="114" t="n"/>
      <c r="B496" s="114" t="n"/>
      <c r="C496" s="114" t="n"/>
    </row>
    <row r="497" ht="15" customHeight="1" s="68">
      <c r="A497" s="114" t="n"/>
      <c r="B497" s="114" t="n"/>
      <c r="C497" s="114" t="n"/>
    </row>
    <row r="498" ht="15" customHeight="1" s="68">
      <c r="A498" s="114" t="n"/>
      <c r="B498" s="114" t="n"/>
      <c r="C498" s="114" t="n"/>
    </row>
    <row r="499" ht="15" customHeight="1" s="68">
      <c r="A499" s="114" t="n"/>
      <c r="B499" s="114" t="n"/>
      <c r="C499" s="114" t="n"/>
    </row>
    <row r="500" ht="15" customHeight="1" s="68">
      <c r="A500" s="114" t="n"/>
      <c r="B500" s="114" t="n"/>
      <c r="C500" s="114" t="n"/>
    </row>
    <row r="501" ht="15" customHeight="1" s="68">
      <c r="A501" s="114" t="n"/>
      <c r="B501" s="114" t="n"/>
      <c r="C501" s="114" t="n"/>
    </row>
    <row r="502" ht="15" customHeight="1" s="68">
      <c r="A502" s="114" t="n"/>
      <c r="B502" s="114" t="n"/>
      <c r="C502" s="114" t="n"/>
    </row>
    <row r="503" ht="15" customHeight="1" s="68">
      <c r="A503" s="114" t="n"/>
      <c r="B503" s="114" t="n"/>
      <c r="C503" s="114" t="n"/>
    </row>
    <row r="504" ht="15" customHeight="1" s="68">
      <c r="A504" s="114" t="n"/>
      <c r="B504" s="114" t="n"/>
      <c r="C504" s="114" t="n"/>
    </row>
    <row r="505" ht="15" customHeight="1" s="68">
      <c r="A505" s="114" t="n"/>
      <c r="B505" s="114" t="n"/>
      <c r="C505" s="114" t="n"/>
    </row>
    <row r="506" ht="15" customHeight="1" s="68">
      <c r="A506" s="114" t="n"/>
      <c r="B506" s="114" t="n"/>
      <c r="C506" s="114" t="n"/>
    </row>
    <row r="507" ht="15" customHeight="1" s="68">
      <c r="A507" s="114" t="n"/>
      <c r="B507" s="114" t="n"/>
      <c r="C507" s="114" t="n"/>
    </row>
    <row r="508" ht="15" customHeight="1" s="68">
      <c r="A508" s="114" t="n"/>
      <c r="B508" s="114" t="n"/>
      <c r="C508" s="114" t="n"/>
    </row>
    <row r="509" ht="15" customHeight="1" s="68">
      <c r="A509" s="114" t="n"/>
      <c r="B509" s="114" t="n"/>
      <c r="C509" s="114" t="n"/>
    </row>
    <row r="510" ht="15" customHeight="1" s="68">
      <c r="A510" s="114" t="n"/>
      <c r="B510" s="114" t="n"/>
      <c r="C510" s="114" t="n"/>
    </row>
    <row r="511" ht="15" customHeight="1" s="68">
      <c r="A511" s="114" t="n"/>
      <c r="B511" s="114" t="n"/>
      <c r="C511" s="114" t="n"/>
    </row>
    <row r="512" ht="15" customHeight="1" s="68">
      <c r="A512" s="114" t="n"/>
      <c r="B512" s="114" t="n"/>
      <c r="C512" s="114" t="n"/>
    </row>
    <row r="513" ht="15" customHeight="1" s="68">
      <c r="A513" s="114" t="n"/>
      <c r="B513" s="114" t="n"/>
      <c r="C513" s="114" t="n"/>
    </row>
    <row r="514" ht="15" customHeight="1" s="68">
      <c r="A514" s="114" t="n"/>
      <c r="B514" s="114" t="n"/>
      <c r="C514" s="114" t="n"/>
    </row>
    <row r="515" ht="15" customHeight="1" s="68">
      <c r="A515" s="114" t="n"/>
      <c r="B515" s="114" t="n"/>
      <c r="C515" s="114" t="n"/>
    </row>
    <row r="516" ht="15" customHeight="1" s="68">
      <c r="A516" s="114" t="n"/>
      <c r="B516" s="114" t="n"/>
      <c r="C516" s="114" t="n"/>
    </row>
    <row r="517" ht="15" customHeight="1" s="68">
      <c r="A517" s="114" t="n"/>
      <c r="B517" s="114" t="n"/>
      <c r="C517" s="114" t="n"/>
    </row>
    <row r="518" ht="15" customHeight="1" s="68">
      <c r="A518" s="114" t="n"/>
      <c r="B518" s="114" t="n"/>
      <c r="C518" s="114" t="n"/>
    </row>
    <row r="519" ht="15" customHeight="1" s="68">
      <c r="A519" s="114" t="n"/>
      <c r="B519" s="114" t="n"/>
      <c r="C519" s="114" t="n"/>
    </row>
    <row r="520" ht="15" customHeight="1" s="68">
      <c r="A520" s="114" t="n"/>
      <c r="B520" s="114" t="n"/>
      <c r="C520" s="114" t="n"/>
    </row>
    <row r="521" ht="15" customHeight="1" s="68">
      <c r="A521" s="114" t="n"/>
      <c r="B521" s="114" t="n"/>
      <c r="C521" s="114" t="n"/>
    </row>
    <row r="522" ht="15" customHeight="1" s="68">
      <c r="A522" s="114" t="n"/>
      <c r="B522" s="114" t="n"/>
      <c r="C522" s="114" t="n"/>
    </row>
    <row r="523" ht="15" customHeight="1" s="68">
      <c r="A523" s="114" t="n"/>
      <c r="B523" s="114" t="n"/>
      <c r="C523" s="114" t="n"/>
    </row>
    <row r="524" ht="15" customHeight="1" s="68">
      <c r="A524" s="114" t="n"/>
      <c r="B524" s="114" t="n"/>
      <c r="C524" s="114" t="n"/>
    </row>
    <row r="525" ht="15" customHeight="1" s="68">
      <c r="A525" s="114" t="n"/>
      <c r="B525" s="114" t="n"/>
      <c r="C525" s="114" t="n"/>
    </row>
    <row r="526" ht="15" customHeight="1" s="68">
      <c r="A526" s="114" t="n"/>
      <c r="B526" s="114" t="n"/>
      <c r="C526" s="114" t="n"/>
    </row>
    <row r="527" ht="15" customHeight="1" s="68">
      <c r="A527" s="114" t="n"/>
      <c r="B527" s="114" t="n"/>
      <c r="C527" s="114" t="n"/>
    </row>
    <row r="528" ht="15" customHeight="1" s="68">
      <c r="A528" s="114" t="n"/>
      <c r="B528" s="114" t="n"/>
      <c r="C528" s="114" t="n"/>
    </row>
    <row r="529" ht="15" customHeight="1" s="68">
      <c r="A529" s="114" t="n"/>
      <c r="B529" s="114" t="n"/>
      <c r="C529" s="114" t="n"/>
    </row>
    <row r="530" ht="15" customHeight="1" s="68">
      <c r="A530" s="114" t="n"/>
      <c r="B530" s="114" t="n"/>
      <c r="C530" s="114" t="n"/>
    </row>
    <row r="531" ht="15" customHeight="1" s="68">
      <c r="A531" s="114" t="n"/>
      <c r="B531" s="114" t="n"/>
      <c r="C531" s="114" t="n"/>
    </row>
    <row r="532" ht="15" customHeight="1" s="68">
      <c r="A532" s="114" t="n"/>
      <c r="B532" s="114" t="n"/>
      <c r="C532" s="114" t="n"/>
    </row>
    <row r="533" ht="15" customHeight="1" s="68">
      <c r="A533" s="114" t="n"/>
      <c r="B533" s="114" t="n"/>
      <c r="C533" s="114" t="n"/>
    </row>
    <row r="534" ht="15" customHeight="1" s="68">
      <c r="A534" s="114" t="n"/>
      <c r="B534" s="114" t="n"/>
      <c r="C534" s="114" t="n"/>
    </row>
    <row r="535" ht="15" customHeight="1" s="68">
      <c r="A535" s="114" t="n"/>
      <c r="B535" s="114" t="n"/>
      <c r="C535" s="114" t="n"/>
    </row>
    <row r="536" ht="15" customHeight="1" s="68">
      <c r="A536" s="114" t="n"/>
      <c r="B536" s="114" t="n"/>
      <c r="C536" s="114" t="n"/>
    </row>
    <row r="537" ht="15" customHeight="1" s="68">
      <c r="A537" s="114" t="n"/>
      <c r="B537" s="114" t="n"/>
      <c r="C537" s="114" t="n"/>
    </row>
    <row r="538" ht="15" customHeight="1" s="68">
      <c r="A538" s="114" t="n"/>
      <c r="B538" s="114" t="n"/>
      <c r="C538" s="114" t="n"/>
    </row>
    <row r="539" ht="15" customHeight="1" s="68">
      <c r="A539" s="114" t="n"/>
      <c r="B539" s="114" t="n"/>
      <c r="C539" s="114" t="n"/>
    </row>
    <row r="540" ht="15" customHeight="1" s="68">
      <c r="A540" s="114" t="n"/>
      <c r="B540" s="114" t="n"/>
      <c r="C540" s="114" t="n"/>
    </row>
    <row r="541" ht="15" customHeight="1" s="68">
      <c r="A541" s="114" t="n"/>
      <c r="B541" s="114" t="n"/>
      <c r="C541" s="114" t="n"/>
    </row>
    <row r="542" ht="15" customHeight="1" s="68">
      <c r="A542" s="114" t="n"/>
      <c r="B542" s="114" t="n"/>
      <c r="C542" s="114" t="n"/>
    </row>
    <row r="543" ht="15" customHeight="1" s="68">
      <c r="A543" s="114" t="n"/>
      <c r="B543" s="114" t="n"/>
      <c r="C543" s="114" t="n"/>
    </row>
    <row r="544" ht="15" customHeight="1" s="68">
      <c r="A544" s="114" t="n"/>
      <c r="B544" s="114" t="n"/>
      <c r="C544" s="114" t="n"/>
    </row>
    <row r="545" ht="15" customHeight="1" s="68">
      <c r="A545" s="114" t="n"/>
      <c r="B545" s="114" t="n"/>
      <c r="C545" s="114" t="n"/>
    </row>
    <row r="546" ht="15" customHeight="1" s="68">
      <c r="A546" s="114" t="n"/>
      <c r="B546" s="114" t="n"/>
      <c r="C546" s="114" t="n"/>
    </row>
    <row r="547" ht="15" customHeight="1" s="68">
      <c r="A547" s="114" t="n"/>
      <c r="B547" s="114" t="n"/>
      <c r="C547" s="114" t="n"/>
    </row>
    <row r="548" ht="15" customHeight="1" s="68">
      <c r="A548" s="114" t="n"/>
      <c r="B548" s="114" t="n"/>
      <c r="C548" s="114" t="n"/>
    </row>
    <row r="549" ht="15" customHeight="1" s="68">
      <c r="A549" s="114" t="n"/>
      <c r="B549" s="114" t="n"/>
      <c r="C549" s="114" t="n"/>
    </row>
    <row r="550" ht="15" customHeight="1" s="68">
      <c r="A550" s="114" t="n"/>
      <c r="B550" s="114" t="n"/>
      <c r="C550" s="114" t="n"/>
    </row>
    <row r="551" ht="15" customHeight="1" s="68">
      <c r="A551" s="114" t="n"/>
      <c r="B551" s="114" t="n"/>
      <c r="C551" s="114" t="n"/>
    </row>
    <row r="552" ht="15" customHeight="1" s="68">
      <c r="A552" s="114" t="n"/>
      <c r="B552" s="114" t="n"/>
      <c r="C552" s="114" t="n"/>
    </row>
    <row r="553" ht="15" customHeight="1" s="68">
      <c r="A553" s="114" t="n"/>
      <c r="B553" s="114" t="n"/>
      <c r="C553" s="114" t="n"/>
    </row>
    <row r="554" ht="15" customHeight="1" s="68">
      <c r="A554" s="114" t="n"/>
      <c r="B554" s="114" t="n"/>
      <c r="C554" s="114" t="n"/>
    </row>
    <row r="555" ht="15" customHeight="1" s="68">
      <c r="A555" s="114" t="n"/>
      <c r="B555" s="114" t="n"/>
      <c r="C555" s="114" t="n"/>
    </row>
    <row r="556" ht="15" customHeight="1" s="68">
      <c r="A556" s="114" t="n"/>
      <c r="B556" s="114" t="n"/>
      <c r="C556" s="114" t="n"/>
    </row>
    <row r="557" ht="15" customHeight="1" s="68">
      <c r="A557" s="114" t="n"/>
      <c r="B557" s="114" t="n"/>
      <c r="C557" s="114" t="n"/>
    </row>
    <row r="558" ht="15" customHeight="1" s="68">
      <c r="A558" s="114" t="n"/>
      <c r="B558" s="114" t="n"/>
      <c r="C558" s="114" t="n"/>
    </row>
    <row r="559" ht="15" customHeight="1" s="68">
      <c r="A559" s="114" t="n"/>
      <c r="B559" s="114" t="n"/>
      <c r="C559" s="114" t="n"/>
    </row>
    <row r="560" ht="15" customHeight="1" s="68">
      <c r="A560" s="114" t="n"/>
      <c r="B560" s="114" t="n"/>
      <c r="C560" s="114" t="n"/>
    </row>
    <row r="561" ht="15" customHeight="1" s="68">
      <c r="A561" s="114" t="n"/>
      <c r="B561" s="114" t="n"/>
      <c r="C561" s="114" t="n"/>
    </row>
    <row r="562" ht="15" customHeight="1" s="68">
      <c r="A562" s="114" t="n"/>
      <c r="B562" s="114" t="n"/>
      <c r="C562" s="114" t="n"/>
    </row>
    <row r="563" ht="15" customHeight="1" s="68">
      <c r="A563" s="114" t="n"/>
      <c r="B563" s="114" t="n"/>
      <c r="C563" s="114" t="n"/>
    </row>
    <row r="564" ht="15" customHeight="1" s="68">
      <c r="A564" s="114" t="n"/>
      <c r="B564" s="114" t="n"/>
      <c r="C564" s="114" t="n"/>
    </row>
    <row r="565" ht="15" customHeight="1" s="68">
      <c r="A565" s="114" t="n"/>
      <c r="B565" s="114" t="n"/>
      <c r="C565" s="114" t="n"/>
    </row>
    <row r="566" ht="15" customHeight="1" s="68">
      <c r="A566" s="114" t="n"/>
      <c r="B566" s="114" t="n"/>
      <c r="C566" s="114" t="n"/>
    </row>
    <row r="567" ht="15" customHeight="1" s="68">
      <c r="A567" s="114" t="n"/>
      <c r="B567" s="114" t="n"/>
      <c r="C567" s="114" t="n"/>
    </row>
    <row r="568" ht="15" customHeight="1" s="68">
      <c r="A568" s="114" t="n"/>
      <c r="B568" s="114" t="n"/>
      <c r="C568" s="114" t="n"/>
    </row>
    <row r="569" ht="15" customHeight="1" s="68">
      <c r="A569" s="114" t="n"/>
      <c r="B569" s="114" t="n"/>
      <c r="C569" s="114" t="n"/>
    </row>
    <row r="570" ht="15" customHeight="1" s="68">
      <c r="A570" s="114" t="n"/>
      <c r="B570" s="114" t="n"/>
      <c r="C570" s="114" t="n"/>
    </row>
    <row r="571" ht="15" customHeight="1" s="68">
      <c r="A571" s="114" t="n"/>
      <c r="B571" s="114" t="n"/>
      <c r="C571" s="114" t="n"/>
    </row>
    <row r="572" ht="15" customHeight="1" s="68">
      <c r="A572" s="114" t="n"/>
      <c r="B572" s="114" t="n"/>
      <c r="C572" s="114" t="n"/>
    </row>
    <row r="573" ht="15" customHeight="1" s="68">
      <c r="A573" s="114" t="n"/>
      <c r="B573" s="114" t="n"/>
      <c r="C573" s="114" t="n"/>
    </row>
    <row r="574" ht="15" customHeight="1" s="68">
      <c r="A574" s="114" t="n"/>
      <c r="B574" s="114" t="n"/>
      <c r="C574" s="114" t="n"/>
    </row>
    <row r="575" ht="15" customHeight="1" s="68">
      <c r="A575" s="114" t="n"/>
      <c r="B575" s="114" t="n"/>
      <c r="C575" s="114" t="n"/>
    </row>
    <row r="576" ht="15" customHeight="1" s="68">
      <c r="A576" s="114" t="n"/>
      <c r="B576" s="114" t="n"/>
      <c r="C576" s="114" t="n"/>
    </row>
    <row r="577" ht="15" customHeight="1" s="68">
      <c r="A577" s="114" t="n"/>
      <c r="B577" s="114" t="n"/>
      <c r="C577" s="114" t="n"/>
    </row>
    <row r="578" ht="15" customHeight="1" s="68">
      <c r="A578" s="114" t="n"/>
      <c r="B578" s="114" t="n"/>
      <c r="C578" s="114" t="n"/>
    </row>
    <row r="579" ht="15" customHeight="1" s="68">
      <c r="A579" s="114" t="n"/>
      <c r="B579" s="114" t="n"/>
      <c r="C579" s="114" t="n"/>
    </row>
    <row r="580" ht="15" customHeight="1" s="68">
      <c r="A580" s="114" t="n"/>
      <c r="B580" s="114" t="n"/>
      <c r="C580" s="114" t="n"/>
    </row>
    <row r="581" ht="15" customHeight="1" s="68">
      <c r="A581" s="114" t="n"/>
      <c r="B581" s="114" t="n"/>
      <c r="C581" s="114" t="n"/>
    </row>
    <row r="582" ht="15" customHeight="1" s="68">
      <c r="A582" s="114" t="n"/>
      <c r="B582" s="114" t="n"/>
      <c r="C582" s="114" t="n"/>
    </row>
    <row r="583" ht="15" customHeight="1" s="68">
      <c r="A583" s="114" t="n"/>
      <c r="B583" s="114" t="n"/>
      <c r="C583" s="114" t="n"/>
    </row>
    <row r="584" ht="15" customHeight="1" s="68">
      <c r="A584" s="114" t="n"/>
      <c r="B584" s="114" t="n"/>
      <c r="C584" s="114" t="n"/>
    </row>
    <row r="585" ht="15" customHeight="1" s="68">
      <c r="A585" s="114" t="n"/>
      <c r="B585" s="114" t="n"/>
      <c r="C585" s="114" t="n"/>
    </row>
    <row r="586" ht="15" customHeight="1" s="68">
      <c r="A586" s="114" t="n"/>
      <c r="B586" s="114" t="n"/>
      <c r="C586" s="114" t="n"/>
    </row>
    <row r="587" ht="15" customHeight="1" s="68">
      <c r="A587" s="114" t="n"/>
      <c r="B587" s="114" t="n"/>
      <c r="C587" s="114" t="n"/>
    </row>
    <row r="588" ht="15" customHeight="1" s="68">
      <c r="A588" s="114" t="n"/>
      <c r="B588" s="114" t="n"/>
      <c r="C588" s="114" t="n"/>
    </row>
    <row r="589" ht="15" customHeight="1" s="68">
      <c r="A589" s="114" t="n"/>
      <c r="B589" s="114" t="n"/>
      <c r="C589" s="114" t="n"/>
    </row>
    <row r="590" ht="15" customHeight="1" s="68">
      <c r="A590" s="114" t="n"/>
      <c r="B590" s="114" t="n"/>
      <c r="C590" s="114" t="n"/>
    </row>
    <row r="591" ht="15" customHeight="1" s="68">
      <c r="A591" s="114" t="n"/>
      <c r="B591" s="114" t="n"/>
      <c r="C591" s="114" t="n"/>
    </row>
    <row r="592" ht="15" customHeight="1" s="68">
      <c r="A592" s="114" t="n"/>
      <c r="B592" s="114" t="n"/>
      <c r="C592" s="114" t="n"/>
    </row>
    <row r="593" ht="15" customHeight="1" s="68">
      <c r="A593" s="114" t="n"/>
      <c r="B593" s="114" t="n"/>
      <c r="C593" s="114" t="n"/>
    </row>
    <row r="594" ht="15" customHeight="1" s="68">
      <c r="A594" s="114" t="n"/>
      <c r="B594" s="114" t="n"/>
      <c r="C594" s="114" t="n"/>
    </row>
    <row r="595" ht="15" customHeight="1" s="68">
      <c r="A595" s="114" t="n"/>
      <c r="B595" s="114" t="n"/>
      <c r="C595" s="114" t="n"/>
    </row>
    <row r="596" ht="15" customHeight="1" s="68">
      <c r="A596" s="114" t="n"/>
      <c r="B596" s="114" t="n"/>
      <c r="C596" s="114" t="n"/>
    </row>
    <row r="597" ht="15" customHeight="1" s="68">
      <c r="A597" s="114" t="n"/>
      <c r="B597" s="114" t="n"/>
      <c r="C597" s="114" t="n"/>
    </row>
    <row r="598" ht="15" customHeight="1" s="68">
      <c r="A598" s="114" t="n"/>
      <c r="B598" s="114" t="n"/>
      <c r="C598" s="114" t="n"/>
    </row>
    <row r="599" ht="15" customHeight="1" s="68">
      <c r="A599" s="114" t="n"/>
      <c r="B599" s="114" t="n"/>
      <c r="C599" s="114" t="n"/>
    </row>
    <row r="600" ht="15" customHeight="1" s="68">
      <c r="A600" s="114" t="n"/>
      <c r="B600" s="114" t="n"/>
      <c r="C600" s="114" t="n"/>
    </row>
    <row r="601" ht="15" customHeight="1" s="68">
      <c r="A601" s="114" t="n"/>
      <c r="B601" s="114" t="n"/>
      <c r="C601" s="114" t="n"/>
    </row>
    <row r="602" ht="15" customHeight="1" s="68">
      <c r="A602" s="114" t="n"/>
      <c r="B602" s="114" t="n"/>
      <c r="C602" s="114" t="n"/>
    </row>
    <row r="603" ht="15" customHeight="1" s="68">
      <c r="A603" s="114" t="n"/>
      <c r="B603" s="114" t="n"/>
      <c r="C603" s="114" t="n"/>
    </row>
    <row r="604" ht="15" customHeight="1" s="68">
      <c r="A604" s="114" t="n"/>
      <c r="B604" s="114" t="n"/>
      <c r="C604" s="114" t="n"/>
    </row>
    <row r="605" ht="15" customHeight="1" s="68">
      <c r="A605" s="114" t="n"/>
      <c r="B605" s="114" t="n"/>
      <c r="C605" s="114" t="n"/>
    </row>
    <row r="606" ht="15" customHeight="1" s="68">
      <c r="A606" s="114" t="n"/>
      <c r="B606" s="114" t="n"/>
      <c r="C606" s="114" t="n"/>
    </row>
    <row r="607" ht="15" customHeight="1" s="68">
      <c r="A607" s="114" t="n"/>
      <c r="B607" s="114" t="n"/>
      <c r="C607" s="114" t="n"/>
    </row>
    <row r="608" ht="15" customHeight="1" s="68">
      <c r="A608" s="114" t="n"/>
      <c r="B608" s="114" t="n"/>
      <c r="C608" s="114" t="n"/>
    </row>
    <row r="609" ht="15" customHeight="1" s="68">
      <c r="A609" s="114" t="n"/>
      <c r="B609" s="114" t="n"/>
      <c r="C609" s="114" t="n"/>
    </row>
    <row r="610" ht="15" customHeight="1" s="68">
      <c r="A610" s="114" t="n"/>
      <c r="B610" s="114" t="n"/>
      <c r="C610" s="114" t="n"/>
    </row>
    <row r="611" ht="15" customHeight="1" s="68">
      <c r="A611" s="114" t="n"/>
      <c r="B611" s="114" t="n"/>
      <c r="C611" s="114" t="n"/>
    </row>
    <row r="612" ht="15" customHeight="1" s="68">
      <c r="A612" s="114" t="n"/>
      <c r="B612" s="114" t="n"/>
      <c r="C612" s="114" t="n"/>
    </row>
    <row r="613" ht="15" customHeight="1" s="68">
      <c r="A613" s="114" t="n"/>
      <c r="B613" s="114" t="n"/>
      <c r="C613" s="114" t="n"/>
    </row>
    <row r="614" ht="15" customHeight="1" s="68">
      <c r="A614" s="114" t="n"/>
      <c r="B614" s="114" t="n"/>
      <c r="C614" s="114" t="n"/>
    </row>
    <row r="615" ht="15" customHeight="1" s="68">
      <c r="A615" s="114" t="n"/>
      <c r="B615" s="114" t="n"/>
      <c r="C615" s="114" t="n"/>
    </row>
    <row r="616" ht="15" customHeight="1" s="68">
      <c r="A616" s="114" t="n"/>
      <c r="B616" s="114" t="n"/>
      <c r="C616" s="114" t="n"/>
    </row>
    <row r="617" ht="15" customHeight="1" s="68">
      <c r="A617" s="114" t="n"/>
      <c r="B617" s="114" t="n"/>
      <c r="C617" s="114" t="n"/>
    </row>
    <row r="618" ht="15" customHeight="1" s="68">
      <c r="A618" s="114" t="n"/>
      <c r="B618" s="114" t="n"/>
      <c r="C618" s="114" t="n"/>
    </row>
    <row r="619" ht="15" customHeight="1" s="68">
      <c r="A619" s="114" t="n"/>
      <c r="B619" s="114" t="n"/>
      <c r="C619" s="114" t="n"/>
    </row>
    <row r="620" ht="15" customHeight="1" s="68">
      <c r="A620" s="114" t="n"/>
      <c r="B620" s="114" t="n"/>
      <c r="C620" s="114" t="n"/>
    </row>
    <row r="621" ht="15" customHeight="1" s="68">
      <c r="A621" s="114" t="n"/>
      <c r="B621" s="114" t="n"/>
      <c r="C621" s="114" t="n"/>
    </row>
    <row r="622" ht="15" customHeight="1" s="68">
      <c r="A622" s="114" t="n"/>
      <c r="B622" s="114" t="n"/>
      <c r="C622" s="114" t="n"/>
    </row>
    <row r="623" ht="15" customHeight="1" s="68">
      <c r="A623" s="114" t="n"/>
      <c r="B623" s="114" t="n"/>
      <c r="C623" s="114" t="n"/>
    </row>
    <row r="624" ht="15" customHeight="1" s="68">
      <c r="A624" s="114" t="n"/>
      <c r="B624" s="114" t="n"/>
      <c r="C624" s="114" t="n"/>
    </row>
    <row r="625" ht="15" customHeight="1" s="68">
      <c r="A625" s="114" t="n"/>
      <c r="B625" s="114" t="n"/>
      <c r="C625" s="114" t="n"/>
    </row>
    <row r="626" ht="15" customHeight="1" s="68">
      <c r="A626" s="114" t="n"/>
      <c r="B626" s="114" t="n"/>
      <c r="C626" s="114" t="n"/>
    </row>
    <row r="627" ht="15" customHeight="1" s="68">
      <c r="A627" s="114" t="n"/>
      <c r="B627" s="114" t="n"/>
      <c r="C627" s="114" t="n"/>
    </row>
    <row r="628" ht="15" customHeight="1" s="68">
      <c r="A628" s="114" t="n"/>
      <c r="B628" s="114" t="n"/>
      <c r="C628" s="114" t="n"/>
    </row>
    <row r="629" ht="15" customHeight="1" s="68">
      <c r="A629" s="114" t="n"/>
      <c r="B629" s="114" t="n"/>
      <c r="C629" s="114" t="n"/>
    </row>
    <row r="630" ht="15" customHeight="1" s="68">
      <c r="A630" s="114" t="n"/>
      <c r="B630" s="114" t="n"/>
      <c r="C630" s="114" t="n"/>
    </row>
    <row r="631" ht="15" customHeight="1" s="68">
      <c r="A631" s="114" t="n"/>
      <c r="B631" s="114" t="n"/>
      <c r="C631" s="114" t="n"/>
    </row>
    <row r="632" ht="15" customHeight="1" s="68">
      <c r="A632" s="114" t="n"/>
      <c r="B632" s="114" t="n"/>
      <c r="C632" s="114" t="n"/>
    </row>
    <row r="633" ht="15" customHeight="1" s="68">
      <c r="A633" s="114" t="n"/>
      <c r="B633" s="114" t="n"/>
      <c r="C633" s="114" t="n"/>
    </row>
    <row r="634" ht="15" customHeight="1" s="68">
      <c r="A634" s="114" t="n"/>
      <c r="B634" s="114" t="n"/>
      <c r="C634" s="114" t="n"/>
    </row>
    <row r="635" ht="15" customHeight="1" s="68">
      <c r="A635" s="114" t="n"/>
      <c r="B635" s="114" t="n"/>
      <c r="C635" s="114" t="n"/>
    </row>
    <row r="636" ht="15" customHeight="1" s="68">
      <c r="A636" s="114" t="n"/>
      <c r="B636" s="114" t="n"/>
      <c r="C636" s="114" t="n"/>
    </row>
    <row r="637" ht="15" customHeight="1" s="68">
      <c r="A637" s="114" t="n"/>
      <c r="B637" s="114" t="n"/>
      <c r="C637" s="114" t="n"/>
    </row>
    <row r="638" ht="15" customHeight="1" s="68">
      <c r="A638" s="114" t="n"/>
      <c r="B638" s="114" t="n"/>
      <c r="C638" s="114" t="n"/>
    </row>
    <row r="639" ht="15" customHeight="1" s="68">
      <c r="A639" s="114" t="n"/>
      <c r="B639" s="114" t="n"/>
      <c r="C639" s="114" t="n"/>
    </row>
    <row r="640" ht="15" customHeight="1" s="68">
      <c r="A640" s="114" t="n"/>
      <c r="B640" s="114" t="n"/>
      <c r="C640" s="114" t="n"/>
    </row>
    <row r="641" ht="15" customHeight="1" s="68">
      <c r="A641" s="114" t="n"/>
      <c r="B641" s="114" t="n"/>
      <c r="C641" s="114" t="n"/>
    </row>
    <row r="642" ht="15" customHeight="1" s="68">
      <c r="A642" s="114" t="n"/>
      <c r="B642" s="114" t="n"/>
      <c r="C642" s="114" t="n"/>
    </row>
    <row r="643" ht="15" customHeight="1" s="68">
      <c r="A643" s="114" t="n"/>
      <c r="B643" s="114" t="n"/>
      <c r="C643" s="114" t="n"/>
    </row>
    <row r="644" ht="15" customHeight="1" s="68">
      <c r="A644" s="114" t="n"/>
      <c r="B644" s="114" t="n"/>
      <c r="C644" s="114" t="n"/>
    </row>
    <row r="645" ht="15" customHeight="1" s="68">
      <c r="A645" s="114" t="n"/>
      <c r="B645" s="114" t="n"/>
      <c r="C645" s="114" t="n"/>
    </row>
    <row r="646" ht="15" customHeight="1" s="68">
      <c r="A646" s="114" t="n"/>
      <c r="B646" s="114" t="n"/>
      <c r="C646" s="114" t="n"/>
    </row>
    <row r="647" ht="15" customHeight="1" s="68">
      <c r="A647" s="114" t="n"/>
      <c r="B647" s="114" t="n"/>
      <c r="C647" s="114" t="n"/>
    </row>
    <row r="648" ht="15" customHeight="1" s="68">
      <c r="A648" s="114" t="n"/>
      <c r="B648" s="114" t="n"/>
      <c r="C648" s="114" t="n"/>
    </row>
    <row r="649" ht="15" customHeight="1" s="68">
      <c r="A649" s="114" t="n"/>
      <c r="B649" s="114" t="n"/>
      <c r="C649" s="114" t="n"/>
    </row>
    <row r="650" ht="15" customHeight="1" s="68">
      <c r="A650" s="114" t="n"/>
      <c r="B650" s="114" t="n"/>
      <c r="C650" s="114" t="n"/>
    </row>
    <row r="651" ht="15" customHeight="1" s="68">
      <c r="A651" s="114" t="n"/>
      <c r="B651" s="114" t="n"/>
      <c r="C651" s="114" t="n"/>
    </row>
    <row r="652" ht="15" customHeight="1" s="68">
      <c r="A652" s="114" t="n"/>
      <c r="B652" s="114" t="n"/>
      <c r="C652" s="114" t="n"/>
    </row>
    <row r="653" ht="15" customHeight="1" s="68">
      <c r="A653" s="114" t="n"/>
      <c r="B653" s="114" t="n"/>
      <c r="C653" s="114" t="n"/>
    </row>
    <row r="654" ht="15" customHeight="1" s="68">
      <c r="A654" s="114" t="n"/>
      <c r="B654" s="114" t="n"/>
      <c r="C654" s="114" t="n"/>
    </row>
    <row r="655" ht="15" customHeight="1" s="68">
      <c r="A655" s="114" t="n"/>
      <c r="B655" s="114" t="n"/>
      <c r="C655" s="114" t="n"/>
    </row>
    <row r="656" ht="15" customHeight="1" s="68">
      <c r="A656" s="114" t="n"/>
      <c r="B656" s="114" t="n"/>
      <c r="C656" s="114" t="n"/>
    </row>
    <row r="657" ht="15" customHeight="1" s="68">
      <c r="A657" s="114" t="n"/>
      <c r="B657" s="114" t="n"/>
      <c r="C657" s="114" t="n"/>
    </row>
    <row r="658" ht="15" customHeight="1" s="68">
      <c r="A658" s="114" t="n"/>
      <c r="B658" s="114" t="n"/>
      <c r="C658" s="114" t="n"/>
    </row>
    <row r="659" ht="15" customHeight="1" s="68">
      <c r="A659" s="114" t="n"/>
      <c r="B659" s="114" t="n"/>
      <c r="C659" s="114" t="n"/>
    </row>
    <row r="660" ht="15" customHeight="1" s="68">
      <c r="A660" s="114" t="n"/>
      <c r="B660" s="114" t="n"/>
      <c r="C660" s="114" t="n"/>
    </row>
    <row r="661" ht="15" customHeight="1" s="68">
      <c r="A661" s="114" t="n"/>
      <c r="B661" s="114" t="n"/>
      <c r="C661" s="114" t="n"/>
    </row>
    <row r="662" ht="15" customHeight="1" s="68">
      <c r="A662" s="114" t="n"/>
      <c r="B662" s="114" t="n"/>
      <c r="C662" s="114" t="n"/>
    </row>
    <row r="663" ht="15" customHeight="1" s="68">
      <c r="A663" s="114" t="n"/>
      <c r="B663" s="114" t="n"/>
      <c r="C663" s="114" t="n"/>
    </row>
    <row r="664" ht="15" customHeight="1" s="68">
      <c r="A664" s="114" t="n"/>
      <c r="B664" s="114" t="n"/>
      <c r="C664" s="114" t="n"/>
    </row>
    <row r="665" ht="15" customHeight="1" s="68">
      <c r="A665" s="114" t="n"/>
      <c r="B665" s="114" t="n"/>
      <c r="C665" s="114" t="n"/>
    </row>
    <row r="666" ht="15" customHeight="1" s="68">
      <c r="A666" s="114" t="n"/>
      <c r="B666" s="114" t="n"/>
      <c r="C666" s="114" t="n"/>
    </row>
    <row r="667" ht="15" customHeight="1" s="68">
      <c r="A667" s="114" t="n"/>
      <c r="B667" s="114" t="n"/>
      <c r="C667" s="114" t="n"/>
    </row>
    <row r="668" ht="15" customHeight="1" s="68">
      <c r="A668" s="114" t="n"/>
      <c r="B668" s="114" t="n"/>
      <c r="C668" s="114" t="n"/>
    </row>
    <row r="669" ht="15" customHeight="1" s="68">
      <c r="A669" s="114" t="n"/>
      <c r="B669" s="114" t="n"/>
      <c r="C669" s="114" t="n"/>
    </row>
    <row r="670" ht="15" customHeight="1" s="68">
      <c r="A670" s="114" t="n"/>
      <c r="B670" s="114" t="n"/>
      <c r="C670" s="114" t="n"/>
    </row>
    <row r="671" ht="15" customHeight="1" s="68">
      <c r="A671" s="114" t="n"/>
      <c r="B671" s="114" t="n"/>
      <c r="C671" s="114" t="n"/>
    </row>
    <row r="672" ht="15" customHeight="1" s="68">
      <c r="A672" s="114" t="n"/>
      <c r="B672" s="114" t="n"/>
      <c r="C672" s="114" t="n"/>
    </row>
    <row r="673" ht="15" customHeight="1" s="68">
      <c r="A673" s="114" t="n"/>
      <c r="B673" s="114" t="n"/>
      <c r="C673" s="114" t="n"/>
    </row>
    <row r="674" ht="15" customHeight="1" s="68">
      <c r="A674" s="114" t="n"/>
      <c r="B674" s="114" t="n"/>
      <c r="C674" s="114" t="n"/>
    </row>
    <row r="675" ht="15" customHeight="1" s="68">
      <c r="A675" s="114" t="n"/>
      <c r="B675" s="114" t="n"/>
      <c r="C675" s="114" t="n"/>
    </row>
    <row r="676" ht="15" customHeight="1" s="68">
      <c r="A676" s="114" t="n"/>
      <c r="B676" s="114" t="n"/>
      <c r="C676" s="114" t="n"/>
    </row>
    <row r="677" ht="15" customHeight="1" s="68">
      <c r="A677" s="114" t="n"/>
      <c r="B677" s="114" t="n"/>
      <c r="C677" s="114" t="n"/>
    </row>
    <row r="678" ht="15" customHeight="1" s="68">
      <c r="A678" s="114" t="n"/>
      <c r="B678" s="114" t="n"/>
      <c r="C678" s="114" t="n"/>
    </row>
    <row r="679" ht="15" customHeight="1" s="68">
      <c r="A679" s="114" t="n"/>
      <c r="B679" s="114" t="n"/>
      <c r="C679" s="114" t="n"/>
    </row>
    <row r="680" ht="15" customHeight="1" s="68">
      <c r="A680" s="114" t="n"/>
      <c r="B680" s="114" t="n"/>
      <c r="C680" s="114" t="n"/>
    </row>
    <row r="681" ht="15" customHeight="1" s="68">
      <c r="A681" s="114" t="n"/>
      <c r="B681" s="114" t="n"/>
      <c r="C681" s="114" t="n"/>
    </row>
    <row r="682" ht="15" customHeight="1" s="68">
      <c r="A682" s="114" t="n"/>
      <c r="B682" s="114" t="n"/>
      <c r="C682" s="114" t="n"/>
    </row>
    <row r="683" ht="15" customHeight="1" s="68">
      <c r="A683" s="114" t="n"/>
      <c r="B683" s="114" t="n"/>
      <c r="C683" s="114" t="n"/>
    </row>
    <row r="684" ht="15" customHeight="1" s="68">
      <c r="A684" s="114" t="n"/>
      <c r="B684" s="114" t="n"/>
      <c r="C684" s="114" t="n"/>
    </row>
    <row r="685" ht="15" customHeight="1" s="68">
      <c r="A685" s="114" t="n"/>
      <c r="B685" s="114" t="n"/>
      <c r="C685" s="114" t="n"/>
    </row>
    <row r="686" ht="15" customHeight="1" s="68">
      <c r="A686" s="114" t="n"/>
      <c r="B686" s="114" t="n"/>
      <c r="C686" s="114" t="n"/>
    </row>
    <row r="687" ht="15" customHeight="1" s="68">
      <c r="A687" s="114" t="n"/>
      <c r="B687" s="114" t="n"/>
      <c r="C687" s="114" t="n"/>
    </row>
    <row r="688" ht="15" customHeight="1" s="68">
      <c r="A688" s="114" t="n"/>
      <c r="B688" s="114" t="n"/>
      <c r="C688" s="114" t="n"/>
    </row>
    <row r="689" ht="15" customHeight="1" s="68">
      <c r="A689" s="114" t="n"/>
      <c r="B689" s="114" t="n"/>
      <c r="C689" s="114" t="n"/>
    </row>
    <row r="690" ht="15" customHeight="1" s="68">
      <c r="A690" s="114" t="n"/>
      <c r="B690" s="114" t="n"/>
      <c r="C690" s="114" t="n"/>
    </row>
    <row r="691" ht="15" customHeight="1" s="68">
      <c r="A691" s="114" t="n"/>
      <c r="B691" s="114" t="n"/>
      <c r="C691" s="114" t="n"/>
    </row>
    <row r="692" ht="15" customHeight="1" s="68">
      <c r="A692" s="114" t="n"/>
      <c r="B692" s="114" t="n"/>
      <c r="C692" s="114" t="n"/>
    </row>
    <row r="693" ht="15" customHeight="1" s="68">
      <c r="A693" s="114" t="n"/>
      <c r="B693" s="114" t="n"/>
      <c r="C693" s="114" t="n"/>
    </row>
    <row r="694" ht="15" customHeight="1" s="68">
      <c r="A694" s="114" t="n"/>
      <c r="B694" s="114" t="n"/>
      <c r="C694" s="114" t="n"/>
    </row>
    <row r="695" ht="15" customHeight="1" s="68">
      <c r="A695" s="114" t="n"/>
      <c r="B695" s="114" t="n"/>
      <c r="C695" s="114" t="n"/>
    </row>
    <row r="696" ht="15" customHeight="1" s="68">
      <c r="A696" s="114" t="n"/>
      <c r="B696" s="114" t="n"/>
      <c r="C696" s="114" t="n"/>
    </row>
    <row r="697" ht="15" customHeight="1" s="68">
      <c r="A697" s="114" t="n"/>
      <c r="B697" s="114" t="n"/>
      <c r="C697" s="114" t="n"/>
    </row>
    <row r="698" ht="15" customHeight="1" s="68">
      <c r="A698" s="114" t="n"/>
      <c r="B698" s="114" t="n"/>
      <c r="C698" s="114" t="n"/>
    </row>
    <row r="699" ht="15" customHeight="1" s="68">
      <c r="A699" s="114" t="n"/>
      <c r="B699" s="114" t="n"/>
      <c r="C699" s="114" t="n"/>
    </row>
    <row r="700" ht="15" customHeight="1" s="68">
      <c r="A700" s="114" t="n"/>
      <c r="B700" s="114" t="n"/>
      <c r="C700" s="114" t="n"/>
    </row>
    <row r="701" ht="15" customHeight="1" s="68">
      <c r="A701" s="114" t="n"/>
      <c r="B701" s="114" t="n"/>
      <c r="C701" s="114" t="n"/>
    </row>
    <row r="702" ht="15" customHeight="1" s="68">
      <c r="A702" s="114" t="n"/>
      <c r="B702" s="114" t="n"/>
      <c r="C702" s="114" t="n"/>
    </row>
    <row r="703" ht="15" customHeight="1" s="68">
      <c r="A703" s="114" t="n"/>
      <c r="B703" s="114" t="n"/>
      <c r="C703" s="114" t="n"/>
    </row>
    <row r="704" ht="15" customHeight="1" s="68">
      <c r="A704" s="114" t="n"/>
      <c r="B704" s="114" t="n"/>
      <c r="C704" s="114" t="n"/>
    </row>
    <row r="705" ht="15" customHeight="1" s="68">
      <c r="A705" s="114" t="n"/>
      <c r="B705" s="114" t="n"/>
      <c r="C705" s="114" t="n"/>
    </row>
    <row r="706" ht="15" customHeight="1" s="68">
      <c r="A706" s="114" t="n"/>
      <c r="B706" s="114" t="n"/>
      <c r="C706" s="114" t="n"/>
    </row>
    <row r="707" ht="15" customHeight="1" s="68">
      <c r="A707" s="114" t="n"/>
      <c r="B707" s="114" t="n"/>
      <c r="C707" s="114" t="n"/>
    </row>
    <row r="708" ht="15" customHeight="1" s="68">
      <c r="A708" s="114" t="n"/>
      <c r="B708" s="114" t="n"/>
      <c r="C708" s="114" t="n"/>
    </row>
    <row r="709" ht="15" customHeight="1" s="68">
      <c r="A709" s="114" t="n"/>
      <c r="B709" s="114" t="n"/>
      <c r="C709" s="114" t="n"/>
    </row>
    <row r="710" ht="15" customHeight="1" s="68">
      <c r="A710" s="114" t="n"/>
      <c r="B710" s="114" t="n"/>
      <c r="C710" s="114" t="n"/>
    </row>
    <row r="711" ht="15" customHeight="1" s="68">
      <c r="A711" s="114" t="n"/>
      <c r="B711" s="114" t="n"/>
      <c r="C711" s="114" t="n"/>
    </row>
    <row r="712" ht="15" customHeight="1" s="68">
      <c r="A712" s="114" t="n"/>
      <c r="B712" s="114" t="n"/>
      <c r="C712" s="114" t="n"/>
    </row>
    <row r="713" ht="15" customHeight="1" s="68">
      <c r="A713" s="114" t="n"/>
      <c r="B713" s="114" t="n"/>
      <c r="C713" s="114" t="n"/>
    </row>
    <row r="714" ht="15" customHeight="1" s="68">
      <c r="A714" s="114" t="n"/>
      <c r="B714" s="114" t="n"/>
      <c r="C714" s="114" t="n"/>
    </row>
    <row r="715" ht="15" customHeight="1" s="68">
      <c r="A715" s="114" t="n"/>
      <c r="B715" s="114" t="n"/>
      <c r="C715" s="114" t="n"/>
    </row>
    <row r="716" ht="15" customHeight="1" s="68">
      <c r="A716" s="114" t="n"/>
      <c r="B716" s="114" t="n"/>
      <c r="C716" s="114" t="n"/>
    </row>
    <row r="717" ht="15" customHeight="1" s="68">
      <c r="A717" s="114" t="n"/>
      <c r="B717" s="114" t="n"/>
      <c r="C717" s="114" t="n"/>
    </row>
    <row r="718" ht="15" customHeight="1" s="68">
      <c r="A718" s="114" t="n"/>
      <c r="B718" s="114" t="n"/>
      <c r="C718" s="114" t="n"/>
    </row>
    <row r="719" ht="15" customHeight="1" s="68">
      <c r="A719" s="114" t="n"/>
      <c r="B719" s="114" t="n"/>
      <c r="C719" s="114" t="n"/>
    </row>
    <row r="720" ht="15" customHeight="1" s="68">
      <c r="A720" s="114" t="n"/>
      <c r="B720" s="114" t="n"/>
      <c r="C720" s="114" t="n"/>
    </row>
    <row r="721" ht="15" customHeight="1" s="68">
      <c r="A721" s="114" t="n"/>
      <c r="B721" s="114" t="n"/>
      <c r="C721" s="114" t="n"/>
    </row>
    <row r="722" ht="15" customHeight="1" s="68">
      <c r="A722" s="114" t="n"/>
      <c r="B722" s="114" t="n"/>
      <c r="C722" s="114" t="n"/>
    </row>
    <row r="723" ht="15" customHeight="1" s="68">
      <c r="A723" s="114" t="n"/>
      <c r="B723" s="114" t="n"/>
      <c r="C723" s="114" t="n"/>
    </row>
    <row r="724" ht="15" customHeight="1" s="68">
      <c r="A724" s="114" t="n"/>
      <c r="B724" s="114" t="n"/>
      <c r="C724" s="114" t="n"/>
    </row>
    <row r="725" ht="15" customHeight="1" s="68">
      <c r="A725" s="114" t="n"/>
      <c r="B725" s="114" t="n"/>
      <c r="C725" s="114" t="n"/>
    </row>
    <row r="726" ht="15" customHeight="1" s="68">
      <c r="A726" s="114" t="n"/>
      <c r="B726" s="114" t="n"/>
      <c r="C726" s="114" t="n"/>
    </row>
    <row r="727" ht="15" customHeight="1" s="68">
      <c r="A727" s="114" t="n"/>
      <c r="B727" s="114" t="n"/>
      <c r="C727" s="114" t="n"/>
    </row>
    <row r="728" ht="15" customHeight="1" s="68">
      <c r="A728" s="114" t="n"/>
      <c r="B728" s="114" t="n"/>
      <c r="C728" s="114" t="n"/>
    </row>
    <row r="729" ht="15" customHeight="1" s="68">
      <c r="A729" s="114" t="n"/>
      <c r="B729" s="114" t="n"/>
      <c r="C729" s="114" t="n"/>
    </row>
    <row r="730" ht="15" customHeight="1" s="68">
      <c r="A730" s="114" t="n"/>
      <c r="B730" s="114" t="n"/>
      <c r="C730" s="114" t="n"/>
    </row>
    <row r="731" ht="15" customHeight="1" s="68">
      <c r="A731" s="114" t="n"/>
      <c r="B731" s="114" t="n"/>
      <c r="C731" s="114" t="n"/>
    </row>
    <row r="732" ht="15" customHeight="1" s="68">
      <c r="A732" s="114" t="n"/>
      <c r="B732" s="114" t="n"/>
      <c r="C732" s="114" t="n"/>
    </row>
    <row r="733" ht="15" customHeight="1" s="68">
      <c r="A733" s="114" t="n"/>
      <c r="B733" s="114" t="n"/>
      <c r="C733" s="114" t="n"/>
    </row>
    <row r="734" ht="15" customHeight="1" s="68">
      <c r="A734" s="114" t="n"/>
      <c r="B734" s="114" t="n"/>
      <c r="C734" s="114" t="n"/>
    </row>
    <row r="735" ht="15" customHeight="1" s="68">
      <c r="A735" s="114" t="n"/>
      <c r="B735" s="114" t="n"/>
      <c r="C735" s="114" t="n"/>
    </row>
    <row r="736" ht="15" customHeight="1" s="68">
      <c r="A736" s="114" t="n"/>
      <c r="B736" s="114" t="n"/>
      <c r="C736" s="114" t="n"/>
    </row>
    <row r="737" ht="15" customHeight="1" s="68">
      <c r="A737" s="114" t="n"/>
      <c r="B737" s="114" t="n"/>
      <c r="C737" s="114" t="n"/>
    </row>
    <row r="738" ht="15" customHeight="1" s="68">
      <c r="A738" s="114" t="n"/>
      <c r="B738" s="114" t="n"/>
      <c r="C738" s="114" t="n"/>
    </row>
    <row r="739" ht="15" customHeight="1" s="68">
      <c r="A739" s="114" t="n"/>
      <c r="B739" s="114" t="n"/>
      <c r="C739" s="114" t="n"/>
    </row>
    <row r="740" ht="15" customHeight="1" s="68">
      <c r="A740" s="114" t="n"/>
      <c r="B740" s="114" t="n"/>
      <c r="C740" s="114" t="n"/>
    </row>
    <row r="741" ht="15" customHeight="1" s="68">
      <c r="A741" s="114" t="n"/>
      <c r="B741" s="114" t="n"/>
      <c r="C741" s="114" t="n"/>
    </row>
    <row r="742" ht="15" customHeight="1" s="68">
      <c r="A742" s="114" t="n"/>
      <c r="B742" s="114" t="n"/>
      <c r="C742" s="114" t="n"/>
    </row>
    <row r="743" ht="15" customHeight="1" s="68">
      <c r="A743" s="114" t="n"/>
      <c r="B743" s="114" t="n"/>
      <c r="C743" s="114" t="n"/>
    </row>
    <row r="744" ht="15" customHeight="1" s="68">
      <c r="A744" s="114" t="n"/>
      <c r="B744" s="114" t="n"/>
      <c r="C744" s="114" t="n"/>
    </row>
    <row r="745" ht="15" customHeight="1" s="68">
      <c r="A745" s="114" t="n"/>
      <c r="B745" s="114" t="n"/>
      <c r="C745" s="114" t="n"/>
    </row>
    <row r="746" ht="15" customHeight="1" s="68">
      <c r="A746" s="114" t="n"/>
      <c r="B746" s="114" t="n"/>
      <c r="C746" s="114" t="n"/>
    </row>
    <row r="747" ht="15" customHeight="1" s="68">
      <c r="A747" s="114" t="n"/>
      <c r="B747" s="114" t="n"/>
      <c r="C747" s="114" t="n"/>
    </row>
    <row r="748" ht="15" customHeight="1" s="68">
      <c r="A748" s="114" t="n"/>
      <c r="B748" s="114" t="n"/>
      <c r="C748" s="114" t="n"/>
    </row>
    <row r="749" ht="15" customHeight="1" s="68">
      <c r="A749" s="114" t="n"/>
      <c r="B749" s="114" t="n"/>
      <c r="C749" s="114" t="n"/>
    </row>
    <row r="750" ht="15" customHeight="1" s="68">
      <c r="A750" s="114" t="n"/>
      <c r="B750" s="114" t="n"/>
      <c r="C750" s="114" t="n"/>
    </row>
    <row r="751" ht="15" customHeight="1" s="68">
      <c r="A751" s="114" t="n"/>
      <c r="B751" s="114" t="n"/>
      <c r="C751" s="114" t="n"/>
    </row>
    <row r="752" ht="15" customHeight="1" s="68">
      <c r="A752" s="114" t="n"/>
      <c r="B752" s="114" t="n"/>
      <c r="C752" s="114" t="n"/>
    </row>
    <row r="753" ht="15" customHeight="1" s="68">
      <c r="A753" s="114" t="n"/>
      <c r="B753" s="114" t="n"/>
      <c r="C753" s="114" t="n"/>
    </row>
    <row r="754" ht="15" customHeight="1" s="68">
      <c r="A754" s="114" t="n"/>
      <c r="B754" s="114" t="n"/>
      <c r="C754" s="114" t="n"/>
    </row>
    <row r="755" ht="15" customHeight="1" s="68">
      <c r="A755" s="114" t="n"/>
      <c r="B755" s="114" t="n"/>
      <c r="C755" s="114" t="n"/>
    </row>
    <row r="756" ht="15" customHeight="1" s="68">
      <c r="A756" s="114" t="n"/>
      <c r="B756" s="114" t="n"/>
      <c r="C756" s="114" t="n"/>
    </row>
    <row r="757" ht="15" customHeight="1" s="68">
      <c r="A757" s="114" t="n"/>
      <c r="B757" s="114" t="n"/>
      <c r="C757" s="114" t="n"/>
    </row>
    <row r="758" ht="15" customHeight="1" s="68">
      <c r="A758" s="114" t="n"/>
      <c r="B758" s="114" t="n"/>
      <c r="C758" s="114" t="n"/>
    </row>
    <row r="759" ht="15" customHeight="1" s="68">
      <c r="A759" s="114" t="n"/>
      <c r="B759" s="114" t="n"/>
      <c r="C759" s="114" t="n"/>
    </row>
    <row r="760" ht="15" customHeight="1" s="68">
      <c r="A760" s="114" t="n"/>
      <c r="B760" s="114" t="n"/>
      <c r="C760" s="114" t="n"/>
    </row>
    <row r="761" ht="15" customHeight="1" s="68">
      <c r="A761" s="114" t="n"/>
      <c r="B761" s="114" t="n"/>
      <c r="C761" s="114" t="n"/>
    </row>
    <row r="762" ht="15" customHeight="1" s="68">
      <c r="A762" s="114" t="n"/>
      <c r="B762" s="114" t="n"/>
      <c r="C762" s="114" t="n"/>
    </row>
    <row r="763" ht="15" customHeight="1" s="68">
      <c r="A763" s="114" t="n"/>
      <c r="B763" s="114" t="n"/>
      <c r="C763" s="114" t="n"/>
    </row>
    <row r="764" ht="15" customHeight="1" s="68">
      <c r="A764" s="114" t="n"/>
      <c r="B764" s="114" t="n"/>
      <c r="C764" s="114" t="n"/>
    </row>
    <row r="765" ht="15" customHeight="1" s="68">
      <c r="A765" s="114" t="n"/>
      <c r="B765" s="114" t="n"/>
      <c r="C765" s="114" t="n"/>
    </row>
    <row r="766" ht="15" customHeight="1" s="68">
      <c r="A766" s="114" t="n"/>
      <c r="B766" s="114" t="n"/>
      <c r="C766" s="114" t="n"/>
    </row>
    <row r="767" ht="15" customHeight="1" s="68">
      <c r="A767" s="114" t="n"/>
      <c r="B767" s="114" t="n"/>
      <c r="C767" s="114" t="n"/>
    </row>
    <row r="768" ht="15" customHeight="1" s="68">
      <c r="A768" s="114" t="n"/>
      <c r="B768" s="114" t="n"/>
      <c r="C768" s="114" t="n"/>
    </row>
    <row r="769" ht="15" customHeight="1" s="68">
      <c r="A769" s="114" t="n"/>
      <c r="B769" s="114" t="n"/>
      <c r="C769" s="114" t="n"/>
    </row>
    <row r="770" ht="15" customHeight="1" s="68">
      <c r="A770" s="114" t="n"/>
      <c r="B770" s="114" t="n"/>
      <c r="C770" s="114" t="n"/>
    </row>
    <row r="771" ht="15" customHeight="1" s="68">
      <c r="A771" s="114" t="n"/>
      <c r="B771" s="114" t="n"/>
      <c r="C771" s="114" t="n"/>
    </row>
    <row r="772" ht="15" customHeight="1" s="68">
      <c r="A772" s="114" t="n"/>
      <c r="B772" s="114" t="n"/>
      <c r="C772" s="114" t="n"/>
    </row>
    <row r="773" ht="15" customHeight="1" s="68">
      <c r="A773" s="114" t="n"/>
      <c r="B773" s="114" t="n"/>
      <c r="C773" s="114" t="n"/>
    </row>
    <row r="774" ht="15" customHeight="1" s="68">
      <c r="A774" s="114" t="n"/>
      <c r="B774" s="114" t="n"/>
      <c r="C774" s="114" t="n"/>
    </row>
    <row r="775" ht="15" customHeight="1" s="68">
      <c r="A775" s="114" t="n"/>
      <c r="B775" s="114" t="n"/>
      <c r="C775" s="114" t="n"/>
    </row>
    <row r="776" ht="15" customHeight="1" s="68">
      <c r="A776" s="114" t="n"/>
      <c r="B776" s="114" t="n"/>
      <c r="C776" s="114" t="n"/>
    </row>
    <row r="777" ht="15" customHeight="1" s="68">
      <c r="A777" s="114" t="n"/>
      <c r="B777" s="114" t="n"/>
      <c r="C777" s="114" t="n"/>
    </row>
    <row r="778" ht="15" customHeight="1" s="68">
      <c r="A778" s="114" t="n"/>
      <c r="B778" s="114" t="n"/>
      <c r="C778" s="114" t="n"/>
    </row>
    <row r="779" ht="15" customHeight="1" s="68">
      <c r="A779" s="114" t="n"/>
      <c r="B779" s="114" t="n"/>
      <c r="C779" s="114" t="n"/>
    </row>
    <row r="780" ht="15" customHeight="1" s="68">
      <c r="A780" s="114" t="n"/>
      <c r="B780" s="114" t="n"/>
      <c r="C780" s="114" t="n"/>
    </row>
    <row r="781" ht="15" customHeight="1" s="68">
      <c r="A781" s="114" t="n"/>
      <c r="B781" s="114" t="n"/>
      <c r="C781" s="114" t="n"/>
    </row>
    <row r="782" ht="15" customHeight="1" s="68">
      <c r="A782" s="114" t="n"/>
      <c r="B782" s="114" t="n"/>
      <c r="C782" s="114" t="n"/>
    </row>
    <row r="783" ht="15" customHeight="1" s="68">
      <c r="A783" s="114" t="n"/>
      <c r="B783" s="114" t="n"/>
      <c r="C783" s="114" t="n"/>
    </row>
    <row r="784" ht="15" customHeight="1" s="68">
      <c r="A784" s="114" t="n"/>
      <c r="B784" s="114" t="n"/>
      <c r="C784" s="114" t="n"/>
    </row>
    <row r="785" ht="15" customHeight="1" s="68">
      <c r="A785" s="114" t="n"/>
      <c r="B785" s="114" t="n"/>
      <c r="C785" s="114" t="n"/>
    </row>
    <row r="786" ht="15" customHeight="1" s="68">
      <c r="A786" s="114" t="n"/>
      <c r="B786" s="114" t="n"/>
      <c r="C786" s="114" t="n"/>
    </row>
    <row r="787" ht="15" customHeight="1" s="68">
      <c r="A787" s="114" t="n"/>
      <c r="B787" s="114" t="n"/>
      <c r="C787" s="114" t="n"/>
    </row>
    <row r="788" ht="15" customHeight="1" s="68">
      <c r="A788" s="114" t="n"/>
      <c r="B788" s="114" t="n"/>
      <c r="C788" s="114" t="n"/>
    </row>
    <row r="789" ht="15" customHeight="1" s="68">
      <c r="A789" s="114" t="n"/>
      <c r="B789" s="114" t="n"/>
      <c r="C789" s="114" t="n"/>
    </row>
    <row r="790" ht="15" customHeight="1" s="68">
      <c r="A790" s="114" t="n"/>
      <c r="B790" s="114" t="n"/>
      <c r="C790" s="114" t="n"/>
    </row>
    <row r="791" ht="15" customHeight="1" s="68">
      <c r="A791" s="114" t="n"/>
      <c r="B791" s="114" t="n"/>
      <c r="C791" s="114" t="n"/>
    </row>
    <row r="792" ht="15" customHeight="1" s="68">
      <c r="A792" s="114" t="n"/>
      <c r="B792" s="114" t="n"/>
      <c r="C792" s="114" t="n"/>
    </row>
    <row r="793" ht="15" customHeight="1" s="68">
      <c r="A793" s="114" t="n"/>
      <c r="B793" s="114" t="n"/>
      <c r="C793" s="114" t="n"/>
    </row>
    <row r="794" ht="15" customHeight="1" s="68">
      <c r="A794" s="114" t="n"/>
      <c r="B794" s="114" t="n"/>
      <c r="C794" s="114" t="n"/>
    </row>
    <row r="795" ht="15" customHeight="1" s="68">
      <c r="A795" s="114" t="n"/>
      <c r="B795" s="114" t="n"/>
      <c r="C795" s="114" t="n"/>
    </row>
    <row r="796" ht="15" customHeight="1" s="68">
      <c r="A796" s="114" t="n"/>
      <c r="B796" s="114" t="n"/>
      <c r="C796" s="114" t="n"/>
    </row>
    <row r="797" ht="15" customHeight="1" s="68">
      <c r="A797" s="114" t="n"/>
      <c r="B797" s="114" t="n"/>
      <c r="C797" s="114" t="n"/>
    </row>
    <row r="798" ht="15" customHeight="1" s="68">
      <c r="A798" s="114" t="n"/>
      <c r="B798" s="114" t="n"/>
      <c r="C798" s="114" t="n"/>
    </row>
    <row r="799" ht="15" customHeight="1" s="68">
      <c r="A799" s="114" t="n"/>
      <c r="B799" s="114" t="n"/>
      <c r="C799" s="114" t="n"/>
    </row>
    <row r="800" ht="15" customHeight="1" s="68">
      <c r="A800" s="114" t="n"/>
      <c r="B800" s="114" t="n"/>
      <c r="C800" s="114" t="n"/>
    </row>
    <row r="801" ht="15" customHeight="1" s="68">
      <c r="A801" s="114" t="n"/>
      <c r="B801" s="114" t="n"/>
      <c r="C801" s="114" t="n"/>
    </row>
    <row r="802" ht="15" customHeight="1" s="68">
      <c r="A802" s="114" t="n"/>
      <c r="B802" s="114" t="n"/>
      <c r="C802" s="114" t="n"/>
    </row>
    <row r="803" ht="15" customHeight="1" s="68">
      <c r="A803" s="114" t="n"/>
      <c r="B803" s="114" t="n"/>
      <c r="C803" s="114" t="n"/>
    </row>
    <row r="804" ht="15" customHeight="1" s="68">
      <c r="A804" s="114" t="n"/>
      <c r="B804" s="114" t="n"/>
      <c r="C804" s="114" t="n"/>
    </row>
    <row r="805" ht="15" customHeight="1" s="68">
      <c r="A805" s="114" t="n"/>
      <c r="B805" s="114" t="n"/>
      <c r="C805" s="114" t="n"/>
    </row>
    <row r="806" ht="15" customHeight="1" s="68">
      <c r="A806" s="114" t="n"/>
      <c r="B806" s="114" t="n"/>
      <c r="C806" s="114" t="n"/>
    </row>
    <row r="807" ht="15" customHeight="1" s="68">
      <c r="A807" s="114" t="n"/>
      <c r="B807" s="114" t="n"/>
      <c r="C807" s="114" t="n"/>
    </row>
    <row r="808" ht="15" customHeight="1" s="68">
      <c r="A808" s="114" t="n"/>
      <c r="B808" s="114" t="n"/>
      <c r="C808" s="114" t="n"/>
    </row>
    <row r="809" ht="15" customHeight="1" s="68">
      <c r="A809" s="114" t="n"/>
      <c r="B809" s="114" t="n"/>
      <c r="C809" s="114" t="n"/>
    </row>
    <row r="810" ht="15" customHeight="1" s="68">
      <c r="A810" s="114" t="n"/>
      <c r="B810" s="114" t="n"/>
      <c r="C810" s="114" t="n"/>
    </row>
    <row r="811" ht="15" customHeight="1" s="68">
      <c r="A811" s="114" t="n"/>
      <c r="B811" s="114" t="n"/>
      <c r="C811" s="114" t="n"/>
    </row>
    <row r="812" ht="15" customHeight="1" s="68">
      <c r="A812" s="114" t="n"/>
      <c r="B812" s="114" t="n"/>
      <c r="C812" s="114" t="n"/>
    </row>
    <row r="813" ht="15" customHeight="1" s="68">
      <c r="A813" s="114" t="n"/>
      <c r="B813" s="114" t="n"/>
      <c r="C813" s="114" t="n"/>
    </row>
    <row r="814" ht="15" customHeight="1" s="68">
      <c r="A814" s="114" t="n"/>
      <c r="B814" s="114" t="n"/>
      <c r="C814" s="114" t="n"/>
    </row>
    <row r="815" ht="15" customHeight="1" s="68">
      <c r="A815" s="114" t="n"/>
      <c r="B815" s="114" t="n"/>
      <c r="C815" s="114" t="n"/>
    </row>
    <row r="816" ht="15" customHeight="1" s="68">
      <c r="A816" s="114" t="n"/>
      <c r="B816" s="114" t="n"/>
      <c r="C816" s="114" t="n"/>
    </row>
    <row r="817" ht="15" customHeight="1" s="68">
      <c r="A817" s="114" t="n"/>
      <c r="B817" s="114" t="n"/>
      <c r="C817" s="114" t="n"/>
    </row>
    <row r="818" ht="15" customHeight="1" s="68">
      <c r="A818" s="114" t="n"/>
      <c r="B818" s="114" t="n"/>
      <c r="C818" s="114" t="n"/>
    </row>
    <row r="819" ht="15" customHeight="1" s="68">
      <c r="A819" s="114" t="n"/>
      <c r="B819" s="114" t="n"/>
      <c r="C819" s="114" t="n"/>
    </row>
    <row r="820" ht="15" customHeight="1" s="68">
      <c r="A820" s="114" t="n"/>
      <c r="B820" s="114" t="n"/>
      <c r="C820" s="114" t="n"/>
    </row>
    <row r="821" ht="15" customHeight="1" s="68">
      <c r="A821" s="114" t="n"/>
      <c r="B821" s="114" t="n"/>
      <c r="C821" s="114" t="n"/>
    </row>
    <row r="822" ht="15" customHeight="1" s="68">
      <c r="A822" s="114" t="n"/>
      <c r="B822" s="114" t="n"/>
      <c r="C822" s="114" t="n"/>
    </row>
    <row r="823" ht="15" customHeight="1" s="68">
      <c r="A823" s="114" t="n"/>
      <c r="B823" s="114" t="n"/>
      <c r="C823" s="114" t="n"/>
    </row>
    <row r="824" ht="15" customHeight="1" s="68">
      <c r="A824" s="114" t="n"/>
      <c r="B824" s="114" t="n"/>
      <c r="C824" s="114" t="n"/>
    </row>
    <row r="825" ht="15" customHeight="1" s="68">
      <c r="A825" s="114" t="n"/>
      <c r="B825" s="114" t="n"/>
      <c r="C825" s="114" t="n"/>
    </row>
    <row r="826" ht="15" customHeight="1" s="68">
      <c r="A826" s="114" t="n"/>
      <c r="B826" s="114" t="n"/>
      <c r="C826" s="114" t="n"/>
    </row>
    <row r="827" ht="15" customHeight="1" s="68">
      <c r="A827" s="114" t="n"/>
      <c r="B827" s="114" t="n"/>
      <c r="C827" s="114" t="n"/>
    </row>
    <row r="828" ht="15" customHeight="1" s="68">
      <c r="A828" s="114" t="n"/>
      <c r="B828" s="114" t="n"/>
      <c r="C828" s="114" t="n"/>
    </row>
    <row r="829" ht="15" customHeight="1" s="68">
      <c r="A829" s="114" t="n"/>
      <c r="B829" s="114" t="n"/>
      <c r="C829" s="114" t="n"/>
    </row>
    <row r="830" ht="15" customHeight="1" s="68">
      <c r="A830" s="114" t="n"/>
      <c r="B830" s="114" t="n"/>
      <c r="C830" s="114" t="n"/>
    </row>
    <row r="831" ht="15" customHeight="1" s="68">
      <c r="A831" s="114" t="n"/>
      <c r="B831" s="114" t="n"/>
      <c r="C831" s="114" t="n"/>
    </row>
    <row r="832" ht="15" customHeight="1" s="68">
      <c r="A832" s="114" t="n"/>
      <c r="B832" s="114" t="n"/>
      <c r="C832" s="114" t="n"/>
    </row>
    <row r="833" ht="15" customHeight="1" s="68">
      <c r="A833" s="114" t="n"/>
      <c r="B833" s="114" t="n"/>
      <c r="C833" s="114" t="n"/>
    </row>
    <row r="834" ht="15" customHeight="1" s="68">
      <c r="A834" s="114" t="n"/>
      <c r="B834" s="114" t="n"/>
      <c r="C834" s="114" t="n"/>
    </row>
    <row r="835" ht="15" customHeight="1" s="68">
      <c r="A835" s="114" t="n"/>
      <c r="B835" s="114" t="n"/>
      <c r="C835" s="114" t="n"/>
    </row>
    <row r="836" ht="15" customHeight="1" s="68">
      <c r="A836" s="114" t="n"/>
      <c r="B836" s="114" t="n"/>
      <c r="C836" s="114" t="n"/>
    </row>
    <row r="837" ht="15" customHeight="1" s="68">
      <c r="A837" s="114" t="n"/>
      <c r="B837" s="114" t="n"/>
      <c r="C837" s="114" t="n"/>
    </row>
    <row r="838" ht="15" customHeight="1" s="68">
      <c r="A838" s="114" t="n"/>
      <c r="B838" s="114" t="n"/>
      <c r="C838" s="114" t="n"/>
    </row>
    <row r="839" ht="15" customHeight="1" s="68">
      <c r="A839" s="114" t="n"/>
      <c r="B839" s="114" t="n"/>
      <c r="C839" s="114" t="n"/>
    </row>
    <row r="840" ht="15" customHeight="1" s="68">
      <c r="A840" s="114" t="n"/>
      <c r="B840" s="114" t="n"/>
      <c r="C840" s="114" t="n"/>
    </row>
    <row r="841" ht="15" customHeight="1" s="68">
      <c r="A841" s="114" t="n"/>
      <c r="B841" s="114" t="n"/>
      <c r="C841" s="114" t="n"/>
    </row>
    <row r="842" ht="15" customHeight="1" s="68">
      <c r="A842" s="114" t="n"/>
      <c r="B842" s="114" t="n"/>
      <c r="C842" s="114" t="n"/>
    </row>
    <row r="843" ht="15" customHeight="1" s="68">
      <c r="A843" s="114" t="n"/>
      <c r="B843" s="114" t="n"/>
      <c r="C843" s="114" t="n"/>
    </row>
    <row r="844" ht="15" customHeight="1" s="68">
      <c r="A844" s="114" t="n"/>
      <c r="B844" s="114" t="n"/>
      <c r="C844" s="114" t="n"/>
    </row>
    <row r="845" ht="15" customHeight="1" s="68">
      <c r="A845" s="114" t="n"/>
      <c r="B845" s="114" t="n"/>
      <c r="C845" s="114" t="n"/>
    </row>
    <row r="846" ht="15" customHeight="1" s="68">
      <c r="A846" s="114" t="n"/>
      <c r="B846" s="114" t="n"/>
      <c r="C846" s="114" t="n"/>
    </row>
    <row r="847" ht="15" customHeight="1" s="68">
      <c r="A847" s="114" t="n"/>
      <c r="B847" s="114" t="n"/>
      <c r="C847" s="114" t="n"/>
    </row>
    <row r="848" ht="15" customHeight="1" s="68">
      <c r="A848" s="114" t="n"/>
      <c r="B848" s="114" t="n"/>
      <c r="C848" s="114" t="n"/>
    </row>
    <row r="849" ht="15" customHeight="1" s="68">
      <c r="A849" s="114" t="n"/>
      <c r="B849" s="114" t="n"/>
      <c r="C849" s="114" t="n"/>
    </row>
    <row r="850" ht="15" customHeight="1" s="68">
      <c r="A850" s="114" t="n"/>
      <c r="B850" s="114" t="n"/>
      <c r="C850" s="114" t="n"/>
    </row>
    <row r="851" ht="15" customHeight="1" s="68">
      <c r="A851" s="114" t="n"/>
      <c r="B851" s="114" t="n"/>
      <c r="C851" s="114" t="n"/>
    </row>
    <row r="852" ht="15" customHeight="1" s="68">
      <c r="A852" s="114" t="n"/>
      <c r="B852" s="114" t="n"/>
      <c r="C852" s="114" t="n"/>
    </row>
    <row r="853" ht="15" customHeight="1" s="68">
      <c r="A853" s="114" t="n"/>
      <c r="B853" s="114" t="n"/>
      <c r="C853" s="114" t="n"/>
    </row>
    <row r="854" ht="15" customHeight="1" s="68">
      <c r="A854" s="114" t="n"/>
      <c r="B854" s="114" t="n"/>
      <c r="C854" s="114" t="n"/>
    </row>
    <row r="855" ht="15" customHeight="1" s="68">
      <c r="A855" s="114" t="n"/>
      <c r="B855" s="114" t="n"/>
      <c r="C855" s="114" t="n"/>
    </row>
    <row r="856" ht="15" customHeight="1" s="68">
      <c r="A856" s="114" t="n"/>
      <c r="B856" s="114" t="n"/>
      <c r="C856" s="114" t="n"/>
    </row>
    <row r="857" ht="15" customHeight="1" s="68">
      <c r="A857" s="114" t="n"/>
      <c r="B857" s="114" t="n"/>
      <c r="C857" s="114" t="n"/>
    </row>
    <row r="858" ht="15" customHeight="1" s="68">
      <c r="A858" s="114" t="n"/>
      <c r="B858" s="114" t="n"/>
      <c r="C858" s="114" t="n"/>
    </row>
    <row r="859" ht="15" customHeight="1" s="68">
      <c r="A859" s="114" t="n"/>
      <c r="B859" s="114" t="n"/>
      <c r="C859" s="114" t="n"/>
    </row>
    <row r="860" ht="15" customHeight="1" s="68">
      <c r="A860" s="114" t="n"/>
      <c r="B860" s="114" t="n"/>
      <c r="C860" s="114" t="n"/>
    </row>
    <row r="861" ht="15" customHeight="1" s="68">
      <c r="A861" s="114" t="n"/>
      <c r="B861" s="114" t="n"/>
      <c r="C861" s="114" t="n"/>
    </row>
    <row r="862" ht="15" customHeight="1" s="68">
      <c r="A862" s="114" t="n"/>
      <c r="B862" s="114" t="n"/>
      <c r="C862" s="114" t="n"/>
    </row>
    <row r="863" ht="15" customHeight="1" s="68">
      <c r="A863" s="114" t="n"/>
      <c r="B863" s="114" t="n"/>
      <c r="C863" s="114" t="n"/>
    </row>
    <row r="864" ht="15" customHeight="1" s="68">
      <c r="A864" s="114" t="n"/>
      <c r="B864" s="114" t="n"/>
      <c r="C864" s="114" t="n"/>
    </row>
    <row r="865" ht="15" customHeight="1" s="68">
      <c r="A865" s="114" t="n"/>
      <c r="B865" s="114" t="n"/>
      <c r="C865" s="114" t="n"/>
    </row>
    <row r="866" ht="15" customHeight="1" s="68">
      <c r="A866" s="114" t="n"/>
      <c r="B866" s="114" t="n"/>
      <c r="C866" s="114" t="n"/>
    </row>
    <row r="867" ht="15" customHeight="1" s="68">
      <c r="A867" s="114" t="n"/>
      <c r="B867" s="114" t="n"/>
      <c r="C867" s="114" t="n"/>
    </row>
    <row r="868" ht="15" customHeight="1" s="68">
      <c r="A868" s="114" t="n"/>
      <c r="B868" s="114" t="n"/>
      <c r="C868" s="114" t="n"/>
    </row>
    <row r="869" ht="15" customHeight="1" s="68">
      <c r="A869" s="114" t="n"/>
      <c r="B869" s="114" t="n"/>
      <c r="C869" s="114" t="n"/>
    </row>
    <row r="870" ht="15" customHeight="1" s="68">
      <c r="A870" s="114" t="n"/>
      <c r="B870" s="114" t="n"/>
      <c r="C870" s="114" t="n"/>
    </row>
    <row r="871" ht="15" customHeight="1" s="68">
      <c r="A871" s="114" t="n"/>
      <c r="B871" s="114" t="n"/>
      <c r="C871" s="114" t="n"/>
    </row>
    <row r="872" ht="15" customHeight="1" s="68">
      <c r="A872" s="114" t="n"/>
      <c r="B872" s="114" t="n"/>
      <c r="C872" s="114" t="n"/>
    </row>
    <row r="873" ht="15" customHeight="1" s="68">
      <c r="A873" s="114" t="n"/>
      <c r="B873" s="114" t="n"/>
      <c r="C873" s="114" t="n"/>
    </row>
    <row r="874" ht="15" customHeight="1" s="68">
      <c r="A874" s="114" t="n"/>
      <c r="B874" s="114" t="n"/>
      <c r="C874" s="114" t="n"/>
    </row>
    <row r="875" ht="15" customHeight="1" s="68">
      <c r="A875" s="114" t="n"/>
      <c r="B875" s="114" t="n"/>
      <c r="C875" s="114" t="n"/>
    </row>
    <row r="876" ht="15" customHeight="1" s="68">
      <c r="A876" s="114" t="n"/>
      <c r="B876" s="114" t="n"/>
      <c r="C876" s="114" t="n"/>
    </row>
    <row r="877" ht="15" customHeight="1" s="68">
      <c r="A877" s="114" t="n"/>
      <c r="B877" s="114" t="n"/>
      <c r="C877" s="114" t="n"/>
    </row>
    <row r="878" ht="15" customHeight="1" s="68">
      <c r="A878" s="114" t="n"/>
      <c r="B878" s="114" t="n"/>
      <c r="C878" s="114" t="n"/>
    </row>
    <row r="879" ht="15" customHeight="1" s="68">
      <c r="A879" s="114" t="n"/>
      <c r="B879" s="114" t="n"/>
      <c r="C879" s="114" t="n"/>
    </row>
    <row r="880" ht="15" customHeight="1" s="68">
      <c r="A880" s="114" t="n"/>
      <c r="B880" s="114" t="n"/>
      <c r="C880" s="114" t="n"/>
    </row>
    <row r="881" ht="15" customHeight="1" s="68">
      <c r="A881" s="114" t="n"/>
      <c r="B881" s="114" t="n"/>
      <c r="C881" s="114" t="n"/>
    </row>
    <row r="882" ht="15" customHeight="1" s="68">
      <c r="A882" s="114" t="n"/>
      <c r="B882" s="114" t="n"/>
      <c r="C882" s="114" t="n"/>
    </row>
    <row r="883" ht="15" customHeight="1" s="68">
      <c r="A883" s="114" t="n"/>
      <c r="B883" s="114" t="n"/>
      <c r="C883" s="114" t="n"/>
    </row>
    <row r="884" ht="15" customHeight="1" s="68">
      <c r="A884" s="114" t="n"/>
      <c r="B884" s="114" t="n"/>
      <c r="C884" s="114" t="n"/>
    </row>
    <row r="885" ht="15" customHeight="1" s="68">
      <c r="A885" s="114" t="n"/>
      <c r="B885" s="114" t="n"/>
      <c r="C885" s="114" t="n"/>
    </row>
    <row r="886" ht="15" customHeight="1" s="68">
      <c r="A886" s="114" t="n"/>
      <c r="B886" s="114" t="n"/>
      <c r="C886" s="114" t="n"/>
    </row>
    <row r="887" ht="15" customHeight="1" s="68">
      <c r="A887" s="114" t="n"/>
      <c r="B887" s="114" t="n"/>
      <c r="C887" s="114" t="n"/>
    </row>
    <row r="888" ht="15" customHeight="1" s="68">
      <c r="A888" s="114" t="n"/>
      <c r="B888" s="114" t="n"/>
      <c r="C888" s="114" t="n"/>
    </row>
    <row r="889" ht="15" customHeight="1" s="68">
      <c r="A889" s="114" t="n"/>
      <c r="B889" s="114" t="n"/>
      <c r="C889" s="114" t="n"/>
    </row>
    <row r="890" ht="15" customHeight="1" s="68">
      <c r="A890" s="114" t="n"/>
      <c r="B890" s="114" t="n"/>
      <c r="C890" s="114" t="n"/>
    </row>
    <row r="891" ht="15" customHeight="1" s="68">
      <c r="A891" s="114" t="n"/>
      <c r="B891" s="114" t="n"/>
      <c r="C891" s="114" t="n"/>
    </row>
    <row r="892" ht="15" customHeight="1" s="68">
      <c r="A892" s="114" t="n"/>
      <c r="B892" s="114" t="n"/>
      <c r="C892" s="114" t="n"/>
    </row>
    <row r="893" ht="15" customHeight="1" s="68">
      <c r="A893" s="114" t="n"/>
      <c r="B893" s="114" t="n"/>
      <c r="C893" s="114" t="n"/>
    </row>
    <row r="894" ht="15" customHeight="1" s="68">
      <c r="A894" s="114" t="n"/>
      <c r="B894" s="114" t="n"/>
      <c r="C894" s="114" t="n"/>
    </row>
    <row r="895" ht="15" customHeight="1" s="68">
      <c r="A895" s="114" t="n"/>
      <c r="B895" s="114" t="n"/>
      <c r="C895" s="114" t="n"/>
    </row>
    <row r="896" ht="15" customHeight="1" s="68">
      <c r="A896" s="114" t="n"/>
      <c r="B896" s="114" t="n"/>
      <c r="C896" s="114" t="n"/>
    </row>
    <row r="897" ht="15" customHeight="1" s="68">
      <c r="A897" s="114" t="n"/>
      <c r="B897" s="114" t="n"/>
      <c r="C897" s="114" t="n"/>
    </row>
    <row r="898" ht="15" customHeight="1" s="68">
      <c r="A898" s="114" t="n"/>
      <c r="B898" s="114" t="n"/>
      <c r="C898" s="114" t="n"/>
    </row>
    <row r="899" ht="15" customHeight="1" s="68">
      <c r="A899" s="114" t="n"/>
      <c r="B899" s="114" t="n"/>
      <c r="C899" s="114" t="n"/>
    </row>
    <row r="900" ht="15" customHeight="1" s="68">
      <c r="A900" s="114" t="n"/>
      <c r="B900" s="114" t="n"/>
      <c r="C900" s="114" t="n"/>
    </row>
    <row r="901" ht="15" customHeight="1" s="68">
      <c r="A901" s="114" t="n"/>
      <c r="B901" s="114" t="n"/>
      <c r="C901" s="114" t="n"/>
    </row>
    <row r="902" ht="15" customHeight="1" s="68">
      <c r="A902" s="114" t="n"/>
      <c r="B902" s="114" t="n"/>
      <c r="C902" s="114" t="n"/>
    </row>
    <row r="903" ht="15" customHeight="1" s="68">
      <c r="A903" s="114" t="n"/>
      <c r="B903" s="114" t="n"/>
      <c r="C903" s="114" t="n"/>
    </row>
    <row r="904" ht="15" customHeight="1" s="68">
      <c r="A904" s="114" t="n"/>
      <c r="B904" s="114" t="n"/>
      <c r="C904" s="114" t="n"/>
    </row>
    <row r="905" ht="15" customHeight="1" s="68">
      <c r="A905" s="114" t="n"/>
      <c r="B905" s="114" t="n"/>
      <c r="C905" s="114" t="n"/>
    </row>
    <row r="906" ht="15" customHeight="1" s="68">
      <c r="A906" s="114" t="n"/>
      <c r="B906" s="114" t="n"/>
      <c r="C906" s="114" t="n"/>
    </row>
    <row r="907" ht="15" customHeight="1" s="68">
      <c r="A907" s="114" t="n"/>
      <c r="B907" s="114" t="n"/>
      <c r="C907" s="114" t="n"/>
    </row>
    <row r="908" ht="15" customHeight="1" s="68">
      <c r="A908" s="114" t="n"/>
      <c r="B908" s="114" t="n"/>
      <c r="C908" s="114" t="n"/>
    </row>
    <row r="909" ht="15" customHeight="1" s="68">
      <c r="A909" s="114" t="n"/>
      <c r="B909" s="114" t="n"/>
      <c r="C909" s="114" t="n"/>
    </row>
    <row r="910" ht="15" customHeight="1" s="68">
      <c r="A910" s="114" t="n"/>
      <c r="B910" s="114" t="n"/>
      <c r="C910" s="114" t="n"/>
    </row>
    <row r="911" ht="15" customHeight="1" s="68">
      <c r="A911" s="114" t="n"/>
      <c r="B911" s="114" t="n"/>
      <c r="C911" s="114" t="n"/>
    </row>
    <row r="912" ht="15" customHeight="1" s="68">
      <c r="A912" s="114" t="n"/>
      <c r="B912" s="114" t="n"/>
      <c r="C912" s="114" t="n"/>
    </row>
    <row r="913" ht="15" customHeight="1" s="68">
      <c r="A913" s="114" t="n"/>
      <c r="B913" s="114" t="n"/>
      <c r="C913" s="114" t="n"/>
    </row>
    <row r="914" ht="15" customHeight="1" s="68">
      <c r="A914" s="114" t="n"/>
      <c r="B914" s="114" t="n"/>
      <c r="C914" s="114" t="n"/>
    </row>
    <row r="915" ht="15" customHeight="1" s="68">
      <c r="A915" s="114" t="n"/>
      <c r="B915" s="114" t="n"/>
      <c r="C915" s="114" t="n"/>
    </row>
    <row r="916" ht="15" customHeight="1" s="68">
      <c r="A916" s="114" t="n"/>
      <c r="B916" s="114" t="n"/>
      <c r="C916" s="114" t="n"/>
    </row>
    <row r="917" ht="15" customHeight="1" s="68">
      <c r="A917" s="114" t="n"/>
      <c r="B917" s="114" t="n"/>
      <c r="C917" s="114" t="n"/>
    </row>
    <row r="918" ht="15" customHeight="1" s="68">
      <c r="A918" s="114" t="n"/>
      <c r="B918" s="114" t="n"/>
      <c r="C918" s="114" t="n"/>
    </row>
    <row r="919" ht="15" customHeight="1" s="68">
      <c r="A919" s="114" t="n"/>
      <c r="B919" s="114" t="n"/>
      <c r="C919" s="114" t="n"/>
    </row>
    <row r="920" ht="15" customHeight="1" s="68">
      <c r="A920" s="114" t="n"/>
      <c r="B920" s="114" t="n"/>
      <c r="C920" s="114" t="n"/>
    </row>
    <row r="921" ht="15" customHeight="1" s="68">
      <c r="A921" s="114" t="n"/>
      <c r="B921" s="114" t="n"/>
      <c r="C921" s="114" t="n"/>
    </row>
    <row r="922" ht="15" customHeight="1" s="68">
      <c r="A922" s="114" t="n"/>
      <c r="B922" s="114" t="n"/>
      <c r="C922" s="114" t="n"/>
    </row>
    <row r="923" ht="15" customHeight="1" s="68">
      <c r="A923" s="114" t="n"/>
      <c r="B923" s="114" t="n"/>
      <c r="C923" s="114" t="n"/>
    </row>
    <row r="924" ht="15" customHeight="1" s="68">
      <c r="A924" s="114" t="n"/>
      <c r="B924" s="114" t="n"/>
      <c r="C924" s="114" t="n"/>
    </row>
    <row r="925" ht="15" customHeight="1" s="68">
      <c r="A925" s="114" t="n"/>
      <c r="B925" s="114" t="n"/>
      <c r="C925" s="114" t="n"/>
    </row>
    <row r="926" ht="15" customHeight="1" s="68">
      <c r="A926" s="114" t="n"/>
      <c r="B926" s="114" t="n"/>
      <c r="C926" s="114" t="n"/>
    </row>
    <row r="927" ht="15" customHeight="1" s="68">
      <c r="A927" s="114" t="n"/>
      <c r="B927" s="114" t="n"/>
      <c r="C927" s="114" t="n"/>
    </row>
    <row r="928" ht="15" customHeight="1" s="68">
      <c r="A928" s="114" t="n"/>
      <c r="B928" s="114" t="n"/>
      <c r="C928" s="114" t="n"/>
    </row>
    <row r="929" ht="15" customHeight="1" s="68">
      <c r="A929" s="114" t="n"/>
      <c r="B929" s="114" t="n"/>
      <c r="C929" s="114" t="n"/>
    </row>
    <row r="930" ht="15" customHeight="1" s="68">
      <c r="A930" s="114" t="n"/>
      <c r="B930" s="114" t="n"/>
      <c r="C930" s="114" t="n"/>
    </row>
    <row r="931" ht="15" customHeight="1" s="68">
      <c r="A931" s="114" t="n"/>
      <c r="B931" s="114" t="n"/>
      <c r="C931" s="114" t="n"/>
    </row>
    <row r="932" ht="15" customHeight="1" s="68">
      <c r="A932" s="114" t="n"/>
      <c r="B932" s="114" t="n"/>
      <c r="C932" s="114" t="n"/>
    </row>
    <row r="933" ht="15" customHeight="1" s="68">
      <c r="A933" s="114" t="n"/>
      <c r="B933" s="114" t="n"/>
      <c r="C933" s="114" t="n"/>
    </row>
    <row r="934" ht="15" customHeight="1" s="68">
      <c r="A934" s="114" t="n"/>
      <c r="B934" s="114" t="n"/>
      <c r="C934" s="114" t="n"/>
    </row>
    <row r="935" ht="15" customHeight="1" s="68">
      <c r="A935" s="114" t="n"/>
      <c r="B935" s="114" t="n"/>
      <c r="C935" s="114" t="n"/>
    </row>
    <row r="936" ht="15" customHeight="1" s="68">
      <c r="A936" s="114" t="n"/>
      <c r="B936" s="114" t="n"/>
      <c r="C936" s="114" t="n"/>
    </row>
    <row r="937" ht="15" customHeight="1" s="68">
      <c r="A937" s="114" t="n"/>
      <c r="B937" s="114" t="n"/>
      <c r="C937" s="114" t="n"/>
    </row>
    <row r="938" ht="15" customHeight="1" s="68">
      <c r="A938" s="114" t="n"/>
      <c r="B938" s="114" t="n"/>
      <c r="C938" s="114" t="n"/>
    </row>
    <row r="939" ht="15" customHeight="1" s="68">
      <c r="A939" s="114" t="n"/>
      <c r="B939" s="114" t="n"/>
      <c r="C939" s="114" t="n"/>
    </row>
    <row r="940" ht="15" customHeight="1" s="68">
      <c r="A940" s="114" t="n"/>
      <c r="B940" s="114" t="n"/>
      <c r="C940" s="114" t="n"/>
    </row>
    <row r="941" ht="15" customHeight="1" s="68">
      <c r="A941" s="114" t="n"/>
      <c r="B941" s="114" t="n"/>
      <c r="C941" s="114" t="n"/>
    </row>
    <row r="942" ht="15" customHeight="1" s="68">
      <c r="A942" s="114" t="n"/>
      <c r="B942" s="114" t="n"/>
      <c r="C942" s="114" t="n"/>
    </row>
    <row r="943" ht="15" customHeight="1" s="68">
      <c r="A943" s="114" t="n"/>
      <c r="B943" s="114" t="n"/>
      <c r="C943" s="114" t="n"/>
    </row>
    <row r="944" ht="15" customHeight="1" s="68">
      <c r="A944" s="114" t="n"/>
      <c r="B944" s="114" t="n"/>
      <c r="C944" s="114" t="n"/>
    </row>
    <row r="945" ht="15" customHeight="1" s="68">
      <c r="A945" s="114" t="n"/>
      <c r="B945" s="114" t="n"/>
      <c r="C945" s="114" t="n"/>
    </row>
    <row r="946" ht="15" customHeight="1" s="68">
      <c r="A946" s="114" t="n"/>
      <c r="B946" s="114" t="n"/>
      <c r="C946" s="114" t="n"/>
    </row>
    <row r="947" ht="15" customHeight="1" s="68">
      <c r="A947" s="114" t="n"/>
      <c r="B947" s="114" t="n"/>
      <c r="C947" s="114" t="n"/>
    </row>
    <row r="948" ht="15" customHeight="1" s="68">
      <c r="A948" s="114" t="n"/>
      <c r="B948" s="114" t="n"/>
      <c r="C948" s="114" t="n"/>
    </row>
    <row r="949" ht="15" customHeight="1" s="68">
      <c r="A949" s="114" t="n"/>
      <c r="B949" s="114" t="n"/>
      <c r="C949" s="114" t="n"/>
    </row>
    <row r="950" ht="15" customHeight="1" s="68">
      <c r="A950" s="114" t="n"/>
      <c r="B950" s="114" t="n"/>
      <c r="C950" s="114" t="n"/>
    </row>
    <row r="951" ht="15" customHeight="1" s="68">
      <c r="A951" s="114" t="n"/>
      <c r="B951" s="114" t="n"/>
      <c r="C951" s="114" t="n"/>
    </row>
    <row r="952" ht="15" customHeight="1" s="68">
      <c r="A952" s="114" t="n"/>
      <c r="B952" s="114" t="n"/>
      <c r="C952" s="114" t="n"/>
    </row>
    <row r="953" ht="15" customHeight="1" s="68">
      <c r="A953" s="114" t="n"/>
      <c r="B953" s="114" t="n"/>
      <c r="C953" s="114" t="n"/>
    </row>
    <row r="954" ht="15" customHeight="1" s="68">
      <c r="A954" s="114" t="n"/>
      <c r="B954" s="114" t="n"/>
      <c r="C954" s="114" t="n"/>
    </row>
    <row r="955" ht="15" customHeight="1" s="68">
      <c r="A955" s="114" t="n"/>
      <c r="B955" s="114" t="n"/>
      <c r="C955" s="114" t="n"/>
    </row>
    <row r="956" ht="15" customHeight="1" s="68">
      <c r="A956" s="114" t="n"/>
      <c r="B956" s="114" t="n"/>
      <c r="C956" s="114" t="n"/>
    </row>
    <row r="957" ht="15" customHeight="1" s="68">
      <c r="A957" s="114" t="n"/>
      <c r="B957" s="114" t="n"/>
      <c r="C957" s="114" t="n"/>
    </row>
    <row r="958" ht="15" customHeight="1" s="68">
      <c r="A958" s="114" t="n"/>
      <c r="B958" s="114" t="n"/>
      <c r="C958" s="114" t="n"/>
    </row>
    <row r="959" ht="15" customHeight="1" s="68">
      <c r="A959" s="114" t="n"/>
      <c r="B959" s="114" t="n"/>
      <c r="C959" s="114" t="n"/>
    </row>
    <row r="960" ht="15" customHeight="1" s="68">
      <c r="A960" s="114" t="n"/>
      <c r="B960" s="114" t="n"/>
      <c r="C960" s="114" t="n"/>
    </row>
    <row r="961" ht="15" customHeight="1" s="68">
      <c r="A961" s="114" t="n"/>
      <c r="B961" s="114" t="n"/>
      <c r="C961" s="114" t="n"/>
    </row>
    <row r="962" ht="15" customHeight="1" s="68">
      <c r="A962" s="114" t="n"/>
      <c r="B962" s="114" t="n"/>
      <c r="C962" s="114" t="n"/>
    </row>
    <row r="963" ht="15" customHeight="1" s="68">
      <c r="A963" s="114" t="n"/>
      <c r="B963" s="114" t="n"/>
      <c r="C963" s="114" t="n"/>
    </row>
    <row r="964" ht="15" customHeight="1" s="68">
      <c r="A964" s="114" t="n"/>
      <c r="B964" s="114" t="n"/>
      <c r="C964" s="114" t="n"/>
    </row>
    <row r="965" ht="15" customHeight="1" s="68">
      <c r="A965" s="114" t="n"/>
      <c r="B965" s="114" t="n"/>
      <c r="C965" s="114" t="n"/>
    </row>
    <row r="966" ht="15" customHeight="1" s="68">
      <c r="A966" s="114" t="n"/>
      <c r="B966" s="114" t="n"/>
      <c r="C966" s="114" t="n"/>
    </row>
    <row r="967" ht="15" customHeight="1" s="68">
      <c r="A967" s="114" t="n"/>
      <c r="B967" s="114" t="n"/>
      <c r="C967" s="114" t="n"/>
    </row>
    <row r="968" ht="15" customHeight="1" s="68">
      <c r="A968" s="114" t="n"/>
      <c r="B968" s="114" t="n"/>
      <c r="C968" s="114" t="n"/>
    </row>
    <row r="969" ht="15" customHeight="1" s="68">
      <c r="A969" s="114" t="n"/>
      <c r="B969" s="114" t="n"/>
      <c r="C969" s="114" t="n"/>
    </row>
    <row r="970" ht="15" customHeight="1" s="68">
      <c r="A970" s="114" t="n"/>
      <c r="B970" s="114" t="n"/>
      <c r="C970" s="114" t="n"/>
    </row>
    <row r="971" ht="15" customHeight="1" s="68">
      <c r="A971" s="114" t="n"/>
      <c r="B971" s="114" t="n"/>
      <c r="C971" s="114" t="n"/>
    </row>
    <row r="972" ht="15" customHeight="1" s="68">
      <c r="A972" s="114" t="n"/>
      <c r="B972" s="114" t="n"/>
      <c r="C972" s="114" t="n"/>
    </row>
    <row r="973" ht="15" customHeight="1" s="68">
      <c r="A973" s="114" t="n"/>
      <c r="B973" s="114" t="n"/>
      <c r="C973" s="114" t="n"/>
    </row>
    <row r="974" ht="15" customHeight="1" s="68">
      <c r="A974" s="114" t="n"/>
      <c r="B974" s="114" t="n"/>
      <c r="C974" s="114" t="n"/>
    </row>
    <row r="975" ht="15" customHeight="1" s="68">
      <c r="A975" s="114" t="n"/>
      <c r="B975" s="114" t="n"/>
      <c r="C975" s="114" t="n"/>
    </row>
    <row r="976" ht="15" customHeight="1" s="68">
      <c r="A976" s="114" t="n"/>
      <c r="B976" s="114" t="n"/>
      <c r="C976" s="114" t="n"/>
    </row>
    <row r="977" ht="15" customHeight="1" s="68">
      <c r="A977" s="114" t="n"/>
      <c r="B977" s="114" t="n"/>
      <c r="C977" s="114" t="n"/>
    </row>
    <row r="978" ht="15" customHeight="1" s="68">
      <c r="A978" s="114" t="n"/>
      <c r="B978" s="114" t="n"/>
      <c r="C978" s="114" t="n"/>
    </row>
    <row r="979" ht="15" customHeight="1" s="68">
      <c r="A979" s="114" t="n"/>
      <c r="B979" s="114" t="n"/>
      <c r="C979" s="114" t="n"/>
    </row>
    <row r="980" ht="15" customHeight="1" s="68">
      <c r="A980" s="114" t="n"/>
      <c r="B980" s="114" t="n"/>
      <c r="C980" s="114" t="n"/>
    </row>
    <row r="981" ht="15" customHeight="1" s="68">
      <c r="A981" s="114" t="n"/>
      <c r="B981" s="114" t="n"/>
      <c r="C981" s="114" t="n"/>
    </row>
    <row r="982" ht="15" customHeight="1" s="68">
      <c r="A982" s="114" t="n"/>
      <c r="B982" s="114" t="n"/>
      <c r="C982" s="114" t="n"/>
    </row>
    <row r="983" ht="15" customHeight="1" s="68">
      <c r="A983" s="114" t="n"/>
      <c r="B983" s="114" t="n"/>
      <c r="C983" s="114" t="n"/>
    </row>
    <row r="984" ht="15" customHeight="1" s="68">
      <c r="A984" s="114" t="n"/>
      <c r="B984" s="114" t="n"/>
      <c r="C984" s="114" t="n"/>
    </row>
    <row r="985" ht="15" customHeight="1" s="68">
      <c r="A985" s="114" t="n"/>
      <c r="B985" s="114" t="n"/>
      <c r="C985" s="114" t="n"/>
    </row>
    <row r="986" ht="15" customHeight="1" s="68">
      <c r="A986" s="114" t="n"/>
      <c r="B986" s="114" t="n"/>
      <c r="C986" s="114" t="n"/>
    </row>
    <row r="987" ht="15" customHeight="1" s="68">
      <c r="A987" s="114" t="n"/>
      <c r="B987" s="114" t="n"/>
      <c r="C987" s="114" t="n"/>
    </row>
    <row r="988" ht="15" customHeight="1" s="68">
      <c r="A988" s="114" t="n"/>
      <c r="B988" s="114" t="n"/>
      <c r="C988" s="114" t="n"/>
    </row>
    <row r="989" ht="15" customHeight="1" s="68">
      <c r="A989" s="114" t="n"/>
      <c r="B989" s="114" t="n"/>
      <c r="C989" s="114" t="n"/>
    </row>
    <row r="990" ht="15" customHeight="1" s="68">
      <c r="A990" s="114" t="n"/>
      <c r="B990" s="114" t="n"/>
      <c r="C990" s="114" t="n"/>
    </row>
    <row r="991" ht="15" customHeight="1" s="68">
      <c r="A991" s="114" t="n"/>
      <c r="B991" s="114" t="n"/>
      <c r="C991" s="114" t="n"/>
    </row>
    <row r="992" ht="15" customHeight="1" s="68">
      <c r="A992" s="114" t="n"/>
      <c r="B992" s="114" t="n"/>
      <c r="C992" s="114" t="n"/>
    </row>
    <row r="993" ht="15" customHeight="1" s="68">
      <c r="A993" s="114" t="n"/>
      <c r="B993" s="114" t="n"/>
      <c r="C993" s="114" t="n"/>
    </row>
    <row r="994" ht="15" customHeight="1" s="68">
      <c r="A994" s="114" t="n"/>
      <c r="B994" s="114" t="n"/>
      <c r="C994" s="114" t="n"/>
    </row>
    <row r="995" ht="15" customHeight="1" s="68">
      <c r="A995" s="114" t="n"/>
      <c r="B995" s="114" t="n"/>
      <c r="C995" s="114" t="n"/>
    </row>
    <row r="996" ht="15" customHeight="1" s="68">
      <c r="A996" s="114" t="n"/>
      <c r="B996" s="114" t="n"/>
      <c r="C996" s="114" t="n"/>
    </row>
    <row r="997" ht="15" customHeight="1" s="68">
      <c r="A997" s="114" t="n"/>
      <c r="B997" s="114" t="n"/>
      <c r="C997" s="114" t="n"/>
    </row>
    <row r="998" ht="15" customHeight="1" s="68">
      <c r="A998" s="114" t="n"/>
      <c r="B998" s="114" t="n"/>
      <c r="C998" s="114" t="n"/>
    </row>
    <row r="999" ht="15" customHeight="1" s="68">
      <c r="A999" s="114" t="n"/>
      <c r="B999" s="114" t="n"/>
      <c r="C999" s="114" t="n"/>
    </row>
    <row r="1000" ht="15" customHeight="1" s="68">
      <c r="A1000" s="114" t="n"/>
      <c r="B1000" s="114" t="n"/>
      <c r="C1000" s="114" t="n"/>
    </row>
    <row r="1001" ht="15" customHeight="1" s="68">
      <c r="A1001" s="114" t="n"/>
      <c r="B1001" s="114" t="n"/>
      <c r="C1001" s="114" t="n"/>
    </row>
    <row r="1002" ht="15" customHeight="1" s="68">
      <c r="A1002" s="114" t="n"/>
      <c r="B1002" s="114" t="n"/>
      <c r="C1002" s="114" t="n"/>
    </row>
    <row r="1003" ht="15" customHeight="1" s="68">
      <c r="A1003" s="114" t="n"/>
      <c r="B1003" s="114" t="n"/>
      <c r="C1003" s="114" t="n"/>
    </row>
    <row r="1004" ht="15" customHeight="1" s="68">
      <c r="A1004" s="114" t="n"/>
      <c r="B1004" s="114" t="n"/>
      <c r="C1004" s="114" t="n"/>
    </row>
    <row r="1005"/>
    <row r="1006" ht="19.5" customHeight="1" s="68">
      <c r="A1006" s="105" t="inlineStr">
        <is>
          <t>Masraflar TL olarak girilir; dövizle oluşan masraflar kur uygulanarak TL'ye çevrilip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4:C4"/>
    <mergeCell ref="A1006:AN100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2"/>
    <col width="78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MOTOR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Hesaplama Motoru</t>
        </is>
      </c>
    </row>
    <row r="4" ht="15" customHeight="1" s="68">
      <c r="A4" s="108" t="inlineStr">
        <is>
          <t>Tüm KPI ve modül hesapları ad tanımlı hücrelerden okunur; sabit sayı formüle gömülmez.</t>
        </is>
      </c>
    </row>
    <row r="5"/>
    <row r="6" ht="15" customHeight="1" s="68">
      <c r="A6" s="116" t="inlineStr">
        <is>
          <t>TEMEL HESAPLAR</t>
        </is>
      </c>
    </row>
    <row r="7" ht="15" customHeight="1" s="68">
      <c r="A7" s="117" t="inlineStr">
        <is>
          <t>Toplam Ürün Sayısı</t>
        </is>
      </c>
      <c r="B7" s="118">
        <f>IFERROR(COUNTA(tblUrun[Ürün Adı]),0)</f>
        <v/>
      </c>
    </row>
    <row r="8" ht="15" customHeight="1" s="68">
      <c r="A8" s="117" t="inlineStr">
        <is>
          <t>Toplam Adet</t>
        </is>
      </c>
      <c r="B8" s="118">
        <f>IFERROR(SUM(tblUrun[Adet]),0)</f>
        <v/>
      </c>
    </row>
    <row r="9" ht="15" customHeight="1" s="68">
      <c r="A9" s="117" t="inlineStr">
        <is>
          <t>Toplam FOB TL</t>
        </is>
      </c>
      <c r="B9" s="119">
        <f>IFERROR(SUM(tblUrun[FOB TL]),0)</f>
        <v/>
      </c>
    </row>
    <row r="10" ht="15" customHeight="1" s="68">
      <c r="A10" s="117" t="inlineStr">
        <is>
          <t>Toplam Navlun ve Sigorta TL</t>
        </is>
      </c>
      <c r="B10" s="119">
        <f>IFERROR(SUM(tblUrun[Navlun ve Sigorta TL]),0)</f>
        <v/>
      </c>
    </row>
    <row r="11" ht="15" customHeight="1" s="68">
      <c r="A11" s="117" t="inlineStr">
        <is>
          <t>Toplam CIF TL</t>
        </is>
      </c>
      <c r="B11" s="119">
        <f>IFERROR(SUM(tblUrun[CIF TL]),0)</f>
        <v/>
      </c>
    </row>
    <row r="12" ht="15" customHeight="1" s="68">
      <c r="A12" s="117" t="inlineStr">
        <is>
          <t>Toplam Gümrük Vergisi TL</t>
        </is>
      </c>
      <c r="B12" s="119">
        <f>IFERROR(SUM(tblUrun[Gümrük Vergisi TL]),0)</f>
        <v/>
      </c>
    </row>
    <row r="13" ht="15" customHeight="1" s="68">
      <c r="A13" s="117" t="inlineStr">
        <is>
          <t>Toplam ÖTV TL</t>
        </is>
      </c>
      <c r="B13" s="119">
        <f>IFERROR(SUM(tblUrun[ÖTV TL]),0)</f>
        <v/>
      </c>
    </row>
    <row r="14" ht="15" customHeight="1" s="68">
      <c r="A14" s="117" t="inlineStr">
        <is>
          <t>Toplam KDV TL</t>
        </is>
      </c>
      <c r="B14" s="119">
        <f>IFERROR(SUM(tblUrun[KDV TL]),0)</f>
        <v/>
      </c>
    </row>
    <row r="15" ht="15" customHeight="1" s="68">
      <c r="A15" s="117" t="inlineStr">
        <is>
          <t>Toplam Vergi TL</t>
        </is>
      </c>
      <c r="B15" s="119">
        <f>IFERROR(SUM(tblUrun[Vergi Toplam TL]),0)</f>
        <v/>
      </c>
    </row>
    <row r="16" ht="15" customHeight="1" s="68">
      <c r="A16" s="117" t="inlineStr">
        <is>
          <t>Toplam Yurt İçi Masraf TL</t>
        </is>
      </c>
      <c r="B16" s="119">
        <f>IFERROR(SUM(tblMasraf[Tutar TL]),0)</f>
        <v/>
      </c>
    </row>
    <row r="17" ht="15" customHeight="1" s="68">
      <c r="A17" s="117" t="inlineStr">
        <is>
          <t>Toplam Depo Teslim Maliyeti TL</t>
        </is>
      </c>
      <c r="B17" s="119">
        <f>IFERROR(SUM(tblUrun[Depo Teslim Toplam TL]),0)</f>
        <v/>
      </c>
    </row>
    <row r="18" ht="15" customHeight="1" s="68">
      <c r="A18" s="117" t="inlineStr">
        <is>
          <t>Ortalama Kur</t>
        </is>
      </c>
      <c r="B18" s="120">
        <f>IFERROR(AVERAGE(tblUrun[kur]),0)</f>
        <v/>
      </c>
    </row>
    <row r="19" ht="15" customHeight="1" s="68">
      <c r="A19" s="117" t="inlineStr">
        <is>
          <t>Ortalama Net Birim Maliyet TL</t>
        </is>
      </c>
      <c r="B19" s="119">
        <f>IFERROR(AVERAGE(tblUrun[Net Birim Maliyet TL]),0)</f>
        <v/>
      </c>
    </row>
    <row r="20" ht="15" customHeight="1" s="68">
      <c r="A20" s="117" t="inlineStr">
        <is>
          <t>Maliyet Faktörü (Ağırlıklı)</t>
        </is>
      </c>
      <c r="B20" s="120">
        <f>IFERROR(ToplamDepoTeslimMaliyeti/MAX(BolumPaydaTaban,ToplamFOB),0)</f>
        <v/>
      </c>
    </row>
    <row r="21" ht="15" customHeight="1" s="68">
      <c r="A21" s="117" t="inlineStr">
        <is>
          <t>Vergi Yükü Oranı</t>
        </is>
      </c>
      <c r="B21" s="121">
        <f>IFERROR(ToplamVergi/MAX(BolumPaydaTaban,ToplamCIF),0)</f>
        <v/>
      </c>
    </row>
    <row r="22" ht="15" customHeight="1" s="68">
      <c r="A22" s="117" t="inlineStr">
        <is>
          <t>Anomali Ürün Adedi</t>
        </is>
      </c>
      <c r="B22" s="118">
        <f>IFERROR(COUNTIF(tblUrun[Net Birim Maliyet TL],"&gt;"&amp;IFERROR(AVERAGE(tblUrun[Net Birim Maliyet TL])+AnomaliZEsik*IFERROR(_xlfn.STDEV.P(tblUrun[Net Birim Maliyet TL]),0),0)),0)</f>
        <v/>
      </c>
    </row>
    <row r="23" ht="15" customHeight="1" s="68">
      <c r="A23" s="117" t="inlineStr">
        <is>
          <t>Anomali Oranı</t>
        </is>
      </c>
      <c r="B23" s="121">
        <f>IFERROR(IF(COUNTA(tblUrun[Ürün Adı])=0,0,AnomaliUrunAdedi/COUNTA(tblUrun[Ürün Adı])),0)</f>
        <v/>
      </c>
    </row>
    <row r="24"/>
    <row r="25" ht="15" customHeight="1" s="68">
      <c r="A25" s="107" t="inlineStr">
        <is>
          <t>Analitik Modül Hesapları</t>
        </is>
      </c>
    </row>
    <row r="26" ht="15" customHeight="1" s="68">
      <c r="A26" s="117" t="inlineStr">
        <is>
          <t>Modül T1: Birim Maliyet Ortalaması</t>
        </is>
      </c>
      <c r="B26" s="119">
        <f>IFERROR(AVERAGE(tblUrun[Net Birim Maliyet TL]),0)</f>
        <v/>
      </c>
    </row>
    <row r="27" ht="15" customHeight="1" s="68">
      <c r="A27" s="117" t="inlineStr">
        <is>
          <t>Modül T2: Maliyet Eğimi</t>
        </is>
      </c>
      <c r="B27" s="119">
        <f>IFERROR(SLOPE(tblUrun[Depo Teslim Toplam TL],tblUrun[Adet]),0)</f>
        <v/>
      </c>
    </row>
    <row r="28" ht="15" customHeight="1" s="68">
      <c r="A28" s="117" t="inlineStr">
        <is>
          <t>Modül T3: Pareto Payı</t>
        </is>
      </c>
      <c r="B28" s="121">
        <f>IFERROR(IF(SUM(tblUrun[Depo Teslim Toplam TL])=0,0,MAX(tblUrun[Depo Teslim Toplam TL])/SUM(tblUrun[Depo Teslim Toplam TL])),0)</f>
        <v/>
      </c>
    </row>
    <row r="29" ht="15" customHeight="1" s="68">
      <c r="A29" s="117" t="inlineStr">
        <is>
          <t>Modül T4: Kur Dönem Farkı</t>
        </is>
      </c>
      <c r="B29" s="119">
        <f>IFERROR(ToplamDepoTeslimMaliyeti*(1-OncekiKur/MAX(BolumPaydaTaban,OrtalamaKur)),0)</f>
        <v/>
      </c>
    </row>
    <row r="30" ht="15" customHeight="1" s="68">
      <c r="A30" s="117" t="inlineStr">
        <is>
          <t>Modül T5: Mutabakat Farkı</t>
        </is>
      </c>
      <c r="B30" s="119">
        <f>IFERROR(ToplamYurtIciMasraf-SUM(tblUrun[Yurt İçi Masraf Payı TL]),0)</f>
        <v/>
      </c>
    </row>
    <row r="31" ht="15" customHeight="1" s="68">
      <c r="A31" s="117" t="inlineStr">
        <is>
          <t>Modül T6: Vergi Yükü Oranı</t>
        </is>
      </c>
      <c r="B31" s="121">
        <f>IFERROR(ToplamVergi/MAX(BolumPaydaTaban,ToplamCIF),0)</f>
        <v/>
      </c>
    </row>
    <row r="32" ht="15" customHeight="1" s="68">
      <c r="A32" s="117" t="inlineStr">
        <is>
          <t>Modül O1: Anomali Oranı</t>
        </is>
      </c>
      <c r="B32" s="121">
        <f>IFERROR(IF(COUNTA(tblUrun[Ürün Adı])=0,0,AnomaliUrunAdedi/COUNTA(tblUrun[Ürün Adı])),0)</f>
        <v/>
      </c>
    </row>
    <row r="33" ht="15" customHeight="1" s="68">
      <c r="A33" s="117" t="inlineStr">
        <is>
          <t>Modül O2: Tornado Zirve Etki</t>
        </is>
      </c>
      <c r="B33" s="119">
        <f>IFERROR(MAX(ABS(SenaryoMaliyetKotumser-SenaryoMaliyetIyimser),ABS(SenaryoVergiKotumser-SenaryoVergiIyimser)),0)</f>
        <v/>
      </c>
    </row>
    <row r="34" ht="15" customHeight="1" s="68">
      <c r="A34" s="117" t="inlineStr">
        <is>
          <t>Modül O3: Senaryo Baz Fark</t>
        </is>
      </c>
      <c r="B34" s="119">
        <f>IFERROR(SenaryoMaliyetKotumser-SenaryoMaliyetBaz,0)</f>
        <v/>
      </c>
    </row>
    <row r="35" ht="15" customHeight="1" s="68">
      <c r="A35" s="117" t="inlineStr">
        <is>
          <t>Modül O4: Nakit Etki Oranı</t>
        </is>
      </c>
      <c r="B35" s="120">
        <f>IFERROR(ToplamDepoTeslimMaliyeti/MAX(BolumPaydaTaban,ToplamFOB),0)</f>
        <v/>
      </c>
    </row>
    <row r="36" ht="15" customHeight="1" s="68">
      <c r="A36" s="117" t="inlineStr">
        <is>
          <t>Modül O6: Maliyet HHI</t>
        </is>
      </c>
      <c r="B36" s="118">
        <f>IFERROR(IF(SUM(tblUrun[FOB TL])=0,0,SUMPRODUCT(tblUrun[FOB TL],tblUrun[FOB TL])/MAX(BolumPaydaTaban,SUM(tblUrun[FOB TL])^2)),0)</f>
        <v/>
      </c>
    </row>
    <row r="37" ht="15" customHeight="1" s="68">
      <c r="A37" s="117" t="inlineStr">
        <is>
          <t>Modül O8: Veri Kalite Skoru</t>
        </is>
      </c>
      <c r="B37" s="118">
        <f>VeriKaliteSkoru</f>
        <v/>
      </c>
    </row>
    <row r="38" ht="15" customHeight="1" s="68">
      <c r="A38" s="117" t="inlineStr">
        <is>
          <t>Modül I1: Maliyet Tahmini</t>
        </is>
      </c>
      <c r="B38" s="119">
        <f>IFERROR(_xlfn.FORECAST.LINEAR(COUNTA(tblUrun[Adet])+1,tblUrun[Depo Teslim Toplam TL],tblUrun[Adet]),0)</f>
        <v/>
      </c>
    </row>
    <row r="39" ht="15" customHeight="1" s="68">
      <c r="A39" s="117" t="inlineStr">
        <is>
          <t>Modül I2: Birim Maliyet P90</t>
        </is>
      </c>
      <c r="B39" s="119">
        <f>IFERROR(_xlfn.PERCENTILE.INC(tblUrun[Net Birim Maliyet TL],P90Kuantil),0)</f>
        <v/>
      </c>
    </row>
    <row r="40" ht="15" customHeight="1" s="68">
      <c r="A40" s="117" t="inlineStr">
        <is>
          <t>Modül I3: Maliyet NPV</t>
        </is>
      </c>
      <c r="B40" s="119">
        <f>IFERROR(NPV(IskontoOrani,ToplamDepoTeslimMaliyeti),0)</f>
        <v/>
      </c>
    </row>
    <row r="41" ht="15" customHeight="1" s="68">
      <c r="A41" s="117" t="inlineStr">
        <is>
          <t>Modül I7: Nakit Açığı Köprüsü</t>
        </is>
      </c>
      <c r="B41" s="119">
        <f>IFERROR(MAX(0,ToplamVergi-PesinOdemeTutari),0)</f>
        <v/>
      </c>
    </row>
    <row r="42" ht="15" customHeight="1" s="68">
      <c r="A42" s="107" t="inlineStr">
        <is>
          <t>Modül Makine Yorumları</t>
        </is>
      </c>
    </row>
    <row r="43" ht="15" customHeight="1" s="68">
      <c r="A43" s="117" t="inlineStr">
        <is>
          <t>T1 Birim Maliyet Ortalaması</t>
        </is>
      </c>
      <c r="B43" s="119">
        <f>modulT1BirimMaliyetOrt</f>
        <v/>
      </c>
      <c r="C43" s="122">
        <f>_xlfn.TEXTJOIN(" | ",TRUE(),"T1: Ortalama birim maliyet "&amp;TEXT(modulT1BirimMaliyetOrt,"#,##0")&amp;" ₺",IF(modulT1BirimMaliyetOrt&gt;OrtalamaNetBirimMaliyet,"birim maliyet ortalamanın üzerinde","birim maliyet dağılımı normal"))</f>
        <v/>
      </c>
    </row>
    <row r="44" ht="15" customHeight="1" s="68">
      <c r="A44" s="117" t="inlineStr">
        <is>
          <t>T2 Maliyet Eğimi</t>
        </is>
      </c>
      <c r="B44" s="119">
        <f>modulT2MaliyetEgim</f>
        <v/>
      </c>
      <c r="C44" s="122">
        <f>_xlfn.TEXTJOIN(" | ",TRUE(),"T2: Maliyet eğimi "&amp;TEXT(modulT2MaliyetEgim,"#,##0")&amp;" ₺/adet",IF(modulT2MaliyetEgim&gt;0,"maliyet adetle artıyor","maliyet adetten bağımsız"))</f>
        <v/>
      </c>
    </row>
    <row r="45" ht="15" customHeight="1" s="68">
      <c r="A45" s="117" t="inlineStr">
        <is>
          <t>T3 Pareto Payı</t>
        </is>
      </c>
      <c r="B45" s="121">
        <f>modulT3ParetoPay</f>
        <v/>
      </c>
      <c r="C45" s="122">
        <f>_xlfn.TEXTJOIN(" | ",TRUE(),"T3: En yüksek maliyetli ürün toplamın %"&amp;TEXT(modulT3ParetoPay*100,"0")&amp;"",IF(modulT3ParetoPay&gt;ParetoEsikOran,"yoğunlaşma yüksek, tek ürüne bağımlılık var","dağılım dengeli"))</f>
        <v/>
      </c>
    </row>
    <row r="46" ht="15" customHeight="1" s="68">
      <c r="A46" s="117" t="inlineStr">
        <is>
          <t>T4 Kur Dönem Farkı</t>
        </is>
      </c>
      <c r="B46" s="119">
        <f>modulT4DonemFark</f>
        <v/>
      </c>
      <c r="C46" s="122">
        <f>_xlfn.TEXTJOIN(" | ",TRUE(),"T4: Kur dönem farkı "&amp;TEXT(modulT4DonemFark,"#,##0")&amp;" ₺",IF(ABS(modulT4DonemFark)&gt;ToplamDepoTeslimMaliyeti*MutabakatEsikOran,"kur etkisi yüksek, maliyet duyarlı","kur etkisi kabul edilebilir"))</f>
        <v/>
      </c>
    </row>
    <row r="47" ht="15" customHeight="1" s="68">
      <c r="A47" s="117" t="inlineStr">
        <is>
          <t>T5 Mutabakat Farkı</t>
        </is>
      </c>
      <c r="B47" s="119">
        <f>modulT5MutabakatFark</f>
        <v/>
      </c>
      <c r="C47" s="122">
        <f>_xlfn.TEXTJOIN(" | ",TRUE(),"T5: Masraf mutabakat farkı "&amp;TEXT(modulT5MutabakatFark,"#,##0")&amp;" ₺",IF(ABS(modulT5MutabakatFark)&gt;ToplamYurtIciMasraf*MutabakatEsikOran,"masraf dağıtımı tutarsız, kontrol edin","masraf dağıtımı tutarlı"))</f>
        <v/>
      </c>
    </row>
    <row r="48" ht="15" customHeight="1" s="68">
      <c r="A48" s="117" t="inlineStr">
        <is>
          <t>T6 Vergi Yükü Oranı</t>
        </is>
      </c>
      <c r="B48" s="121">
        <f>modulT6VergiYukOran</f>
        <v/>
      </c>
      <c r="C48" s="122">
        <f>_xlfn.TEXTJOIN(" | ",TRUE(),"T6: Vergi yükü oranı %"&amp;TEXT(modulT6VergiYukOran*100,"0.0")&amp;"",IF(modulT6VergiYukOran&gt;VergiYukEsik,"vergi yükü eşiğin üzerinde","vergi yükü kabul edilebilir"))</f>
        <v/>
      </c>
    </row>
    <row r="49" ht="15" customHeight="1" s="68">
      <c r="A49" s="117" t="inlineStr">
        <is>
          <t>O1 Anomali Oranı</t>
        </is>
      </c>
      <c r="B49" s="121">
        <f>modulO1AnomaliOran</f>
        <v/>
      </c>
      <c r="C49" s="122">
        <f>_xlfn.TEXTJOIN(" | ",TRUE(),"O1: Uç birim maliyetli ürün oranı %"&amp;TEXT(modulO1AnomaliOran*100,"0.0")&amp;"",IF(modulO1AnomaliOran&gt;0,"anomali ürünler tespit edildi, maliyetleri denetleyin","anomali yok"))</f>
        <v/>
      </c>
    </row>
    <row r="50" ht="15" customHeight="1" s="68">
      <c r="A50" s="117" t="inlineStr">
        <is>
          <t>O2 Tornado Zirve</t>
        </is>
      </c>
      <c r="B50" s="119">
        <f>modulO2TornadoZirve</f>
        <v/>
      </c>
      <c r="C50" s="122">
        <f>_xlfn.TEXTJOIN(" | ",TRUE(),"O2: Tornado zirve etki "&amp;TEXT(modulO2TornadoZirve,"#,##0")&amp;" ₺",IF(modulO2TornadoZirve&gt;ToplamDepoTeslimMaliyeti*SenaryoEtkiEsik,"maliyet duyarlılığı yüksek, kur/vergi kritik","duyarlılık düşük"))</f>
        <v/>
      </c>
    </row>
    <row r="51" ht="15" customHeight="1" s="68">
      <c r="A51" s="117" t="inlineStr">
        <is>
          <t>O3 Senaryo Baz Fark</t>
        </is>
      </c>
      <c r="B51" s="119">
        <f>modulO3SenaryoFark</f>
        <v/>
      </c>
      <c r="C51" s="122">
        <f>_xlfn.TEXTJOIN(" | ",TRUE(),"O3: Kötümser-baz fark "&amp;TEXT(modulO3SenaryoFark,"#,##0")&amp;" ₺",IF(modulO3SenaryoFark&gt;ToplamDepoTeslimMaliyeti*SenaryoEtkiEsik,"kötümser senaryoda maliyet yükseliyor","senaryo aralığı kabul edilebilir"))</f>
        <v/>
      </c>
    </row>
    <row r="52" ht="15" customHeight="1" s="68">
      <c r="A52" s="117" t="inlineStr">
        <is>
          <t>O4 Nakit Etki</t>
        </is>
      </c>
      <c r="B52" s="120">
        <f>modulO4NakitEtkiOran</f>
        <v/>
      </c>
      <c r="C52" s="122">
        <f>_xlfn.TEXTJOIN(" | ",TRUE(),"O4: Her 1 TL FOB için depo teslim maliyeti "&amp;TEXT(modulO4NakitEtkiOran,"0.00")&amp;" TL",IF(modulO4NakitEtkiOran&gt;1+VergiYukEsik,"maliyet çarpanı yüksek, nakit yükü artıyor","maliyet çarpanı kabul edilebilir"))</f>
        <v/>
      </c>
    </row>
    <row r="53" ht="15" customHeight="1" s="68">
      <c r="A53" s="117" t="inlineStr">
        <is>
          <t>O6 Maliyet HHI</t>
        </is>
      </c>
      <c r="B53" s="118">
        <f>modulO6MaliyetHhi</f>
        <v/>
      </c>
      <c r="C53" s="122">
        <f>_xlfn.TEXTJOIN(" | ",TRUE(),"O6: FOB yoğunlaşma endeksi "&amp;TEXT(modulO6MaliyetHhi,"0.00")&amp;"",IF(modulO6MaliyetHhi&gt;HhiYuksekEsik,"yoğunlaşma yüksek","dağılım dengeli"))</f>
        <v/>
      </c>
    </row>
    <row r="54" ht="15" customHeight="1" s="68">
      <c r="A54" s="117" t="inlineStr">
        <is>
          <t>O8 Kalite Skoru</t>
        </is>
      </c>
      <c r="B54" s="118">
        <f>modulO8KaliteSkoru</f>
        <v/>
      </c>
      <c r="C54" s="122">
        <f>_xlfn.TEXTJOIN(" | ",TRUE(),"O8: Veri kalite skoru "&amp;TEXT(modulO8KaliteSkoru,"0")&amp;"/100",IF(modulO8KaliteSkoru&gt;=VeriKaliteIyiEsik,"girdi kalitesi iyi","kalite düşük, girişleri tamamlayın"))</f>
        <v/>
      </c>
    </row>
    <row r="55" ht="15" customHeight="1" s="68">
      <c r="A55" s="117" t="inlineStr">
        <is>
          <t>I1 Maliyet Tahmini</t>
        </is>
      </c>
      <c r="B55" s="119">
        <f>modulI1MaliyetTahmin</f>
        <v/>
      </c>
      <c r="C55" s="122">
        <f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/>
      </c>
    </row>
    <row r="56" ht="15" customHeight="1" s="68">
      <c r="A56" s="117" t="inlineStr">
        <is>
          <t>I2 Birim Maliyet P90</t>
        </is>
      </c>
      <c r="B56" s="119">
        <f>modulI2MaliyetP90</f>
        <v/>
      </c>
      <c r="C56" s="122">
        <f>_xlfn.TEXTJOIN(" | ",TRUE(),"I2: Birim maliyet P90 değeri "&amp;TEXT(modulI2MaliyetP90,"#,##0")&amp;" ₺",IF(modulI2MaliyetP90&gt;OrtalamaNetBirimMaliyet*2,"P90 maliyeti ortalamanın iki katı üzerinde","P90 dağılımı kabul edilebilir"))</f>
        <v/>
      </c>
    </row>
    <row r="57" ht="15" customHeight="1" s="68">
      <c r="A57" s="117" t="inlineStr">
        <is>
          <t>I3 Maliyet NPV</t>
        </is>
      </c>
      <c r="B57" s="119">
        <f>modulI3MaliyetNpv</f>
        <v/>
      </c>
      <c r="C57" s="122">
        <f>_xlfn.TEXTJOIN(" | ",TRUE(),"I3: Depo teslim maliyetinin NPV değeri "&amp;TEXT(modulI3MaliyetNpv,"#,##0")&amp;" ₺",IF(modulI3MaliyetNpv&gt;ToplamDepoTeslimMaliyeti*NpvEsikOran,"NPV maliyeti yüksek","NPV maliyeti kabul edilebilir"))</f>
        <v/>
      </c>
    </row>
    <row r="58" ht="15" customHeight="1" s="68">
      <c r="A58" s="117" t="inlineStr">
        <is>
          <t>I7 Nakit Açığı</t>
        </is>
      </c>
      <c r="B58" s="119">
        <f>modulI7NakitAcik</f>
        <v/>
      </c>
      <c r="C58" s="122">
        <f>_xlfn.TEXTJOIN(" | ",TRUE(),"I7: Nakit açığı köprüsü "&amp;TEXT(modulI7NakitAcik,"#,##0")&amp;" ₺",IF(modulI7NakitAcik&gt;0,"peşin vergi ödemesi nakit yükü yaratıyor","nakit yükü karşılanıyor"))</f>
        <v/>
      </c>
    </row>
    <row r="59" ht="19.5" customHeight="1" s="68">
      <c r="A59" s="105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59:AN59"/>
    <mergeCell ref="A1:I1"/>
    <mergeCell ref="A3:I3"/>
    <mergeCell ref="A4:C4"/>
  </mergeCells>
  <conditionalFormatting sqref="B21">
    <cfRule type="cellIs" rank="0" priority="2" equalAverage="0" operator="greaterThan" aboveAverage="0" dxfId="7" text="" percent="0" bottom="0">
      <formula>VergiYukEsik</formula>
    </cfRule>
    <cfRule type="cellIs" rank="0" priority="3" equalAverage="0" operator="lessThanOrEqual" aboveAverage="0" dxfId="6" text="" percent="0" bottom="0">
      <formula>VergiYukEsik</formula>
    </cfRule>
  </conditionalFormatting>
  <conditionalFormatting sqref="B20">
    <cfRule type="cellIs" rank="0" priority="4" equalAverage="0" operator="greaterThan" aboveAverage="0" dxfId="7" text="" percent="0" bottom="0">
      <formula>MaliyetFaktorEsik</formula>
    </cfRule>
  </conditionalFormatting>
  <conditionalFormatting sqref="B17">
    <cfRule type="cellIs" rank="0" priority="5" equalAverage="0" operator="greaterThan" aboveAverage="0" dxfId="7" text="" percent="0" bottom="0">
      <formula>0</formula>
    </cfRule>
  </conditionalFormatting>
  <conditionalFormatting sqref="B23">
    <cfRule type="cellIs" rank="0" priority="6" equalAverage="0" operator="greaterThan" aboveAverage="0" dxfId="8" text="" percent="0" bottom="0">
      <formula>0</formula>
    </cfRule>
  </conditionalFormatting>
  <conditionalFormatting sqref="B41">
    <cfRule type="cellIs" rank="0" priority="7" equalAverage="0" operator="greaterThan" aboveAverage="0" dxfId="7" text="" percent="0" bottom="0">
      <formula>0</formula>
    </cfRule>
    <cfRule type="cellIs" rank="0" priority="8" equalAverage="0" operator="lessThanOrEqual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4" min="1" max="1"/>
    <col width="41.5" customWidth="1" style="94" min="2" max="2"/>
    <col width="40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KONTROL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Veri Kalite Kontrolleri</t>
        </is>
      </c>
    </row>
    <row r="4"/>
    <row r="5" ht="15" customHeight="1" s="68">
      <c r="A5" s="117" t="inlineStr">
        <is>
          <t>Ürün tablosunda dolu satır</t>
        </is>
      </c>
      <c r="B5" s="123">
        <f>IFERROR(COUNTA(tblUrun[Ürün Adı]),0)</f>
        <v/>
      </c>
    </row>
    <row r="6" ht="15" customHeight="1" s="68">
      <c r="A6" s="117" t="inlineStr">
        <is>
          <t>Masraf tablosunda dolu satır</t>
        </is>
      </c>
      <c r="B6" s="123">
        <f>IFERROR(COUNTA(tblMasraf[Masraf Kalemi]),0)</f>
        <v/>
      </c>
    </row>
    <row r="7" ht="15" customHeight="1" s="68">
      <c r="A7" s="117" t="inlineStr">
        <is>
          <t>Negatif adet kontrolü</t>
        </is>
      </c>
      <c r="B7" s="123">
        <f>IF(COUNTIF(tblUrun[Adet],"&lt;0")&gt;0,"FAIL","PASS")</f>
        <v/>
      </c>
    </row>
    <row r="8" ht="15" customHeight="1" s="68">
      <c r="A8" s="117" t="inlineStr">
        <is>
          <t>Negatif FOB kontrolü</t>
        </is>
      </c>
      <c r="B8" s="123">
        <f>IF(COUNTIF(tblUrun[FOB Birim Fiyat (Döviz)],"&lt;0")&gt;0,"FAIL","PASS")</f>
        <v/>
      </c>
    </row>
    <row r="9" ht="15" customHeight="1" s="68">
      <c r="A9" s="117" t="inlineStr">
        <is>
          <t>Sıfır kur kontrolü</t>
        </is>
      </c>
      <c r="B9" s="123">
        <f>IF(COUNTIF(tblUrun[Kur (₺)],"=0")&gt;0,"FAIL","PASS")</f>
        <v/>
      </c>
    </row>
    <row r="10" ht="15" customHeight="1" s="68">
      <c r="A10" s="117" t="inlineStr">
        <is>
          <t>Boş kur kontrolü</t>
        </is>
      </c>
      <c r="B10" s="123">
        <f>IF(COUNTIF(tblUrun[Kur (₺)],"")&gt;0,"FAIL","PASS")</f>
        <v/>
      </c>
    </row>
    <row r="11" ht="15" customHeight="1" s="68">
      <c r="A11" s="117" t="inlineStr">
        <is>
          <t>Oran aralık kontrolü</t>
        </is>
      </c>
      <c r="B11" s="123">
        <f>IF(SUMPRODUCT(--(tblUrun[Gümrük Vergisi Oranı]&gt;1))+SUMPRODUCT(--(tblUrun[Gümrük Vergisi Oranı]&lt;0))&gt;0,"FAIL","PASS")</f>
        <v/>
      </c>
    </row>
    <row r="12" ht="15" customHeight="1" s="68">
      <c r="A12" s="117" t="inlineStr">
        <is>
          <t>Negatif masraf kontrolü</t>
        </is>
      </c>
      <c r="B12" s="123">
        <f>IF(COUNTIF(tblMasraf[Tutar TL],"&lt;0")&gt;0,"FAIL","PASS")</f>
        <v/>
      </c>
    </row>
    <row r="13"/>
    <row r="14"/>
    <row r="15" ht="15" customHeight="1" s="68">
      <c r="A15" s="116" t="inlineStr">
        <is>
          <t>SKORLAMA</t>
        </is>
      </c>
    </row>
    <row r="16" ht="15" customHeight="1" s="68">
      <c r="A16" s="124" t="inlineStr">
        <is>
          <t>PASS Sayısı</t>
        </is>
      </c>
      <c r="B16" s="125">
        <f>COUNTIF(B5:B12,"PASS")</f>
        <v/>
      </c>
    </row>
    <row r="17" ht="15" customHeight="1" s="68">
      <c r="A17" s="124" t="inlineStr">
        <is>
          <t>FAIL Sayısı</t>
        </is>
      </c>
      <c r="B17" s="125">
        <f>COUNTIF(B5:B12,"FAIL")</f>
        <v/>
      </c>
    </row>
    <row r="18" ht="15" customHeight="1" s="68">
      <c r="A18" s="124" t="inlineStr">
        <is>
          <t>WARN Sayısı</t>
        </is>
      </c>
      <c r="B18" s="125">
        <f>COUNTIF(B5:B12,"WARN")</f>
        <v/>
      </c>
    </row>
    <row r="19" ht="15" customHeight="1" s="68">
      <c r="A19" s="117" t="inlineStr">
        <is>
          <t>Veri Kalite Skoru</t>
        </is>
      </c>
      <c r="B19" s="118">
        <f>IFERROR(IF(DoluGirisHucre=0,0,MAX(0,VeriKaliteTaban-FAIL_Sayisi*VeriKaliteFailCeza-WARN_Sayisi*VeriKaliteUyariCeza)),0)</f>
        <v/>
      </c>
    </row>
    <row r="20" ht="15" customHeight="1" s="68">
      <c r="A20" s="124" t="inlineStr">
        <is>
          <t>Veri Kalite Seviyesi</t>
        </is>
      </c>
      <c r="B20" s="123">
        <f>IF(VeriKaliteSkoru&gt;=VeriKaliteIyiEsik,"İYİ",IF(VeriKaliteSkoru&gt;=VeriKaliteOrtaEsik,"ORTA","DÜŞÜK"))</f>
        <v/>
      </c>
    </row>
    <row r="21" ht="15" customHeight="1" s="68">
      <c r="A21" s="124" t="inlineStr">
        <is>
          <t>Dolu Girdi Hücresi</t>
        </is>
      </c>
      <c r="B21" s="125">
        <f>IFERROR(COUNTA(tblUrun[Ürün Adı])+COUNTA(tblMasraf[Masraf Kalemi]),0)</f>
        <v/>
      </c>
    </row>
    <row r="22" ht="15" customHeight="1" s="68">
      <c r="A22" s="124" t="inlineStr">
        <is>
          <t>Toplam Girdi Kapasitesi</t>
        </is>
      </c>
      <c r="B22" s="125">
        <f>IFERROR(ROWS(tblUrun)+ROWS(tblMasraf),0)</f>
        <v/>
      </c>
    </row>
    <row r="23" ht="15" customHeight="1" s="68">
      <c r="A23" s="124" t="inlineStr">
        <is>
          <t>Doluluk Oranı</t>
        </is>
      </c>
      <c r="B23" s="126">
        <f>IFERROR(DoluGirisHucre/KayitKapasite,0)</f>
        <v/>
      </c>
    </row>
    <row r="24" ht="15" customHeight="1" s="68">
      <c r="A24" s="117" t="inlineStr">
        <is>
          <t>Durum</t>
        </is>
      </c>
      <c r="B24" s="124">
        <f>IF(FAIL_Sayisi=0,"SAĞLIKLI","İNCELE")</f>
        <v/>
      </c>
    </row>
    <row r="25"/>
    <row r="26" ht="19.5" customHeight="1" s="68">
      <c r="A26" s="105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:B12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6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4" min="1" max="1"/>
    <col width="28" customWidth="1" style="94" min="2" max="2"/>
    <col width="22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15" customHeight="1" s="68">
      <c r="A3" s="107" t="inlineStr">
        <is>
          <t>Karar Motoru</t>
        </is>
      </c>
    </row>
    <row r="4"/>
    <row r="5" ht="15" customHeight="1" s="68">
      <c r="A5" s="116" t="inlineStr">
        <is>
          <t>DEPO TESLİM MALİYET ÖZETİ</t>
        </is>
      </c>
    </row>
    <row r="6" ht="15" customHeight="1" s="68">
      <c r="A6" s="124" t="inlineStr">
        <is>
          <t>Toplam Depo Teslim Maliyeti</t>
        </is>
      </c>
      <c r="B6" s="119">
        <f>ToplamDepoTeslimMaliyeti</f>
        <v/>
      </c>
    </row>
    <row r="7" ht="15" customHeight="1" s="68">
      <c r="A7" s="124" t="inlineStr">
        <is>
          <t>Maliyet Faktörü (Ağırlıklı)</t>
        </is>
      </c>
      <c r="B7" s="120">
        <f>MaliyetFaktoru</f>
        <v/>
      </c>
    </row>
    <row r="8" ht="15" customHeight="1" s="68">
      <c r="A8" s="124" t="inlineStr">
        <is>
          <t>Vergi Yükü Oranı</t>
        </is>
      </c>
      <c r="B8" s="121">
        <f>VergiYukOrani</f>
        <v/>
      </c>
    </row>
    <row r="9" ht="15" customHeight="1" s="68">
      <c r="A9" s="124" t="inlineStr">
        <is>
          <t>Mutabakat Farkı</t>
        </is>
      </c>
      <c r="B9" s="119">
        <f>modulT5MutabakatFark</f>
        <v/>
      </c>
    </row>
    <row r="10"/>
    <row r="11" ht="18.75" customHeight="1" s="68">
      <c r="A11" s="107" t="inlineStr">
        <is>
          <t>KARAR</t>
        </is>
      </c>
      <c r="B11" s="127">
        <f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/>
      </c>
    </row>
    <row r="12" ht="41.25" customHeight="1" s="68">
      <c r="A12" s="124" t="inlineStr">
        <is>
          <t>GEREKÇE</t>
        </is>
      </c>
      <c r="B12" s="128">
        <f>IF(VeriKaliteSkoru=0,"Girdi eksik; lütfen sarı hücreleri doldurun.",IF(MaliyetFaktoru&lt;1,"Maliyet faktörü 1 altında: FOB ve kur girişlerini kontrol edin.",IF(VergiYukOrani&gt;VergiYukEsik,"Vergi yükü oranı %"&amp;TEXT(VergiYukOrani,"0.0%")&amp;" eşiği aşıyor; vergi matrahı ve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/>
      </c>
    </row>
    <row r="13"/>
    <row r="14" ht="15" customHeight="1" s="68">
      <c r="A14" s="116" t="inlineStr">
        <is>
          <t>AKSİYONLAR</t>
        </is>
      </c>
    </row>
    <row r="15" ht="15" customHeight="1" s="68">
      <c r="A15" s="128">
        <f>IF(OR(KararSonuc="VERİ YOK",KararSonuc="DURDUR"),"Ürün ve masraf girişlerini tamamlayın; vergi matrahı ve kur değerlerini gözden geçirin",IF(VergiYukOrani&gt;VergiYukEsik,"Vergi yükü eşik üstünde; tedarikçi/rota değerlendirmesi yapın","Depo teslim maliyet hedefini sürdürün"))</f>
        <v/>
      </c>
    </row>
    <row r="16" ht="15" customHeight="1" s="68">
      <c r="A16" s="128">
        <f>IF(ABS(modulT5MutabakatFark)&gt;ToplamYurtIciMasraf*MutabakatEsikOran,"Masraf dağıtımı ile tablo farkı "&amp;TEXT(modulT5MutabakatFark,"#,##0")&amp;" ₺; dağıtımı denetleyin","Masraf mutabakatı tutarlı")</f>
        <v/>
      </c>
    </row>
    <row r="17" ht="15" customHeight="1" s="68">
      <c r="A17" s="128">
        <f>IF(AnomaliUrunAdedi&gt;0,"Uç birim maliyetli ürünlerin FOB ve oran girişlerini inceleyin","Birim maliyet dağılımı tutarlı")</f>
        <v/>
      </c>
    </row>
    <row r="18" ht="15" customHeight="1" s="68">
      <c r="A18" s="128">
        <f>IF(modulI7NakitAcik&gt;0,"Peşin ödenen ithal vergileri nakit açığı "&amp;TEXT(modulI7NakitAcik,"#,##0")&amp;" ₺; kısa vadeli nakit planı yapın","İthal vergileri nakit yükü karşılanıyor")</f>
        <v/>
      </c>
    </row>
    <row r="19"/>
    <row r="20"/>
    <row r="21" ht="19.5" customHeight="1" s="68">
      <c r="A21" s="105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9" text="" percent="0" bottom="0">
      <formula>"VERİ YOK"</formula>
    </cfRule>
  </conditionalFormatting>
  <conditionalFormatting sqref="B8">
    <cfRule type="cellIs" rank="0" priority="6" equalAverage="0" operator="greaterThan" aboveAverage="0" dxfId="7" text="" percent="0" bottom="0">
      <formula>VergiYukEsik</formula>
    </cfRule>
    <cfRule type="cellIs" rank="0" priority="7" equalAverage="0" operator="lessThanOrEqual" aboveAverage="0" dxfId="6" text="" percent="0" bottom="0">
      <formula>VergiYukEsik</formula>
    </cfRule>
  </conditionalFormatting>
  <conditionalFormatting sqref="B7">
    <cfRule type="cellIs" rank="0" priority="8" equalAverage="0" operator="greaterThan" aboveAverage="0" dxfId="7" text="" percent="0" bottom="0">
      <formula>MaliyetFaktorEsik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4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  <col width="13" customWidth="1" style="68" min="11" max="11"/>
  </cols>
  <sheetData>
    <row r="1" ht="32" customHeight="1" s="68">
      <c r="A1" s="269" t="inlineStr">
        <is>
          <t>SENARYO DUYARLILIK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</row>
    <row r="2"/>
    <row r="3" ht="22" customHeight="1" s="68">
      <c r="A3" s="288" t="inlineStr">
        <is>
          <t>Senaryo ve Duyarlılık Analizi</t>
        </is>
      </c>
    </row>
    <row r="4"/>
    <row r="5"/>
    <row r="6" ht="30" customHeight="1" s="68">
      <c r="A6" s="109" t="inlineStr">
        <is>
          <t>Değişken</t>
        </is>
      </c>
      <c r="B6" s="109" t="inlineStr">
        <is>
          <t>Kötümser</t>
        </is>
      </c>
      <c r="C6" s="109" t="inlineStr">
        <is>
          <t>Baz</t>
        </is>
      </c>
      <c r="D6" s="109" t="inlineStr">
        <is>
          <t>İyimser</t>
        </is>
      </c>
    </row>
    <row r="7" ht="15" customHeight="1" s="68">
      <c r="A7" s="117" t="inlineStr">
        <is>
          <t>Depo Teslim Maliyeti (₺)</t>
        </is>
      </c>
      <c r="B7" s="119">
        <f>IFERROR(ToplamDepoTeslimMaliyeti*(1+SenaryoKotumserKat),0)</f>
        <v/>
      </c>
      <c r="C7" s="119">
        <f>ToplamDepoTeslimMaliyeti</f>
        <v/>
      </c>
      <c r="D7" s="119">
        <f>IFERROR(ToplamDepoTeslimMaliyeti*(1-SenaryoIyimserKat),0)</f>
        <v/>
      </c>
    </row>
    <row r="8" ht="15" customHeight="1" s="68">
      <c r="A8" s="117" t="inlineStr">
        <is>
          <t>Vergi Yükü Oranı (Kötümser Senaryo)</t>
        </is>
      </c>
      <c r="B8" s="121">
        <f>IFERROR(VergiYukOrani*(1+SenaryoKotumserKat),0)</f>
        <v/>
      </c>
      <c r="C8" s="121">
        <f>VergiYukOrani</f>
        <v/>
      </c>
      <c r="D8" s="121">
        <f>IFERROR(VergiYukOrani*(1-SenaryoIyimserKat),0)</f>
        <v/>
      </c>
    </row>
    <row r="9" ht="15" customHeight="1" s="68">
      <c r="A9" s="117" t="inlineStr">
        <is>
          <t>Maliyet Faktörü (Kötümser Senaryo)</t>
        </is>
      </c>
      <c r="B9" s="120">
        <f>IFERROR(MaliyetFaktoru*(1+SenaryoKotumserKat),0)</f>
        <v/>
      </c>
      <c r="C9" s="120">
        <f>MaliyetFaktoru</f>
        <v/>
      </c>
      <c r="D9" s="120">
        <f>IFERROR(MaliyetFaktoru*(1-SenaryoIyimserKat),0)</f>
        <v/>
      </c>
    </row>
    <row r="10" ht="15" customHeight="1" s="68">
      <c r="A10" s="117" t="inlineStr">
        <is>
          <t>Nakit Açığı (Kötümser Senaryo)</t>
        </is>
      </c>
      <c r="B10" s="119">
        <f>IFERROR(MAX(0,ToplamVergi*(1+SenaryoKotumserKat)-PesinOdemeTutari),0)</f>
        <v/>
      </c>
      <c r="C10" s="119">
        <f>IFERROR(MAX(0,ToplamVergi-PesinOdemeTutari),0)</f>
        <v/>
      </c>
      <c r="D10" s="119">
        <f>IFERROR(MAX(0,ToplamVergi*(1-SenaryoIyimserKat)-PesinOdemeTutari),0)</f>
        <v/>
      </c>
    </row>
    <row r="11" ht="15" customHeight="1" s="68">
      <c r="A11" s="117" t="inlineStr">
        <is>
          <t>Karar</t>
        </is>
      </c>
      <c r="B11" s="123">
        <f>IF(VeriKaliteSkoru=0,"VERİ YOK",IF(B8&gt;VergiYukEsik,"DURDUR",IF(OR(B10&gt;0,B9&gt;MaliyetFaktorEsik),"İNCELE","UYGUN")))</f>
        <v/>
      </c>
      <c r="C11" s="123">
        <f>IF(VeriKaliteSkoru=0,"VERİ YOK",IF(C8&gt;VergiYukEsik,"DURDUR",IF(OR(C10&gt;0,C9&gt;MaliyetFaktorEsik),"İNCELE","UYGUN")))</f>
        <v/>
      </c>
      <c r="D11" s="123">
        <f>IF(VeriKaliteSkoru=0,"VERİ YOK",IF(D8&gt;VergiYukEsik,"DURDUR",IF(OR(D10&gt;0,D9&gt;MaliyetFaktorEsik),"İNCELE","UYGUN")))</f>
        <v/>
      </c>
    </row>
    <row r="12"/>
    <row r="13" ht="15" customHeight="1" s="68">
      <c r="A13" s="116" t="inlineStr">
        <is>
          <t>Tornado Duyarlılık</t>
        </is>
      </c>
    </row>
    <row r="14" ht="15" customHeight="1" s="68">
      <c r="A14" s="124" t="inlineStr">
        <is>
          <t>Kur Değişimi</t>
        </is>
      </c>
      <c r="B14" s="141">
        <f>IFERROR(OrtalamaKur*(1-DuyarliDegisim),0)</f>
        <v/>
      </c>
      <c r="C14" s="141">
        <f>OrtalamaKur</f>
        <v/>
      </c>
      <c r="D14" s="141">
        <f>IFERROR(OrtalamaKur*(1+DuyarliDegisim),0)</f>
        <v/>
      </c>
    </row>
    <row r="15" ht="15" customHeight="1" s="68">
      <c r="A15" s="124" t="inlineStr">
        <is>
          <t>Maliyet Etkisi (₺)</t>
        </is>
      </c>
      <c r="B15" s="139">
        <f>IFERROR(MAX(0,ToplamFOB*(1+DuyarliDegisim)*MaliyetFaktoru-ToplamDepoTeslimMaliyeti),0)</f>
        <v/>
      </c>
      <c r="C15" s="139">
        <f>IFERROR(MAX(0,ToplamFOB*MaliyetFaktoru-ToplamDepoTeslimMaliyeti),0)</f>
        <v/>
      </c>
      <c r="D15" s="139">
        <f>IFERROR(MAX(0,ToplamFOB*(1-DuyarliDegisim)*MaliyetFaktoru-ToplamDepoTeslimMaliyeti),0)</f>
        <v/>
      </c>
    </row>
    <row r="16"/>
    <row r="17" ht="15" customHeight="1" s="68">
      <c r="A17" s="124" t="inlineStr">
        <is>
          <t>Karar değişimi duyarlılığı</t>
        </is>
      </c>
      <c r="B17" s="124">
        <f>IF(VeriKaliteSkoru=0,"VERİ YOK",IF(MAX(B10,C10,D10)&gt;0,"NAKİT AÇIĞI VAR","NAKİT DENGELİ"))</f>
        <v/>
      </c>
    </row>
    <row r="18"/>
    <row r="19" ht="19.5" customHeight="1" s="68">
      <c r="A19" s="105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AN19"/>
    <mergeCell ref="A1:J1"/>
    <mergeCell ref="A3:J3"/>
  </mergeCells>
  <conditionalFormatting sqref="B7:D10">
    <cfRule type="cellIs" rank="0" priority="2" equalAverage="0" operator="greaterThan" aboveAverage="0" dxfId="6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8.5" customWidth="1" style="94" min="1" max="1"/>
    <col width="26" customWidth="1" style="94" min="2" max="2"/>
    <col width="30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RAPOR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 ht="24.75" customHeight="1" s="68">
      <c r="A2" s="142" t="inlineStr">
        <is>
          <t>İTHALAT DEPO TESLİM (RAFA GELEN) NET BİRİM MALİYET</t>
        </is>
      </c>
    </row>
    <row r="3" ht="15" customHeight="1" s="68">
      <c r="A3" s="107" t="inlineStr">
        <is>
          <t>Yönetici Raporu</t>
        </is>
      </c>
    </row>
    <row r="4" ht="15" customHeight="1" s="68">
      <c r="A4" s="124" t="inlineStr">
        <is>
          <t xml:space="preserve">Firma: </t>
        </is>
      </c>
      <c r="B4" s="123">
        <f>firmaUnvani</f>
        <v/>
      </c>
    </row>
    <row r="5" ht="15" customHeight="1" s="68">
      <c r="A5" s="124" t="inlineStr">
        <is>
          <t xml:space="preserve">Rapor Tarihi: </t>
        </is>
      </c>
      <c r="B5" s="143">
        <f>raporTarihi</f>
        <v/>
      </c>
    </row>
    <row r="6" ht="18.75" customHeight="1" s="68">
      <c r="A6" s="144" t="inlineStr">
        <is>
          <t xml:space="preserve">KARAR: </t>
        </is>
      </c>
      <c r="B6" s="145">
        <f>KararSonuc</f>
        <v/>
      </c>
    </row>
    <row r="7"/>
    <row r="8" ht="15" customHeight="1" s="68">
      <c r="A8" s="116" t="inlineStr">
        <is>
          <t>ÖZET TABLOSU</t>
        </is>
      </c>
    </row>
    <row r="9" ht="15" customHeight="1" s="68">
      <c r="A9" s="117" t="inlineStr">
        <is>
          <t>Toplam Depo Teslim Maliyeti (₺)</t>
        </is>
      </c>
      <c r="B9" s="119">
        <f>ToplamDepoTeslimMaliyeti</f>
        <v/>
      </c>
    </row>
    <row r="10" ht="15" customHeight="1" s="68">
      <c r="A10" s="117" t="inlineStr">
        <is>
          <t>Maliyet Faktörü (Ağırlıklı)</t>
        </is>
      </c>
      <c r="B10" s="120">
        <f>MaliyetFaktoru</f>
        <v/>
      </c>
    </row>
    <row r="11" ht="15" customHeight="1" s="68">
      <c r="A11" s="117" t="inlineStr">
        <is>
          <t>Vergi Yükü Oranı</t>
        </is>
      </c>
      <c r="B11" s="121">
        <f>VergiYukOrani</f>
        <v/>
      </c>
    </row>
    <row r="12" ht="15" customHeight="1" s="68">
      <c r="A12" s="117" t="inlineStr">
        <is>
          <t>Toplam FOB (₺)</t>
        </is>
      </c>
      <c r="B12" s="119">
        <f>ToplamFOB</f>
        <v/>
      </c>
    </row>
    <row r="13" ht="15" customHeight="1" s="68">
      <c r="A13" s="117" t="inlineStr">
        <is>
          <t>Toplam Vergi (₺)</t>
        </is>
      </c>
      <c r="B13" s="119">
        <f>ToplamVergi</f>
        <v/>
      </c>
    </row>
    <row r="14" ht="15" customHeight="1" s="68">
      <c r="A14" s="117" t="inlineStr">
        <is>
          <t>Yurt İçi Masraflar (₺)</t>
        </is>
      </c>
      <c r="B14" s="119">
        <f>ToplamYurtIciMasraf</f>
        <v/>
      </c>
    </row>
    <row r="15" ht="15" customHeight="1" s="68">
      <c r="A15" s="117" t="inlineStr">
        <is>
          <t>Veri Kalite Skoru</t>
        </is>
      </c>
      <c r="B15" s="118">
        <f>VeriKaliteSkoru</f>
        <v/>
      </c>
    </row>
    <row r="16" ht="15" customHeight="1" s="68">
      <c r="A16" s="117" t="inlineStr">
        <is>
          <t>Toplam Adet</t>
        </is>
      </c>
      <c r="B16" s="118">
        <f>ToplamAdet</f>
        <v/>
      </c>
    </row>
    <row r="17"/>
    <row r="18" ht="15" customHeight="1" s="68">
      <c r="A18" s="146">
        <f>KararGerekce</f>
        <v/>
      </c>
    </row>
    <row r="19" ht="15" customHeight="1" s="68"/>
    <row r="20" ht="15" customHeight="1" s="68">
      <c r="A20" s="116" t="inlineStr">
        <is>
          <t>VARSAYIMLAR</t>
        </is>
      </c>
    </row>
    <row r="21" ht="15" customHeight="1" s="68">
      <c r="A21" s="108" t="inlineStr">
        <is>
          <t>Gümrük vergisi, ÖTV ve KDV oranları AYARLAR'dan okunur; GTİP ve mevzuat değişikliğinde güncellenmelidir.</t>
        </is>
      </c>
    </row>
    <row r="22" ht="15" customHeight="1" s="68">
      <c r="A22" s="108" t="inlineStr">
        <is>
          <t>Döviz kurları AYARLAR'dan okunur; kullanıcı güncel kuru girmelidir.</t>
        </is>
      </c>
    </row>
    <row r="23" ht="15" customHeight="1" s="68">
      <c r="A23" s="108" t="inlineStr">
        <is>
          <t>Yurt içi masraflar FOB payıyla ürünlere dağıtılır; dağıtım anahtarı değiştirilebilir.</t>
        </is>
      </c>
    </row>
    <row r="24"/>
    <row r="25" ht="15" customHeight="1" s="68">
      <c r="A25" s="116" t="inlineStr">
        <is>
          <t>UYARILAR</t>
        </is>
      </c>
    </row>
    <row r="26" ht="15" customHeight="1" s="68">
      <c r="A26" s="99" t="inlineStr">
        <is>
          <t>Vergi yükü eşiği aşılırsa depo teslim maliyeti rekabetçi olmayabilir.</t>
        </is>
      </c>
    </row>
    <row r="27" ht="15" customHeight="1" s="68">
      <c r="A27" s="99" t="inlineStr">
        <is>
          <t>Kur yüksekliği maliyet faktörünü artırır; tedarikçi/rota değerlendirmesi gerekebilir.</t>
        </is>
      </c>
    </row>
    <row r="28" ht="15" customHeight="1" s="68">
      <c r="A28" s="99" t="inlineStr">
        <is>
          <t>Masraf mutabakat farkı varsa dağıtım anahtarı veya masraf girişleri yanlış olabilir.</t>
        </is>
      </c>
    </row>
    <row r="29"/>
    <row r="30" ht="15" customHeight="1" s="68">
      <c r="A30" s="116" t="inlineStr">
        <is>
          <t>ÖNERİLEN AKSİYONLAR</t>
        </is>
      </c>
    </row>
    <row r="31" ht="15" customHeight="1" s="68">
      <c r="A31" s="128" t="inlineStr">
        <is>
          <t>Vergi yükü eşik üstünde ise tedarikçi, teslim şekli ve gümrük rejimini değerlendirin.</t>
        </is>
      </c>
    </row>
    <row r="32" ht="15" customHeight="1" s="68">
      <c r="A32" s="128" t="inlineStr">
        <is>
          <t>Nakit açığı varsa ithal vergilerinin ödeme zamanlamasını ve finansmanını planlayın.</t>
        </is>
      </c>
    </row>
    <row r="33" ht="15" customHeight="1" s="68">
      <c r="A33" s="128" t="inlineStr">
        <is>
          <t>Veri kalite skoru düşükse ürün ve masraf girişlerini tamamlayıp raporu yeniden oluşturun.</t>
        </is>
      </c>
    </row>
    <row r="34"/>
    <row r="35"/>
    <row r="36" ht="15" customHeight="1" s="68">
      <c r="A36" s="101" t="inlineStr">
        <is>
          <t>Bu rapor ExcelArşiv aracıyla üretilmiştir; karar destek amaçlıdır, danışmanlık yerine geçmez.</t>
        </is>
      </c>
    </row>
    <row r="37" ht="15" customHeight="1" s="68">
      <c r="A37" s="101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1:I1"/>
    <mergeCell ref="A27:C27"/>
    <mergeCell ref="A21:C21"/>
    <mergeCell ref="A26:C26"/>
  </mergeCells>
  <conditionalFormatting sqref="B6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11">
    <cfRule type="cellIs" rank="0" priority="5" equalAverage="0" operator="greaterThan" aboveAverage="0" dxfId="7" text="" percent="0" bottom="0">
      <formula>VergiYukEsik</formula>
    </cfRule>
    <cfRule type="cellIs" rank="0" priority="6" equalAverage="0" operator="lessThanOrEqual" aboveAverage="0" dxfId="6" text="" percent="0" bottom="0">
      <formula>VergiYukEsik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&amp;LİTHALAT DEPO TESLİM (RAFA GELEN) NET BİRİM MALİYET&amp;CExcelArşiv&amp;RSayfa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94" min="1" max="1"/>
    <col width="12.5" customWidth="1" style="94" min="2" max="3"/>
    <col width="21.5" customWidth="1" style="68" min="3" max="3"/>
    <col width="27.5" customWidth="1" style="94" min="4" max="4"/>
    <col width="15.5" customWidth="1" style="94" min="5" max="6"/>
    <col width="13" customWidth="1" style="68" min="6" max="6"/>
    <col width="24.5" customWidth="1" style="94" min="7" max="10"/>
    <col width="24.5" customWidth="1" style="68" min="8" max="8"/>
    <col width="13.5" customWidth="1" style="68" min="9" max="9"/>
    <col width="13.5" customWidth="1" style="68" min="10" max="10"/>
    <col width="13" customWidth="1" style="68" min="11" max="11"/>
  </cols>
  <sheetData>
    <row r="1" ht="32" customHeight="1" s="68">
      <c r="A1" s="269" t="inlineStr">
        <is>
          <t>ORNEK VERI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</row>
    <row r="2"/>
    <row r="3" ht="22" customHeight="1" s="68">
      <c r="A3" s="288" t="inlineStr">
        <is>
          <t>Örnek Veri (URUNLER)</t>
        </is>
      </c>
    </row>
    <row r="4"/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</row>
    <row r="6" ht="15" customHeight="1" s="68">
      <c r="A6" s="147" t="inlineStr">
        <is>
          <t>Hidrolik Pompa</t>
        </is>
      </c>
      <c r="B6" s="147" t="inlineStr">
        <is>
          <t>Adet</t>
        </is>
      </c>
      <c r="C6" s="125" t="n">
        <v>50</v>
      </c>
      <c r="D6" s="141" t="n">
        <v>120</v>
      </c>
      <c r="E6" s="147" t="inlineStr">
        <is>
          <t>USD</t>
        </is>
      </c>
      <c r="F6" s="141" t="n">
        <v>38.5</v>
      </c>
      <c r="G6" s="126" t="n">
        <v>0.05</v>
      </c>
      <c r="H6" s="126" t="n">
        <v>0.05</v>
      </c>
      <c r="I6" s="126" t="n">
        <v>0.1</v>
      </c>
      <c r="J6" s="126" t="n">
        <v>0.2</v>
      </c>
    </row>
    <row r="7" ht="15" customHeight="1" s="68">
      <c r="A7" s="147" t="inlineStr">
        <is>
          <t>Vana Seti</t>
        </is>
      </c>
      <c r="B7" s="147" t="inlineStr">
        <is>
          <t>Adet</t>
        </is>
      </c>
      <c r="C7" s="125" t="n">
        <v>200</v>
      </c>
      <c r="D7" s="141" t="n">
        <v>15</v>
      </c>
      <c r="E7" s="147" t="inlineStr">
        <is>
          <t>USD</t>
        </is>
      </c>
      <c r="F7" s="141" t="n">
        <v>38.5</v>
      </c>
      <c r="G7" s="126" t="n">
        <v>0.05</v>
      </c>
      <c r="H7" s="126" t="n">
        <v>0.05</v>
      </c>
      <c r="I7" s="126" t="n">
        <v>0.1</v>
      </c>
      <c r="J7" s="126" t="n">
        <v>0.2</v>
      </c>
    </row>
    <row r="8" ht="15" customHeight="1" s="68">
      <c r="A8" s="147" t="inlineStr">
        <is>
          <t>Boru Bağlantı Elemanı</t>
        </is>
      </c>
      <c r="B8" s="147" t="inlineStr">
        <is>
          <t>Kg</t>
        </is>
      </c>
      <c r="C8" s="125" t="n">
        <v>3000</v>
      </c>
      <c r="D8" s="141" t="n">
        <v>4</v>
      </c>
      <c r="E8" s="147" t="inlineStr">
        <is>
          <t>EUR</t>
        </is>
      </c>
      <c r="F8" s="141" t="n">
        <v>42</v>
      </c>
      <c r="G8" s="126" t="n">
        <v>0.05</v>
      </c>
      <c r="H8" s="126" t="n">
        <v>0.05</v>
      </c>
      <c r="I8" s="126" t="n">
        <v>0.1</v>
      </c>
      <c r="J8" s="126" t="n">
        <v>0.2</v>
      </c>
    </row>
    <row r="9" ht="15" customHeight="1" s="68">
      <c r="A9" s="147" t="inlineStr">
        <is>
          <t>Endüstriyel Motor</t>
        </is>
      </c>
      <c r="B9" s="147" t="inlineStr">
        <is>
          <t>Adet</t>
        </is>
      </c>
      <c r="C9" s="125" t="n">
        <v>25</v>
      </c>
      <c r="D9" s="141" t="n">
        <v>850</v>
      </c>
      <c r="E9" s="147" t="inlineStr">
        <is>
          <t>EUR</t>
        </is>
      </c>
      <c r="F9" s="141" t="n">
        <v>42</v>
      </c>
      <c r="G9" s="126" t="n">
        <v>0.05</v>
      </c>
      <c r="H9" s="126" t="n">
        <v>0.05</v>
      </c>
      <c r="I9" s="126" t="n">
        <v>0.1</v>
      </c>
      <c r="J9" s="126" t="n">
        <v>0.2</v>
      </c>
    </row>
    <row r="10"/>
    <row r="11"/>
    <row r="12"/>
    <row r="13" ht="15" customHeight="1" s="68">
      <c r="A13" s="107" t="inlineStr">
        <is>
          <t>Örnek Veri (MASRAFLAR)</t>
        </is>
      </c>
    </row>
    <row r="14"/>
    <row r="15" ht="30" customHeight="1" s="68">
      <c r="A15" s="109" t="inlineStr">
        <is>
          <t>Masraf Kalemi</t>
        </is>
      </c>
      <c r="B15" s="109" t="inlineStr">
        <is>
          <t>Tutar TL</t>
        </is>
      </c>
      <c r="C15" s="109" t="inlineStr">
        <is>
          <t>Açıklama</t>
        </is>
      </c>
    </row>
    <row r="16" ht="15" customHeight="1" s="68">
      <c r="A16" s="147" t="inlineStr">
        <is>
          <t>Liman ve Antrepo</t>
        </is>
      </c>
      <c r="B16" s="139" t="n">
        <v>25000</v>
      </c>
      <c r="C16" s="147" t="inlineStr">
        <is>
          <t>Sevkiyat başı</t>
        </is>
      </c>
    </row>
    <row r="17" ht="15" customHeight="1" s="68">
      <c r="A17" s="147" t="inlineStr">
        <is>
          <t>Gümrük Müşavirliği</t>
        </is>
      </c>
      <c r="B17" s="139" t="n">
        <v>8000</v>
      </c>
      <c r="C17" s="147" t="inlineStr">
        <is>
          <t>Beyan ve refakat</t>
        </is>
      </c>
    </row>
    <row r="18" ht="15" customHeight="1" s="68">
      <c r="A18" s="147" t="inlineStr">
        <is>
          <t>Yurt İçi Nakliye</t>
        </is>
      </c>
      <c r="B18" s="139" t="n">
        <v>15000</v>
      </c>
      <c r="C18" s="147" t="inlineStr">
        <is>
          <t>Liman → depo</t>
        </is>
      </c>
    </row>
    <row r="19" ht="15" customHeight="1" s="68">
      <c r="A19" s="147" t="inlineStr">
        <is>
          <t>Belgelendirme</t>
        </is>
      </c>
      <c r="B19" s="139" t="n">
        <v>3000</v>
      </c>
      <c r="C19" s="147" t="inlineStr">
        <is>
          <t>Menşe ve uygunluk</t>
        </is>
      </c>
    </row>
    <row r="20"/>
    <row r="21" ht="19.5" customHeight="1" s="68">
      <c r="A21" s="105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AN21"/>
    <mergeCell ref="A1:J1"/>
    <mergeCell ref="A3:J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4" min="1" max="1"/>
    <col width="33.5" customWidth="1" style="94" min="2" max="2"/>
    <col width="29.5" customWidth="1" style="94" min="3" max="3"/>
    <col width="30.5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ANAHTAR — IthalatDepoTeslimNetBirimMaliyet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15" customHeight="1" s="68">
      <c r="A3" s="94" t="inlineStr">
        <is>
          <t>ham_anahtar</t>
        </is>
      </c>
      <c r="B3" s="94" t="inlineStr">
        <is>
          <t>norm_anahtar</t>
        </is>
      </c>
      <c r="C3" s="94" t="inlineStr">
        <is>
          <t>duplike_sayisi</t>
        </is>
      </c>
      <c r="D3" s="94" t="inlineStr">
        <is>
          <t>not</t>
        </is>
      </c>
    </row>
    <row r="4" ht="15" customHeight="1" s="68">
      <c r="A4" s="94" t="inlineStr">
        <is>
          <t>ORNEK-001</t>
        </is>
      </c>
      <c r="B4" s="94">
        <f>UPPER(SUBSTITUTE(A4," ",""))</f>
        <v/>
      </c>
      <c r="C4" s="94">
        <f>COUNTIF($A$4:$A$1000,A4)</f>
        <v/>
      </c>
      <c r="D4" s="94" t="inlineStr">
        <is>
          <t>normalize + duplike izi</t>
        </is>
      </c>
    </row>
    <row r="5" ht="15" customHeight="1" s="68">
      <c r="A5" s="94" t="inlineStr">
        <is>
          <t>ORNEK-002</t>
        </is>
      </c>
      <c r="B5" s="94">
        <f>UPPER(SUBSTITUTE(A5," ",""))</f>
        <v/>
      </c>
      <c r="C5" s="94">
        <f>COUNTIF($A$4:$A$1000,A5)</f>
        <v/>
      </c>
      <c r="D5" s="9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8" customWidth="1" style="94" min="2" max="2"/>
    <col width="12" customWidth="1" style="94" min="3" max="4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ESLESTIRME — IthalatDepoTeslimNetBirimMaliyet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15" customHeight="1" s="68">
      <c r="A3" s="94" t="inlineStr">
        <is>
          <t>kova</t>
        </is>
      </c>
      <c r="B3" s="94" t="inlineStr">
        <is>
          <t>aciklama</t>
        </is>
      </c>
      <c r="C3" s="94" t="inlineStr">
        <is>
          <t>tutar</t>
        </is>
      </c>
      <c r="D3" s="94" t="inlineStr">
        <is>
          <t>tolerans</t>
        </is>
      </c>
    </row>
    <row r="4" ht="15" customHeight="1" s="68">
      <c r="A4" s="94" t="inlineStr">
        <is>
          <t>ESLESEN</t>
        </is>
      </c>
      <c r="B4" s="94" t="inlineStr">
        <is>
          <t>Tam eşleşen kayıtlar</t>
        </is>
      </c>
      <c r="C4" s="148" t="n">
        <v>0</v>
      </c>
      <c r="D4" s="148" t="n">
        <v>0</v>
      </c>
    </row>
    <row r="5" ht="15" customHeight="1" s="68">
      <c r="A5" s="94" t="inlineStr">
        <is>
          <t>TOLERANS</t>
        </is>
      </c>
      <c r="B5" s="94" t="inlineStr">
        <is>
          <t>Tolerans içi fark</t>
        </is>
      </c>
      <c r="C5" s="148" t="n">
        <v>0</v>
      </c>
      <c r="D5" s="148" t="n">
        <v>0.01</v>
      </c>
    </row>
    <row r="6" ht="15" customHeight="1" s="68">
      <c r="A6" s="94" t="inlineStr">
        <is>
          <t>TUTARSIZ</t>
        </is>
      </c>
      <c r="B6" s="94" t="inlineStr">
        <is>
          <t>Tutar uyuşmazlığı</t>
        </is>
      </c>
      <c r="C6" s="148" t="n">
        <v>0</v>
      </c>
      <c r="D6" s="148" t="n">
        <v>0</v>
      </c>
    </row>
    <row r="7" ht="15" customHeight="1" s="68">
      <c r="A7" s="94" t="inlineStr">
        <is>
          <t>ESLESMEYEN</t>
        </is>
      </c>
      <c r="B7" s="94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42" customWidth="1" style="94" min="2" max="2"/>
    <col width="18.5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KOK_NEDEN — IthalatDepoTeslimNetBirimMaliyet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15" customHeight="1" s="68">
      <c r="A3" s="94" t="inlineStr">
        <is>
          <t>kova</t>
        </is>
      </c>
      <c r="B3" s="94" t="inlineStr">
        <is>
          <t>kok_neden</t>
        </is>
      </c>
      <c r="C3" s="94" t="inlineStr">
        <is>
          <t>aksiyon</t>
        </is>
      </c>
    </row>
    <row r="4" ht="15" customHeight="1" s="68">
      <c r="A4" s="94" t="inlineStr">
        <is>
          <t>TANIMSIZ</t>
        </is>
      </c>
      <c r="B4" s="94" t="inlineStr">
        <is>
          <t>Sınıflandırılamayan kayıt — elle incele</t>
        </is>
      </c>
      <c r="C4" s="94" t="inlineStr">
        <is>
          <t>Manuel inceleme</t>
        </is>
      </c>
    </row>
    <row r="5" ht="15" customHeight="1" s="68">
      <c r="A5" s="94" t="inlineStr">
        <is>
          <t>ESLESMEYEN</t>
        </is>
      </c>
      <c r="B5" s="94" t="inlineStr">
        <is>
          <t>Karşı tarafta yok</t>
        </is>
      </c>
      <c r="C5" s="94" t="inlineStr">
        <is>
          <t>Veri tamamlama</t>
        </is>
      </c>
    </row>
    <row r="6" ht="15" customHeight="1" s="68">
      <c r="A6" s="94" t="inlineStr">
        <is>
          <t>TUTARSIZ</t>
        </is>
      </c>
      <c r="B6" s="94" t="inlineStr">
        <is>
          <t>Tutar farkı</t>
        </is>
      </c>
      <c r="C6" s="9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4" min="1" max="1"/>
    <col width="20" customWidth="1" style="94" min="2" max="2"/>
    <col width="103.5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DEGISIKLIK KAYDI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Değişiklik Kaydı</t>
        </is>
      </c>
    </row>
    <row r="4"/>
    <row r="5" ht="30" customHeight="1" s="68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</row>
    <row r="6" ht="27.75" customHeight="1" s="68">
      <c r="A6" s="147" t="inlineStr">
        <is>
          <t>1.0.0</t>
        </is>
      </c>
      <c r="B6" s="147" t="inlineStr">
        <is>
          <t>09.08.2026</t>
        </is>
      </c>
      <c r="C6" s="128" t="inlineStr">
        <is>
          <t>İlk sürüm: FOB→CIF→vergi zinciri, depo teslim net birim maliyet, karar motoru ve 16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LISTELER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Açılır Liste Kaynakları</t>
        </is>
      </c>
    </row>
    <row r="4" ht="15" customHeight="1" s="68">
      <c r="A4" s="117" t="inlineStr">
        <is>
          <t>Döviz Cinsleri</t>
        </is>
      </c>
      <c r="B4" s="117" t="inlineStr">
        <is>
          <t>Birimler</t>
        </is>
      </c>
    </row>
    <row r="5"/>
    <row r="6" ht="15" customHeight="1" s="68">
      <c r="A6" s="149" t="inlineStr">
        <is>
          <t>USD</t>
        </is>
      </c>
      <c r="B6" s="149" t="inlineStr">
        <is>
          <t>Adet</t>
        </is>
      </c>
    </row>
    <row r="7" ht="15" customHeight="1" s="68">
      <c r="A7" s="149" t="inlineStr">
        <is>
          <t>EUR</t>
        </is>
      </c>
      <c r="B7" s="149" t="inlineStr">
        <is>
          <t>Kg</t>
        </is>
      </c>
    </row>
    <row r="8" ht="15" customHeight="1" s="68">
      <c r="A8" s="149" t="inlineStr">
        <is>
          <t>GBP</t>
        </is>
      </c>
      <c r="B8" s="149" t="inlineStr">
        <is>
          <t>Ton</t>
        </is>
      </c>
    </row>
    <row r="9" ht="15" customHeight="1" s="68">
      <c r="B9" s="149" t="inlineStr">
        <is>
          <t>Palet</t>
        </is>
      </c>
    </row>
    <row r="10" ht="15" customHeight="1" s="68">
      <c r="B10" s="149" t="inlineStr">
        <is>
          <t>Metre</t>
        </is>
      </c>
    </row>
    <row r="11"/>
    <row r="12"/>
    <row r="13" ht="19.5" customHeight="1" s="68">
      <c r="A13" s="105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4" min="1" max="1"/>
    <col width="31.5" customWidth="1" style="94" min="2" max="2"/>
    <col width="21.5" customWidth="1" style="94" min="3" max="3"/>
    <col width="11.5" customWidth="1" style="94" min="4" max="4"/>
    <col width="75.5" customWidth="1" style="94" min="5" max="5"/>
    <col width="45.5" customWidth="1" style="94" min="6" max="6"/>
    <col width="19.5" customWidth="1" style="94" min="7" max="8"/>
    <col width="20.5" customWidth="1" style="68" min="8" max="8"/>
    <col width="13" customWidth="1" style="68" min="9" max="9"/>
  </cols>
  <sheetData>
    <row r="1" ht="32" customHeight="1" s="68">
      <c r="A1" s="269" t="inlineStr">
        <is>
          <t>AYARLAR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</row>
    <row r="2"/>
    <row r="3" ht="22" customHeight="1" s="68">
      <c r="A3" s="288" t="inlineStr">
        <is>
          <t>Ayarlar ve Eşikler (Formüle Sabit Sayı Girilmez)</t>
        </is>
      </c>
    </row>
    <row r="4" ht="15" customHeight="1" s="68">
      <c r="A4" s="10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8">
      <c r="A5" s="109" t="inlineStr">
        <is>
          <t>Grup</t>
        </is>
      </c>
      <c r="B5" s="109" t="inlineStr">
        <is>
          <t>Anahtar</t>
        </is>
      </c>
      <c r="C5" s="109" t="inlineStr">
        <is>
          <t>Değer</t>
        </is>
      </c>
      <c r="D5" s="109" t="inlineStr">
        <is>
          <t>Birim</t>
        </is>
      </c>
      <c r="E5" s="109" t="inlineStr">
        <is>
          <t>Açıklama</t>
        </is>
      </c>
      <c r="F5" s="109" t="inlineStr">
        <is>
          <t>kaynak</t>
        </is>
      </c>
      <c r="G5" s="109" t="inlineStr">
        <is>
          <t>yururluk_tarihi</t>
        </is>
      </c>
      <c r="H5" s="109" t="inlineStr">
        <is>
          <t>dogrulama_tarihi</t>
        </is>
      </c>
    </row>
    <row r="6" ht="15" customHeight="1" s="68">
      <c r="A6" s="150" t="inlineStr">
        <is>
          <t>Genel</t>
        </is>
      </c>
      <c r="B6" s="150" t="inlineStr">
        <is>
          <t>firmaUnvani</t>
        </is>
      </c>
      <c r="C6" s="151" t="inlineStr">
        <is>
          <t>Örnek Şirket A.Ş.</t>
        </is>
      </c>
      <c r="D6" s="150" t="inlineStr">
        <is>
          <t>metin</t>
        </is>
      </c>
      <c r="E6" s="152" t="inlineStr">
        <is>
          <t>Rapor başlığında görünen firma adı</t>
        </is>
      </c>
      <c r="F6" s="152" t="inlineStr">
        <is>
          <t>Kullanıcı</t>
        </is>
      </c>
      <c r="G6" s="153" t="inlineStr">
        <is>
          <t>09.08.2026</t>
        </is>
      </c>
      <c r="H6" s="153" t="inlineStr">
        <is>
          <t>09.08.2026</t>
        </is>
      </c>
    </row>
    <row r="7" ht="15" customHeight="1" s="68">
      <c r="A7" s="150" t="inlineStr">
        <is>
          <t>Genel</t>
        </is>
      </c>
      <c r="B7" s="150" t="inlineStr">
        <is>
          <t>raporTarihi</t>
        </is>
      </c>
      <c r="C7" s="154">
        <f>TODAY()</f>
        <v/>
      </c>
      <c r="D7" s="150" t="inlineStr">
        <is>
          <t>tarih</t>
        </is>
      </c>
      <c r="E7" s="152" t="inlineStr">
        <is>
          <t>Dosyadaki tek tarih kaynağı; tüm rapor tarihleri buradan okunur.</t>
        </is>
      </c>
      <c r="F7" s="152" t="inlineStr">
        <is>
          <t>Kullanıcı</t>
        </is>
      </c>
      <c r="G7" s="153" t="inlineStr">
        <is>
          <t>09.08.2026</t>
        </is>
      </c>
      <c r="H7" s="153" t="inlineStr">
        <is>
          <t>09.08.2026</t>
        </is>
      </c>
    </row>
    <row r="8" ht="24.75" customHeight="1" s="68">
      <c r="A8" s="150" t="inlineStr">
        <is>
          <t>Kur</t>
        </is>
      </c>
      <c r="B8" s="150" t="inlineStr">
        <is>
          <t>VarsayilanKur</t>
        </is>
      </c>
      <c r="C8" s="155" t="n">
        <v>38.5</v>
      </c>
      <c r="D8" s="150" t="inlineStr">
        <is>
          <t>₺/USD</t>
        </is>
      </c>
      <c r="E8" s="152" t="inlineStr">
        <is>
          <t>Döviz cinsi dolu ama kur boş bırakılırsa kullanılan varsayılan kur.</t>
        </is>
      </c>
      <c r="F8" s="152" t="inlineStr">
        <is>
          <t>TCMB gösterge kuru; kullanıcı doğrulamalı</t>
        </is>
      </c>
      <c r="G8" s="153" t="inlineStr">
        <is>
          <t>09.08.2026</t>
        </is>
      </c>
      <c r="H8" s="153" t="inlineStr">
        <is>
          <t>09.08.2026</t>
        </is>
      </c>
    </row>
    <row r="9" ht="24.75" customHeight="1" s="68">
      <c r="A9" s="150" t="inlineStr">
        <is>
          <t>Kur</t>
        </is>
      </c>
      <c r="B9" s="150" t="inlineStr">
        <is>
          <t>OncekiKur</t>
        </is>
      </c>
      <c r="C9" s="155" t="n">
        <v>35</v>
      </c>
      <c r="D9" s="150" t="inlineStr">
        <is>
          <t>₺/USD</t>
        </is>
      </c>
      <c r="E9" s="152" t="inlineStr">
        <is>
          <t>Önceki dönem kuru; kur dönem farkı analizinin tabanı.</t>
        </is>
      </c>
      <c r="F9" s="152" t="inlineStr">
        <is>
          <t>TCMB gösterge kuru; kullanıcı doğrulamalı</t>
        </is>
      </c>
      <c r="G9" s="153" t="inlineStr">
        <is>
          <t>09.08.2026</t>
        </is>
      </c>
      <c r="H9" s="153" t="inlineStr">
        <is>
          <t>09.08.2026</t>
        </is>
      </c>
    </row>
    <row r="10" ht="15" customHeight="1" s="68">
      <c r="A10" s="150" t="inlineStr">
        <is>
          <t>Vergi</t>
        </is>
      </c>
      <c r="B10" s="150" t="inlineStr">
        <is>
          <t>GumrukOranVarsayilan</t>
        </is>
      </c>
      <c r="C10" s="156" t="n">
        <v>0.05</v>
      </c>
      <c r="D10" s="150" t="inlineStr">
        <is>
          <t>oran</t>
        </is>
      </c>
      <c r="E10" s="152" t="inlineStr">
        <is>
          <t>Ürün satırında oran boşsa kullanılan varsayılan gümrük vergisi oranı.</t>
        </is>
      </c>
      <c r="F10" s="152" t="inlineStr">
        <is>
          <t>İthalat Rejimi Kararı; GTİP bazlı</t>
        </is>
      </c>
      <c r="G10" s="153" t="inlineStr">
        <is>
          <t>09.08.2026</t>
        </is>
      </c>
      <c r="H10" s="153" t="inlineStr">
        <is>
          <t>09.08.2026</t>
        </is>
      </c>
    </row>
    <row r="11" ht="24.75" customHeight="1" s="68">
      <c r="A11" s="150" t="inlineStr">
        <is>
          <t>Vergi</t>
        </is>
      </c>
      <c r="B11" s="150" t="inlineStr">
        <is>
          <t>OtvOranVarsayilan</t>
        </is>
      </c>
      <c r="C11" s="156" t="n">
        <v>0.1</v>
      </c>
      <c r="D11" s="150" t="inlineStr">
        <is>
          <t>oran</t>
        </is>
      </c>
      <c r="E11" s="152" t="inlineStr">
        <is>
          <t>Ürün satırında oran boşsa kullanılan varsayılan ÖTV oranı.</t>
        </is>
      </c>
      <c r="F11" s="152" t="inlineStr">
        <is>
          <t>4760 s. ÖTV Kanunu Liste; GTİP bazlı</t>
        </is>
      </c>
      <c r="G11" s="153" t="inlineStr">
        <is>
          <t>09.08.2026</t>
        </is>
      </c>
      <c r="H11" s="153" t="inlineStr">
        <is>
          <t>09.08.2026</t>
        </is>
      </c>
    </row>
    <row r="12" ht="15" customHeight="1" s="68">
      <c r="A12" s="150" t="inlineStr">
        <is>
          <t>Vergi</t>
        </is>
      </c>
      <c r="B12" s="150" t="inlineStr">
        <is>
          <t>KdvOranVarsayilan</t>
        </is>
      </c>
      <c r="C12" s="156" t="n">
        <v>0.2</v>
      </c>
      <c r="D12" s="150" t="inlineStr">
        <is>
          <t>oran</t>
        </is>
      </c>
      <c r="E12" s="152" t="inlineStr">
        <is>
          <t>Ürün satırında oran boşsa kullanılan varsayılan KDV oranı (genel oran).</t>
        </is>
      </c>
      <c r="F12" s="152" t="inlineStr">
        <is>
          <t>3065 s. KDV Kanunu md.21</t>
        </is>
      </c>
      <c r="G12" s="153" t="inlineStr">
        <is>
          <t>09.08.2026</t>
        </is>
      </c>
      <c r="H12" s="153" t="inlineStr">
        <is>
          <t>09.08.2026</t>
        </is>
      </c>
    </row>
    <row r="13" ht="24.75" customHeight="1" s="68">
      <c r="A13" s="150" t="inlineStr">
        <is>
          <t>Vergi</t>
        </is>
      </c>
      <c r="B13" s="150" t="inlineStr">
        <is>
          <t>NavlunSigortaOranVarsayilan</t>
        </is>
      </c>
      <c r="C13" s="156" t="n">
        <v>0.05</v>
      </c>
      <c r="D13" s="150" t="inlineStr">
        <is>
          <t>oran</t>
        </is>
      </c>
      <c r="E13" s="152" t="inlineStr">
        <is>
          <t>Ürün satırında oran boşsa kullanılan varsayılan navlun/sigorta oranı.</t>
        </is>
      </c>
      <c r="F13" s="152" t="inlineStr">
        <is>
          <t>İthalat Rejimi; götürü sigorta uygulaması</t>
        </is>
      </c>
      <c r="G13" s="153" t="inlineStr">
        <is>
          <t>09.08.2026</t>
        </is>
      </c>
      <c r="H13" s="153" t="inlineStr">
        <is>
          <t>09.08.2026</t>
        </is>
      </c>
    </row>
    <row r="14" ht="15" customHeight="1" s="68">
      <c r="A14" s="150" t="inlineStr">
        <is>
          <t>Genel</t>
        </is>
      </c>
      <c r="B14" s="150" t="inlineStr">
        <is>
          <t>BolumPaydaTaban</t>
        </is>
      </c>
      <c r="C14" s="156" t="n">
        <v>1e-07</v>
      </c>
      <c r="D14" s="150" t="inlineStr">
        <is>
          <t>katsayı</t>
        </is>
      </c>
      <c r="E14" s="152" t="inlineStr">
        <is>
          <t>Bölme işlemlerinde sıfır payda koruması için kullanılan taban değer.</t>
        </is>
      </c>
      <c r="F14" s="152" t="inlineStr">
        <is>
          <t>Varsayım</t>
        </is>
      </c>
      <c r="G14" s="153" t="inlineStr">
        <is>
          <t>09.08.2026</t>
        </is>
      </c>
      <c r="H14" s="153" t="inlineStr">
        <is>
          <t>09.08.2026</t>
        </is>
      </c>
    </row>
    <row r="15" ht="15" customHeight="1" s="68">
      <c r="A15" s="150" t="inlineStr">
        <is>
          <t>Risk</t>
        </is>
      </c>
      <c r="B15" s="150" t="inlineStr">
        <is>
          <t>VergiYukEsik</t>
        </is>
      </c>
      <c r="C15" s="156" t="n">
        <v>0.25</v>
      </c>
      <c r="D15" s="150" t="inlineStr">
        <is>
          <t>oran</t>
        </is>
      </c>
      <c r="E15" s="152" t="inlineStr">
        <is>
          <t>Toplam verginin CIF'e oranı uyarı eşiği.</t>
        </is>
      </c>
      <c r="F15" s="152" t="inlineStr">
        <is>
          <t>Varsayım</t>
        </is>
      </c>
      <c r="G15" s="153" t="inlineStr">
        <is>
          <t>09.08.2026</t>
        </is>
      </c>
      <c r="H15" s="153" t="inlineStr">
        <is>
          <t>09.08.2026</t>
        </is>
      </c>
    </row>
    <row r="16" ht="15" customHeight="1" s="68">
      <c r="A16" s="150" t="inlineStr">
        <is>
          <t>Risk</t>
        </is>
      </c>
      <c r="B16" s="150" t="inlineStr">
        <is>
          <t>MaliyetFaktorEsik</t>
        </is>
      </c>
      <c r="C16" s="155" t="n">
        <v>1.8</v>
      </c>
      <c r="D16" s="150" t="inlineStr">
        <is>
          <t>katsayı</t>
        </is>
      </c>
      <c r="E16" s="152" t="inlineStr">
        <is>
          <t>Depo teslim maliyetin FOB'a oranı yüksek kabul eşiği.</t>
        </is>
      </c>
      <c r="F16" s="152" t="inlineStr">
        <is>
          <t>Varsayım</t>
        </is>
      </c>
      <c r="G16" s="153" t="inlineStr">
        <is>
          <t>09.08.2026</t>
        </is>
      </c>
      <c r="H16" s="153" t="inlineStr">
        <is>
          <t>09.08.2026</t>
        </is>
      </c>
    </row>
    <row r="17" ht="15" customHeight="1" s="68">
      <c r="A17" s="150" t="inlineStr">
        <is>
          <t>Risk</t>
        </is>
      </c>
      <c r="B17" s="150" t="inlineStr">
        <is>
          <t>AnomaliZEsik</t>
        </is>
      </c>
      <c r="C17" s="155" t="n">
        <v>2</v>
      </c>
      <c r="D17" s="150" t="inlineStr">
        <is>
          <t>oran</t>
        </is>
      </c>
      <c r="E17" s="152" t="inlineStr">
        <is>
          <t>Birim maliyet anomali |Z| eşiği.</t>
        </is>
      </c>
      <c r="F17" s="152" t="inlineStr">
        <is>
          <t>Varsayım</t>
        </is>
      </c>
      <c r="G17" s="153" t="inlineStr">
        <is>
          <t>09.08.2026</t>
        </is>
      </c>
      <c r="H17" s="153" t="inlineStr">
        <is>
          <t>09.08.2026</t>
        </is>
      </c>
    </row>
    <row r="18" ht="15" customHeight="1" s="68">
      <c r="A18" s="150" t="inlineStr">
        <is>
          <t>Risk</t>
        </is>
      </c>
      <c r="B18" s="150" t="inlineStr">
        <is>
          <t>MutabakatEsikOran</t>
        </is>
      </c>
      <c r="C18" s="156" t="n">
        <v>0.05</v>
      </c>
      <c r="D18" s="150" t="inlineStr">
        <is>
          <t>oran</t>
        </is>
      </c>
      <c r="E18" s="152" t="inlineStr">
        <is>
          <t>Masraf mutabakat farkı kabul eşiği (masraf tablosuna oranla).</t>
        </is>
      </c>
      <c r="F18" s="152" t="inlineStr">
        <is>
          <t>Varsayım</t>
        </is>
      </c>
      <c r="G18" s="153" t="inlineStr">
        <is>
          <t>09.08.2026</t>
        </is>
      </c>
      <c r="H18" s="153" t="inlineStr">
        <is>
          <t>09.08.2026</t>
        </is>
      </c>
    </row>
    <row r="19" ht="15" customHeight="1" s="68">
      <c r="A19" s="150" t="inlineStr">
        <is>
          <t>Eşik</t>
        </is>
      </c>
      <c r="B19" s="150" t="inlineStr">
        <is>
          <t>VeriKaliteIyiEsik</t>
        </is>
      </c>
      <c r="C19" s="155" t="n">
        <v>90</v>
      </c>
      <c r="D19" s="150" t="inlineStr">
        <is>
          <t>puan</t>
        </is>
      </c>
      <c r="E19" s="152" t="inlineStr">
        <is>
          <t>Kalite skoru iyi eşiği.</t>
        </is>
      </c>
      <c r="F19" s="152" t="inlineStr">
        <is>
          <t>Varsayım</t>
        </is>
      </c>
      <c r="G19" s="153" t="inlineStr">
        <is>
          <t>09.08.2026</t>
        </is>
      </c>
      <c r="H19" s="153" t="inlineStr">
        <is>
          <t>09.08.2026</t>
        </is>
      </c>
    </row>
    <row r="20" ht="15" customHeight="1" s="68">
      <c r="A20" s="150" t="inlineStr">
        <is>
          <t>Eşik</t>
        </is>
      </c>
      <c r="B20" s="150" t="inlineStr">
        <is>
          <t>VeriKaliteOrtaEsik</t>
        </is>
      </c>
      <c r="C20" s="155" t="n">
        <v>70</v>
      </c>
      <c r="D20" s="150" t="inlineStr">
        <is>
          <t>puan</t>
        </is>
      </c>
      <c r="E20" s="152" t="inlineStr">
        <is>
          <t>Kalite skoru orta eşiği.</t>
        </is>
      </c>
      <c r="F20" s="152" t="inlineStr">
        <is>
          <t>Varsayım</t>
        </is>
      </c>
      <c r="G20" s="153" t="inlineStr">
        <is>
          <t>09.08.2026</t>
        </is>
      </c>
      <c r="H20" s="153" t="inlineStr">
        <is>
          <t>09.08.2026</t>
        </is>
      </c>
    </row>
    <row r="21" ht="15" customHeight="1" s="68">
      <c r="A21" s="150" t="inlineStr">
        <is>
          <t>Eşik</t>
        </is>
      </c>
      <c r="B21" s="150" t="inlineStr">
        <is>
          <t>VeriKaliteTaban</t>
        </is>
      </c>
      <c r="C21" s="155" t="n">
        <v>100</v>
      </c>
      <c r="D21" s="150" t="inlineStr">
        <is>
          <t>puan</t>
        </is>
      </c>
      <c r="E21" s="152" t="inlineStr">
        <is>
          <t>Veri kalite skoru başlangıç puanı.</t>
        </is>
      </c>
      <c r="F21" s="152" t="inlineStr">
        <is>
          <t>Varsayım</t>
        </is>
      </c>
      <c r="G21" s="153" t="inlineStr">
        <is>
          <t>09.08.2026</t>
        </is>
      </c>
      <c r="H21" s="153" t="inlineStr">
        <is>
          <t>09.08.2026</t>
        </is>
      </c>
    </row>
    <row r="22" ht="15" customHeight="1" s="68">
      <c r="A22" s="150" t="inlineStr">
        <is>
          <t>Eşik</t>
        </is>
      </c>
      <c r="B22" s="150" t="inlineStr">
        <is>
          <t>VeriKaliteFailCeza</t>
        </is>
      </c>
      <c r="C22" s="155" t="n">
        <v>20</v>
      </c>
      <c r="D22" s="150" t="inlineStr">
        <is>
          <t>puan</t>
        </is>
      </c>
      <c r="E22" s="152" t="inlineStr">
        <is>
          <t>Her FAIL için skor cezası.</t>
        </is>
      </c>
      <c r="F22" s="152" t="inlineStr">
        <is>
          <t>Varsayım</t>
        </is>
      </c>
      <c r="G22" s="153" t="inlineStr">
        <is>
          <t>09.08.2026</t>
        </is>
      </c>
      <c r="H22" s="153" t="inlineStr">
        <is>
          <t>09.08.2026</t>
        </is>
      </c>
    </row>
    <row r="23" ht="15" customHeight="1" s="68">
      <c r="A23" s="150" t="inlineStr">
        <is>
          <t>Eşik</t>
        </is>
      </c>
      <c r="B23" s="150" t="inlineStr">
        <is>
          <t>VeriKaliteUyariCeza</t>
        </is>
      </c>
      <c r="C23" s="155" t="n">
        <v>10</v>
      </c>
      <c r="D23" s="150" t="inlineStr">
        <is>
          <t>puan</t>
        </is>
      </c>
      <c r="E23" s="152" t="inlineStr">
        <is>
          <t>Her WARN için skor cezası.</t>
        </is>
      </c>
      <c r="F23" s="152" t="inlineStr">
        <is>
          <t>Varsayım</t>
        </is>
      </c>
      <c r="G23" s="153" t="inlineStr">
        <is>
          <t>09.08.2026</t>
        </is>
      </c>
      <c r="H23" s="153" t="inlineStr">
        <is>
          <t>09.08.2026</t>
        </is>
      </c>
    </row>
    <row r="24" ht="15" customHeight="1" s="68">
      <c r="A24" s="150" t="inlineStr">
        <is>
          <t>Eşik</t>
        </is>
      </c>
      <c r="B24" s="150" t="inlineStr">
        <is>
          <t>KayitKapasite</t>
        </is>
      </c>
      <c r="C24" s="155" t="n">
        <v>3008</v>
      </c>
      <c r="D24" s="150" t="inlineStr">
        <is>
          <t>adet</t>
        </is>
      </c>
      <c r="E24" s="152" t="inlineStr">
        <is>
          <t>Ürün ve masraf tablolarının toplam giriş kapasitesi.</t>
        </is>
      </c>
      <c r="F24" s="152" t="inlineStr">
        <is>
          <t>Tasarım</t>
        </is>
      </c>
      <c r="G24" s="153" t="inlineStr">
        <is>
          <t>09.08.2026</t>
        </is>
      </c>
      <c r="H24" s="153" t="inlineStr">
        <is>
          <t>09.08.2026</t>
        </is>
      </c>
    </row>
    <row r="25" ht="15" customHeight="1" s="68">
      <c r="A25" s="150" t="inlineStr">
        <is>
          <t>Senaryo</t>
        </is>
      </c>
      <c r="B25" s="150" t="inlineStr">
        <is>
          <t>SenaryoKotumserKat</t>
        </is>
      </c>
      <c r="C25" s="156" t="n">
        <v>0.1</v>
      </c>
      <c r="D25" s="150" t="inlineStr">
        <is>
          <t>oran</t>
        </is>
      </c>
      <c r="E25" s="152" t="inlineStr">
        <is>
          <t>Kötümser senaryo çarpanı.</t>
        </is>
      </c>
      <c r="F25" s="152" t="inlineStr">
        <is>
          <t>Varsayım</t>
        </is>
      </c>
      <c r="G25" s="153" t="inlineStr">
        <is>
          <t>09.08.2026</t>
        </is>
      </c>
      <c r="H25" s="153" t="inlineStr">
        <is>
          <t>09.08.2026</t>
        </is>
      </c>
    </row>
    <row r="26" ht="15" customHeight="1" s="68">
      <c r="A26" s="150" t="inlineStr">
        <is>
          <t>Senaryo</t>
        </is>
      </c>
      <c r="B26" s="150" t="inlineStr">
        <is>
          <t>SenaryoIyimserKat</t>
        </is>
      </c>
      <c r="C26" s="156" t="n">
        <v>0.1</v>
      </c>
      <c r="D26" s="150" t="inlineStr">
        <is>
          <t>oran</t>
        </is>
      </c>
      <c r="E26" s="152" t="inlineStr">
        <is>
          <t>İyimser senaryo çarpanı.</t>
        </is>
      </c>
      <c r="F26" s="152" t="inlineStr">
        <is>
          <t>Varsayım</t>
        </is>
      </c>
      <c r="G26" s="153" t="inlineStr">
        <is>
          <t>09.08.2026</t>
        </is>
      </c>
      <c r="H26" s="153" t="inlineStr">
        <is>
          <t>09.08.2026</t>
        </is>
      </c>
    </row>
    <row r="27" ht="15" customHeight="1" s="68">
      <c r="A27" s="150" t="inlineStr">
        <is>
          <t>Duyarlılık</t>
        </is>
      </c>
      <c r="B27" s="150" t="inlineStr">
        <is>
          <t>DuyarliDegisim</t>
        </is>
      </c>
      <c r="C27" s="156" t="n">
        <v>0.05</v>
      </c>
      <c r="D27" s="150" t="inlineStr">
        <is>
          <t>oran</t>
        </is>
      </c>
      <c r="E27" s="152" t="inlineStr">
        <is>
          <t>Tornado analizinde değişim oranı.</t>
        </is>
      </c>
      <c r="F27" s="152" t="inlineStr">
        <is>
          <t>Varsayım</t>
        </is>
      </c>
      <c r="G27" s="153" t="inlineStr">
        <is>
          <t>09.08.2026</t>
        </is>
      </c>
      <c r="H27" s="153" t="inlineStr">
        <is>
          <t>09.08.2026</t>
        </is>
      </c>
    </row>
    <row r="28" ht="15" customHeight="1" s="68">
      <c r="A28" s="150" t="inlineStr">
        <is>
          <t>Duyarlılık</t>
        </is>
      </c>
      <c r="B28" s="150" t="inlineStr">
        <is>
          <t>ParetoEsikOran</t>
        </is>
      </c>
      <c r="C28" s="156" t="n">
        <v>0.3</v>
      </c>
      <c r="D28" s="150" t="inlineStr">
        <is>
          <t>oran</t>
        </is>
      </c>
      <c r="E28" s="152" t="inlineStr">
        <is>
          <t>Ürün maliyet yoğunlaşması yüksek kabul eşiği.</t>
        </is>
      </c>
      <c r="F28" s="152" t="inlineStr">
        <is>
          <t>Varsayım</t>
        </is>
      </c>
      <c r="G28" s="153" t="inlineStr">
        <is>
          <t>09.08.2026</t>
        </is>
      </c>
      <c r="H28" s="153" t="inlineStr">
        <is>
          <t>09.08.2026</t>
        </is>
      </c>
    </row>
    <row r="29" ht="15" customHeight="1" s="68">
      <c r="A29" s="150" t="inlineStr">
        <is>
          <t>Duyarlılık</t>
        </is>
      </c>
      <c r="B29" s="150" t="inlineStr">
        <is>
          <t>SenaryoEtkiEsik</t>
        </is>
      </c>
      <c r="C29" s="156" t="n">
        <v>0.15</v>
      </c>
      <c r="D29" s="150" t="inlineStr">
        <is>
          <t>oran</t>
        </is>
      </c>
      <c r="E29" s="152" t="inlineStr">
        <is>
          <t>Tornado zirve etkisinin toplam maliyete oranı uyarı eşiği.</t>
        </is>
      </c>
      <c r="F29" s="152" t="inlineStr">
        <is>
          <t>Varsayım</t>
        </is>
      </c>
      <c r="G29" s="153" t="inlineStr">
        <is>
          <t>09.08.2026</t>
        </is>
      </c>
      <c r="H29" s="153" t="inlineStr">
        <is>
          <t>09.08.2026</t>
        </is>
      </c>
    </row>
    <row r="30" ht="15" customHeight="1" s="68">
      <c r="A30" s="150" t="inlineStr">
        <is>
          <t>Tahmin</t>
        </is>
      </c>
      <c r="B30" s="150" t="inlineStr">
        <is>
          <t>P90Kuantil</t>
        </is>
      </c>
      <c r="C30" s="156" t="n">
        <v>0.9</v>
      </c>
      <c r="D30" s="150" t="inlineStr">
        <is>
          <t>oran</t>
        </is>
      </c>
      <c r="E30" s="152" t="inlineStr">
        <is>
          <t>Yüzdelik dağılım analizinde P90 kuantil değeri.</t>
        </is>
      </c>
      <c r="F30" s="152" t="inlineStr">
        <is>
          <t>Varsayım</t>
        </is>
      </c>
      <c r="G30" s="153" t="inlineStr">
        <is>
          <t>09.08.2026</t>
        </is>
      </c>
      <c r="H30" s="153" t="inlineStr">
        <is>
          <t>09.08.2026</t>
        </is>
      </c>
    </row>
    <row r="31" ht="15" customHeight="1" s="68">
      <c r="A31" s="150" t="inlineStr">
        <is>
          <t>Nakit</t>
        </is>
      </c>
      <c r="B31" s="150" t="inlineStr">
        <is>
          <t>IskontoOrani</t>
        </is>
      </c>
      <c r="C31" s="156" t="n">
        <v>0.1</v>
      </c>
      <c r="D31" s="150" t="inlineStr">
        <is>
          <t>oran</t>
        </is>
      </c>
      <c r="E31" s="152" t="inlineStr">
        <is>
          <t>Maliyet NPV hesabında iskonto oranı.</t>
        </is>
      </c>
      <c r="F31" s="152" t="inlineStr">
        <is>
          <t>Varsayım</t>
        </is>
      </c>
      <c r="G31" s="153" t="inlineStr">
        <is>
          <t>09.08.2026</t>
        </is>
      </c>
      <c r="H31" s="153" t="inlineStr">
        <is>
          <t>09.08.2026</t>
        </is>
      </c>
    </row>
    <row r="32" ht="15" customHeight="1" s="68">
      <c r="A32" s="150" t="inlineStr">
        <is>
          <t>Nakit</t>
        </is>
      </c>
      <c r="B32" s="150" t="inlineStr">
        <is>
          <t>PesinOdemeTutari</t>
        </is>
      </c>
      <c r="C32" s="157" t="n">
        <v>0</v>
      </c>
      <c r="D32" s="150" t="inlineStr">
        <is>
          <t>₺</t>
        </is>
      </c>
      <c r="E32" s="152" t="inlineStr">
        <is>
          <t>İthal vergilerine karşı peşin ödenen tutar (avans).</t>
        </is>
      </c>
      <c r="F32" s="152" t="inlineStr">
        <is>
          <t>Varsayım</t>
        </is>
      </c>
      <c r="G32" s="153" t="inlineStr">
        <is>
          <t>09.08.2026</t>
        </is>
      </c>
      <c r="H32" s="153" t="inlineStr">
        <is>
          <t>09.08.2026</t>
        </is>
      </c>
    </row>
    <row r="33" ht="15" customHeight="1" s="68">
      <c r="A33" s="150" t="inlineStr">
        <is>
          <t>Risk</t>
        </is>
      </c>
      <c r="B33" s="150" t="inlineStr">
        <is>
          <t>HhiYuksekEsik</t>
        </is>
      </c>
      <c r="C33" s="156" t="n">
        <v>0.5</v>
      </c>
      <c r="D33" s="150" t="inlineStr">
        <is>
          <t>oran</t>
        </is>
      </c>
      <c r="E33" s="152" t="inlineStr">
        <is>
          <t>FOB yoğunlaşma endeksi yüksek kabul eşiği.</t>
        </is>
      </c>
      <c r="F33" s="152" t="inlineStr">
        <is>
          <t>Varsayım</t>
        </is>
      </c>
      <c r="G33" s="153" t="inlineStr">
        <is>
          <t>09.08.2026</t>
        </is>
      </c>
      <c r="H33" s="153" t="inlineStr">
        <is>
          <t>09.08.2026</t>
        </is>
      </c>
    </row>
    <row r="34" ht="15" customHeight="1" s="68">
      <c r="A34" s="150" t="inlineStr">
        <is>
          <t>Risk</t>
        </is>
      </c>
      <c r="B34" s="150" t="inlineStr">
        <is>
          <t>NpvEsikOran</t>
        </is>
      </c>
      <c r="C34" s="156" t="n">
        <v>0.5</v>
      </c>
      <c r="D34" s="150" t="inlineStr">
        <is>
          <t>oran</t>
        </is>
      </c>
      <c r="E34" s="152" t="inlineStr">
        <is>
          <t>Maliyet NPV değerinin toplam maliyete oranı yüksek kabul eşiği.</t>
        </is>
      </c>
      <c r="F34" s="152" t="inlineStr">
        <is>
          <t>Varsayım</t>
        </is>
      </c>
      <c r="G34" s="153" t="inlineStr">
        <is>
          <t>09.08.2026</t>
        </is>
      </c>
      <c r="H34" s="153" t="inlineStr">
        <is>
          <t>09.08.2026</t>
        </is>
      </c>
    </row>
    <row r="35"/>
    <row r="36" ht="19.5" customHeight="1" s="68">
      <c r="A36" s="105" t="inlineStr">
        <is>
          <t>Sarı değer hücreleri kullanıcı tarafından değiştirilebilir; formül hücreleri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1:H1"/>
    <mergeCell ref="A36:AN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0.5" customWidth="1" style="94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KILAVUZ — İTHALAT DEPO TESLİM (RAFA GELEN) NET BİRİM MALİYET</t>
        </is>
      </c>
      <c r="B1" s="270" t="n"/>
      <c r="C1" s="270" t="n"/>
      <c r="D1" s="270" t="n"/>
      <c r="E1" s="270" t="n"/>
      <c r="F1" s="270" t="n"/>
      <c r="G1" s="270" t="n"/>
      <c r="H1" s="270" t="n"/>
      <c r="I1" s="270" t="n"/>
    </row>
    <row r="2"/>
    <row r="3" ht="22" customHeight="1" s="68">
      <c r="A3" s="288" t="inlineStr">
        <is>
          <t>Kullanım Kılavuzu</t>
        </is>
      </c>
    </row>
    <row r="4"/>
    <row r="5" ht="15" customHeight="1" s="68">
      <c r="A5" s="103" t="inlineStr">
        <is>
          <t>Bu dosya, ithal ürünlerin depo teslim (rafa gelen) net birim maliyetini hesaplayan bir karar destek aracıdır.</t>
        </is>
      </c>
    </row>
    <row r="6" ht="15" customHeight="1" s="68">
      <c r="A6" s="103" t="inlineStr">
        <is>
          <t>1. AYARLAR: Varsayılan kur, vergi oranları, eşikler ve rapor tarihi bu sayfadadır.</t>
        </is>
      </c>
    </row>
    <row r="7" ht="15" customHeight="1" s="68">
      <c r="A7" s="103" t="inlineStr">
        <is>
          <t>2. URUNLER: İthal ürünlerin FOB birim fiyatı, adedi, döviz cinsi ve kuru girin; CIF ve vergiler otomatik hesaplanır.</t>
        </is>
      </c>
    </row>
    <row r="8" ht="15" customHeight="1" s="68">
      <c r="A8" s="103" t="inlineStr">
        <is>
          <t>3. MASRAFLAR: Liman, müşavirlik, iç nakliye gibi yurt içi masrafları TL girin; FOB payıyla ürünlere dağıtılır.</t>
        </is>
      </c>
    </row>
    <row r="9" ht="15" customHeight="1" s="68">
      <c r="A9" s="103" t="inlineStr">
        <is>
          <t>4. MOTOR: Tüm hesaplar ad tanımlı hücrelerde; denetlenebilir ve değiştirilebilir.</t>
        </is>
      </c>
    </row>
    <row r="10" ht="15" customHeight="1" s="68">
      <c r="A10" s="103" t="inlineStr">
        <is>
          <t>5. KARAR: UYGUN / İNCELE / DURDUR kararı, gerekçe ve aksiyonlar makine tarafından üretilir.</t>
        </is>
      </c>
    </row>
    <row r="11" ht="15" customHeight="1" s="68">
      <c r="A11" s="103" t="inlineStr">
        <is>
          <t>6. PANO ve RAPOR: Yönetici özeti ve yazdırılabilir rapor.</t>
        </is>
      </c>
    </row>
    <row r="12" ht="15" customHeight="1" s="68">
      <c r="A12" s="103" t="inlineStr">
        <is>
          <t>7. SENARYO_DUYARLILIK: Kur ve oran değişiminde maliyet, vergi ve karar değişimi görülür.</t>
        </is>
      </c>
    </row>
    <row r="13" ht="15" customHeight="1" s="68">
      <c r="A13" s="103" t="inlineStr">
        <is>
          <t>Veri girişi yalnızca sarı hücreleredir. Beyaz/yeşil formül hücreleri 1234 şifresiyle korumalıdır.</t>
        </is>
      </c>
    </row>
    <row r="14" ht="15" customHeight="1" s="68">
      <c r="A14" s="103" t="inlineStr">
        <is>
          <t>Güvenlik: Dosyada makro, dış bağlantı ve telemetri yoktur. Verileriniz cihazınızdan çıkmaz.</t>
        </is>
      </c>
    </row>
    <row r="15" ht="15" customHeight="1" s="68">
      <c r="A15" s="103" t="inlineStr">
        <is>
          <t>Ortam: Excel 2016–365 (Windows/Mac), LibreOffice 7+, Google Sheets ile uyumlu üretilmiştir.</t>
        </is>
      </c>
    </row>
    <row r="16"/>
    <row r="17"/>
    <row r="18" ht="19.5" customHeight="1" s="68">
      <c r="A18" s="105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2026-08-09T21:01:24Z</dcterms:created>
  <dcterms:modified xmlns:dcterms="http://purl.org/dc/terms/" xmlns:xsi="http://www.w3.org/2001/XMLSchema-instance" xsi:type="dcterms:W3CDTF">2026-09-25T20:45:28Z</dcterms:modified>
  <cp:revision>0</cp:revision>
</cp:coreProperties>
</file>